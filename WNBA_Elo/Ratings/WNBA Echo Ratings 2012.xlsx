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C9029945-FA4F-479C-A36D-0B629DDC4E7A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8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2" i="2" l="1"/>
  <c r="C443" i="2"/>
  <c r="C444" i="2"/>
  <c r="C445" i="2"/>
  <c r="C446" i="2"/>
  <c r="C447" i="2"/>
  <c r="I442" i="2" a="1"/>
  <c r="I443" i="2" a="1"/>
  <c r="I444" i="2" a="1"/>
  <c r="I445" i="2" a="1"/>
  <c r="I446" i="2" a="1"/>
  <c r="I447" i="2" a="1"/>
  <c r="J442" i="2" a="1"/>
  <c r="J443" i="2" a="1"/>
  <c r="J444" i="2" a="1"/>
  <c r="J445" i="2" a="1"/>
  <c r="J446" i="2" a="1"/>
  <c r="J447" i="2" a="1"/>
  <c r="K442" i="2"/>
  <c r="K443" i="2"/>
  <c r="K444" i="2"/>
  <c r="K445" i="2"/>
  <c r="L442" i="2"/>
  <c r="L443" i="2"/>
  <c r="L444" i="2"/>
  <c r="L445" i="2"/>
  <c r="M442" i="2"/>
  <c r="M443" i="2"/>
  <c r="M444" i="2"/>
  <c r="M445" i="2"/>
  <c r="N442" i="2"/>
  <c r="N443" i="2"/>
  <c r="N444" i="2"/>
  <c r="N445" i="2"/>
  <c r="U442" i="2"/>
  <c r="U443" i="2"/>
  <c r="U444" i="2"/>
  <c r="U445" i="2"/>
  <c r="V445" i="2" s="1"/>
  <c r="U446" i="2"/>
  <c r="U447" i="2"/>
  <c r="V442" i="2"/>
  <c r="V443" i="2"/>
  <c r="V444" i="2"/>
  <c r="V446" i="2"/>
  <c r="V447" i="2"/>
  <c r="X442" i="2" a="1"/>
  <c r="X443" i="2" a="1"/>
  <c r="X444" i="2" a="1"/>
  <c r="X445" i="2" a="1"/>
  <c r="X446" i="2" a="1"/>
  <c r="X447" i="2" a="1"/>
  <c r="Y442" i="2"/>
  <c r="Y443" i="2"/>
  <c r="Y444" i="2"/>
  <c r="Y445" i="2"/>
  <c r="Y446" i="2"/>
  <c r="Y447" i="2"/>
  <c r="Z442" i="2"/>
  <c r="Z443" i="2"/>
  <c r="Z444" i="2"/>
  <c r="Z445" i="2"/>
  <c r="Z446" i="2"/>
  <c r="Z447" i="2"/>
  <c r="AC442" i="2"/>
  <c r="AC443" i="2"/>
  <c r="AC444" i="2"/>
  <c r="AC445" i="2"/>
  <c r="AC446" i="2"/>
  <c r="AC447" i="2"/>
  <c r="AD442" i="2"/>
  <c r="AD443" i="2"/>
  <c r="AD444" i="2"/>
  <c r="AD445" i="2"/>
  <c r="AD446" i="2"/>
  <c r="AD447" i="2"/>
  <c r="AE442" i="2"/>
  <c r="AE443" i="2"/>
  <c r="AE444" i="2"/>
  <c r="AE445" i="2"/>
  <c r="AE446" i="2"/>
  <c r="AE447" i="2"/>
  <c r="AF442" i="2"/>
  <c r="AF443" i="2"/>
  <c r="AF444" i="2"/>
  <c r="AF445" i="2"/>
  <c r="AF446" i="2"/>
  <c r="AF447" i="2"/>
  <c r="AG442" i="2"/>
  <c r="AG443" i="2"/>
  <c r="AG444" i="2"/>
  <c r="AG445" i="2"/>
  <c r="AG446" i="2"/>
  <c r="AG447" i="2"/>
  <c r="AH442" i="2"/>
  <c r="AH443" i="2"/>
  <c r="AH444" i="2"/>
  <c r="AH445" i="2"/>
  <c r="AH446" i="2"/>
  <c r="AH447" i="2"/>
  <c r="AI442" i="2"/>
  <c r="AI443" i="2"/>
  <c r="AI444" i="2"/>
  <c r="AI446" i="2"/>
  <c r="AI447" i="2"/>
  <c r="AJ442" i="2"/>
  <c r="AJ443" i="2"/>
  <c r="AJ444" i="2"/>
  <c r="AJ446" i="2"/>
  <c r="AJ447" i="2"/>
  <c r="AK442" i="2"/>
  <c r="AK443" i="2"/>
  <c r="AK444" i="2"/>
  <c r="AK445" i="2"/>
  <c r="AK446" i="2"/>
  <c r="AK447" i="2"/>
  <c r="AL442" i="2"/>
  <c r="AL443" i="2"/>
  <c r="AL444" i="2"/>
  <c r="AL445" i="2"/>
  <c r="AL446" i="2"/>
  <c r="AL447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L420" i="2" s="1"/>
  <c r="N420" i="2" s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L439" i="2" s="1"/>
  <c r="N439" i="2" s="1"/>
  <c r="J440" i="2" a="1"/>
  <c r="L440" i="2" s="1"/>
  <c r="N440" i="2" s="1"/>
  <c r="J441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E28" i="3"/>
  <c r="D28" i="3"/>
  <c r="C28" i="3"/>
  <c r="B28" i="3"/>
  <c r="E34" i="3"/>
  <c r="D34" i="3"/>
  <c r="C34" i="3"/>
  <c r="B34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0" i="3"/>
  <c r="D30" i="3"/>
  <c r="C30" i="3"/>
  <c r="B30" i="3"/>
  <c r="E27" i="3"/>
  <c r="D27" i="3"/>
  <c r="C27" i="3"/>
  <c r="B27" i="3"/>
  <c r="E35" i="3"/>
  <c r="D35" i="3"/>
  <c r="C35" i="3"/>
  <c r="B35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AJ445" i="2" l="1"/>
  <c r="AI445" i="2"/>
  <c r="K446" i="2"/>
  <c r="M446" i="2" s="1"/>
  <c r="L446" i="2"/>
  <c r="N446" i="2" s="1"/>
  <c r="F26" i="3"/>
  <c r="K447" i="2"/>
  <c r="M447" i="2" s="1"/>
  <c r="L447" i="2"/>
  <c r="N447" i="2" s="1"/>
  <c r="L416" i="2"/>
  <c r="N416" i="2" s="1"/>
  <c r="K416" i="2"/>
  <c r="M416" i="2" s="1"/>
  <c r="F28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L441" i="2"/>
  <c r="N441" i="2" s="1"/>
  <c r="K441" i="2"/>
  <c r="M441" i="2" s="1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35" i="3"/>
  <c r="AE386" i="2"/>
  <c r="AD386" i="2"/>
  <c r="AE387" i="2"/>
  <c r="AD387" i="2"/>
  <c r="AE388" i="2"/>
  <c r="AD388" i="2"/>
  <c r="AE389" i="2"/>
  <c r="AD389" i="2"/>
  <c r="F34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0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2" i="3"/>
  <c r="B32" i="3"/>
  <c r="C33" i="3"/>
  <c r="B33" i="3"/>
  <c r="C29" i="3"/>
  <c r="B29" i="3"/>
  <c r="C31" i="3"/>
  <c r="B31" i="3"/>
  <c r="Q16" i="2" l="1"/>
  <c r="Q17" i="2"/>
  <c r="W16" i="2"/>
  <c r="W17" i="2"/>
  <c r="AA16" i="2" l="1"/>
  <c r="AB16" i="2" s="1"/>
  <c r="AA17" i="2"/>
  <c r="AB17" i="2" s="1"/>
  <c r="E32" i="3"/>
  <c r="D32" i="3"/>
  <c r="E33" i="3"/>
  <c r="D33" i="3"/>
  <c r="E29" i="3"/>
  <c r="D29" i="3"/>
  <c r="E31" i="3"/>
  <c r="D31" i="3"/>
  <c r="O19" i="2" l="1" a="1"/>
  <c r="O18" i="2" a="1"/>
  <c r="P19" i="2" a="1"/>
  <c r="P18" i="2" a="1"/>
  <c r="F29" i="3"/>
  <c r="F32" i="3"/>
  <c r="F33" i="3"/>
  <c r="F31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7" i="2" a="1"/>
  <c r="P25" i="2" a="1"/>
  <c r="O24" i="2" a="1"/>
  <c r="O26" i="2" a="1"/>
  <c r="O27" i="2" a="1"/>
  <c r="P26" i="2" a="1"/>
  <c r="P24" i="2" a="1"/>
  <c r="O25" i="2" a="1"/>
  <c r="AZ6" i="3"/>
  <c r="W27" i="2" l="1"/>
  <c r="W25" i="2"/>
  <c r="W24" i="2"/>
  <c r="Q26" i="2"/>
  <c r="Q25" i="2"/>
  <c r="W26" i="2"/>
  <c r="Q24" i="2"/>
  <c r="AA24" i="2" s="1"/>
  <c r="AB24" i="2" s="1"/>
  <c r="Q27" i="2"/>
  <c r="P29" i="2" a="1"/>
  <c r="O28" i="2" a="1"/>
  <c r="O29" i="2" a="1"/>
  <c r="P28" i="2" a="1"/>
  <c r="AA25" i="2" l="1"/>
  <c r="AB25" i="2" s="1"/>
  <c r="AA27" i="2"/>
  <c r="AB27" i="2" s="1"/>
  <c r="AA26" i="2"/>
  <c r="AB26" i="2" s="1"/>
  <c r="W28" i="2"/>
  <c r="W29" i="2"/>
  <c r="Q29" i="2"/>
  <c r="Q28" i="2"/>
  <c r="AA29" i="2" l="1"/>
  <c r="AB29" i="2" s="1"/>
  <c r="O30" i="2" a="1"/>
  <c r="P31" i="2" a="1"/>
  <c r="P30" i="2" a="1"/>
  <c r="O31" i="2" a="1"/>
  <c r="AA28" i="2"/>
  <c r="AB28" i="2" s="1"/>
  <c r="P33" i="2" a="1"/>
  <c r="P32" i="2" a="1"/>
  <c r="O32" i="2" a="1"/>
  <c r="O33" i="2" a="1"/>
  <c r="Q30" i="2" l="1"/>
  <c r="W30" i="2"/>
  <c r="Q31" i="2"/>
  <c r="W31" i="2"/>
  <c r="Q32" i="2"/>
  <c r="W33" i="2"/>
  <c r="Q33" i="2"/>
  <c r="W32" i="2"/>
  <c r="AA30" i="2" l="1"/>
  <c r="AB30" i="2" s="1"/>
  <c r="AA31" i="2"/>
  <c r="AB31" i="2" s="1"/>
  <c r="AA33" i="2"/>
  <c r="AB33" i="2" s="1"/>
  <c r="AA32" i="2"/>
  <c r="AB32" i="2" s="1"/>
  <c r="P34" i="2" l="1" a="1"/>
  <c r="P35" i="2" a="1"/>
  <c r="O35" i="2" a="1"/>
  <c r="O34" i="2" a="1"/>
  <c r="W34" i="2" l="1"/>
  <c r="W35" i="2"/>
  <c r="Q34" i="2"/>
  <c r="Q35" i="2"/>
  <c r="AA34" i="2" l="1"/>
  <c r="AB34" i="2" s="1"/>
  <c r="AA35" i="2"/>
  <c r="AB35" i="2" s="1"/>
  <c r="P36" i="2" l="1" a="1"/>
  <c r="O36" i="2" a="1"/>
  <c r="O37" i="2" a="1"/>
  <c r="P37" i="2" a="1"/>
  <c r="Q37" i="2" l="1"/>
  <c r="Q36" i="2"/>
  <c r="W36" i="2"/>
  <c r="W37" i="2"/>
  <c r="AA36" i="2" l="1"/>
  <c r="AB36" i="2" s="1"/>
  <c r="AA37" i="2"/>
  <c r="AB37" i="2" s="1"/>
  <c r="P39" i="2" a="1"/>
  <c r="P38" i="2" a="1"/>
  <c r="O38" i="2" a="1"/>
  <c r="O39" i="2" a="1"/>
  <c r="Q38" i="2" l="1"/>
  <c r="Q39" i="2"/>
  <c r="W38" i="2"/>
  <c r="W39" i="2"/>
  <c r="AA38" i="2" l="1"/>
  <c r="AB38" i="2" s="1"/>
  <c r="AA39" i="2"/>
  <c r="AB39" i="2" s="1"/>
  <c r="O43" i="2" a="1"/>
  <c r="O42" i="2" a="1"/>
  <c r="P42" i="2" a="1"/>
  <c r="P43" i="2" a="1"/>
  <c r="O41" i="2" l="1" a="1"/>
  <c r="P41" i="2" a="1"/>
  <c r="P40" i="2" a="1"/>
  <c r="O40" i="2" a="1"/>
  <c r="W43" i="2"/>
  <c r="Q42" i="2"/>
  <c r="Q43" i="2"/>
  <c r="W42" i="2"/>
  <c r="Q41" i="2" l="1"/>
  <c r="Q40" i="2"/>
  <c r="W41" i="2"/>
  <c r="AA41" i="2" s="1"/>
  <c r="AB41" i="2" s="1"/>
  <c r="W40" i="2"/>
  <c r="AA43" i="2"/>
  <c r="AB43" i="2" s="1"/>
  <c r="AA42" i="2"/>
  <c r="AB42" i="2" s="1"/>
  <c r="AA40" i="2" l="1"/>
  <c r="AB40" i="2" s="1"/>
  <c r="P44" i="2" a="1"/>
  <c r="O45" i="2" a="1"/>
  <c r="O44" i="2" a="1"/>
  <c r="P45" i="2" a="1"/>
  <c r="Q44" i="2" l="1"/>
  <c r="W45" i="2"/>
  <c r="Q45" i="2"/>
  <c r="W44" i="2"/>
  <c r="AA44" i="2" s="1"/>
  <c r="AB44" i="2" s="1"/>
  <c r="P50" i="2" a="1"/>
  <c r="P51" i="2" a="1"/>
  <c r="O51" i="2" a="1"/>
  <c r="O50" i="2" a="1"/>
  <c r="O47" i="2" a="1"/>
  <c r="O46" i="2" a="1"/>
  <c r="P47" i="2" a="1"/>
  <c r="P48" i="2" a="1"/>
  <c r="P46" i="2" a="1"/>
  <c r="O48" i="2" a="1"/>
  <c r="O49" i="2" a="1"/>
  <c r="P49" i="2" a="1"/>
  <c r="Q49" i="2" s="1"/>
  <c r="AA45" i="2" l="1"/>
  <c r="AB45" i="2" s="1"/>
  <c r="W48" i="2"/>
  <c r="W50" i="2"/>
  <c r="Q51" i="2"/>
  <c r="W47" i="2"/>
  <c r="Q46" i="2"/>
  <c r="Q50" i="2"/>
  <c r="W51" i="2"/>
  <c r="W46" i="2"/>
  <c r="Q47" i="2"/>
  <c r="Q48" i="2"/>
  <c r="AA48" i="2" s="1"/>
  <c r="AB48" i="2" s="1"/>
  <c r="W49" i="2"/>
  <c r="AA49" i="2" s="1"/>
  <c r="AB49" i="2" s="1"/>
  <c r="O53" i="2" a="1"/>
  <c r="P53" i="2" a="1"/>
  <c r="P52" i="2" a="1"/>
  <c r="O52" i="2" a="1"/>
  <c r="AA46" i="2" l="1"/>
  <c r="AB46" i="2" s="1"/>
  <c r="AA50" i="2"/>
  <c r="AB50" i="2" s="1"/>
  <c r="AA51" i="2"/>
  <c r="AB51" i="2" s="1"/>
  <c r="AA47" i="2"/>
  <c r="AB47" i="2" s="1"/>
  <c r="Q53" i="2"/>
  <c r="Q52" i="2"/>
  <c r="W53" i="2"/>
  <c r="W52" i="2"/>
  <c r="AA53" i="2" l="1"/>
  <c r="AB53" i="2" s="1"/>
  <c r="AA52" i="2"/>
  <c r="AB52" i="2" s="1"/>
  <c r="O54" i="2" a="1"/>
  <c r="P54" i="2" a="1"/>
  <c r="O55" i="2" a="1"/>
  <c r="P55" i="2" a="1"/>
  <c r="O57" i="2" a="1"/>
  <c r="P56" i="2" a="1"/>
  <c r="O56" i="2" a="1"/>
  <c r="P57" i="2" a="1"/>
  <c r="W55" i="2" l="1"/>
  <c r="W54" i="2"/>
  <c r="Q55" i="2"/>
  <c r="Q54" i="2"/>
  <c r="Q57" i="2"/>
  <c r="Q56" i="2"/>
  <c r="W57" i="2"/>
  <c r="W56" i="2"/>
  <c r="AA55" i="2" l="1"/>
  <c r="AB55" i="2" s="1"/>
  <c r="AA57" i="2"/>
  <c r="AB57" i="2" s="1"/>
  <c r="AA54" i="2"/>
  <c r="AB54" i="2" s="1"/>
  <c r="AA56" i="2"/>
  <c r="AB56" i="2" s="1"/>
  <c r="P61" i="2" a="1"/>
  <c r="P60" i="2" a="1"/>
  <c r="O61" i="2" a="1"/>
  <c r="O60" i="2" a="1"/>
  <c r="P59" i="2" l="1" a="1"/>
  <c r="O58" i="2" a="1"/>
  <c r="O59" i="2" a="1"/>
  <c r="P58" i="2" a="1"/>
  <c r="W60" i="2"/>
  <c r="W61" i="2"/>
  <c r="Q60" i="2"/>
  <c r="Q61" i="2"/>
  <c r="W58" i="2" l="1"/>
  <c r="Q59" i="2"/>
  <c r="Q58" i="2"/>
  <c r="AA58" i="2" s="1"/>
  <c r="AB58" i="2" s="1"/>
  <c r="W59" i="2"/>
  <c r="AA60" i="2"/>
  <c r="AB60" i="2" s="1"/>
  <c r="AA61" i="2"/>
  <c r="AB61" i="2" s="1"/>
  <c r="AA59" i="2" l="1"/>
  <c r="AB59" i="2" s="1"/>
  <c r="P62" i="2" a="1"/>
  <c r="O62" i="2" a="1"/>
  <c r="P63" i="2" a="1"/>
  <c r="O63" i="2" a="1"/>
  <c r="P65" i="2" a="1"/>
  <c r="O64" i="2" a="1"/>
  <c r="O65" i="2" a="1"/>
  <c r="P64" i="2" a="1"/>
  <c r="W63" i="2" l="1"/>
  <c r="W62" i="2"/>
  <c r="Q62" i="2"/>
  <c r="W64" i="2"/>
  <c r="W65" i="2"/>
  <c r="Q63" i="2"/>
  <c r="Q65" i="2"/>
  <c r="Q64" i="2"/>
  <c r="P66" i="2" a="1"/>
  <c r="O67" i="2" a="1"/>
  <c r="O66" i="2" a="1"/>
  <c r="P67" i="2" a="1"/>
  <c r="AA63" i="2" l="1"/>
  <c r="AB63" i="2" s="1"/>
  <c r="AA62" i="2"/>
  <c r="AB62" i="2" s="1"/>
  <c r="AA65" i="2"/>
  <c r="AB65" i="2" s="1"/>
  <c r="AA64" i="2"/>
  <c r="AB64" i="2" s="1"/>
  <c r="Q66" i="2"/>
  <c r="W67" i="2"/>
  <c r="W66" i="2"/>
  <c r="Q67" i="2"/>
  <c r="AA66" i="2" l="1"/>
  <c r="AB66" i="2" s="1"/>
  <c r="AA67" i="2"/>
  <c r="AB67" i="2" s="1"/>
  <c r="O68" i="2" a="1"/>
  <c r="O69" i="2" a="1"/>
  <c r="P69" i="2" a="1"/>
  <c r="P68" i="2" a="1"/>
  <c r="W68" i="2" l="1"/>
  <c r="Q69" i="2"/>
  <c r="W69" i="2"/>
  <c r="Q68" i="2"/>
  <c r="AA69" i="2" l="1"/>
  <c r="AB69" i="2" s="1"/>
  <c r="AA68" i="2"/>
  <c r="AB68" i="2" s="1"/>
  <c r="O71" i="2" l="1" a="1"/>
  <c r="O70" i="2" a="1"/>
  <c r="P70" i="2" a="1"/>
  <c r="P71" i="2" a="1"/>
  <c r="Q70" i="2" l="1"/>
  <c r="Q71" i="2"/>
  <c r="W71" i="2"/>
  <c r="W70" i="2"/>
  <c r="AA70" i="2" l="1"/>
  <c r="AB70" i="2" s="1"/>
  <c r="AA71" i="2"/>
  <c r="AB71" i="2" s="1"/>
  <c r="O74" i="2" a="1"/>
  <c r="P73" i="2" a="1"/>
  <c r="P74" i="2" a="1"/>
  <c r="P75" i="2" a="1"/>
  <c r="O72" i="2" a="1"/>
  <c r="O75" i="2" a="1"/>
  <c r="O73" i="2" a="1"/>
  <c r="P72" i="2" a="1"/>
  <c r="Q73" i="2" l="1"/>
  <c r="Q74" i="2"/>
  <c r="Q75" i="2"/>
  <c r="W72" i="2"/>
  <c r="W74" i="2"/>
  <c r="W75" i="2"/>
  <c r="W73" i="2"/>
  <c r="Q72" i="2"/>
  <c r="AA72" i="2" l="1"/>
  <c r="AB72" i="2" s="1"/>
  <c r="AA73" i="2"/>
  <c r="AB73" i="2" s="1"/>
  <c r="AA74" i="2"/>
  <c r="AB74" i="2" s="1"/>
  <c r="AA75" i="2"/>
  <c r="AB75" i="2" s="1"/>
  <c r="P81" i="2" a="1"/>
  <c r="O80" i="2" a="1"/>
  <c r="O76" i="2" l="1" a="1"/>
  <c r="P76" i="2" a="1"/>
  <c r="O79" i="2" a="1"/>
  <c r="O77" i="2" a="1"/>
  <c r="W77" i="2" s="1"/>
  <c r="P77" i="2" a="1"/>
  <c r="P79" i="2" a="1"/>
  <c r="P78" i="2" a="1"/>
  <c r="O78" i="2" a="1"/>
  <c r="P80" i="2" a="1"/>
  <c r="O81" i="2" a="1"/>
  <c r="Q76" i="2" l="1"/>
  <c r="Q79" i="2"/>
  <c r="Q78" i="2"/>
  <c r="W76" i="2"/>
  <c r="Q77" i="2"/>
  <c r="AA77" i="2" s="1"/>
  <c r="AB77" i="2" s="1"/>
  <c r="W78" i="2"/>
  <c r="W79" i="2"/>
  <c r="W80" i="2"/>
  <c r="Q80" i="2"/>
  <c r="Q81" i="2"/>
  <c r="W81" i="2"/>
  <c r="AA78" i="2" l="1"/>
  <c r="AB78" i="2" s="1"/>
  <c r="AA76" i="2"/>
  <c r="AB76" i="2" s="1"/>
  <c r="AA79" i="2"/>
  <c r="AB79" i="2" s="1"/>
  <c r="AA81" i="2"/>
  <c r="AB81" i="2" s="1"/>
  <c r="AA80" i="2"/>
  <c r="AB80" i="2" s="1"/>
  <c r="P82" i="2" l="1" a="1"/>
  <c r="O82" i="2" a="1"/>
  <c r="P85" i="2" a="1"/>
  <c r="P83" i="2" a="1"/>
  <c r="O84" i="2" a="1"/>
  <c r="P84" i="2" a="1"/>
  <c r="O83" i="2" a="1"/>
  <c r="O85" i="2" a="1"/>
  <c r="Q82" i="2" l="1"/>
  <c r="W83" i="2"/>
  <c r="W84" i="2"/>
  <c r="Q85" i="2"/>
  <c r="Q83" i="2"/>
  <c r="Q84" i="2"/>
  <c r="W85" i="2"/>
  <c r="W82" i="2"/>
  <c r="AA83" i="2" l="1"/>
  <c r="AB83" i="2" s="1"/>
  <c r="AA82" i="2"/>
  <c r="AB82" i="2" s="1"/>
  <c r="AA84" i="2"/>
  <c r="AB84" i="2" s="1"/>
  <c r="AA85" i="2"/>
  <c r="AB85" i="2" s="1"/>
  <c r="P86" i="2" a="1"/>
  <c r="O87" i="2" a="1"/>
  <c r="P87" i="2" a="1"/>
  <c r="O86" i="2" a="1"/>
  <c r="O89" i="2" a="1"/>
  <c r="P88" i="2" a="1"/>
  <c r="P89" i="2" a="1"/>
  <c r="O88" i="2" a="1"/>
  <c r="Q88" i="2" l="1"/>
  <c r="Q86" i="2"/>
  <c r="Q87" i="2"/>
  <c r="Q89" i="2"/>
  <c r="W86" i="2"/>
  <c r="W89" i="2"/>
  <c r="W88" i="2"/>
  <c r="W87" i="2"/>
  <c r="AA88" i="2" l="1"/>
  <c r="AB88" i="2" s="1"/>
  <c r="AA86" i="2"/>
  <c r="AB86" i="2" s="1"/>
  <c r="AA87" i="2"/>
  <c r="AB87" i="2" s="1"/>
  <c r="AA89" i="2"/>
  <c r="AB89" i="2" s="1"/>
  <c r="O93" i="2" l="1" a="1"/>
  <c r="O90" i="2" a="1"/>
  <c r="P93" i="2" a="1"/>
  <c r="Q93" i="2" s="1"/>
  <c r="P92" i="2" a="1"/>
  <c r="O91" i="2" a="1"/>
  <c r="W91" i="2" s="1"/>
  <c r="O92" i="2" a="1"/>
  <c r="P90" i="2" a="1"/>
  <c r="P91" i="2" a="1"/>
  <c r="Q90" i="2" l="1"/>
  <c r="W92" i="2"/>
  <c r="Q92" i="2"/>
  <c r="W93" i="2"/>
  <c r="AA93" i="2" s="1"/>
  <c r="AB93" i="2" s="1"/>
  <c r="Q91" i="2"/>
  <c r="AA91" i="2" s="1"/>
  <c r="AB91" i="2" s="1"/>
  <c r="W90" i="2"/>
  <c r="AA90" i="2" l="1"/>
  <c r="AB90" i="2" s="1"/>
  <c r="AA92" i="2"/>
  <c r="AB92" i="2" s="1"/>
  <c r="O96" i="2" a="1"/>
  <c r="P98" i="2" a="1"/>
  <c r="P97" i="2" a="1"/>
  <c r="P99" i="2" a="1"/>
  <c r="O95" i="2" a="1"/>
  <c r="P94" i="2" a="1"/>
  <c r="P96" i="2" a="1"/>
  <c r="O97" i="2" a="1"/>
  <c r="O94" i="2" a="1"/>
  <c r="P95" i="2" a="1"/>
  <c r="O98" i="2" a="1"/>
  <c r="O99" i="2" a="1"/>
  <c r="P101" i="2" a="1"/>
  <c r="O102" i="2" a="1"/>
  <c r="P102" i="2" a="1"/>
  <c r="O100" i="2" a="1"/>
  <c r="O101" i="2" a="1"/>
  <c r="P100" i="2" a="1"/>
  <c r="O103" i="2" a="1"/>
  <c r="P103" i="2" a="1"/>
  <c r="W95" i="2" l="1"/>
  <c r="Q94" i="2"/>
  <c r="W96" i="2"/>
  <c r="Q98" i="2"/>
  <c r="W97" i="2"/>
  <c r="Q99" i="2"/>
  <c r="W94" i="2"/>
  <c r="Q97" i="2"/>
  <c r="AA97" i="2" s="1"/>
  <c r="AB97" i="2" s="1"/>
  <c r="Q96" i="2"/>
  <c r="Q95" i="2"/>
  <c r="AA95" i="2" s="1"/>
  <c r="AB95" i="2" s="1"/>
  <c r="W98" i="2"/>
  <c r="AA98" i="2" s="1"/>
  <c r="AB98" i="2" s="1"/>
  <c r="W99" i="2"/>
  <c r="Q101" i="2"/>
  <c r="Q103" i="2"/>
  <c r="W102" i="2"/>
  <c r="W100" i="2"/>
  <c r="Q102" i="2"/>
  <c r="W101" i="2"/>
  <c r="Q100" i="2"/>
  <c r="W103" i="2"/>
  <c r="AA94" i="2" l="1"/>
  <c r="AB94" i="2" s="1"/>
  <c r="AA96" i="2"/>
  <c r="AB96" i="2" s="1"/>
  <c r="AA99" i="2"/>
  <c r="AB99" i="2" s="1"/>
  <c r="AA101" i="2"/>
  <c r="AB101" i="2" s="1"/>
  <c r="AA103" i="2"/>
  <c r="AB103" i="2" s="1"/>
  <c r="AA102" i="2"/>
  <c r="AB102" i="2" s="1"/>
  <c r="AA100" i="2"/>
  <c r="AB100" i="2" s="1"/>
  <c r="O106" i="2" a="1"/>
  <c r="P107" i="2" a="1"/>
  <c r="O107" i="2" a="1"/>
  <c r="P106" i="2" a="1"/>
  <c r="P105" i="2" a="1"/>
  <c r="O104" i="2" a="1"/>
  <c r="P104" i="2" a="1"/>
  <c r="O105" i="2" a="1"/>
  <c r="W107" i="2" l="1"/>
  <c r="W104" i="2"/>
  <c r="W105" i="2"/>
  <c r="Q106" i="2"/>
  <c r="W106" i="2"/>
  <c r="Q107" i="2"/>
  <c r="Q105" i="2"/>
  <c r="Q104" i="2"/>
  <c r="AA107" i="2" l="1"/>
  <c r="AB107" i="2" s="1"/>
  <c r="AA105" i="2"/>
  <c r="AB105" i="2" s="1"/>
  <c r="AA104" i="2"/>
  <c r="AB104" i="2" s="1"/>
  <c r="AA106" i="2"/>
  <c r="AB106" i="2" s="1"/>
  <c r="O110" i="2" a="1"/>
  <c r="P111" i="2" a="1"/>
  <c r="P110" i="2" a="1"/>
  <c r="O111" i="2" a="1"/>
  <c r="P109" i="2" l="1" a="1"/>
  <c r="P108" i="2" a="1"/>
  <c r="O108" i="2" a="1"/>
  <c r="O109" i="2" a="1"/>
  <c r="W110" i="2"/>
  <c r="Q111" i="2"/>
  <c r="Q110" i="2"/>
  <c r="W111" i="2"/>
  <c r="W109" i="2" l="1"/>
  <c r="W108" i="2"/>
  <c r="Q109" i="2"/>
  <c r="AA109" i="2" s="1"/>
  <c r="AB109" i="2" s="1"/>
  <c r="Q108" i="2"/>
  <c r="AA110" i="2"/>
  <c r="AB110" i="2" s="1"/>
  <c r="AA111" i="2"/>
  <c r="AB111" i="2" s="1"/>
  <c r="O113" i="2" a="1"/>
  <c r="P112" i="2" a="1"/>
  <c r="O112" i="2" a="1"/>
  <c r="P113" i="2" a="1"/>
  <c r="AA108" i="2" l="1"/>
  <c r="AB108" i="2" s="1"/>
  <c r="Q112" i="2"/>
  <c r="W113" i="2"/>
  <c r="W112" i="2"/>
  <c r="Q113" i="2"/>
  <c r="AA112" i="2" l="1"/>
  <c r="AB112" i="2" s="1"/>
  <c r="AA113" i="2"/>
  <c r="AB113" i="2" s="1"/>
  <c r="O114" i="2" l="1" a="1"/>
  <c r="P115" i="2" a="1"/>
  <c r="O115" i="2" a="1"/>
  <c r="P114" i="2" a="1"/>
  <c r="W114" i="2" l="1"/>
  <c r="W115" i="2"/>
  <c r="Q114" i="2"/>
  <c r="AA114" i="2" s="1"/>
  <c r="AB114" i="2" s="1"/>
  <c r="Q115" i="2"/>
  <c r="AA115" i="2" l="1"/>
  <c r="AB115" i="2" s="1"/>
  <c r="P118" i="2" a="1"/>
  <c r="O118" i="2" a="1"/>
  <c r="O119" i="2" a="1"/>
  <c r="P119" i="2" a="1"/>
  <c r="O117" i="2" a="1"/>
  <c r="P117" i="2" a="1"/>
  <c r="O116" i="2" a="1"/>
  <c r="P116" i="2" a="1"/>
  <c r="W116" i="2" l="1"/>
  <c r="W118" i="2"/>
  <c r="W119" i="2"/>
  <c r="W117" i="2"/>
  <c r="Q119" i="2"/>
  <c r="AA119" i="2" s="1"/>
  <c r="AB119" i="2" s="1"/>
  <c r="Q117" i="2"/>
  <c r="Q116" i="2"/>
  <c r="Q118" i="2"/>
  <c r="AA116" i="2" l="1"/>
  <c r="AB116" i="2" s="1"/>
  <c r="AA117" i="2"/>
  <c r="AB117" i="2" s="1"/>
  <c r="AA118" i="2"/>
  <c r="AB118" i="2" s="1"/>
  <c r="P123" i="2" a="1"/>
  <c r="O122" i="2" a="1"/>
  <c r="O123" i="2" a="1"/>
  <c r="P121" i="2" a="1"/>
  <c r="P120" i="2" a="1"/>
  <c r="O120" i="2" a="1"/>
  <c r="O121" i="2" a="1"/>
  <c r="P122" i="2" a="1"/>
  <c r="W120" i="2" l="1"/>
  <c r="W122" i="2"/>
  <c r="W123" i="2"/>
  <c r="W121" i="2"/>
  <c r="Q121" i="2"/>
  <c r="AA121" i="2" s="1"/>
  <c r="AB121" i="2" s="1"/>
  <c r="Q120" i="2"/>
  <c r="AA120" i="2" s="1"/>
  <c r="AB120" i="2" s="1"/>
  <c r="Q122" i="2"/>
  <c r="Q123" i="2"/>
  <c r="AA123" i="2" l="1"/>
  <c r="AB123" i="2" s="1"/>
  <c r="AA122" i="2"/>
  <c r="AB122" i="2" s="1"/>
  <c r="P127" i="2" a="1"/>
  <c r="O127" i="2" a="1"/>
  <c r="P125" i="2" a="1"/>
  <c r="P126" i="2" a="1"/>
  <c r="Q126" i="2" s="1"/>
  <c r="O124" i="2" a="1"/>
  <c r="O125" i="2" a="1"/>
  <c r="O126" i="2" a="1"/>
  <c r="P124" i="2" a="1"/>
  <c r="W127" i="2" l="1"/>
  <c r="Q125" i="2"/>
  <c r="W124" i="2"/>
  <c r="Q127" i="2"/>
  <c r="AA127" i="2" s="1"/>
  <c r="AB127" i="2" s="1"/>
  <c r="W125" i="2"/>
  <c r="W126" i="2"/>
  <c r="AA126" i="2" s="1"/>
  <c r="AB126" i="2" s="1"/>
  <c r="Q124" i="2"/>
  <c r="AA124" i="2" l="1"/>
  <c r="AB124" i="2" s="1"/>
  <c r="AA125" i="2"/>
  <c r="AB125" i="2" s="1"/>
  <c r="O129" i="2" a="1"/>
  <c r="O128" i="2" a="1"/>
  <c r="P129" i="2" a="1"/>
  <c r="P128" i="2" a="1"/>
  <c r="Q129" i="2" l="1"/>
  <c r="Q128" i="2"/>
  <c r="W128" i="2"/>
  <c r="AA128" i="2" s="1"/>
  <c r="AB128" i="2" s="1"/>
  <c r="W129" i="2"/>
  <c r="AA129" i="2" l="1"/>
  <c r="AB129" i="2" s="1"/>
  <c r="P132" i="2" a="1"/>
  <c r="O133" i="2" a="1"/>
  <c r="O132" i="2" a="1"/>
  <c r="P133" i="2" a="1"/>
  <c r="P131" i="2" a="1"/>
  <c r="P130" i="2" a="1"/>
  <c r="O130" i="2" a="1"/>
  <c r="O131" i="2" a="1"/>
  <c r="O134" i="2" a="1"/>
  <c r="O135" i="2" a="1"/>
  <c r="P134" i="2" a="1"/>
  <c r="P135" i="2" a="1"/>
  <c r="Q132" i="2" l="1"/>
  <c r="W134" i="2"/>
  <c r="Q135" i="2"/>
  <c r="W130" i="2"/>
  <c r="W133" i="2"/>
  <c r="W131" i="2"/>
  <c r="W132" i="2"/>
  <c r="Q131" i="2"/>
  <c r="Q133" i="2"/>
  <c r="Q130" i="2"/>
  <c r="W135" i="2"/>
  <c r="Q134" i="2"/>
  <c r="AA135" i="2" l="1"/>
  <c r="AB135" i="2" s="1"/>
  <c r="AA132" i="2"/>
  <c r="AB132" i="2" s="1"/>
  <c r="AA131" i="2"/>
  <c r="AB131" i="2" s="1"/>
  <c r="AA134" i="2"/>
  <c r="AB134" i="2" s="1"/>
  <c r="AA133" i="2"/>
  <c r="AB133" i="2" s="1"/>
  <c r="AA130" i="2"/>
  <c r="AB130" i="2" s="1"/>
  <c r="O136" i="2" a="1"/>
  <c r="P136" i="2" a="1"/>
  <c r="O137" i="2" a="1"/>
  <c r="P137" i="2" a="1"/>
  <c r="O139" i="2" a="1"/>
  <c r="O138" i="2" a="1"/>
  <c r="P139" i="2" a="1"/>
  <c r="P138" i="2" a="1"/>
  <c r="O141" i="2" a="1"/>
  <c r="P140" i="2" a="1"/>
  <c r="O140" i="2" a="1"/>
  <c r="P141" i="2" a="1"/>
  <c r="Q136" i="2" l="1"/>
  <c r="Q138" i="2"/>
  <c r="W137" i="2"/>
  <c r="Q139" i="2"/>
  <c r="W136" i="2"/>
  <c r="Q137" i="2"/>
  <c r="W139" i="2"/>
  <c r="W138" i="2"/>
  <c r="Q141" i="2"/>
  <c r="Q140" i="2"/>
  <c r="W140" i="2"/>
  <c r="W141" i="2"/>
  <c r="AA136" i="2" l="1"/>
  <c r="AB136" i="2" s="1"/>
  <c r="AA138" i="2"/>
  <c r="AB138" i="2" s="1"/>
  <c r="AA137" i="2"/>
  <c r="AB137" i="2" s="1"/>
  <c r="AA139" i="2"/>
  <c r="AB139" i="2" s="1"/>
  <c r="AA141" i="2"/>
  <c r="AB141" i="2" s="1"/>
  <c r="AA140" i="2"/>
  <c r="AB140" i="2" s="1"/>
  <c r="P145" i="2" a="1"/>
  <c r="O145" i="2" a="1"/>
  <c r="O144" i="2" a="1"/>
  <c r="P144" i="2" a="1"/>
  <c r="P142" i="2" l="1" a="1"/>
  <c r="O142" i="2" a="1"/>
  <c r="P143" i="2" a="1"/>
  <c r="O143" i="2" a="1"/>
  <c r="Q145" i="2"/>
  <c r="W144" i="2"/>
  <c r="W145" i="2"/>
  <c r="Q144" i="2"/>
  <c r="W142" i="2" l="1"/>
  <c r="Q143" i="2"/>
  <c r="Q142" i="2"/>
  <c r="W143" i="2"/>
  <c r="AA145" i="2"/>
  <c r="AB145" i="2" s="1"/>
  <c r="AA144" i="2"/>
  <c r="AB144" i="2" s="1"/>
  <c r="AA142" i="2" l="1"/>
  <c r="AB142" i="2" s="1"/>
  <c r="AA143" i="2"/>
  <c r="AB143" i="2" s="1"/>
  <c r="O147" i="2" a="1"/>
  <c r="P146" i="2" a="1"/>
  <c r="P147" i="2" a="1"/>
  <c r="O146" i="2" a="1"/>
  <c r="W147" i="2" l="1"/>
  <c r="W146" i="2"/>
  <c r="Q146" i="2"/>
  <c r="Q147" i="2"/>
  <c r="AA146" i="2" l="1"/>
  <c r="AB146" i="2" s="1"/>
  <c r="AA147" i="2"/>
  <c r="AB147" i="2" s="1"/>
  <c r="P149" i="2" a="1"/>
  <c r="O149" i="2" a="1"/>
  <c r="P148" i="2" a="1"/>
  <c r="O148" i="2" a="1"/>
  <c r="W149" i="2" l="1"/>
  <c r="W148" i="2"/>
  <c r="Q149" i="2"/>
  <c r="O151" i="2" a="1"/>
  <c r="P150" i="2" a="1"/>
  <c r="Q148" i="2"/>
  <c r="AA149" i="2" l="1"/>
  <c r="AB149" i="2" s="1"/>
  <c r="O150" i="2" s="1" a="1"/>
  <c r="AA148" i="2"/>
  <c r="AB148" i="2" s="1"/>
  <c r="P151" i="2" a="1"/>
  <c r="Q151" i="2" l="1"/>
  <c r="W151" i="2"/>
  <c r="Q150" i="2"/>
  <c r="W150" i="2"/>
  <c r="AA151" i="2" l="1"/>
  <c r="AB151" i="2" s="1"/>
  <c r="AA150" i="2"/>
  <c r="AB150" i="2" s="1"/>
  <c r="P153" i="2" l="1" a="1"/>
  <c r="O152" i="2" a="1"/>
  <c r="P152" i="2" a="1"/>
  <c r="O153" i="2" a="1"/>
  <c r="Q153" i="2" l="1"/>
  <c r="W152" i="2"/>
  <c r="Q152" i="2"/>
  <c r="W153" i="2"/>
  <c r="AA153" i="2" s="1"/>
  <c r="AB153" i="2" s="1"/>
  <c r="AA152" i="2" l="1"/>
  <c r="AB152" i="2" s="1"/>
  <c r="O156" i="2" a="1"/>
  <c r="P156" i="2" a="1"/>
  <c r="Q156" i="2" s="1"/>
  <c r="O155" i="2" a="1"/>
  <c r="P154" i="2" a="1"/>
  <c r="P155" i="2" a="1"/>
  <c r="O154" i="2" a="1"/>
  <c r="O158" i="2" a="1"/>
  <c r="P158" i="2" a="1"/>
  <c r="O159" i="2" a="1"/>
  <c r="P159" i="2" a="1"/>
  <c r="P157" i="2" a="1"/>
  <c r="O157" i="2" a="1"/>
  <c r="W157" i="2" s="1"/>
  <c r="Q158" i="2" l="1"/>
  <c r="Q155" i="2"/>
  <c r="W154" i="2"/>
  <c r="Q159" i="2"/>
  <c r="W156" i="2"/>
  <c r="AA156" i="2" s="1"/>
  <c r="AB156" i="2" s="1"/>
  <c r="Q154" i="2"/>
  <c r="W158" i="2"/>
  <c r="AA158" i="2" s="1"/>
  <c r="AB158" i="2" s="1"/>
  <c r="W159" i="2"/>
  <c r="Q157" i="2"/>
  <c r="AA157" i="2" s="1"/>
  <c r="AB157" i="2" s="1"/>
  <c r="W155" i="2"/>
  <c r="AA154" i="2" l="1"/>
  <c r="AB154" i="2" s="1"/>
  <c r="AA159" i="2"/>
  <c r="AB159" i="2" s="1"/>
  <c r="AA155" i="2"/>
  <c r="AB155" i="2" s="1"/>
  <c r="O160" i="2" a="1"/>
  <c r="O161" i="2" a="1"/>
  <c r="P161" i="2" a="1"/>
  <c r="P160" i="2" a="1"/>
  <c r="W160" i="2" l="1"/>
  <c r="W161" i="2"/>
  <c r="Q160" i="2"/>
  <c r="AA160" i="2" s="1"/>
  <c r="AB160" i="2" s="1"/>
  <c r="Q161" i="2"/>
  <c r="P168" i="2" a="1"/>
  <c r="O168" i="2" a="1"/>
  <c r="P169" i="2" a="1"/>
  <c r="O169" i="2" a="1"/>
  <c r="AA161" i="2" l="1"/>
  <c r="AB161" i="2" s="1"/>
  <c r="O166" i="2" a="1"/>
  <c r="O167" i="2" a="1"/>
  <c r="P167" i="2" a="1"/>
  <c r="P166" i="2" a="1"/>
  <c r="P165" i="2" a="1"/>
  <c r="O162" i="2" a="1"/>
  <c r="P163" i="2" a="1"/>
  <c r="O163" i="2" a="1"/>
  <c r="O165" i="2" a="1"/>
  <c r="W165" i="2" s="1"/>
  <c r="P162" i="2" a="1"/>
  <c r="O164" i="2" a="1"/>
  <c r="P164" i="2" a="1"/>
  <c r="W168" i="2"/>
  <c r="W169" i="2"/>
  <c r="Q168" i="2"/>
  <c r="Q169" i="2"/>
  <c r="Q166" i="2" l="1"/>
  <c r="Q164" i="2"/>
  <c r="W167" i="2"/>
  <c r="Q167" i="2"/>
  <c r="AA167" i="2" s="1"/>
  <c r="AB167" i="2" s="1"/>
  <c r="W163" i="2"/>
  <c r="Q162" i="2"/>
  <c r="W166" i="2"/>
  <c r="AA166" i="2" s="1"/>
  <c r="AB166" i="2" s="1"/>
  <c r="Q165" i="2"/>
  <c r="AA165" i="2" s="1"/>
  <c r="AB165" i="2" s="1"/>
  <c r="W162" i="2"/>
  <c r="Q163" i="2"/>
  <c r="W164" i="2"/>
  <c r="AA168" i="2"/>
  <c r="AB168" i="2" s="1"/>
  <c r="AA169" i="2"/>
  <c r="AB169" i="2" s="1"/>
  <c r="AA163" i="2" l="1"/>
  <c r="AB163" i="2" s="1"/>
  <c r="AA164" i="2"/>
  <c r="AB164" i="2" s="1"/>
  <c r="AA162" i="2"/>
  <c r="AB162" i="2" s="1"/>
  <c r="P170" i="2" a="1"/>
  <c r="Q170" i="2" s="1"/>
  <c r="O171" i="2" a="1"/>
  <c r="P171" i="2" a="1"/>
  <c r="O170" i="2" a="1"/>
  <c r="W171" i="2" l="1"/>
  <c r="Q171" i="2"/>
  <c r="W170" i="2"/>
  <c r="AA170" i="2" s="1"/>
  <c r="AB170" i="2" s="1"/>
  <c r="AA171" i="2" l="1"/>
  <c r="AB171" i="2" s="1"/>
  <c r="O172" i="2" a="1"/>
  <c r="P172" i="2" a="1"/>
  <c r="O173" i="2" a="1"/>
  <c r="P173" i="2" a="1"/>
  <c r="P174" i="2" a="1"/>
  <c r="P175" i="2" a="1"/>
  <c r="O174" i="2" a="1"/>
  <c r="O175" i="2" a="1"/>
  <c r="W173" i="2" l="1"/>
  <c r="Q172" i="2"/>
  <c r="Q174" i="2"/>
  <c r="Q175" i="2"/>
  <c r="W172" i="2"/>
  <c r="Q173" i="2"/>
  <c r="AA173" i="2" s="1"/>
  <c r="AB173" i="2" s="1"/>
  <c r="W174" i="2"/>
  <c r="W175" i="2"/>
  <c r="P180" i="2" a="1"/>
  <c r="O181" i="2" a="1"/>
  <c r="AA172" i="2" l="1"/>
  <c r="AB172" i="2" s="1"/>
  <c r="AA174" i="2"/>
  <c r="AB174" i="2" s="1"/>
  <c r="AA175" i="2"/>
  <c r="AB175" i="2" s="1"/>
  <c r="P177" i="2" a="1"/>
  <c r="O176" i="2" a="1"/>
  <c r="O177" i="2" a="1"/>
  <c r="P176" i="2" a="1"/>
  <c r="P178" i="2" a="1"/>
  <c r="O179" i="2" a="1"/>
  <c r="O178" i="2" a="1"/>
  <c r="P179" i="2" a="1"/>
  <c r="P181" i="2" l="1" a="1"/>
  <c r="O180" i="2" a="1"/>
  <c r="W179" i="2"/>
  <c r="Q176" i="2"/>
  <c r="Q177" i="2"/>
  <c r="W178" i="2"/>
  <c r="Q178" i="2"/>
  <c r="Q179" i="2"/>
  <c r="W176" i="2"/>
  <c r="W177" i="2"/>
  <c r="AA178" i="2" l="1"/>
  <c r="AB178" i="2" s="1"/>
  <c r="AA179" i="2"/>
  <c r="AB179" i="2" s="1"/>
  <c r="W181" i="2"/>
  <c r="Q181" i="2"/>
  <c r="W180" i="2"/>
  <c r="Q180" i="2"/>
  <c r="AA176" i="2"/>
  <c r="AB176" i="2" s="1"/>
  <c r="AA177" i="2"/>
  <c r="AB177" i="2" s="1"/>
  <c r="P182" i="2" a="1"/>
  <c r="O183" i="2" a="1"/>
  <c r="P183" i="2" a="1"/>
  <c r="O182" i="2" a="1"/>
  <c r="P186" i="2" a="1"/>
  <c r="O187" i="2" a="1"/>
  <c r="P184" i="2" a="1"/>
  <c r="P185" i="2" a="1"/>
  <c r="O184" i="2" a="1"/>
  <c r="O185" i="2" a="1"/>
  <c r="P187" i="2" a="1"/>
  <c r="O186" i="2" a="1"/>
  <c r="AA181" i="2" l="1"/>
  <c r="AB181" i="2" s="1"/>
  <c r="AA180" i="2"/>
  <c r="AB180" i="2" s="1"/>
  <c r="W185" i="2"/>
  <c r="W182" i="2"/>
  <c r="Q187" i="2"/>
  <c r="Q183" i="2"/>
  <c r="W184" i="2"/>
  <c r="W186" i="2"/>
  <c r="W183" i="2"/>
  <c r="Q186" i="2"/>
  <c r="W187" i="2"/>
  <c r="Q185" i="2"/>
  <c r="Q182" i="2"/>
  <c r="Q184" i="2"/>
  <c r="P188" i="2" a="1"/>
  <c r="O189" i="2" a="1"/>
  <c r="P189" i="2" a="1"/>
  <c r="O188" i="2" a="1"/>
  <c r="AA185" i="2" l="1"/>
  <c r="AB185" i="2" s="1"/>
  <c r="AA182" i="2"/>
  <c r="AB182" i="2" s="1"/>
  <c r="AA187" i="2"/>
  <c r="AB187" i="2" s="1"/>
  <c r="AA184" i="2"/>
  <c r="AB184" i="2" s="1"/>
  <c r="AA183" i="2"/>
  <c r="AB183" i="2" s="1"/>
  <c r="AA186" i="2"/>
  <c r="AB186" i="2" s="1"/>
  <c r="W188" i="2"/>
  <c r="Q189" i="2"/>
  <c r="W189" i="2"/>
  <c r="Q188" i="2"/>
  <c r="AA188" i="2" l="1"/>
  <c r="AB188" i="2" s="1"/>
  <c r="AA189" i="2"/>
  <c r="AB189" i="2" s="1"/>
  <c r="O190" i="2" l="1" a="1"/>
  <c r="W190" i="2" s="1"/>
  <c r="O191" i="2" a="1"/>
  <c r="P191" i="2" a="1"/>
  <c r="P190" i="2" a="1"/>
  <c r="P192" i="2" a="1"/>
  <c r="O192" i="2" a="1"/>
  <c r="O193" i="2" a="1"/>
  <c r="P193" i="2" a="1"/>
  <c r="W191" i="2" l="1"/>
  <c r="Q191" i="2"/>
  <c r="AA191" i="2" s="1"/>
  <c r="AB191" i="2" s="1"/>
  <c r="Q190" i="2"/>
  <c r="AA190" i="2" s="1"/>
  <c r="AB190" i="2" s="1"/>
  <c r="Q192" i="2"/>
  <c r="Q193" i="2"/>
  <c r="W192" i="2"/>
  <c r="W193" i="2"/>
  <c r="P195" i="2" a="1"/>
  <c r="O194" i="2" a="1"/>
  <c r="P194" i="2" a="1"/>
  <c r="O195" i="2" a="1"/>
  <c r="AA192" i="2" l="1"/>
  <c r="AB192" i="2" s="1"/>
  <c r="AA193" i="2"/>
  <c r="AB193" i="2" s="1"/>
  <c r="W194" i="2"/>
  <c r="Q195" i="2"/>
  <c r="Q194" i="2"/>
  <c r="W195" i="2"/>
  <c r="AA195" i="2" l="1"/>
  <c r="AB195" i="2" s="1"/>
  <c r="AA194" i="2"/>
  <c r="AB194" i="2" s="1"/>
  <c r="O197" i="2" a="1"/>
  <c r="O196" i="2" a="1"/>
  <c r="P196" i="2" a="1"/>
  <c r="P197" i="2" a="1"/>
  <c r="W196" i="2" l="1"/>
  <c r="Q197" i="2"/>
  <c r="W197" i="2"/>
  <c r="Q196" i="2"/>
  <c r="AA196" i="2" l="1"/>
  <c r="AB196" i="2" s="1"/>
  <c r="AA197" i="2"/>
  <c r="AB197" i="2" s="1"/>
  <c r="O198" i="2" l="1" a="1"/>
  <c r="P201" i="2" a="1"/>
  <c r="P199" i="2" a="1"/>
  <c r="O199" i="2" a="1"/>
  <c r="O201" i="2" a="1"/>
  <c r="P198" i="2" a="1"/>
  <c r="P200" i="2" a="1"/>
  <c r="O200" i="2" a="1"/>
  <c r="Q198" i="2" l="1"/>
  <c r="W200" i="2"/>
  <c r="W199" i="2"/>
  <c r="W201" i="2"/>
  <c r="W198" i="2"/>
  <c r="Q201" i="2"/>
  <c r="Q199" i="2"/>
  <c r="Q200" i="2"/>
  <c r="AA200" i="2" l="1"/>
  <c r="AB200" i="2" s="1"/>
  <c r="AA198" i="2"/>
  <c r="AB198" i="2" s="1"/>
  <c r="AA199" i="2"/>
  <c r="AB199" i="2" s="1"/>
  <c r="AA201" i="2"/>
  <c r="AB201" i="2" s="1"/>
  <c r="O202" i="2" l="1" a="1"/>
  <c r="P203" i="2" a="1"/>
  <c r="O203" i="2" a="1"/>
  <c r="P202" i="2" a="1"/>
  <c r="P204" i="2" a="1"/>
  <c r="P205" i="2" a="1"/>
  <c r="O204" i="2" a="1"/>
  <c r="O205" i="2" a="1"/>
  <c r="Q203" i="2" l="1"/>
  <c r="W202" i="2"/>
  <c r="W203" i="2"/>
  <c r="Q202" i="2"/>
  <c r="Q205" i="2"/>
  <c r="W204" i="2"/>
  <c r="Q204" i="2"/>
  <c r="W205" i="2"/>
  <c r="AA203" i="2" l="1"/>
  <c r="AB203" i="2" s="1"/>
  <c r="AA202" i="2"/>
  <c r="AB202" i="2" s="1"/>
  <c r="AA204" i="2"/>
  <c r="AB204" i="2" s="1"/>
  <c r="AA205" i="2"/>
  <c r="AB205" i="2" s="1"/>
  <c r="P208" i="2" l="1" a="1"/>
  <c r="O207" i="2" a="1"/>
  <c r="P207" i="2" a="1"/>
  <c r="P206" i="2" a="1"/>
  <c r="P209" i="2" a="1"/>
  <c r="O206" i="2" a="1"/>
  <c r="O208" i="2" a="1"/>
  <c r="O209" i="2" a="1"/>
  <c r="W207" i="2" l="1"/>
  <c r="Q209" i="2"/>
  <c r="W206" i="2"/>
  <c r="W208" i="2"/>
  <c r="Q208" i="2"/>
  <c r="Q207" i="2"/>
  <c r="Q206" i="2"/>
  <c r="W209" i="2"/>
  <c r="AA207" i="2" l="1"/>
  <c r="AB207" i="2" s="1"/>
  <c r="AA208" i="2"/>
  <c r="AB208" i="2" s="1"/>
  <c r="AA209" i="2"/>
  <c r="AB209" i="2" s="1"/>
  <c r="AA206" i="2"/>
  <c r="AB206" i="2" s="1"/>
  <c r="P211" i="2" a="1"/>
  <c r="O211" i="2" a="1"/>
  <c r="O210" i="2" a="1"/>
  <c r="P210" i="2" a="1"/>
  <c r="W211" i="2" l="1"/>
  <c r="W210" i="2"/>
  <c r="Q210" i="2"/>
  <c r="Q211" i="2"/>
  <c r="AA211" i="2" l="1"/>
  <c r="AB211" i="2" s="1"/>
  <c r="AA210" i="2"/>
  <c r="AB210" i="2" s="1"/>
  <c r="P213" i="2" l="1" a="1"/>
  <c r="O213" i="2" a="1"/>
  <c r="O212" i="2" a="1"/>
  <c r="P212" i="2" a="1"/>
  <c r="O214" i="2" a="1"/>
  <c r="P214" i="2" a="1"/>
  <c r="O215" i="2" a="1"/>
  <c r="P215" i="2" a="1"/>
  <c r="Q212" i="2" l="1"/>
  <c r="W213" i="2"/>
  <c r="Q213" i="2"/>
  <c r="W212" i="2"/>
  <c r="Q214" i="2"/>
  <c r="Q215" i="2"/>
  <c r="W214" i="2"/>
  <c r="W215" i="2"/>
  <c r="AA212" i="2" l="1"/>
  <c r="AB212" i="2" s="1"/>
  <c r="AA213" i="2"/>
  <c r="AB213" i="2" s="1"/>
  <c r="AA214" i="2"/>
  <c r="AB214" i="2" s="1"/>
  <c r="AA215" i="2"/>
  <c r="AB215" i="2" s="1"/>
  <c r="O216" i="2" l="1" a="1"/>
  <c r="P216" i="2" a="1"/>
  <c r="Q216" i="2" s="1"/>
  <c r="P217" i="2" a="1"/>
  <c r="O217" i="2" a="1"/>
  <c r="O221" i="2" a="1"/>
  <c r="O220" i="2" a="1"/>
  <c r="P219" i="2" a="1"/>
  <c r="O218" i="2" a="1"/>
  <c r="O219" i="2" a="1"/>
  <c r="P221" i="2" a="1"/>
  <c r="P220" i="2" a="1"/>
  <c r="P218" i="2" a="1"/>
  <c r="P223" i="2" a="1"/>
  <c r="P222" i="2" a="1"/>
  <c r="O222" i="2" a="1"/>
  <c r="O223" i="2" a="1"/>
  <c r="W217" i="2" l="1"/>
  <c r="W216" i="2"/>
  <c r="AA216" i="2" s="1"/>
  <c r="AB216" i="2" s="1"/>
  <c r="Q217" i="2"/>
  <c r="W219" i="2"/>
  <c r="W220" i="2"/>
  <c r="Q218" i="2"/>
  <c r="W221" i="2"/>
  <c r="Q223" i="2"/>
  <c r="W222" i="2"/>
  <c r="Q219" i="2"/>
  <c r="W218" i="2"/>
  <c r="Q221" i="2"/>
  <c r="Q220" i="2"/>
  <c r="Q222" i="2"/>
  <c r="W223" i="2"/>
  <c r="AA217" i="2" l="1"/>
  <c r="AB217" i="2" s="1"/>
  <c r="AA219" i="2"/>
  <c r="AB219" i="2" s="1"/>
  <c r="AA218" i="2"/>
  <c r="AB218" i="2" s="1"/>
  <c r="AA220" i="2"/>
  <c r="AB220" i="2" s="1"/>
  <c r="AA221" i="2"/>
  <c r="AB221" i="2" s="1"/>
  <c r="AA223" i="2"/>
  <c r="AB223" i="2" s="1"/>
  <c r="AA222" i="2"/>
  <c r="AB222" i="2" s="1"/>
  <c r="P225" i="2" a="1"/>
  <c r="O225" i="2" a="1"/>
  <c r="P224" i="2" a="1"/>
  <c r="O224" i="2" a="1"/>
  <c r="Q225" i="2" l="1"/>
  <c r="W224" i="2"/>
  <c r="W225" i="2"/>
  <c r="Q224" i="2"/>
  <c r="AA225" i="2" l="1"/>
  <c r="AB225" i="2" s="1"/>
  <c r="AA224" i="2"/>
  <c r="AB224" i="2" s="1"/>
  <c r="O228" i="2" a="1"/>
  <c r="O227" i="2" a="1"/>
  <c r="P226" i="2" a="1"/>
  <c r="P227" i="2" a="1"/>
  <c r="O226" i="2" a="1"/>
  <c r="O229" i="2" a="1"/>
  <c r="P229" i="2" a="1"/>
  <c r="P228" i="2" a="1"/>
  <c r="Q226" i="2" l="1"/>
  <c r="W228" i="2"/>
  <c r="Q227" i="2"/>
  <c r="Q229" i="2"/>
  <c r="W227" i="2"/>
  <c r="W226" i="2"/>
  <c r="W229" i="2"/>
  <c r="Q228" i="2"/>
  <c r="AA229" i="2" l="1"/>
  <c r="AB229" i="2" s="1"/>
  <c r="AA227" i="2"/>
  <c r="AB227" i="2" s="1"/>
  <c r="AA226" i="2"/>
  <c r="AB226" i="2" s="1"/>
  <c r="AA228" i="2"/>
  <c r="AB228" i="2" s="1"/>
  <c r="P230" i="2" a="1"/>
  <c r="P232" i="2" a="1"/>
  <c r="P233" i="2" a="1"/>
  <c r="O232" i="2" a="1"/>
  <c r="O231" i="2" a="1"/>
  <c r="P231" i="2" a="1"/>
  <c r="O230" i="2" a="1"/>
  <c r="O233" i="2" a="1"/>
  <c r="W232" i="2" l="1"/>
  <c r="Q233" i="2"/>
  <c r="W231" i="2"/>
  <c r="Q231" i="2"/>
  <c r="W230" i="2"/>
  <c r="Q230" i="2"/>
  <c r="W233" i="2"/>
  <c r="Q232" i="2"/>
  <c r="AA230" i="2" l="1"/>
  <c r="AB230" i="2" s="1"/>
  <c r="AA232" i="2"/>
  <c r="AB232" i="2" s="1"/>
  <c r="AA231" i="2"/>
  <c r="AB231" i="2" s="1"/>
  <c r="AA233" i="2"/>
  <c r="AB233" i="2" s="1"/>
  <c r="O234" i="2" a="1"/>
  <c r="P235" i="2" a="1"/>
  <c r="P234" i="2" a="1"/>
  <c r="O235" i="2" a="1"/>
  <c r="W234" i="2" l="1"/>
  <c r="Q235" i="2"/>
  <c r="Q234" i="2"/>
  <c r="W235" i="2"/>
  <c r="AA234" i="2" l="1"/>
  <c r="AB234" i="2" s="1"/>
  <c r="AA235" i="2"/>
  <c r="AB235" i="2" s="1"/>
  <c r="O236" i="2" l="1" a="1"/>
  <c r="O237" i="2" a="1"/>
  <c r="P236" i="2" a="1"/>
  <c r="P237" i="2" a="1"/>
  <c r="W237" i="2" l="1"/>
  <c r="Q236" i="2"/>
  <c r="W236" i="2"/>
  <c r="Q237" i="2"/>
  <c r="P240" i="2" a="1"/>
  <c r="O241" i="2" a="1"/>
  <c r="P241" i="2" a="1"/>
  <c r="O240" i="2" a="1"/>
  <c r="O239" i="2" a="1"/>
  <c r="P239" i="2" a="1"/>
  <c r="O238" i="2" a="1"/>
  <c r="P238" i="2" a="1"/>
  <c r="AA236" i="2" l="1"/>
  <c r="AB236" i="2" s="1"/>
  <c r="AA237" i="2"/>
  <c r="AB237" i="2" s="1"/>
  <c r="W241" i="2"/>
  <c r="Q239" i="2"/>
  <c r="Q238" i="2"/>
  <c r="Q240" i="2"/>
  <c r="Q241" i="2"/>
  <c r="W240" i="2"/>
  <c r="W239" i="2"/>
  <c r="W238" i="2"/>
  <c r="AA241" i="2" l="1"/>
  <c r="AB241" i="2" s="1"/>
  <c r="AA240" i="2"/>
  <c r="AB240" i="2" s="1"/>
  <c r="AA238" i="2"/>
  <c r="AB238" i="2" s="1"/>
  <c r="AA239" i="2"/>
  <c r="AB239" i="2" s="1"/>
  <c r="O246" i="2" a="1"/>
  <c r="P247" i="2" a="1"/>
  <c r="O247" i="2" a="1"/>
  <c r="P246" i="2" a="1"/>
  <c r="P242" i="2" l="1" a="1"/>
  <c r="P245" i="2" a="1"/>
  <c r="O243" i="2" a="1"/>
  <c r="O242" i="2" a="1"/>
  <c r="O245" i="2" a="1"/>
  <c r="P244" i="2" a="1"/>
  <c r="O244" i="2" a="1"/>
  <c r="P243" i="2" a="1"/>
  <c r="W246" i="2"/>
  <c r="W247" i="2"/>
  <c r="Q247" i="2"/>
  <c r="Q246" i="2"/>
  <c r="Q242" i="2" l="1"/>
  <c r="Q243" i="2"/>
  <c r="Q245" i="2"/>
  <c r="Q244" i="2"/>
  <c r="W243" i="2"/>
  <c r="AA243" i="2" s="1"/>
  <c r="AB243" i="2" s="1"/>
  <c r="W242" i="2"/>
  <c r="AA242" i="2" s="1"/>
  <c r="AB242" i="2" s="1"/>
  <c r="W245" i="2"/>
  <c r="W244" i="2"/>
  <c r="AA247" i="2"/>
  <c r="AB247" i="2" s="1"/>
  <c r="AA246" i="2"/>
  <c r="AB246" i="2" s="1"/>
  <c r="O252" i="2" a="1"/>
  <c r="O253" i="2" a="1"/>
  <c r="P251" i="2" a="1"/>
  <c r="O250" i="2" a="1"/>
  <c r="P253" i="2" a="1"/>
  <c r="P252" i="2" a="1"/>
  <c r="O251" i="2" a="1"/>
  <c r="P250" i="2" a="1"/>
  <c r="AA245" i="2" l="1"/>
  <c r="AB245" i="2" s="1"/>
  <c r="AA244" i="2"/>
  <c r="AB244" i="2" s="1"/>
  <c r="P249" i="2" a="1"/>
  <c r="O248" i="2" a="1"/>
  <c r="P255" i="2" a="1"/>
  <c r="O249" i="2" a="1"/>
  <c r="W249" i="2" s="1"/>
  <c r="P248" i="2" a="1"/>
  <c r="O254" i="2" a="1"/>
  <c r="O255" i="2" a="1"/>
  <c r="P254" i="2" a="1"/>
  <c r="W251" i="2"/>
  <c r="Q253" i="2"/>
  <c r="Q250" i="2"/>
  <c r="W252" i="2"/>
  <c r="W253" i="2"/>
  <c r="Q251" i="2"/>
  <c r="W250" i="2"/>
  <c r="Q252" i="2"/>
  <c r="P256" i="2" a="1"/>
  <c r="O256" i="2" a="1"/>
  <c r="P257" i="2" a="1"/>
  <c r="O257" i="2" a="1"/>
  <c r="W248" i="2" l="1"/>
  <c r="Q255" i="2"/>
  <c r="Q254" i="2"/>
  <c r="Q249" i="2"/>
  <c r="AA249" i="2" s="1"/>
  <c r="AB249" i="2" s="1"/>
  <c r="Q248" i="2"/>
  <c r="AA248" i="2" s="1"/>
  <c r="AB248" i="2" s="1"/>
  <c r="W255" i="2"/>
  <c r="AA255" i="2" s="1"/>
  <c r="AB255" i="2" s="1"/>
  <c r="W254" i="2"/>
  <c r="AA251" i="2"/>
  <c r="AB251" i="2" s="1"/>
  <c r="AA253" i="2"/>
  <c r="AB253" i="2" s="1"/>
  <c r="AA250" i="2"/>
  <c r="AB250" i="2" s="1"/>
  <c r="AA252" i="2"/>
  <c r="AB252" i="2" s="1"/>
  <c r="Q256" i="2"/>
  <c r="W257" i="2"/>
  <c r="W256" i="2"/>
  <c r="Q257" i="2"/>
  <c r="AA254" i="2" l="1"/>
  <c r="AB254" i="2" s="1"/>
  <c r="AA256" i="2"/>
  <c r="AB256" i="2" s="1"/>
  <c r="AA257" i="2"/>
  <c r="AB257" i="2" s="1"/>
  <c r="P258" i="2" l="1" a="1"/>
  <c r="O259" i="2" a="1"/>
  <c r="O258" i="2" a="1"/>
  <c r="P259" i="2" a="1"/>
  <c r="Q259" i="2" l="1"/>
  <c r="Q258" i="2"/>
  <c r="W259" i="2"/>
  <c r="W258" i="2"/>
  <c r="AA259" i="2" l="1"/>
  <c r="AB259" i="2" s="1"/>
  <c r="AA258" i="2"/>
  <c r="AB258" i="2" s="1"/>
  <c r="P261" i="2" l="1" a="1"/>
  <c r="O260" i="2" a="1"/>
  <c r="P260" i="2" a="1"/>
  <c r="O261" i="2" a="1"/>
  <c r="O263" i="2" a="1"/>
  <c r="W263" i="2" s="1"/>
  <c r="P263" i="2" a="1"/>
  <c r="O262" i="2" a="1"/>
  <c r="P262" i="2" a="1"/>
  <c r="W260" i="2" l="1"/>
  <c r="Q263" i="2"/>
  <c r="AA263" i="2" s="1"/>
  <c r="AB263" i="2" s="1"/>
  <c r="W262" i="2"/>
  <c r="W261" i="2"/>
  <c r="Q261" i="2"/>
  <c r="Q260" i="2"/>
  <c r="Q262" i="2"/>
  <c r="P265" i="2" a="1"/>
  <c r="P264" i="2" a="1"/>
  <c r="O265" i="2" a="1"/>
  <c r="O264" i="2" a="1"/>
  <c r="AA262" i="2" l="1"/>
  <c r="AB262" i="2" s="1"/>
  <c r="AA260" i="2"/>
  <c r="AB260" i="2" s="1"/>
  <c r="AA261" i="2"/>
  <c r="AB261" i="2" s="1"/>
  <c r="W265" i="2"/>
  <c r="W264" i="2"/>
  <c r="Q265" i="2"/>
  <c r="Q264" i="2"/>
  <c r="AA265" i="2" l="1"/>
  <c r="AB265" i="2" s="1"/>
  <c r="AA264" i="2"/>
  <c r="AB264" i="2" s="1"/>
  <c r="O269" i="2" l="1" a="1"/>
  <c r="O268" i="2" a="1"/>
  <c r="P268" i="2" a="1"/>
  <c r="P269" i="2" a="1"/>
  <c r="P267" i="2" a="1"/>
  <c r="Q267" i="2" s="1"/>
  <c r="O267" i="2" a="1"/>
  <c r="O266" i="2" a="1"/>
  <c r="P266" i="2" a="1"/>
  <c r="Q268" i="2" l="1"/>
  <c r="Q269" i="2"/>
  <c r="W266" i="2"/>
  <c r="W269" i="2"/>
  <c r="W268" i="2"/>
  <c r="W267" i="2"/>
  <c r="AA267" i="2" s="1"/>
  <c r="AB267" i="2" s="1"/>
  <c r="Q266" i="2"/>
  <c r="AA268" i="2" l="1"/>
  <c r="AB268" i="2" s="1"/>
  <c r="AA269" i="2"/>
  <c r="AB269" i="2" s="1"/>
  <c r="AA266" i="2"/>
  <c r="AB266" i="2" s="1"/>
  <c r="O271" i="2" a="1"/>
  <c r="O270" i="2" a="1"/>
  <c r="P270" i="2" a="1"/>
  <c r="Q270" i="2" s="1"/>
  <c r="P271" i="2" a="1"/>
  <c r="O272" i="2" a="1"/>
  <c r="P273" i="2" a="1"/>
  <c r="P272" i="2" a="1"/>
  <c r="Q272" i="2" s="1"/>
  <c r="P275" i="2" a="1"/>
  <c r="P274" i="2" a="1"/>
  <c r="O275" i="2" a="1"/>
  <c r="O274" i="2" a="1"/>
  <c r="O273" i="2" a="1"/>
  <c r="W271" i="2" l="1"/>
  <c r="AA271" i="2" s="1"/>
  <c r="AB271" i="2" s="1"/>
  <c r="W270" i="2"/>
  <c r="AA270" i="2" s="1"/>
  <c r="AB270" i="2" s="1"/>
  <c r="Q271" i="2"/>
  <c r="Q275" i="2"/>
  <c r="Q274" i="2"/>
  <c r="W273" i="2"/>
  <c r="Q273" i="2"/>
  <c r="W275" i="2"/>
  <c r="W274" i="2"/>
  <c r="W272" i="2"/>
  <c r="AA272" i="2" s="1"/>
  <c r="AB272" i="2" s="1"/>
  <c r="P277" i="2" a="1"/>
  <c r="O276" i="2" a="1"/>
  <c r="P276" i="2" a="1"/>
  <c r="O277" i="2" a="1"/>
  <c r="AA273" i="2" l="1"/>
  <c r="AB273" i="2" s="1"/>
  <c r="AA275" i="2"/>
  <c r="AB275" i="2" s="1"/>
  <c r="AA274" i="2"/>
  <c r="AB274" i="2" s="1"/>
  <c r="Q277" i="2"/>
  <c r="Q276" i="2"/>
  <c r="W276" i="2"/>
  <c r="W277" i="2"/>
  <c r="AA276" i="2" l="1"/>
  <c r="AB276" i="2" s="1"/>
  <c r="AA277" i="2"/>
  <c r="AB277" i="2" s="1"/>
  <c r="P280" i="2" a="1"/>
  <c r="O280" i="2" a="1"/>
  <c r="P281" i="2" a="1"/>
  <c r="O281" i="2" a="1"/>
  <c r="O279" i="2" l="1" a="1"/>
  <c r="P279" i="2" a="1"/>
  <c r="Q279" i="2" s="1"/>
  <c r="P278" i="2" a="1"/>
  <c r="O278" i="2" a="1"/>
  <c r="W280" i="2"/>
  <c r="W281" i="2"/>
  <c r="Q280" i="2"/>
  <c r="Q281" i="2"/>
  <c r="Q278" i="2" l="1"/>
  <c r="W278" i="2"/>
  <c r="W279" i="2"/>
  <c r="AA279" i="2" s="1"/>
  <c r="AB279" i="2" s="1"/>
  <c r="AA280" i="2"/>
  <c r="AB280" i="2" s="1"/>
  <c r="AA281" i="2"/>
  <c r="AB281" i="2" s="1"/>
  <c r="AA278" i="2" l="1"/>
  <c r="AB278" i="2" s="1"/>
  <c r="O283" i="2" a="1"/>
  <c r="P282" i="2" a="1"/>
  <c r="O282" i="2" a="1"/>
  <c r="O284" i="2" a="1"/>
  <c r="P285" i="2" a="1"/>
  <c r="O285" i="2" a="1"/>
  <c r="P284" i="2" a="1"/>
  <c r="P283" i="2" a="1"/>
  <c r="W284" i="2" l="1"/>
  <c r="Q285" i="2"/>
  <c r="Q284" i="2"/>
  <c r="Q283" i="2"/>
  <c r="Q282" i="2"/>
  <c r="W283" i="2"/>
  <c r="W282" i="2"/>
  <c r="W285" i="2"/>
  <c r="AA284" i="2" l="1"/>
  <c r="AB284" i="2" s="1"/>
  <c r="AA285" i="2"/>
  <c r="AB285" i="2" s="1"/>
  <c r="AA283" i="2"/>
  <c r="AB283" i="2" s="1"/>
  <c r="AA282" i="2"/>
  <c r="AB282" i="2" s="1"/>
  <c r="P287" i="2" a="1"/>
  <c r="O286" i="2" a="1"/>
  <c r="O287" i="2" a="1"/>
  <c r="P286" i="2" a="1"/>
  <c r="O288" i="2" a="1"/>
  <c r="O289" i="2" a="1"/>
  <c r="P288" i="2" a="1"/>
  <c r="P289" i="2" a="1"/>
  <c r="W287" i="2" l="1"/>
  <c r="W289" i="2"/>
  <c r="W286" i="2"/>
  <c r="Q288" i="2"/>
  <c r="Q287" i="2"/>
  <c r="Q286" i="2"/>
  <c r="W288" i="2"/>
  <c r="Q289" i="2"/>
  <c r="AA287" i="2" l="1"/>
  <c r="AB287" i="2" s="1"/>
  <c r="AA289" i="2"/>
  <c r="AB289" i="2" s="1"/>
  <c r="AA286" i="2"/>
  <c r="AB286" i="2" s="1"/>
  <c r="AA288" i="2"/>
  <c r="AB288" i="2" s="1"/>
  <c r="O293" i="2" l="1" a="1"/>
  <c r="P291" i="2" a="1"/>
  <c r="P290" i="2" a="1"/>
  <c r="P293" i="2" a="1"/>
  <c r="O292" i="2" a="1"/>
  <c r="P292" i="2" a="1"/>
  <c r="Q292" i="2" s="1"/>
  <c r="O291" i="2" a="1"/>
  <c r="O290" i="2" a="1"/>
  <c r="O295" i="2" a="1"/>
  <c r="O294" i="2" a="1"/>
  <c r="P295" i="2" a="1"/>
  <c r="P294" i="2" a="1"/>
  <c r="Q293" i="2" l="1"/>
  <c r="Q291" i="2"/>
  <c r="W290" i="2"/>
  <c r="Q295" i="2"/>
  <c r="Q294" i="2"/>
  <c r="W293" i="2"/>
  <c r="Q290" i="2"/>
  <c r="W292" i="2"/>
  <c r="AA292" i="2" s="1"/>
  <c r="AB292" i="2" s="1"/>
  <c r="W291" i="2"/>
  <c r="W295" i="2"/>
  <c r="W294" i="2"/>
  <c r="P297" i="2" a="1"/>
  <c r="O296" i="2" a="1"/>
  <c r="P296" i="2" a="1"/>
  <c r="O297" i="2" a="1"/>
  <c r="AA293" i="2" l="1"/>
  <c r="AB293" i="2" s="1"/>
  <c r="AA291" i="2"/>
  <c r="AB291" i="2" s="1"/>
  <c r="AA290" i="2"/>
  <c r="AB290" i="2" s="1"/>
  <c r="AA295" i="2"/>
  <c r="AB295" i="2" s="1"/>
  <c r="AA294" i="2"/>
  <c r="AB294" i="2" s="1"/>
  <c r="Q297" i="2"/>
  <c r="W296" i="2"/>
  <c r="W297" i="2"/>
  <c r="Q296" i="2"/>
  <c r="AA297" i="2" l="1"/>
  <c r="AB297" i="2" s="1"/>
  <c r="AA296" i="2"/>
  <c r="AB296" i="2" s="1"/>
  <c r="P298" i="2" l="1" a="1"/>
  <c r="P299" i="2" a="1"/>
  <c r="O299" i="2" a="1"/>
  <c r="O298" i="2" a="1"/>
  <c r="W299" i="2" l="1"/>
  <c r="Q298" i="2"/>
  <c r="Q299" i="2"/>
  <c r="W298" i="2"/>
  <c r="AA298" i="2" l="1"/>
  <c r="AB298" i="2" s="1"/>
  <c r="AA299" i="2"/>
  <c r="AB299" i="2" s="1"/>
  <c r="O301" i="2" l="1" a="1"/>
  <c r="P300" i="2" a="1"/>
  <c r="O300" i="2" a="1"/>
  <c r="W300" i="2" s="1"/>
  <c r="P301" i="2" a="1"/>
  <c r="W301" i="2" l="1"/>
  <c r="Q300" i="2"/>
  <c r="AA300" i="2" s="1"/>
  <c r="AB300" i="2" s="1"/>
  <c r="Q301" i="2"/>
  <c r="AA301" i="2" l="1"/>
  <c r="AB301" i="2" s="1"/>
  <c r="P304" i="2" a="1"/>
  <c r="P303" i="2" a="1"/>
  <c r="O302" i="2" a="1"/>
  <c r="O303" i="2" a="1"/>
  <c r="O305" i="2" a="1"/>
  <c r="P305" i="2" a="1"/>
  <c r="O304" i="2" a="1"/>
  <c r="P302" i="2" a="1"/>
  <c r="O307" i="2" a="1"/>
  <c r="P306" i="2" a="1"/>
  <c r="O306" i="2" a="1"/>
  <c r="P307" i="2" a="1"/>
  <c r="Q303" i="2" l="1"/>
  <c r="W302" i="2"/>
  <c r="Q305" i="2"/>
  <c r="W307" i="2"/>
  <c r="W304" i="2"/>
  <c r="W306" i="2"/>
  <c r="Q304" i="2"/>
  <c r="AA304" i="2" s="1"/>
  <c r="AB304" i="2" s="1"/>
  <c r="W303" i="2"/>
  <c r="Q302" i="2"/>
  <c r="W305" i="2"/>
  <c r="Q306" i="2"/>
  <c r="Q307" i="2"/>
  <c r="AA303" i="2" l="1"/>
  <c r="AB303" i="2" s="1"/>
  <c r="AA302" i="2"/>
  <c r="AB302" i="2" s="1"/>
  <c r="AA305" i="2"/>
  <c r="AB305" i="2" s="1"/>
  <c r="AA307" i="2"/>
  <c r="AB307" i="2" s="1"/>
  <c r="AA306" i="2"/>
  <c r="AB306" i="2" s="1"/>
  <c r="P308" i="2" a="1"/>
  <c r="O309" i="2" a="1"/>
  <c r="O311" i="2" a="1"/>
  <c r="O308" i="2" a="1"/>
  <c r="W308" i="2" s="1"/>
  <c r="P309" i="2" a="1"/>
  <c r="O310" i="2" a="1"/>
  <c r="P311" i="2" a="1"/>
  <c r="P310" i="2" a="1"/>
  <c r="W309" i="2" l="1"/>
  <c r="W311" i="2"/>
  <c r="W310" i="2"/>
  <c r="Q308" i="2"/>
  <c r="AA308" i="2" s="1"/>
  <c r="AB308" i="2" s="1"/>
  <c r="Q309" i="2"/>
  <c r="Q311" i="2"/>
  <c r="AA311" i="2" s="1"/>
  <c r="AB311" i="2" s="1"/>
  <c r="Q310" i="2"/>
  <c r="AA309" i="2" l="1"/>
  <c r="AB309" i="2" s="1"/>
  <c r="AA310" i="2"/>
  <c r="AB310" i="2" s="1"/>
  <c r="O313" i="2" a="1"/>
  <c r="P312" i="2" a="1"/>
  <c r="P314" i="2" a="1"/>
  <c r="P315" i="2" a="1"/>
  <c r="O314" i="2" a="1"/>
  <c r="O315" i="2" a="1"/>
  <c r="P313" i="2" a="1"/>
  <c r="O312" i="2" a="1"/>
  <c r="W314" i="2" l="1"/>
  <c r="W313" i="2"/>
  <c r="W315" i="2"/>
  <c r="W312" i="2"/>
  <c r="Q312" i="2"/>
  <c r="AA312" i="2" s="1"/>
  <c r="AB312" i="2" s="1"/>
  <c r="Q313" i="2"/>
  <c r="Q314" i="2"/>
  <c r="AA314" i="2" s="1"/>
  <c r="AB314" i="2" s="1"/>
  <c r="Q315" i="2"/>
  <c r="AA313" i="2" l="1"/>
  <c r="AB313" i="2" s="1"/>
  <c r="AA315" i="2"/>
  <c r="AB315" i="2" s="1"/>
  <c r="P319" i="2" a="1"/>
  <c r="O318" i="2" a="1"/>
  <c r="P318" i="2" a="1"/>
  <c r="P316" i="2" a="1"/>
  <c r="Q316" i="2" s="1"/>
  <c r="O317" i="2" a="1"/>
  <c r="O316" i="2" a="1"/>
  <c r="P317" i="2" a="1"/>
  <c r="O319" i="2" a="1"/>
  <c r="Q317" i="2" l="1"/>
  <c r="Q319" i="2"/>
  <c r="W318" i="2"/>
  <c r="W319" i="2"/>
  <c r="P321" i="2" a="1"/>
  <c r="P320" i="2" a="1"/>
  <c r="O320" i="2" a="1"/>
  <c r="O321" i="2" a="1"/>
  <c r="Q318" i="2"/>
  <c r="AA318" i="2" s="1"/>
  <c r="AB318" i="2" s="1"/>
  <c r="W317" i="2"/>
  <c r="AA317" i="2" s="1"/>
  <c r="AB317" i="2" s="1"/>
  <c r="W316" i="2"/>
  <c r="AA316" i="2" s="1"/>
  <c r="AB316" i="2" s="1"/>
  <c r="W320" i="2" l="1"/>
  <c r="AA319" i="2"/>
  <c r="AB319" i="2" s="1"/>
  <c r="Q321" i="2"/>
  <c r="Q320" i="2"/>
  <c r="AA320" i="2" s="1"/>
  <c r="AB320" i="2" s="1"/>
  <c r="W321" i="2"/>
  <c r="AA321" i="2" l="1"/>
  <c r="AB321" i="2" s="1"/>
  <c r="O323" i="2" a="1"/>
  <c r="P323" i="2" a="1"/>
  <c r="Q323" i="2" s="1"/>
  <c r="P322" i="2" a="1"/>
  <c r="O322" i="2" a="1"/>
  <c r="O330" i="2" a="1"/>
  <c r="P329" i="2" a="1"/>
  <c r="O329" i="2" a="1"/>
  <c r="P330" i="2" a="1"/>
  <c r="P327" i="2" a="1"/>
  <c r="P328" i="2" a="1"/>
  <c r="O325" i="2" a="1"/>
  <c r="P326" i="2" a="1"/>
  <c r="P324" i="2" a="1"/>
  <c r="O328" i="2" a="1"/>
  <c r="P325" i="2" a="1"/>
  <c r="O326" i="2" a="1"/>
  <c r="P331" i="2" a="1"/>
  <c r="O324" i="2" a="1"/>
  <c r="O331" i="2" a="1"/>
  <c r="O327" i="2" a="1"/>
  <c r="W330" i="2" l="1"/>
  <c r="Q325" i="2"/>
  <c r="Q331" i="2"/>
  <c r="Q322" i="2"/>
  <c r="Q329" i="2"/>
  <c r="Q327" i="2"/>
  <c r="W328" i="2"/>
  <c r="W326" i="2"/>
  <c r="W324" i="2"/>
  <c r="W323" i="2"/>
  <c r="AA323" i="2" s="1"/>
  <c r="AB323" i="2" s="1"/>
  <c r="W322" i="2"/>
  <c r="W329" i="2"/>
  <c r="Q330" i="2"/>
  <c r="Q324" i="2"/>
  <c r="W325" i="2"/>
  <c r="Q326" i="2"/>
  <c r="W331" i="2"/>
  <c r="W327" i="2"/>
  <c r="Q328" i="2"/>
  <c r="AA322" i="2" l="1"/>
  <c r="AB322" i="2" s="1"/>
  <c r="AA325" i="2"/>
  <c r="AB325" i="2" s="1"/>
  <c r="AA329" i="2"/>
  <c r="AB329" i="2" s="1"/>
  <c r="AA330" i="2"/>
  <c r="AB330" i="2" s="1"/>
  <c r="AA331" i="2"/>
  <c r="AB331" i="2" s="1"/>
  <c r="AA324" i="2"/>
  <c r="AB324" i="2" s="1"/>
  <c r="AA326" i="2"/>
  <c r="AB326" i="2" s="1"/>
  <c r="AA327" i="2"/>
  <c r="AB327" i="2" s="1"/>
  <c r="AA328" i="2"/>
  <c r="AB328" i="2" s="1"/>
  <c r="P332" i="2" a="1"/>
  <c r="O332" i="2" a="1"/>
  <c r="O333" i="2" a="1"/>
  <c r="P333" i="2" a="1"/>
  <c r="Q333" i="2" l="1"/>
  <c r="W332" i="2"/>
  <c r="Q332" i="2"/>
  <c r="AA332" i="2" s="1"/>
  <c r="AB332" i="2" s="1"/>
  <c r="W333" i="2"/>
  <c r="AA333" i="2" s="1"/>
  <c r="AB333" i="2" s="1"/>
  <c r="P337" i="2" l="1" a="1"/>
  <c r="O339" i="2" a="1"/>
  <c r="W339" i="2" s="1"/>
  <c r="P334" i="2" a="1"/>
  <c r="P335" i="2" a="1"/>
  <c r="O336" i="2" a="1"/>
  <c r="P338" i="2" a="1"/>
  <c r="O337" i="2" a="1"/>
  <c r="W337" i="2" s="1"/>
  <c r="P339" i="2" a="1"/>
  <c r="P336" i="2" a="1"/>
  <c r="O335" i="2" a="1"/>
  <c r="W335" i="2" s="1"/>
  <c r="O338" i="2" a="1"/>
  <c r="O334" i="2" a="1"/>
  <c r="P342" i="2" a="1"/>
  <c r="O340" i="2" a="1"/>
  <c r="P340" i="2" a="1"/>
  <c r="Q340" i="2" s="1"/>
  <c r="P341" i="2" a="1"/>
  <c r="O343" i="2" a="1"/>
  <c r="O341" i="2" a="1"/>
  <c r="P343" i="2" a="1"/>
  <c r="O342" i="2" a="1"/>
  <c r="W341" i="2" l="1"/>
  <c r="W342" i="2"/>
  <c r="Q334" i="2"/>
  <c r="Q338" i="2"/>
  <c r="Q336" i="2"/>
  <c r="Q343" i="2"/>
  <c r="Q337" i="2"/>
  <c r="AA337" i="2" s="1"/>
  <c r="AB337" i="2" s="1"/>
  <c r="Q335" i="2"/>
  <c r="AA335" i="2" s="1"/>
  <c r="AB335" i="2" s="1"/>
  <c r="W336" i="2"/>
  <c r="Q339" i="2"/>
  <c r="AA339" i="2" s="1"/>
  <c r="AB339" i="2" s="1"/>
  <c r="W338" i="2"/>
  <c r="W334" i="2"/>
  <c r="Q342" i="2"/>
  <c r="AA342" i="2" s="1"/>
  <c r="AB342" i="2" s="1"/>
  <c r="W340" i="2"/>
  <c r="AA340" i="2" s="1"/>
  <c r="AB340" i="2" s="1"/>
  <c r="Q341" i="2"/>
  <c r="AA341" i="2" s="1"/>
  <c r="AB341" i="2" s="1"/>
  <c r="W343" i="2"/>
  <c r="P345" i="2" a="1"/>
  <c r="O345" i="2" a="1"/>
  <c r="O344" i="2" a="1"/>
  <c r="P344" i="2" a="1"/>
  <c r="AA336" i="2" l="1"/>
  <c r="AB336" i="2" s="1"/>
  <c r="AA338" i="2"/>
  <c r="AB338" i="2" s="1"/>
  <c r="AA334" i="2"/>
  <c r="AB334" i="2" s="1"/>
  <c r="AA343" i="2"/>
  <c r="AB343" i="2" s="1"/>
  <c r="O346" i="2" a="1"/>
  <c r="P346" i="2" a="1"/>
  <c r="P347" i="2" a="1"/>
  <c r="O347" i="2" a="1"/>
  <c r="W345" i="2"/>
  <c r="Q344" i="2"/>
  <c r="Q345" i="2"/>
  <c r="W344" i="2"/>
  <c r="Q346" i="2" l="1"/>
  <c r="Q347" i="2"/>
  <c r="AA345" i="2"/>
  <c r="AB345" i="2" s="1"/>
  <c r="W346" i="2"/>
  <c r="W347" i="2"/>
  <c r="AA344" i="2"/>
  <c r="AB344" i="2" s="1"/>
  <c r="O351" i="2" a="1"/>
  <c r="P350" i="2" a="1"/>
  <c r="O350" i="2" a="1"/>
  <c r="P351" i="2" a="1"/>
  <c r="AA346" i="2" l="1"/>
  <c r="AB346" i="2" s="1"/>
  <c r="AA347" i="2"/>
  <c r="AB347" i="2" s="1"/>
  <c r="P349" i="2" a="1"/>
  <c r="P348" i="2" a="1"/>
  <c r="O348" i="2" a="1"/>
  <c r="O349" i="2" a="1"/>
  <c r="W351" i="2"/>
  <c r="W350" i="2"/>
  <c r="Q351" i="2"/>
  <c r="Q350" i="2"/>
  <c r="Q348" i="2" l="1"/>
  <c r="Q349" i="2"/>
  <c r="W348" i="2"/>
  <c r="W349" i="2"/>
  <c r="AA351" i="2"/>
  <c r="AB351" i="2" s="1"/>
  <c r="AA350" i="2"/>
  <c r="AB350" i="2" s="1"/>
  <c r="P355" i="2" a="1"/>
  <c r="O355" i="2" a="1"/>
  <c r="O354" i="2" a="1"/>
  <c r="P354" i="2" a="1"/>
  <c r="O353" i="2" a="1"/>
  <c r="P352" i="2" a="1"/>
  <c r="P353" i="2" a="1"/>
  <c r="O352" i="2" a="1"/>
  <c r="AA348" i="2" l="1"/>
  <c r="AB348" i="2" s="1"/>
  <c r="AA349" i="2"/>
  <c r="AB349" i="2" s="1"/>
  <c r="W355" i="2"/>
  <c r="Q353" i="2"/>
  <c r="W352" i="2"/>
  <c r="Q354" i="2"/>
  <c r="Q355" i="2"/>
  <c r="W354" i="2"/>
  <c r="W353" i="2"/>
  <c r="Q352" i="2"/>
  <c r="AA355" i="2" l="1"/>
  <c r="AB355" i="2" s="1"/>
  <c r="P357" i="2" a="1"/>
  <c r="O357" i="2" a="1"/>
  <c r="P356" i="2" a="1"/>
  <c r="O356" i="2" a="1"/>
  <c r="AA352" i="2"/>
  <c r="AB352" i="2" s="1"/>
  <c r="AA354" i="2"/>
  <c r="AB354" i="2" s="1"/>
  <c r="AA353" i="2"/>
  <c r="AB353" i="2" s="1"/>
  <c r="W356" i="2" l="1"/>
  <c r="W357" i="2"/>
  <c r="Q357" i="2"/>
  <c r="Q356" i="2"/>
  <c r="AA356" i="2" l="1"/>
  <c r="AB356" i="2" s="1"/>
  <c r="AA357" i="2"/>
  <c r="AB357" i="2" s="1"/>
  <c r="P358" i="2" l="1" a="1"/>
  <c r="O358" i="2" a="1"/>
  <c r="W358" i="2" s="1"/>
  <c r="O359" i="2" a="1"/>
  <c r="P359" i="2" a="1"/>
  <c r="Q359" i="2" s="1"/>
  <c r="O364" i="2" a="1"/>
  <c r="P363" i="2" a="1"/>
  <c r="O362" i="2" a="1"/>
  <c r="O363" i="2" a="1"/>
  <c r="O365" i="2" a="1"/>
  <c r="P362" i="2" a="1"/>
  <c r="Q362" i="2" s="1"/>
  <c r="P364" i="2" a="1"/>
  <c r="P365" i="2" a="1"/>
  <c r="O361" i="2" a="1"/>
  <c r="P360" i="2" a="1"/>
  <c r="O360" i="2" a="1"/>
  <c r="P361" i="2" a="1"/>
  <c r="P366" i="2" a="1"/>
  <c r="O367" i="2" a="1"/>
  <c r="O366" i="2" a="1"/>
  <c r="P367" i="2" a="1"/>
  <c r="Q363" i="2" l="1"/>
  <c r="W364" i="2"/>
  <c r="Q365" i="2"/>
  <c r="Q358" i="2"/>
  <c r="AA358" i="2" s="1"/>
  <c r="AB358" i="2" s="1"/>
  <c r="W359" i="2"/>
  <c r="AA359" i="2" s="1"/>
  <c r="AB359" i="2" s="1"/>
  <c r="W365" i="2"/>
  <c r="W362" i="2"/>
  <c r="AA362" i="2" s="1"/>
  <c r="AB362" i="2" s="1"/>
  <c r="W363" i="2"/>
  <c r="Q364" i="2"/>
  <c r="W360" i="2"/>
  <c r="Q360" i="2"/>
  <c r="Q361" i="2"/>
  <c r="W361" i="2"/>
  <c r="Q367" i="2"/>
  <c r="Q366" i="2"/>
  <c r="W366" i="2"/>
  <c r="W367" i="2"/>
  <c r="AA363" i="2" l="1"/>
  <c r="AB363" i="2" s="1"/>
  <c r="AA365" i="2"/>
  <c r="AB365" i="2" s="1"/>
  <c r="AA364" i="2"/>
  <c r="AB364" i="2" s="1"/>
  <c r="AA361" i="2"/>
  <c r="AB361" i="2" s="1"/>
  <c r="AA360" i="2"/>
  <c r="AB360" i="2" s="1"/>
  <c r="AA366" i="2"/>
  <c r="AB366" i="2" s="1"/>
  <c r="AA367" i="2"/>
  <c r="AB367" i="2" s="1"/>
  <c r="P369" i="2" l="1" a="1"/>
  <c r="O368" i="2" a="1"/>
  <c r="P368" i="2" a="1"/>
  <c r="O369" i="2" a="1"/>
  <c r="P370" i="2" a="1"/>
  <c r="O371" i="2" a="1"/>
  <c r="P371" i="2" a="1"/>
  <c r="O370" i="2" a="1"/>
  <c r="W369" i="2" l="1"/>
  <c r="W368" i="2"/>
  <c r="Q370" i="2"/>
  <c r="Q371" i="2"/>
  <c r="Q369" i="2"/>
  <c r="Q368" i="2"/>
  <c r="W371" i="2"/>
  <c r="W370" i="2"/>
  <c r="AA369" i="2" l="1"/>
  <c r="AB369" i="2" s="1"/>
  <c r="AA368" i="2"/>
  <c r="AB368" i="2" s="1"/>
  <c r="AA371" i="2"/>
  <c r="AB371" i="2" s="1"/>
  <c r="AA370" i="2"/>
  <c r="AB370" i="2" s="1"/>
  <c r="P372" i="2" l="1" a="1"/>
  <c r="O373" i="2" a="1"/>
  <c r="P373" i="2" a="1"/>
  <c r="O372" i="2" a="1"/>
  <c r="P374" i="2" a="1"/>
  <c r="P375" i="2" a="1"/>
  <c r="O374" i="2" a="1"/>
  <c r="O375" i="2" a="1"/>
  <c r="W373" i="2" l="1"/>
  <c r="W372" i="2"/>
  <c r="W375" i="2"/>
  <c r="Q374" i="2"/>
  <c r="Q372" i="2"/>
  <c r="Q373" i="2"/>
  <c r="Q375" i="2"/>
  <c r="W374" i="2"/>
  <c r="AA373" i="2" l="1"/>
  <c r="AB373" i="2" s="1"/>
  <c r="AA372" i="2"/>
  <c r="AB372" i="2" s="1"/>
  <c r="AA375" i="2"/>
  <c r="AB375" i="2" s="1"/>
  <c r="AA374" i="2"/>
  <c r="AB374" i="2" s="1"/>
  <c r="O376" i="2" l="1" a="1"/>
  <c r="P377" i="2" a="1"/>
  <c r="P376" i="2" a="1"/>
  <c r="O377" i="2" a="1"/>
  <c r="Q376" i="2" l="1"/>
  <c r="W377" i="2"/>
  <c r="W376" i="2"/>
  <c r="AA376" i="2" s="1"/>
  <c r="AB376" i="2" s="1"/>
  <c r="Q377" i="2"/>
  <c r="AA377" i="2" l="1"/>
  <c r="AB377" i="2" s="1"/>
  <c r="P380" i="2" a="1"/>
  <c r="P382" i="2" a="1"/>
  <c r="O379" i="2" a="1"/>
  <c r="P379" i="2" a="1"/>
  <c r="P378" i="2" a="1"/>
  <c r="Q378" i="2" s="1"/>
  <c r="O378" i="2" a="1"/>
  <c r="O380" i="2" a="1"/>
  <c r="W380" i="2" s="1"/>
  <c r="O382" i="2" a="1"/>
  <c r="P381" i="2" a="1"/>
  <c r="O383" i="2" a="1"/>
  <c r="O381" i="2" a="1"/>
  <c r="P383" i="2" a="1"/>
  <c r="Q383" i="2" s="1"/>
  <c r="Q382" i="2" l="1"/>
  <c r="W381" i="2"/>
  <c r="W379" i="2"/>
  <c r="Q380" i="2"/>
  <c r="AA380" i="2" s="1"/>
  <c r="AB380" i="2" s="1"/>
  <c r="Q379" i="2"/>
  <c r="W378" i="2"/>
  <c r="AA378" i="2" s="1"/>
  <c r="AB378" i="2" s="1"/>
  <c r="W382" i="2"/>
  <c r="Q381" i="2"/>
  <c r="W383" i="2"/>
  <c r="AA383" i="2" s="1"/>
  <c r="AB383" i="2" s="1"/>
  <c r="AA382" i="2" l="1"/>
  <c r="AB382" i="2" s="1"/>
  <c r="AA379" i="2"/>
  <c r="AB379" i="2" s="1"/>
  <c r="AA381" i="2"/>
  <c r="AB381" i="2" s="1"/>
  <c r="P384" i="2" a="1"/>
  <c r="Q384" i="2" s="1"/>
  <c r="O385" i="2" a="1"/>
  <c r="O384" i="2" a="1"/>
  <c r="P385" i="2" a="1"/>
  <c r="W385" i="2" l="1"/>
  <c r="Q385" i="2"/>
  <c r="W384" i="2"/>
  <c r="AA384" i="2" s="1"/>
  <c r="AB384" i="2" s="1"/>
  <c r="O390" i="2" a="1"/>
  <c r="O391" i="2" a="1"/>
  <c r="P391" i="2" a="1"/>
  <c r="P390" i="2" a="1"/>
  <c r="AA385" i="2" l="1"/>
  <c r="AB385" i="2" s="1"/>
  <c r="P389" i="2" a="1"/>
  <c r="P388" i="2" a="1"/>
  <c r="O388" i="2" a="1"/>
  <c r="O389" i="2" a="1"/>
  <c r="O386" i="2" a="1"/>
  <c r="P386" i="2" a="1"/>
  <c r="O387" i="2" a="1"/>
  <c r="W387" i="2" s="1"/>
  <c r="P387" i="2" a="1"/>
  <c r="Q391" i="2"/>
  <c r="Q390" i="2"/>
  <c r="W390" i="2"/>
  <c r="W391" i="2"/>
  <c r="W386" i="2" l="1"/>
  <c r="Q388" i="2"/>
  <c r="Q386" i="2"/>
  <c r="AA386" i="2" s="1"/>
  <c r="AB386" i="2" s="1"/>
  <c r="Q389" i="2"/>
  <c r="W388" i="2"/>
  <c r="W389" i="2"/>
  <c r="AA389" i="2" s="1"/>
  <c r="AB389" i="2" s="1"/>
  <c r="Q387" i="2"/>
  <c r="AA387" i="2" s="1"/>
  <c r="AB387" i="2" s="1"/>
  <c r="AA390" i="2"/>
  <c r="AB390" i="2" s="1"/>
  <c r="AA391" i="2"/>
  <c r="AB391" i="2" s="1"/>
  <c r="AA388" i="2" l="1"/>
  <c r="AB388" i="2" s="1"/>
  <c r="P392" i="2" a="1"/>
  <c r="O392" i="2" a="1"/>
  <c r="W392" i="2" s="1"/>
  <c r="P395" i="2" a="1"/>
  <c r="P393" i="2" a="1"/>
  <c r="O393" i="2" a="1"/>
  <c r="O394" i="2" a="1"/>
  <c r="W394" i="2" s="1"/>
  <c r="O395" i="2" a="1"/>
  <c r="W395" i="2" s="1"/>
  <c r="P394" i="2" a="1"/>
  <c r="O396" i="2" a="1"/>
  <c r="P397" i="2" a="1"/>
  <c r="P396" i="2" a="1"/>
  <c r="O397" i="2" a="1"/>
  <c r="Q393" i="2" l="1"/>
  <c r="Q395" i="2"/>
  <c r="AA395" i="2" s="1"/>
  <c r="AB395" i="2" s="1"/>
  <c r="Q392" i="2"/>
  <c r="AA392" i="2" s="1"/>
  <c r="AB392" i="2" s="1"/>
  <c r="W393" i="2"/>
  <c r="Q394" i="2"/>
  <c r="AA394" i="2" s="1"/>
  <c r="AB394" i="2" s="1"/>
  <c r="W396" i="2"/>
  <c r="Q396" i="2"/>
  <c r="W397" i="2"/>
  <c r="Q397" i="2"/>
  <c r="AA393" i="2" l="1"/>
  <c r="AB393" i="2" s="1"/>
  <c r="AA397" i="2"/>
  <c r="AB397" i="2" s="1"/>
  <c r="AA396" i="2"/>
  <c r="AB396" i="2" s="1"/>
  <c r="P399" i="2" l="1" a="1"/>
  <c r="P398" i="2" a="1"/>
  <c r="Q398" i="2" s="1"/>
  <c r="O399" i="2" a="1"/>
  <c r="W399" i="2" s="1"/>
  <c r="O398" i="2" a="1"/>
  <c r="O400" i="2" a="1"/>
  <c r="W400" i="2" s="1"/>
  <c r="O401" i="2" a="1"/>
  <c r="P400" i="2" a="1"/>
  <c r="P401" i="2" a="1"/>
  <c r="Q399" i="2" l="1"/>
  <c r="AA399" i="2" s="1"/>
  <c r="AB399" i="2" s="1"/>
  <c r="W401" i="2"/>
  <c r="Q400" i="2"/>
  <c r="AA400" i="2" s="1"/>
  <c r="AB400" i="2" s="1"/>
  <c r="W398" i="2"/>
  <c r="AA398" i="2" s="1"/>
  <c r="AB398" i="2" s="1"/>
  <c r="Q401" i="2"/>
  <c r="AA401" i="2" l="1"/>
  <c r="AB401" i="2" s="1"/>
  <c r="P405" i="2" a="1"/>
  <c r="O404" i="2" a="1"/>
  <c r="O403" i="2" a="1"/>
  <c r="P403" i="2" a="1"/>
  <c r="O402" i="2" a="1"/>
  <c r="P402" i="2" a="1"/>
  <c r="P404" i="2" a="1"/>
  <c r="O405" i="2" a="1"/>
  <c r="P406" i="2" a="1"/>
  <c r="O407" i="2" a="1"/>
  <c r="P408" i="2" a="1"/>
  <c r="O409" i="2" a="1"/>
  <c r="W409" i="2" s="1"/>
  <c r="O408" i="2" a="1"/>
  <c r="P409" i="2" a="1"/>
  <c r="O406" i="2" a="1"/>
  <c r="P407" i="2" a="1"/>
  <c r="Q403" i="2" l="1"/>
  <c r="Q406" i="2"/>
  <c r="Q408" i="2"/>
  <c r="Q405" i="2"/>
  <c r="W402" i="2"/>
  <c r="Q404" i="2"/>
  <c r="Q407" i="2"/>
  <c r="W403" i="2"/>
  <c r="Q402" i="2"/>
  <c r="W405" i="2"/>
  <c r="W407" i="2"/>
  <c r="W408" i="2"/>
  <c r="Q409" i="2"/>
  <c r="AA409" i="2" s="1"/>
  <c r="AB409" i="2" s="1"/>
  <c r="W406" i="2"/>
  <c r="W404" i="2"/>
  <c r="P412" i="2" a="1"/>
  <c r="O413" i="2" a="1"/>
  <c r="P413" i="2" a="1"/>
  <c r="O412" i="2" a="1"/>
  <c r="AA403" i="2" l="1"/>
  <c r="AB403" i="2" s="1"/>
  <c r="AA408" i="2"/>
  <c r="AB408" i="2" s="1"/>
  <c r="AA406" i="2"/>
  <c r="AB406" i="2" s="1"/>
  <c r="AA402" i="2"/>
  <c r="AB402" i="2" s="1"/>
  <c r="AA405" i="2"/>
  <c r="AB405" i="2" s="1"/>
  <c r="AA404" i="2"/>
  <c r="AB404" i="2" s="1"/>
  <c r="AA407" i="2"/>
  <c r="AB407" i="2" s="1"/>
  <c r="P410" i="2" a="1"/>
  <c r="O411" i="2" a="1"/>
  <c r="O410" i="2" a="1"/>
  <c r="P411" i="2" a="1"/>
  <c r="Q413" i="2"/>
  <c r="W412" i="2"/>
  <c r="Q412" i="2"/>
  <c r="W413" i="2"/>
  <c r="W411" i="2" l="1"/>
  <c r="W410" i="2"/>
  <c r="Q411" i="2"/>
  <c r="AA411" i="2" s="1"/>
  <c r="AB411" i="2" s="1"/>
  <c r="Q410" i="2"/>
  <c r="AA413" i="2"/>
  <c r="AB413" i="2" s="1"/>
  <c r="O414" i="2" a="1"/>
  <c r="P414" i="2" a="1"/>
  <c r="O415" i="2" a="1"/>
  <c r="P415" i="2" a="1"/>
  <c r="AA412" i="2"/>
  <c r="AB412" i="2" s="1"/>
  <c r="O416" i="2" a="1"/>
  <c r="P417" i="2" a="1"/>
  <c r="P416" i="2" a="1"/>
  <c r="O417" i="2" a="1"/>
  <c r="AA410" i="2" l="1"/>
  <c r="AB410" i="2" s="1"/>
  <c r="W414" i="2"/>
  <c r="W415" i="2"/>
  <c r="Q414" i="2"/>
  <c r="Q415" i="2"/>
  <c r="Q417" i="2"/>
  <c r="W416" i="2"/>
  <c r="Q416" i="2"/>
  <c r="W417" i="2"/>
  <c r="AA414" i="2" l="1"/>
  <c r="AB414" i="2" s="1"/>
  <c r="AA415" i="2"/>
  <c r="AB415" i="2" s="1"/>
  <c r="AA417" i="2"/>
  <c r="AB417" i="2" s="1"/>
  <c r="AA416" i="2"/>
  <c r="AB416" i="2" s="1"/>
  <c r="P418" i="2" a="1"/>
  <c r="O418" i="2" a="1"/>
  <c r="O419" i="2" a="1"/>
  <c r="P419" i="2" a="1"/>
  <c r="Q418" i="2" l="1"/>
  <c r="W419" i="2"/>
  <c r="Q419" i="2"/>
  <c r="W418" i="2"/>
  <c r="AA419" i="2" l="1"/>
  <c r="AB419" i="2" s="1"/>
  <c r="AA418" i="2"/>
  <c r="AB418" i="2" s="1"/>
  <c r="P420" i="2" l="1" a="1"/>
  <c r="O420" i="2" a="1"/>
  <c r="O421" i="2" a="1"/>
  <c r="P421" i="2" a="1"/>
  <c r="Q421" i="2" l="1"/>
  <c r="Q420" i="2"/>
  <c r="W420" i="2"/>
  <c r="W421" i="2"/>
  <c r="AA421" i="2" l="1"/>
  <c r="AB421" i="2" s="1"/>
  <c r="AA420" i="2"/>
  <c r="AB420" i="2" s="1"/>
  <c r="P425" i="2" a="1"/>
  <c r="O425" i="2" a="1"/>
  <c r="P424" i="2" a="1"/>
  <c r="O424" i="2" a="1"/>
  <c r="P423" i="2" l="1" a="1"/>
  <c r="P422" i="2" a="1"/>
  <c r="O422" i="2" a="1"/>
  <c r="O423" i="2" a="1"/>
  <c r="W424" i="2"/>
  <c r="W425" i="2"/>
  <c r="Q425" i="2"/>
  <c r="Q424" i="2"/>
  <c r="Q422" i="2" l="1"/>
  <c r="Q423" i="2"/>
  <c r="W423" i="2"/>
  <c r="W422" i="2"/>
  <c r="AA424" i="2"/>
  <c r="AB424" i="2" s="1"/>
  <c r="AA425" i="2"/>
  <c r="AB425" i="2" s="1"/>
  <c r="AA422" i="2" l="1"/>
  <c r="AB422" i="2" s="1"/>
  <c r="AA423" i="2"/>
  <c r="AB423" i="2" s="1"/>
  <c r="P426" i="2" l="1" a="1"/>
  <c r="O427" i="2" a="1"/>
  <c r="P427" i="2" a="1"/>
  <c r="O426" i="2" a="1"/>
  <c r="W426" i="2" s="1"/>
  <c r="P429" i="2" a="1"/>
  <c r="O429" i="2" a="1"/>
  <c r="O428" i="2" a="1"/>
  <c r="P428" i="2" a="1"/>
  <c r="W427" i="2" l="1"/>
  <c r="Q426" i="2"/>
  <c r="AA426" i="2" s="1"/>
  <c r="AB426" i="2" s="1"/>
  <c r="Q427" i="2"/>
  <c r="W429" i="2"/>
  <c r="W428" i="2"/>
  <c r="Q429" i="2"/>
  <c r="Q428" i="2"/>
  <c r="AA427" i="2" l="1"/>
  <c r="AB427" i="2" s="1"/>
  <c r="AA429" i="2"/>
  <c r="AB429" i="2" s="1"/>
  <c r="AA428" i="2"/>
  <c r="AB428" i="2" s="1"/>
  <c r="P430" i="2" a="1"/>
  <c r="O431" i="2" a="1"/>
  <c r="P431" i="2" a="1"/>
  <c r="O430" i="2" a="1"/>
  <c r="Q431" i="2" l="1"/>
  <c r="Q430" i="2"/>
  <c r="W431" i="2"/>
  <c r="W430" i="2"/>
  <c r="AA431" i="2" l="1"/>
  <c r="AB431" i="2" s="1"/>
  <c r="O432" i="2" a="1"/>
  <c r="P432" i="2" a="1"/>
  <c r="P433" i="2" a="1"/>
  <c r="O433" i="2" a="1"/>
  <c r="AA430" i="2"/>
  <c r="AB430" i="2" s="1"/>
  <c r="W432" i="2" l="1"/>
  <c r="Q433" i="2"/>
  <c r="Q432" i="2"/>
  <c r="W433" i="2"/>
  <c r="AA432" i="2" l="1"/>
  <c r="AB432" i="2" s="1"/>
  <c r="AA433" i="2"/>
  <c r="AB433" i="2" s="1"/>
  <c r="P434" i="2" l="1" a="1"/>
  <c r="O435" i="2" a="1"/>
  <c r="O434" i="2" a="1"/>
  <c r="P435" i="2" a="1"/>
  <c r="Q434" i="2" l="1"/>
  <c r="W435" i="2"/>
  <c r="W434" i="2"/>
  <c r="Q435" i="2"/>
  <c r="AA434" i="2" l="1"/>
  <c r="AB434" i="2" s="1"/>
  <c r="AA435" i="2"/>
  <c r="AB435" i="2" s="1"/>
  <c r="P436" i="2" a="1"/>
  <c r="O436" i="2" a="1"/>
  <c r="O437" i="2" a="1"/>
  <c r="P437" i="2" a="1"/>
  <c r="W436" i="2" l="1"/>
  <c r="W437" i="2"/>
  <c r="Q436" i="2"/>
  <c r="AA436" i="2" s="1"/>
  <c r="AB436" i="2" s="1"/>
  <c r="Q437" i="2"/>
  <c r="AA437" i="2" l="1"/>
  <c r="AB437" i="2" s="1"/>
  <c r="P439" i="2" a="1"/>
  <c r="O439" i="2" a="1"/>
  <c r="O438" i="2" a="1"/>
  <c r="P438" i="2" a="1"/>
  <c r="Q439" i="2" l="1"/>
  <c r="W438" i="2"/>
  <c r="W439" i="2"/>
  <c r="AA439" i="2" s="1"/>
  <c r="AB439" i="2" s="1"/>
  <c r="Q438" i="2"/>
  <c r="G26" i="3" a="1"/>
  <c r="AA438" i="2" l="1"/>
  <c r="AB438" i="2" s="1"/>
  <c r="P440" i="2" a="1"/>
  <c r="O440" i="2" a="1"/>
  <c r="O441" i="2" a="1"/>
  <c r="P441" i="2" a="1"/>
  <c r="W441" i="2" l="1"/>
  <c r="W440" i="2"/>
  <c r="Q440" i="2"/>
  <c r="Q441" i="2"/>
  <c r="AA441" i="2" s="1"/>
  <c r="AB441" i="2" s="1"/>
  <c r="AA440" i="2" l="1"/>
  <c r="AB440" i="2" s="1"/>
  <c r="O443" i="2" a="1"/>
  <c r="O442" i="2" a="1"/>
  <c r="P443" i="2" a="1"/>
  <c r="P442" i="2" a="1"/>
  <c r="AX5" i="3" a="1"/>
  <c r="W443" i="2" l="1"/>
  <c r="Q442" i="2"/>
  <c r="Q443" i="2"/>
  <c r="W442" i="2"/>
  <c r="AA443" i="2" l="1"/>
  <c r="AB443" i="2" s="1"/>
  <c r="AA442" i="2"/>
  <c r="AB442" i="2" s="1"/>
  <c r="O444" i="2" l="1" a="1"/>
  <c r="P445" i="2" a="1"/>
  <c r="P444" i="2" a="1"/>
  <c r="O445" i="2" a="1"/>
  <c r="W444" i="2" l="1"/>
  <c r="Q444" i="2"/>
  <c r="W445" i="2"/>
  <c r="Q445" i="2"/>
  <c r="AA444" i="2" l="1"/>
  <c r="AB444" i="2" s="1"/>
  <c r="P447" i="2" a="1"/>
  <c r="O446" i="2" a="1"/>
  <c r="AA445" i="2"/>
  <c r="AB445" i="2" s="1"/>
  <c r="AX2" i="3" a="1"/>
  <c r="P446" i="2" l="1" a="1"/>
  <c r="O447" i="2" a="1"/>
  <c r="AX9" i="3" a="1"/>
  <c r="W446" i="2" l="1"/>
  <c r="Q446" i="2"/>
  <c r="Q447" i="2"/>
  <c r="W447" i="2"/>
  <c r="AX4" i="3" a="1"/>
  <c r="AA447" i="2" l="1"/>
  <c r="AB447" i="2" s="1"/>
  <c r="G25" i="3" s="1" a="1"/>
  <c r="AA446" i="2"/>
  <c r="AB446" i="2" s="1"/>
  <c r="G30" i="3" s="1" a="1"/>
  <c r="G36" i="3" a="1"/>
  <c r="AX6" i="3" l="1" a="1"/>
  <c r="G32" i="3" a="1"/>
  <c r="G27" i="3" l="1" a="1"/>
  <c r="G28" i="3" l="1" a="1"/>
  <c r="G34" i="3" a="1"/>
  <c r="AX8" i="3" l="1" a="1"/>
  <c r="AX7" i="3" l="1" a="1"/>
  <c r="G29" i="3" a="1"/>
  <c r="AX3" i="3" l="1" a="1"/>
  <c r="G31" i="3" a="1"/>
  <c r="G35" i="3" l="1" a="1"/>
  <c r="G33" i="3" a="1"/>
  <c r="A2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<sst xmlns="http://schemas.openxmlformats.org/spreadsheetml/2006/main" count="2316" uniqueCount="88">
  <si>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</si>
  <si>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</si>
  <si>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</si>
  <si>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</si>
  <si>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</si>
  <si>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</si>
  <si>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</si>
  <si>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</si>
  <si>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</si>
  <si>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</si>
  <si>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</si>
  <si>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</si>
  <si>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</si>
  <si>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</si>
  <si>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</si>
  <si>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</si>
  <si>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</si>
  <si>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</si>
  <si>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</si>
  <si>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</si>
  <si>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</si>
  <si>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</si>
  <si>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</si>
  <si>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</si>
  <si>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</si>
  <si>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</si>
  <si>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</si>
  <si>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</si>
  <si>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</si>
  <si>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</si>
  <si>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</si>
  <si>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</si>
  <si>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</si>
  <si>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</si>
  <si>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</si>
  <si>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</si>
  <si>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</si>
  <si>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</si>
  <si>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</si>
  <si>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</si>
  <si>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</si>
  <si>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</si>
  <si>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</si>
  <si>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</si>
  <si>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</si>
  <si>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</si>
  <si>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</si>
  <si>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</si>
  <si>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</si>
  <si>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</si>
  <si>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</si>
  <si>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</si>
  <si>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</si>
  <si>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</si>
  <si>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</si>
  <si>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</si>
  <si>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</si>
  <si>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</si>
  <si>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</si>
  <si>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</si>
  <si>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</si>
  <si>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</si>
  <si>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</si>
  <si>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</si>
  <si>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</si>
  <si>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</si>
  <si>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</si>
  <si>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</si>
  <si>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</si>
  <si>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</si>
  <si>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</si>
  <si>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</si>
  <si>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</si>
  <si>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</si>
  <si>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</si>
  <si>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</si>
  <si>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</si>
  <si>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</si>
  <si>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</si>
  <si>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</si>
  <si>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</si>
  <si>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</si>
  <si>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</si>
  <si>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</si>
  <si>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</si>
  <si>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</si>
  <si>
    <t>TUL</t>
  </si>
  <si>
    <t>Tulsa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</si>
</sst>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4522071759" createdVersion="8" refreshedVersion="8" minRefreshableVersion="3" recordCount="446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2-05-18T00:00:00" maxDate="2012-10-22T00:00:00"/>
    </cacheField>
    <cacheField name="Season" numFmtId="1">
      <sharedItems containsSemiMixedTypes="0" containsString="0" containsNumber="1" containsInteger="1" minValue="2012" maxValue="2012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8">
        <s v="LAS"/>
        <s v="SEA"/>
        <s v="ATL"/>
        <s v="IND"/>
        <s v="CON"/>
        <s v="NYL"/>
        <s v="SAS"/>
        <s v="TUL"/>
        <s v="CHI"/>
        <s v="WAS"/>
        <s v="PHX"/>
        <s v="MIN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36"/>
    </cacheField>
    <cacheField name="OppDaysOff" numFmtId="1">
      <sharedItems containsSemiMixedTypes="0" containsString="0" containsNumber="1" containsInteger="1" minValue="0" maxValue="36"/>
    </cacheField>
    <cacheField name="RestDiff" numFmtId="1">
      <sharedItems containsSemiMixedTypes="0" containsString="0" containsNumber="1" containsInteger="1" minValue="-35" maxValue="35"/>
    </cacheField>
    <cacheField name="OppRestDiff" numFmtId="1">
      <sharedItems containsSemiMixedTypes="0" containsString="0" containsNumber="1" containsInteger="1" minValue="-35" maxValue="35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78.4333873736668" maxValue="1728.7554486374604"/>
    </cacheField>
    <cacheField name="OppPreGmRate" numFmtId="165">
      <sharedItems containsSemiMixedTypes="0" containsString="0" containsNumber="1" minValue="1278.4333873736668" maxValue="1728.7554486374604"/>
    </cacheField>
    <cacheField name="ExpectedWin%" numFmtId="165">
      <sharedItems containsSemiMixedTypes="0" containsString="0" containsNumber="1" minValue="6.5529500925548809E-2" maxValue="0.93447049907445123"/>
    </cacheField>
    <cacheField name="PointsFor" numFmtId="0">
      <sharedItems containsSemiMixedTypes="0" containsString="0" containsNumber="1" containsInteger="1" minValue="47" maxValue="107"/>
    </cacheField>
    <cacheField name="PointsAgainst" numFmtId="0">
      <sharedItems containsSemiMixedTypes="0" containsString="0" containsNumber="1" containsInteger="1" minValue="47" maxValue="107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2" maxValue="42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464189753570063" maxValue="0.78326295651281308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400000000000006" maxValue="75.849999999999994"/>
    </cacheField>
    <cacheField name="Keff" numFmtId="165">
      <sharedItems containsSemiMixedTypes="0" containsString="0" containsNumber="1" minValue="70.900000000000006" maxValue="94.5"/>
    </cacheField>
    <cacheField name="RatingChange" numFmtId="165">
      <sharedItems containsSemiMixedTypes="0" containsString="0" containsNumber="1" minValue="-28.014872782672679" maxValue="28.014872782672683"/>
    </cacheField>
    <cacheField name="PostGmRate" numFmtId="165">
      <sharedItems containsSemiMixedTypes="0" containsString="0" containsNumber="1" minValue="1272.477261256327" maxValue="1728.7554486374604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d v="2012-05-18T00:00:00"/>
    <n v="2012"/>
    <x v="0"/>
    <s v="R"/>
    <s v="RS"/>
    <x v="0"/>
    <s v="SEA"/>
    <s v="A"/>
    <n v="0"/>
    <n v="0"/>
    <n v="0"/>
    <n v="0"/>
    <n v="0"/>
    <n v="0"/>
    <n v="1466.1882661599461"/>
    <n v="1532.9115767425296"/>
    <n v="0.29574703899187865"/>
    <n v="72"/>
    <n v="66"/>
    <n v="0"/>
    <n v="6"/>
    <n v="1"/>
    <n v="0.33277741854716431"/>
    <n v="1"/>
    <n v="75.849999999999994"/>
    <n v="75.849999999999994"/>
    <n v="17.776166737649163"/>
    <n v="1483.9644328975953"/>
    <n v="1"/>
    <n v="0"/>
    <n v="0"/>
    <n v="0"/>
    <n v="0"/>
    <n v="0"/>
    <n v="0"/>
    <n v="0"/>
    <n v="0"/>
    <n v="0"/>
  </r>
  <r>
    <d v="2012-05-18T00:00:00"/>
    <n v="2012"/>
    <x v="0"/>
    <s v="R"/>
    <s v="RS"/>
    <x v="1"/>
    <s v="LAS"/>
    <s v="H"/>
    <n v="0"/>
    <n v="0"/>
    <n v="0"/>
    <n v="0"/>
    <n v="0"/>
    <n v="0"/>
    <n v="1532.9115767425296"/>
    <n v="1466.1882661599461"/>
    <n v="0.70425296100812129"/>
    <n v="66"/>
    <n v="72"/>
    <n v="0"/>
    <n v="-6"/>
    <n v="0"/>
    <n v="0.33277741854716431"/>
    <n v="1"/>
    <n v="75.849999999999994"/>
    <n v="75.849999999999994"/>
    <n v="-17.776166737649159"/>
    <n v="1515.1354100048804"/>
    <n v="0"/>
    <n v="1"/>
    <n v="0"/>
    <n v="0"/>
    <n v="0"/>
    <n v="0"/>
    <n v="0"/>
    <n v="0"/>
    <n v="0"/>
    <n v="0"/>
  </r>
  <r>
    <d v="2012-05-19T00:00:00"/>
    <n v="2012"/>
    <x v="0"/>
    <s v="R"/>
    <s v="RS"/>
    <x v="2"/>
    <s v="IND"/>
    <s v="A"/>
    <n v="1"/>
    <n v="1"/>
    <n v="0"/>
    <n v="0"/>
    <n v="0"/>
    <n v="0"/>
    <n v="1553.5329960304825"/>
    <n v="1520.7986298373603"/>
    <n v="0.42675363272674666"/>
    <n v="84"/>
    <n v="92"/>
    <n v="0"/>
    <n v="-8"/>
    <n v="0"/>
    <n v="0.37800409786791456"/>
    <n v="1"/>
    <n v="75.849999999999994"/>
    <n v="75.849999999999994"/>
    <n v="-12.235714074962809"/>
    <n v="1541.2972819555198"/>
    <n v="0"/>
    <n v="1"/>
    <n v="0"/>
    <n v="0"/>
    <n v="0"/>
    <n v="0"/>
    <n v="0"/>
    <n v="0"/>
    <n v="0"/>
    <n v="0"/>
  </r>
  <r>
    <d v="2012-05-19T00:00:00"/>
    <n v="2012"/>
    <x v="0"/>
    <s v="R"/>
    <s v="RS"/>
    <x v="3"/>
    <s v="ATL"/>
    <s v="H"/>
    <n v="1"/>
    <n v="1"/>
    <n v="0"/>
    <n v="0"/>
    <n v="0"/>
    <n v="0"/>
    <n v="1520.7986298373603"/>
    <n v="1553.5329960304825"/>
    <n v="0.5732463672732534"/>
    <n v="92"/>
    <n v="84"/>
    <n v="0"/>
    <n v="8"/>
    <n v="1"/>
    <n v="0.37800409786791456"/>
    <n v="1"/>
    <n v="75.849999999999994"/>
    <n v="75.849999999999994"/>
    <n v="12.235714074962807"/>
    <n v="1533.034343912323"/>
    <n v="1"/>
    <n v="0"/>
    <n v="0"/>
    <n v="0"/>
    <n v="0"/>
    <n v="0"/>
    <n v="0"/>
    <n v="0"/>
    <n v="0"/>
    <n v="0"/>
  </r>
  <r>
    <d v="2012-05-19T00:00:00"/>
    <n v="2012"/>
    <x v="0"/>
    <s v="R"/>
    <s v="RS"/>
    <x v="4"/>
    <s v="NYL"/>
    <s v="A"/>
    <n v="1"/>
    <n v="1"/>
    <n v="0"/>
    <n v="0"/>
    <n v="0"/>
    <n v="0"/>
    <n v="1528.2911720193574"/>
    <n v="1523.7008368310649"/>
    <n v="0.38766955242124645"/>
    <n v="78"/>
    <n v="73"/>
    <n v="0"/>
    <n v="5"/>
    <n v="1"/>
    <n v="0.33049175219496357"/>
    <n v="1"/>
    <n v="75.849999999999994"/>
    <n v="75.849999999999994"/>
    <n v="15.349776828858372"/>
    <n v="1543.6409488482159"/>
    <n v="1"/>
    <n v="0"/>
    <n v="0"/>
    <n v="0"/>
    <n v="0"/>
    <n v="0"/>
    <n v="0"/>
    <n v="0"/>
    <n v="0"/>
    <n v="0"/>
  </r>
  <r>
    <d v="2012-05-19T00:00:00"/>
    <n v="2012"/>
    <x v="0"/>
    <s v="R"/>
    <s v="RS"/>
    <x v="5"/>
    <s v="CON"/>
    <s v="H"/>
    <n v="1"/>
    <n v="1"/>
    <n v="0"/>
    <n v="0"/>
    <n v="0"/>
    <n v="0"/>
    <n v="1523.7008368310649"/>
    <n v="1528.2911720193574"/>
    <n v="0.61233044757875366"/>
    <n v="73"/>
    <n v="78"/>
    <n v="0"/>
    <n v="-5"/>
    <n v="0"/>
    <n v="0.33049175219496357"/>
    <n v="1"/>
    <n v="75.849999999999994"/>
    <n v="75.849999999999994"/>
    <n v="-15.349776828858376"/>
    <n v="1508.3510600022064"/>
    <n v="0"/>
    <n v="1"/>
    <n v="0"/>
    <n v="0"/>
    <n v="0"/>
    <n v="0"/>
    <n v="0"/>
    <n v="0"/>
    <n v="0"/>
    <n v="0"/>
  </r>
  <r>
    <d v="2012-05-19T00:00:00"/>
    <n v="2012"/>
    <x v="0"/>
    <s v="R"/>
    <s v="RS"/>
    <x v="6"/>
    <s v="TUL"/>
    <s v="A"/>
    <n v="1"/>
    <n v="1"/>
    <n v="0"/>
    <n v="0"/>
    <n v="0"/>
    <n v="0"/>
    <n v="1508.1773994420018"/>
    <n v="1366.8459892602004"/>
    <n v="0.58176573371384821"/>
    <n v="88"/>
    <n v="79"/>
    <n v="0"/>
    <n v="9"/>
    <n v="1"/>
    <n v="0.36319572394913346"/>
    <n v="1"/>
    <n v="75.849999999999994"/>
    <n v="75.849999999999994"/>
    <n v="11.52168304686553"/>
    <n v="1519.6990824888674"/>
    <n v="1"/>
    <n v="0"/>
    <n v="0"/>
    <n v="0"/>
    <n v="0"/>
    <n v="0"/>
    <n v="0"/>
    <n v="0"/>
    <n v="0"/>
    <n v="0"/>
  </r>
  <r>
    <d v="2012-05-19T00:00:00"/>
    <n v="2012"/>
    <x v="0"/>
    <s v="R"/>
    <s v="RS"/>
    <x v="7"/>
    <s v="SAS"/>
    <s v="H"/>
    <n v="1"/>
    <n v="1"/>
    <n v="0"/>
    <n v="0"/>
    <n v="0"/>
    <n v="0"/>
    <n v="1366.8459892602004"/>
    <n v="1508.1773994420018"/>
    <n v="0.41823426628615173"/>
    <n v="79"/>
    <n v="88"/>
    <n v="0"/>
    <n v="-9"/>
    <n v="0"/>
    <n v="0.36319572394913346"/>
    <n v="1"/>
    <n v="75.849999999999994"/>
    <n v="75.849999999999994"/>
    <n v="-11.521683046865528"/>
    <n v="1355.3243062133349"/>
    <n v="0"/>
    <n v="1"/>
    <n v="0"/>
    <n v="0"/>
    <n v="0"/>
    <n v="0"/>
    <n v="0"/>
    <n v="0"/>
    <n v="0"/>
    <n v="0"/>
  </r>
  <r>
    <d v="2012-05-19T00:00:00"/>
    <n v="2012"/>
    <x v="0"/>
    <s v="R"/>
    <s v="RS"/>
    <x v="8"/>
    <s v="WAS"/>
    <s v="A"/>
    <n v="1"/>
    <n v="1"/>
    <n v="0"/>
    <n v="0"/>
    <n v="0"/>
    <n v="0"/>
    <n v="1471.3150068719624"/>
    <n v="1416.1512740966809"/>
    <n v="0.45859630280795982"/>
    <n v="69"/>
    <n v="57"/>
    <n v="0"/>
    <n v="12"/>
    <n v="1"/>
    <n v="0.43608281326102077"/>
    <n v="1"/>
    <n v="75.849999999999994"/>
    <n v="75.849999999999994"/>
    <n v="17.907945873880909"/>
    <n v="1489.2229527458433"/>
    <n v="1"/>
    <n v="0"/>
    <n v="0"/>
    <n v="0"/>
    <n v="0"/>
    <n v="0"/>
    <n v="0"/>
    <n v="0"/>
    <n v="0"/>
    <n v="0"/>
  </r>
  <r>
    <d v="2012-05-19T00:00:00"/>
    <n v="2012"/>
    <x v="0"/>
    <s v="R"/>
    <s v="RS"/>
    <x v="9"/>
    <s v="CHI"/>
    <s v="H"/>
    <n v="1"/>
    <n v="1"/>
    <n v="0"/>
    <n v="0"/>
    <n v="0"/>
    <n v="0"/>
    <n v="1416.1512740966809"/>
    <n v="1471.3150068719624"/>
    <n v="0.54140369719204018"/>
    <n v="57"/>
    <n v="69"/>
    <n v="0"/>
    <n v="-12"/>
    <n v="0"/>
    <n v="0.43608281326102077"/>
    <n v="1"/>
    <n v="75.849999999999994"/>
    <n v="75.849999999999994"/>
    <n v="-17.907945873880909"/>
    <n v="1398.2433282228001"/>
    <n v="0"/>
    <n v="1"/>
    <n v="0"/>
    <n v="0"/>
    <n v="0"/>
    <n v="0"/>
    <n v="0"/>
    <n v="0"/>
    <n v="0"/>
    <n v="0"/>
  </r>
  <r>
    <d v="2012-05-20T00:00:00"/>
    <n v="2012"/>
    <x v="1"/>
    <s v="R"/>
    <s v="RS"/>
    <x v="5"/>
    <s v="CON"/>
    <s v="A"/>
    <n v="0"/>
    <n v="0"/>
    <n v="0"/>
    <n v="0"/>
    <n v="0"/>
    <n v="0"/>
    <n v="1508.3510600022064"/>
    <n v="1543.6409488482159"/>
    <n v="0.33477029332812458"/>
    <n v="77"/>
    <n v="92"/>
    <n v="0"/>
    <n v="-15"/>
    <n v="0"/>
    <n v="0.48848261375977142"/>
    <n v="1"/>
    <n v="75.7"/>
    <n v="75.7"/>
    <n v="-12.379180719579409"/>
    <n v="1495.971879282627"/>
    <n v="0"/>
    <n v="1"/>
    <n v="0"/>
    <n v="0"/>
    <n v="0"/>
    <n v="0"/>
    <n v="0"/>
    <n v="0"/>
    <n v="0"/>
    <n v="0"/>
  </r>
  <r>
    <d v="2012-05-20T00:00:00"/>
    <n v="2012"/>
    <x v="1"/>
    <s v="R"/>
    <s v="RS"/>
    <x v="4"/>
    <s v="NYL"/>
    <s v="H"/>
    <n v="0"/>
    <n v="0"/>
    <n v="0"/>
    <n v="0"/>
    <n v="0"/>
    <n v="0"/>
    <n v="1543.6409488482159"/>
    <n v="1508.3510600022064"/>
    <n v="0.66522970667187542"/>
    <n v="92"/>
    <n v="77"/>
    <n v="0"/>
    <n v="15"/>
    <n v="1"/>
    <n v="0.48848261375977142"/>
    <n v="1"/>
    <n v="75.7"/>
    <n v="75.7"/>
    <n v="12.379180719579409"/>
    <n v="1556.0201295677953"/>
    <n v="1"/>
    <n v="0"/>
    <n v="0"/>
    <n v="0"/>
    <n v="0"/>
    <n v="0"/>
    <n v="0"/>
    <n v="0"/>
    <n v="0"/>
    <n v="0"/>
  </r>
  <r>
    <d v="2012-05-20T00:00:00"/>
    <n v="2012"/>
    <x v="0"/>
    <s v="R"/>
    <s v="RS"/>
    <x v="10"/>
    <s v="MIN"/>
    <s v="A"/>
    <n v="2"/>
    <n v="2"/>
    <n v="0"/>
    <n v="0"/>
    <n v="0"/>
    <n v="0"/>
    <n v="1508.4174116256031"/>
    <n v="1613.1799878797729"/>
    <n v="0.2522581678555339"/>
    <n v="83"/>
    <n v="105"/>
    <n v="0"/>
    <n v="-22"/>
    <n v="0"/>
    <n v="0.55371560982254131"/>
    <n v="1"/>
    <n v="75.849999999999994"/>
    <n v="75.849999999999994"/>
    <n v="-10.594673785973113"/>
    <n v="1497.82273783963"/>
    <n v="0"/>
    <n v="1"/>
    <n v="0"/>
    <n v="0"/>
    <n v="0"/>
    <n v="0"/>
    <n v="0"/>
    <n v="0"/>
    <n v="0"/>
    <n v="0"/>
  </r>
  <r>
    <d v="2012-05-20T00:00:00"/>
    <n v="2012"/>
    <x v="0"/>
    <s v="R"/>
    <s v="RS"/>
    <x v="11"/>
    <s v="PHX"/>
    <s v="H"/>
    <n v="2"/>
    <n v="2"/>
    <n v="0"/>
    <n v="0"/>
    <n v="0"/>
    <n v="0"/>
    <n v="1613.1799878797729"/>
    <n v="1508.4174116256031"/>
    <n v="0.74774183214446621"/>
    <n v="105"/>
    <n v="83"/>
    <n v="0"/>
    <n v="22"/>
    <n v="1"/>
    <n v="0.55371560982254131"/>
    <n v="1"/>
    <n v="75.849999999999994"/>
    <n v="75.849999999999994"/>
    <n v="10.594673785973107"/>
    <n v="1623.774661665746"/>
    <n v="1"/>
    <n v="0"/>
    <n v="0"/>
    <n v="0"/>
    <n v="0"/>
    <n v="0"/>
    <n v="0"/>
    <n v="0"/>
    <n v="0"/>
    <n v="0"/>
  </r>
  <r>
    <d v="2012-05-22T00:00:00"/>
    <n v="2012"/>
    <x v="1"/>
    <s v="R"/>
    <s v="RS"/>
    <x v="1"/>
    <s v="LAS"/>
    <s v="A"/>
    <n v="3"/>
    <n v="3"/>
    <n v="0"/>
    <n v="0"/>
    <n v="0"/>
    <n v="0"/>
    <n v="1515.1354100048804"/>
    <n v="1483.9644328975953"/>
    <n v="0.4245534832134803"/>
    <n v="61"/>
    <n v="74"/>
    <n v="0"/>
    <n v="-13"/>
    <n v="0"/>
    <n v="0.46009247887556404"/>
    <n v="1"/>
    <n v="75.7"/>
    <n v="75.7"/>
    <n v="-14.786773543175761"/>
    <n v="1500.3486364617047"/>
    <n v="0"/>
    <n v="1"/>
    <n v="0"/>
    <n v="0"/>
    <n v="0"/>
    <n v="0"/>
    <n v="0"/>
    <n v="0"/>
    <n v="0"/>
    <n v="0"/>
  </r>
  <r>
    <d v="2012-05-22T00:00:00"/>
    <n v="2012"/>
    <x v="1"/>
    <s v="R"/>
    <s v="RS"/>
    <x v="0"/>
    <s v="SEA"/>
    <s v="H"/>
    <n v="3"/>
    <n v="3"/>
    <n v="0"/>
    <n v="0"/>
    <n v="0"/>
    <n v="0"/>
    <n v="1483.9644328975953"/>
    <n v="1515.1354100048804"/>
    <n v="0.57544651678651981"/>
    <n v="74"/>
    <n v="61"/>
    <n v="0"/>
    <n v="13"/>
    <n v="1"/>
    <n v="0.46009247887556404"/>
    <n v="1"/>
    <n v="75.7"/>
    <n v="75.7"/>
    <n v="14.786773543175755"/>
    <n v="1498.7512064407711"/>
    <n v="1"/>
    <n v="0"/>
    <n v="0"/>
    <n v="0"/>
    <n v="0"/>
    <n v="0"/>
    <n v="0"/>
    <n v="0"/>
    <n v="0"/>
    <n v="0"/>
  </r>
  <r>
    <d v="2012-05-22T00:00:00"/>
    <n v="2012"/>
    <x v="1"/>
    <s v="R"/>
    <s v="RS"/>
    <x v="11"/>
    <s v="NYL"/>
    <s v="A"/>
    <n v="1"/>
    <n v="1"/>
    <n v="0"/>
    <n v="0"/>
    <n v="0"/>
    <n v="0"/>
    <n v="1623.774661665746"/>
    <n v="1495.971879282627"/>
    <n v="0.56270539291987764"/>
    <n v="80"/>
    <n v="62"/>
    <n v="0"/>
    <n v="18"/>
    <n v="1"/>
    <n v="0.49420043944617065"/>
    <n v="1"/>
    <n v="75.7"/>
    <n v="75.7"/>
    <n v="16.359616854873281"/>
    <n v="1640.1342785206193"/>
    <n v="1"/>
    <n v="0"/>
    <n v="0"/>
    <n v="0"/>
    <n v="0"/>
    <n v="0"/>
    <n v="0"/>
    <n v="0"/>
    <n v="0"/>
    <n v="0"/>
  </r>
  <r>
    <d v="2012-05-22T00:00:00"/>
    <n v="2012"/>
    <x v="2"/>
    <s v="R"/>
    <s v="RS"/>
    <x v="5"/>
    <s v="MIN"/>
    <s v="H"/>
    <n v="1"/>
    <n v="1"/>
    <n v="0"/>
    <n v="0"/>
    <n v="0"/>
    <n v="0"/>
    <n v="1495.971879282627"/>
    <n v="1623.774661665746"/>
    <n v="0.4372946070801223"/>
    <n v="62"/>
    <n v="80"/>
    <n v="0"/>
    <n v="-18"/>
    <n v="0"/>
    <n v="0.49420043944617065"/>
    <n v="1"/>
    <n v="75.55"/>
    <n v="75.55"/>
    <n v="-16.327200176825311"/>
    <n v="1479.6446791058017"/>
    <n v="0"/>
    <n v="1"/>
    <n v="0"/>
    <n v="0"/>
    <n v="0"/>
    <n v="0"/>
    <n v="0"/>
    <n v="0"/>
    <n v="0"/>
    <n v="0"/>
  </r>
  <r>
    <d v="2012-05-22T00:00:00"/>
    <n v="2012"/>
    <x v="1"/>
    <s v="R"/>
    <s v="RS"/>
    <x v="10"/>
    <s v="TUL"/>
    <s v="A"/>
    <n v="1"/>
    <n v="2"/>
    <n v="-1"/>
    <n v="1"/>
    <n v="-8"/>
    <n v="8"/>
    <n v="1497.82273783963"/>
    <n v="1355.3243062133349"/>
    <n v="0.5608569426447455"/>
    <n v="89"/>
    <n v="87"/>
    <n v="0"/>
    <n v="2"/>
    <n v="1"/>
    <n v="0.23941151617007855"/>
    <n v="1"/>
    <n v="75.7"/>
    <n v="75.7"/>
    <n v="7.9587880218977833"/>
    <n v="1505.7815258615278"/>
    <n v="1"/>
    <n v="0"/>
    <n v="0"/>
    <n v="0"/>
    <n v="0"/>
    <n v="0"/>
    <n v="0"/>
    <n v="0"/>
    <n v="0"/>
    <n v="0"/>
  </r>
  <r>
    <d v="2012-05-22T00:00:00"/>
    <n v="2012"/>
    <x v="1"/>
    <s v="R"/>
    <s v="RS"/>
    <x v="7"/>
    <s v="PHX"/>
    <s v="H"/>
    <n v="2"/>
    <n v="1"/>
    <n v="1"/>
    <n v="-1"/>
    <n v="8"/>
    <n v="-8"/>
    <n v="1355.3243062133349"/>
    <n v="1497.82273783963"/>
    <n v="0.4391430573552545"/>
    <n v="87"/>
    <n v="89"/>
    <n v="0"/>
    <n v="-2"/>
    <n v="0"/>
    <n v="0.23941151617007855"/>
    <n v="1"/>
    <n v="75.7"/>
    <n v="75.7"/>
    <n v="-7.9587880218977833"/>
    <n v="1347.3655181914371"/>
    <n v="0"/>
    <n v="1"/>
    <n v="0"/>
    <n v="0"/>
    <n v="0"/>
    <n v="0"/>
    <n v="0"/>
    <n v="0"/>
    <n v="0"/>
    <n v="0"/>
  </r>
  <r>
    <d v="2012-05-24T00:00:00"/>
    <n v="2012"/>
    <x v="2"/>
    <s v="R"/>
    <s v="RS"/>
    <x v="0"/>
    <s v="MIN"/>
    <s v="A"/>
    <n v="1"/>
    <n v="1"/>
    <n v="0"/>
    <n v="0"/>
    <n v="0"/>
    <n v="0"/>
    <n v="1498.7512064407711"/>
    <n v="1640.1342785206193"/>
    <n v="0.21460135798276381"/>
    <n v="84"/>
    <n v="92"/>
    <n v="0"/>
    <n v="-8"/>
    <n v="0"/>
    <n v="0.34738670235423125"/>
    <n v="1"/>
    <n v="75.55"/>
    <n v="75.55"/>
    <n v="-5.6322266672166199"/>
    <n v="1493.1189797735544"/>
    <n v="0"/>
    <n v="1"/>
    <n v="0"/>
    <n v="0"/>
    <n v="0"/>
    <n v="0"/>
    <n v="0"/>
    <n v="0"/>
    <n v="0"/>
    <n v="0"/>
  </r>
  <r>
    <d v="2012-05-24T00:00:00"/>
    <n v="2012"/>
    <x v="2"/>
    <s v="R"/>
    <s v="RS"/>
    <x v="11"/>
    <s v="LAS"/>
    <s v="H"/>
    <n v="1"/>
    <n v="1"/>
    <n v="0"/>
    <n v="0"/>
    <n v="0"/>
    <n v="0"/>
    <n v="1640.1342785206193"/>
    <n v="1498.7512064407711"/>
    <n v="0.78539864201723619"/>
    <n v="92"/>
    <n v="84"/>
    <n v="0"/>
    <n v="8"/>
    <n v="1"/>
    <n v="0.34738670235423125"/>
    <n v="1"/>
    <n v="75.55"/>
    <n v="75.55"/>
    <n v="5.6322266672166199"/>
    <n v="1645.7665051878359"/>
    <n v="1"/>
    <n v="0"/>
    <n v="0"/>
    <n v="0"/>
    <n v="0"/>
    <n v="0"/>
    <n v="0"/>
    <n v="0"/>
    <n v="0"/>
    <n v="0"/>
  </r>
  <r>
    <d v="2012-05-25T00:00:00"/>
    <n v="2012"/>
    <x v="3"/>
    <s v="R"/>
    <s v="RS"/>
    <x v="5"/>
    <s v="ATL"/>
    <s v="A"/>
    <n v="2"/>
    <n v="5"/>
    <n v="-3"/>
    <n v="3"/>
    <n v="-16"/>
    <n v="16"/>
    <n v="1479.6446791058017"/>
    <n v="1541.2972819555198"/>
    <n v="0.26451141985708299"/>
    <n v="74"/>
    <n v="100"/>
    <n v="0"/>
    <n v="-26"/>
    <n v="0"/>
    <n v="0.62212439053930091"/>
    <n v="1"/>
    <n v="75.400000000000006"/>
    <n v="75.400000000000006"/>
    <n v="-12.407749042543177"/>
    <n v="1467.2369300632586"/>
    <n v="0"/>
    <n v="1"/>
    <n v="0"/>
    <n v="0"/>
    <n v="0"/>
    <n v="0"/>
    <n v="0"/>
    <n v="0"/>
    <n v="0"/>
    <n v="0"/>
  </r>
  <r>
    <d v="2012-05-25T00:00:00"/>
    <n v="2012"/>
    <x v="1"/>
    <s v="R"/>
    <s v="RS"/>
    <x v="2"/>
    <s v="NYL"/>
    <s v="H"/>
    <n v="5"/>
    <n v="2"/>
    <n v="3"/>
    <n v="-3"/>
    <n v="16"/>
    <n v="-16"/>
    <n v="1541.2972819555198"/>
    <n v="1479.6446791058017"/>
    <n v="0.73548858014291696"/>
    <n v="100"/>
    <n v="74"/>
    <n v="0"/>
    <n v="26"/>
    <n v="1"/>
    <n v="0.62212439053930091"/>
    <n v="1"/>
    <n v="75.7"/>
    <n v="75.7"/>
    <n v="12.457116744303962"/>
    <n v="1553.7543986998237"/>
    <n v="1"/>
    <n v="0"/>
    <n v="0"/>
    <n v="0"/>
    <n v="0"/>
    <n v="0"/>
    <n v="0"/>
    <n v="0"/>
    <n v="0"/>
    <n v="0"/>
  </r>
  <r>
    <d v="2012-05-25T00:00:00"/>
    <n v="2012"/>
    <x v="1"/>
    <s v="R"/>
    <s v="RS"/>
    <x v="3"/>
    <s v="CHI"/>
    <s v="A"/>
    <n v="5"/>
    <n v="5"/>
    <n v="0"/>
    <n v="0"/>
    <n v="0"/>
    <n v="0"/>
    <n v="1533.034343912323"/>
    <n v="1489.2229527458433"/>
    <n v="0.44242051918070247"/>
    <n v="83"/>
    <n v="72"/>
    <n v="0"/>
    <n v="11"/>
    <n v="1"/>
    <n v="0.42434340773657786"/>
    <n v="1"/>
    <n v="75.7"/>
    <n v="75.7"/>
    <n v="17.911011896996339"/>
    <n v="1550.9453558093194"/>
    <n v="1"/>
    <n v="0"/>
    <n v="0"/>
    <n v="0"/>
    <n v="0"/>
    <n v="0"/>
    <n v="0"/>
    <n v="0"/>
    <n v="0"/>
    <n v="0"/>
  </r>
  <r>
    <d v="2012-05-25T00:00:00"/>
    <n v="2012"/>
    <x v="1"/>
    <s v="R"/>
    <s v="RS"/>
    <x v="8"/>
    <s v="IND"/>
    <s v="H"/>
    <n v="5"/>
    <n v="5"/>
    <n v="0"/>
    <n v="0"/>
    <n v="0"/>
    <n v="0"/>
    <n v="1489.2229527458433"/>
    <n v="1533.034343912323"/>
    <n v="0.55757948081929753"/>
    <n v="72"/>
    <n v="83"/>
    <n v="0"/>
    <n v="-11"/>
    <n v="0"/>
    <n v="0.42434340773657786"/>
    <n v="1"/>
    <n v="75.7"/>
    <n v="75.7"/>
    <n v="-17.911011896996339"/>
    <n v="1471.3119408488469"/>
    <n v="0"/>
    <n v="1"/>
    <n v="0"/>
    <n v="0"/>
    <n v="0"/>
    <n v="0"/>
    <n v="0"/>
    <n v="0"/>
    <n v="0"/>
    <n v="0"/>
  </r>
  <r>
    <d v="2012-05-25T00:00:00"/>
    <n v="2012"/>
    <x v="1"/>
    <s v="R"/>
    <s v="RS"/>
    <x v="6"/>
    <s v="CON"/>
    <s v="A"/>
    <n v="5"/>
    <n v="4"/>
    <n v="1"/>
    <n v="-1"/>
    <n v="8"/>
    <n v="-8"/>
    <n v="1519.6990824888674"/>
    <n v="1556.0201295677953"/>
    <n v="0.35422468472024399"/>
    <n v="79"/>
    <n v="83"/>
    <n v="0"/>
    <n v="-4"/>
    <n v="0"/>
    <n v="0.30228336140329143"/>
    <n v="1"/>
    <n v="75.7"/>
    <n v="75.7"/>
    <n v="-8.1056704890667159"/>
    <n v="1511.5934119998005"/>
    <n v="0"/>
    <n v="1"/>
    <n v="0"/>
    <n v="0"/>
    <n v="0"/>
    <n v="0"/>
    <n v="0"/>
    <n v="0"/>
    <n v="0"/>
    <n v="0"/>
  </r>
  <r>
    <d v="2012-05-25T00:00:00"/>
    <n v="2012"/>
    <x v="2"/>
    <s v="R"/>
    <s v="RS"/>
    <x v="4"/>
    <s v="SAS"/>
    <s v="H"/>
    <n v="4"/>
    <n v="5"/>
    <n v="-1"/>
    <n v="1"/>
    <n v="-8"/>
    <n v="8"/>
    <n v="1556.0201295677953"/>
    <n v="1519.6990824888674"/>
    <n v="0.64577531527975596"/>
    <n v="83"/>
    <n v="79"/>
    <n v="0"/>
    <n v="4"/>
    <n v="1"/>
    <n v="0.30228336140329143"/>
    <n v="1"/>
    <n v="75.55"/>
    <n v="75.55"/>
    <n v="8.0896090548083279"/>
    <n v="1564.1097386226036"/>
    <n v="1"/>
    <n v="0"/>
    <n v="0"/>
    <n v="0"/>
    <n v="0"/>
    <n v="0"/>
    <n v="0"/>
    <n v="0"/>
    <n v="0"/>
    <n v="0"/>
  </r>
  <r>
    <d v="2012-05-26T00:00:00"/>
    <n v="2012"/>
    <x v="3"/>
    <s v="R"/>
    <s v="RS"/>
    <x v="0"/>
    <s v="PHX"/>
    <s v="A"/>
    <n v="1"/>
    <n v="3"/>
    <n v="-2"/>
    <n v="2"/>
    <n v="-16"/>
    <n v="16"/>
    <n v="1493.1189797735544"/>
    <n v="1505.7815258615278"/>
    <n v="0.32286395746794733"/>
    <n v="99"/>
    <n v="88"/>
    <n v="0"/>
    <n v="11"/>
    <n v="1"/>
    <n v="0.43524323070077559"/>
    <n v="1"/>
    <n v="75.400000000000006"/>
    <n v="75.400000000000006"/>
    <n v="22.221803459679368"/>
    <n v="1515.3407832332339"/>
    <n v="1"/>
    <n v="0"/>
    <n v="0"/>
    <n v="0"/>
    <n v="0"/>
    <n v="0"/>
    <n v="0"/>
    <n v="0"/>
    <n v="0"/>
    <n v="0"/>
  </r>
  <r>
    <d v="2012-05-26T00:00:00"/>
    <n v="2012"/>
    <x v="2"/>
    <s v="R"/>
    <s v="RS"/>
    <x v="10"/>
    <s v="LAS"/>
    <s v="H"/>
    <n v="3"/>
    <n v="1"/>
    <n v="2"/>
    <n v="-2"/>
    <n v="16"/>
    <n v="-16"/>
    <n v="1505.7815258615278"/>
    <n v="1493.1189797735544"/>
    <n v="0.67713604253205262"/>
    <n v="88"/>
    <n v="99"/>
    <n v="0"/>
    <n v="-11"/>
    <n v="0"/>
    <n v="0.43524323070077559"/>
    <n v="1"/>
    <n v="75.55"/>
    <n v="75.55"/>
    <n v="-22.266011291495701"/>
    <n v="1483.5155145700321"/>
    <n v="0"/>
    <n v="1"/>
    <n v="0"/>
    <n v="0"/>
    <n v="0"/>
    <n v="0"/>
    <n v="0"/>
    <n v="0"/>
    <n v="0"/>
    <n v="0"/>
  </r>
  <r>
    <d v="2012-05-26T00:00:00"/>
    <n v="2012"/>
    <x v="2"/>
    <s v="R"/>
    <s v="RS"/>
    <x v="7"/>
    <s v="WAS"/>
    <s v="A"/>
    <n v="3"/>
    <n v="6"/>
    <n v="-3"/>
    <n v="3"/>
    <n v="-16"/>
    <n v="16"/>
    <n v="1347.3655181914371"/>
    <n v="1398.2433282228001"/>
    <n v="0.27675289790633895"/>
    <n v="61"/>
    <n v="64"/>
    <n v="0"/>
    <n v="-3"/>
    <n v="0"/>
    <n v="0.27838068796641202"/>
    <n v="1"/>
    <n v="75.55"/>
    <n v="75.55"/>
    <n v="-5.8205731228535873"/>
    <n v="1341.5449450685835"/>
    <n v="0"/>
    <n v="1"/>
    <n v="0"/>
    <n v="0"/>
    <n v="0"/>
    <n v="0"/>
    <n v="0"/>
    <n v="0"/>
    <n v="0"/>
    <n v="0"/>
  </r>
  <r>
    <d v="2012-05-26T00:00:00"/>
    <n v="2012"/>
    <x v="1"/>
    <s v="R"/>
    <s v="RS"/>
    <x v="9"/>
    <s v="TUL"/>
    <s v="H"/>
    <n v="6"/>
    <n v="3"/>
    <n v="3"/>
    <n v="-3"/>
    <n v="16"/>
    <n v="-16"/>
    <n v="1398.2433282228001"/>
    <n v="1347.3655181914371"/>
    <n v="0.72324710209366105"/>
    <n v="64"/>
    <n v="61"/>
    <n v="0"/>
    <n v="3"/>
    <n v="1"/>
    <n v="0.27838068796641202"/>
    <n v="1"/>
    <n v="75.7"/>
    <n v="75.7"/>
    <n v="5.832129522170967"/>
    <n v="1404.0754577449711"/>
    <n v="1"/>
    <n v="0"/>
    <n v="0"/>
    <n v="0"/>
    <n v="0"/>
    <n v="0"/>
    <n v="0"/>
    <n v="0"/>
    <n v="0"/>
    <n v="0"/>
  </r>
  <r>
    <d v="2012-05-27T00:00:00"/>
    <n v="2012"/>
    <x v="2"/>
    <s v="R"/>
    <s v="RS"/>
    <x v="3"/>
    <s v="ATL"/>
    <s v="A"/>
    <n v="1"/>
    <n v="1"/>
    <n v="0"/>
    <n v="0"/>
    <n v="0"/>
    <n v="0"/>
    <n v="1550.9453558093194"/>
    <n v="1553.7543986998237"/>
    <n v="0.37760811247636183"/>
    <n v="78"/>
    <n v="62"/>
    <n v="0"/>
    <n v="16"/>
    <n v="1"/>
    <n v="0.5165767936387532"/>
    <n v="1"/>
    <n v="75.55"/>
    <n v="75.55"/>
    <n v="24.290322686383991"/>
    <n v="1575.2356784957033"/>
    <n v="1"/>
    <n v="0"/>
    <n v="0"/>
    <n v="0"/>
    <n v="0"/>
    <n v="0"/>
    <n v="0"/>
    <n v="0"/>
    <n v="0"/>
    <n v="0"/>
  </r>
  <r>
    <d v="2012-05-27T00:00:00"/>
    <n v="2012"/>
    <x v="2"/>
    <s v="R"/>
    <s v="RS"/>
    <x v="2"/>
    <s v="IND"/>
    <s v="H"/>
    <n v="1"/>
    <n v="1"/>
    <n v="0"/>
    <n v="0"/>
    <n v="0"/>
    <n v="0"/>
    <n v="1553.7543986998237"/>
    <n v="1550.9453558093194"/>
    <n v="0.62239188752363817"/>
    <n v="62"/>
    <n v="78"/>
    <n v="0"/>
    <n v="-16"/>
    <n v="0"/>
    <n v="0.5165767936387532"/>
    <n v="1"/>
    <n v="75.55"/>
    <n v="75.55"/>
    <n v="-24.290322686383991"/>
    <n v="1529.4640760134398"/>
    <n v="0"/>
    <n v="1"/>
    <n v="0"/>
    <n v="0"/>
    <n v="0"/>
    <n v="0"/>
    <n v="0"/>
    <n v="0"/>
    <n v="0"/>
    <n v="0"/>
  </r>
  <r>
    <d v="2012-05-27T00:00:00"/>
    <n v="2012"/>
    <x v="2"/>
    <s v="R"/>
    <s v="RS"/>
    <x v="1"/>
    <s v="MIN"/>
    <s v="A"/>
    <n v="4"/>
    <n v="2"/>
    <n v="2"/>
    <n v="-2"/>
    <n v="16"/>
    <n v="-16"/>
    <n v="1500.3486364617047"/>
    <n v="1645.7665051878359"/>
    <n v="0.2429766768858278"/>
    <n v="71"/>
    <n v="84"/>
    <n v="0"/>
    <n v="-13"/>
    <n v="0"/>
    <n v="0.42102347526666178"/>
    <n v="1"/>
    <n v="75.55"/>
    <n v="75.55"/>
    <n v="-7.728680755042368"/>
    <n v="1492.6199557066623"/>
    <n v="0"/>
    <n v="1"/>
    <n v="0"/>
    <n v="0"/>
    <n v="0"/>
    <n v="0"/>
    <n v="0"/>
    <n v="0"/>
    <n v="0"/>
    <n v="0"/>
  </r>
  <r>
    <d v="2012-05-27T00:00:00"/>
    <n v="2012"/>
    <x v="3"/>
    <s v="R"/>
    <s v="RS"/>
    <x v="11"/>
    <s v="SEA"/>
    <s v="H"/>
    <n v="2"/>
    <n v="4"/>
    <n v="-2"/>
    <n v="2"/>
    <n v="-16"/>
    <n v="16"/>
    <n v="1645.7665051878359"/>
    <n v="1500.3486364617047"/>
    <n v="0.7570233231141722"/>
    <n v="84"/>
    <n v="71"/>
    <n v="0"/>
    <n v="13"/>
    <n v="1"/>
    <n v="0.42102347526666178"/>
    <n v="1"/>
    <n v="75.400000000000006"/>
    <n v="75.400000000000006"/>
    <n v="7.7133359223056868"/>
    <n v="1653.4798411101417"/>
    <n v="1"/>
    <n v="0"/>
    <n v="0"/>
    <n v="0"/>
    <n v="0"/>
    <n v="0"/>
    <n v="0"/>
    <n v="0"/>
    <n v="0"/>
    <n v="0"/>
  </r>
  <r>
    <d v="2012-05-29T00:00:00"/>
    <n v="2012"/>
    <x v="3"/>
    <s v="R"/>
    <s v="RS"/>
    <x v="7"/>
    <s v="LAS"/>
    <s v="A"/>
    <n v="2"/>
    <n v="2"/>
    <n v="0"/>
    <n v="0"/>
    <n v="0"/>
    <n v="0"/>
    <n v="1341.5449450685835"/>
    <n v="1515.3407832332339"/>
    <n v="0.18482518798288078"/>
    <n v="75"/>
    <n v="76"/>
    <n v="0"/>
    <n v="-1"/>
    <n v="0"/>
    <n v="0.21328904704632975"/>
    <n v="1"/>
    <n v="75.400000000000006"/>
    <n v="75.400000000000006"/>
    <n v="-2.9723575914130662"/>
    <n v="1338.5725874771704"/>
    <n v="0"/>
    <n v="1"/>
    <n v="0"/>
    <n v="0"/>
    <n v="0"/>
    <n v="0"/>
    <n v="0"/>
    <n v="0"/>
    <n v="0"/>
    <n v="0"/>
  </r>
  <r>
    <d v="2012-05-29T00:00:00"/>
    <n v="2012"/>
    <x v="4"/>
    <s v="R"/>
    <s v="RS"/>
    <x v="0"/>
    <s v="TUL"/>
    <s v="H"/>
    <n v="2"/>
    <n v="2"/>
    <n v="0"/>
    <n v="0"/>
    <n v="0"/>
    <n v="0"/>
    <n v="1515.3407832332339"/>
    <n v="1341.5449450685835"/>
    <n v="0.81517481201711928"/>
    <n v="76"/>
    <n v="75"/>
    <n v="0"/>
    <n v="1"/>
    <n v="1"/>
    <n v="0.21328904704632975"/>
    <n v="1"/>
    <n v="75.25"/>
    <n v="75.25"/>
    <n v="2.966444413180811"/>
    <n v="1518.3072276464147"/>
    <n v="1"/>
    <n v="0"/>
    <n v="0"/>
    <n v="0"/>
    <n v="0"/>
    <n v="0"/>
    <n v="0"/>
    <n v="0"/>
    <n v="0"/>
    <n v="0"/>
  </r>
  <r>
    <d v="2012-05-30T00:00:00"/>
    <n v="2012"/>
    <x v="2"/>
    <s v="R"/>
    <s v="RS"/>
    <x v="8"/>
    <s v="SAS"/>
    <s v="A"/>
    <n v="4"/>
    <n v="4"/>
    <n v="0"/>
    <n v="0"/>
    <n v="0"/>
    <n v="0"/>
    <n v="1471.3119408488469"/>
    <n v="1511.5934119998005"/>
    <n v="0.32840196085677797"/>
    <n v="77"/>
    <n v="63"/>
    <n v="0"/>
    <n v="14"/>
    <n v="1"/>
    <n v="0.47177172105774839"/>
    <n v="1"/>
    <n v="75.55"/>
    <n v="75.55"/>
    <n v="23.937334738452602"/>
    <n v="1495.2492755872995"/>
    <n v="1"/>
    <n v="0"/>
    <n v="0"/>
    <n v="0"/>
    <n v="0"/>
    <n v="0"/>
    <n v="0"/>
    <n v="0"/>
    <n v="0"/>
    <n v="0"/>
  </r>
  <r>
    <d v="2012-05-30T00:00:00"/>
    <n v="2012"/>
    <x v="2"/>
    <s v="R"/>
    <s v="RS"/>
    <x v="6"/>
    <s v="CHI"/>
    <s v="H"/>
    <n v="4"/>
    <n v="4"/>
    <n v="0"/>
    <n v="0"/>
    <n v="0"/>
    <n v="0"/>
    <n v="1511.5934119998005"/>
    <n v="1471.3119408488469"/>
    <n v="0.67159803914322203"/>
    <n v="63"/>
    <n v="77"/>
    <n v="0"/>
    <n v="-14"/>
    <n v="0"/>
    <n v="0.47177172105774839"/>
    <n v="1"/>
    <n v="75.55"/>
    <n v="75.55"/>
    <n v="-23.937334738452602"/>
    <n v="1487.6560772613479"/>
    <n v="0"/>
    <n v="1"/>
    <n v="0"/>
    <n v="0"/>
    <n v="0"/>
    <n v="0"/>
    <n v="0"/>
    <n v="0"/>
    <n v="0"/>
    <n v="0"/>
  </r>
  <r>
    <d v="2012-05-30T00:00:00"/>
    <n v="2012"/>
    <x v="4"/>
    <s v="R"/>
    <s v="RS"/>
    <x v="11"/>
    <s v="WAS"/>
    <s v="A"/>
    <n v="2"/>
    <n v="3"/>
    <n v="-1"/>
    <n v="1"/>
    <n v="-8"/>
    <n v="8"/>
    <n v="1653.4798411101417"/>
    <n v="1404.0754577449711"/>
    <n v="0.70266917123267481"/>
    <n v="79"/>
    <n v="77"/>
    <n v="0"/>
    <n v="2"/>
    <n v="1"/>
    <n v="0.22175287218696524"/>
    <n v="1"/>
    <n v="75.25"/>
    <n v="75.25"/>
    <n v="4.9615308864836054"/>
    <n v="1658.4413719966253"/>
    <n v="1"/>
    <n v="0"/>
    <n v="0"/>
    <n v="0"/>
    <n v="0"/>
    <n v="0"/>
    <n v="0"/>
    <n v="0"/>
    <n v="0"/>
    <n v="0"/>
  </r>
  <r>
    <d v="2012-05-30T00:00:00"/>
    <n v="2012"/>
    <x v="2"/>
    <s v="R"/>
    <s v="RS"/>
    <x v="9"/>
    <s v="MIN"/>
    <s v="H"/>
    <n v="3"/>
    <n v="2"/>
    <n v="1"/>
    <n v="-1"/>
    <n v="8"/>
    <n v="-8"/>
    <n v="1404.0754577449711"/>
    <n v="1653.4798411101417"/>
    <n v="0.29733082876732525"/>
    <n v="77"/>
    <n v="79"/>
    <n v="0"/>
    <n v="-2"/>
    <n v="0"/>
    <n v="0.22175287218696524"/>
    <n v="1"/>
    <n v="75.55"/>
    <n v="75.55"/>
    <n v="-4.9813110760642711"/>
    <n v="1399.0941466689069"/>
    <n v="0"/>
    <n v="1"/>
    <n v="0"/>
    <n v="0"/>
    <n v="0"/>
    <n v="0"/>
    <n v="0"/>
    <n v="0"/>
    <n v="0"/>
    <n v="0"/>
  </r>
  <r>
    <d v="2012-05-31T00:00:00"/>
    <n v="2012"/>
    <x v="3"/>
    <s v="R"/>
    <s v="RS"/>
    <x v="10"/>
    <s v="ATL"/>
    <s v="A"/>
    <n v="4"/>
    <n v="3"/>
    <n v="1"/>
    <n v="-1"/>
    <n v="8"/>
    <n v="-8"/>
    <n v="1483.5155145700321"/>
    <n v="1529.4640760134398"/>
    <n v="0.34165207745930315"/>
    <n v="65"/>
    <n v="81"/>
    <n v="0"/>
    <n v="-16"/>
    <n v="0"/>
    <n v="0.49869092349708233"/>
    <n v="1"/>
    <n v="75.400000000000006"/>
    <n v="75.400000000000006"/>
    <n v="-12.846560767724895"/>
    <n v="1470.6689538023072"/>
    <n v="0"/>
    <n v="1"/>
    <n v="0"/>
    <n v="0"/>
    <n v="0"/>
    <n v="0"/>
    <n v="0"/>
    <n v="0"/>
    <n v="0"/>
    <n v="0"/>
  </r>
  <r>
    <d v="2012-05-31T00:00:00"/>
    <n v="2012"/>
    <x v="3"/>
    <s v="R"/>
    <s v="RS"/>
    <x v="2"/>
    <s v="PHX"/>
    <s v="H"/>
    <n v="3"/>
    <n v="4"/>
    <n v="-1"/>
    <n v="1"/>
    <n v="-8"/>
    <n v="8"/>
    <n v="1529.4640760134398"/>
    <n v="1483.5155145700321"/>
    <n v="0.65834792254069685"/>
    <n v="81"/>
    <n v="65"/>
    <n v="0"/>
    <n v="16"/>
    <n v="1"/>
    <n v="0.49869092349708233"/>
    <n v="1"/>
    <n v="75.400000000000006"/>
    <n v="75.400000000000006"/>
    <n v="12.846560767724895"/>
    <n v="1542.3106367811647"/>
    <n v="1"/>
    <n v="0"/>
    <n v="0"/>
    <n v="0"/>
    <n v="0"/>
    <n v="0"/>
    <n v="0"/>
    <n v="0"/>
    <n v="0"/>
    <n v="0"/>
  </r>
  <r>
    <d v="2012-06-01T00:00:00"/>
    <n v="2012"/>
    <x v="3"/>
    <s v="R"/>
    <s v="RS"/>
    <x v="9"/>
    <s v="CHI"/>
    <s v="A"/>
    <n v="1"/>
    <n v="1"/>
    <n v="0"/>
    <n v="0"/>
    <n v="0"/>
    <n v="0"/>
    <n v="1399.0941466689069"/>
    <n v="1495.2492755872995"/>
    <n v="0.26171838480738641"/>
    <n v="63"/>
    <n v="65"/>
    <n v="0"/>
    <n v="-2"/>
    <n v="0"/>
    <n v="0.24797154121498688"/>
    <n v="1"/>
    <n v="75.400000000000006"/>
    <n v="75.400000000000006"/>
    <n v="-4.8933628278718402"/>
    <n v="1394.200783841035"/>
    <n v="0"/>
    <n v="1"/>
    <n v="0"/>
    <n v="0"/>
    <n v="0"/>
    <n v="0"/>
    <n v="0"/>
    <n v="0"/>
    <n v="0"/>
    <n v="0"/>
  </r>
  <r>
    <d v="2012-06-01T00:00:00"/>
    <n v="2012"/>
    <x v="3"/>
    <s v="R"/>
    <s v="RS"/>
    <x v="8"/>
    <s v="WAS"/>
    <s v="H"/>
    <n v="1"/>
    <n v="1"/>
    <n v="0"/>
    <n v="0"/>
    <n v="0"/>
    <n v="0"/>
    <n v="1495.2492755872995"/>
    <n v="1399.0941466689069"/>
    <n v="0.73828161519261359"/>
    <n v="65"/>
    <n v="63"/>
    <n v="0"/>
    <n v="2"/>
    <n v="1"/>
    <n v="0.24797154121498688"/>
    <n v="1"/>
    <n v="75.400000000000006"/>
    <n v="75.400000000000006"/>
    <n v="4.8933628278718402"/>
    <n v="1500.1426384151714"/>
    <n v="1"/>
    <n v="0"/>
    <n v="0"/>
    <n v="0"/>
    <n v="0"/>
    <n v="0"/>
    <n v="0"/>
    <n v="0"/>
    <n v="0"/>
    <n v="0"/>
  </r>
  <r>
    <d v="2012-06-01T00:00:00"/>
    <n v="2012"/>
    <x v="5"/>
    <s v="R"/>
    <s v="RS"/>
    <x v="11"/>
    <s v="CON"/>
    <s v="A"/>
    <n v="1"/>
    <n v="6"/>
    <n v="-5"/>
    <n v="5"/>
    <n v="-16"/>
    <n v="16"/>
    <n v="1658.4413719966253"/>
    <n v="1564.1097386226036"/>
    <n v="0.46885708101675944"/>
    <n v="85"/>
    <n v="72"/>
    <n v="0"/>
    <n v="13"/>
    <n v="1"/>
    <n v="0.43764093542265597"/>
    <n v="1"/>
    <n v="75.099999999999994"/>
    <n v="75.099999999999994"/>
    <n v="17.456986281411599"/>
    <n v="1675.898358278037"/>
    <n v="1"/>
    <n v="0"/>
    <n v="0"/>
    <n v="0"/>
    <n v="0"/>
    <n v="0"/>
    <n v="0"/>
    <n v="0"/>
    <n v="0"/>
    <n v="0"/>
  </r>
  <r>
    <d v="2012-06-01T00:00:00"/>
    <n v="2012"/>
    <x v="3"/>
    <s v="R"/>
    <s v="RS"/>
    <x v="4"/>
    <s v="MIN"/>
    <s v="H"/>
    <n v="6"/>
    <n v="1"/>
    <n v="5"/>
    <n v="-5"/>
    <n v="16"/>
    <n v="-16"/>
    <n v="1564.1097386226036"/>
    <n v="1658.4413719966253"/>
    <n v="0.53114291898324062"/>
    <n v="72"/>
    <n v="85"/>
    <n v="0"/>
    <n v="-13"/>
    <n v="0"/>
    <n v="0.43764093542265597"/>
    <n v="1"/>
    <n v="75.400000000000006"/>
    <n v="75.400000000000006"/>
    <n v="-17.526721246583683"/>
    <n v="1546.5830173760198"/>
    <n v="0"/>
    <n v="1"/>
    <n v="0"/>
    <n v="0"/>
    <n v="0"/>
    <n v="0"/>
    <n v="0"/>
    <n v="0"/>
    <n v="0"/>
    <n v="0"/>
  </r>
  <r>
    <d v="2012-06-01T00:00:00"/>
    <n v="2012"/>
    <x v="4"/>
    <s v="R"/>
    <s v="RS"/>
    <x v="10"/>
    <s v="SAS"/>
    <s v="A"/>
    <n v="0"/>
    <n v="1"/>
    <n v="-1"/>
    <n v="1"/>
    <n v="-8"/>
    <n v="8"/>
    <n v="1470.6689538023072"/>
    <n v="1487.6560772613479"/>
    <n v="0.3377287813900795"/>
    <n v="66"/>
    <n v="85"/>
    <n v="0"/>
    <n v="-19"/>
    <n v="0"/>
    <n v="0.55314725545687016"/>
    <n v="1"/>
    <n v="75.25"/>
    <n v="75.25"/>
    <n v="-14.057734575732361"/>
    <n v="1456.6112192265748"/>
    <n v="0"/>
    <n v="1"/>
    <n v="0"/>
    <n v="0"/>
    <n v="0"/>
    <n v="0"/>
    <n v="0"/>
    <n v="0"/>
    <n v="0"/>
    <n v="0"/>
  </r>
  <r>
    <d v="2012-06-01T00:00:00"/>
    <n v="2012"/>
    <x v="3"/>
    <s v="R"/>
    <s v="RS"/>
    <x v="6"/>
    <s v="PHX"/>
    <s v="H"/>
    <n v="1"/>
    <n v="0"/>
    <n v="1"/>
    <n v="-1"/>
    <n v="8"/>
    <n v="-8"/>
    <n v="1487.6560772613479"/>
    <n v="1470.6689538023072"/>
    <n v="0.66227121860992044"/>
    <n v="85"/>
    <n v="66"/>
    <n v="0"/>
    <n v="19"/>
    <n v="1"/>
    <n v="0.55314725545687016"/>
    <n v="1"/>
    <n v="75.400000000000006"/>
    <n v="75.400000000000006"/>
    <n v="14.085756638009572"/>
    <n v="1501.7418338993575"/>
    <n v="1"/>
    <n v="0"/>
    <n v="0"/>
    <n v="0"/>
    <n v="0"/>
    <n v="0"/>
    <n v="0"/>
    <n v="0"/>
    <n v="0"/>
    <n v="0"/>
  </r>
  <r>
    <d v="2012-06-01T00:00:00"/>
    <n v="2012"/>
    <x v="4"/>
    <s v="R"/>
    <s v="RS"/>
    <x v="7"/>
    <s v="SEA"/>
    <s v="A"/>
    <n v="2"/>
    <n v="4"/>
    <n v="-2"/>
    <n v="2"/>
    <n v="-16"/>
    <n v="16"/>
    <n v="1338.5725874771704"/>
    <n v="1492.6199557066623"/>
    <n v="0.17443474219602417"/>
    <n v="58"/>
    <n v="76"/>
    <n v="0"/>
    <n v="-18"/>
    <n v="0"/>
    <n v="0.48462168602684264"/>
    <n v="1"/>
    <n v="75.25"/>
    <n v="75.25"/>
    <n v="-6.3612481295682892"/>
    <n v="1332.211339347602"/>
    <n v="0"/>
    <n v="1"/>
    <n v="0"/>
    <n v="0"/>
    <n v="0"/>
    <n v="0"/>
    <n v="0"/>
    <n v="0"/>
    <n v="0"/>
    <n v="0"/>
  </r>
  <r>
    <d v="2012-06-01T00:00:00"/>
    <n v="2012"/>
    <x v="3"/>
    <s v="R"/>
    <s v="RS"/>
    <x v="1"/>
    <s v="TUL"/>
    <s v="H"/>
    <n v="4"/>
    <n v="2"/>
    <n v="2"/>
    <n v="-2"/>
    <n v="16"/>
    <n v="-16"/>
    <n v="1492.6199557066623"/>
    <n v="1338.5725874771704"/>
    <n v="0.82556525780397594"/>
    <n v="76"/>
    <n v="58"/>
    <n v="0"/>
    <n v="18"/>
    <n v="1"/>
    <n v="0.48462168602684264"/>
    <n v="1"/>
    <n v="75.400000000000006"/>
    <n v="75.400000000000006"/>
    <n v="6.3739283583979889"/>
    <n v="1498.9938840650602"/>
    <n v="1"/>
    <n v="0"/>
    <n v="0"/>
    <n v="0"/>
    <n v="0"/>
    <n v="0"/>
    <n v="0"/>
    <n v="0"/>
    <n v="0"/>
    <n v="0"/>
  </r>
  <r>
    <d v="2012-06-02T00:00:00"/>
    <n v="2012"/>
    <x v="4"/>
    <s v="R"/>
    <s v="RS"/>
    <x v="8"/>
    <s v="ATL"/>
    <s v="A"/>
    <n v="0"/>
    <n v="1"/>
    <n v="-1"/>
    <n v="1"/>
    <n v="-8"/>
    <n v="8"/>
    <n v="1500.1426384151714"/>
    <n v="1542.3106367811647"/>
    <n v="0.30610663287128781"/>
    <n v="94"/>
    <n v="92"/>
    <n v="1"/>
    <n v="2"/>
    <n v="1"/>
    <n v="0.23287399679830836"/>
    <n v="1"/>
    <n v="75.25"/>
    <n v="75.25"/>
    <n v="12.159626562071209"/>
    <n v="1512.3022649772427"/>
    <n v="1"/>
    <n v="0"/>
    <n v="0"/>
    <n v="0"/>
    <n v="0"/>
    <n v="0"/>
    <n v="0"/>
    <n v="0"/>
    <n v="0"/>
    <n v="0"/>
  </r>
  <r>
    <d v="2012-06-02T00:00:00"/>
    <n v="2012"/>
    <x v="4"/>
    <s v="R"/>
    <s v="RS"/>
    <x v="2"/>
    <s v="CHI"/>
    <s v="H"/>
    <n v="1"/>
    <n v="0"/>
    <n v="1"/>
    <n v="-1"/>
    <n v="8"/>
    <n v="-8"/>
    <n v="1542.3106367811647"/>
    <n v="1500.1426384151714"/>
    <n v="0.69389336712871219"/>
    <n v="92"/>
    <n v="94"/>
    <n v="1"/>
    <n v="-2"/>
    <n v="0"/>
    <n v="0.23287399679830836"/>
    <n v="1"/>
    <n v="75.25"/>
    <n v="75.25"/>
    <n v="-12.159626562071209"/>
    <n v="1530.1510102190935"/>
    <n v="0"/>
    <n v="1"/>
    <n v="0"/>
    <n v="0"/>
    <n v="0"/>
    <n v="0"/>
    <n v="0"/>
    <n v="0"/>
    <n v="0"/>
    <n v="0"/>
  </r>
  <r>
    <d v="2012-06-02T00:00:00"/>
    <n v="2012"/>
    <x v="4"/>
    <s v="R"/>
    <s v="RS"/>
    <x v="5"/>
    <s v="IND"/>
    <s v="A"/>
    <n v="7"/>
    <n v="5"/>
    <n v="2"/>
    <n v="-2"/>
    <n v="16"/>
    <n v="-16"/>
    <n v="1467.2369300632586"/>
    <n v="1575.2356784957033"/>
    <n v="0.28474871628736964"/>
    <n v="68"/>
    <n v="91"/>
    <n v="0"/>
    <n v="-23"/>
    <n v="0"/>
    <n v="0.56453060368693397"/>
    <n v="1"/>
    <n v="75.25"/>
    <n v="75.25"/>
    <n v="-12.096389694035318"/>
    <n v="1455.1405403692233"/>
    <n v="0"/>
    <n v="1"/>
    <n v="0"/>
    <n v="0"/>
    <n v="0"/>
    <n v="0"/>
    <n v="0"/>
    <n v="0"/>
    <n v="0"/>
    <n v="0"/>
  </r>
  <r>
    <d v="2012-06-02T00:00:00"/>
    <n v="2012"/>
    <x v="3"/>
    <s v="R"/>
    <s v="RS"/>
    <x v="3"/>
    <s v="NYL"/>
    <s v="H"/>
    <n v="5"/>
    <n v="7"/>
    <n v="-2"/>
    <n v="2"/>
    <n v="-16"/>
    <n v="16"/>
    <n v="1575.2356784957033"/>
    <n v="1467.2369300632586"/>
    <n v="0.71525128371263036"/>
    <n v="91"/>
    <n v="68"/>
    <n v="0"/>
    <n v="23"/>
    <n v="1"/>
    <n v="0.56453060368693397"/>
    <n v="1"/>
    <n v="75.400000000000006"/>
    <n v="75.400000000000006"/>
    <n v="12.120502098741037"/>
    <n v="1587.3561805944444"/>
    <n v="1"/>
    <n v="0"/>
    <n v="0"/>
    <n v="0"/>
    <n v="0"/>
    <n v="0"/>
    <n v="0"/>
    <n v="0"/>
    <n v="0"/>
    <n v="0"/>
  </r>
  <r>
    <d v="2012-06-03T00:00:00"/>
    <n v="2012"/>
    <x v="4"/>
    <s v="R"/>
    <s v="RS"/>
    <x v="9"/>
    <s v="CON"/>
    <s v="A"/>
    <n v="1"/>
    <n v="1"/>
    <n v="0"/>
    <n v="0"/>
    <n v="0"/>
    <n v="0"/>
    <n v="1394.200783841035"/>
    <n v="1546.5830173760198"/>
    <n v="0.20412241190718111"/>
    <n v="86"/>
    <n v="94"/>
    <n v="0"/>
    <n v="-8"/>
    <n v="0"/>
    <n v="0.34456134549001538"/>
    <n v="1"/>
    <n v="75.25"/>
    <n v="75.25"/>
    <n v="-5.292535140078261"/>
    <n v="1388.9082487009566"/>
    <n v="0"/>
    <n v="1"/>
    <n v="0"/>
    <n v="0"/>
    <n v="0"/>
    <n v="0"/>
    <n v="0"/>
    <n v="0"/>
    <n v="0"/>
    <n v="0"/>
  </r>
  <r>
    <d v="2012-06-03T00:00:00"/>
    <n v="2012"/>
    <x v="4"/>
    <s v="R"/>
    <s v="RS"/>
    <x v="4"/>
    <s v="WAS"/>
    <s v="H"/>
    <n v="1"/>
    <n v="1"/>
    <n v="0"/>
    <n v="0"/>
    <n v="0"/>
    <n v="0"/>
    <n v="1546.5830173760198"/>
    <n v="1394.200783841035"/>
    <n v="0.79587758809281894"/>
    <n v="94"/>
    <n v="86"/>
    <n v="0"/>
    <n v="8"/>
    <n v="1"/>
    <n v="0.34456134549001538"/>
    <n v="1"/>
    <n v="75.25"/>
    <n v="75.25"/>
    <n v="5.2925351400782601"/>
    <n v="1551.8755525160982"/>
    <n v="1"/>
    <n v="0"/>
    <n v="0"/>
    <n v="0"/>
    <n v="0"/>
    <n v="0"/>
    <n v="0"/>
    <n v="0"/>
    <n v="0"/>
    <n v="0"/>
  </r>
  <r>
    <d v="2012-06-03T00:00:00"/>
    <n v="2012"/>
    <x v="4"/>
    <s v="R"/>
    <s v="RS"/>
    <x v="1"/>
    <s v="LAS"/>
    <s v="A"/>
    <n v="1"/>
    <n v="4"/>
    <n v="-3"/>
    <n v="3"/>
    <n v="-16"/>
    <n v="16"/>
    <n v="1498.9938840650602"/>
    <n v="1518.3072276464147"/>
    <n v="0.31455135646493171"/>
    <n v="65"/>
    <n v="67"/>
    <n v="0"/>
    <n v="-2"/>
    <n v="0"/>
    <n v="0.26359884164603903"/>
    <n v="1"/>
    <n v="75.25"/>
    <n v="75.25"/>
    <n v="-6.2393818334765596"/>
    <n v="1492.7545022315837"/>
    <n v="0"/>
    <n v="1"/>
    <n v="0"/>
    <n v="0"/>
    <n v="0"/>
    <n v="0"/>
    <n v="0"/>
    <n v="0"/>
    <n v="0"/>
    <n v="0"/>
  </r>
  <r>
    <d v="2012-06-03T00:00:00"/>
    <n v="2012"/>
    <x v="5"/>
    <s v="R"/>
    <s v="RS"/>
    <x v="0"/>
    <s v="SEA"/>
    <s v="H"/>
    <n v="4"/>
    <n v="1"/>
    <n v="3"/>
    <n v="-3"/>
    <n v="16"/>
    <n v="-16"/>
    <n v="1518.3072276464147"/>
    <n v="1498.9938840650602"/>
    <n v="0.68544864353506829"/>
    <n v="67"/>
    <n v="65"/>
    <n v="0"/>
    <n v="2"/>
    <n v="1"/>
    <n v="0.26359884164603903"/>
    <n v="1"/>
    <n v="75.099999999999994"/>
    <n v="75.099999999999994"/>
    <n v="6.2269445274962072"/>
    <n v="1524.534172173911"/>
    <n v="1"/>
    <n v="0"/>
    <n v="0"/>
    <n v="0"/>
    <n v="0"/>
    <n v="0"/>
    <n v="0"/>
    <n v="0"/>
    <n v="0"/>
    <n v="0"/>
  </r>
  <r>
    <d v="2012-06-03T00:00:00"/>
    <n v="2012"/>
    <x v="4"/>
    <s v="R"/>
    <s v="RS"/>
    <x v="6"/>
    <s v="MIN"/>
    <s v="A"/>
    <n v="1"/>
    <n v="1"/>
    <n v="0"/>
    <n v="0"/>
    <n v="0"/>
    <n v="0"/>
    <n v="1501.7418338993575"/>
    <n v="1675.898358278037"/>
    <n v="0.18451257076901875"/>
    <n v="79"/>
    <n v="83"/>
    <n v="0"/>
    <n v="-4"/>
    <n v="0"/>
    <n v="0.27196267328689588"/>
    <n v="1"/>
    <n v="75.25"/>
    <n v="75.25"/>
    <n v="-3.776085033103838"/>
    <n v="1497.9657488662538"/>
    <n v="0"/>
    <n v="1"/>
    <n v="0"/>
    <n v="0"/>
    <n v="0"/>
    <n v="0"/>
    <n v="0"/>
    <n v="0"/>
    <n v="0"/>
    <n v="0"/>
  </r>
  <r>
    <d v="2012-06-03T00:00:00"/>
    <n v="2012"/>
    <x v="6"/>
    <s v="R"/>
    <s v="RS"/>
    <x v="11"/>
    <s v="SAS"/>
    <s v="H"/>
    <n v="1"/>
    <n v="1"/>
    <n v="0"/>
    <n v="0"/>
    <n v="0"/>
    <n v="0"/>
    <n v="1675.898358278037"/>
    <n v="1501.7418338993575"/>
    <n v="0.81548742923098116"/>
    <n v="83"/>
    <n v="79"/>
    <n v="0"/>
    <n v="4"/>
    <n v="1"/>
    <n v="0.27196267328689588"/>
    <n v="1"/>
    <n v="74.95"/>
    <n v="74.95"/>
    <n v="3.7610308735034255"/>
    <n v="1679.6593891515404"/>
    <n v="1"/>
    <n v="0"/>
    <n v="0"/>
    <n v="0"/>
    <n v="0"/>
    <n v="0"/>
    <n v="0"/>
    <n v="0"/>
    <n v="0"/>
    <n v="0"/>
  </r>
  <r>
    <d v="2012-06-03T00:00:00"/>
    <n v="2012"/>
    <x v="4"/>
    <s v="R"/>
    <s v="RS"/>
    <x v="3"/>
    <s v="NYL"/>
    <s v="A"/>
    <n v="0"/>
    <n v="0"/>
    <n v="0"/>
    <n v="0"/>
    <n v="0"/>
    <n v="0"/>
    <n v="1587.3561805944444"/>
    <n v="1455.1405403692233"/>
    <n v="0.56894584845600127"/>
    <n v="72"/>
    <n v="87"/>
    <n v="0"/>
    <n v="-15"/>
    <n v="0"/>
    <n v="0.4529429136205787"/>
    <n v="1"/>
    <n v="75.25"/>
    <n v="75.25"/>
    <n v="-19.391924269472508"/>
    <n v="1567.9642563249718"/>
    <n v="0"/>
    <n v="1"/>
    <n v="0"/>
    <n v="0"/>
    <n v="0"/>
    <n v="0"/>
    <n v="0"/>
    <n v="0"/>
    <n v="0"/>
    <n v="0"/>
  </r>
  <r>
    <d v="2012-06-03T00:00:00"/>
    <n v="2012"/>
    <x v="5"/>
    <s v="R"/>
    <s v="RS"/>
    <x v="5"/>
    <s v="IND"/>
    <s v="H"/>
    <n v="0"/>
    <n v="0"/>
    <n v="0"/>
    <n v="0"/>
    <n v="0"/>
    <n v="0"/>
    <n v="1455.1405403692233"/>
    <n v="1587.3561805944444"/>
    <n v="0.43105415154399873"/>
    <n v="87"/>
    <n v="72"/>
    <n v="0"/>
    <n v="15"/>
    <n v="1"/>
    <n v="0.4529429136205787"/>
    <n v="1"/>
    <n v="75.099999999999994"/>
    <n v="75.099999999999994"/>
    <n v="19.353269270928706"/>
    <n v="1474.493809640152"/>
    <n v="1"/>
    <n v="0"/>
    <n v="0"/>
    <n v="0"/>
    <n v="0"/>
    <n v="0"/>
    <n v="0"/>
    <n v="0"/>
    <n v="0"/>
    <n v="0"/>
  </r>
  <r>
    <d v="2012-06-03T00:00:00"/>
    <n v="2012"/>
    <x v="5"/>
    <s v="R"/>
    <s v="RS"/>
    <x v="7"/>
    <s v="PHX"/>
    <s v="A"/>
    <n v="1"/>
    <n v="1"/>
    <n v="0"/>
    <n v="0"/>
    <n v="0"/>
    <n v="0"/>
    <n v="1332.211339347602"/>
    <n v="1456.6112192265748"/>
    <n v="0.23153817185727008"/>
    <n v="72"/>
    <n v="79"/>
    <n v="0"/>
    <n v="-7"/>
    <n v="0"/>
    <n v="0.3353432854623708"/>
    <n v="1"/>
    <n v="75.099999999999994"/>
    <n v="75.099999999999994"/>
    <n v="-5.8311223216686559"/>
    <n v="1326.3802170259335"/>
    <n v="0"/>
    <n v="1"/>
    <n v="0"/>
    <n v="0"/>
    <n v="0"/>
    <n v="0"/>
    <n v="0"/>
    <n v="0"/>
    <n v="0"/>
    <n v="0"/>
  </r>
  <r>
    <d v="2012-06-03T00:00:00"/>
    <n v="2012"/>
    <x v="5"/>
    <s v="R"/>
    <s v="RS"/>
    <x v="10"/>
    <s v="TUL"/>
    <s v="H"/>
    <n v="1"/>
    <n v="1"/>
    <n v="0"/>
    <n v="0"/>
    <n v="0"/>
    <n v="0"/>
    <n v="1456.6112192265748"/>
    <n v="1332.211339347602"/>
    <n v="0.76846182814273001"/>
    <n v="79"/>
    <n v="72"/>
    <n v="0"/>
    <n v="7"/>
    <n v="1"/>
    <n v="0.3353432854623708"/>
    <n v="1"/>
    <n v="75.099999999999994"/>
    <n v="75.099999999999994"/>
    <n v="5.8311223216686541"/>
    <n v="1462.4423415482433"/>
    <n v="1"/>
    <n v="0"/>
    <n v="0"/>
    <n v="0"/>
    <n v="0"/>
    <n v="0"/>
    <n v="0"/>
    <n v="0"/>
    <n v="0"/>
    <n v="0"/>
  </r>
  <r>
    <d v="2012-06-05T00:00:00"/>
    <n v="2012"/>
    <x v="5"/>
    <s v="R"/>
    <s v="RS"/>
    <x v="2"/>
    <s v="NYL"/>
    <s v="A"/>
    <n v="2"/>
    <n v="1"/>
    <n v="1"/>
    <n v="-1"/>
    <n v="8"/>
    <n v="-8"/>
    <n v="1530.1510102190935"/>
    <n v="1474.493809640152"/>
    <n v="0.48224475252543286"/>
    <n v="74"/>
    <n v="79"/>
    <n v="0"/>
    <n v="-5"/>
    <n v="0"/>
    <n v="0.31705084028502634"/>
    <n v="1"/>
    <n v="75.099999999999994"/>
    <n v="75.099999999999994"/>
    <n v="-11.482497411243601"/>
    <n v="1518.6685128078498"/>
    <n v="0"/>
    <n v="1"/>
    <n v="0"/>
    <n v="0"/>
    <n v="0"/>
    <n v="0"/>
    <n v="0"/>
    <n v="0"/>
    <n v="0"/>
    <n v="0"/>
  </r>
  <r>
    <d v="2012-06-05T00:00:00"/>
    <n v="2012"/>
    <x v="6"/>
    <s v="R"/>
    <s v="RS"/>
    <x v="5"/>
    <s v="ATL"/>
    <s v="H"/>
    <n v="1"/>
    <n v="2"/>
    <n v="-1"/>
    <n v="1"/>
    <n v="-8"/>
    <n v="8"/>
    <n v="1474.493809640152"/>
    <n v="1530.1510102190935"/>
    <n v="0.51775524747456703"/>
    <n v="79"/>
    <n v="74"/>
    <n v="0"/>
    <n v="5"/>
    <n v="1"/>
    <n v="0.31705084028502634"/>
    <n v="1"/>
    <n v="74.95"/>
    <n v="74.95"/>
    <n v="11.459562995641921"/>
    <n v="1485.9533726357938"/>
    <n v="1"/>
    <n v="0"/>
    <n v="0"/>
    <n v="0"/>
    <n v="0"/>
    <n v="0"/>
    <n v="0"/>
    <n v="0"/>
    <n v="0"/>
    <n v="0"/>
  </r>
  <r>
    <d v="2012-06-06T00:00:00"/>
    <n v="2012"/>
    <x v="5"/>
    <s v="R"/>
    <s v="RS"/>
    <x v="1"/>
    <s v="MIN"/>
    <s v="A"/>
    <n v="2"/>
    <n v="2"/>
    <n v="0"/>
    <n v="0"/>
    <n v="0"/>
    <n v="0"/>
    <n v="1492.7545022315837"/>
    <n v="1679.6593891515404"/>
    <n v="0.17372502484628721"/>
    <n v="55"/>
    <n v="79"/>
    <n v="0"/>
    <n v="-24"/>
    <n v="0"/>
    <n v="0.54374104846692839"/>
    <n v="1"/>
    <n v="75.099999999999994"/>
    <n v="75.099999999999994"/>
    <n v="-7.0940531793302402"/>
    <n v="1485.6604490522534"/>
    <n v="0"/>
    <n v="1"/>
    <n v="0"/>
    <n v="0"/>
    <n v="0"/>
    <n v="0"/>
    <n v="0"/>
    <n v="0"/>
    <n v="0"/>
    <n v="0"/>
  </r>
  <r>
    <d v="2012-06-06T00:00:00"/>
    <n v="2012"/>
    <x v="7"/>
    <s v="R"/>
    <s v="RS"/>
    <x v="11"/>
    <s v="SEA"/>
    <s v="H"/>
    <n v="2"/>
    <n v="2"/>
    <n v="0"/>
    <n v="0"/>
    <n v="0"/>
    <n v="0"/>
    <n v="1679.6593891515404"/>
    <n v="1492.7545022315837"/>
    <n v="0.82627497515371284"/>
    <n v="79"/>
    <n v="55"/>
    <n v="0"/>
    <n v="24"/>
    <n v="1"/>
    <n v="0.54374104846692839"/>
    <n v="1"/>
    <n v="74.8"/>
    <n v="74.8"/>
    <n v="7.065714751183779"/>
    <n v="1686.7251039027242"/>
    <n v="1"/>
    <n v="0"/>
    <n v="0"/>
    <n v="0"/>
    <n v="0"/>
    <n v="0"/>
    <n v="0"/>
    <n v="0"/>
    <n v="0"/>
    <n v="0"/>
  </r>
  <r>
    <d v="2012-06-08T00:00:00"/>
    <n v="2012"/>
    <x v="5"/>
    <s v="R"/>
    <s v="RS"/>
    <x v="6"/>
    <s v="ATL"/>
    <s v="A"/>
    <n v="4"/>
    <n v="2"/>
    <n v="2"/>
    <n v="-2"/>
    <n v="16"/>
    <n v="-16"/>
    <n v="1497.9657488662538"/>
    <n v="1518.6685128078498"/>
    <n v="0.39687316916087667"/>
    <n v="57"/>
    <n v="60"/>
    <n v="0"/>
    <n v="-3"/>
    <n v="0"/>
    <n v="0.28526209295542326"/>
    <n v="1"/>
    <n v="75.099999999999994"/>
    <n v="75.099999999999994"/>
    <n v="-8.5022866025385238"/>
    <n v="1489.4634622637152"/>
    <n v="0"/>
    <n v="1"/>
    <n v="0"/>
    <n v="0"/>
    <n v="0"/>
    <n v="0"/>
    <n v="0"/>
    <n v="0"/>
    <n v="0"/>
    <n v="0"/>
  </r>
  <r>
    <d v="2012-06-08T00:00:00"/>
    <n v="2012"/>
    <x v="6"/>
    <s v="R"/>
    <s v="RS"/>
    <x v="2"/>
    <s v="SAS"/>
    <s v="H"/>
    <n v="2"/>
    <n v="4"/>
    <n v="-2"/>
    <n v="2"/>
    <n v="-16"/>
    <n v="16"/>
    <n v="1518.6685128078498"/>
    <n v="1497.9657488662538"/>
    <n v="0.60312683083912344"/>
    <n v="60"/>
    <n v="57"/>
    <n v="0"/>
    <n v="3"/>
    <n v="1"/>
    <n v="0.28526209295542326"/>
    <n v="1"/>
    <n v="74.95"/>
    <n v="74.95"/>
    <n v="8.4853046719076204"/>
    <n v="1527.1538174797574"/>
    <n v="1"/>
    <n v="0"/>
    <n v="0"/>
    <n v="0"/>
    <n v="0"/>
    <n v="0"/>
    <n v="0"/>
    <n v="0"/>
    <n v="0"/>
    <n v="0"/>
  </r>
  <r>
    <d v="2012-06-08T00:00:00"/>
    <n v="2012"/>
    <x v="6"/>
    <s v="R"/>
    <s v="RS"/>
    <x v="7"/>
    <s v="CHI"/>
    <s v="A"/>
    <n v="4"/>
    <n v="5"/>
    <n v="-1"/>
    <n v="1"/>
    <n v="-8"/>
    <n v="8"/>
    <n v="1326.3802170259335"/>
    <n v="1512.3022649772427"/>
    <n v="0.16166389890366542"/>
    <n v="91"/>
    <n v="98"/>
    <n v="1"/>
    <n v="-7"/>
    <n v="0"/>
    <n v="0.28841142030822831"/>
    <n v="1"/>
    <n v="74.95"/>
    <n v="74.95"/>
    <n v="-3.4945973164181301"/>
    <n v="1322.8856197095154"/>
    <n v="0"/>
    <n v="1"/>
    <n v="0"/>
    <n v="0"/>
    <n v="0"/>
    <n v="0"/>
    <n v="0"/>
    <n v="0"/>
    <n v="0"/>
    <n v="0"/>
  </r>
  <r>
    <d v="2012-06-08T00:00:00"/>
    <n v="2012"/>
    <x v="5"/>
    <s v="R"/>
    <s v="RS"/>
    <x v="8"/>
    <s v="TUL"/>
    <s v="H"/>
    <n v="5"/>
    <n v="4"/>
    <n v="1"/>
    <n v="-1"/>
    <n v="8"/>
    <n v="-8"/>
    <n v="1512.3022649772427"/>
    <n v="1326.3802170259335"/>
    <n v="0.8383361010963345"/>
    <n v="98"/>
    <n v="91"/>
    <n v="1"/>
    <n v="7"/>
    <n v="1"/>
    <n v="0.28841142030822831"/>
    <n v="1"/>
    <n v="75.099999999999994"/>
    <n v="75.099999999999994"/>
    <n v="3.5015911736224372"/>
    <n v="1515.8038561508652"/>
    <n v="1"/>
    <n v="0"/>
    <n v="0"/>
    <n v="0"/>
    <n v="0"/>
    <n v="0"/>
    <n v="0"/>
    <n v="0"/>
    <n v="0"/>
    <n v="0"/>
  </r>
  <r>
    <d v="2012-06-08T00:00:00"/>
    <n v="2012"/>
    <x v="5"/>
    <s v="R"/>
    <s v="RS"/>
    <x v="4"/>
    <s v="IND"/>
    <s v="A"/>
    <n v="4"/>
    <n v="4"/>
    <n v="0"/>
    <n v="0"/>
    <n v="0"/>
    <n v="0"/>
    <n v="1551.8755525160982"/>
    <n v="1567.9642563249718"/>
    <n v="0.359817371020757"/>
    <n v="89"/>
    <n v="81"/>
    <n v="0"/>
    <n v="8"/>
    <n v="1"/>
    <n v="0.38317816828996881"/>
    <n v="1"/>
    <n v="75.099999999999994"/>
    <n v="75.099999999999994"/>
    <n v="18.422330936463556"/>
    <n v="1570.2978834525618"/>
    <n v="1"/>
    <n v="0"/>
    <n v="0"/>
    <n v="0"/>
    <n v="0"/>
    <n v="0"/>
    <n v="0"/>
    <n v="0"/>
    <n v="0"/>
    <n v="0"/>
  </r>
  <r>
    <d v="2012-06-08T00:00:00"/>
    <n v="2012"/>
    <x v="5"/>
    <s v="R"/>
    <s v="RS"/>
    <x v="3"/>
    <s v="CON"/>
    <s v="H"/>
    <n v="4"/>
    <n v="4"/>
    <n v="0"/>
    <n v="0"/>
    <n v="0"/>
    <n v="0"/>
    <n v="1567.9642563249718"/>
    <n v="1551.8755525160982"/>
    <n v="0.64018262897924294"/>
    <n v="81"/>
    <n v="89"/>
    <n v="0"/>
    <n v="-8"/>
    <n v="0"/>
    <n v="0.38317816828996881"/>
    <n v="1"/>
    <n v="75.099999999999994"/>
    <n v="75.099999999999994"/>
    <n v="-18.422330936463556"/>
    <n v="1549.5419253885082"/>
    <n v="0"/>
    <n v="1"/>
    <n v="0"/>
    <n v="0"/>
    <n v="0"/>
    <n v="0"/>
    <n v="0"/>
    <n v="0"/>
    <n v="0"/>
    <n v="0"/>
  </r>
  <r>
    <d v="2012-06-08T00:00:00"/>
    <n v="2012"/>
    <x v="6"/>
    <s v="R"/>
    <s v="RS"/>
    <x v="10"/>
    <s v="LAS"/>
    <s v="A"/>
    <n v="4"/>
    <n v="4"/>
    <n v="0"/>
    <n v="0"/>
    <n v="0"/>
    <n v="0"/>
    <n v="1462.4423415482433"/>
    <n v="1524.534172173911"/>
    <n v="0.30133007147936464"/>
    <n v="74"/>
    <n v="90"/>
    <n v="0"/>
    <n v="-16"/>
    <n v="0"/>
    <n v="0.49231222614605663"/>
    <n v="1"/>
    <n v="74.95"/>
    <n v="74.95"/>
    <n v="-11.11871844819199"/>
    <n v="1451.3236231000515"/>
    <n v="0"/>
    <n v="1"/>
    <n v="0"/>
    <n v="0"/>
    <n v="0"/>
    <n v="0"/>
    <n v="0"/>
    <n v="0"/>
    <n v="0"/>
    <n v="0"/>
  </r>
  <r>
    <d v="2012-06-08T00:00:00"/>
    <n v="2012"/>
    <x v="6"/>
    <s v="R"/>
    <s v="RS"/>
    <x v="0"/>
    <s v="PHX"/>
    <s v="H"/>
    <n v="4"/>
    <n v="4"/>
    <n v="0"/>
    <n v="0"/>
    <n v="0"/>
    <n v="0"/>
    <n v="1524.534172173911"/>
    <n v="1462.4423415482433"/>
    <n v="0.69866992852063536"/>
    <n v="90"/>
    <n v="74"/>
    <n v="0"/>
    <n v="16"/>
    <n v="1"/>
    <n v="0.49231222614605663"/>
    <n v="1"/>
    <n v="74.95"/>
    <n v="74.95"/>
    <n v="11.11871844819199"/>
    <n v="1535.6528906221029"/>
    <n v="1"/>
    <n v="0"/>
    <n v="0"/>
    <n v="0"/>
    <n v="0"/>
    <n v="0"/>
    <n v="0"/>
    <n v="0"/>
    <n v="0"/>
    <n v="0"/>
  </r>
  <r>
    <d v="2012-06-08T00:00:00"/>
    <n v="2012"/>
    <x v="7"/>
    <s v="R"/>
    <s v="RS"/>
    <x v="5"/>
    <s v="WAS"/>
    <s v="A"/>
    <n v="2"/>
    <n v="4"/>
    <n v="-2"/>
    <n v="2"/>
    <n v="-16"/>
    <n v="16"/>
    <n v="1485.9533726357938"/>
    <n v="1388.9082487009566"/>
    <n v="0.47274877219599792"/>
    <n v="76"/>
    <n v="70"/>
    <n v="0"/>
    <n v="6"/>
    <n v="1"/>
    <n v="0.3249978782776472"/>
    <n v="1"/>
    <n v="74.8"/>
    <n v="74.8"/>
    <n v="12.817393670597763"/>
    <n v="1498.7707663063916"/>
    <n v="1"/>
    <n v="0"/>
    <n v="0"/>
    <n v="0"/>
    <n v="0"/>
    <n v="0"/>
    <n v="0"/>
    <n v="0"/>
    <n v="0"/>
    <n v="0"/>
  </r>
  <r>
    <d v="2012-06-08T00:00:00"/>
    <n v="2012"/>
    <x v="5"/>
    <s v="R"/>
    <s v="RS"/>
    <x v="9"/>
    <s v="NYL"/>
    <s v="H"/>
    <n v="4"/>
    <n v="2"/>
    <n v="2"/>
    <n v="-2"/>
    <n v="16"/>
    <n v="-16"/>
    <n v="1388.9082487009566"/>
    <n v="1485.9533726357938"/>
    <n v="0.52725122780400213"/>
    <n v="70"/>
    <n v="76"/>
    <n v="0"/>
    <n v="-6"/>
    <n v="0"/>
    <n v="0.3249978782776472"/>
    <n v="1"/>
    <n v="75.099999999999994"/>
    <n v="75.099999999999994"/>
    <n v="-12.868800329704442"/>
    <n v="1376.0394483712521"/>
    <n v="0"/>
    <n v="1"/>
    <n v="0"/>
    <n v="0"/>
    <n v="0"/>
    <n v="0"/>
    <n v="0"/>
    <n v="0"/>
    <n v="0"/>
    <n v="0"/>
  </r>
  <r>
    <d v="2012-06-09T00:00:00"/>
    <n v="2012"/>
    <x v="6"/>
    <s v="R"/>
    <s v="RS"/>
    <x v="1"/>
    <s v="SAS"/>
    <s v="A"/>
    <n v="2"/>
    <n v="0"/>
    <n v="2"/>
    <n v="-2"/>
    <n v="16"/>
    <n v="-16"/>
    <n v="1485.6604490522534"/>
    <n v="1489.4634622637152"/>
    <n v="0.42037651233390838"/>
    <n v="67"/>
    <n v="80"/>
    <n v="0"/>
    <n v="-13"/>
    <n v="0"/>
    <n v="0.47055249119686093"/>
    <n v="1"/>
    <n v="74.95"/>
    <n v="74.95"/>
    <n v="-14.825800673196673"/>
    <n v="1470.8346483790567"/>
    <n v="0"/>
    <n v="1"/>
    <n v="0"/>
    <n v="0"/>
    <n v="0"/>
    <n v="0"/>
    <n v="0"/>
    <n v="0"/>
    <n v="0"/>
    <n v="0"/>
  </r>
  <r>
    <d v="2012-06-09T00:00:00"/>
    <n v="2012"/>
    <x v="6"/>
    <s v="R"/>
    <s v="RS"/>
    <x v="6"/>
    <s v="SEA"/>
    <s v="H"/>
    <n v="0"/>
    <n v="2"/>
    <n v="-2"/>
    <n v="2"/>
    <n v="-16"/>
    <n v="16"/>
    <n v="1489.4634622637152"/>
    <n v="1485.6604490522534"/>
    <n v="0.57962348766609162"/>
    <n v="80"/>
    <n v="67"/>
    <n v="0"/>
    <n v="13"/>
    <n v="1"/>
    <n v="0.47055249119686093"/>
    <n v="1"/>
    <n v="74.95"/>
    <n v="74.95"/>
    <n v="14.825800673196673"/>
    <n v="1504.2892629369119"/>
    <n v="1"/>
    <n v="0"/>
    <n v="0"/>
    <n v="0"/>
    <n v="0"/>
    <n v="0"/>
    <n v="0"/>
    <n v="0"/>
    <n v="0"/>
    <n v="0"/>
  </r>
  <r>
    <d v="2012-06-09T00:00:00"/>
    <n v="2012"/>
    <x v="8"/>
    <s v="R"/>
    <s v="RS"/>
    <x v="11"/>
    <s v="TUL"/>
    <s v="A"/>
    <n v="2"/>
    <n v="0"/>
    <n v="2"/>
    <n v="-2"/>
    <n v="16"/>
    <n v="-16"/>
    <n v="1686.7251039027242"/>
    <n v="1322.8856197095154"/>
    <n v="0.85755048177109028"/>
    <n v="93"/>
    <n v="73"/>
    <n v="0"/>
    <n v="20"/>
    <n v="1"/>
    <n v="0.44113531964344238"/>
    <n v="1"/>
    <n v="74.650000000000006"/>
    <n v="74.650000000000006"/>
    <n v="4.690969701957397"/>
    <n v="1691.4160736046815"/>
    <n v="1"/>
    <n v="0"/>
    <n v="0"/>
    <n v="0"/>
    <n v="0"/>
    <n v="0"/>
    <n v="0"/>
    <n v="0"/>
    <n v="0"/>
    <n v="0"/>
  </r>
  <r>
    <d v="2012-06-09T00:00:00"/>
    <n v="2012"/>
    <x v="7"/>
    <s v="R"/>
    <s v="RS"/>
    <x v="7"/>
    <s v="MIN"/>
    <s v="H"/>
    <n v="0"/>
    <n v="2"/>
    <n v="-2"/>
    <n v="2"/>
    <n v="-16"/>
    <n v="16"/>
    <n v="1322.8856197095154"/>
    <n v="1686.7251039027242"/>
    <n v="0.14244951822890964"/>
    <n v="73"/>
    <n v="93"/>
    <n v="0"/>
    <n v="-20"/>
    <n v="0"/>
    <n v="0.44113531964344238"/>
    <n v="1"/>
    <n v="74.8"/>
    <n v="74.8"/>
    <n v="-4.7003956290209388"/>
    <n v="1318.1852240804944"/>
    <n v="0"/>
    <n v="1"/>
    <n v="0"/>
    <n v="0"/>
    <n v="0"/>
    <n v="0"/>
    <n v="0"/>
    <n v="0"/>
    <n v="0"/>
    <n v="0"/>
  </r>
  <r>
    <d v="2012-06-10T00:00:00"/>
    <n v="2012"/>
    <x v="7"/>
    <s v="R"/>
    <s v="RS"/>
    <x v="2"/>
    <s v="CON"/>
    <s v="A"/>
    <n v="1"/>
    <n v="1"/>
    <n v="0"/>
    <n v="0"/>
    <n v="0"/>
    <n v="0"/>
    <n v="1527.1538174797574"/>
    <n v="1570.2978834525618"/>
    <n v="0.32477790707431481"/>
    <n v="73"/>
    <n v="92"/>
    <n v="0"/>
    <n v="-19"/>
    <n v="0"/>
    <n v="0.54150850709401721"/>
    <n v="1"/>
    <n v="74.8"/>
    <n v="74.8"/>
    <n v="-13.155075969850488"/>
    <n v="1513.9987415099069"/>
    <n v="0"/>
    <n v="1"/>
    <n v="0"/>
    <n v="0"/>
    <n v="0"/>
    <n v="0"/>
    <n v="0"/>
    <n v="0"/>
    <n v="0"/>
    <n v="0"/>
  </r>
  <r>
    <d v="2012-06-10T00:00:00"/>
    <n v="2012"/>
    <x v="6"/>
    <s v="R"/>
    <s v="RS"/>
    <x v="4"/>
    <s v="ATL"/>
    <s v="H"/>
    <n v="1"/>
    <n v="1"/>
    <n v="0"/>
    <n v="0"/>
    <n v="0"/>
    <n v="0"/>
    <n v="1570.2978834525618"/>
    <n v="1527.1538174797574"/>
    <n v="0.67522209292568525"/>
    <n v="92"/>
    <n v="73"/>
    <n v="0"/>
    <n v="19"/>
    <n v="1"/>
    <n v="0.54150850709401721"/>
    <n v="1"/>
    <n v="74.95"/>
    <n v="74.95"/>
    <n v="13.181456469790026"/>
    <n v="1583.4793399223518"/>
    <n v="1"/>
    <n v="0"/>
    <n v="0"/>
    <n v="0"/>
    <n v="0"/>
    <n v="0"/>
    <n v="0"/>
    <n v="0"/>
    <n v="0"/>
    <n v="0"/>
  </r>
  <r>
    <d v="2012-06-10T00:00:00"/>
    <n v="2012"/>
    <x v="6"/>
    <s v="R"/>
    <s v="RS"/>
    <x v="8"/>
    <s v="NYL"/>
    <s v="A"/>
    <n v="1"/>
    <n v="1"/>
    <n v="0"/>
    <n v="0"/>
    <n v="0"/>
    <n v="0"/>
    <n v="1515.8038561508652"/>
    <n v="1498.7707663063916"/>
    <n v="0.40480285340172295"/>
    <n v="73"/>
    <n v="64"/>
    <n v="0"/>
    <n v="9"/>
    <n v="1"/>
    <n v="0.40028971820227749"/>
    <n v="1"/>
    <n v="74.95"/>
    <n v="74.95"/>
    <n v="17.856934791592465"/>
    <n v="1533.6607909424577"/>
    <n v="1"/>
    <n v="0"/>
    <n v="0"/>
    <n v="0"/>
    <n v="0"/>
    <n v="0"/>
    <n v="0"/>
    <n v="0"/>
    <n v="0"/>
    <n v="0"/>
  </r>
  <r>
    <d v="2012-06-10T00:00:00"/>
    <n v="2012"/>
    <x v="8"/>
    <s v="R"/>
    <s v="RS"/>
    <x v="5"/>
    <s v="CHI"/>
    <s v="H"/>
    <n v="1"/>
    <n v="1"/>
    <n v="0"/>
    <n v="0"/>
    <n v="0"/>
    <n v="0"/>
    <n v="1498.7707663063916"/>
    <n v="1515.8038561508652"/>
    <n v="0.59519714659827705"/>
    <n v="64"/>
    <n v="73"/>
    <n v="0"/>
    <n v="-9"/>
    <n v="0"/>
    <n v="0.40028971820227749"/>
    <n v="1"/>
    <n v="74.650000000000006"/>
    <n v="74.650000000000006"/>
    <n v="-17.785459402166481"/>
    <n v="1480.9853069042251"/>
    <n v="0"/>
    <n v="1"/>
    <n v="0"/>
    <n v="0"/>
    <n v="0"/>
    <n v="0"/>
    <n v="0"/>
    <n v="0"/>
    <n v="0"/>
    <n v="0"/>
  </r>
  <r>
    <d v="2012-06-13T00:00:00"/>
    <n v="2012"/>
    <x v="7"/>
    <s v="R"/>
    <s v="RS"/>
    <x v="1"/>
    <s v="CHI"/>
    <s v="A"/>
    <n v="3"/>
    <n v="2"/>
    <n v="1"/>
    <n v="-1"/>
    <n v="8"/>
    <n v="-8"/>
    <n v="1470.8346483790567"/>
    <n v="1533.6607909424577"/>
    <n v="0.32014711294351267"/>
    <n v="58"/>
    <n v="74"/>
    <n v="0"/>
    <n v="-16"/>
    <n v="0"/>
    <n v="0.49202595495434903"/>
    <n v="1"/>
    <n v="74.8"/>
    <n v="74.8"/>
    <n v="-11.782547535098841"/>
    <n v="1459.052100843958"/>
    <n v="0"/>
    <n v="1"/>
    <n v="0"/>
    <n v="0"/>
    <n v="0"/>
    <n v="0"/>
    <n v="0"/>
    <n v="0"/>
    <n v="0"/>
    <n v="0"/>
  </r>
  <r>
    <d v="2012-06-13T00:00:00"/>
    <n v="2012"/>
    <x v="7"/>
    <s v="R"/>
    <s v="RS"/>
    <x v="8"/>
    <s v="SEA"/>
    <s v="H"/>
    <n v="2"/>
    <n v="3"/>
    <n v="-1"/>
    <n v="1"/>
    <n v="-8"/>
    <n v="8"/>
    <n v="1533.6607909424577"/>
    <n v="1470.8346483790567"/>
    <n v="0.67985288705648728"/>
    <n v="74"/>
    <n v="58"/>
    <n v="0"/>
    <n v="16"/>
    <n v="1"/>
    <n v="0.49202595495434903"/>
    <n v="1"/>
    <n v="74.8"/>
    <n v="74.8"/>
    <n v="11.782547535098844"/>
    <n v="1545.4433384775566"/>
    <n v="1"/>
    <n v="0"/>
    <n v="0"/>
    <n v="0"/>
    <n v="0"/>
    <n v="0"/>
    <n v="0"/>
    <n v="0"/>
    <n v="0"/>
    <n v="0"/>
  </r>
  <r>
    <d v="2012-06-13T00:00:00"/>
    <n v="2012"/>
    <x v="7"/>
    <s v="R"/>
    <s v="RS"/>
    <x v="0"/>
    <s v="CON"/>
    <s v="A"/>
    <n v="4"/>
    <n v="2"/>
    <n v="2"/>
    <n v="-2"/>
    <n v="16"/>
    <n v="-16"/>
    <n v="1535.6528906221029"/>
    <n v="1583.4793399223518"/>
    <n v="0.36016519258857055"/>
    <n v="87"/>
    <n v="81"/>
    <n v="0"/>
    <n v="6"/>
    <n v="1"/>
    <n v="0.3378169404451859"/>
    <n v="1"/>
    <n v="74.8"/>
    <n v="74.8"/>
    <n v="16.167798369848775"/>
    <n v="1551.8206889919516"/>
    <n v="1"/>
    <n v="0"/>
    <n v="0"/>
    <n v="0"/>
    <n v="0"/>
    <n v="0"/>
    <n v="0"/>
    <n v="0"/>
    <n v="0"/>
    <n v="0"/>
  </r>
  <r>
    <d v="2012-06-13T00:00:00"/>
    <n v="2012"/>
    <x v="7"/>
    <s v="R"/>
    <s v="RS"/>
    <x v="4"/>
    <s v="LAS"/>
    <s v="H"/>
    <n v="2"/>
    <n v="4"/>
    <n v="-2"/>
    <n v="2"/>
    <n v="-16"/>
    <n v="16"/>
    <n v="1583.4793399223518"/>
    <n v="1535.6528906221029"/>
    <n v="0.63983480741142951"/>
    <n v="81"/>
    <n v="87"/>
    <n v="0"/>
    <n v="-6"/>
    <n v="0"/>
    <n v="0.3378169404451859"/>
    <n v="1"/>
    <n v="74.8"/>
    <n v="74.8"/>
    <n v="-16.167798369848775"/>
    <n v="1567.3115415525031"/>
    <n v="0"/>
    <n v="1"/>
    <n v="0"/>
    <n v="0"/>
    <n v="0"/>
    <n v="0"/>
    <n v="0"/>
    <n v="0"/>
    <n v="0"/>
    <n v="0"/>
  </r>
  <r>
    <d v="2012-06-15T00:00:00"/>
    <n v="2012"/>
    <x v="8"/>
    <s v="R"/>
    <s v="RS"/>
    <x v="0"/>
    <s v="ATL"/>
    <s v="A"/>
    <n v="1"/>
    <n v="4"/>
    <n v="-3"/>
    <n v="3"/>
    <n v="-16"/>
    <n v="16"/>
    <n v="1551.8206889919516"/>
    <n v="1513.9987415099069"/>
    <n v="0.38935386016952367"/>
    <n v="59"/>
    <n v="92"/>
    <n v="0"/>
    <n v="-33"/>
    <n v="0"/>
    <n v="0.7164930452184366"/>
    <n v="1"/>
    <n v="74.650000000000006"/>
    <n v="74.650000000000006"/>
    <n v="-20.825060704002009"/>
    <n v="1530.9956282879496"/>
    <n v="0"/>
    <n v="1"/>
    <n v="0"/>
    <n v="0"/>
    <n v="0"/>
    <n v="0"/>
    <n v="0"/>
    <n v="0"/>
    <n v="0"/>
    <n v="0"/>
  </r>
  <r>
    <d v="2012-06-15T00:00:00"/>
    <n v="2012"/>
    <x v="8"/>
    <s v="R"/>
    <s v="RS"/>
    <x v="2"/>
    <s v="LAS"/>
    <s v="H"/>
    <n v="4"/>
    <n v="1"/>
    <n v="3"/>
    <n v="-3"/>
    <n v="16"/>
    <n v="-16"/>
    <n v="1513.9987415099069"/>
    <n v="1551.8206889919516"/>
    <n v="0.61064613983047633"/>
    <n v="92"/>
    <n v="59"/>
    <n v="0"/>
    <n v="33"/>
    <n v="1"/>
    <n v="0.7164930452184366"/>
    <n v="1"/>
    <n v="74.650000000000006"/>
    <n v="74.650000000000006"/>
    <n v="20.825060704002009"/>
    <n v="1534.8238022139089"/>
    <n v="1"/>
    <n v="0"/>
    <n v="0"/>
    <n v="0"/>
    <n v="0"/>
    <n v="0"/>
    <n v="0"/>
    <n v="0"/>
    <n v="0"/>
    <n v="0"/>
  </r>
  <r>
    <d v="2012-06-15T00:00:00"/>
    <n v="2012"/>
    <x v="9"/>
    <s v="R"/>
    <s v="RS"/>
    <x v="5"/>
    <s v="CON"/>
    <s v="A"/>
    <n v="4"/>
    <n v="1"/>
    <n v="3"/>
    <n v="-3"/>
    <n v="16"/>
    <n v="-16"/>
    <n v="1480.9853069042251"/>
    <n v="1567.3115415525031"/>
    <n v="0.31082400659711618"/>
    <n v="55"/>
    <n v="97"/>
    <n v="0"/>
    <n v="-42"/>
    <n v="0"/>
    <n v="0.78326295651281308"/>
    <n v="1"/>
    <n v="74.5"/>
    <n v="74.5"/>
    <n v="-18.137541311999943"/>
    <n v="1462.8477655922252"/>
    <n v="0"/>
    <n v="1"/>
    <n v="0"/>
    <n v="0"/>
    <n v="0"/>
    <n v="0"/>
    <n v="0"/>
    <n v="0"/>
    <n v="0"/>
    <n v="0"/>
  </r>
  <r>
    <d v="2012-06-15T00:00:00"/>
    <n v="2012"/>
    <x v="8"/>
    <s v="R"/>
    <s v="RS"/>
    <x v="4"/>
    <s v="NYL"/>
    <s v="H"/>
    <n v="1"/>
    <n v="4"/>
    <n v="-3"/>
    <n v="3"/>
    <n v="-16"/>
    <n v="16"/>
    <n v="1567.3115415525031"/>
    <n v="1480.9853069042251"/>
    <n v="0.68917599340288394"/>
    <n v="97"/>
    <n v="55"/>
    <n v="0"/>
    <n v="42"/>
    <n v="1"/>
    <n v="0.78326295651281308"/>
    <n v="1"/>
    <n v="74.650000000000006"/>
    <n v="74.650000000000006"/>
    <n v="18.174059851554301"/>
    <n v="1585.4856014040574"/>
    <n v="1"/>
    <n v="0"/>
    <n v="0"/>
    <n v="0"/>
    <n v="0"/>
    <n v="0"/>
    <n v="0"/>
    <n v="0"/>
    <n v="0"/>
    <n v="0"/>
  </r>
  <r>
    <d v="2012-06-15T00:00:00"/>
    <n v="2012"/>
    <x v="9"/>
    <s v="R"/>
    <s v="RS"/>
    <x v="11"/>
    <s v="PHX"/>
    <s v="A"/>
    <n v="5"/>
    <n v="6"/>
    <n v="-1"/>
    <n v="1"/>
    <n v="-8"/>
    <n v="8"/>
    <n v="1691.4160736046815"/>
    <n v="1451.3236231000515"/>
    <n v="0.69134972503983627"/>
    <n v="78"/>
    <n v="60"/>
    <n v="0"/>
    <n v="18"/>
    <n v="1"/>
    <n v="0.45566568890882164"/>
    <n v="1"/>
    <n v="74.5"/>
    <n v="74.5"/>
    <n v="10.477779842785708"/>
    <n v="1701.8938534474673"/>
    <n v="1"/>
    <n v="0"/>
    <n v="0"/>
    <n v="0"/>
    <n v="0"/>
    <n v="0"/>
    <n v="0"/>
    <n v="0"/>
    <n v="0"/>
    <n v="0"/>
  </r>
  <r>
    <d v="2012-06-15T00:00:00"/>
    <n v="2012"/>
    <x v="7"/>
    <s v="R"/>
    <s v="RS"/>
    <x v="10"/>
    <s v="MIN"/>
    <s v="H"/>
    <n v="6"/>
    <n v="5"/>
    <n v="1"/>
    <n v="-1"/>
    <n v="8"/>
    <n v="-8"/>
    <n v="1451.3236231000515"/>
    <n v="1691.4160736046815"/>
    <n v="0.30865027496016367"/>
    <n v="60"/>
    <n v="78"/>
    <n v="0"/>
    <n v="-18"/>
    <n v="0"/>
    <n v="0.45566568890882164"/>
    <n v="1"/>
    <n v="74.8"/>
    <n v="74.8"/>
    <n v="-10.519972244837192"/>
    <n v="1440.8036508552143"/>
    <n v="0"/>
    <n v="1"/>
    <n v="0"/>
    <n v="0"/>
    <n v="0"/>
    <n v="0"/>
    <n v="0"/>
    <n v="0"/>
    <n v="0"/>
    <n v="0"/>
  </r>
  <r>
    <d v="2012-06-15T00:00:00"/>
    <n v="2012"/>
    <x v="8"/>
    <s v="R"/>
    <s v="RS"/>
    <x v="1"/>
    <s v="TUL"/>
    <s v="A"/>
    <n v="1"/>
    <n v="5"/>
    <n v="-4"/>
    <n v="4"/>
    <n v="-16"/>
    <n v="16"/>
    <n v="1459.052100843958"/>
    <n v="1318.1852240804944"/>
    <n v="0.53572533048719306"/>
    <n v="86"/>
    <n v="73"/>
    <n v="0"/>
    <n v="13"/>
    <n v="1"/>
    <n v="0.42245245713297347"/>
    <n v="1"/>
    <n v="74.650000000000006"/>
    <n v="74.650000000000006"/>
    <n v="14.641401227799239"/>
    <n v="1473.6935020717572"/>
    <n v="1"/>
    <n v="0"/>
    <n v="0"/>
    <n v="0"/>
    <n v="0"/>
    <n v="0"/>
    <n v="0"/>
    <n v="0"/>
    <n v="0"/>
    <n v="0"/>
  </r>
  <r>
    <d v="2012-06-15T00:00:00"/>
    <n v="2012"/>
    <x v="8"/>
    <s v="R"/>
    <s v="RS"/>
    <x v="7"/>
    <s v="SEA"/>
    <s v="H"/>
    <n v="5"/>
    <n v="1"/>
    <n v="4"/>
    <n v="-4"/>
    <n v="16"/>
    <n v="-16"/>
    <n v="1318.1852240804944"/>
    <n v="1459.052100843958"/>
    <n v="0.46427466951280694"/>
    <n v="73"/>
    <n v="86"/>
    <n v="0"/>
    <n v="-13"/>
    <n v="0"/>
    <n v="0.42245245713297347"/>
    <n v="1"/>
    <n v="74.650000000000006"/>
    <n v="74.650000000000006"/>
    <n v="-14.641401227799239"/>
    <n v="1303.5438228526953"/>
    <n v="0"/>
    <n v="1"/>
    <n v="0"/>
    <n v="0"/>
    <n v="0"/>
    <n v="0"/>
    <n v="0"/>
    <n v="0"/>
    <n v="0"/>
    <n v="0"/>
  </r>
  <r>
    <d v="2012-06-15T00:00:00"/>
    <n v="2012"/>
    <x v="6"/>
    <s v="R"/>
    <s v="RS"/>
    <x v="3"/>
    <s v="WAS"/>
    <s v="A"/>
    <n v="6"/>
    <n v="6"/>
    <n v="0"/>
    <n v="0"/>
    <n v="0"/>
    <n v="0"/>
    <n v="1549.5419253885082"/>
    <n v="1376.0394483712521"/>
    <n v="0.62602882015398653"/>
    <n v="66"/>
    <n v="67"/>
    <n v="0"/>
    <n v="-1"/>
    <n v="0"/>
    <n v="0.21333460263914092"/>
    <n v="1"/>
    <n v="74.95"/>
    <n v="74.95"/>
    <n v="-10.00984303863566"/>
    <n v="1539.5320823498726"/>
    <n v="0"/>
    <n v="1"/>
    <n v="0"/>
    <n v="0"/>
    <n v="0"/>
    <n v="0"/>
    <n v="0"/>
    <n v="0"/>
    <n v="0"/>
    <n v="0"/>
  </r>
  <r>
    <d v="2012-06-15T00:00:00"/>
    <n v="2012"/>
    <x v="6"/>
    <s v="R"/>
    <s v="RS"/>
    <x v="9"/>
    <s v="IND"/>
    <s v="H"/>
    <n v="6"/>
    <n v="6"/>
    <n v="0"/>
    <n v="0"/>
    <n v="0"/>
    <n v="0"/>
    <n v="1376.0394483712521"/>
    <n v="1549.5419253885082"/>
    <n v="0.37397117984601347"/>
    <n v="67"/>
    <n v="66"/>
    <n v="0"/>
    <n v="1"/>
    <n v="1"/>
    <n v="0.21333460263914092"/>
    <n v="1"/>
    <n v="74.95"/>
    <n v="74.95"/>
    <n v="10.00984303863566"/>
    <n v="1386.0492914098877"/>
    <n v="1"/>
    <n v="0"/>
    <n v="0"/>
    <n v="0"/>
    <n v="0"/>
    <n v="0"/>
    <n v="0"/>
    <n v="0"/>
    <n v="0"/>
    <n v="0"/>
  </r>
  <r>
    <d v="2012-06-16T00:00:00"/>
    <n v="2012"/>
    <x v="8"/>
    <s v="R"/>
    <s v="RS"/>
    <x v="8"/>
    <s v="IND"/>
    <s v="A"/>
    <n v="2"/>
    <n v="0"/>
    <n v="2"/>
    <n v="-2"/>
    <n v="16"/>
    <n v="-16"/>
    <n v="1545.4433384775566"/>
    <n v="1539.5320823498726"/>
    <n v="0.43405930127666864"/>
    <n v="70"/>
    <n v="84"/>
    <n v="0"/>
    <n v="-14"/>
    <n v="0"/>
    <n v="0.48521789747600375"/>
    <n v="1"/>
    <n v="74.650000000000006"/>
    <n v="74.650000000000006"/>
    <n v="-15.722285946361753"/>
    <n v="1529.7210525311948"/>
    <n v="0"/>
    <n v="1"/>
    <n v="0"/>
    <n v="0"/>
    <n v="0"/>
    <n v="0"/>
    <n v="0"/>
    <n v="0"/>
    <n v="0"/>
    <n v="0"/>
  </r>
  <r>
    <d v="2012-06-16T00:00:00"/>
    <n v="2012"/>
    <x v="7"/>
    <s v="R"/>
    <s v="RS"/>
    <x v="3"/>
    <s v="CHI"/>
    <s v="H"/>
    <n v="0"/>
    <n v="2"/>
    <n v="-2"/>
    <n v="2"/>
    <n v="-16"/>
    <n v="16"/>
    <n v="1539.5320823498726"/>
    <n v="1545.4433384775566"/>
    <n v="0.56594069872333141"/>
    <n v="84"/>
    <n v="70"/>
    <n v="0"/>
    <n v="14"/>
    <n v="1"/>
    <n v="0.48521789747600375"/>
    <n v="1"/>
    <n v="74.8"/>
    <n v="74.8"/>
    <n v="15.753877947593557"/>
    <n v="1555.2859602974661"/>
    <n v="1"/>
    <n v="0"/>
    <n v="0"/>
    <n v="0"/>
    <n v="0"/>
    <n v="0"/>
    <n v="0"/>
    <n v="0"/>
    <n v="0"/>
    <n v="0"/>
  </r>
  <r>
    <d v="2012-06-16T00:00:00"/>
    <n v="2012"/>
    <x v="9"/>
    <s v="R"/>
    <s v="RS"/>
    <x v="0"/>
    <s v="SAS"/>
    <s v="A"/>
    <n v="0"/>
    <n v="6"/>
    <n v="-6"/>
    <n v="6"/>
    <n v="-16"/>
    <n v="16"/>
    <n v="1530.9956282879496"/>
    <n v="1504.2892629369119"/>
    <n v="0.37425267603625983"/>
    <n v="85"/>
    <n v="98"/>
    <n v="1"/>
    <n v="-13"/>
    <n v="0"/>
    <n v="0.41559029161258093"/>
    <n v="1"/>
    <n v="74.5"/>
    <n v="74.5"/>
    <n v="-11.587415518417002"/>
    <n v="1519.4082127695326"/>
    <n v="0"/>
    <n v="1"/>
    <n v="0"/>
    <n v="0"/>
    <n v="0"/>
    <n v="0"/>
    <n v="0"/>
    <n v="0"/>
    <n v="0"/>
    <n v="0"/>
  </r>
  <r>
    <d v="2012-06-16T00:00:00"/>
    <n v="2012"/>
    <x v="7"/>
    <s v="R"/>
    <s v="RS"/>
    <x v="6"/>
    <s v="LAS"/>
    <s v="H"/>
    <n v="6"/>
    <n v="0"/>
    <n v="6"/>
    <n v="-6"/>
    <n v="16"/>
    <n v="-16"/>
    <n v="1504.2892629369119"/>
    <n v="1530.9956282879496"/>
    <n v="0.62574732396374011"/>
    <n v="98"/>
    <n v="85"/>
    <n v="1"/>
    <n v="13"/>
    <n v="1"/>
    <n v="0.41559029161258093"/>
    <n v="1"/>
    <n v="74.8"/>
    <n v="74.8"/>
    <n v="11.634076252048212"/>
    <n v="1515.9233391889602"/>
    <n v="1"/>
    <n v="0"/>
    <n v="0"/>
    <n v="0"/>
    <n v="0"/>
    <n v="0"/>
    <n v="0"/>
    <n v="0"/>
    <n v="0"/>
    <n v="0"/>
  </r>
  <r>
    <d v="2012-06-17T00:00:00"/>
    <n v="2012"/>
    <x v="9"/>
    <s v="R"/>
    <s v="RS"/>
    <x v="4"/>
    <s v="ATL"/>
    <s v="A"/>
    <n v="1"/>
    <n v="1"/>
    <n v="0"/>
    <n v="0"/>
    <n v="0"/>
    <n v="0"/>
    <n v="1585.4856014040574"/>
    <n v="1534.8238022139089"/>
    <n v="0.45216918106213616"/>
    <n v="75"/>
    <n v="73"/>
    <n v="0"/>
    <n v="2"/>
    <n v="1"/>
    <n v="0.2569916065076337"/>
    <n v="1"/>
    <n v="74.5"/>
    <n v="74.5"/>
    <n v="10.48870020786595"/>
    <n v="1595.9743016119235"/>
    <n v="1"/>
    <n v="0"/>
    <n v="0"/>
    <n v="0"/>
    <n v="0"/>
    <n v="0"/>
    <n v="0"/>
    <n v="0"/>
    <n v="0"/>
    <n v="0"/>
  </r>
  <r>
    <d v="2012-06-17T00:00:00"/>
    <n v="2012"/>
    <x v="9"/>
    <s v="R"/>
    <s v="RS"/>
    <x v="2"/>
    <s v="CON"/>
    <s v="H"/>
    <n v="1"/>
    <n v="1"/>
    <n v="0"/>
    <n v="0"/>
    <n v="0"/>
    <n v="0"/>
    <n v="1534.8238022139089"/>
    <n v="1585.4856014040574"/>
    <n v="0.54783081893786389"/>
    <n v="73"/>
    <n v="75"/>
    <n v="0"/>
    <n v="-2"/>
    <n v="0"/>
    <n v="0.2569916065076337"/>
    <n v="1"/>
    <n v="74.5"/>
    <n v="74.5"/>
    <n v="-10.488700207865952"/>
    <n v="1524.3351020060429"/>
    <n v="0"/>
    <n v="1"/>
    <n v="0"/>
    <n v="0"/>
    <n v="0"/>
    <n v="0"/>
    <n v="0"/>
    <n v="0"/>
    <n v="0"/>
    <n v="0"/>
  </r>
  <r>
    <d v="2012-06-17T00:00:00"/>
    <n v="2012"/>
    <x v="10"/>
    <s v="R"/>
    <s v="RS"/>
    <x v="11"/>
    <s v="SEA"/>
    <s v="A"/>
    <n v="1"/>
    <n v="1"/>
    <n v="0"/>
    <n v="0"/>
    <n v="0"/>
    <n v="0"/>
    <n v="1701.8938534474673"/>
    <n v="1473.6935020717572"/>
    <n v="0.69637268004357744"/>
    <n v="62"/>
    <n v="65"/>
    <n v="0"/>
    <n v="-3"/>
    <n v="0"/>
    <n v="0.24381749030031216"/>
    <n v="1"/>
    <n v="74.349999999999994"/>
    <n v="74.349999999999994"/>
    <n v="-12.623725841689296"/>
    <n v="1689.270127605778"/>
    <n v="0"/>
    <n v="1"/>
    <n v="0"/>
    <n v="0"/>
    <n v="0"/>
    <n v="0"/>
    <n v="0"/>
    <n v="0"/>
    <n v="0"/>
    <n v="0"/>
  </r>
  <r>
    <d v="2012-06-17T00:00:00"/>
    <n v="2012"/>
    <x v="9"/>
    <s v="R"/>
    <s v="RS"/>
    <x v="1"/>
    <s v="MIN"/>
    <s v="H"/>
    <n v="1"/>
    <n v="1"/>
    <n v="0"/>
    <n v="0"/>
    <n v="0"/>
    <n v="0"/>
    <n v="1473.6935020717572"/>
    <n v="1701.8938534474673"/>
    <n v="0.30362731995642256"/>
    <n v="65"/>
    <n v="62"/>
    <n v="0"/>
    <n v="3"/>
    <n v="1"/>
    <n v="0.24381749030031216"/>
    <n v="1"/>
    <n v="74.5"/>
    <n v="74.5"/>
    <n v="12.649194017563588"/>
    <n v="1486.3426960893207"/>
    <n v="1"/>
    <n v="0"/>
    <n v="0"/>
    <n v="0"/>
    <n v="0"/>
    <n v="0"/>
    <n v="0"/>
    <n v="0"/>
    <n v="0"/>
    <n v="0"/>
  </r>
  <r>
    <d v="2012-06-17T00:00:00"/>
    <n v="2012"/>
    <x v="8"/>
    <s v="R"/>
    <s v="RS"/>
    <x v="10"/>
    <s v="TUL"/>
    <s v="A"/>
    <n v="1"/>
    <n v="1"/>
    <n v="0"/>
    <n v="0"/>
    <n v="0"/>
    <n v="0"/>
    <n v="1440.8036508552143"/>
    <n v="1303.5438228526953"/>
    <n v="0.57605226542321841"/>
    <n v="75"/>
    <n v="87"/>
    <n v="0"/>
    <n v="-12"/>
    <n v="0"/>
    <n v="0.4093111302905435"/>
    <n v="1"/>
    <n v="74.650000000000006"/>
    <n v="74.650000000000006"/>
    <n v="-17.601320678657046"/>
    <n v="1423.2023301765573"/>
    <n v="0"/>
    <n v="1"/>
    <n v="0"/>
    <n v="0"/>
    <n v="0"/>
    <n v="0"/>
    <n v="0"/>
    <n v="0"/>
    <n v="0"/>
    <n v="0"/>
  </r>
  <r>
    <d v="2012-06-17T00:00:00"/>
    <n v="2012"/>
    <x v="9"/>
    <s v="R"/>
    <s v="RS"/>
    <x v="7"/>
    <s v="PHX"/>
    <s v="H"/>
    <n v="1"/>
    <n v="1"/>
    <n v="0"/>
    <n v="0"/>
    <n v="0"/>
    <n v="0"/>
    <n v="1303.5438228526953"/>
    <n v="1440.8036508552143"/>
    <n v="0.42394773457678153"/>
    <n v="87"/>
    <n v="75"/>
    <n v="0"/>
    <n v="12"/>
    <n v="1"/>
    <n v="0.4093111302905435"/>
    <n v="1"/>
    <n v="74.5"/>
    <n v="74.5"/>
    <n v="17.565952988077029"/>
    <n v="1321.1097758407723"/>
    <n v="1"/>
    <n v="0"/>
    <n v="0"/>
    <n v="0"/>
    <n v="0"/>
    <n v="0"/>
    <n v="0"/>
    <n v="0"/>
    <n v="0"/>
    <n v="0"/>
  </r>
  <r>
    <d v="2012-06-18T00:00:00"/>
    <n v="2012"/>
    <x v="7"/>
    <s v="R"/>
    <s v="RS"/>
    <x v="9"/>
    <s v="LAS"/>
    <s v="A"/>
    <n v="2"/>
    <n v="1"/>
    <n v="1"/>
    <n v="-1"/>
    <n v="8"/>
    <n v="-8"/>
    <n v="1386.0492914098877"/>
    <n v="1519.4082127695326"/>
    <n v="0.23882810843432936"/>
    <n v="70"/>
    <n v="101"/>
    <n v="0"/>
    <n v="-31"/>
    <n v="0"/>
    <n v="0.64392372894437566"/>
    <n v="1"/>
    <n v="74.8"/>
    <n v="74.8"/>
    <n v="-11.503274044750427"/>
    <n v="1374.5460173651372"/>
    <n v="0"/>
    <n v="1"/>
    <n v="0"/>
    <n v="0"/>
    <n v="0"/>
    <n v="0"/>
    <n v="0"/>
    <n v="0"/>
    <n v="0"/>
    <n v="0"/>
  </r>
  <r>
    <d v="2012-06-18T00:00:00"/>
    <n v="2012"/>
    <x v="10"/>
    <s v="R"/>
    <s v="RS"/>
    <x v="0"/>
    <s v="WAS"/>
    <s v="H"/>
    <n v="1"/>
    <n v="2"/>
    <n v="-1"/>
    <n v="1"/>
    <n v="-8"/>
    <n v="8"/>
    <n v="1519.4082127695326"/>
    <n v="1386.0492914098877"/>
    <n v="0.76117189156567067"/>
    <n v="101"/>
    <n v="70"/>
    <n v="0"/>
    <n v="31"/>
    <n v="1"/>
    <n v="0.64392372894437566"/>
    <n v="1"/>
    <n v="74.349999999999994"/>
    <n v="74.349999999999994"/>
    <n v="11.43406985597853"/>
    <n v="1530.8422826255112"/>
    <n v="1"/>
    <n v="0"/>
    <n v="0"/>
    <n v="0"/>
    <n v="0"/>
    <n v="0"/>
    <n v="0"/>
    <n v="0"/>
    <n v="0"/>
    <n v="0"/>
  </r>
  <r>
    <d v="2012-06-19T00:00:00"/>
    <n v="2012"/>
    <x v="10"/>
    <s v="R"/>
    <s v="RS"/>
    <x v="5"/>
    <s v="ATL"/>
    <s v="A"/>
    <n v="3"/>
    <n v="1"/>
    <n v="2"/>
    <n v="-2"/>
    <n v="16"/>
    <n v="-16"/>
    <n v="1462.8477655922252"/>
    <n v="1524.3351020060429"/>
    <n v="0.3422495121933638"/>
    <n v="73"/>
    <n v="60"/>
    <n v="0"/>
    <n v="13"/>
    <n v="1"/>
    <n v="0.4490354285975347"/>
    <n v="1"/>
    <n v="74.349999999999994"/>
    <n v="74.349999999999994"/>
    <n v="21.95951578825516"/>
    <n v="1484.8072813804804"/>
    <n v="1"/>
    <n v="0"/>
    <n v="0"/>
    <n v="0"/>
    <n v="0"/>
    <n v="0"/>
    <n v="0"/>
    <n v="0"/>
    <n v="0"/>
    <n v="0"/>
  </r>
  <r>
    <d v="2012-06-19T00:00:00"/>
    <n v="2012"/>
    <x v="10"/>
    <s v="R"/>
    <s v="RS"/>
    <x v="2"/>
    <s v="NYL"/>
    <s v="H"/>
    <n v="1"/>
    <n v="3"/>
    <n v="-2"/>
    <n v="2"/>
    <n v="-16"/>
    <n v="16"/>
    <n v="1524.3351020060429"/>
    <n v="1462.8477655922252"/>
    <n v="0.65775048780663625"/>
    <n v="60"/>
    <n v="73"/>
    <n v="0"/>
    <n v="-13"/>
    <n v="0"/>
    <n v="0.4490354285975347"/>
    <n v="1"/>
    <n v="74.349999999999994"/>
    <n v="74.349999999999994"/>
    <n v="-21.95951578825516"/>
    <n v="1502.3755862177877"/>
    <n v="0"/>
    <n v="1"/>
    <n v="0"/>
    <n v="0"/>
    <n v="0"/>
    <n v="0"/>
    <n v="0"/>
    <n v="0"/>
    <n v="0"/>
    <n v="0"/>
  </r>
  <r>
    <d v="2012-06-19T00:00:00"/>
    <n v="2012"/>
    <x v="8"/>
    <s v="R"/>
    <s v="RS"/>
    <x v="3"/>
    <s v="CON"/>
    <s v="A"/>
    <n v="2"/>
    <n v="1"/>
    <n v="1"/>
    <n v="-1"/>
    <n v="8"/>
    <n v="-8"/>
    <n v="1555.2859602974661"/>
    <n v="1595.9743016119235"/>
    <n v="0.34849518209220987"/>
    <n v="85"/>
    <n v="88"/>
    <n v="1"/>
    <n v="-3"/>
    <n v="0"/>
    <n v="0.25260026418445458"/>
    <n v="1"/>
    <n v="74.650000000000006"/>
    <n v="74.650000000000006"/>
    <n v="-6.5714376384904112"/>
    <n v="1548.7145226589757"/>
    <n v="0"/>
    <n v="1"/>
    <n v="0"/>
    <n v="0"/>
    <n v="0"/>
    <n v="0"/>
    <n v="0"/>
    <n v="0"/>
    <n v="0"/>
    <n v="0"/>
  </r>
  <r>
    <d v="2012-06-19T00:00:00"/>
    <n v="2012"/>
    <x v="10"/>
    <s v="R"/>
    <s v="RS"/>
    <x v="4"/>
    <s v="IND"/>
    <s v="H"/>
    <n v="1"/>
    <n v="2"/>
    <n v="-1"/>
    <n v="1"/>
    <n v="-8"/>
    <n v="8"/>
    <n v="1595.9743016119235"/>
    <n v="1555.2859602974661"/>
    <n v="0.65150481790779013"/>
    <n v="88"/>
    <n v="85"/>
    <n v="1"/>
    <n v="3"/>
    <n v="1"/>
    <n v="0.25260026418445458"/>
    <n v="1"/>
    <n v="74.349999999999994"/>
    <n v="74.349999999999994"/>
    <n v="6.5450286459713594"/>
    <n v="1602.5193302578948"/>
    <n v="1"/>
    <n v="0"/>
    <n v="0"/>
    <n v="0"/>
    <n v="0"/>
    <n v="0"/>
    <n v="0"/>
    <n v="0"/>
    <n v="0"/>
    <n v="0"/>
  </r>
  <r>
    <d v="2012-06-20T00:00:00"/>
    <n v="2012"/>
    <x v="10"/>
    <s v="R"/>
    <s v="RS"/>
    <x v="7"/>
    <s v="LAS"/>
    <s v="A"/>
    <n v="2"/>
    <n v="1"/>
    <n v="1"/>
    <n v="-1"/>
    <n v="8"/>
    <n v="-8"/>
    <n v="1321.1097758407723"/>
    <n v="1530.8422826255112"/>
    <n v="0.16815543745534861"/>
    <n v="79"/>
    <n v="95"/>
    <n v="0"/>
    <n v="-16"/>
    <n v="0"/>
    <n v="0.44075257947566865"/>
    <n v="1"/>
    <n v="74.349999999999994"/>
    <n v="74.349999999999994"/>
    <n v="-5.5104459980204785"/>
    <n v="1315.5993298427518"/>
    <n v="0"/>
    <n v="1"/>
    <n v="0"/>
    <n v="0"/>
    <n v="0"/>
    <n v="0"/>
    <n v="0"/>
    <n v="0"/>
    <n v="0"/>
    <n v="0"/>
  </r>
  <r>
    <d v="2012-06-20T00:00:00"/>
    <n v="2012"/>
    <x v="11"/>
    <s v="R"/>
    <s v="RS"/>
    <x v="0"/>
    <s v="TUL"/>
    <s v="H"/>
    <n v="1"/>
    <n v="2"/>
    <n v="-1"/>
    <n v="1"/>
    <n v="-8"/>
    <n v="8"/>
    <n v="1530.8422826255112"/>
    <n v="1321.1097758407723"/>
    <n v="0.83184456254465144"/>
    <n v="95"/>
    <n v="79"/>
    <n v="0"/>
    <n v="16"/>
    <n v="1"/>
    <n v="0.44075257947566865"/>
    <n v="1"/>
    <n v="74.2"/>
    <n v="74.2"/>
    <n v="5.4993287565987821"/>
    <n v="1536.3416113821099"/>
    <n v="1"/>
    <n v="0"/>
    <n v="0"/>
    <n v="0"/>
    <n v="0"/>
    <n v="0"/>
    <n v="0"/>
    <n v="0"/>
    <n v="0"/>
    <n v="0"/>
  </r>
  <r>
    <d v="2012-06-20T00:00:00"/>
    <n v="2012"/>
    <x v="8"/>
    <s v="R"/>
    <s v="RS"/>
    <x v="9"/>
    <s v="PHX"/>
    <s v="A"/>
    <n v="1"/>
    <n v="2"/>
    <n v="-1"/>
    <n v="1"/>
    <n v="-8"/>
    <n v="8"/>
    <n v="1374.5460173651372"/>
    <n v="1423.2023301765573"/>
    <n v="0.29823129538966997"/>
    <n v="77"/>
    <n v="80"/>
    <n v="0"/>
    <n v="-3"/>
    <n v="0"/>
    <n v="0.27887595789622222"/>
    <n v="1"/>
    <n v="74.650000000000006"/>
    <n v="74.650000000000006"/>
    <n v="-6.2086060248701571"/>
    <n v="1368.3374113402672"/>
    <n v="0"/>
    <n v="1"/>
    <n v="0"/>
    <n v="0"/>
    <n v="0"/>
    <n v="0"/>
    <n v="0"/>
    <n v="0"/>
    <n v="0"/>
    <n v="0"/>
  </r>
  <r>
    <d v="2012-06-20T00:00:00"/>
    <n v="2012"/>
    <x v="9"/>
    <s v="R"/>
    <s v="RS"/>
    <x v="10"/>
    <s v="WAS"/>
    <s v="H"/>
    <n v="2"/>
    <n v="1"/>
    <n v="1"/>
    <n v="-1"/>
    <n v="8"/>
    <n v="-8"/>
    <n v="1423.2023301765573"/>
    <n v="1374.5460173651372"/>
    <n v="0.70176870461033003"/>
    <n v="80"/>
    <n v="77"/>
    <n v="0"/>
    <n v="3"/>
    <n v="1"/>
    <n v="0.27887595789622222"/>
    <n v="1"/>
    <n v="74.5"/>
    <n v="74.5"/>
    <n v="6.1961305941436935"/>
    <n v="1429.3984607707009"/>
    <n v="1"/>
    <n v="0"/>
    <n v="0"/>
    <n v="0"/>
    <n v="0"/>
    <n v="0"/>
    <n v="0"/>
    <n v="0"/>
    <n v="0"/>
    <n v="0"/>
  </r>
  <r>
    <d v="2012-06-21T00:00:00"/>
    <n v="2012"/>
    <x v="11"/>
    <s v="R"/>
    <s v="RS"/>
    <x v="4"/>
    <s v="IND"/>
    <s v="A"/>
    <n v="1"/>
    <n v="1"/>
    <n v="0"/>
    <n v="0"/>
    <n v="0"/>
    <n v="0"/>
    <n v="1602.5193302578948"/>
    <n v="1548.7145226589757"/>
    <n v="0.45665470105249056"/>
    <n v="61"/>
    <n v="95"/>
    <n v="0"/>
    <n v="-34"/>
    <n v="0"/>
    <n v="0.71847032216136064"/>
    <n v="1"/>
    <n v="74.2"/>
    <n v="74.2"/>
    <n v="-24.344489483480857"/>
    <n v="1578.174840774414"/>
    <n v="0"/>
    <n v="1"/>
    <n v="0"/>
    <n v="0"/>
    <n v="0"/>
    <n v="0"/>
    <n v="0"/>
    <n v="0"/>
    <n v="0"/>
    <n v="0"/>
  </r>
  <r>
    <d v="2012-06-21T00:00:00"/>
    <n v="2012"/>
    <x v="9"/>
    <s v="R"/>
    <s v="RS"/>
    <x v="3"/>
    <s v="CON"/>
    <s v="H"/>
    <n v="1"/>
    <n v="1"/>
    <n v="0"/>
    <n v="0"/>
    <n v="0"/>
    <n v="0"/>
    <n v="1548.7145226589757"/>
    <n v="1602.5193302578948"/>
    <n v="0.54334529894750949"/>
    <n v="95"/>
    <n v="61"/>
    <n v="0"/>
    <n v="34"/>
    <n v="1"/>
    <n v="0.71847032216136064"/>
    <n v="1"/>
    <n v="74.5"/>
    <n v="74.5"/>
    <n v="24.442917338535359"/>
    <n v="1573.1574399975111"/>
    <n v="1"/>
    <n v="0"/>
    <n v="0"/>
    <n v="0"/>
    <n v="0"/>
    <n v="0"/>
    <n v="0"/>
    <n v="0"/>
    <n v="0"/>
    <n v="0"/>
  </r>
  <r>
    <d v="2012-06-21T00:00:00"/>
    <n v="2012"/>
    <x v="11"/>
    <s v="R"/>
    <s v="RS"/>
    <x v="5"/>
    <s v="MIN"/>
    <s v="A"/>
    <n v="1"/>
    <n v="3"/>
    <n v="-2"/>
    <n v="2"/>
    <n v="-16"/>
    <n v="16"/>
    <n v="1484.8072813804804"/>
    <n v="1689.270127605778"/>
    <n v="0.1364925570015619"/>
    <n v="70"/>
    <n v="102"/>
    <n v="0"/>
    <n v="-32"/>
    <n v="0"/>
    <n v="0.62145656413298977"/>
    <n v="1"/>
    <n v="74.2"/>
    <n v="74.2"/>
    <n v="-6.2939553063906359"/>
    <n v="1478.5133260740897"/>
    <n v="0"/>
    <n v="1"/>
    <n v="0"/>
    <n v="0"/>
    <n v="0"/>
    <n v="0"/>
    <n v="0"/>
    <n v="0"/>
    <n v="0"/>
    <n v="0"/>
  </r>
  <r>
    <d v="2012-06-21T00:00:00"/>
    <n v="2012"/>
    <x v="11"/>
    <s v="R"/>
    <s v="RS"/>
    <x v="11"/>
    <s v="NYL"/>
    <s v="H"/>
    <n v="3"/>
    <n v="1"/>
    <n v="2"/>
    <n v="-2"/>
    <n v="16"/>
    <n v="-16"/>
    <n v="1689.270127605778"/>
    <n v="1484.8072813804804"/>
    <n v="0.86350744299843807"/>
    <n v="102"/>
    <n v="70"/>
    <n v="0"/>
    <n v="32"/>
    <n v="1"/>
    <n v="0.62145656413298977"/>
    <n v="1"/>
    <n v="74.2"/>
    <n v="74.2"/>
    <n v="6.2939553063906368"/>
    <n v="1695.5640829121687"/>
    <n v="1"/>
    <n v="0"/>
    <n v="0"/>
    <n v="0"/>
    <n v="0"/>
    <n v="0"/>
    <n v="0"/>
    <n v="0"/>
    <n v="0"/>
    <n v="0"/>
  </r>
  <r>
    <d v="2012-06-22T00:00:00"/>
    <n v="2012"/>
    <x v="8"/>
    <s v="R"/>
    <s v="RS"/>
    <x v="6"/>
    <s v="SEA"/>
    <s v="A"/>
    <n v="5"/>
    <n v="4"/>
    <n v="1"/>
    <n v="-1"/>
    <n v="8"/>
    <n v="-8"/>
    <n v="1515.9233391889602"/>
    <n v="1486.3426960893207"/>
    <n v="0.444934363742085"/>
    <n v="76"/>
    <n v="82"/>
    <n v="0"/>
    <n v="-6"/>
    <n v="0"/>
    <n v="0.34282982224455094"/>
    <n v="1"/>
    <n v="74.650000000000006"/>
    <n v="74.650000000000006"/>
    <n v="-11.386869793323088"/>
    <n v="1504.5364693956371"/>
    <n v="0"/>
    <n v="1"/>
    <n v="0"/>
    <n v="0"/>
    <n v="0"/>
    <n v="0"/>
    <n v="0"/>
    <n v="0"/>
    <n v="0"/>
    <n v="0"/>
  </r>
  <r>
    <d v="2012-06-22T00:00:00"/>
    <n v="2012"/>
    <x v="10"/>
    <s v="R"/>
    <s v="RS"/>
    <x v="1"/>
    <s v="SAS"/>
    <s v="H"/>
    <n v="4"/>
    <n v="5"/>
    <n v="-1"/>
    <n v="1"/>
    <n v="-8"/>
    <n v="8"/>
    <n v="1486.3426960893207"/>
    <n v="1515.9233391889602"/>
    <n v="0.55506563625791494"/>
    <n v="82"/>
    <n v="76"/>
    <n v="0"/>
    <n v="6"/>
    <n v="1"/>
    <n v="0.34282982224455094"/>
    <n v="1"/>
    <n v="74.349999999999994"/>
    <n v="74.349999999999994"/>
    <n v="11.34110876267343"/>
    <n v="1497.6838048519942"/>
    <n v="1"/>
    <n v="0"/>
    <n v="0"/>
    <n v="0"/>
    <n v="0"/>
    <n v="0"/>
    <n v="0"/>
    <n v="0"/>
    <n v="0"/>
    <n v="0"/>
  </r>
  <r>
    <d v="2012-06-23T00:00:00"/>
    <n v="2012"/>
    <x v="9"/>
    <s v="R"/>
    <s v="RS"/>
    <x v="8"/>
    <s v="MIN"/>
    <s v="A"/>
    <n v="6"/>
    <n v="1"/>
    <n v="5"/>
    <n v="-5"/>
    <n v="16"/>
    <n v="-16"/>
    <n v="1529.7210525311948"/>
    <n v="1695.5640829121687"/>
    <n v="0.22200757479198693"/>
    <n v="67"/>
    <n v="79"/>
    <n v="0"/>
    <n v="-12"/>
    <n v="0"/>
    <n v="0.4007454147488495"/>
    <n v="1"/>
    <n v="74.5"/>
    <n v="74.5"/>
    <n v="-6.6281545639863761"/>
    <n v="1523.0928979672085"/>
    <n v="0"/>
    <n v="1"/>
    <n v="0"/>
    <n v="0"/>
    <n v="0"/>
    <n v="0"/>
    <n v="0"/>
    <n v="0"/>
    <n v="0"/>
    <n v="0"/>
  </r>
  <r>
    <d v="2012-06-23T00:00:00"/>
    <n v="2012"/>
    <x v="12"/>
    <s v="R"/>
    <s v="RS"/>
    <x v="11"/>
    <s v="CHI"/>
    <s v="H"/>
    <n v="1"/>
    <n v="6"/>
    <n v="-5"/>
    <n v="5"/>
    <n v="-16"/>
    <n v="16"/>
    <n v="1695.5640829121687"/>
    <n v="1529.7210525311948"/>
    <n v="0.77799242520801304"/>
    <n v="79"/>
    <n v="67"/>
    <n v="0"/>
    <n v="12"/>
    <n v="1"/>
    <n v="0.4007454147488495"/>
    <n v="1"/>
    <n v="74.05"/>
    <n v="74.05"/>
    <n v="6.5881187310495468"/>
    <n v="1702.1522016432182"/>
    <n v="1"/>
    <n v="0"/>
    <n v="0"/>
    <n v="0"/>
    <n v="0"/>
    <n v="0"/>
    <n v="0"/>
    <n v="0"/>
    <n v="0"/>
    <n v="0"/>
  </r>
  <r>
    <d v="2012-06-23T00:00:00"/>
    <n v="2012"/>
    <x v="12"/>
    <s v="R"/>
    <s v="RS"/>
    <x v="0"/>
    <s v="PHX"/>
    <s v="A"/>
    <n v="2"/>
    <n v="2"/>
    <n v="0"/>
    <n v="0"/>
    <n v="0"/>
    <n v="0"/>
    <n v="1536.3416113821099"/>
    <n v="1429.3984607707009"/>
    <n v="0.53296993764509104"/>
    <n v="93"/>
    <n v="84"/>
    <n v="0"/>
    <n v="9"/>
    <n v="1"/>
    <n v="0.37275212188746493"/>
    <n v="1"/>
    <n v="74.05"/>
    <n v="74.05"/>
    <n v="12.891101380210426"/>
    <n v="1549.2327127623203"/>
    <n v="1"/>
    <n v="0"/>
    <n v="0"/>
    <n v="0"/>
    <n v="0"/>
    <n v="0"/>
    <n v="0"/>
    <n v="0"/>
    <n v="0"/>
    <n v="0"/>
  </r>
  <r>
    <d v="2012-06-23T00:00:00"/>
    <n v="2012"/>
    <x v="10"/>
    <s v="R"/>
    <s v="RS"/>
    <x v="10"/>
    <s v="LAS"/>
    <s v="H"/>
    <n v="2"/>
    <n v="2"/>
    <n v="0"/>
    <n v="0"/>
    <n v="0"/>
    <n v="0"/>
    <n v="1429.3984607707009"/>
    <n v="1536.3416113821099"/>
    <n v="0.46703006235490896"/>
    <n v="84"/>
    <n v="93"/>
    <n v="0"/>
    <n v="-9"/>
    <n v="0"/>
    <n v="0.37275212188746493"/>
    <n v="1"/>
    <n v="74.349999999999994"/>
    <n v="74.349999999999994"/>
    <n v="-12.943327314228833"/>
    <n v="1416.4551334564721"/>
    <n v="0"/>
    <n v="1"/>
    <n v="0"/>
    <n v="0"/>
    <n v="0"/>
    <n v="0"/>
    <n v="0"/>
    <n v="0"/>
    <n v="0"/>
    <n v="0"/>
  </r>
  <r>
    <d v="2012-06-23T00:00:00"/>
    <n v="2012"/>
    <x v="10"/>
    <s v="R"/>
    <s v="RS"/>
    <x v="3"/>
    <s v="TUL"/>
    <s v="A"/>
    <n v="1"/>
    <n v="2"/>
    <n v="-1"/>
    <n v="1"/>
    <n v="-8"/>
    <n v="8"/>
    <n v="1573.1574399975111"/>
    <n v="1315.5993298427518"/>
    <n v="0.71238124511483869"/>
    <n v="73"/>
    <n v="70"/>
    <n v="0"/>
    <n v="3"/>
    <n v="1"/>
    <n v="0.23890658142026092"/>
    <n v="1"/>
    <n v="74.349999999999994"/>
    <n v="74.349999999999994"/>
    <n v="5.1088869023841612"/>
    <n v="1578.2663268998954"/>
    <n v="1"/>
    <n v="0"/>
    <n v="0"/>
    <n v="0"/>
    <n v="0"/>
    <n v="0"/>
    <n v="0"/>
    <n v="0"/>
    <n v="0"/>
    <n v="0"/>
  </r>
  <r>
    <d v="2012-06-23T00:00:00"/>
    <n v="2012"/>
    <x v="11"/>
    <s v="R"/>
    <s v="RS"/>
    <x v="7"/>
    <s v="IND"/>
    <s v="H"/>
    <n v="2"/>
    <n v="1"/>
    <n v="1"/>
    <n v="-1"/>
    <n v="8"/>
    <n v="-8"/>
    <n v="1315.5993298427518"/>
    <n v="1573.1574399975111"/>
    <n v="0.28761875488516137"/>
    <n v="70"/>
    <n v="73"/>
    <n v="0"/>
    <n v="-3"/>
    <n v="0"/>
    <n v="0.23890658142026092"/>
    <n v="1"/>
    <n v="74.2"/>
    <n v="74.2"/>
    <n v="-5.0985798003618683"/>
    <n v="1310.5007500423899"/>
    <n v="0"/>
    <n v="1"/>
    <n v="0"/>
    <n v="0"/>
    <n v="0"/>
    <n v="0"/>
    <n v="0"/>
    <n v="0"/>
    <n v="0"/>
    <n v="0"/>
  </r>
  <r>
    <d v="2012-06-24T00:00:00"/>
    <n v="2012"/>
    <x v="9"/>
    <s v="R"/>
    <s v="RS"/>
    <x v="6"/>
    <s v="LAS"/>
    <s v="A"/>
    <n v="1"/>
    <n v="0"/>
    <n v="1"/>
    <n v="-1"/>
    <n v="8"/>
    <n v="-8"/>
    <n v="1504.5364693956371"/>
    <n v="1549.2327127623203"/>
    <n v="0.34327539707780919"/>
    <n v="91"/>
    <n v="71"/>
    <n v="0"/>
    <n v="20"/>
    <n v="1"/>
    <n v="0.55424352279287425"/>
    <n v="1"/>
    <n v="74.5"/>
    <n v="74.5"/>
    <n v="27.11690912841182"/>
    <n v="1531.653378524049"/>
    <n v="1"/>
    <n v="0"/>
    <n v="0"/>
    <n v="0"/>
    <n v="0"/>
    <n v="0"/>
    <n v="0"/>
    <n v="0"/>
    <n v="0"/>
    <n v="0"/>
  </r>
  <r>
    <d v="2012-06-24T00:00:00"/>
    <n v="2012"/>
    <x v="13"/>
    <s v="R"/>
    <s v="RS"/>
    <x v="0"/>
    <s v="SAS"/>
    <s v="H"/>
    <n v="0"/>
    <n v="1"/>
    <n v="-1"/>
    <n v="1"/>
    <n v="-8"/>
    <n v="8"/>
    <n v="1549.2327127623203"/>
    <n v="1504.5364693956371"/>
    <n v="0.65672460292219081"/>
    <n v="71"/>
    <n v="91"/>
    <n v="0"/>
    <n v="-20"/>
    <n v="0"/>
    <n v="0.55424352279287425"/>
    <n v="1"/>
    <n v="73.900000000000006"/>
    <n v="73.900000000000006"/>
    <n v="-26.898517913954812"/>
    <n v="1522.3341948483655"/>
    <n v="0"/>
    <n v="1"/>
    <n v="0"/>
    <n v="0"/>
    <n v="0"/>
    <n v="0"/>
    <n v="0"/>
    <n v="0"/>
    <n v="0"/>
    <n v="0"/>
  </r>
  <r>
    <d v="2012-06-24T00:00:00"/>
    <n v="2012"/>
    <x v="11"/>
    <s v="R"/>
    <s v="RS"/>
    <x v="2"/>
    <s v="NYL"/>
    <s v="A"/>
    <n v="4"/>
    <n v="2"/>
    <n v="2"/>
    <n v="-2"/>
    <n v="16"/>
    <n v="-16"/>
    <n v="1502.3755862177877"/>
    <n v="1478.5133260740897"/>
    <n v="0.45959483625123415"/>
    <n v="74"/>
    <n v="64"/>
    <n v="0"/>
    <n v="10"/>
    <n v="1"/>
    <n v="0.41487972603969614"/>
    <n v="1"/>
    <n v="74.2"/>
    <n v="74.2"/>
    <n v="16.635873454460164"/>
    <n v="1519.0114596722478"/>
    <n v="1"/>
    <n v="0"/>
    <n v="0"/>
    <n v="0"/>
    <n v="0"/>
    <n v="0"/>
    <n v="0"/>
    <n v="0"/>
    <n v="0"/>
    <n v="0"/>
  </r>
  <r>
    <d v="2012-06-24T00:00:00"/>
    <n v="2012"/>
    <x v="12"/>
    <s v="R"/>
    <s v="RS"/>
    <x v="5"/>
    <s v="ATL"/>
    <s v="H"/>
    <n v="2"/>
    <n v="4"/>
    <n v="-2"/>
    <n v="2"/>
    <n v="-16"/>
    <n v="16"/>
    <n v="1478.5133260740897"/>
    <n v="1502.3755862177877"/>
    <n v="0.5404051637487659"/>
    <n v="64"/>
    <n v="74"/>
    <n v="0"/>
    <n v="-10"/>
    <n v="0"/>
    <n v="0.41487972603969614"/>
    <n v="1"/>
    <n v="74.05"/>
    <n v="74.05"/>
    <n v="-16.602242982517186"/>
    <n v="1461.9110830915724"/>
    <n v="0"/>
    <n v="1"/>
    <n v="0"/>
    <n v="0"/>
    <n v="0"/>
    <n v="0"/>
    <n v="0"/>
    <n v="0"/>
    <n v="0"/>
    <n v="0"/>
  </r>
  <r>
    <d v="2012-06-24T00:00:00"/>
    <n v="2012"/>
    <x v="9"/>
    <s v="R"/>
    <s v="RS"/>
    <x v="9"/>
    <s v="SEA"/>
    <s v="A"/>
    <n v="3"/>
    <n v="1"/>
    <n v="2"/>
    <n v="-2"/>
    <n v="16"/>
    <n v="-16"/>
    <n v="1368.3374113402672"/>
    <n v="1497.6838048519942"/>
    <n v="0.26039553829924322"/>
    <n v="55"/>
    <n v="72"/>
    <n v="0"/>
    <n v="-17"/>
    <n v="0"/>
    <n v="0.48063505946748586"/>
    <n v="1"/>
    <n v="74.5"/>
    <n v="74.5"/>
    <n v="-9.3240642651465961"/>
    <n v="1359.0133470751207"/>
    <n v="0"/>
    <n v="1"/>
    <n v="0"/>
    <n v="0"/>
    <n v="0"/>
    <n v="0"/>
    <n v="0"/>
    <n v="0"/>
    <n v="0"/>
    <n v="0"/>
  </r>
  <r>
    <d v="2012-06-24T00:00:00"/>
    <n v="2012"/>
    <x v="11"/>
    <s v="R"/>
    <s v="RS"/>
    <x v="1"/>
    <s v="WAS"/>
    <s v="H"/>
    <n v="1"/>
    <n v="3"/>
    <n v="-2"/>
    <n v="2"/>
    <n v="-16"/>
    <n v="16"/>
    <n v="1497.6838048519942"/>
    <n v="1368.3374113402672"/>
    <n v="0.73960446170075667"/>
    <n v="72"/>
    <n v="55"/>
    <n v="0"/>
    <n v="17"/>
    <n v="1"/>
    <n v="0.48063505946748586"/>
    <n v="1"/>
    <n v="74.2"/>
    <n v="74.2"/>
    <n v="9.28651769763594"/>
    <n v="1506.9703225496301"/>
    <n v="1"/>
    <n v="0"/>
    <n v="0"/>
    <n v="0"/>
    <n v="0"/>
    <n v="0"/>
    <n v="0"/>
    <n v="0"/>
    <n v="0"/>
    <n v="0"/>
  </r>
  <r>
    <d v="2012-06-26T00:00:00"/>
    <n v="2012"/>
    <x v="11"/>
    <s v="R"/>
    <s v="RS"/>
    <x v="3"/>
    <s v="ATL"/>
    <s v="A"/>
    <n v="2"/>
    <n v="1"/>
    <n v="1"/>
    <n v="-1"/>
    <n v="8"/>
    <n v="-8"/>
    <n v="1578.2663268998954"/>
    <n v="1519.0114596722478"/>
    <n v="0.48741739941996748"/>
    <n v="58"/>
    <n v="70"/>
    <n v="0"/>
    <n v="-12"/>
    <n v="0"/>
    <n v="0.43466604413203208"/>
    <n v="1"/>
    <n v="74.2"/>
    <n v="74.2"/>
    <n v="-15.720293429247393"/>
    <n v="1562.5460334706479"/>
    <n v="0"/>
    <n v="1"/>
    <n v="0"/>
    <n v="0"/>
    <n v="0"/>
    <n v="0"/>
    <n v="0"/>
    <n v="0"/>
    <n v="0"/>
    <n v="0"/>
  </r>
  <r>
    <d v="2012-06-26T00:00:00"/>
    <n v="2012"/>
    <x v="12"/>
    <s v="R"/>
    <s v="RS"/>
    <x v="2"/>
    <s v="IND"/>
    <s v="H"/>
    <n v="1"/>
    <n v="2"/>
    <n v="-1"/>
    <n v="1"/>
    <n v="-8"/>
    <n v="8"/>
    <n v="1519.0114596722478"/>
    <n v="1578.2663268998954"/>
    <n v="0.51258260058003258"/>
    <n v="70"/>
    <n v="58"/>
    <n v="0"/>
    <n v="12"/>
    <n v="1"/>
    <n v="0.43466604413203208"/>
    <n v="1"/>
    <n v="74.05"/>
    <n v="74.05"/>
    <n v="15.688513860320338"/>
    <n v="1534.6999735325683"/>
    <n v="1"/>
    <n v="0"/>
    <n v="0"/>
    <n v="0"/>
    <n v="0"/>
    <n v="0"/>
    <n v="0"/>
    <n v="0"/>
    <n v="0"/>
    <n v="0"/>
  </r>
  <r>
    <d v="2012-06-26T00:00:00"/>
    <n v="2012"/>
    <x v="14"/>
    <s v="R"/>
    <s v="RS"/>
    <x v="0"/>
    <s v="TUL"/>
    <s v="A"/>
    <n v="1"/>
    <n v="2"/>
    <n v="-1"/>
    <n v="1"/>
    <n v="-8"/>
    <n v="8"/>
    <n v="1522.3341948483655"/>
    <n v="1310.5007500423899"/>
    <n v="0.65560406033557539"/>
    <n v="75"/>
    <n v="91"/>
    <n v="0"/>
    <n v="-16"/>
    <n v="0"/>
    <n v="0.44009669909857085"/>
    <n v="1"/>
    <n v="73.75"/>
    <n v="73.75"/>
    <n v="-21.279027236611391"/>
    <n v="1501.0551676117541"/>
    <n v="0"/>
    <n v="1"/>
    <n v="0"/>
    <n v="0"/>
    <n v="0"/>
    <n v="0"/>
    <n v="0"/>
    <n v="0"/>
    <n v="0"/>
    <n v="0"/>
  </r>
  <r>
    <d v="2012-06-26T00:00:00"/>
    <n v="2012"/>
    <x v="12"/>
    <s v="R"/>
    <s v="RS"/>
    <x v="7"/>
    <s v="LAS"/>
    <s v="H"/>
    <n v="2"/>
    <n v="1"/>
    <n v="1"/>
    <n v="-1"/>
    <n v="8"/>
    <n v="-8"/>
    <n v="1310.5007500423899"/>
    <n v="1522.3341948483655"/>
    <n v="0.34439593966442444"/>
    <n v="91"/>
    <n v="75"/>
    <n v="0"/>
    <n v="16"/>
    <n v="1"/>
    <n v="0.44009669909857085"/>
    <n v="1"/>
    <n v="74.05"/>
    <n v="74.05"/>
    <n v="21.365585991472187"/>
    <n v="1331.8663360338621"/>
    <n v="1"/>
    <n v="0"/>
    <n v="0"/>
    <n v="0"/>
    <n v="0"/>
    <n v="0"/>
    <n v="0"/>
    <n v="0"/>
    <n v="0"/>
    <n v="0"/>
  </r>
  <r>
    <d v="2012-06-26T00:00:00"/>
    <n v="2012"/>
    <x v="12"/>
    <s v="R"/>
    <s v="RS"/>
    <x v="1"/>
    <s v="WAS"/>
    <s v="A"/>
    <n v="1"/>
    <n v="1"/>
    <n v="0"/>
    <n v="0"/>
    <n v="0"/>
    <n v="0"/>
    <n v="1506.9703225496301"/>
    <n v="1359.0133470751207"/>
    <n v="0.5910157320521312"/>
    <n v="79"/>
    <n v="71"/>
    <n v="0"/>
    <n v="8"/>
    <n v="1"/>
    <n v="0.34569251873901413"/>
    <n v="1"/>
    <n v="74.05"/>
    <n v="74.05"/>
    <n v="10.469396466738841"/>
    <n v="1517.4397190163688"/>
    <n v="1"/>
    <n v="0"/>
    <n v="0"/>
    <n v="0"/>
    <n v="0"/>
    <n v="0"/>
    <n v="0"/>
    <n v="0"/>
    <n v="0"/>
    <n v="0"/>
  </r>
  <r>
    <d v="2012-06-26T00:00:00"/>
    <n v="2012"/>
    <x v="10"/>
    <s v="R"/>
    <s v="RS"/>
    <x v="9"/>
    <s v="SEA"/>
    <s v="H"/>
    <n v="1"/>
    <n v="1"/>
    <n v="0"/>
    <n v="0"/>
    <n v="0"/>
    <n v="0"/>
    <n v="1359.0133470751207"/>
    <n v="1506.9703225496301"/>
    <n v="0.40898426794786885"/>
    <n v="71"/>
    <n v="79"/>
    <n v="0"/>
    <n v="-8"/>
    <n v="0"/>
    <n v="0.34569251873901413"/>
    <n v="1"/>
    <n v="74.349999999999994"/>
    <n v="74.349999999999994"/>
    <n v="-10.511811307252302"/>
    <n v="1348.5015357678683"/>
    <n v="0"/>
    <n v="1"/>
    <n v="0"/>
    <n v="0"/>
    <n v="0"/>
    <n v="0"/>
    <n v="0"/>
    <n v="0"/>
    <n v="0"/>
    <n v="0"/>
  </r>
  <r>
    <d v="2012-06-27T00:00:00"/>
    <n v="2012"/>
    <x v="12"/>
    <s v="R"/>
    <s v="RS"/>
    <x v="3"/>
    <s v="CHI"/>
    <s v="A"/>
    <n v="0"/>
    <n v="3"/>
    <n v="-3"/>
    <n v="3"/>
    <n v="-16"/>
    <n v="16"/>
    <n v="1562.5460334706479"/>
    <n v="1523.0928979672085"/>
    <n v="0.3915886777220301"/>
    <n v="81"/>
    <n v="72"/>
    <n v="0"/>
    <n v="9"/>
    <n v="1"/>
    <n v="0.39304901381270463"/>
    <n v="1"/>
    <n v="74.05"/>
    <n v="74.05"/>
    <n v="17.707981569334827"/>
    <n v="1580.2540150399827"/>
    <n v="1"/>
    <n v="0"/>
    <n v="0"/>
    <n v="0"/>
    <n v="0"/>
    <n v="0"/>
    <n v="0"/>
    <n v="0"/>
    <n v="0"/>
    <n v="0"/>
  </r>
  <r>
    <d v="2012-06-27T00:00:00"/>
    <n v="2012"/>
    <x v="10"/>
    <s v="R"/>
    <s v="RS"/>
    <x v="8"/>
    <s v="IND"/>
    <s v="H"/>
    <n v="3"/>
    <n v="0"/>
    <n v="3"/>
    <n v="-3"/>
    <n v="16"/>
    <n v="-16"/>
    <n v="1523.0928979672085"/>
    <n v="1562.5460334706479"/>
    <n v="0.6084113222779699"/>
    <n v="72"/>
    <n v="81"/>
    <n v="0"/>
    <n v="-9"/>
    <n v="0"/>
    <n v="0.39304901381270463"/>
    <n v="1"/>
    <n v="74.349999999999994"/>
    <n v="74.349999999999994"/>
    <n v="-17.77972221039898"/>
    <n v="1505.3131757568094"/>
    <n v="0"/>
    <n v="1"/>
    <n v="0"/>
    <n v="0"/>
    <n v="0"/>
    <n v="0"/>
    <n v="0"/>
    <n v="0"/>
    <n v="0"/>
    <n v="0"/>
  </r>
  <r>
    <d v="2012-06-27T00:00:00"/>
    <n v="2012"/>
    <x v="11"/>
    <s v="R"/>
    <s v="RS"/>
    <x v="10"/>
    <s v="MIN"/>
    <s v="A"/>
    <n v="3"/>
    <n v="3"/>
    <n v="0"/>
    <n v="0"/>
    <n v="0"/>
    <n v="0"/>
    <n v="1416.4551334564721"/>
    <n v="1702.1522016432182"/>
    <n v="0.10639099402329508"/>
    <n v="80"/>
    <n v="96"/>
    <n v="0"/>
    <n v="-16"/>
    <n v="0"/>
    <n v="0.41821664189888136"/>
    <n v="1"/>
    <n v="74.2"/>
    <n v="74.2"/>
    <n v="-3.3014907312540172"/>
    <n v="1413.1536427252181"/>
    <n v="0"/>
    <n v="1"/>
    <n v="0"/>
    <n v="0"/>
    <n v="0"/>
    <n v="0"/>
    <n v="0"/>
    <n v="0"/>
    <n v="0"/>
    <n v="0"/>
  </r>
  <r>
    <d v="2012-06-27T00:00:00"/>
    <n v="2012"/>
    <x v="13"/>
    <s v="R"/>
    <s v="RS"/>
    <x v="11"/>
    <s v="PHX"/>
    <s v="H"/>
    <n v="3"/>
    <n v="3"/>
    <n v="0"/>
    <n v="0"/>
    <n v="0"/>
    <n v="0"/>
    <n v="1702.1522016432182"/>
    <n v="1416.4551334564721"/>
    <n v="0.89360900597670501"/>
    <n v="96"/>
    <n v="80"/>
    <n v="0"/>
    <n v="16"/>
    <n v="1"/>
    <n v="0.41821664189888136"/>
    <n v="1"/>
    <n v="73.900000000000006"/>
    <n v="73.900000000000006"/>
    <n v="3.2881423859794023"/>
    <n v="1705.4403440291976"/>
    <n v="1"/>
    <n v="0"/>
    <n v="0"/>
    <n v="0"/>
    <n v="0"/>
    <n v="0"/>
    <n v="0"/>
    <n v="0"/>
    <n v="0"/>
    <n v="0"/>
  </r>
  <r>
    <d v="2012-06-28T00:00:00"/>
    <n v="2012"/>
    <x v="15"/>
    <s v="R"/>
    <s v="RS"/>
    <x v="0"/>
    <s v="SAS"/>
    <s v="A"/>
    <n v="1"/>
    <n v="3"/>
    <n v="-2"/>
    <n v="2"/>
    <n v="-16"/>
    <n v="16"/>
    <n v="1501.0551676117541"/>
    <n v="1531.653378524049"/>
    <n v="0.3007167399759616"/>
    <n v="80"/>
    <n v="94"/>
    <n v="0"/>
    <n v="-14"/>
    <n v="0"/>
    <n v="0.47548397117133778"/>
    <n v="1"/>
    <n v="73.599999999999994"/>
    <n v="73.599999999999994"/>
    <n v="-10.523768843500104"/>
    <n v="1490.5313987682539"/>
    <n v="0"/>
    <n v="1"/>
    <n v="0"/>
    <n v="0"/>
    <n v="0"/>
    <n v="0"/>
    <n v="0"/>
    <n v="0"/>
    <n v="0"/>
    <n v="0"/>
  </r>
  <r>
    <d v="2012-06-28T00:00:00"/>
    <n v="2012"/>
    <x v="10"/>
    <s v="R"/>
    <s v="RS"/>
    <x v="6"/>
    <s v="LAS"/>
    <s v="H"/>
    <n v="3"/>
    <n v="1"/>
    <n v="2"/>
    <n v="-2"/>
    <n v="16"/>
    <n v="-16"/>
    <n v="1531.653378524049"/>
    <n v="1501.0551676117541"/>
    <n v="0.6992832600240384"/>
    <n v="94"/>
    <n v="80"/>
    <n v="0"/>
    <n v="14"/>
    <n v="1"/>
    <n v="0.47548397117133778"/>
    <n v="1"/>
    <n v="74.349999999999994"/>
    <n v="74.349999999999994"/>
    <n v="10.631008335791204"/>
    <n v="1542.2843868598402"/>
    <n v="1"/>
    <n v="0"/>
    <n v="0"/>
    <n v="0"/>
    <n v="0"/>
    <n v="0"/>
    <n v="0"/>
    <n v="0"/>
    <n v="0"/>
    <n v="0"/>
  </r>
  <r>
    <d v="2012-06-29T00:00:00"/>
    <n v="2012"/>
    <x v="12"/>
    <s v="R"/>
    <s v="RS"/>
    <x v="10"/>
    <s v="CHI"/>
    <s v="A"/>
    <n v="1"/>
    <n v="1"/>
    <n v="0"/>
    <n v="0"/>
    <n v="0"/>
    <n v="0"/>
    <n v="1413.1536427252181"/>
    <n v="1505.3131757568094"/>
    <n v="0.26618687725144297"/>
    <n v="84"/>
    <n v="81"/>
    <n v="0"/>
    <n v="3"/>
    <n v="1"/>
    <n v="0.26948702262906743"/>
    <n v="1"/>
    <n v="74.05"/>
    <n v="74.05"/>
    <n v="14.643618063238662"/>
    <n v="1427.7972607884567"/>
    <n v="1"/>
    <n v="0"/>
    <n v="0"/>
    <n v="0"/>
    <n v="0"/>
    <n v="0"/>
    <n v="0"/>
    <n v="0"/>
    <n v="0"/>
    <n v="0"/>
  </r>
  <r>
    <d v="2012-06-29T00:00:00"/>
    <n v="2012"/>
    <x v="11"/>
    <s v="R"/>
    <s v="RS"/>
    <x v="8"/>
    <s v="PHX"/>
    <s v="H"/>
    <n v="1"/>
    <n v="1"/>
    <n v="0"/>
    <n v="0"/>
    <n v="0"/>
    <n v="0"/>
    <n v="1505.3131757568094"/>
    <n v="1413.1536427252181"/>
    <n v="0.73381312274855715"/>
    <n v="81"/>
    <n v="84"/>
    <n v="0"/>
    <n v="-3"/>
    <n v="0"/>
    <n v="0.26948702262906743"/>
    <n v="1"/>
    <n v="74.2"/>
    <n v="74.2"/>
    <n v="-14.673281030281011"/>
    <n v="1490.6398947265284"/>
    <n v="0"/>
    <n v="1"/>
    <n v="0"/>
    <n v="0"/>
    <n v="0"/>
    <n v="0"/>
    <n v="0"/>
    <n v="0"/>
    <n v="0"/>
    <n v="0"/>
  </r>
  <r>
    <d v="2012-06-29T00:00:00"/>
    <n v="2012"/>
    <x v="13"/>
    <s v="R"/>
    <s v="RS"/>
    <x v="2"/>
    <s v="TUL"/>
    <s v="A"/>
    <n v="2"/>
    <n v="2"/>
    <n v="0"/>
    <n v="0"/>
    <n v="0"/>
    <n v="0"/>
    <n v="1534.6999735325683"/>
    <n v="1331.8663360338621"/>
    <n v="0.66464455740947237"/>
    <n v="102"/>
    <n v="92"/>
    <n v="0"/>
    <n v="10"/>
    <n v="1"/>
    <n v="0.36195000292699286"/>
    <n v="1"/>
    <n v="73.900000000000006"/>
    <n v="73.900000000000006"/>
    <n v="8.9701226632718889"/>
    <n v="1543.6700961958402"/>
    <n v="1"/>
    <n v="0"/>
    <n v="0"/>
    <n v="0"/>
    <n v="0"/>
    <n v="0"/>
    <n v="0"/>
    <n v="0"/>
    <n v="0"/>
    <n v="0"/>
  </r>
  <r>
    <d v="2012-06-29T00:00:00"/>
    <n v="2012"/>
    <x v="13"/>
    <s v="R"/>
    <s v="RS"/>
    <x v="7"/>
    <s v="ATL"/>
    <s v="H"/>
    <n v="2"/>
    <n v="2"/>
    <n v="0"/>
    <n v="0"/>
    <n v="0"/>
    <n v="0"/>
    <n v="1331.8663360338621"/>
    <n v="1534.6999735325683"/>
    <n v="0.33535544259052763"/>
    <n v="92"/>
    <n v="102"/>
    <n v="0"/>
    <n v="-10"/>
    <n v="0"/>
    <n v="0.36195000292699286"/>
    <n v="1"/>
    <n v="73.900000000000006"/>
    <n v="73.900000000000006"/>
    <n v="-8.9701226632718889"/>
    <n v="1322.8962133705902"/>
    <n v="0"/>
    <n v="1"/>
    <n v="0"/>
    <n v="0"/>
    <n v="0"/>
    <n v="0"/>
    <n v="0"/>
    <n v="0"/>
    <n v="0"/>
    <n v="0"/>
  </r>
  <r>
    <d v="2012-06-29T00:00:00"/>
    <n v="2012"/>
    <x v="12"/>
    <s v="R"/>
    <s v="RS"/>
    <x v="4"/>
    <s v="WAS"/>
    <s v="A"/>
    <n v="7"/>
    <n v="2"/>
    <n v="5"/>
    <n v="-5"/>
    <n v="16"/>
    <n v="-16"/>
    <n v="1578.174840774414"/>
    <n v="1348.5015357678683"/>
    <n v="0.73551176366759508"/>
    <n v="77"/>
    <n v="64"/>
    <n v="0"/>
    <n v="13"/>
    <n v="1"/>
    <n v="0.396211151731862"/>
    <n v="1"/>
    <n v="74.05"/>
    <n v="74.05"/>
    <n v="7.7599356259593781"/>
    <n v="1585.9347764003733"/>
    <n v="1"/>
    <n v="0"/>
    <n v="0"/>
    <n v="0"/>
    <n v="0"/>
    <n v="0"/>
    <n v="0"/>
    <n v="0"/>
    <n v="0"/>
    <n v="0"/>
  </r>
  <r>
    <d v="2012-06-29T00:00:00"/>
    <n v="2012"/>
    <x v="11"/>
    <s v="R"/>
    <s v="RS"/>
    <x v="9"/>
    <s v="CON"/>
    <s v="H"/>
    <n v="2"/>
    <n v="7"/>
    <n v="-5"/>
    <n v="5"/>
    <n v="-16"/>
    <n v="16"/>
    <n v="1348.5015357678683"/>
    <n v="1578.174840774414"/>
    <n v="0.26448823633240481"/>
    <n v="64"/>
    <n v="77"/>
    <n v="0"/>
    <n v="-13"/>
    <n v="0"/>
    <n v="0.396211151731862"/>
    <n v="1"/>
    <n v="74.2"/>
    <n v="74.2"/>
    <n v="-7.775654604269894"/>
    <n v="1340.7258811635984"/>
    <n v="0"/>
    <n v="1"/>
    <n v="0"/>
    <n v="0"/>
    <n v="0"/>
    <n v="0"/>
    <n v="0"/>
    <n v="0"/>
    <n v="0"/>
    <n v="0"/>
  </r>
  <r>
    <d v="2012-06-30T00:00:00"/>
    <n v="2012"/>
    <x v="13"/>
    <s v="R"/>
    <s v="RS"/>
    <x v="1"/>
    <s v="NYL"/>
    <s v="A"/>
    <n v="3"/>
    <n v="5"/>
    <n v="-2"/>
    <n v="2"/>
    <n v="-16"/>
    <n v="16"/>
    <n v="1517.4397190163688"/>
    <n v="1461.9110830915724"/>
    <n v="0.41384296197684817"/>
    <n v="59"/>
    <n v="77"/>
    <n v="0"/>
    <n v="-18"/>
    <n v="0"/>
    <n v="0.52264894624903691"/>
    <n v="1"/>
    <n v="73.900000000000006"/>
    <n v="73.900000000000006"/>
    <n v="-15.984170052444737"/>
    <n v="1501.455548963924"/>
    <n v="0"/>
    <n v="1"/>
    <n v="0"/>
    <n v="0"/>
    <n v="0"/>
    <n v="0"/>
    <n v="0"/>
    <n v="0"/>
    <n v="0"/>
    <n v="0"/>
  </r>
  <r>
    <d v="2012-06-30T00:00:00"/>
    <n v="2012"/>
    <x v="13"/>
    <s v="R"/>
    <s v="RS"/>
    <x v="5"/>
    <s v="SEA"/>
    <s v="H"/>
    <n v="5"/>
    <n v="3"/>
    <n v="2"/>
    <n v="-2"/>
    <n v="16"/>
    <n v="-16"/>
    <n v="1461.9110830915724"/>
    <n v="1517.4397190163688"/>
    <n v="0.58615703802315178"/>
    <n v="77"/>
    <n v="59"/>
    <n v="0"/>
    <n v="18"/>
    <n v="1"/>
    <n v="0.52264894624903691"/>
    <n v="1"/>
    <n v="73.900000000000006"/>
    <n v="73.900000000000006"/>
    <n v="15.984170052444739"/>
    <n v="1477.8952531440173"/>
    <n v="1"/>
    <n v="0"/>
    <n v="0"/>
    <n v="0"/>
    <n v="0"/>
    <n v="0"/>
    <n v="0"/>
    <n v="0"/>
    <n v="0"/>
    <n v="0"/>
  </r>
  <r>
    <d v="2012-07-01T00:00:00"/>
    <n v="2012"/>
    <x v="14"/>
    <s v="R"/>
    <s v="RS"/>
    <x v="2"/>
    <s v="CHI"/>
    <s v="A"/>
    <n v="1"/>
    <n v="1"/>
    <n v="0"/>
    <n v="0"/>
    <n v="0"/>
    <n v="0"/>
    <n v="1543.6700961958402"/>
    <n v="1490.6398947265284"/>
    <n v="0.45554854646888604"/>
    <n v="69"/>
    <n v="71"/>
    <n v="0"/>
    <n v="-2"/>
    <n v="0"/>
    <n v="0.25650585643882862"/>
    <n v="1"/>
    <n v="73.75"/>
    <n v="73.75"/>
    <n v="-8.617751667033053"/>
    <n v="1535.0523445288072"/>
    <n v="0"/>
    <n v="1"/>
    <n v="0"/>
    <n v="0"/>
    <n v="0"/>
    <n v="0"/>
    <n v="0"/>
    <n v="0"/>
    <n v="0"/>
    <n v="0"/>
  </r>
  <r>
    <d v="2012-07-01T00:00:00"/>
    <n v="2012"/>
    <x v="12"/>
    <s v="R"/>
    <s v="RS"/>
    <x v="8"/>
    <s v="ATL"/>
    <s v="H"/>
    <n v="1"/>
    <n v="1"/>
    <n v="0"/>
    <n v="0"/>
    <n v="0"/>
    <n v="0"/>
    <n v="1490.6398947265284"/>
    <n v="1543.6700961958402"/>
    <n v="0.5444514535311139"/>
    <n v="71"/>
    <n v="69"/>
    <n v="0"/>
    <n v="2"/>
    <n v="1"/>
    <n v="0.25650585643882862"/>
    <n v="1"/>
    <n v="74.05"/>
    <n v="74.05"/>
    <n v="8.6528069280514934"/>
    <n v="1499.2927016545798"/>
    <n v="1"/>
    <n v="0"/>
    <n v="0"/>
    <n v="0"/>
    <n v="0"/>
    <n v="0"/>
    <n v="0"/>
    <n v="0"/>
    <n v="0"/>
    <n v="0"/>
  </r>
  <r>
    <d v="2012-07-01T00:00:00"/>
    <n v="2012"/>
    <x v="14"/>
    <s v="R"/>
    <s v="RS"/>
    <x v="1"/>
    <s v="CON"/>
    <s v="A"/>
    <n v="0"/>
    <n v="1"/>
    <n v="-1"/>
    <n v="1"/>
    <n v="-8"/>
    <n v="8"/>
    <n v="1501.455548963924"/>
    <n v="1585.9347764003733"/>
    <n v="0.25693740402518928"/>
    <n v="89"/>
    <n v="83"/>
    <n v="1"/>
    <n v="6"/>
    <n v="1"/>
    <n v="0.29535956197239582"/>
    <n v="1"/>
    <n v="73.75"/>
    <n v="73.75"/>
    <n v="16.185959911307869"/>
    <n v="1517.6415088752319"/>
    <n v="1"/>
    <n v="0"/>
    <n v="0"/>
    <n v="0"/>
    <n v="0"/>
    <n v="0"/>
    <n v="0"/>
    <n v="0"/>
    <n v="0"/>
    <n v="0"/>
  </r>
  <r>
    <d v="2012-07-01T00:00:00"/>
    <n v="2012"/>
    <x v="13"/>
    <s v="R"/>
    <s v="RS"/>
    <x v="4"/>
    <s v="SEA"/>
    <s v="H"/>
    <n v="1"/>
    <n v="0"/>
    <n v="1"/>
    <n v="-1"/>
    <n v="8"/>
    <n v="-8"/>
    <n v="1585.9347764003733"/>
    <n v="1501.455548963924"/>
    <n v="0.74306259597481072"/>
    <n v="83"/>
    <n v="89"/>
    <n v="1"/>
    <n v="-6"/>
    <n v="0"/>
    <n v="0.29535956197239582"/>
    <n v="1"/>
    <n v="73.900000000000006"/>
    <n v="73.900000000000006"/>
    <n v="-16.218880507737648"/>
    <n v="1569.7158958926357"/>
    <n v="0"/>
    <n v="1"/>
    <n v="0"/>
    <n v="0"/>
    <n v="0"/>
    <n v="0"/>
    <n v="0"/>
    <n v="0"/>
    <n v="0"/>
    <n v="0"/>
  </r>
  <r>
    <d v="2012-07-01T00:00:00"/>
    <n v="2012"/>
    <x v="14"/>
    <s v="R"/>
    <s v="RS"/>
    <x v="11"/>
    <s v="SAS"/>
    <s v="A"/>
    <n v="3"/>
    <n v="2"/>
    <n v="1"/>
    <n v="-1"/>
    <n v="8"/>
    <n v="-8"/>
    <n v="1705.4403440291976"/>
    <n v="1542.2843868598402"/>
    <n v="0.63361613748588119"/>
    <n v="84"/>
    <n v="93"/>
    <n v="0"/>
    <n v="-9"/>
    <n v="0"/>
    <n v="0.35738084847482077"/>
    <n v="1"/>
    <n v="73.75"/>
    <n v="73.75"/>
    <n v="-16.700117620625665"/>
    <n v="1688.740226408572"/>
    <n v="0"/>
    <n v="1"/>
    <n v="0"/>
    <n v="0"/>
    <n v="0"/>
    <n v="0"/>
    <n v="0"/>
    <n v="0"/>
    <n v="0"/>
    <n v="0"/>
  </r>
  <r>
    <d v="2012-07-01T00:00:00"/>
    <n v="2012"/>
    <x v="11"/>
    <s v="R"/>
    <s v="RS"/>
    <x v="6"/>
    <s v="MIN"/>
    <s v="H"/>
    <n v="2"/>
    <n v="3"/>
    <n v="-1"/>
    <n v="1"/>
    <n v="-8"/>
    <n v="8"/>
    <n v="1542.2843868598402"/>
    <n v="1705.4403440291976"/>
    <n v="0.36638386251411886"/>
    <n v="93"/>
    <n v="84"/>
    <n v="0"/>
    <n v="9"/>
    <n v="1"/>
    <n v="0.35738084847482077"/>
    <n v="1"/>
    <n v="74.2"/>
    <n v="74.2"/>
    <n v="16.802016643395582"/>
    <n v="1559.0864035032357"/>
    <n v="1"/>
    <n v="0"/>
    <n v="0"/>
    <n v="0"/>
    <n v="0"/>
    <n v="0"/>
    <n v="0"/>
    <n v="0"/>
    <n v="0"/>
    <n v="0"/>
  </r>
  <r>
    <d v="2012-07-01T00:00:00"/>
    <n v="2012"/>
    <x v="13"/>
    <s v="R"/>
    <s v="RS"/>
    <x v="10"/>
    <s v="WAS"/>
    <s v="A"/>
    <n v="1"/>
    <n v="1"/>
    <n v="0"/>
    <n v="0"/>
    <n v="0"/>
    <n v="0"/>
    <n v="1427.7972607884567"/>
    <n v="1340.7258811635984"/>
    <n v="0.50441995545051832"/>
    <n v="77"/>
    <n v="90"/>
    <n v="0"/>
    <n v="-13"/>
    <n v="0"/>
    <n v="0.44010962852895114"/>
    <n v="1"/>
    <n v="73.900000000000006"/>
    <n v="73.900000000000006"/>
    <n v="-16.405805854056322"/>
    <n v="1411.3914549344004"/>
    <n v="0"/>
    <n v="1"/>
    <n v="0"/>
    <n v="0"/>
    <n v="0"/>
    <n v="0"/>
    <n v="0"/>
    <n v="0"/>
    <n v="0"/>
    <n v="0"/>
  </r>
  <r>
    <d v="2012-07-01T00:00:00"/>
    <n v="2012"/>
    <x v="12"/>
    <s v="R"/>
    <s v="RS"/>
    <x v="9"/>
    <s v="PHX"/>
    <s v="H"/>
    <n v="1"/>
    <n v="1"/>
    <n v="0"/>
    <n v="0"/>
    <n v="0"/>
    <n v="0"/>
    <n v="1340.7258811635984"/>
    <n v="1427.7972607884567"/>
    <n v="0.49558004454948168"/>
    <n v="90"/>
    <n v="77"/>
    <n v="0"/>
    <n v="13"/>
    <n v="1"/>
    <n v="0.44010962852895114"/>
    <n v="1"/>
    <n v="74.05"/>
    <n v="74.05"/>
    <n v="16.439105865938703"/>
    <n v="1357.1649870295371"/>
    <n v="1"/>
    <n v="0"/>
    <n v="0"/>
    <n v="0"/>
    <n v="0"/>
    <n v="0"/>
    <n v="0"/>
    <n v="0"/>
    <n v="0"/>
    <n v="0"/>
  </r>
  <r>
    <d v="2012-07-03T00:00:00"/>
    <n v="2012"/>
    <x v="14"/>
    <s v="R"/>
    <s v="RS"/>
    <x v="10"/>
    <s v="SAS"/>
    <s v="A"/>
    <n v="1"/>
    <n v="1"/>
    <n v="0"/>
    <n v="0"/>
    <n v="0"/>
    <n v="0"/>
    <n v="1411.3914549344004"/>
    <n v="1559.0864035032357"/>
    <n v="0.20854084753617427"/>
    <n v="81"/>
    <n v="82"/>
    <n v="0"/>
    <n v="-1"/>
    <n v="0"/>
    <n v="0.2174198289230925"/>
    <n v="1"/>
    <n v="73.75"/>
    <n v="73.75"/>
    <n v="-3.3438925103658903"/>
    <n v="1408.0475624240344"/>
    <n v="0"/>
    <n v="1"/>
    <n v="0"/>
    <n v="0"/>
    <n v="0"/>
    <n v="0"/>
    <n v="0"/>
    <n v="0"/>
    <n v="0"/>
    <n v="0"/>
  </r>
  <r>
    <d v="2012-07-03T00:00:00"/>
    <n v="2012"/>
    <x v="12"/>
    <s v="R"/>
    <s v="RS"/>
    <x v="6"/>
    <s v="PHX"/>
    <s v="H"/>
    <n v="1"/>
    <n v="1"/>
    <n v="0"/>
    <n v="0"/>
    <n v="0"/>
    <n v="0"/>
    <n v="1559.0864035032357"/>
    <n v="1411.3914549344004"/>
    <n v="0.79145915246382581"/>
    <n v="82"/>
    <n v="81"/>
    <n v="0"/>
    <n v="1"/>
    <n v="1"/>
    <n v="0.2174198289230925"/>
    <n v="1"/>
    <n v="74.05"/>
    <n v="74.05"/>
    <n v="3.357494784984326"/>
    <n v="1562.44389828822"/>
    <n v="1"/>
    <n v="0"/>
    <n v="0"/>
    <n v="0"/>
    <n v="0"/>
    <n v="0"/>
    <n v="0"/>
    <n v="0"/>
    <n v="0"/>
    <n v="0"/>
  </r>
  <r>
    <d v="2012-07-05T00:00:00"/>
    <n v="2012"/>
    <x v="13"/>
    <s v="R"/>
    <s v="RS"/>
    <x v="6"/>
    <s v="IND"/>
    <s v="A"/>
    <n v="1"/>
    <n v="7"/>
    <n v="-6"/>
    <n v="6"/>
    <n v="-16"/>
    <n v="16"/>
    <n v="1562.44389828822"/>
    <n v="1580.2540150399827"/>
    <n v="0.31642006458803268"/>
    <n v="88"/>
    <n v="72"/>
    <n v="0"/>
    <n v="16"/>
    <n v="1"/>
    <n v="0.51021356300879561"/>
    <n v="1"/>
    <n v="73.900000000000006"/>
    <n v="73.900000000000006"/>
    <n v="25.774232653697023"/>
    <n v="1588.218130941917"/>
    <n v="1"/>
    <n v="0"/>
    <n v="0"/>
    <n v="0"/>
    <n v="0"/>
    <n v="0"/>
    <n v="0"/>
    <n v="0"/>
    <n v="0"/>
    <n v="0"/>
  </r>
  <r>
    <d v="2012-07-05T00:00:00"/>
    <n v="2012"/>
    <x v="13"/>
    <s v="R"/>
    <s v="RS"/>
    <x v="3"/>
    <s v="SAS"/>
    <s v="H"/>
    <n v="7"/>
    <n v="1"/>
    <n v="6"/>
    <n v="-6"/>
    <n v="16"/>
    <n v="-16"/>
    <n v="1580.2540150399827"/>
    <n v="1562.44389828822"/>
    <n v="0.68357993541196727"/>
    <n v="72"/>
    <n v="88"/>
    <n v="0"/>
    <n v="-16"/>
    <n v="0"/>
    <n v="0.51021356300879561"/>
    <n v="1"/>
    <n v="73.900000000000006"/>
    <n v="73.900000000000006"/>
    <n v="-25.774232653697016"/>
    <n v="1554.4797823862857"/>
    <n v="0"/>
    <n v="1"/>
    <n v="0"/>
    <n v="0"/>
    <n v="0"/>
    <n v="0"/>
    <n v="0"/>
    <n v="0"/>
    <n v="0"/>
    <n v="0"/>
  </r>
  <r>
    <d v="2012-07-05T00:00:00"/>
    <n v="2012"/>
    <x v="15"/>
    <s v="R"/>
    <s v="RS"/>
    <x v="11"/>
    <s v="LAS"/>
    <s v="A"/>
    <n v="3"/>
    <n v="6"/>
    <n v="-3"/>
    <n v="3"/>
    <n v="-16"/>
    <n v="16"/>
    <n v="1688.740226408572"/>
    <n v="1490.5313987682539"/>
    <n v="0.61614845405246255"/>
    <n v="90"/>
    <n v="96"/>
    <n v="0"/>
    <n v="-6"/>
    <n v="0"/>
    <n v="0.30148351589268335"/>
    <n v="1"/>
    <n v="73.599999999999994"/>
    <n v="73.599999999999994"/>
    <n v="-13.671833124832931"/>
    <n v="1675.0683932837389"/>
    <n v="0"/>
    <n v="1"/>
    <n v="0"/>
    <n v="0"/>
    <n v="0"/>
    <n v="0"/>
    <n v="0"/>
    <n v="0"/>
    <n v="0"/>
    <n v="0"/>
  </r>
  <r>
    <d v="2012-07-05T00:00:00"/>
    <n v="2012"/>
    <x v="16"/>
    <s v="R"/>
    <s v="RS"/>
    <x v="0"/>
    <s v="MIN"/>
    <s v="H"/>
    <n v="6"/>
    <n v="3"/>
    <n v="3"/>
    <n v="-3"/>
    <n v="16"/>
    <n v="-16"/>
    <n v="1490.5313987682539"/>
    <n v="1688.740226408572"/>
    <n v="0.38385154594753751"/>
    <n v="96"/>
    <n v="90"/>
    <n v="0"/>
    <n v="6"/>
    <n v="1"/>
    <n v="0.30148351589268335"/>
    <n v="1"/>
    <n v="73.45"/>
    <n v="73.45"/>
    <n v="13.643969334496994"/>
    <n v="1504.1753681027508"/>
    <n v="1"/>
    <n v="0"/>
    <n v="0"/>
    <n v="0"/>
    <n v="0"/>
    <n v="0"/>
    <n v="0"/>
    <n v="0"/>
    <n v="0"/>
    <n v="0"/>
  </r>
  <r>
    <d v="2012-07-06T00:00:00"/>
    <n v="2012"/>
    <x v="14"/>
    <s v="R"/>
    <s v="RS"/>
    <x v="5"/>
    <s v="CHI"/>
    <s v="A"/>
    <n v="5"/>
    <n v="4"/>
    <n v="1"/>
    <n v="-1"/>
    <n v="8"/>
    <n v="-8"/>
    <n v="1477.8952531440173"/>
    <n v="1499.2927016545798"/>
    <n v="0.37411273589395239"/>
    <n v="64"/>
    <n v="59"/>
    <n v="0"/>
    <n v="5"/>
    <n v="1"/>
    <n v="0.32594400048810523"/>
    <n v="1"/>
    <n v="73.75"/>
    <n v="73.75"/>
    <n v="15.04530965539943"/>
    <n v="1492.9405627994167"/>
    <n v="1"/>
    <n v="0"/>
    <n v="0"/>
    <n v="0"/>
    <n v="0"/>
    <n v="0"/>
    <n v="0"/>
    <n v="0"/>
    <n v="0"/>
    <n v="0"/>
  </r>
  <r>
    <d v="2012-07-06T00:00:00"/>
    <n v="2012"/>
    <x v="13"/>
    <s v="R"/>
    <s v="RS"/>
    <x v="8"/>
    <s v="NYL"/>
    <s v="H"/>
    <n v="4"/>
    <n v="5"/>
    <n v="-1"/>
    <n v="1"/>
    <n v="-8"/>
    <n v="8"/>
    <n v="1499.2927016545798"/>
    <n v="1477.8952531440173"/>
    <n v="0.62588726410604767"/>
    <n v="59"/>
    <n v="64"/>
    <n v="0"/>
    <n v="-5"/>
    <n v="0"/>
    <n v="0.32594400048810523"/>
    <n v="1"/>
    <n v="73.900000000000006"/>
    <n v="73.900000000000006"/>
    <n v="-15.075910285207026"/>
    <n v="1484.2167913693727"/>
    <n v="0"/>
    <n v="1"/>
    <n v="0"/>
    <n v="0"/>
    <n v="0"/>
    <n v="0"/>
    <n v="0"/>
    <n v="0"/>
    <n v="0"/>
    <n v="0"/>
  </r>
  <r>
    <d v="2012-07-06T00:00:00"/>
    <n v="2012"/>
    <x v="14"/>
    <s v="R"/>
    <s v="RS"/>
    <x v="4"/>
    <s v="TUL"/>
    <s v="A"/>
    <n v="4"/>
    <n v="6"/>
    <n v="-2"/>
    <n v="2"/>
    <n v="-16"/>
    <n v="16"/>
    <n v="1569.7158958926357"/>
    <n v="1322.8962133705902"/>
    <n v="0.6798447931452728"/>
    <n v="86"/>
    <n v="75"/>
    <n v="0"/>
    <n v="11"/>
    <n v="1"/>
    <n v="0.36480231136274677"/>
    <n v="1"/>
    <n v="73.75"/>
    <n v="73.75"/>
    <n v="8.6135102598374313"/>
    <n v="1578.3294061524732"/>
    <n v="1"/>
    <n v="0"/>
    <n v="0"/>
    <n v="0"/>
    <n v="0"/>
    <n v="0"/>
    <n v="0"/>
    <n v="0"/>
    <n v="0"/>
    <n v="0"/>
  </r>
  <r>
    <d v="2012-07-06T00:00:00"/>
    <n v="2012"/>
    <x v="14"/>
    <s v="R"/>
    <s v="RS"/>
    <x v="7"/>
    <s v="CON"/>
    <s v="H"/>
    <n v="6"/>
    <n v="4"/>
    <n v="2"/>
    <n v="-2"/>
    <n v="16"/>
    <n v="-16"/>
    <n v="1322.8962133705902"/>
    <n v="1569.7158958926357"/>
    <n v="0.3201552068547272"/>
    <n v="75"/>
    <n v="86"/>
    <n v="0"/>
    <n v="-11"/>
    <n v="0"/>
    <n v="0.36480231136274677"/>
    <n v="1"/>
    <n v="73.75"/>
    <n v="73.75"/>
    <n v="-8.6135102598374313"/>
    <n v="1314.2827031107527"/>
    <n v="0"/>
    <n v="1"/>
    <n v="0"/>
    <n v="0"/>
    <n v="0"/>
    <n v="0"/>
    <n v="0"/>
    <n v="0"/>
    <n v="0"/>
    <n v="0"/>
  </r>
  <r>
    <d v="2012-07-06T00:00:00"/>
    <n v="2012"/>
    <x v="14"/>
    <s v="R"/>
    <s v="RS"/>
    <x v="6"/>
    <s v="WAS"/>
    <s v="A"/>
    <n v="0"/>
    <n v="4"/>
    <n v="-4"/>
    <n v="4"/>
    <n v="-16"/>
    <n v="16"/>
    <n v="1588.218130941917"/>
    <n v="1357.1649870295371"/>
    <n v="0.65977666801010593"/>
    <n v="78"/>
    <n v="73"/>
    <n v="0"/>
    <n v="5"/>
    <n v="1"/>
    <n v="0.27819174448344069"/>
    <n v="1"/>
    <n v="73.75"/>
    <n v="73.75"/>
    <n v="6.9802400152175101"/>
    <n v="1595.1983709571346"/>
    <n v="1"/>
    <n v="0"/>
    <n v="0"/>
    <n v="0"/>
    <n v="0"/>
    <n v="0"/>
    <n v="0"/>
    <n v="0"/>
    <n v="0"/>
    <n v="0"/>
  </r>
  <r>
    <d v="2012-07-06T00:00:00"/>
    <n v="2012"/>
    <x v="13"/>
    <s v="R"/>
    <s v="RS"/>
    <x v="9"/>
    <s v="SAS"/>
    <s v="H"/>
    <n v="4"/>
    <n v="0"/>
    <n v="4"/>
    <n v="-4"/>
    <n v="16"/>
    <n v="-16"/>
    <n v="1357.1649870295371"/>
    <n v="1588.218130941917"/>
    <n v="0.34022333198989402"/>
    <n v="73"/>
    <n v="78"/>
    <n v="0"/>
    <n v="-5"/>
    <n v="0"/>
    <n v="0.27819174448344069"/>
    <n v="1"/>
    <n v="73.900000000000006"/>
    <n v="73.900000000000006"/>
    <n v="-6.9944371135535448"/>
    <n v="1350.1705499159834"/>
    <n v="0"/>
    <n v="1"/>
    <n v="0"/>
    <n v="0"/>
    <n v="0"/>
    <n v="0"/>
    <n v="0"/>
    <n v="0"/>
    <n v="0"/>
    <n v="0"/>
  </r>
  <r>
    <d v="2012-07-07T00:00:00"/>
    <n v="2012"/>
    <x v="14"/>
    <s v="R"/>
    <s v="RS"/>
    <x v="8"/>
    <s v="IND"/>
    <s v="A"/>
    <n v="0"/>
    <n v="1"/>
    <n v="-1"/>
    <n v="1"/>
    <n v="-8"/>
    <n v="8"/>
    <n v="1484.2167913693727"/>
    <n v="1554.4797823862857"/>
    <n v="0.27286944936740071"/>
    <n v="86"/>
    <n v="88"/>
    <n v="1"/>
    <n v="-2"/>
    <n v="0"/>
    <n v="0.22772341516686129"/>
    <n v="1"/>
    <n v="73.75"/>
    <n v="73.75"/>
    <n v="-4.5827337642175996"/>
    <n v="1479.634057605155"/>
    <n v="0"/>
    <n v="1"/>
    <n v="0"/>
    <n v="0"/>
    <n v="0"/>
    <n v="0"/>
    <n v="0"/>
    <n v="0"/>
    <n v="0"/>
    <n v="0"/>
  </r>
  <r>
    <d v="2012-07-07T00:00:00"/>
    <n v="2012"/>
    <x v="14"/>
    <s v="R"/>
    <s v="RS"/>
    <x v="3"/>
    <s v="CHI"/>
    <s v="H"/>
    <n v="1"/>
    <n v="0"/>
    <n v="1"/>
    <n v="-1"/>
    <n v="8"/>
    <n v="-8"/>
    <n v="1554.4797823862857"/>
    <n v="1484.2167913693727"/>
    <n v="0.72713055063259935"/>
    <n v="88"/>
    <n v="86"/>
    <n v="1"/>
    <n v="2"/>
    <n v="1"/>
    <n v="0.22772341516686129"/>
    <n v="1"/>
    <n v="73.75"/>
    <n v="73.75"/>
    <n v="4.5827337642175987"/>
    <n v="1559.0625161505034"/>
    <n v="1"/>
    <n v="0"/>
    <n v="0"/>
    <n v="0"/>
    <n v="0"/>
    <n v="0"/>
    <n v="0"/>
    <n v="0"/>
    <n v="0"/>
    <n v="0"/>
  </r>
  <r>
    <d v="2012-07-07T00:00:00"/>
    <n v="2012"/>
    <x v="15"/>
    <s v="R"/>
    <s v="RS"/>
    <x v="1"/>
    <s v="LAS"/>
    <s v="A"/>
    <n v="5"/>
    <n v="1"/>
    <n v="4"/>
    <n v="-4"/>
    <n v="16"/>
    <n v="-16"/>
    <n v="1517.6415088752319"/>
    <n v="1504.1753681027508"/>
    <n v="0.44477158618636037"/>
    <n v="59"/>
    <n v="83"/>
    <n v="0"/>
    <n v="-24"/>
    <n v="0"/>
    <n v="0.62145707407847417"/>
    <n v="1"/>
    <n v="73.599999999999994"/>
    <n v="73.599999999999994"/>
    <n v="-20.343514615827839"/>
    <n v="1497.297994259404"/>
    <n v="0"/>
    <n v="1"/>
    <n v="0"/>
    <n v="0"/>
    <n v="0"/>
    <n v="0"/>
    <n v="0"/>
    <n v="0"/>
    <n v="0"/>
    <n v="0"/>
  </r>
  <r>
    <d v="2012-07-07T00:00:00"/>
    <n v="2012"/>
    <x v="17"/>
    <s v="R"/>
    <s v="RS"/>
    <x v="0"/>
    <s v="SEA"/>
    <s v="H"/>
    <n v="1"/>
    <n v="5"/>
    <n v="-4"/>
    <n v="4"/>
    <n v="-16"/>
    <n v="16"/>
    <n v="1504.1753681027508"/>
    <n v="1517.6415088752319"/>
    <n v="0.55522841381363963"/>
    <n v="83"/>
    <n v="59"/>
    <n v="0"/>
    <n v="24"/>
    <n v="1"/>
    <n v="0.62145707407847417"/>
    <n v="1"/>
    <n v="73.3"/>
    <n v="73.3"/>
    <n v="20.260592681252458"/>
    <n v="1524.4359607840033"/>
    <n v="1"/>
    <n v="0"/>
    <n v="0"/>
    <n v="0"/>
    <n v="0"/>
    <n v="0"/>
    <n v="0"/>
    <n v="0"/>
    <n v="0"/>
    <n v="0"/>
  </r>
  <r>
    <d v="2012-07-07T00:00:00"/>
    <n v="2012"/>
    <x v="15"/>
    <s v="R"/>
    <s v="RS"/>
    <x v="4"/>
    <s v="MIN"/>
    <s v="A"/>
    <n v="0"/>
    <n v="1"/>
    <n v="-1"/>
    <n v="1"/>
    <n v="-8"/>
    <n v="8"/>
    <n v="1578.3294061524732"/>
    <n v="1675.0683932837389"/>
    <n v="0.24369622438309527"/>
    <n v="86"/>
    <n v="80"/>
    <n v="0"/>
    <n v="6"/>
    <n v="1"/>
    <n v="0.32507460444429354"/>
    <n v="1"/>
    <n v="73.599999999999994"/>
    <n v="73.599999999999994"/>
    <n v="18.094939091401582"/>
    <n v="1596.4243452438748"/>
    <n v="1"/>
    <n v="0"/>
    <n v="0"/>
    <n v="0"/>
    <n v="0"/>
    <n v="0"/>
    <n v="0"/>
    <n v="0"/>
    <n v="0"/>
    <n v="0"/>
  </r>
  <r>
    <d v="2012-07-07T00:00:00"/>
    <n v="2012"/>
    <x v="16"/>
    <s v="R"/>
    <s v="RS"/>
    <x v="11"/>
    <s v="CON"/>
    <s v="H"/>
    <n v="1"/>
    <n v="0"/>
    <n v="1"/>
    <n v="-1"/>
    <n v="8"/>
    <n v="-8"/>
    <n v="1675.0683932837389"/>
    <n v="1578.3294061524732"/>
    <n v="0.75630377561690476"/>
    <n v="80"/>
    <n v="86"/>
    <n v="0"/>
    <n v="-6"/>
    <n v="0"/>
    <n v="0.32507460444429354"/>
    <n v="1"/>
    <n v="73.45"/>
    <n v="73.45"/>
    <n v="-18.058060818796825"/>
    <n v="1657.0103324649422"/>
    <n v="0"/>
    <n v="1"/>
    <n v="0"/>
    <n v="0"/>
    <n v="0"/>
    <n v="0"/>
    <n v="0"/>
    <n v="0"/>
    <n v="0"/>
    <n v="0"/>
  </r>
  <r>
    <d v="2012-07-07T00:00:00"/>
    <n v="2012"/>
    <x v="15"/>
    <s v="R"/>
    <s v="RS"/>
    <x v="2"/>
    <s v="PHX"/>
    <s v="A"/>
    <n v="5"/>
    <n v="3"/>
    <n v="2"/>
    <n v="-2"/>
    <n v="16"/>
    <n v="-16"/>
    <n v="1535.0523445288072"/>
    <n v="1408.0475624240344"/>
    <n v="0.60629439478147962"/>
    <n v="100"/>
    <n v="93"/>
    <n v="1"/>
    <n v="7"/>
    <n v="1"/>
    <n v="0.30121650778992165"/>
    <n v="1"/>
    <n v="73.599999999999994"/>
    <n v="73.599999999999994"/>
    <n v="8.7282701840912829"/>
    <n v="1543.7806147128986"/>
    <n v="1"/>
    <n v="0"/>
    <n v="0"/>
    <n v="0"/>
    <n v="0"/>
    <n v="0"/>
    <n v="0"/>
    <n v="0"/>
    <n v="0"/>
    <n v="0"/>
  </r>
  <r>
    <d v="2012-07-07T00:00:00"/>
    <n v="2012"/>
    <x v="15"/>
    <s v="R"/>
    <s v="RS"/>
    <x v="10"/>
    <s v="ATL"/>
    <s v="H"/>
    <n v="3"/>
    <n v="5"/>
    <n v="-2"/>
    <n v="2"/>
    <n v="-16"/>
    <n v="16"/>
    <n v="1408.0475624240344"/>
    <n v="1535.0523445288072"/>
    <n v="0.39370560521852033"/>
    <n v="93"/>
    <n v="100"/>
    <n v="1"/>
    <n v="-7"/>
    <n v="0"/>
    <n v="0.30121650778992165"/>
    <n v="1"/>
    <n v="73.599999999999994"/>
    <n v="73.599999999999994"/>
    <n v="-8.7282701840912811"/>
    <n v="1399.319292239943"/>
    <n v="0"/>
    <n v="1"/>
    <n v="0"/>
    <n v="0"/>
    <n v="0"/>
    <n v="0"/>
    <n v="0"/>
    <n v="0"/>
    <n v="0"/>
    <n v="0"/>
  </r>
  <r>
    <d v="2012-07-08T00:00:00"/>
    <n v="2012"/>
    <x v="16"/>
    <s v="R"/>
    <s v="RS"/>
    <x v="2"/>
    <s v="LAS"/>
    <s v="A"/>
    <n v="0"/>
    <n v="0"/>
    <n v="0"/>
    <n v="0"/>
    <n v="0"/>
    <n v="0"/>
    <n v="1543.7806147128986"/>
    <n v="1524.4359607840033"/>
    <n v="0.40801289092791826"/>
    <n v="63"/>
    <n v="79"/>
    <n v="0"/>
    <n v="-16"/>
    <n v="0"/>
    <n v="0.50957146261643194"/>
    <n v="1"/>
    <n v="73.45"/>
    <n v="73.45"/>
    <n v="-15.271116245062782"/>
    <n v="1528.5094984678358"/>
    <n v="0"/>
    <n v="1"/>
    <n v="0"/>
    <n v="0"/>
    <n v="0"/>
    <n v="0"/>
    <n v="0"/>
    <n v="0"/>
    <n v="0"/>
    <n v="0"/>
  </r>
  <r>
    <d v="2012-07-08T00:00:00"/>
    <n v="2012"/>
    <x v="18"/>
    <s v="R"/>
    <s v="RS"/>
    <x v="0"/>
    <s v="ATL"/>
    <s v="H"/>
    <n v="0"/>
    <n v="0"/>
    <n v="0"/>
    <n v="0"/>
    <n v="0"/>
    <n v="0"/>
    <n v="1524.4359607840033"/>
    <n v="1543.7806147128986"/>
    <n v="0.59198710907208163"/>
    <n v="79"/>
    <n v="63"/>
    <n v="0"/>
    <n v="16"/>
    <n v="1"/>
    <n v="0.50957146261643194"/>
    <n v="1"/>
    <n v="73.150000000000006"/>
    <n v="73.150000000000006"/>
    <n v="15.208742727383834"/>
    <n v="1539.6447035113872"/>
    <n v="1"/>
    <n v="0"/>
    <n v="0"/>
    <n v="0"/>
    <n v="0"/>
    <n v="0"/>
    <n v="0"/>
    <n v="0"/>
    <n v="0"/>
    <n v="0"/>
  </r>
  <r>
    <d v="2012-07-08T00:00:00"/>
    <n v="2012"/>
    <x v="15"/>
    <s v="R"/>
    <s v="RS"/>
    <x v="6"/>
    <s v="NYL"/>
    <s v="A"/>
    <n v="1"/>
    <n v="1"/>
    <n v="0"/>
    <n v="0"/>
    <n v="0"/>
    <n v="0"/>
    <n v="1595.1983709571346"/>
    <n v="1492.9405627994167"/>
    <n v="0.52625093831572889"/>
    <n v="94"/>
    <n v="81"/>
    <n v="0"/>
    <n v="13"/>
    <n v="1"/>
    <n v="0.434977239705164"/>
    <n v="1"/>
    <n v="73.599999999999994"/>
    <n v="73.599999999999994"/>
    <n v="15.166756354495108"/>
    <n v="1610.3651273116297"/>
    <n v="1"/>
    <n v="0"/>
    <n v="0"/>
    <n v="0"/>
    <n v="0"/>
    <n v="0"/>
    <n v="0"/>
    <n v="0"/>
    <n v="0"/>
    <n v="0"/>
  </r>
  <r>
    <d v="2012-07-08T00:00:00"/>
    <n v="2012"/>
    <x v="15"/>
    <s v="R"/>
    <s v="RS"/>
    <x v="5"/>
    <s v="SAS"/>
    <s v="H"/>
    <n v="1"/>
    <n v="1"/>
    <n v="0"/>
    <n v="0"/>
    <n v="0"/>
    <n v="0"/>
    <n v="1492.9405627994167"/>
    <n v="1595.1983709571346"/>
    <n v="0.47374906168427111"/>
    <n v="81"/>
    <n v="94"/>
    <n v="0"/>
    <n v="-13"/>
    <n v="0"/>
    <n v="0.434977239705164"/>
    <n v="1"/>
    <n v="73.599999999999994"/>
    <n v="73.599999999999994"/>
    <n v="-15.166756354495108"/>
    <n v="1477.7738064449215"/>
    <n v="0"/>
    <n v="1"/>
    <n v="0"/>
    <n v="0"/>
    <n v="0"/>
    <n v="0"/>
    <n v="0"/>
    <n v="0"/>
    <n v="0"/>
    <n v="0"/>
  </r>
  <r>
    <d v="2012-07-08T00:00:00"/>
    <n v="2012"/>
    <x v="16"/>
    <s v="R"/>
    <s v="RS"/>
    <x v="10"/>
    <s v="SEA"/>
    <s v="A"/>
    <n v="0"/>
    <n v="0"/>
    <n v="0"/>
    <n v="0"/>
    <n v="0"/>
    <n v="0"/>
    <n v="1399.319292239943"/>
    <n v="1497.297994259404"/>
    <n v="0.25969515027780715"/>
    <n v="68"/>
    <n v="83"/>
    <n v="0"/>
    <n v="-15"/>
    <n v="0"/>
    <n v="0.46489024258694572"/>
    <n v="1"/>
    <n v="73.45"/>
    <n v="73.45"/>
    <n v="-8.8675995066602127"/>
    <n v="1390.4516927332829"/>
    <n v="0"/>
    <n v="1"/>
    <n v="0"/>
    <n v="0"/>
    <n v="0"/>
    <n v="0"/>
    <n v="0"/>
    <n v="0"/>
    <n v="0"/>
    <n v="0"/>
  </r>
  <r>
    <d v="2012-07-08T00:00:00"/>
    <n v="2012"/>
    <x v="16"/>
    <s v="R"/>
    <s v="RS"/>
    <x v="1"/>
    <s v="PHX"/>
    <s v="H"/>
    <n v="0"/>
    <n v="0"/>
    <n v="0"/>
    <n v="0"/>
    <n v="0"/>
    <n v="0"/>
    <n v="1497.297994259404"/>
    <n v="1399.319292239943"/>
    <n v="0.74030484972219279"/>
    <n v="83"/>
    <n v="68"/>
    <n v="0"/>
    <n v="15"/>
    <n v="1"/>
    <n v="0.46489024258694572"/>
    <n v="1"/>
    <n v="73.45"/>
    <n v="73.45"/>
    <n v="8.8675995066602145"/>
    <n v="1506.1655937660644"/>
    <n v="1"/>
    <n v="0"/>
    <n v="0"/>
    <n v="0"/>
    <n v="0"/>
    <n v="0"/>
    <n v="0"/>
    <n v="0"/>
    <n v="0"/>
    <n v="0"/>
  </r>
  <r>
    <d v="2012-07-08T00:00:00"/>
    <n v="2012"/>
    <x v="14"/>
    <s v="R"/>
    <s v="RS"/>
    <x v="9"/>
    <s v="TUL"/>
    <s v="A"/>
    <n v="1"/>
    <n v="1"/>
    <n v="0"/>
    <n v="0"/>
    <n v="0"/>
    <n v="0"/>
    <n v="1350.1705499159834"/>
    <n v="1314.2827031107527"/>
    <n v="0.4312002555797772"/>
    <n v="62"/>
    <n v="78"/>
    <n v="0"/>
    <n v="-16"/>
    <n v="0"/>
    <n v="0.50275050470173821"/>
    <n v="1"/>
    <n v="73.75"/>
    <n v="73.75"/>
    <n v="-15.987978276368549"/>
    <n v="1334.1825716396149"/>
    <n v="0"/>
    <n v="1"/>
    <n v="0"/>
    <n v="0"/>
    <n v="0"/>
    <n v="0"/>
    <n v="0"/>
    <n v="0"/>
    <n v="0"/>
    <n v="0"/>
  </r>
  <r>
    <d v="2012-07-08T00:00:00"/>
    <n v="2012"/>
    <x v="15"/>
    <s v="R"/>
    <s v="RS"/>
    <x v="7"/>
    <s v="WAS"/>
    <s v="H"/>
    <n v="1"/>
    <n v="1"/>
    <n v="0"/>
    <n v="0"/>
    <n v="0"/>
    <n v="0"/>
    <n v="1314.2827031107527"/>
    <n v="1350.1705499159834"/>
    <n v="0.56879974442022274"/>
    <n v="78"/>
    <n v="62"/>
    <n v="0"/>
    <n v="16"/>
    <n v="1"/>
    <n v="0.50275050470173821"/>
    <n v="1"/>
    <n v="73.599999999999994"/>
    <n v="73.599999999999994"/>
    <n v="15.955460354450512"/>
    <n v="1330.2381634652031"/>
    <n v="1"/>
    <n v="0"/>
    <n v="0"/>
    <n v="0"/>
    <n v="0"/>
    <n v="0"/>
    <n v="0"/>
    <n v="0"/>
    <n v="0"/>
    <n v="0"/>
  </r>
  <r>
    <d v="2012-07-10T00:00:00"/>
    <n v="2012"/>
    <x v="16"/>
    <s v="R"/>
    <s v="RS"/>
    <x v="5"/>
    <s v="IND"/>
    <s v="A"/>
    <n v="1"/>
    <n v="2"/>
    <n v="-1"/>
    <n v="1"/>
    <n v="-8"/>
    <n v="8"/>
    <n v="1477.7738064449215"/>
    <n v="1559.0625161505034"/>
    <n v="0.26045949369897392"/>
    <n v="82"/>
    <n v="84"/>
    <n v="0"/>
    <n v="-2"/>
    <n v="0"/>
    <n v="0.25084868268718163"/>
    <n v="1"/>
    <n v="73.45"/>
    <n v="73.45"/>
    <n v="-4.7989233892058172"/>
    <n v="1472.9748830557157"/>
    <n v="0"/>
    <n v="1"/>
    <n v="0"/>
    <n v="0"/>
    <n v="0"/>
    <n v="0"/>
    <n v="0"/>
    <n v="0"/>
    <n v="0"/>
    <n v="0"/>
  </r>
  <r>
    <d v="2012-07-10T00:00:00"/>
    <n v="2012"/>
    <x v="15"/>
    <s v="R"/>
    <s v="RS"/>
    <x v="3"/>
    <s v="NYL"/>
    <s v="H"/>
    <n v="2"/>
    <n v="1"/>
    <n v="1"/>
    <n v="-1"/>
    <n v="8"/>
    <n v="-8"/>
    <n v="1559.0625161505034"/>
    <n v="1477.7738064449215"/>
    <n v="0.73954050630102608"/>
    <n v="84"/>
    <n v="82"/>
    <n v="0"/>
    <n v="2"/>
    <n v="1"/>
    <n v="0.25084868268718163"/>
    <n v="1"/>
    <n v="73.599999999999994"/>
    <n v="73.599999999999994"/>
    <n v="4.8087237773389804"/>
    <n v="1563.8712399278425"/>
    <n v="1"/>
    <n v="0"/>
    <n v="0"/>
    <n v="0"/>
    <n v="0"/>
    <n v="0"/>
    <n v="0"/>
    <n v="0"/>
    <n v="0"/>
    <n v="0"/>
  </r>
  <r>
    <d v="2012-07-10T00:00:00"/>
    <n v="2012"/>
    <x v="19"/>
    <s v="R"/>
    <s v="RS"/>
    <x v="0"/>
    <s v="PHX"/>
    <s v="A"/>
    <n v="1"/>
    <n v="1"/>
    <n v="0"/>
    <n v="0"/>
    <n v="0"/>
    <n v="0"/>
    <n v="1539.6447035113872"/>
    <n v="1390.4516927332829"/>
    <n v="0.5927344682753215"/>
    <n v="90"/>
    <n v="71"/>
    <n v="0"/>
    <n v="19"/>
    <n v="1"/>
    <n v="0.49894498555065037"/>
    <n v="1"/>
    <n v="73"/>
    <n v="73"/>
    <n v="14.83382592344028"/>
    <n v="1554.4785294348276"/>
    <n v="1"/>
    <n v="0"/>
    <n v="0"/>
    <n v="0"/>
    <n v="0"/>
    <n v="0"/>
    <n v="0"/>
    <n v="0"/>
    <n v="0"/>
    <n v="0"/>
  </r>
  <r>
    <d v="2012-07-10T00:00:00"/>
    <n v="2012"/>
    <x v="17"/>
    <s v="R"/>
    <s v="RS"/>
    <x v="10"/>
    <s v="LAS"/>
    <s v="H"/>
    <n v="1"/>
    <n v="1"/>
    <n v="0"/>
    <n v="0"/>
    <n v="0"/>
    <n v="0"/>
    <n v="1390.4516927332829"/>
    <n v="1539.6447035113872"/>
    <n v="0.40726553172467855"/>
    <n v="71"/>
    <n v="90"/>
    <n v="0"/>
    <n v="-19"/>
    <n v="0"/>
    <n v="0.49894498555065037"/>
    <n v="1"/>
    <n v="73.3"/>
    <n v="73.3"/>
    <n v="-14.894786851892775"/>
    <n v="1375.5569058813901"/>
    <n v="0"/>
    <n v="1"/>
    <n v="0"/>
    <n v="0"/>
    <n v="0"/>
    <n v="0"/>
    <n v="0"/>
    <n v="0"/>
    <n v="0"/>
    <n v="0"/>
  </r>
  <r>
    <d v="2012-07-10T00:00:00"/>
    <n v="2012"/>
    <x v="17"/>
    <s v="R"/>
    <s v="RS"/>
    <x v="11"/>
    <s v="TUL"/>
    <s v="A"/>
    <n v="2"/>
    <n v="1"/>
    <n v="1"/>
    <n v="-1"/>
    <n v="8"/>
    <n v="-8"/>
    <n v="1657.0103324649422"/>
    <n v="1330.2381634652031"/>
    <n v="0.81602008086564293"/>
    <n v="107"/>
    <n v="86"/>
    <n v="0"/>
    <n v="21"/>
    <n v="1"/>
    <n v="0.46260441581641465"/>
    <n v="1"/>
    <n v="73.3"/>
    <n v="73.3"/>
    <n v="6.2385573568602632"/>
    <n v="1663.2488898218023"/>
    <n v="1"/>
    <n v="0"/>
    <n v="0"/>
    <n v="0"/>
    <n v="0"/>
    <n v="0"/>
    <n v="0"/>
    <n v="0"/>
    <n v="0"/>
    <n v="0"/>
  </r>
  <r>
    <d v="2012-07-10T00:00:00"/>
    <n v="2012"/>
    <x v="16"/>
    <s v="R"/>
    <s v="RS"/>
    <x v="7"/>
    <s v="MIN"/>
    <s v="H"/>
    <n v="1"/>
    <n v="2"/>
    <n v="-1"/>
    <n v="1"/>
    <n v="-8"/>
    <n v="8"/>
    <n v="1330.2381634652031"/>
    <n v="1657.0103324649422"/>
    <n v="0.18397991913435707"/>
    <n v="86"/>
    <n v="107"/>
    <n v="0"/>
    <n v="-21"/>
    <n v="0"/>
    <n v="0.46260441581641465"/>
    <n v="1"/>
    <n v="73.45"/>
    <n v="73.45"/>
    <n v="-6.2513238453122293"/>
    <n v="1323.9868396198908"/>
    <n v="0"/>
    <n v="1"/>
    <n v="0"/>
    <n v="0"/>
    <n v="0"/>
    <n v="0"/>
    <n v="0"/>
    <n v="0"/>
    <n v="0"/>
    <n v="0"/>
  </r>
  <r>
    <d v="2012-07-10T00:00:00"/>
    <n v="2012"/>
    <x v="16"/>
    <s v="R"/>
    <s v="RS"/>
    <x v="4"/>
    <s v="WAS"/>
    <s v="A"/>
    <n v="2"/>
    <n v="1"/>
    <n v="1"/>
    <n v="-1"/>
    <n v="8"/>
    <n v="-8"/>
    <n v="1596.4243452438748"/>
    <n v="1334.1825716396149"/>
    <n v="0.75364456946298719"/>
    <n v="77"/>
    <n v="70"/>
    <n v="0"/>
    <n v="7"/>
    <n v="1"/>
    <n v="0.3037313083252009"/>
    <n v="1"/>
    <n v="73.45"/>
    <n v="73.45"/>
    <n v="5.4959592135453397"/>
    <n v="1601.9203044574201"/>
    <n v="1"/>
    <n v="0"/>
    <n v="0"/>
    <n v="0"/>
    <n v="0"/>
    <n v="0"/>
    <n v="0"/>
    <n v="0"/>
    <n v="0"/>
    <n v="0"/>
  </r>
  <r>
    <d v="2012-07-10T00:00:00"/>
    <n v="2012"/>
    <x v="15"/>
    <s v="R"/>
    <s v="RS"/>
    <x v="9"/>
    <s v="CON"/>
    <s v="H"/>
    <n v="1"/>
    <n v="2"/>
    <n v="-1"/>
    <n v="1"/>
    <n v="-8"/>
    <n v="8"/>
    <n v="1334.1825716396149"/>
    <n v="1596.4243452438748"/>
    <n v="0.24635543053701292"/>
    <n v="70"/>
    <n v="77"/>
    <n v="0"/>
    <n v="-7"/>
    <n v="0"/>
    <n v="0.3037313083252009"/>
    <n v="1"/>
    <n v="73.599999999999994"/>
    <n v="73.599999999999994"/>
    <n v="-5.5071830921298455"/>
    <n v="1328.675388547485"/>
    <n v="0"/>
    <n v="1"/>
    <n v="0"/>
    <n v="0"/>
    <n v="0"/>
    <n v="0"/>
    <n v="0"/>
    <n v="0"/>
    <n v="0"/>
    <n v="0"/>
  </r>
  <r>
    <d v="2012-07-11T00:00:00"/>
    <n v="2012"/>
    <x v="16"/>
    <s v="R"/>
    <s v="RS"/>
    <x v="6"/>
    <s v="CHI"/>
    <s v="A"/>
    <n v="2"/>
    <n v="3"/>
    <n v="-1"/>
    <n v="1"/>
    <n v="-8"/>
    <n v="8"/>
    <n v="1610.3651273116297"/>
    <n v="1479.634057605155"/>
    <n v="0.54411058975930526"/>
    <n v="77"/>
    <n v="68"/>
    <n v="0"/>
    <n v="9"/>
    <n v="1"/>
    <n v="0.36608886924399214"/>
    <n v="1"/>
    <n v="73.45"/>
    <n v="73.45"/>
    <n v="12.258514042171724"/>
    <n v="1622.6236413538015"/>
    <n v="1"/>
    <n v="0"/>
    <n v="0"/>
    <n v="0"/>
    <n v="0"/>
    <n v="0"/>
    <n v="0"/>
    <n v="0"/>
    <n v="0"/>
    <n v="0"/>
  </r>
  <r>
    <d v="2012-07-11T00:00:00"/>
    <n v="2012"/>
    <x v="15"/>
    <s v="R"/>
    <s v="RS"/>
    <x v="8"/>
    <s v="SAS"/>
    <s v="H"/>
    <n v="3"/>
    <n v="2"/>
    <n v="1"/>
    <n v="-1"/>
    <n v="8"/>
    <n v="-8"/>
    <n v="1479.634057605155"/>
    <n v="1610.3651273116297"/>
    <n v="0.45588941024069468"/>
    <n v="68"/>
    <n v="77"/>
    <n v="0"/>
    <n v="-9"/>
    <n v="0"/>
    <n v="0.36608886924399214"/>
    <n v="1"/>
    <n v="73.599999999999994"/>
    <n v="73.599999999999994"/>
    <n v="-12.28354844797602"/>
    <n v="1467.350509157179"/>
    <n v="0"/>
    <n v="1"/>
    <n v="0"/>
    <n v="0"/>
    <n v="0"/>
    <n v="0"/>
    <n v="0"/>
    <n v="0"/>
    <n v="0"/>
    <n v="0"/>
  </r>
  <r>
    <d v="2012-07-11T00:00:00"/>
    <n v="2012"/>
    <x v="16"/>
    <s v="R"/>
    <s v="RS"/>
    <x v="9"/>
    <s v="CON"/>
    <s v="A"/>
    <n v="0"/>
    <n v="0"/>
    <n v="0"/>
    <n v="0"/>
    <n v="0"/>
    <n v="0"/>
    <n v="1328.675388547485"/>
    <n v="1601.9203044574201"/>
    <n v="0.11340055158733643"/>
    <n v="73"/>
    <n v="85"/>
    <n v="0"/>
    <n v="-12"/>
    <n v="0"/>
    <n v="0.3715304399023025"/>
    <n v="1"/>
    <n v="73.45"/>
    <n v="73.45"/>
    <n v="-3.0945775381650833"/>
    <n v="1325.5808110093199"/>
    <n v="0"/>
    <n v="1"/>
    <n v="0"/>
    <n v="0"/>
    <n v="0"/>
    <n v="0"/>
    <n v="0"/>
    <n v="0"/>
    <n v="0"/>
    <n v="0"/>
  </r>
  <r>
    <d v="2012-07-11T00:00:00"/>
    <n v="2012"/>
    <x v="17"/>
    <s v="R"/>
    <s v="RS"/>
    <x v="4"/>
    <s v="WAS"/>
    <s v="H"/>
    <n v="0"/>
    <n v="0"/>
    <n v="0"/>
    <n v="0"/>
    <n v="0"/>
    <n v="0"/>
    <n v="1601.9203044574201"/>
    <n v="1328.675388547485"/>
    <n v="0.88659944841266358"/>
    <n v="85"/>
    <n v="73"/>
    <n v="0"/>
    <n v="12"/>
    <n v="1"/>
    <n v="0.3715304399023025"/>
    <n v="1"/>
    <n v="73.3"/>
    <n v="73.3"/>
    <n v="3.0882577746426216"/>
    <n v="1605.0085622320628"/>
    <n v="1"/>
    <n v="0"/>
    <n v="0"/>
    <n v="0"/>
    <n v="0"/>
    <n v="0"/>
    <n v="0"/>
    <n v="0"/>
    <n v="0"/>
    <n v="0"/>
  </r>
  <r>
    <d v="2012-07-11T00:00:00"/>
    <n v="2012"/>
    <x v="17"/>
    <s v="R"/>
    <s v="RS"/>
    <x v="2"/>
    <s v="SEA"/>
    <s v="A"/>
    <n v="2"/>
    <n v="2"/>
    <n v="0"/>
    <n v="0"/>
    <n v="0"/>
    <n v="0"/>
    <n v="1528.5094984678358"/>
    <n v="1506.1655937660644"/>
    <n v="0.41218959865261967"/>
    <n v="70"/>
    <n v="59"/>
    <n v="0"/>
    <n v="11"/>
    <n v="1"/>
    <n v="0.43179596370461032"/>
    <n v="1"/>
    <n v="73.3"/>
    <n v="73.3"/>
    <n v="18.604577834570787"/>
    <n v="1547.1140763024066"/>
    <n v="1"/>
    <n v="0"/>
    <n v="0"/>
    <n v="0"/>
    <n v="0"/>
    <n v="0"/>
    <n v="0"/>
    <n v="0"/>
    <n v="0"/>
    <n v="0"/>
  </r>
  <r>
    <d v="2012-07-11T00:00:00"/>
    <n v="2012"/>
    <x v="17"/>
    <s v="R"/>
    <s v="RS"/>
    <x v="1"/>
    <s v="ATL"/>
    <s v="H"/>
    <n v="2"/>
    <n v="2"/>
    <n v="0"/>
    <n v="0"/>
    <n v="0"/>
    <n v="0"/>
    <n v="1506.1655937660644"/>
    <n v="1528.5094984678358"/>
    <n v="0.58781040134738027"/>
    <n v="59"/>
    <n v="70"/>
    <n v="0"/>
    <n v="-11"/>
    <n v="0"/>
    <n v="0.43179596370461032"/>
    <n v="1"/>
    <n v="73.3"/>
    <n v="73.3"/>
    <n v="-18.604577834570783"/>
    <n v="1487.5610159314936"/>
    <n v="0"/>
    <n v="1"/>
    <n v="0"/>
    <n v="0"/>
    <n v="0"/>
    <n v="0"/>
    <n v="0"/>
    <n v="0"/>
    <n v="0"/>
    <n v="0"/>
  </r>
  <r>
    <d v="2012-07-12T00:00:00"/>
    <n v="2012"/>
    <x v="20"/>
    <s v="R"/>
    <s v="RS"/>
    <x v="0"/>
    <s v="IND"/>
    <s v="A"/>
    <n v="1"/>
    <n v="1"/>
    <n v="0"/>
    <n v="0"/>
    <n v="0"/>
    <n v="0"/>
    <n v="1554.4785294348276"/>
    <n v="1563.8712399278425"/>
    <n v="0.36874334631187744"/>
    <n v="77"/>
    <n v="74"/>
    <n v="0"/>
    <n v="3"/>
    <n v="1"/>
    <n v="0.28792981989819993"/>
    <n v="1"/>
    <n v="72.849999999999994"/>
    <n v="72.849999999999994"/>
    <n v="13.241042224044294"/>
    <n v="1567.7195716588719"/>
    <n v="1"/>
    <n v="0"/>
    <n v="0"/>
    <n v="0"/>
    <n v="0"/>
    <n v="0"/>
    <n v="0"/>
    <n v="0"/>
    <n v="0"/>
    <n v="0"/>
  </r>
  <r>
    <d v="2012-07-12T00:00:00"/>
    <n v="2012"/>
    <x v="16"/>
    <s v="R"/>
    <s v="RS"/>
    <x v="3"/>
    <s v="LAS"/>
    <s v="H"/>
    <n v="1"/>
    <n v="1"/>
    <n v="0"/>
    <n v="0"/>
    <n v="0"/>
    <n v="0"/>
    <n v="1563.8712399278425"/>
    <n v="1554.4785294348276"/>
    <n v="0.63125665368812256"/>
    <n v="74"/>
    <n v="77"/>
    <n v="0"/>
    <n v="-3"/>
    <n v="0"/>
    <n v="0.28792981989819993"/>
    <n v="1"/>
    <n v="73.45"/>
    <n v="73.45"/>
    <n v="-13.350096792807872"/>
    <n v="1550.5211431350347"/>
    <n v="0"/>
    <n v="1"/>
    <n v="0"/>
    <n v="0"/>
    <n v="0"/>
    <n v="0"/>
    <n v="0"/>
    <n v="0"/>
    <n v="0"/>
    <n v="0"/>
  </r>
  <r>
    <d v="2012-07-12T00:00:00"/>
    <n v="2012"/>
    <x v="17"/>
    <s v="R"/>
    <s v="RS"/>
    <x v="7"/>
    <s v="MIN"/>
    <s v="A"/>
    <n v="1"/>
    <n v="1"/>
    <n v="0"/>
    <n v="0"/>
    <n v="0"/>
    <n v="0"/>
    <n v="1323.9868396198908"/>
    <n v="1663.2488898218023"/>
    <n v="8.0431975557748656E-2"/>
    <n v="74"/>
    <n v="89"/>
    <n v="0"/>
    <n v="-15"/>
    <n v="0"/>
    <n v="0.39201748238733186"/>
    <n v="1"/>
    <n v="73.3"/>
    <n v="73.3"/>
    <n v="-2.3112032831644034"/>
    <n v="1321.6756363367265"/>
    <n v="0"/>
    <n v="1"/>
    <n v="0"/>
    <n v="0"/>
    <n v="0"/>
    <n v="0"/>
    <n v="0"/>
    <n v="0"/>
    <n v="0"/>
    <n v="0"/>
  </r>
  <r>
    <d v="2012-07-12T00:00:00"/>
    <n v="2012"/>
    <x v="18"/>
    <s v="R"/>
    <s v="RS"/>
    <x v="11"/>
    <s v="TUL"/>
    <s v="H"/>
    <n v="1"/>
    <n v="1"/>
    <n v="0"/>
    <n v="0"/>
    <n v="0"/>
    <n v="0"/>
    <n v="1663.2488898218023"/>
    <n v="1323.9868396198908"/>
    <n v="0.91956802444225139"/>
    <n v="89"/>
    <n v="74"/>
    <n v="0"/>
    <n v="15"/>
    <n v="1"/>
    <n v="0.39201748238733186"/>
    <n v="1"/>
    <n v="73.150000000000006"/>
    <n v="73.150000000000006"/>
    <n v="2.306473672080164"/>
    <n v="1665.5553634938824"/>
    <n v="1"/>
    <n v="0"/>
    <n v="0"/>
    <n v="0"/>
    <n v="0"/>
    <n v="0"/>
    <n v="0"/>
    <n v="0"/>
    <n v="0"/>
    <n v="0"/>
  </r>
  <r>
    <d v="2012-07-13T00:00:00"/>
    <n v="2012"/>
    <x v="18"/>
    <s v="R"/>
    <s v="RS"/>
    <x v="4"/>
    <s v="CHI"/>
    <s v="A"/>
    <n v="1"/>
    <n v="1"/>
    <n v="0"/>
    <n v="0"/>
    <n v="0"/>
    <n v="0"/>
    <n v="1605.0085622320628"/>
    <n v="1467.350509157179"/>
    <n v="0.57661200060709039"/>
    <n v="80"/>
    <n v="78"/>
    <n v="1"/>
    <n v="2"/>
    <n v="1"/>
    <n v="0.21625005419695989"/>
    <n v="1"/>
    <n v="73.150000000000006"/>
    <n v="73.150000000000006"/>
    <n v="6.6974441321715759"/>
    <n v="1611.7060063642343"/>
    <n v="1"/>
    <n v="0"/>
    <n v="0"/>
    <n v="0"/>
    <n v="0"/>
    <n v="0"/>
    <n v="0"/>
    <n v="0"/>
    <n v="0"/>
    <n v="0"/>
  </r>
  <r>
    <d v="2012-07-13T00:00:00"/>
    <n v="2012"/>
    <x v="16"/>
    <s v="R"/>
    <s v="RS"/>
    <x v="8"/>
    <s v="CON"/>
    <s v="H"/>
    <n v="1"/>
    <n v="1"/>
    <n v="0"/>
    <n v="0"/>
    <n v="0"/>
    <n v="0"/>
    <n v="1467.350509157179"/>
    <n v="1605.0085622320628"/>
    <n v="0.42338799939290966"/>
    <n v="78"/>
    <n v="80"/>
    <n v="1"/>
    <n v="-2"/>
    <n v="0"/>
    <n v="0.21625005419695989"/>
    <n v="1"/>
    <n v="73.45"/>
    <n v="73.45"/>
    <n v="-6.7249114355160939"/>
    <n v="1460.6255977216629"/>
    <n v="0"/>
    <n v="1"/>
    <n v="0"/>
    <n v="0"/>
    <n v="0"/>
    <n v="0"/>
    <n v="0"/>
    <n v="0"/>
    <n v="0"/>
    <n v="0"/>
  </r>
  <r>
    <d v="2012-07-13T00:00:00"/>
    <n v="2012"/>
    <x v="17"/>
    <s v="R"/>
    <s v="RS"/>
    <x v="9"/>
    <s v="NYL"/>
    <s v="A"/>
    <n v="1"/>
    <n v="2"/>
    <n v="-1"/>
    <n v="1"/>
    <n v="-8"/>
    <n v="8"/>
    <n v="1325.5808110093199"/>
    <n v="1472.9748830557157"/>
    <n v="0.19401733001429344"/>
    <n v="70"/>
    <n v="53"/>
    <n v="0"/>
    <n v="17"/>
    <n v="1"/>
    <n v="0.47419719008263228"/>
    <n v="1"/>
    <n v="73.3"/>
    <n v="73.3"/>
    <n v="28.014872782672683"/>
    <n v="1353.5956837919925"/>
    <n v="1"/>
    <n v="0"/>
    <n v="0"/>
    <n v="0"/>
    <n v="0"/>
    <n v="0"/>
    <n v="0"/>
    <n v="0"/>
    <n v="0"/>
    <n v="0"/>
  </r>
  <r>
    <d v="2012-07-13T00:00:00"/>
    <n v="2012"/>
    <x v="17"/>
    <s v="R"/>
    <s v="RS"/>
    <x v="5"/>
    <s v="WAS"/>
    <s v="H"/>
    <n v="2"/>
    <n v="1"/>
    <n v="1"/>
    <n v="-1"/>
    <n v="8"/>
    <n v="-8"/>
    <n v="1472.9748830557157"/>
    <n v="1325.5808110093199"/>
    <n v="0.80598266998570645"/>
    <n v="53"/>
    <n v="70"/>
    <n v="0"/>
    <n v="-17"/>
    <n v="0"/>
    <n v="0.47419719008263228"/>
    <n v="1"/>
    <n v="73.3"/>
    <n v="73.3"/>
    <n v="-28.014872782672679"/>
    <n v="1444.9600102730431"/>
    <n v="0"/>
    <n v="1"/>
    <n v="0"/>
    <n v="0"/>
    <n v="0"/>
    <n v="0"/>
    <n v="0"/>
    <n v="0"/>
    <n v="0"/>
    <n v="0"/>
  </r>
  <r>
    <d v="2012-07-13T00:00:00"/>
    <n v="2012"/>
    <x v="18"/>
    <s v="R"/>
    <s v="RS"/>
    <x v="1"/>
    <s v="PHX"/>
    <s v="A"/>
    <n v="1"/>
    <n v="2"/>
    <n v="-1"/>
    <n v="1"/>
    <n v="-8"/>
    <n v="8"/>
    <n v="1487.5610159314936"/>
    <n v="1375.5569058813901"/>
    <n v="0.51726843221716323"/>
    <n v="83"/>
    <n v="64"/>
    <n v="0"/>
    <n v="19"/>
    <n v="1"/>
    <n v="0.51308763601511298"/>
    <n v="1"/>
    <n v="73.150000000000006"/>
    <n v="73.150000000000006"/>
    <n v="18.118055262721782"/>
    <n v="1505.6790711942153"/>
    <n v="1"/>
    <n v="0"/>
    <n v="0"/>
    <n v="0"/>
    <n v="0"/>
    <n v="0"/>
    <n v="0"/>
    <n v="0"/>
    <n v="0"/>
    <n v="0"/>
  </r>
  <r>
    <d v="2012-07-13T00:00:00"/>
    <n v="2012"/>
    <x v="18"/>
    <s v="R"/>
    <s v="RS"/>
    <x v="10"/>
    <s v="SEA"/>
    <s v="H"/>
    <n v="2"/>
    <n v="1"/>
    <n v="1"/>
    <n v="-1"/>
    <n v="8"/>
    <n v="-8"/>
    <n v="1375.5569058813901"/>
    <n v="1487.5610159314936"/>
    <n v="0.48273156778283677"/>
    <n v="64"/>
    <n v="83"/>
    <n v="0"/>
    <n v="-19"/>
    <n v="0"/>
    <n v="0.51308763601511298"/>
    <n v="1"/>
    <n v="73.150000000000006"/>
    <n v="73.150000000000006"/>
    <n v="-18.118055262721782"/>
    <n v="1357.4388506186683"/>
    <n v="0"/>
    <n v="1"/>
    <n v="0"/>
    <n v="0"/>
    <n v="0"/>
    <n v="0"/>
    <n v="0"/>
    <n v="0"/>
    <n v="0"/>
    <n v="0"/>
  </r>
  <r>
    <d v="2012-07-13T00:00:00"/>
    <n v="2012"/>
    <x v="18"/>
    <s v="R"/>
    <s v="RS"/>
    <x v="2"/>
    <s v="SAS"/>
    <s v="A"/>
    <n v="1"/>
    <n v="1"/>
    <n v="0"/>
    <n v="0"/>
    <n v="0"/>
    <n v="0"/>
    <n v="1547.1140763024066"/>
    <n v="1622.6236413538015"/>
    <n v="0.28532258275494105"/>
    <n v="70"/>
    <n v="91"/>
    <n v="0"/>
    <n v="-21"/>
    <n v="0"/>
    <n v="0.55373285052270504"/>
    <n v="1"/>
    <n v="73.150000000000006"/>
    <n v="73.150000000000006"/>
    <n v="-11.557150428979867"/>
    <n v="1535.5569258734267"/>
    <n v="0"/>
    <n v="1"/>
    <n v="0"/>
    <n v="0"/>
    <n v="0"/>
    <n v="0"/>
    <n v="0"/>
    <n v="0"/>
    <n v="0"/>
    <n v="0"/>
  </r>
  <r>
    <d v="2012-07-13T00:00:00"/>
    <n v="2012"/>
    <x v="17"/>
    <s v="R"/>
    <s v="RS"/>
    <x v="6"/>
    <s v="ATL"/>
    <s v="H"/>
    <n v="1"/>
    <n v="1"/>
    <n v="0"/>
    <n v="0"/>
    <n v="0"/>
    <n v="0"/>
    <n v="1622.6236413538015"/>
    <n v="1547.1140763024066"/>
    <n v="0.71467741724505895"/>
    <n v="91"/>
    <n v="70"/>
    <n v="0"/>
    <n v="21"/>
    <n v="1"/>
    <n v="0.55373285052270504"/>
    <n v="1"/>
    <n v="73.3"/>
    <n v="73.3"/>
    <n v="11.580849302039972"/>
    <n v="1634.2044906558415"/>
    <n v="1"/>
    <n v="0"/>
    <n v="0"/>
    <n v="0"/>
    <n v="0"/>
    <n v="0"/>
    <n v="0"/>
    <n v="0"/>
    <n v="0"/>
    <n v="0"/>
  </r>
  <r>
    <d v="2012-08-16T00:00:00"/>
    <n v="2012"/>
    <x v="18"/>
    <s v="R"/>
    <s v="RS"/>
    <x v="9"/>
    <s v="IND"/>
    <s v="A"/>
    <n v="33"/>
    <n v="34"/>
    <n v="-1"/>
    <n v="1"/>
    <n v="-8"/>
    <n v="8"/>
    <n v="1353.5956837919925"/>
    <n v="1550.5211431350347"/>
    <n v="0.15326227298410106"/>
    <n v="66"/>
    <n v="84"/>
    <n v="0"/>
    <n v="-18"/>
    <n v="0"/>
    <n v="0.46974640927525874"/>
    <n v="1"/>
    <n v="73.150000000000006"/>
    <n v="73.150000000000006"/>
    <n v="-5.2663905364119028"/>
    <n v="1348.3292932555808"/>
    <n v="0"/>
    <n v="1"/>
    <n v="0"/>
    <n v="0"/>
    <n v="0"/>
    <n v="0"/>
    <n v="0"/>
    <n v="0"/>
    <n v="0"/>
    <n v="0"/>
  </r>
  <r>
    <d v="2012-08-16T00:00:00"/>
    <n v="2012"/>
    <x v="17"/>
    <s v="R"/>
    <s v="RS"/>
    <x v="3"/>
    <s v="WAS"/>
    <s v="H"/>
    <n v="34"/>
    <n v="33"/>
    <n v="1"/>
    <n v="-1"/>
    <n v="8"/>
    <n v="-8"/>
    <n v="1550.5211431350347"/>
    <n v="1353.5956837919925"/>
    <n v="0.84673772701589889"/>
    <n v="84"/>
    <n v="66"/>
    <n v="0"/>
    <n v="18"/>
    <n v="1"/>
    <n v="0.46974640927525874"/>
    <n v="1"/>
    <n v="73.3"/>
    <n v="73.3"/>
    <n v="5.2771896967736502"/>
    <n v="1555.7983328318082"/>
    <n v="1"/>
    <n v="0"/>
    <n v="0"/>
    <n v="0"/>
    <n v="0"/>
    <n v="0"/>
    <n v="0"/>
    <n v="0"/>
    <n v="0"/>
    <n v="0"/>
  </r>
  <r>
    <d v="2012-08-16T00:00:00"/>
    <n v="2012"/>
    <x v="19"/>
    <s v="R"/>
    <s v="RS"/>
    <x v="4"/>
    <s v="NYL"/>
    <s v="A"/>
    <n v="33"/>
    <n v="33"/>
    <n v="0"/>
    <n v="0"/>
    <n v="0"/>
    <n v="0"/>
    <n v="1611.7060063642343"/>
    <n v="1444.9600102730431"/>
    <n v="0.61687952336802854"/>
    <n v="66"/>
    <n v="79"/>
    <n v="0"/>
    <n v="-13"/>
    <n v="0"/>
    <n v="0.41445338665484305"/>
    <n v="1"/>
    <n v="73"/>
    <n v="73"/>
    <n v="-18.663749956107051"/>
    <n v="1593.0422564081273"/>
    <n v="0"/>
    <n v="1"/>
    <n v="0"/>
    <n v="0"/>
    <n v="0"/>
    <n v="0"/>
    <n v="0"/>
    <n v="0"/>
    <n v="0"/>
    <n v="0"/>
  </r>
  <r>
    <d v="2012-08-16T00:00:00"/>
    <n v="2012"/>
    <x v="18"/>
    <s v="R"/>
    <s v="RS"/>
    <x v="5"/>
    <s v="CON"/>
    <s v="H"/>
    <n v="33"/>
    <n v="33"/>
    <n v="0"/>
    <n v="0"/>
    <n v="0"/>
    <n v="0"/>
    <n v="1444.9600102730431"/>
    <n v="1611.7060063642343"/>
    <n v="0.38312047663197152"/>
    <n v="79"/>
    <n v="66"/>
    <n v="0"/>
    <n v="13"/>
    <n v="1"/>
    <n v="0.41445338665484305"/>
    <n v="1"/>
    <n v="73.150000000000006"/>
    <n v="73.150000000000006"/>
    <n v="18.702100127249736"/>
    <n v="1463.6621104002927"/>
    <n v="1"/>
    <n v="0"/>
    <n v="0"/>
    <n v="0"/>
    <n v="0"/>
    <n v="0"/>
    <n v="0"/>
    <n v="0"/>
    <n v="0"/>
    <n v="0"/>
  </r>
  <r>
    <d v="2012-08-16T00:00:00"/>
    <n v="2012"/>
    <x v="19"/>
    <s v="R"/>
    <s v="RS"/>
    <x v="10"/>
    <s v="SEA"/>
    <s v="A"/>
    <n v="33"/>
    <n v="33"/>
    <n v="0"/>
    <n v="0"/>
    <n v="0"/>
    <n v="0"/>
    <n v="1357.4388506186683"/>
    <n v="1505.6790711942153"/>
    <n v="0.20802325136659458"/>
    <n v="58"/>
    <n v="72"/>
    <n v="0"/>
    <n v="-14"/>
    <n v="0"/>
    <n v="0.43399515554515716"/>
    <n v="1"/>
    <n v="73"/>
    <n v="73"/>
    <n v="-6.5905190833713814"/>
    <n v="1350.8483315352969"/>
    <n v="0"/>
    <n v="1"/>
    <n v="0"/>
    <n v="0"/>
    <n v="0"/>
    <n v="0"/>
    <n v="0"/>
    <n v="0"/>
    <n v="0"/>
    <n v="0"/>
  </r>
  <r>
    <d v="2012-08-16T00:00:00"/>
    <n v="2012"/>
    <x v="19"/>
    <s v="R"/>
    <s v="RS"/>
    <x v="1"/>
    <s v="PHX"/>
    <s v="H"/>
    <n v="33"/>
    <n v="33"/>
    <n v="0"/>
    <n v="0"/>
    <n v="0"/>
    <n v="0"/>
    <n v="1505.6790711942153"/>
    <n v="1357.4388506186683"/>
    <n v="0.79197674863340539"/>
    <n v="72"/>
    <n v="58"/>
    <n v="0"/>
    <n v="14"/>
    <n v="1"/>
    <n v="0.43399515554515716"/>
    <n v="1"/>
    <n v="73"/>
    <n v="73"/>
    <n v="6.5905190833713823"/>
    <n v="1512.2695902775868"/>
    <n v="1"/>
    <n v="0"/>
    <n v="0"/>
    <n v="0"/>
    <n v="0"/>
    <n v="0"/>
    <n v="0"/>
    <n v="0"/>
    <n v="0"/>
    <n v="0"/>
  </r>
  <r>
    <d v="2012-08-17T00:00:00"/>
    <n v="2012"/>
    <x v="19"/>
    <s v="R"/>
    <s v="RS"/>
    <x v="2"/>
    <s v="CHI"/>
    <s v="A"/>
    <n v="34"/>
    <n v="34"/>
    <n v="0"/>
    <n v="0"/>
    <n v="0"/>
    <n v="0"/>
    <n v="1535.5569258734267"/>
    <n v="1460.6255977216629"/>
    <n v="0.48695209516538429"/>
    <n v="82"/>
    <n v="76"/>
    <n v="0"/>
    <n v="6"/>
    <n v="1"/>
    <n v="0.33063499500030452"/>
    <n v="1"/>
    <n v="73"/>
    <n v="73"/>
    <n v="12.383106175843421"/>
    <n v="1547.9400320492703"/>
    <n v="1"/>
    <n v="0"/>
    <n v="0"/>
    <n v="0"/>
    <n v="0"/>
    <n v="0"/>
    <n v="0"/>
    <n v="0"/>
    <n v="0"/>
    <n v="0"/>
  </r>
  <r>
    <d v="2012-08-17T00:00:00"/>
    <n v="2012"/>
    <x v="17"/>
    <s v="R"/>
    <s v="RS"/>
    <x v="8"/>
    <s v="ATL"/>
    <s v="H"/>
    <n v="34"/>
    <n v="34"/>
    <n v="0"/>
    <n v="0"/>
    <n v="0"/>
    <n v="0"/>
    <n v="1460.6255977216629"/>
    <n v="1535.5569258734267"/>
    <n v="0.51304790483461571"/>
    <n v="76"/>
    <n v="82"/>
    <n v="0"/>
    <n v="-6"/>
    <n v="0"/>
    <n v="0.33063499500030452"/>
    <n v="1"/>
    <n v="73.3"/>
    <n v="73.3"/>
    <n v="-12.433995653278394"/>
    <n v="1448.1916020683846"/>
    <n v="0"/>
    <n v="1"/>
    <n v="0"/>
    <n v="0"/>
    <n v="0"/>
    <n v="0"/>
    <n v="0"/>
    <n v="0"/>
    <n v="0"/>
    <n v="0"/>
  </r>
  <r>
    <d v="2012-08-17T00:00:00"/>
    <n v="2012"/>
    <x v="19"/>
    <s v="R"/>
    <s v="RS"/>
    <x v="9"/>
    <s v="MIN"/>
    <s v="A"/>
    <n v="0"/>
    <n v="35"/>
    <n v="-35"/>
    <n v="35"/>
    <n v="-16"/>
    <n v="16"/>
    <n v="1348.3292932555808"/>
    <n v="1665.5553634938824"/>
    <n v="7.6290463227415575E-2"/>
    <n v="69"/>
    <n v="98"/>
    <n v="0"/>
    <n v="-29"/>
    <n v="0"/>
    <n v="0.54681076227672731"/>
    <n v="1"/>
    <n v="73"/>
    <n v="73"/>
    <n v="-3.0453005836834253"/>
    <n v="1345.2839926718973"/>
    <n v="0"/>
    <n v="1"/>
    <n v="0"/>
    <n v="0"/>
    <n v="0"/>
    <n v="0"/>
    <n v="0"/>
    <n v="0"/>
    <n v="0"/>
    <n v="0"/>
  </r>
  <r>
    <d v="2012-08-17T00:00:00"/>
    <n v="2012"/>
    <x v="19"/>
    <s v="R"/>
    <s v="RS"/>
    <x v="11"/>
    <s v="WAS"/>
    <s v="H"/>
    <n v="35"/>
    <n v="0"/>
    <n v="35"/>
    <n v="-35"/>
    <n v="16"/>
    <n v="-16"/>
    <n v="1665.5553634938824"/>
    <n v="1348.3292932555808"/>
    <n v="0.92370953677258438"/>
    <n v="98"/>
    <n v="69"/>
    <n v="0"/>
    <n v="29"/>
    <n v="1"/>
    <n v="0.54681076227672731"/>
    <n v="1"/>
    <n v="73"/>
    <n v="73"/>
    <n v="3.0453005836834266"/>
    <n v="1668.6006640775659"/>
    <n v="1"/>
    <n v="0"/>
    <n v="0"/>
    <n v="0"/>
    <n v="0"/>
    <n v="0"/>
    <n v="0"/>
    <n v="0"/>
    <n v="0"/>
    <n v="0"/>
  </r>
  <r>
    <d v="2012-08-17T00:00:00"/>
    <n v="2012"/>
    <x v="18"/>
    <s v="R"/>
    <s v="RS"/>
    <x v="6"/>
    <s v="TUL"/>
    <s v="A"/>
    <n v="34"/>
    <n v="35"/>
    <n v="-1"/>
    <n v="1"/>
    <n v="-8"/>
    <n v="8"/>
    <n v="1634.2044906558415"/>
    <n v="1321.6756363367265"/>
    <n v="0.77266386734634385"/>
    <n v="89"/>
    <n v="79"/>
    <n v="0"/>
    <n v="10"/>
    <n v="1"/>
    <n v="0.33569980351040224"/>
    <n v="1"/>
    <n v="73.150000000000006"/>
    <n v="73.150000000000006"/>
    <n v="5.5825662438326367"/>
    <n v="1639.7870568996741"/>
    <n v="1"/>
    <n v="0"/>
    <n v="0"/>
    <n v="0"/>
    <n v="0"/>
    <n v="0"/>
    <n v="0"/>
    <n v="0"/>
    <n v="0"/>
    <n v="0"/>
  </r>
  <r>
    <d v="2012-08-17T00:00:00"/>
    <n v="2012"/>
    <x v="18"/>
    <s v="R"/>
    <s v="RS"/>
    <x v="7"/>
    <s v="SAS"/>
    <s v="H"/>
    <n v="35"/>
    <n v="34"/>
    <n v="1"/>
    <n v="-1"/>
    <n v="8"/>
    <n v="-8"/>
    <n v="1321.6756363367265"/>
    <n v="1634.2044906558415"/>
    <n v="0.22733613265365618"/>
    <n v="79"/>
    <n v="89"/>
    <n v="0"/>
    <n v="-10"/>
    <n v="0"/>
    <n v="0.33569980351040224"/>
    <n v="1"/>
    <n v="73.150000000000006"/>
    <n v="73.150000000000006"/>
    <n v="-5.5825662438326367"/>
    <n v="1316.0930700928939"/>
    <n v="0"/>
    <n v="1"/>
    <n v="0"/>
    <n v="0"/>
    <n v="0"/>
    <n v="0"/>
    <n v="0"/>
    <n v="0"/>
    <n v="0"/>
    <n v="0"/>
  </r>
  <r>
    <d v="2012-08-18T00:00:00"/>
    <n v="2012"/>
    <x v="19"/>
    <s v="R"/>
    <s v="RS"/>
    <x v="5"/>
    <s v="CON"/>
    <s v="A"/>
    <n v="1"/>
    <n v="1"/>
    <n v="0"/>
    <n v="0"/>
    <n v="0"/>
    <n v="0"/>
    <n v="1463.6621104002927"/>
    <n v="1593.0422564081273"/>
    <n v="0.22647650101740194"/>
    <n v="74"/>
    <n v="85"/>
    <n v="0"/>
    <n v="-11"/>
    <n v="0"/>
    <n v="0.39702952228838773"/>
    <n v="1"/>
    <n v="73"/>
    <n v="73"/>
    <n v="-6.564003561619379"/>
    <n v="1457.0981068386734"/>
    <n v="0"/>
    <n v="1"/>
    <n v="0"/>
    <n v="0"/>
    <n v="0"/>
    <n v="0"/>
    <n v="0"/>
    <n v="0"/>
    <n v="0"/>
    <n v="0"/>
  </r>
  <r>
    <d v="2012-08-18T00:00:00"/>
    <n v="2012"/>
    <x v="20"/>
    <s v="R"/>
    <s v="RS"/>
    <x v="4"/>
    <s v="NYL"/>
    <s v="H"/>
    <n v="1"/>
    <n v="1"/>
    <n v="0"/>
    <n v="0"/>
    <n v="0"/>
    <n v="0"/>
    <n v="1593.0422564081273"/>
    <n v="1463.6621104002927"/>
    <n v="0.77352349898259809"/>
    <n v="85"/>
    <n v="74"/>
    <n v="0"/>
    <n v="11"/>
    <n v="1"/>
    <n v="0.39702952228838773"/>
    <n v="1"/>
    <n v="72.849999999999994"/>
    <n v="72.849999999999994"/>
    <n v="6.5505158830681056"/>
    <n v="1599.5927722911954"/>
    <n v="1"/>
    <n v="0"/>
    <n v="0"/>
    <n v="0"/>
    <n v="0"/>
    <n v="0"/>
    <n v="0"/>
    <n v="0"/>
    <n v="0"/>
    <n v="0"/>
  </r>
  <r>
    <d v="2012-08-18T00:00:00"/>
    <n v="2012"/>
    <x v="20"/>
    <s v="R"/>
    <s v="RS"/>
    <x v="2"/>
    <s v="IND"/>
    <s v="A"/>
    <n v="0"/>
    <n v="1"/>
    <n v="-1"/>
    <n v="1"/>
    <n v="-8"/>
    <n v="8"/>
    <n v="1547.9400320492703"/>
    <n v="1555.7983328318082"/>
    <n v="0.34958081520779583"/>
    <n v="72"/>
    <n v="86"/>
    <n v="0"/>
    <n v="-14"/>
    <n v="0"/>
    <n v="0.48443573543505242"/>
    <n v="1"/>
    <n v="72.849999999999994"/>
    <n v="72.849999999999994"/>
    <n v="-12.337106653673306"/>
    <n v="1535.6029253955969"/>
    <n v="0"/>
    <n v="1"/>
    <n v="0"/>
    <n v="0"/>
    <n v="0"/>
    <n v="0"/>
    <n v="0"/>
    <n v="0"/>
    <n v="0"/>
    <n v="0"/>
  </r>
  <r>
    <d v="2012-08-18T00:00:00"/>
    <n v="2012"/>
    <x v="18"/>
    <s v="R"/>
    <s v="RS"/>
    <x v="3"/>
    <s v="ATL"/>
    <s v="H"/>
    <n v="1"/>
    <n v="0"/>
    <n v="1"/>
    <n v="-1"/>
    <n v="8"/>
    <n v="-8"/>
    <n v="1555.7983328318082"/>
    <n v="1547.9400320492703"/>
    <n v="0.65041918479220417"/>
    <n v="86"/>
    <n v="72"/>
    <n v="0"/>
    <n v="14"/>
    <n v="1"/>
    <n v="0.48443573543505242"/>
    <n v="1"/>
    <n v="73.150000000000006"/>
    <n v="73.150000000000006"/>
    <n v="12.387911485466059"/>
    <n v="1568.1862443172743"/>
    <n v="1"/>
    <n v="0"/>
    <n v="0"/>
    <n v="0"/>
    <n v="0"/>
    <n v="0"/>
    <n v="0"/>
    <n v="0"/>
    <n v="0"/>
    <n v="0"/>
  </r>
  <r>
    <d v="2012-08-18T00:00:00"/>
    <n v="2012"/>
    <x v="21"/>
    <s v="R"/>
    <s v="RS"/>
    <x v="0"/>
    <s v="SEA"/>
    <s v="A"/>
    <n v="36"/>
    <n v="1"/>
    <n v="35"/>
    <n v="-35"/>
    <n v="16"/>
    <n v="-16"/>
    <n v="1567.7195716588719"/>
    <n v="1512.2695902775868"/>
    <n v="0.5049647591352705"/>
    <n v="82"/>
    <n v="71"/>
    <n v="0"/>
    <n v="11"/>
    <n v="1"/>
    <n v="0.42040955206232289"/>
    <n v="1"/>
    <n v="72.7"/>
    <n v="72.7"/>
    <n v="15.130145439131267"/>
    <n v="1582.8497170980031"/>
    <n v="1"/>
    <n v="0"/>
    <n v="0"/>
    <n v="0"/>
    <n v="0"/>
    <n v="0"/>
    <n v="0"/>
    <n v="0"/>
    <n v="0"/>
    <n v="0"/>
  </r>
  <r>
    <d v="2012-08-18T00:00:00"/>
    <n v="2012"/>
    <x v="20"/>
    <s v="R"/>
    <s v="RS"/>
    <x v="1"/>
    <s v="LAS"/>
    <s v="H"/>
    <n v="1"/>
    <n v="36"/>
    <n v="-35"/>
    <n v="35"/>
    <n v="-16"/>
    <n v="16"/>
    <n v="1512.2695902775868"/>
    <n v="1567.7195716588719"/>
    <n v="0.49503524086472955"/>
    <n v="71"/>
    <n v="82"/>
    <n v="0"/>
    <n v="-11"/>
    <n v="0"/>
    <n v="0.42040955206232289"/>
    <n v="1"/>
    <n v="72.849999999999994"/>
    <n v="72.849999999999994"/>
    <n v="-15.161363070711317"/>
    <n v="1497.1082272068754"/>
    <n v="0"/>
    <n v="1"/>
    <n v="0"/>
    <n v="0"/>
    <n v="0"/>
    <n v="0"/>
    <n v="0"/>
    <n v="0"/>
    <n v="0"/>
    <n v="0"/>
  </r>
  <r>
    <d v="2012-08-19T00:00:00"/>
    <n v="2012"/>
    <x v="19"/>
    <s v="R"/>
    <s v="RS"/>
    <x v="7"/>
    <s v="MIN"/>
    <s v="A"/>
    <n v="1"/>
    <n v="1"/>
    <n v="0"/>
    <n v="0"/>
    <n v="0"/>
    <n v="0"/>
    <n v="1316.0930700928939"/>
    <n v="1668.6006640775659"/>
    <n v="7.496989172362116E-2"/>
    <n v="59"/>
    <n v="83"/>
    <n v="0"/>
    <n v="-24"/>
    <n v="0"/>
    <n v="0.48574133888919935"/>
    <n v="1"/>
    <n v="73"/>
    <n v="73"/>
    <n v="-2.6583662175013334"/>
    <n v="1313.4347038753926"/>
    <n v="0"/>
    <n v="1"/>
    <n v="0"/>
    <n v="0"/>
    <n v="0"/>
    <n v="0"/>
    <n v="0"/>
    <n v="0"/>
    <n v="0"/>
    <n v="0"/>
  </r>
  <r>
    <d v="2012-08-19T00:00:00"/>
    <n v="2012"/>
    <x v="20"/>
    <s v="R"/>
    <s v="RS"/>
    <x v="11"/>
    <s v="TUL"/>
    <s v="H"/>
    <n v="1"/>
    <n v="1"/>
    <n v="0"/>
    <n v="0"/>
    <n v="0"/>
    <n v="0"/>
    <n v="1668.6006640775659"/>
    <n v="1316.0930700928939"/>
    <n v="0.92503010827637877"/>
    <n v="83"/>
    <n v="59"/>
    <n v="0"/>
    <n v="24"/>
    <n v="1"/>
    <n v="0.48574133888919935"/>
    <n v="1"/>
    <n v="72.849999999999994"/>
    <n v="72.849999999999994"/>
    <n v="2.6529038211640041"/>
    <n v="1671.2535678987299"/>
    <n v="1"/>
    <n v="0"/>
    <n v="0"/>
    <n v="0"/>
    <n v="0"/>
    <n v="0"/>
    <n v="0"/>
    <n v="0"/>
    <n v="0"/>
    <n v="0"/>
  </r>
  <r>
    <d v="2012-08-19T00:00:00"/>
    <n v="2012"/>
    <x v="19"/>
    <s v="R"/>
    <s v="RS"/>
    <x v="6"/>
    <s v="PHX"/>
    <s v="A"/>
    <n v="1"/>
    <n v="2"/>
    <n v="-1"/>
    <n v="1"/>
    <n v="-8"/>
    <n v="8"/>
    <n v="1639.7870568996741"/>
    <n v="1350.8483315352969"/>
    <n v="0.74793304801885707"/>
    <n v="89"/>
    <n v="47"/>
    <n v="0"/>
    <n v="42"/>
    <n v="1"/>
    <n v="0.67667773859803315"/>
    <n v="1"/>
    <n v="73"/>
    <n v="73"/>
    <n v="12.451470938058613"/>
    <n v="1652.2385278377328"/>
    <n v="1"/>
    <n v="0"/>
    <n v="0"/>
    <n v="0"/>
    <n v="0"/>
    <n v="0"/>
    <n v="0"/>
    <n v="0"/>
    <n v="0"/>
    <n v="0"/>
  </r>
  <r>
    <d v="2012-08-19T00:00:00"/>
    <n v="2012"/>
    <x v="20"/>
    <s v="R"/>
    <s v="RS"/>
    <x v="10"/>
    <s v="SAS"/>
    <s v="H"/>
    <n v="2"/>
    <n v="1"/>
    <n v="1"/>
    <n v="-1"/>
    <n v="8"/>
    <n v="-8"/>
    <n v="1350.8483315352969"/>
    <n v="1639.7870568996741"/>
    <n v="0.25206695198114287"/>
    <n v="47"/>
    <n v="89"/>
    <n v="0"/>
    <n v="-42"/>
    <n v="0"/>
    <n v="0.67667773859803315"/>
    <n v="1"/>
    <n v="72.849999999999994"/>
    <n v="72.849999999999994"/>
    <n v="-12.425885723802324"/>
    <n v="1338.4224458114945"/>
    <n v="0"/>
    <n v="1"/>
    <n v="0"/>
    <n v="0"/>
    <n v="0"/>
    <n v="0"/>
    <n v="0"/>
    <n v="0"/>
    <n v="0"/>
    <n v="0"/>
  </r>
  <r>
    <d v="2012-08-19T00:00:00"/>
    <n v="2012"/>
    <x v="18"/>
    <s v="R"/>
    <s v="RS"/>
    <x v="8"/>
    <s v="WAS"/>
    <s v="A"/>
    <n v="1"/>
    <n v="1"/>
    <n v="0"/>
    <n v="0"/>
    <n v="0"/>
    <n v="0"/>
    <n v="1448.1916020683846"/>
    <n v="1345.2839926718973"/>
    <n v="0.52718340715852652"/>
    <n v="71"/>
    <n v="75"/>
    <n v="1"/>
    <n v="-4"/>
    <n v="0"/>
    <n v="0.25815134647343668"/>
    <n v="1"/>
    <n v="73.150000000000006"/>
    <n v="73.150000000000006"/>
    <n v="-9.9552107328986796"/>
    <n v="1438.2363913354859"/>
    <n v="0"/>
    <n v="1"/>
    <n v="0"/>
    <n v="0"/>
    <n v="0"/>
    <n v="0"/>
    <n v="0"/>
    <n v="0"/>
    <n v="0"/>
    <n v="0"/>
  </r>
  <r>
    <d v="2012-08-19T00:00:00"/>
    <n v="2012"/>
    <x v="20"/>
    <s v="R"/>
    <s v="RS"/>
    <x v="9"/>
    <s v="CHI"/>
    <s v="H"/>
    <n v="1"/>
    <n v="1"/>
    <n v="0"/>
    <n v="0"/>
    <n v="0"/>
    <n v="0"/>
    <n v="1345.2839926718973"/>
    <n v="1448.1916020683846"/>
    <n v="0.47281659284147348"/>
    <n v="75"/>
    <n v="71"/>
    <n v="1"/>
    <n v="4"/>
    <n v="1"/>
    <n v="0.25815134647343668"/>
    <n v="1"/>
    <n v="72.849999999999994"/>
    <n v="72.849999999999994"/>
    <n v="9.9143828009797517"/>
    <n v="1355.1983754728772"/>
    <n v="1"/>
    <n v="0"/>
    <n v="0"/>
    <n v="0"/>
    <n v="0"/>
    <n v="0"/>
    <n v="0"/>
    <n v="0"/>
    <n v="0"/>
    <n v="0"/>
  </r>
  <r>
    <d v="2012-08-21T00:00:00"/>
    <n v="2012"/>
    <x v="20"/>
    <s v="R"/>
    <s v="RS"/>
    <x v="5"/>
    <s v="CHI"/>
    <s v="A"/>
    <n v="2"/>
    <n v="1"/>
    <n v="1"/>
    <n v="-1"/>
    <n v="8"/>
    <n v="-8"/>
    <n v="1457.0981068386734"/>
    <n v="1438.2363913354859"/>
    <n v="0.42975208635115014"/>
    <n v="77"/>
    <n v="67"/>
    <n v="0"/>
    <n v="10"/>
    <n v="1"/>
    <n v="0.41658182609265237"/>
    <n v="1"/>
    <n v="72.849999999999994"/>
    <n v="72.849999999999994"/>
    <n v="17.305875717536495"/>
    <n v="1474.4039825562099"/>
    <n v="1"/>
    <n v="0"/>
    <n v="0"/>
    <n v="0"/>
    <n v="0"/>
    <n v="0"/>
    <n v="0"/>
    <n v="0"/>
    <n v="0"/>
    <n v="0"/>
  </r>
  <r>
    <d v="2012-08-21T00:00:00"/>
    <n v="2012"/>
    <x v="19"/>
    <s v="R"/>
    <s v="RS"/>
    <x v="8"/>
    <s v="NYL"/>
    <s v="H"/>
    <n v="1"/>
    <n v="2"/>
    <n v="-1"/>
    <n v="1"/>
    <n v="-8"/>
    <n v="8"/>
    <n v="1438.2363913354859"/>
    <n v="1457.0981068386734"/>
    <n v="0.57024791364884997"/>
    <n v="67"/>
    <n v="77"/>
    <n v="0"/>
    <n v="-10"/>
    <n v="0"/>
    <n v="0.41658182609265237"/>
    <n v="1"/>
    <n v="73"/>
    <n v="73"/>
    <n v="-17.341508955115504"/>
    <n v="1420.8948823803703"/>
    <n v="0"/>
    <n v="1"/>
    <n v="0"/>
    <n v="0"/>
    <n v="0"/>
    <n v="0"/>
    <n v="0"/>
    <n v="0"/>
    <n v="0"/>
    <n v="0"/>
  </r>
  <r>
    <d v="2012-08-21T00:00:00"/>
    <n v="2012"/>
    <x v="20"/>
    <s v="R"/>
    <s v="RS"/>
    <x v="7"/>
    <s v="CON"/>
    <s v="A"/>
    <n v="1"/>
    <n v="2"/>
    <n v="-1"/>
    <n v="1"/>
    <n v="-8"/>
    <n v="8"/>
    <n v="1313.4347038753926"/>
    <n v="1599.5927722911954"/>
    <n v="9.7712427897863358E-2"/>
    <n v="80"/>
    <n v="82"/>
    <n v="1"/>
    <n v="-2"/>
    <n v="0"/>
    <n v="0.19464189753570063"/>
    <n v="1"/>
    <n v="72.849999999999994"/>
    <n v="72.849999999999994"/>
    <n v="-1.3855292237999841"/>
    <n v="1312.0491746515927"/>
    <n v="0"/>
    <n v="1"/>
    <n v="0"/>
    <n v="0"/>
    <n v="0"/>
    <n v="0"/>
    <n v="0"/>
    <n v="0"/>
    <n v="0"/>
    <n v="0"/>
  </r>
  <r>
    <d v="2012-08-21T00:00:00"/>
    <n v="2012"/>
    <x v="21"/>
    <s v="R"/>
    <s v="RS"/>
    <x v="4"/>
    <s v="TUL"/>
    <s v="H"/>
    <n v="2"/>
    <n v="1"/>
    <n v="1"/>
    <n v="-1"/>
    <n v="8"/>
    <n v="-8"/>
    <n v="1599.5927722911954"/>
    <n v="1313.4347038753926"/>
    <n v="0.90228757210213661"/>
    <n v="82"/>
    <n v="80"/>
    <n v="1"/>
    <n v="2"/>
    <n v="1"/>
    <n v="0.19464189753570063"/>
    <n v="1"/>
    <n v="72.7"/>
    <n v="72.7"/>
    <n v="1.3826763839431555"/>
    <n v="1600.9754486751385"/>
    <n v="1"/>
    <n v="0"/>
    <n v="0"/>
    <n v="0"/>
    <n v="0"/>
    <n v="0"/>
    <n v="0"/>
    <n v="0"/>
    <n v="0"/>
    <n v="0"/>
  </r>
  <r>
    <d v="2012-08-21T00:00:00"/>
    <n v="2012"/>
    <x v="19"/>
    <s v="R"/>
    <s v="RS"/>
    <x v="3"/>
    <s v="LAS"/>
    <s v="A"/>
    <n v="2"/>
    <n v="2"/>
    <n v="0"/>
    <n v="0"/>
    <n v="0"/>
    <n v="0"/>
    <n v="1568.1862443172743"/>
    <n v="1582.8497170980031"/>
    <n v="0.36170938485631837"/>
    <n v="69"/>
    <n v="79"/>
    <n v="0"/>
    <n v="-10"/>
    <n v="0"/>
    <n v="0.41802165832511273"/>
    <n v="1"/>
    <n v="73"/>
    <n v="73"/>
    <n v="-11.037772052925808"/>
    <n v="1557.1484722643484"/>
    <n v="0"/>
    <n v="1"/>
    <n v="0"/>
    <n v="0"/>
    <n v="0"/>
    <n v="0"/>
    <n v="0"/>
    <n v="0"/>
    <n v="0"/>
    <n v="0"/>
  </r>
  <r>
    <d v="2012-08-21T00:00:00"/>
    <n v="2012"/>
    <x v="22"/>
    <s v="R"/>
    <s v="RS"/>
    <x v="0"/>
    <s v="IND"/>
    <s v="H"/>
    <n v="2"/>
    <n v="2"/>
    <n v="0"/>
    <n v="0"/>
    <n v="0"/>
    <n v="0"/>
    <n v="1582.8497170980031"/>
    <n v="1568.1862443172743"/>
    <n v="0.63829061514368168"/>
    <n v="79"/>
    <n v="69"/>
    <n v="0"/>
    <n v="10"/>
    <n v="1"/>
    <n v="0.41802165832511273"/>
    <n v="1"/>
    <n v="72.55"/>
    <n v="72.55"/>
    <n v="10.969730992325578"/>
    <n v="1593.8194480903287"/>
    <n v="1"/>
    <n v="0"/>
    <n v="0"/>
    <n v="0"/>
    <n v="0"/>
    <n v="0"/>
    <n v="0"/>
    <n v="0"/>
    <n v="0"/>
    <n v="0"/>
  </r>
  <r>
    <d v="2012-08-21T00:00:00"/>
    <n v="2012"/>
    <x v="21"/>
    <s v="R"/>
    <s v="RS"/>
    <x v="9"/>
    <s v="SAS"/>
    <s v="A"/>
    <n v="1"/>
    <n v="1"/>
    <n v="0"/>
    <n v="0"/>
    <n v="0"/>
    <n v="0"/>
    <n v="1355.1983754728772"/>
    <n v="1652.2385278377328"/>
    <n v="0.10034081772592196"/>
    <n v="72"/>
    <n v="75"/>
    <n v="0"/>
    <n v="-3"/>
    <n v="0"/>
    <n v="0.23260580203434791"/>
    <n v="1"/>
    <n v="72.7"/>
    <n v="72.7"/>
    <n v="-1.6968075591110126"/>
    <n v="1353.5015679137662"/>
    <n v="0"/>
    <n v="1"/>
    <n v="0"/>
    <n v="0"/>
    <n v="0"/>
    <n v="0"/>
    <n v="0"/>
    <n v="0"/>
    <n v="0"/>
    <n v="0"/>
  </r>
  <r>
    <d v="2012-08-21T00:00:00"/>
    <n v="2012"/>
    <x v="20"/>
    <s v="R"/>
    <s v="RS"/>
    <x v="6"/>
    <s v="WAS"/>
    <s v="H"/>
    <n v="1"/>
    <n v="1"/>
    <n v="0"/>
    <n v="0"/>
    <n v="0"/>
    <n v="0"/>
    <n v="1652.2385278377328"/>
    <n v="1355.1983754728772"/>
    <n v="0.89965918227407815"/>
    <n v="75"/>
    <n v="72"/>
    <n v="0"/>
    <n v="3"/>
    <n v="1"/>
    <n v="0.23260580203434791"/>
    <n v="1"/>
    <n v="72.849999999999994"/>
    <n v="72.849999999999994"/>
    <n v="1.7003085375685987"/>
    <n v="1653.9388363753014"/>
    <n v="1"/>
    <n v="0"/>
    <n v="0"/>
    <n v="0"/>
    <n v="0"/>
    <n v="0"/>
    <n v="0"/>
    <n v="0"/>
    <n v="0"/>
    <n v="0"/>
  </r>
  <r>
    <d v="2012-08-21T00:00:00"/>
    <n v="2012"/>
    <x v="21"/>
    <s v="R"/>
    <s v="RS"/>
    <x v="11"/>
    <s v="SEA"/>
    <s v="A"/>
    <n v="1"/>
    <n v="2"/>
    <n v="-1"/>
    <n v="1"/>
    <n v="-8"/>
    <n v="8"/>
    <n v="1671.2535678987299"/>
    <n v="1497.1082272068754"/>
    <n v="0.60511283776512614"/>
    <n v="86"/>
    <n v="73"/>
    <n v="0"/>
    <n v="13"/>
    <n v="1"/>
    <n v="0.41222168427376371"/>
    <n v="1"/>
    <n v="72.7"/>
    <n v="72.7"/>
    <n v="11.834182416027543"/>
    <n v="1683.0877503147574"/>
    <n v="1"/>
    <n v="0"/>
    <n v="0"/>
    <n v="0"/>
    <n v="0"/>
    <n v="0"/>
    <n v="0"/>
    <n v="0"/>
    <n v="0"/>
    <n v="0"/>
  </r>
  <r>
    <d v="2012-08-21T00:00:00"/>
    <n v="2012"/>
    <x v="21"/>
    <s v="R"/>
    <s v="RS"/>
    <x v="1"/>
    <s v="MIN"/>
    <s v="H"/>
    <n v="2"/>
    <n v="1"/>
    <n v="1"/>
    <n v="-1"/>
    <n v="8"/>
    <n v="-8"/>
    <n v="1497.1082272068754"/>
    <n v="1671.2535678987299"/>
    <n v="0.39488716223487391"/>
    <n v="73"/>
    <n v="86"/>
    <n v="0"/>
    <n v="-13"/>
    <n v="0"/>
    <n v="0.41222168427376371"/>
    <n v="1"/>
    <n v="72.7"/>
    <n v="72.7"/>
    <n v="-11.834182416027545"/>
    <n v="1485.2740447908479"/>
    <n v="0"/>
    <n v="1"/>
    <n v="0"/>
    <n v="0"/>
    <n v="0"/>
    <n v="0"/>
    <n v="0"/>
    <n v="0"/>
    <n v="0"/>
    <n v="0"/>
  </r>
  <r>
    <d v="2012-08-22T00:00:00"/>
    <n v="2012"/>
    <x v="20"/>
    <s v="R"/>
    <s v="RS"/>
    <x v="8"/>
    <s v="ATL"/>
    <s v="A"/>
    <n v="0"/>
    <n v="3"/>
    <n v="-3"/>
    <n v="3"/>
    <n v="-16"/>
    <n v="16"/>
    <n v="1420.8948823803703"/>
    <n v="1535.6029253955969"/>
    <n v="0.2094800721443614"/>
    <n v="71"/>
    <n v="82"/>
    <n v="0"/>
    <n v="-11"/>
    <n v="0"/>
    <n v="0.40146036004972152"/>
    <n v="1"/>
    <n v="72.849999999999994"/>
    <n v="72.849999999999994"/>
    <n v="-6.1265353068231905"/>
    <n v="1414.7683470735471"/>
    <n v="0"/>
    <n v="1"/>
    <n v="0"/>
    <n v="0"/>
    <n v="0"/>
    <n v="0"/>
    <n v="0"/>
    <n v="0"/>
    <n v="0"/>
    <n v="0"/>
  </r>
  <r>
    <d v="2012-08-22T00:00:00"/>
    <n v="2012"/>
    <x v="21"/>
    <s v="R"/>
    <s v="RS"/>
    <x v="2"/>
    <s v="CHI"/>
    <s v="H"/>
    <n v="3"/>
    <n v="0"/>
    <n v="3"/>
    <n v="-3"/>
    <n v="16"/>
    <n v="-16"/>
    <n v="1535.6029253955969"/>
    <n v="1420.8948823803703"/>
    <n v="0.79051992785563863"/>
    <n v="82"/>
    <n v="71"/>
    <n v="0"/>
    <n v="11"/>
    <n v="1"/>
    <n v="0.40146036004972152"/>
    <n v="1"/>
    <n v="72.7"/>
    <n v="72.7"/>
    <n v="6.1139206150452434"/>
    <n v="1541.7168460106423"/>
    <n v="1"/>
    <n v="0"/>
    <n v="0"/>
    <n v="0"/>
    <n v="0"/>
    <n v="0"/>
    <n v="0"/>
    <n v="0"/>
    <n v="0"/>
    <n v="0"/>
  </r>
  <r>
    <d v="2012-08-23T00:00:00"/>
    <n v="2012"/>
    <x v="21"/>
    <s v="R"/>
    <s v="RS"/>
    <x v="6"/>
    <s v="LAS"/>
    <s v="A"/>
    <n v="1"/>
    <n v="1"/>
    <n v="0"/>
    <n v="0"/>
    <n v="0"/>
    <n v="0"/>
    <n v="1653.9388363753014"/>
    <n v="1593.8194480903287"/>
    <n v="0.46568705562914647"/>
    <n v="77"/>
    <n v="101"/>
    <n v="0"/>
    <n v="-24"/>
    <n v="0"/>
    <n v="0.59844894408308424"/>
    <n v="1"/>
    <n v="72.7"/>
    <n v="72.7"/>
    <n v="-20.260757672138567"/>
    <n v="1633.6780787031628"/>
    <n v="0"/>
    <n v="1"/>
    <n v="0"/>
    <n v="0"/>
    <n v="0"/>
    <n v="0"/>
    <n v="0"/>
    <n v="0"/>
    <n v="0"/>
    <n v="0"/>
  </r>
  <r>
    <d v="2012-08-23T00:00:00"/>
    <n v="2012"/>
    <x v="23"/>
    <s v="R"/>
    <s v="RS"/>
    <x v="0"/>
    <s v="SAS"/>
    <s v="H"/>
    <n v="1"/>
    <n v="1"/>
    <n v="0"/>
    <n v="0"/>
    <n v="0"/>
    <n v="0"/>
    <n v="1593.8194480903287"/>
    <n v="1653.9388363753014"/>
    <n v="0.53431294437085364"/>
    <n v="101"/>
    <n v="77"/>
    <n v="0"/>
    <n v="24"/>
    <n v="1"/>
    <n v="0.59844894408308424"/>
    <n v="1"/>
    <n v="72.400000000000006"/>
    <n v="72.400000000000006"/>
    <n v="20.177150694124236"/>
    <n v="1613.996598784453"/>
    <n v="1"/>
    <n v="0"/>
    <n v="0"/>
    <n v="0"/>
    <n v="0"/>
    <n v="0"/>
    <n v="0"/>
    <n v="0"/>
    <n v="0"/>
    <n v="0"/>
  </r>
  <r>
    <d v="2012-08-23T00:00:00"/>
    <n v="2012"/>
    <x v="21"/>
    <s v="R"/>
    <s v="RS"/>
    <x v="5"/>
    <s v="PHX"/>
    <s v="A"/>
    <n v="1"/>
    <n v="3"/>
    <n v="-2"/>
    <n v="2"/>
    <n v="-16"/>
    <n v="16"/>
    <n v="1474.4039825562099"/>
    <n v="1338.4224458114945"/>
    <n v="0.52872408090415024"/>
    <n v="89"/>
    <n v="77"/>
    <n v="0"/>
    <n v="12"/>
    <n v="1"/>
    <n v="0.4097027665708225"/>
    <n v="1"/>
    <n v="72.7"/>
    <n v="72.7"/>
    <n v="14.037137580278172"/>
    <n v="1488.4411201364881"/>
    <n v="1"/>
    <n v="0"/>
    <n v="0"/>
    <n v="0"/>
    <n v="0"/>
    <n v="0"/>
    <n v="0"/>
    <n v="0"/>
    <n v="0"/>
    <n v="0"/>
  </r>
  <r>
    <d v="2012-08-23T00:00:00"/>
    <n v="2012"/>
    <x v="21"/>
    <s v="R"/>
    <s v="RS"/>
    <x v="10"/>
    <s v="NYL"/>
    <s v="H"/>
    <n v="3"/>
    <n v="1"/>
    <n v="2"/>
    <n v="-2"/>
    <n v="16"/>
    <n v="-16"/>
    <n v="1338.4224458114945"/>
    <n v="1474.4039825562099"/>
    <n v="0.47127591909584976"/>
    <n v="77"/>
    <n v="89"/>
    <n v="0"/>
    <n v="-12"/>
    <n v="0"/>
    <n v="0.4097027665708225"/>
    <n v="1"/>
    <n v="72.7"/>
    <n v="72.7"/>
    <n v="-14.037137580278172"/>
    <n v="1324.3853082312164"/>
    <n v="0"/>
    <n v="1"/>
    <n v="0"/>
    <n v="0"/>
    <n v="0"/>
    <n v="0"/>
    <n v="0"/>
    <n v="0"/>
    <n v="0"/>
    <n v="0"/>
  </r>
  <r>
    <d v="2012-08-23T00:00:00"/>
    <n v="2012"/>
    <x v="20"/>
    <s v="R"/>
    <s v="RS"/>
    <x v="3"/>
    <s v="SEA"/>
    <s v="A"/>
    <n v="1"/>
    <n v="1"/>
    <n v="0"/>
    <n v="0"/>
    <n v="0"/>
    <n v="0"/>
    <n v="1557.1484722643484"/>
    <n v="1485.2740447908479"/>
    <n v="0.48255697984207258"/>
    <n v="68"/>
    <n v="66"/>
    <n v="0"/>
    <n v="2"/>
    <n v="1"/>
    <n v="0.25270543854715599"/>
    <n v="1"/>
    <n v="72.849999999999994"/>
    <n v="72.849999999999994"/>
    <n v="9.5259144694488711"/>
    <n v="1566.6743867337973"/>
    <n v="1"/>
    <n v="0"/>
    <n v="0"/>
    <n v="0"/>
    <n v="0"/>
    <n v="0"/>
    <n v="0"/>
    <n v="0"/>
    <n v="0"/>
    <n v="0"/>
  </r>
  <r>
    <d v="2012-08-23T00:00:00"/>
    <n v="2012"/>
    <x v="22"/>
    <s v="R"/>
    <s v="RS"/>
    <x v="1"/>
    <s v="IND"/>
    <s v="H"/>
    <n v="1"/>
    <n v="1"/>
    <n v="0"/>
    <n v="0"/>
    <n v="0"/>
    <n v="0"/>
    <n v="1485.2740447908479"/>
    <n v="1557.1484722643484"/>
    <n v="0.51744302015792742"/>
    <n v="66"/>
    <n v="68"/>
    <n v="0"/>
    <n v="-2"/>
    <n v="0"/>
    <n v="0.25270543854715599"/>
    <n v="1"/>
    <n v="72.55"/>
    <n v="72.55"/>
    <n v="-9.4866862698492191"/>
    <n v="1475.7873585209986"/>
    <n v="0"/>
    <n v="1"/>
    <n v="0"/>
    <n v="0"/>
    <n v="0"/>
    <n v="0"/>
    <n v="0"/>
    <n v="0"/>
    <n v="0"/>
    <n v="0"/>
  </r>
  <r>
    <d v="2012-08-24T00:00:00"/>
    <n v="2012"/>
    <x v="21"/>
    <s v="R"/>
    <s v="RS"/>
    <x v="8"/>
    <s v="TUL"/>
    <s v="A"/>
    <n v="1"/>
    <n v="2"/>
    <n v="-1"/>
    <n v="1"/>
    <n v="-8"/>
    <n v="8"/>
    <n v="1414.7683470735471"/>
    <n v="1312.0491746515927"/>
    <n v="0.50391312378146857"/>
    <n v="78"/>
    <n v="81"/>
    <n v="1"/>
    <n v="-3"/>
    <n v="0"/>
    <n v="0.24057234239053182"/>
    <n v="1"/>
    <n v="72.7"/>
    <n v="72.7"/>
    <n v="-8.8132436519441342"/>
    <n v="1405.9551034216031"/>
    <n v="0"/>
    <n v="1"/>
    <n v="0"/>
    <n v="0"/>
    <n v="0"/>
    <n v="0"/>
    <n v="0"/>
    <n v="0"/>
    <n v="0"/>
    <n v="0"/>
  </r>
  <r>
    <d v="2012-08-24T00:00:00"/>
    <n v="2012"/>
    <x v="21"/>
    <s v="R"/>
    <s v="RS"/>
    <x v="7"/>
    <s v="CHI"/>
    <s v="H"/>
    <n v="2"/>
    <n v="1"/>
    <n v="1"/>
    <n v="-1"/>
    <n v="8"/>
    <n v="-8"/>
    <n v="1312.0491746515927"/>
    <n v="1414.7683470735471"/>
    <n v="0.49608687621853143"/>
    <n v="81"/>
    <n v="78"/>
    <n v="1"/>
    <n v="3"/>
    <n v="1"/>
    <n v="0.24057234239053182"/>
    <n v="1"/>
    <n v="72.7"/>
    <n v="72.7"/>
    <n v="8.8132436519441342"/>
    <n v="1320.8624183035367"/>
    <n v="1"/>
    <n v="0"/>
    <n v="0"/>
    <n v="0"/>
    <n v="0"/>
    <n v="0"/>
    <n v="0"/>
    <n v="0"/>
    <n v="0"/>
    <n v="0"/>
  </r>
  <r>
    <d v="2012-08-24T00:00:00"/>
    <n v="2012"/>
    <x v="22"/>
    <s v="R"/>
    <s v="RS"/>
    <x v="2"/>
    <s v="WAS"/>
    <s v="A"/>
    <n v="1"/>
    <n v="2"/>
    <n v="-1"/>
    <n v="1"/>
    <n v="-8"/>
    <n v="8"/>
    <n v="1541.7168460106423"/>
    <n v="1353.5015679137662"/>
    <n v="0.62429246889307077"/>
    <n v="81"/>
    <n v="69"/>
    <n v="0"/>
    <n v="12"/>
    <n v="1"/>
    <n v="0.39428706795550184"/>
    <n v="1"/>
    <n v="72.55"/>
    <n v="72.55"/>
    <n v="10.74731184259144"/>
    <n v="1552.4641578532337"/>
    <n v="1"/>
    <n v="0"/>
    <n v="0"/>
    <n v="0"/>
    <n v="0"/>
    <n v="0"/>
    <n v="0"/>
    <n v="0"/>
    <n v="0"/>
    <n v="0"/>
  </r>
  <r>
    <d v="2012-08-24T00:00:00"/>
    <n v="2012"/>
    <x v="22"/>
    <s v="R"/>
    <s v="RS"/>
    <x v="9"/>
    <s v="ATL"/>
    <s v="H"/>
    <n v="2"/>
    <n v="1"/>
    <n v="1"/>
    <n v="-1"/>
    <n v="8"/>
    <n v="-8"/>
    <n v="1353.5015679137662"/>
    <n v="1541.7168460106423"/>
    <n v="0.37570753110692917"/>
    <n v="69"/>
    <n v="81"/>
    <n v="0"/>
    <n v="-12"/>
    <n v="0"/>
    <n v="0.39428706795550184"/>
    <n v="1"/>
    <n v="72.55"/>
    <n v="72.55"/>
    <n v="-10.747311842591438"/>
    <n v="1342.7542560711747"/>
    <n v="0"/>
    <n v="1"/>
    <n v="0"/>
    <n v="0"/>
    <n v="0"/>
    <n v="0"/>
    <n v="0"/>
    <n v="0"/>
    <n v="0"/>
    <n v="0"/>
  </r>
  <r>
    <d v="2012-08-25T00:00:00"/>
    <n v="2012"/>
    <x v="22"/>
    <s v="R"/>
    <s v="RS"/>
    <x v="11"/>
    <s v="ATL"/>
    <s v="A"/>
    <n v="3"/>
    <n v="0"/>
    <n v="3"/>
    <n v="-3"/>
    <n v="16"/>
    <n v="-16"/>
    <n v="1683.0877503147574"/>
    <n v="1552.4641578532337"/>
    <n v="0.6112557510902884"/>
    <n v="84"/>
    <n v="74"/>
    <n v="0"/>
    <n v="10"/>
    <n v="1"/>
    <n v="0.38159224146886078"/>
    <n v="1"/>
    <n v="72.55"/>
    <n v="72.55"/>
    <n v="10.762196813684934"/>
    <n v="1693.8499471284424"/>
    <n v="1"/>
    <n v="0"/>
    <n v="0"/>
    <n v="0"/>
    <n v="0"/>
    <n v="0"/>
    <n v="0"/>
    <n v="0"/>
    <n v="0"/>
    <n v="0"/>
  </r>
  <r>
    <d v="2012-08-25T00:00:00"/>
    <n v="2012"/>
    <x v="23"/>
    <s v="R"/>
    <s v="RS"/>
    <x v="2"/>
    <s v="MIN"/>
    <s v="H"/>
    <n v="0"/>
    <n v="3"/>
    <n v="-3"/>
    <n v="3"/>
    <n v="-16"/>
    <n v="16"/>
    <n v="1552.4641578532337"/>
    <n v="1683.0877503147574"/>
    <n v="0.38874424890971154"/>
    <n v="74"/>
    <n v="84"/>
    <n v="0"/>
    <n v="-10"/>
    <n v="0"/>
    <n v="0.38159224146886078"/>
    <n v="1"/>
    <n v="72.400000000000006"/>
    <n v="72.400000000000006"/>
    <n v="-10.739945545289995"/>
    <n v="1541.7242123079436"/>
    <n v="0"/>
    <n v="1"/>
    <n v="0"/>
    <n v="0"/>
    <n v="0"/>
    <n v="0"/>
    <n v="0"/>
    <n v="0"/>
    <n v="0"/>
    <n v="0"/>
  </r>
  <r>
    <d v="2012-08-25T00:00:00"/>
    <n v="2012"/>
    <x v="22"/>
    <s v="R"/>
    <s v="RS"/>
    <x v="5"/>
    <s v="LAS"/>
    <s v="A"/>
    <n v="1"/>
    <n v="1"/>
    <n v="0"/>
    <n v="0"/>
    <n v="0"/>
    <n v="0"/>
    <n v="1488.4411201364881"/>
    <n v="1613.996598784453"/>
    <n v="0.23035667879676205"/>
    <n v="62"/>
    <n v="87"/>
    <n v="0"/>
    <n v="-25"/>
    <n v="0"/>
    <n v="0.58059707531637639"/>
    <n v="1"/>
    <n v="72.55"/>
    <n v="72.55"/>
    <n v="-9.7031572349015143"/>
    <n v="1478.7379629015866"/>
    <n v="0"/>
    <n v="1"/>
    <n v="0"/>
    <n v="0"/>
    <n v="0"/>
    <n v="0"/>
    <n v="0"/>
    <n v="0"/>
    <n v="0"/>
    <n v="0"/>
  </r>
  <r>
    <d v="2012-08-25T00:00:00"/>
    <n v="2012"/>
    <x v="24"/>
    <s v="R"/>
    <s v="RS"/>
    <x v="0"/>
    <s v="NYL"/>
    <s v="H"/>
    <n v="1"/>
    <n v="1"/>
    <n v="0"/>
    <n v="0"/>
    <n v="0"/>
    <n v="0"/>
    <n v="1613.996598784453"/>
    <n v="1488.4411201364881"/>
    <n v="0.76964332120323797"/>
    <n v="87"/>
    <n v="62"/>
    <n v="0"/>
    <n v="25"/>
    <n v="1"/>
    <n v="0.58059707531637639"/>
    <n v="1"/>
    <n v="72.25"/>
    <n v="72.25"/>
    <n v="9.6630339107048133"/>
    <n v="1623.6596326951578"/>
    <n v="1"/>
    <n v="0"/>
    <n v="0"/>
    <n v="0"/>
    <n v="0"/>
    <n v="0"/>
    <n v="0"/>
    <n v="0"/>
    <n v="0"/>
    <n v="0"/>
  </r>
  <r>
    <d v="2012-08-25T00:00:00"/>
    <n v="2012"/>
    <x v="21"/>
    <s v="R"/>
    <s v="RS"/>
    <x v="3"/>
    <s v="PHX"/>
    <s v="A"/>
    <n v="1"/>
    <n v="1"/>
    <n v="0"/>
    <n v="0"/>
    <n v="0"/>
    <n v="0"/>
    <n v="1566.6743867337973"/>
    <n v="1324.3853082312164"/>
    <n v="0.71324262628008828"/>
    <n v="85"/>
    <n v="72"/>
    <n v="0"/>
    <n v="13"/>
    <n v="1"/>
    <n v="0.39274547330348342"/>
    <n v="1"/>
    <n v="72.7"/>
    <n v="72.7"/>
    <n v="8.1876674157975469"/>
    <n v="1574.8620541495948"/>
    <n v="1"/>
    <n v="0"/>
    <n v="0"/>
    <n v="0"/>
    <n v="0"/>
    <n v="0"/>
    <n v="0"/>
    <n v="0"/>
    <n v="0"/>
    <n v="0"/>
  </r>
  <r>
    <d v="2012-08-25T00:00:00"/>
    <n v="2012"/>
    <x v="22"/>
    <s v="R"/>
    <s v="RS"/>
    <x v="10"/>
    <s v="IND"/>
    <s v="H"/>
    <n v="1"/>
    <n v="1"/>
    <n v="0"/>
    <n v="0"/>
    <n v="0"/>
    <n v="0"/>
    <n v="1324.3853082312164"/>
    <n v="1566.6743867337973"/>
    <n v="0.28675737371991172"/>
    <n v="72"/>
    <n v="85"/>
    <n v="0"/>
    <n v="-13"/>
    <n v="0"/>
    <n v="0.39274547330348342"/>
    <n v="1"/>
    <n v="72.55"/>
    <n v="72.55"/>
    <n v="-8.1707740167278136"/>
    <n v="1316.2145342144886"/>
    <n v="0"/>
    <n v="1"/>
    <n v="0"/>
    <n v="0"/>
    <n v="0"/>
    <n v="0"/>
    <n v="0"/>
    <n v="0"/>
    <n v="0"/>
    <n v="0"/>
  </r>
  <r>
    <d v="2012-08-25T00:00:00"/>
    <n v="2012"/>
    <x v="22"/>
    <s v="R"/>
    <s v="RS"/>
    <x v="7"/>
    <s v="SAS"/>
    <s v="A"/>
    <n v="0"/>
    <n v="1"/>
    <n v="-1"/>
    <n v="1"/>
    <n v="-8"/>
    <n v="8"/>
    <n v="1320.8624183035367"/>
    <n v="1633.6780787031628"/>
    <n v="8.4993377250145039E-2"/>
    <n v="71"/>
    <n v="91"/>
    <n v="0"/>
    <n v="-20"/>
    <n v="0"/>
    <n v="0.45601380841626948"/>
    <n v="1"/>
    <n v="72.55"/>
    <n v="72.55"/>
    <n v="-2.8119040473074532"/>
    <n v="1318.0505142562292"/>
    <n v="0"/>
    <n v="1"/>
    <n v="0"/>
    <n v="0"/>
    <n v="0"/>
    <n v="0"/>
    <n v="0"/>
    <n v="0"/>
    <n v="0"/>
    <n v="0"/>
  </r>
  <r>
    <d v="2012-08-25T00:00:00"/>
    <n v="2012"/>
    <x v="22"/>
    <s v="R"/>
    <s v="RS"/>
    <x v="6"/>
    <s v="TUL"/>
    <s v="H"/>
    <n v="1"/>
    <n v="0"/>
    <n v="1"/>
    <n v="-1"/>
    <n v="8"/>
    <n v="-8"/>
    <n v="1633.6780787031628"/>
    <n v="1320.8624183035367"/>
    <n v="0.91500662274985489"/>
    <n v="91"/>
    <n v="71"/>
    <n v="0"/>
    <n v="20"/>
    <n v="1"/>
    <n v="0.45601380841626948"/>
    <n v="1"/>
    <n v="72.55"/>
    <n v="72.55"/>
    <n v="2.8119040473074555"/>
    <n v="1636.4899827504703"/>
    <n v="1"/>
    <n v="0"/>
    <n v="0"/>
    <n v="0"/>
    <n v="0"/>
    <n v="0"/>
    <n v="0"/>
    <n v="0"/>
    <n v="0"/>
    <n v="0"/>
  </r>
  <r>
    <d v="2012-08-26T00:00:00"/>
    <n v="2012"/>
    <x v="22"/>
    <s v="R"/>
    <s v="RS"/>
    <x v="8"/>
    <s v="CON"/>
    <s v="A"/>
    <n v="1"/>
    <n v="4"/>
    <n v="-3"/>
    <n v="3"/>
    <n v="-16"/>
    <n v="16"/>
    <n v="1405.9551034216031"/>
    <n v="1600.9754486751385"/>
    <n v="0.14302650515114562"/>
    <n v="82"/>
    <n v="70"/>
    <n v="0"/>
    <n v="12"/>
    <n v="1"/>
    <n v="0.39236369100579011"/>
    <n v="1"/>
    <n v="72.55"/>
    <n v="72.55"/>
    <n v="24.394595320321177"/>
    <n v="1430.3496987419244"/>
    <n v="1"/>
    <n v="0"/>
    <n v="0"/>
    <n v="0"/>
    <n v="0"/>
    <n v="0"/>
    <n v="0"/>
    <n v="0"/>
    <n v="0"/>
    <n v="0"/>
  </r>
  <r>
    <d v="2012-08-26T00:00:00"/>
    <n v="2012"/>
    <x v="22"/>
    <s v="R"/>
    <s v="RS"/>
    <x v="4"/>
    <s v="CHI"/>
    <s v="H"/>
    <n v="4"/>
    <n v="1"/>
    <n v="3"/>
    <n v="-3"/>
    <n v="16"/>
    <n v="-16"/>
    <n v="1600.9754486751385"/>
    <n v="1405.9551034216031"/>
    <n v="0.85697349484885443"/>
    <n v="70"/>
    <n v="82"/>
    <n v="0"/>
    <n v="-12"/>
    <n v="0"/>
    <n v="0.39236369100579011"/>
    <n v="1"/>
    <n v="72.55"/>
    <n v="72.55"/>
    <n v="-24.39459532032118"/>
    <n v="1576.5808533548172"/>
    <n v="0"/>
    <n v="1"/>
    <n v="0"/>
    <n v="0"/>
    <n v="0"/>
    <n v="0"/>
    <n v="0"/>
    <n v="0"/>
    <n v="0"/>
    <n v="0"/>
  </r>
  <r>
    <d v="2012-08-26T00:00:00"/>
    <n v="2012"/>
    <x v="23"/>
    <s v="R"/>
    <s v="RS"/>
    <x v="5"/>
    <s v="SEA"/>
    <s v="A"/>
    <n v="0"/>
    <n v="2"/>
    <n v="-2"/>
    <n v="2"/>
    <n v="-16"/>
    <n v="16"/>
    <n v="1478.7379629015866"/>
    <n v="1475.7873585209986"/>
    <n v="0.34281724976198824"/>
    <n v="66"/>
    <n v="84"/>
    <n v="0"/>
    <n v="-18"/>
    <n v="0"/>
    <n v="0.54549265461275542"/>
    <n v="1"/>
    <n v="72.400000000000006"/>
    <n v="72.400000000000006"/>
    <n v="-13.539110713267075"/>
    <n v="1465.1988521883195"/>
    <n v="0"/>
    <n v="1"/>
    <n v="0"/>
    <n v="0"/>
    <n v="0"/>
    <n v="0"/>
    <n v="0"/>
    <n v="0"/>
    <n v="0"/>
    <n v="0"/>
  </r>
  <r>
    <d v="2012-08-26T00:00:00"/>
    <n v="2012"/>
    <x v="23"/>
    <s v="R"/>
    <s v="RS"/>
    <x v="1"/>
    <s v="NYL"/>
    <s v="H"/>
    <n v="2"/>
    <n v="0"/>
    <n v="2"/>
    <n v="-2"/>
    <n v="16"/>
    <n v="-16"/>
    <n v="1475.7873585209986"/>
    <n v="1478.7379629015866"/>
    <n v="0.65718275023801176"/>
    <n v="84"/>
    <n v="66"/>
    <n v="0"/>
    <n v="18"/>
    <n v="1"/>
    <n v="0.54549265461275542"/>
    <n v="1"/>
    <n v="72.400000000000006"/>
    <n v="72.400000000000006"/>
    <n v="13.539110713267075"/>
    <n v="1489.3264692342657"/>
    <n v="1"/>
    <n v="0"/>
    <n v="0"/>
    <n v="0"/>
    <n v="0"/>
    <n v="0"/>
    <n v="0"/>
    <n v="0"/>
    <n v="0"/>
    <n v="0"/>
  </r>
  <r>
    <d v="2012-08-28T00:00:00"/>
    <n v="2012"/>
    <x v="23"/>
    <s v="R"/>
    <s v="RS"/>
    <x v="7"/>
    <s v="ATL"/>
    <s v="A"/>
    <n v="2"/>
    <n v="2"/>
    <n v="0"/>
    <n v="0"/>
    <n v="0"/>
    <n v="0"/>
    <n v="1318.0505142562292"/>
    <n v="1541.7242123079436"/>
    <n v="0.1454040734397484"/>
    <n v="84"/>
    <n v="80"/>
    <n v="0"/>
    <n v="4"/>
    <n v="1"/>
    <n v="0.26250346718920703"/>
    <n v="1"/>
    <n v="72.400000000000006"/>
    <n v="72.400000000000006"/>
    <n v="16.241810108791544"/>
    <n v="1334.2923243650207"/>
    <n v="1"/>
    <n v="0"/>
    <n v="0"/>
    <n v="0"/>
    <n v="0"/>
    <n v="0"/>
    <n v="0"/>
    <n v="0"/>
    <n v="0"/>
    <n v="0"/>
  </r>
  <r>
    <d v="2012-08-28T00:00:00"/>
    <n v="2012"/>
    <x v="24"/>
    <s v="R"/>
    <s v="RS"/>
    <x v="2"/>
    <s v="TUL"/>
    <s v="H"/>
    <n v="2"/>
    <n v="2"/>
    <n v="0"/>
    <n v="0"/>
    <n v="0"/>
    <n v="0"/>
    <n v="1541.7242123079436"/>
    <n v="1318.0505142562292"/>
    <n v="0.85459592656025152"/>
    <n v="80"/>
    <n v="84"/>
    <n v="0"/>
    <n v="-4"/>
    <n v="0"/>
    <n v="0.26250346718920703"/>
    <n v="1"/>
    <n v="72.25"/>
    <n v="72.25"/>
    <n v="-16.208159949726365"/>
    <n v="1525.5160523582172"/>
    <n v="0"/>
    <n v="1"/>
    <n v="0"/>
    <n v="0"/>
    <n v="0"/>
    <n v="0"/>
    <n v="0"/>
    <n v="0"/>
    <n v="0"/>
    <n v="0"/>
  </r>
  <r>
    <d v="2012-08-28T00:00:00"/>
    <n v="2012"/>
    <x v="23"/>
    <s v="R"/>
    <s v="RS"/>
    <x v="4"/>
    <s v="CHI"/>
    <s v="A"/>
    <n v="1"/>
    <n v="1"/>
    <n v="0"/>
    <n v="0"/>
    <n v="0"/>
    <n v="0"/>
    <n v="1576.5808533548172"/>
    <n v="1430.3496987419244"/>
    <n v="0.58861221974398792"/>
    <n v="83"/>
    <n v="72"/>
    <n v="0"/>
    <n v="11"/>
    <n v="1"/>
    <n v="0.39205983497011465"/>
    <n v="1"/>
    <n v="72.400000000000006"/>
    <n v="72.400000000000006"/>
    <n v="11.677296467078719"/>
    <n v="1588.258149821896"/>
    <n v="1"/>
    <n v="0"/>
    <n v="0"/>
    <n v="0"/>
    <n v="0"/>
    <n v="0"/>
    <n v="0"/>
    <n v="0"/>
    <n v="0"/>
    <n v="0"/>
  </r>
  <r>
    <d v="2012-08-28T00:00:00"/>
    <n v="2012"/>
    <x v="23"/>
    <s v="R"/>
    <s v="RS"/>
    <x v="8"/>
    <s v="CON"/>
    <s v="H"/>
    <n v="1"/>
    <n v="1"/>
    <n v="0"/>
    <n v="0"/>
    <n v="0"/>
    <n v="0"/>
    <n v="1430.3496987419244"/>
    <n v="1576.5808533548172"/>
    <n v="0.41138778025601208"/>
    <n v="72"/>
    <n v="83"/>
    <n v="0"/>
    <n v="-11"/>
    <n v="0"/>
    <n v="0.39205983497011465"/>
    <n v="1"/>
    <n v="72.400000000000006"/>
    <n v="72.400000000000006"/>
    <n v="-11.677296467078719"/>
    <n v="1418.6724022748456"/>
    <n v="0"/>
    <n v="1"/>
    <n v="0"/>
    <n v="0"/>
    <n v="0"/>
    <n v="0"/>
    <n v="0"/>
    <n v="0"/>
    <n v="0"/>
    <n v="0"/>
  </r>
  <r>
    <d v="2012-08-28T00:00:00"/>
    <n v="2012"/>
    <x v="23"/>
    <s v="R"/>
    <s v="RS"/>
    <x v="9"/>
    <s v="IND"/>
    <s v="A"/>
    <n v="3"/>
    <n v="2"/>
    <n v="1"/>
    <n v="-1"/>
    <n v="8"/>
    <n v="-8"/>
    <n v="1342.7542560711747"/>
    <n v="1574.8620541495948"/>
    <n v="0.15090003124621754"/>
    <n v="68"/>
    <n v="83"/>
    <n v="0"/>
    <n v="-15"/>
    <n v="0"/>
    <n v="0.42134931076010662"/>
    <n v="1"/>
    <n v="72.400000000000006"/>
    <n v="72.400000000000006"/>
    <n v="-4.6033095891313156"/>
    <n v="1338.1509464820433"/>
    <n v="0"/>
    <n v="1"/>
    <n v="0"/>
    <n v="0"/>
    <n v="0"/>
    <n v="0"/>
    <n v="0"/>
    <n v="0"/>
    <n v="0"/>
    <n v="0"/>
  </r>
  <r>
    <d v="2012-08-28T00:00:00"/>
    <n v="2012"/>
    <x v="22"/>
    <s v="R"/>
    <s v="RS"/>
    <x v="3"/>
    <s v="WAS"/>
    <s v="H"/>
    <n v="2"/>
    <n v="3"/>
    <n v="-1"/>
    <n v="1"/>
    <n v="-8"/>
    <n v="8"/>
    <n v="1574.8620541495948"/>
    <n v="1342.7542560711747"/>
    <n v="0.84909996875378246"/>
    <n v="83"/>
    <n v="68"/>
    <n v="0"/>
    <n v="15"/>
    <n v="1"/>
    <n v="0.42134931076010662"/>
    <n v="1"/>
    <n v="72.55"/>
    <n v="72.55"/>
    <n v="4.6128468327552063"/>
    <n v="1579.4749009823499"/>
    <n v="1"/>
    <n v="0"/>
    <n v="0"/>
    <n v="0"/>
    <n v="0"/>
    <n v="0"/>
    <n v="0"/>
    <n v="0"/>
    <n v="0"/>
    <n v="0"/>
  </r>
  <r>
    <d v="2012-08-28T00:00:00"/>
    <n v="2012"/>
    <x v="23"/>
    <s v="R"/>
    <s v="RS"/>
    <x v="6"/>
    <s v="MIN"/>
    <s v="A"/>
    <n v="2"/>
    <n v="2"/>
    <n v="0"/>
    <n v="0"/>
    <n v="0"/>
    <n v="0"/>
    <n v="1636.4899827504703"/>
    <n v="1693.8499471284424"/>
    <n v="0.30709550896191729"/>
    <n v="84"/>
    <n v="96"/>
    <n v="1"/>
    <n v="-12"/>
    <n v="0"/>
    <n v="0.3917889963725445"/>
    <n v="1"/>
    <n v="72.400000000000006"/>
    <n v="72.400000000000006"/>
    <n v="-8.7109248262614649"/>
    <n v="1627.7790579242089"/>
    <n v="0"/>
    <n v="1"/>
    <n v="0"/>
    <n v="0"/>
    <n v="0"/>
    <n v="0"/>
    <n v="0"/>
    <n v="0"/>
    <n v="0"/>
    <n v="0"/>
  </r>
  <r>
    <d v="2012-08-28T00:00:00"/>
    <n v="2012"/>
    <x v="23"/>
    <s v="R"/>
    <s v="RS"/>
    <x v="11"/>
    <s v="SAS"/>
    <s v="H"/>
    <n v="2"/>
    <n v="2"/>
    <n v="0"/>
    <n v="0"/>
    <n v="0"/>
    <n v="0"/>
    <n v="1693.8499471284424"/>
    <n v="1636.4899827504703"/>
    <n v="0.69290449103808283"/>
    <n v="96"/>
    <n v="84"/>
    <n v="1"/>
    <n v="12"/>
    <n v="1"/>
    <n v="0.3917889963725445"/>
    <n v="1"/>
    <n v="72.400000000000006"/>
    <n v="72.400000000000006"/>
    <n v="8.7109248262614631"/>
    <n v="1702.5608719547038"/>
    <n v="1"/>
    <n v="0"/>
    <n v="0"/>
    <n v="0"/>
    <n v="0"/>
    <n v="0"/>
    <n v="0"/>
    <n v="0"/>
    <n v="0"/>
    <n v="0"/>
  </r>
  <r>
    <d v="2012-08-30T00:00:00"/>
    <n v="2012"/>
    <x v="24"/>
    <s v="R"/>
    <s v="RS"/>
    <x v="9"/>
    <s v="ATL"/>
    <s v="A"/>
    <n v="1"/>
    <n v="1"/>
    <n v="0"/>
    <n v="0"/>
    <n v="0"/>
    <n v="0"/>
    <n v="1338.1509464820433"/>
    <n v="1525.5160523582172"/>
    <n v="0.17334507025548515"/>
    <n v="59"/>
    <n v="82"/>
    <n v="0"/>
    <n v="-23"/>
    <n v="0"/>
    <n v="0.53223576111782844"/>
    <n v="1"/>
    <n v="72.25"/>
    <n v="72.25"/>
    <n v="-6.6658171803993778"/>
    <n v="1331.4851293016438"/>
    <n v="0"/>
    <n v="1"/>
    <n v="0"/>
    <n v="0"/>
    <n v="0"/>
    <n v="0"/>
    <n v="0"/>
    <n v="0"/>
    <n v="0"/>
    <n v="0"/>
  </r>
  <r>
    <d v="2012-08-30T00:00:00"/>
    <n v="2012"/>
    <x v="25"/>
    <s v="R"/>
    <s v="RS"/>
    <x v="2"/>
    <s v="WAS"/>
    <s v="H"/>
    <n v="1"/>
    <n v="1"/>
    <n v="0"/>
    <n v="0"/>
    <n v="0"/>
    <n v="0"/>
    <n v="1525.5160523582172"/>
    <n v="1338.1509464820433"/>
    <n v="0.82665492974451493"/>
    <n v="82"/>
    <n v="59"/>
    <n v="0"/>
    <n v="23"/>
    <n v="1"/>
    <n v="0.53223576111782844"/>
    <n v="1"/>
    <n v="72.099999999999994"/>
    <n v="72.099999999999994"/>
    <n v="6.6519781135888563"/>
    <n v="1532.1680304718061"/>
    <n v="1"/>
    <n v="0"/>
    <n v="0"/>
    <n v="0"/>
    <n v="0"/>
    <n v="0"/>
    <n v="0"/>
    <n v="0"/>
    <n v="0"/>
    <n v="0"/>
  </r>
  <r>
    <d v="2012-08-30T00:00:00"/>
    <n v="2012"/>
    <x v="23"/>
    <s v="R"/>
    <s v="RS"/>
    <x v="3"/>
    <s v="NYL"/>
    <s v="A"/>
    <n v="1"/>
    <n v="3"/>
    <n v="-2"/>
    <n v="2"/>
    <n v="-16"/>
    <n v="16"/>
    <n v="1579.4749009823499"/>
    <n v="1465.1988521883195"/>
    <n v="0.49751905514343064"/>
    <n v="76"/>
    <n v="63"/>
    <n v="0"/>
    <n v="13"/>
    <n v="1"/>
    <n v="0.43099964219595538"/>
    <n v="1"/>
    <n v="72.400000000000006"/>
    <n v="72.400000000000006"/>
    <n v="15.679603378907011"/>
    <n v="1595.1545043612568"/>
    <n v="1"/>
    <n v="0"/>
    <n v="0"/>
    <n v="0"/>
    <n v="0"/>
    <n v="0"/>
    <n v="0"/>
    <n v="0"/>
    <n v="0"/>
    <n v="0"/>
  </r>
  <r>
    <d v="2012-08-30T00:00:00"/>
    <n v="2012"/>
    <x v="24"/>
    <s v="R"/>
    <s v="RS"/>
    <x v="5"/>
    <s v="IND"/>
    <s v="H"/>
    <n v="3"/>
    <n v="1"/>
    <n v="2"/>
    <n v="-2"/>
    <n v="16"/>
    <n v="-16"/>
    <n v="1465.1988521883195"/>
    <n v="1579.4749009823499"/>
    <n v="0.50248094485656936"/>
    <n v="63"/>
    <n v="76"/>
    <n v="0"/>
    <n v="-13"/>
    <n v="0"/>
    <n v="0.43099964219595538"/>
    <n v="1"/>
    <n v="72.25"/>
    <n v="72.25"/>
    <n v="-15.647118012790489"/>
    <n v="1449.551734175529"/>
    <n v="0"/>
    <n v="1"/>
    <n v="0"/>
    <n v="0"/>
    <n v="0"/>
    <n v="0"/>
    <n v="0"/>
    <n v="0"/>
    <n v="0"/>
    <n v="0"/>
  </r>
  <r>
    <d v="2012-08-30T00:00:00"/>
    <n v="2012"/>
    <x v="24"/>
    <s v="R"/>
    <s v="RS"/>
    <x v="4"/>
    <s v="SAS"/>
    <s v="A"/>
    <n v="1"/>
    <n v="1"/>
    <n v="0"/>
    <n v="0"/>
    <n v="0"/>
    <n v="0"/>
    <n v="1588.258149821896"/>
    <n v="1627.7790579242089"/>
    <n v="0.32936830492770891"/>
    <n v="84"/>
    <n v="73"/>
    <n v="0"/>
    <n v="11"/>
    <n v="1"/>
    <n v="0.42581223185433481"/>
    <n v="1"/>
    <n v="72.25"/>
    <n v="72.25"/>
    <n v="20.63193967053888"/>
    <n v="1608.890089492435"/>
    <n v="1"/>
    <n v="0"/>
    <n v="0"/>
    <n v="0"/>
    <n v="0"/>
    <n v="0"/>
    <n v="0"/>
    <n v="0"/>
    <n v="0"/>
    <n v="0"/>
  </r>
  <r>
    <d v="2012-08-30T00:00:00"/>
    <n v="2012"/>
    <x v="24"/>
    <s v="R"/>
    <s v="RS"/>
    <x v="6"/>
    <s v="CON"/>
    <s v="H"/>
    <n v="1"/>
    <n v="1"/>
    <n v="0"/>
    <n v="0"/>
    <n v="0"/>
    <n v="0"/>
    <n v="1627.7790579242089"/>
    <n v="1588.258149821896"/>
    <n v="0.67063169507229115"/>
    <n v="73"/>
    <n v="84"/>
    <n v="0"/>
    <n v="-11"/>
    <n v="0"/>
    <n v="0.42581223185433481"/>
    <n v="1"/>
    <n v="72.25"/>
    <n v="72.25"/>
    <n v="-20.631939670538884"/>
    <n v="1607.14711825367"/>
    <n v="0"/>
    <n v="1"/>
    <n v="0"/>
    <n v="0"/>
    <n v="0"/>
    <n v="0"/>
    <n v="0"/>
    <n v="0"/>
    <n v="0"/>
    <n v="0"/>
  </r>
  <r>
    <d v="2012-08-30T00:00:00"/>
    <n v="2012"/>
    <x v="23"/>
    <s v="R"/>
    <s v="RS"/>
    <x v="10"/>
    <s v="SEA"/>
    <s v="A"/>
    <n v="4"/>
    <n v="3"/>
    <n v="1"/>
    <n v="-1"/>
    <n v="8"/>
    <n v="-8"/>
    <n v="1316.2145342144886"/>
    <n v="1489.3264692342657"/>
    <n v="0.19973493071834461"/>
    <n v="75"/>
    <n v="68"/>
    <n v="0"/>
    <n v="7"/>
    <n v="1"/>
    <n v="0.3234467603532899"/>
    <n v="1"/>
    <n v="72.400000000000006"/>
    <n v="72.400000000000006"/>
    <n v="18.740243631613005"/>
    <n v="1334.9547778461017"/>
    <n v="1"/>
    <n v="0"/>
    <n v="0"/>
    <n v="0"/>
    <n v="0"/>
    <n v="0"/>
    <n v="0"/>
    <n v="0"/>
    <n v="0"/>
    <n v="0"/>
  </r>
  <r>
    <d v="2012-08-30T00:00:00"/>
    <n v="2012"/>
    <x v="24"/>
    <s v="R"/>
    <s v="RS"/>
    <x v="1"/>
    <s v="PHX"/>
    <s v="H"/>
    <n v="3"/>
    <n v="4"/>
    <n v="-1"/>
    <n v="1"/>
    <n v="-8"/>
    <n v="8"/>
    <n v="1489.3264692342657"/>
    <n v="1316.2145342144886"/>
    <n v="0.80026506928165531"/>
    <n v="68"/>
    <n v="75"/>
    <n v="0"/>
    <n v="-7"/>
    <n v="0"/>
    <n v="0.3234467603532899"/>
    <n v="1"/>
    <n v="72.25"/>
    <n v="72.25"/>
    <n v="-18.701417160000542"/>
    <n v="1470.6250520742651"/>
    <n v="0"/>
    <n v="1"/>
    <n v="0"/>
    <n v="0"/>
    <n v="0"/>
    <n v="0"/>
    <n v="0"/>
    <n v="0"/>
    <n v="0"/>
    <n v="0"/>
  </r>
  <r>
    <d v="2012-08-30T00:00:00"/>
    <n v="2012"/>
    <x v="25"/>
    <s v="R"/>
    <s v="RS"/>
    <x v="0"/>
    <s v="TUL"/>
    <s v="A"/>
    <n v="4"/>
    <n v="1"/>
    <n v="3"/>
    <n v="-3"/>
    <n v="16"/>
    <n v="-16"/>
    <n v="1623.6596326951578"/>
    <n v="1334.2923243650207"/>
    <n v="0.79679725946061897"/>
    <n v="85"/>
    <n v="99"/>
    <n v="0"/>
    <n v="-14"/>
    <n v="0"/>
    <n v="0.39287133601513169"/>
    <n v="1"/>
    <n v="72.099999999999994"/>
    <n v="72.099999999999994"/>
    <n v="-22.570097758124948"/>
    <n v="1601.0895349370328"/>
    <n v="0"/>
    <n v="1"/>
    <n v="0"/>
    <n v="0"/>
    <n v="0"/>
    <n v="0"/>
    <n v="0"/>
    <n v="0"/>
    <n v="0"/>
    <n v="0"/>
  </r>
  <r>
    <d v="2012-08-30T00:00:00"/>
    <n v="2012"/>
    <x v="24"/>
    <s v="R"/>
    <s v="RS"/>
    <x v="7"/>
    <s v="LAS"/>
    <s v="H"/>
    <n v="1"/>
    <n v="4"/>
    <n v="-3"/>
    <n v="3"/>
    <n v="-16"/>
    <n v="16"/>
    <n v="1334.2923243650207"/>
    <n v="1623.6596326951578"/>
    <n v="0.20320274053938095"/>
    <n v="99"/>
    <n v="85"/>
    <n v="0"/>
    <n v="14"/>
    <n v="1"/>
    <n v="0.39287133601513169"/>
    <n v="1"/>
    <n v="72.25"/>
    <n v="72.25"/>
    <n v="22.617053578703576"/>
    <n v="1356.9093779437244"/>
    <n v="1"/>
    <n v="0"/>
    <n v="0"/>
    <n v="0"/>
    <n v="0"/>
    <n v="0"/>
    <n v="0"/>
    <n v="0"/>
    <n v="0"/>
    <n v="0"/>
  </r>
  <r>
    <d v="2012-08-31T00:00:00"/>
    <n v="2012"/>
    <x v="25"/>
    <s v="R"/>
    <s v="RS"/>
    <x v="7"/>
    <s v="MIN"/>
    <s v="A"/>
    <n v="0"/>
    <n v="2"/>
    <n v="-2"/>
    <n v="2"/>
    <n v="-16"/>
    <n v="16"/>
    <n v="1356.9093779437244"/>
    <n v="1702.5608719547038"/>
    <n v="6.5529500925548809E-2"/>
    <n v="83"/>
    <n v="92"/>
    <n v="0"/>
    <n v="-9"/>
    <n v="0"/>
    <n v="0.31518478419251655"/>
    <n v="1"/>
    <n v="72.099999999999994"/>
    <n v="72.099999999999994"/>
    <n v="-1.4891463058980401"/>
    <n v="1355.4202316378264"/>
    <n v="0"/>
    <n v="1"/>
    <n v="0"/>
    <n v="0"/>
    <n v="0"/>
    <n v="0"/>
    <n v="0"/>
    <n v="0"/>
    <n v="0"/>
    <n v="0"/>
  </r>
  <r>
    <d v="2012-08-31T00:00:00"/>
    <n v="2012"/>
    <x v="24"/>
    <s v="R"/>
    <s v="RS"/>
    <x v="11"/>
    <s v="TUL"/>
    <s v="H"/>
    <n v="2"/>
    <n v="0"/>
    <n v="2"/>
    <n v="-2"/>
    <n v="16"/>
    <n v="-16"/>
    <n v="1702.5608719547038"/>
    <n v="1356.9093779437244"/>
    <n v="0.93447049907445123"/>
    <n v="92"/>
    <n v="83"/>
    <n v="0"/>
    <n v="9"/>
    <n v="1"/>
    <n v="0.31518478419251655"/>
    <n v="1"/>
    <n v="72.25"/>
    <n v="72.25"/>
    <n v="1.4922443911391585"/>
    <n v="1704.0531163458429"/>
    <n v="1"/>
    <n v="0"/>
    <n v="0"/>
    <n v="0"/>
    <n v="0"/>
    <n v="0"/>
    <n v="0"/>
    <n v="0"/>
    <n v="0"/>
    <n v="0"/>
  </r>
  <r>
    <d v="2012-09-01T00:00:00"/>
    <n v="2012"/>
    <x v="24"/>
    <s v="R"/>
    <s v="RS"/>
    <x v="8"/>
    <s v="IND"/>
    <s v="A"/>
    <n v="3"/>
    <n v="1"/>
    <n v="2"/>
    <n v="-2"/>
    <n v="16"/>
    <n v="-16"/>
    <n v="1418.6724022748456"/>
    <n v="1595.1545043612568"/>
    <n v="0.21160987116201982"/>
    <n v="64"/>
    <n v="81"/>
    <n v="0"/>
    <n v="-17"/>
    <n v="0"/>
    <n v="0.46417638262781186"/>
    <n v="1"/>
    <n v="72.25"/>
    <n v="72.25"/>
    <n v="-7.096706001882386"/>
    <n v="1411.5756962729631"/>
    <n v="0"/>
    <n v="1"/>
    <n v="0"/>
    <n v="0"/>
    <n v="0"/>
    <n v="0"/>
    <n v="0"/>
    <n v="0"/>
    <n v="0"/>
    <n v="0"/>
  </r>
  <r>
    <d v="2012-09-01T00:00:00"/>
    <n v="2012"/>
    <x v="24"/>
    <s v="R"/>
    <s v="RS"/>
    <x v="3"/>
    <s v="CHI"/>
    <s v="H"/>
    <n v="1"/>
    <n v="3"/>
    <n v="-2"/>
    <n v="2"/>
    <n v="-16"/>
    <n v="16"/>
    <n v="1595.1545043612568"/>
    <n v="1418.6724022748456"/>
    <n v="0.7883901288379801"/>
    <n v="81"/>
    <n v="64"/>
    <n v="0"/>
    <n v="17"/>
    <n v="1"/>
    <n v="0.46417638262781186"/>
    <n v="1"/>
    <n v="72.25"/>
    <n v="72.25"/>
    <n v="7.0967060018823886"/>
    <n v="1602.2512103631393"/>
    <n v="1"/>
    <n v="0"/>
    <n v="0"/>
    <n v="0"/>
    <n v="0"/>
    <n v="0"/>
    <n v="0"/>
    <n v="0"/>
    <n v="0"/>
    <n v="0"/>
  </r>
  <r>
    <d v="2012-09-01T00:00:00"/>
    <n v="2012"/>
    <x v="25"/>
    <s v="R"/>
    <s v="RS"/>
    <x v="9"/>
    <s v="NYL"/>
    <s v="A"/>
    <n v="1"/>
    <n v="1"/>
    <n v="0"/>
    <n v="0"/>
    <n v="0"/>
    <n v="0"/>
    <n v="1331.4851293016438"/>
    <n v="1449.551734175529"/>
    <n v="0.23808833192724979"/>
    <n v="73"/>
    <n v="79"/>
    <n v="0"/>
    <n v="-6"/>
    <n v="0"/>
    <n v="0.31981457670686025"/>
    <n v="1"/>
    <n v="72.099999999999994"/>
    <n v="72.099999999999994"/>
    <n v="-5.4899909866886354"/>
    <n v="1325.9951383149553"/>
    <n v="0"/>
    <n v="1"/>
    <n v="0"/>
    <n v="0"/>
    <n v="0"/>
    <n v="0"/>
    <n v="0"/>
    <n v="0"/>
    <n v="0"/>
    <n v="0"/>
  </r>
  <r>
    <d v="2012-09-01T00:00:00"/>
    <n v="2012"/>
    <x v="25"/>
    <s v="R"/>
    <s v="RS"/>
    <x v="5"/>
    <s v="WAS"/>
    <s v="H"/>
    <n v="1"/>
    <n v="1"/>
    <n v="0"/>
    <n v="0"/>
    <n v="0"/>
    <n v="0"/>
    <n v="1449.551734175529"/>
    <n v="1331.4851293016438"/>
    <n v="0.76191166807275024"/>
    <n v="79"/>
    <n v="73"/>
    <n v="0"/>
    <n v="6"/>
    <n v="1"/>
    <n v="0.31981457670686025"/>
    <n v="1"/>
    <n v="72.099999999999994"/>
    <n v="72.099999999999994"/>
    <n v="5.4899909866886345"/>
    <n v="1455.0417251622175"/>
    <n v="1"/>
    <n v="0"/>
    <n v="0"/>
    <n v="0"/>
    <n v="0"/>
    <n v="0"/>
    <n v="0"/>
    <n v="0"/>
    <n v="0"/>
    <n v="0"/>
  </r>
  <r>
    <d v="2012-09-01T00:00:00"/>
    <n v="2012"/>
    <x v="25"/>
    <s v="R"/>
    <s v="RS"/>
    <x v="6"/>
    <s v="PHX"/>
    <s v="A"/>
    <n v="1"/>
    <n v="1"/>
    <n v="0"/>
    <n v="0"/>
    <n v="0"/>
    <n v="0"/>
    <n v="1607.14711825367"/>
    <n v="1334.9547778461017"/>
    <n v="0.74712216273313259"/>
    <n v="90"/>
    <n v="94"/>
    <n v="0"/>
    <n v="-4"/>
    <n v="0"/>
    <n v="0.25385221185242213"/>
    <n v="1"/>
    <n v="72.099999999999994"/>
    <n v="72.099999999999994"/>
    <n v="-13.674386035784886"/>
    <n v="1593.4727322178851"/>
    <n v="0"/>
    <n v="1"/>
    <n v="0"/>
    <n v="0"/>
    <n v="0"/>
    <n v="0"/>
    <n v="0"/>
    <n v="0"/>
    <n v="0"/>
    <n v="0"/>
  </r>
  <r>
    <d v="2012-09-01T00:00:00"/>
    <n v="2012"/>
    <x v="24"/>
    <s v="R"/>
    <s v="RS"/>
    <x v="10"/>
    <s v="SAS"/>
    <s v="H"/>
    <n v="1"/>
    <n v="1"/>
    <n v="0"/>
    <n v="0"/>
    <n v="0"/>
    <n v="0"/>
    <n v="1334.9547778461017"/>
    <n v="1607.14711825367"/>
    <n v="0.25287783726686736"/>
    <n v="94"/>
    <n v="90"/>
    <n v="0"/>
    <n v="4"/>
    <n v="1"/>
    <n v="0.25385221185242213"/>
    <n v="1"/>
    <n v="72.25"/>
    <n v="72.25"/>
    <n v="13.702834827814954"/>
    <n v="1348.6576126739167"/>
    <n v="1"/>
    <n v="0"/>
    <n v="0"/>
    <n v="0"/>
    <n v="0"/>
    <n v="0"/>
    <n v="0"/>
    <n v="0"/>
    <n v="0"/>
    <n v="0"/>
  </r>
  <r>
    <d v="2012-09-02T00:00:00"/>
    <n v="2012"/>
    <x v="25"/>
    <s v="R"/>
    <s v="RS"/>
    <x v="4"/>
    <s v="ATL"/>
    <s v="A"/>
    <n v="2"/>
    <n v="2"/>
    <n v="0"/>
    <n v="0"/>
    <n v="0"/>
    <n v="0"/>
    <n v="1608.890089492435"/>
    <n v="1532.1680304718061"/>
    <n v="0.48952773270108008"/>
    <n v="80"/>
    <n v="87"/>
    <n v="0"/>
    <n v="-7"/>
    <n v="0"/>
    <n v="0.34786632207582768"/>
    <n v="1"/>
    <n v="72.099999999999994"/>
    <n v="72.099999999999994"/>
    <n v="-12.277924280069623"/>
    <n v="1596.6121652123654"/>
    <n v="0"/>
    <n v="1"/>
    <n v="0"/>
    <n v="0"/>
    <n v="0"/>
    <n v="0"/>
    <n v="0"/>
    <n v="0"/>
    <n v="0"/>
    <n v="0"/>
  </r>
  <r>
    <d v="2012-09-02T00:00:00"/>
    <n v="2012"/>
    <x v="26"/>
    <s v="R"/>
    <s v="RS"/>
    <x v="2"/>
    <s v="CON"/>
    <s v="H"/>
    <n v="2"/>
    <n v="2"/>
    <n v="0"/>
    <n v="0"/>
    <n v="0"/>
    <n v="0"/>
    <n v="1532.1680304718061"/>
    <n v="1608.890089492435"/>
    <n v="0.51047226729891992"/>
    <n v="87"/>
    <n v="80"/>
    <n v="0"/>
    <n v="7"/>
    <n v="1"/>
    <n v="0.34786632207582768"/>
    <n v="1"/>
    <n v="71.95"/>
    <n v="71.95"/>
    <n v="12.252380748280299"/>
    <n v="1544.4204112200864"/>
    <n v="1"/>
    <n v="0"/>
    <n v="0"/>
    <n v="0"/>
    <n v="0"/>
    <n v="0"/>
    <n v="0"/>
    <n v="0"/>
    <n v="0"/>
    <n v="0"/>
  </r>
  <r>
    <d v="2012-09-02T00:00:00"/>
    <n v="2012"/>
    <x v="26"/>
    <s v="R"/>
    <s v="RS"/>
    <x v="0"/>
    <s v="CHI"/>
    <s v="A"/>
    <n v="2"/>
    <n v="0"/>
    <n v="2"/>
    <n v="-2"/>
    <n v="16"/>
    <n v="-16"/>
    <n v="1601.0895349370328"/>
    <n v="1411.5756962729631"/>
    <n v="0.68817333787399992"/>
    <n v="74"/>
    <n v="85"/>
    <n v="0"/>
    <n v="-11"/>
    <n v="0"/>
    <n v="0.37984736072625752"/>
    <n v="1"/>
    <n v="71.95"/>
    <n v="71.95"/>
    <n v="-18.807789438874813"/>
    <n v="1582.281745498158"/>
    <n v="0"/>
    <n v="1"/>
    <n v="0"/>
    <n v="0"/>
    <n v="0"/>
    <n v="0"/>
    <n v="0"/>
    <n v="0"/>
    <n v="0"/>
    <n v="0"/>
  </r>
  <r>
    <d v="2012-09-02T00:00:00"/>
    <n v="2012"/>
    <x v="25"/>
    <s v="R"/>
    <s v="RS"/>
    <x v="8"/>
    <s v="LAS"/>
    <s v="H"/>
    <n v="0"/>
    <n v="2"/>
    <n v="-2"/>
    <n v="2"/>
    <n v="-16"/>
    <n v="16"/>
    <n v="1411.5756962729631"/>
    <n v="1601.0895349370328"/>
    <n v="0.31182666212600013"/>
    <n v="85"/>
    <n v="74"/>
    <n v="0"/>
    <n v="11"/>
    <n v="1"/>
    <n v="0.37984736072625752"/>
    <n v="1"/>
    <n v="72.099999999999994"/>
    <n v="72.099999999999994"/>
    <n v="18.846999562791851"/>
    <n v="1430.4226958357549"/>
    <n v="1"/>
    <n v="0"/>
    <n v="0"/>
    <n v="0"/>
    <n v="0"/>
    <n v="0"/>
    <n v="0"/>
    <n v="0"/>
    <n v="0"/>
    <n v="0"/>
  </r>
  <r>
    <d v="2012-09-04T00:00:00"/>
    <n v="2012"/>
    <x v="27"/>
    <s v="R"/>
    <s v="RS"/>
    <x v="0"/>
    <s v="MIN"/>
    <s v="A"/>
    <n v="1"/>
    <n v="3"/>
    <n v="-2"/>
    <n v="2"/>
    <n v="-16"/>
    <n v="16"/>
    <n v="1582.281745498158"/>
    <n v="1704.0531163458429"/>
    <n v="0.20282639935139998"/>
    <n v="77"/>
    <n v="88"/>
    <n v="0"/>
    <n v="-11"/>
    <n v="0"/>
    <n v="0.39931502221194609"/>
    <n v="1"/>
    <n v="71.8"/>
    <n v="71.8"/>
    <n v="-5.8151989020440453"/>
    <n v="1576.4665465961139"/>
    <n v="0"/>
    <n v="1"/>
    <n v="0"/>
    <n v="0"/>
    <n v="0"/>
    <n v="0"/>
    <n v="0"/>
    <n v="0"/>
    <n v="0"/>
    <n v="0"/>
  </r>
  <r>
    <d v="2012-09-04T00:00:00"/>
    <n v="2012"/>
    <x v="25"/>
    <s v="R"/>
    <s v="RS"/>
    <x v="11"/>
    <s v="LAS"/>
    <s v="H"/>
    <n v="3"/>
    <n v="1"/>
    <n v="2"/>
    <n v="-2"/>
    <n v="16"/>
    <n v="-16"/>
    <n v="1704.0531163458429"/>
    <n v="1582.281745498158"/>
    <n v="0.79717360064859999"/>
    <n v="88"/>
    <n v="77"/>
    <n v="0"/>
    <n v="11"/>
    <n v="1"/>
    <n v="0.39931502221194609"/>
    <n v="1"/>
    <n v="72.099999999999994"/>
    <n v="72.099999999999994"/>
    <n v="5.8394963904926973"/>
    <n v="1709.8926127363356"/>
    <n v="1"/>
    <n v="0"/>
    <n v="0"/>
    <n v="0"/>
    <n v="0"/>
    <n v="0"/>
    <n v="0"/>
    <n v="0"/>
    <n v="0"/>
    <n v="0"/>
  </r>
  <r>
    <d v="2012-09-04T00:00:00"/>
    <n v="2012"/>
    <x v="26"/>
    <s v="R"/>
    <s v="RS"/>
    <x v="4"/>
    <s v="WAS"/>
    <s v="A"/>
    <n v="1"/>
    <n v="2"/>
    <n v="-1"/>
    <n v="1"/>
    <n v="-8"/>
    <n v="8"/>
    <n v="1596.6121652123654"/>
    <n v="1325.9951383149553"/>
    <n v="0.72753472535436592"/>
    <n v="77"/>
    <n v="70"/>
    <n v="0"/>
    <n v="7"/>
    <n v="1"/>
    <n v="0.30200154007571289"/>
    <n v="1"/>
    <n v="71.95"/>
    <n v="71.95"/>
    <n v="5.9204008977016116"/>
    <n v="1602.5325661100671"/>
    <n v="1"/>
    <n v="0"/>
    <n v="0"/>
    <n v="0"/>
    <n v="0"/>
    <n v="0"/>
    <n v="0"/>
    <n v="0"/>
    <n v="0"/>
    <n v="0"/>
  </r>
  <r>
    <d v="2012-09-04T00:00:00"/>
    <n v="2012"/>
    <x v="26"/>
    <s v="R"/>
    <s v="RS"/>
    <x v="9"/>
    <s v="CON"/>
    <s v="H"/>
    <n v="2"/>
    <n v="1"/>
    <n v="1"/>
    <n v="-1"/>
    <n v="8"/>
    <n v="-8"/>
    <n v="1325.9951383149553"/>
    <n v="1596.6121652123654"/>
    <n v="0.27246527464563403"/>
    <n v="70"/>
    <n v="77"/>
    <n v="0"/>
    <n v="-7"/>
    <n v="0"/>
    <n v="0.30200154007571289"/>
    <n v="1"/>
    <n v="71.95"/>
    <n v="71.95"/>
    <n v="-5.9204008977016107"/>
    <n v="1320.0747374172536"/>
    <n v="0"/>
    <n v="1"/>
    <n v="0"/>
    <n v="0"/>
    <n v="0"/>
    <n v="0"/>
    <n v="0"/>
    <n v="0"/>
    <n v="0"/>
    <n v="0"/>
  </r>
  <r>
    <d v="2012-09-05T00:00:00"/>
    <n v="2012"/>
    <x v="25"/>
    <s v="R"/>
    <s v="RS"/>
    <x v="3"/>
    <s v="ATL"/>
    <s v="A"/>
    <n v="3"/>
    <n v="2"/>
    <n v="1"/>
    <n v="-1"/>
    <n v="8"/>
    <n v="-8"/>
    <n v="1602.2512103631393"/>
    <n v="1544.4204112200864"/>
    <n v="0.48536952126468991"/>
    <n v="64"/>
    <n v="71"/>
    <n v="0"/>
    <n v="-7"/>
    <n v="0"/>
    <n v="0.35309089846358049"/>
    <n v="1"/>
    <n v="72.099999999999994"/>
    <n v="72.099999999999994"/>
    <n v="-12.356466301248503"/>
    <n v="1589.8947440618908"/>
    <n v="0"/>
    <n v="1"/>
    <n v="0"/>
    <n v="0"/>
    <n v="0"/>
    <n v="0"/>
    <n v="0"/>
    <n v="0"/>
    <n v="0"/>
    <n v="0"/>
  </r>
  <r>
    <d v="2012-09-05T00:00:00"/>
    <n v="2012"/>
    <x v="27"/>
    <s v="R"/>
    <s v="RS"/>
    <x v="2"/>
    <s v="IND"/>
    <s v="H"/>
    <n v="2"/>
    <n v="3"/>
    <n v="-1"/>
    <n v="1"/>
    <n v="-8"/>
    <n v="8"/>
    <n v="1544.4204112200864"/>
    <n v="1602.2512103631393"/>
    <n v="0.51463047873531009"/>
    <n v="71"/>
    <n v="64"/>
    <n v="0"/>
    <n v="7"/>
    <n v="1"/>
    <n v="0.35309089846358049"/>
    <n v="1"/>
    <n v="71.8"/>
    <n v="71.8"/>
    <n v="12.305052433143448"/>
    <n v="1556.7254636532298"/>
    <n v="1"/>
    <n v="0"/>
    <n v="0"/>
    <n v="0"/>
    <n v="0"/>
    <n v="0"/>
    <n v="0"/>
    <n v="0"/>
    <n v="0"/>
    <n v="0"/>
  </r>
  <r>
    <d v="2012-09-05T00:00:00"/>
    <n v="2012"/>
    <x v="25"/>
    <s v="R"/>
    <s v="RS"/>
    <x v="10"/>
    <s v="NYL"/>
    <s v="A"/>
    <n v="3"/>
    <n v="3"/>
    <n v="0"/>
    <n v="0"/>
    <n v="0"/>
    <n v="0"/>
    <n v="1348.6576126739167"/>
    <n v="1455.0417251622175"/>
    <n v="0.25050156745487856"/>
    <n v="59"/>
    <n v="87"/>
    <n v="0"/>
    <n v="-28"/>
    <n v="0"/>
    <n v="0.62378865778848835"/>
    <n v="1"/>
    <n v="72.099999999999994"/>
    <n v="72.099999999999994"/>
    <n v="-11.266348634288223"/>
    <n v="1337.3912640396284"/>
    <n v="0"/>
    <n v="1"/>
    <n v="0"/>
    <n v="0"/>
    <n v="0"/>
    <n v="0"/>
    <n v="0"/>
    <n v="0"/>
    <n v="0"/>
    <n v="0"/>
  </r>
  <r>
    <d v="2012-09-05T00:00:00"/>
    <n v="2012"/>
    <x v="26"/>
    <s v="R"/>
    <s v="RS"/>
    <x v="5"/>
    <s v="PHX"/>
    <s v="H"/>
    <n v="3"/>
    <n v="3"/>
    <n v="0"/>
    <n v="0"/>
    <n v="0"/>
    <n v="0"/>
    <n v="1455.0417251622175"/>
    <n v="1348.6576126739167"/>
    <n v="0.74949843254512138"/>
    <n v="87"/>
    <n v="59"/>
    <n v="0"/>
    <n v="28"/>
    <n v="1"/>
    <n v="0.62378865778848835"/>
    <n v="1"/>
    <n v="71.95"/>
    <n v="71.95"/>
    <n v="11.242909628807737"/>
    <n v="1466.2846347910252"/>
    <n v="1"/>
    <n v="0"/>
    <n v="0"/>
    <n v="0"/>
    <n v="0"/>
    <n v="0"/>
    <n v="0"/>
    <n v="0"/>
    <n v="0"/>
    <n v="0"/>
  </r>
  <r>
    <d v="2012-09-06T00:00:00"/>
    <n v="2012"/>
    <x v="26"/>
    <s v="R"/>
    <s v="RS"/>
    <x v="7"/>
    <s v="SEA"/>
    <s v="A"/>
    <n v="5"/>
    <n v="6"/>
    <n v="-1"/>
    <n v="1"/>
    <n v="-8"/>
    <n v="8"/>
    <n v="1355.4202316378264"/>
    <n v="1470.6250520742651"/>
    <n v="0.22464170486473325"/>
    <n v="74"/>
    <n v="101"/>
    <n v="0"/>
    <n v="-27"/>
    <n v="0"/>
    <n v="0.60827027666650968"/>
    <n v="1"/>
    <n v="71.95"/>
    <n v="71.95"/>
    <n v="-9.83145463816291"/>
    <n v="1345.5887769996634"/>
    <n v="0"/>
    <n v="1"/>
    <n v="0"/>
    <n v="0"/>
    <n v="0"/>
    <n v="0"/>
    <n v="0"/>
    <n v="0"/>
    <n v="0"/>
    <n v="0"/>
  </r>
  <r>
    <d v="2012-09-06T00:00:00"/>
    <n v="2012"/>
    <x v="25"/>
    <s v="R"/>
    <s v="RS"/>
    <x v="1"/>
    <s v="TUL"/>
    <s v="H"/>
    <n v="6"/>
    <n v="5"/>
    <n v="1"/>
    <n v="-1"/>
    <n v="8"/>
    <n v="-8"/>
    <n v="1470.6250520742651"/>
    <n v="1355.4202316378264"/>
    <n v="0.77535829513526677"/>
    <n v="101"/>
    <n v="74"/>
    <n v="0"/>
    <n v="27"/>
    <n v="1"/>
    <n v="0.60827027666650968"/>
    <n v="1"/>
    <n v="72.099999999999994"/>
    <n v="72.099999999999994"/>
    <n v="9.8519510689582432"/>
    <n v="1480.4770031432233"/>
    <n v="1"/>
    <n v="0"/>
    <n v="0"/>
    <n v="0"/>
    <n v="0"/>
    <n v="0"/>
    <n v="0"/>
    <n v="0"/>
    <n v="0"/>
    <n v="0"/>
  </r>
  <r>
    <d v="2012-09-07T00:00:00"/>
    <n v="2012"/>
    <x v="26"/>
    <s v="R"/>
    <s v="RS"/>
    <x v="10"/>
    <s v="CON"/>
    <s v="A"/>
    <n v="1"/>
    <n v="2"/>
    <n v="-1"/>
    <n v="1"/>
    <n v="-8"/>
    <n v="8"/>
    <n v="1337.3912640396284"/>
    <n v="1602.5325661100671"/>
    <n v="0.10891012440895637"/>
    <n v="91"/>
    <n v="82"/>
    <n v="0"/>
    <n v="9"/>
    <n v="1"/>
    <n v="0.33250433380607147"/>
    <n v="1"/>
    <n v="71.95"/>
    <n v="71.95"/>
    <n v="21.318155109748691"/>
    <n v="1358.709419149377"/>
    <n v="1"/>
    <n v="0"/>
    <n v="0"/>
    <n v="0"/>
    <n v="0"/>
    <n v="0"/>
    <n v="0"/>
    <n v="0"/>
    <n v="0"/>
    <n v="0"/>
  </r>
  <r>
    <d v="2012-09-07T00:00:00"/>
    <n v="2012"/>
    <x v="27"/>
    <s v="R"/>
    <s v="RS"/>
    <x v="4"/>
    <s v="PHX"/>
    <s v="H"/>
    <n v="2"/>
    <n v="1"/>
    <n v="1"/>
    <n v="-1"/>
    <n v="8"/>
    <n v="-8"/>
    <n v="1602.5325661100671"/>
    <n v="1337.3912640396284"/>
    <n v="0.89108987559104358"/>
    <n v="82"/>
    <n v="91"/>
    <n v="0"/>
    <n v="-9"/>
    <n v="0"/>
    <n v="0.33250433380607147"/>
    <n v="1"/>
    <n v="71.8"/>
    <n v="71.8"/>
    <n v="-21.273711422931978"/>
    <n v="1581.2588546871352"/>
    <n v="0"/>
    <n v="1"/>
    <n v="0"/>
    <n v="0"/>
    <n v="0"/>
    <n v="0"/>
    <n v="0"/>
    <n v="0"/>
    <n v="0"/>
    <n v="0"/>
  </r>
  <r>
    <d v="2012-09-07T00:00:00"/>
    <n v="2012"/>
    <x v="28"/>
    <s v="R"/>
    <s v="RS"/>
    <x v="2"/>
    <s v="MIN"/>
    <s v="A"/>
    <n v="1"/>
    <n v="2"/>
    <n v="-1"/>
    <n v="1"/>
    <n v="-8"/>
    <n v="8"/>
    <n v="1556.7254636532298"/>
    <n v="1709.8926127363356"/>
    <n v="0.1888733904059951"/>
    <n v="93"/>
    <n v="97"/>
    <n v="1"/>
    <n v="-4"/>
    <n v="0"/>
    <n v="0.24856304997065271"/>
    <n v="1"/>
    <n v="71.650000000000006"/>
    <n v="71.650000000000006"/>
    <n v="-3.3637486792958966"/>
    <n v="1553.3617149739339"/>
    <n v="0"/>
    <n v="1"/>
    <n v="0"/>
    <n v="0"/>
    <n v="0"/>
    <n v="0"/>
    <n v="0"/>
    <n v="0"/>
    <n v="0"/>
    <n v="0"/>
  </r>
  <r>
    <d v="2012-09-07T00:00:00"/>
    <n v="2012"/>
    <x v="26"/>
    <s v="R"/>
    <s v="RS"/>
    <x v="11"/>
    <s v="ATL"/>
    <s v="H"/>
    <n v="2"/>
    <n v="1"/>
    <n v="1"/>
    <n v="-1"/>
    <n v="8"/>
    <n v="-8"/>
    <n v="1709.8926127363356"/>
    <n v="1556.7254636532298"/>
    <n v="0.81112660959400484"/>
    <n v="97"/>
    <n v="93"/>
    <n v="1"/>
    <n v="4"/>
    <n v="1"/>
    <n v="0.24856304997065271"/>
    <n v="1"/>
    <n v="71.95"/>
    <n v="71.95"/>
    <n v="3.3778327630891813"/>
    <n v="1713.2704454994248"/>
    <n v="1"/>
    <n v="0"/>
    <n v="0"/>
    <n v="0"/>
    <n v="0"/>
    <n v="0"/>
    <n v="0"/>
    <n v="0"/>
    <n v="0"/>
    <n v="0"/>
  </r>
  <r>
    <d v="2012-09-07T00:00:00"/>
    <n v="2012"/>
    <x v="26"/>
    <s v="R"/>
    <s v="RS"/>
    <x v="8"/>
    <s v="NYL"/>
    <s v="A"/>
    <n v="4"/>
    <n v="1"/>
    <n v="3"/>
    <n v="-3"/>
    <n v="16"/>
    <n v="-16"/>
    <n v="1430.4226958357549"/>
    <n v="1466.2846347910252"/>
    <n v="0.37618472524615221"/>
    <n v="92"/>
    <n v="83"/>
    <n v="0"/>
    <n v="9"/>
    <n v="1"/>
    <n v="0.39419114483654594"/>
    <n v="1"/>
    <n v="71.95"/>
    <n v="71.95"/>
    <n v="17.692681804299461"/>
    <n v="1448.1153776400542"/>
    <n v="1"/>
    <n v="0"/>
    <n v="0"/>
    <n v="0"/>
    <n v="0"/>
    <n v="0"/>
    <n v="0"/>
    <n v="0"/>
    <n v="0"/>
    <n v="0"/>
  </r>
  <r>
    <d v="2012-09-07T00:00:00"/>
    <n v="2012"/>
    <x v="27"/>
    <s v="R"/>
    <s v="RS"/>
    <x v="5"/>
    <s v="CHI"/>
    <s v="H"/>
    <n v="1"/>
    <n v="4"/>
    <n v="-3"/>
    <n v="3"/>
    <n v="-16"/>
    <n v="16"/>
    <n v="1466.2846347910252"/>
    <n v="1430.4226958357549"/>
    <n v="0.62381527475384779"/>
    <n v="83"/>
    <n v="92"/>
    <n v="0"/>
    <n v="-9"/>
    <n v="0"/>
    <n v="0.39419114483654594"/>
    <n v="1"/>
    <n v="71.8"/>
    <n v="71.8"/>
    <n v="-17.655796435701198"/>
    <n v="1448.628838355324"/>
    <n v="0"/>
    <n v="1"/>
    <n v="0"/>
    <n v="0"/>
    <n v="0"/>
    <n v="0"/>
    <n v="0"/>
    <n v="0"/>
    <n v="0"/>
    <n v="0"/>
  </r>
  <r>
    <d v="2012-09-07T00:00:00"/>
    <n v="2012"/>
    <x v="26"/>
    <s v="R"/>
    <s v="RS"/>
    <x v="3"/>
    <s v="SAS"/>
    <s v="A"/>
    <n v="1"/>
    <n v="5"/>
    <n v="-4"/>
    <n v="4"/>
    <n v="-16"/>
    <n v="16"/>
    <n v="1589.8947440618908"/>
    <n v="1593.4727322178851"/>
    <n v="0.33440106299369271"/>
    <n v="82"/>
    <n v="78"/>
    <n v="0"/>
    <n v="4"/>
    <n v="1"/>
    <n v="0.31050690986566787"/>
    <n v="1"/>
    <n v="71.95"/>
    <n v="71.95"/>
    <n v="14.870127324601546"/>
    <n v="1604.7648713864924"/>
    <n v="1"/>
    <n v="0"/>
    <n v="0"/>
    <n v="0"/>
    <n v="0"/>
    <n v="0"/>
    <n v="0"/>
    <n v="0"/>
    <n v="0"/>
    <n v="0"/>
  </r>
  <r>
    <d v="2012-09-07T00:00:00"/>
    <n v="2012"/>
    <x v="26"/>
    <s v="R"/>
    <s v="RS"/>
    <x v="6"/>
    <s v="IND"/>
    <s v="H"/>
    <n v="5"/>
    <n v="1"/>
    <n v="4"/>
    <n v="-4"/>
    <n v="16"/>
    <n v="-16"/>
    <n v="1593.4727322178851"/>
    <n v="1589.8947440618908"/>
    <n v="0.66559893700630735"/>
    <n v="78"/>
    <n v="82"/>
    <n v="0"/>
    <n v="-4"/>
    <n v="0"/>
    <n v="0.31050690986566787"/>
    <n v="1"/>
    <n v="71.95"/>
    <n v="71.95"/>
    <n v="-14.870127324601546"/>
    <n v="1578.6026048932836"/>
    <n v="0"/>
    <n v="1"/>
    <n v="0"/>
    <n v="0"/>
    <n v="0"/>
    <n v="0"/>
    <n v="0"/>
    <n v="0"/>
    <n v="0"/>
    <n v="0"/>
  </r>
  <r>
    <d v="2012-09-07T00:00:00"/>
    <n v="2012"/>
    <x v="28"/>
    <s v="R"/>
    <s v="RS"/>
    <x v="0"/>
    <s v="WAS"/>
    <s v="A"/>
    <n v="2"/>
    <n v="2"/>
    <n v="0"/>
    <n v="0"/>
    <n v="0"/>
    <n v="0"/>
    <n v="1576.4665465961139"/>
    <n v="1320.0747374172536"/>
    <n v="0.72955520048860578"/>
    <n v="96"/>
    <n v="68"/>
    <n v="0"/>
    <n v="28"/>
    <n v="1"/>
    <n v="0.55953870857371979"/>
    <n v="1"/>
    <n v="71.650000000000006"/>
    <n v="71.650000000000006"/>
    <n v="10.842388521003375"/>
    <n v="1587.3089351171172"/>
    <n v="1"/>
    <n v="0"/>
    <n v="0"/>
    <n v="0"/>
    <n v="0"/>
    <n v="0"/>
    <n v="0"/>
    <n v="0"/>
    <n v="0"/>
    <n v="0"/>
  </r>
  <r>
    <d v="2012-09-07T00:00:00"/>
    <n v="2012"/>
    <x v="27"/>
    <s v="R"/>
    <s v="RS"/>
    <x v="9"/>
    <s v="LAS"/>
    <s v="H"/>
    <n v="2"/>
    <n v="2"/>
    <n v="0"/>
    <n v="0"/>
    <n v="0"/>
    <n v="0"/>
    <n v="1320.0747374172536"/>
    <n v="1576.4665465961139"/>
    <n v="0.27044479951139427"/>
    <n v="68"/>
    <n v="96"/>
    <n v="0"/>
    <n v="-28"/>
    <n v="0"/>
    <n v="0.55953870857371979"/>
    <n v="1"/>
    <n v="71.8"/>
    <n v="71.8"/>
    <n v="-10.865087171082239"/>
    <n v="1309.2096502461713"/>
    <n v="0"/>
    <n v="1"/>
    <n v="0"/>
    <n v="0"/>
    <n v="0"/>
    <n v="0"/>
    <n v="0"/>
    <n v="0"/>
    <n v="0"/>
    <n v="0"/>
  </r>
  <r>
    <d v="2012-09-08T00:00:00"/>
    <n v="2012"/>
    <x v="26"/>
    <s v="R"/>
    <s v="RS"/>
    <x v="1"/>
    <s v="TUL"/>
    <s v="A"/>
    <n v="1"/>
    <n v="1"/>
    <n v="0"/>
    <n v="0"/>
    <n v="0"/>
    <n v="0"/>
    <n v="1480.4770031432233"/>
    <n v="1345.5887769996634"/>
    <n v="0.57271480531379093"/>
    <n v="89"/>
    <n v="66"/>
    <n v="0"/>
    <n v="23"/>
    <n v="1"/>
    <n v="0.55315891519063465"/>
    <n v="1"/>
    <n v="71.95"/>
    <n v="71.95"/>
    <n v="17.00585843267578"/>
    <n v="1497.4828615758991"/>
    <n v="1"/>
    <n v="0"/>
    <n v="0"/>
    <n v="0"/>
    <n v="0"/>
    <n v="0"/>
    <n v="0"/>
    <n v="0"/>
    <n v="0"/>
    <n v="0"/>
  </r>
  <r>
    <d v="2012-09-08T00:00:00"/>
    <n v="2012"/>
    <x v="27"/>
    <s v="R"/>
    <s v="RS"/>
    <x v="7"/>
    <s v="SEA"/>
    <s v="H"/>
    <n v="1"/>
    <n v="1"/>
    <n v="0"/>
    <n v="0"/>
    <n v="0"/>
    <n v="0"/>
    <n v="1345.5887769996634"/>
    <n v="1480.4770031432233"/>
    <n v="0.42728519468620912"/>
    <n v="66"/>
    <n v="89"/>
    <n v="0"/>
    <n v="-23"/>
    <n v="0"/>
    <n v="0.55315891519063465"/>
    <n v="1"/>
    <n v="71.8"/>
    <n v="71.8"/>
    <n v="-16.970404940460337"/>
    <n v="1328.618372059203"/>
    <n v="0"/>
    <n v="1"/>
    <n v="0"/>
    <n v="0"/>
    <n v="0"/>
    <n v="0"/>
    <n v="0"/>
    <n v="0"/>
    <n v="0"/>
    <n v="0"/>
  </r>
  <r>
    <d v="2012-09-09T00:00:00"/>
    <n v="2012"/>
    <x v="28"/>
    <s v="R"/>
    <s v="RS"/>
    <x v="9"/>
    <s v="ATL"/>
    <s v="A"/>
    <n v="1"/>
    <n v="1"/>
    <n v="0"/>
    <n v="0"/>
    <n v="0"/>
    <n v="0"/>
    <n v="1309.2096502461713"/>
    <n v="1553.3617149739339"/>
    <n v="0.13135908639718477"/>
    <n v="68"/>
    <n v="93"/>
    <n v="0"/>
    <n v="-25"/>
    <n v="0"/>
    <n v="0.5329173103510314"/>
    <n v="1"/>
    <n v="71.650000000000006"/>
    <n v="71.650000000000006"/>
    <n v="-5.015752997078331"/>
    <n v="1304.193897249093"/>
    <n v="0"/>
    <n v="1"/>
    <n v="0"/>
    <n v="0"/>
    <n v="0"/>
    <n v="0"/>
    <n v="0"/>
    <n v="0"/>
    <n v="0"/>
    <n v="0"/>
  </r>
  <r>
    <d v="2012-09-09T00:00:00"/>
    <n v="2012"/>
    <x v="29"/>
    <s v="R"/>
    <s v="RS"/>
    <x v="2"/>
    <s v="WAS"/>
    <s v="H"/>
    <n v="1"/>
    <n v="1"/>
    <n v="0"/>
    <n v="0"/>
    <n v="0"/>
    <n v="0"/>
    <n v="1553.3617149739339"/>
    <n v="1309.2096502461713"/>
    <n v="0.86864091360281526"/>
    <n v="93"/>
    <n v="68"/>
    <n v="0"/>
    <n v="25"/>
    <n v="1"/>
    <n v="0.5329173103510314"/>
    <n v="1"/>
    <n v="71.5"/>
    <n v="71.5"/>
    <n v="5.005252467426387"/>
    <n v="1558.3669674413602"/>
    <n v="1"/>
    <n v="0"/>
    <n v="0"/>
    <n v="0"/>
    <n v="0"/>
    <n v="0"/>
    <n v="0"/>
    <n v="0"/>
    <n v="0"/>
    <n v="0"/>
  </r>
  <r>
    <d v="2012-09-09T00:00:00"/>
    <n v="2012"/>
    <x v="27"/>
    <s v="R"/>
    <s v="RS"/>
    <x v="8"/>
    <s v="CON"/>
    <s v="A"/>
    <n v="1"/>
    <n v="1"/>
    <n v="0"/>
    <n v="0"/>
    <n v="0"/>
    <n v="0"/>
    <n v="1448.1153776400542"/>
    <n v="1581.2588546871352"/>
    <n v="0.22270388947052938"/>
    <n v="77"/>
    <n v="82"/>
    <n v="0"/>
    <n v="-5"/>
    <n v="0"/>
    <n v="0.2986228994911384"/>
    <n v="1"/>
    <n v="71.8"/>
    <n v="71.8"/>
    <n v="-4.7750217502780021"/>
    <n v="1443.3403558897762"/>
    <n v="0"/>
    <n v="1"/>
    <n v="0"/>
    <n v="0"/>
    <n v="0"/>
    <n v="0"/>
    <n v="0"/>
    <n v="0"/>
    <n v="0"/>
    <n v="0"/>
  </r>
  <r>
    <d v="2012-09-09T00:00:00"/>
    <n v="2012"/>
    <x v="28"/>
    <s v="R"/>
    <s v="RS"/>
    <x v="4"/>
    <s v="CHI"/>
    <s v="H"/>
    <n v="1"/>
    <n v="1"/>
    <n v="0"/>
    <n v="0"/>
    <n v="0"/>
    <n v="0"/>
    <n v="1581.2588546871352"/>
    <n v="1448.1153776400542"/>
    <n v="0.77729611052947067"/>
    <n v="82"/>
    <n v="77"/>
    <n v="0"/>
    <n v="5"/>
    <n v="1"/>
    <n v="0.2986228994911384"/>
    <n v="1"/>
    <n v="71.650000000000006"/>
    <n v="71.650000000000006"/>
    <n v="4.7650460780977557"/>
    <n v="1586.0239007652331"/>
    <n v="1"/>
    <n v="0"/>
    <n v="0"/>
    <n v="0"/>
    <n v="0"/>
    <n v="0"/>
    <n v="0"/>
    <n v="0"/>
    <n v="0"/>
    <n v="0"/>
  </r>
  <r>
    <d v="2012-09-09T00:00:00"/>
    <n v="2012"/>
    <x v="27"/>
    <s v="R"/>
    <s v="RS"/>
    <x v="10"/>
    <s v="IND"/>
    <s v="A"/>
    <n v="1"/>
    <n v="1"/>
    <n v="0"/>
    <n v="0"/>
    <n v="0"/>
    <n v="0"/>
    <n v="1358.709419149377"/>
    <n v="1604.7648713864924"/>
    <n v="0.13011391724681828"/>
    <n v="83"/>
    <n v="89"/>
    <n v="0"/>
    <n v="-6"/>
    <n v="0"/>
    <n v="0.29150812484891414"/>
    <n v="1"/>
    <n v="71.8"/>
    <n v="71.8"/>
    <n v="-2.7233211575957355"/>
    <n v="1355.9860979917812"/>
    <n v="0"/>
    <n v="1"/>
    <n v="0"/>
    <n v="0"/>
    <n v="0"/>
    <n v="0"/>
    <n v="0"/>
    <n v="0"/>
    <n v="0"/>
    <n v="0"/>
  </r>
  <r>
    <d v="2012-09-09T00:00:00"/>
    <n v="2012"/>
    <x v="27"/>
    <s v="R"/>
    <s v="RS"/>
    <x v="3"/>
    <s v="PHX"/>
    <s v="H"/>
    <n v="1"/>
    <n v="1"/>
    <n v="0"/>
    <n v="0"/>
    <n v="0"/>
    <n v="0"/>
    <n v="1604.7648713864924"/>
    <n v="1358.709419149377"/>
    <n v="0.86988608275318169"/>
    <n v="89"/>
    <n v="83"/>
    <n v="0"/>
    <n v="6"/>
    <n v="1"/>
    <n v="0.29150812484891414"/>
    <n v="1"/>
    <n v="71.8"/>
    <n v="71.8"/>
    <n v="2.7233211575957359"/>
    <n v="1607.4881925440882"/>
    <n v="1"/>
    <n v="0"/>
    <n v="0"/>
    <n v="0"/>
    <n v="0"/>
    <n v="0"/>
    <n v="0"/>
    <n v="0"/>
    <n v="0"/>
    <n v="0"/>
  </r>
  <r>
    <d v="2012-09-09T00:00:00"/>
    <n v="2012"/>
    <x v="29"/>
    <s v="R"/>
    <s v="RS"/>
    <x v="0"/>
    <s v="NYL"/>
    <s v="A"/>
    <n v="1"/>
    <n v="1"/>
    <n v="0"/>
    <n v="0"/>
    <n v="0"/>
    <n v="0"/>
    <n v="1587.3089351171172"/>
    <n v="1448.628838355324"/>
    <n v="0.57804765669916036"/>
    <n v="71"/>
    <n v="73"/>
    <n v="0"/>
    <n v="-2"/>
    <n v="0"/>
    <n v="0.2400943927896434"/>
    <n v="1"/>
    <n v="71.5"/>
    <n v="71.5"/>
    <n v="-9.923199081414273"/>
    <n v="1577.3857360357031"/>
    <n v="0"/>
    <n v="1"/>
    <n v="0"/>
    <n v="0"/>
    <n v="0"/>
    <n v="0"/>
    <n v="0"/>
    <n v="0"/>
    <n v="0"/>
    <n v="0"/>
  </r>
  <r>
    <d v="2012-09-09T00:00:00"/>
    <n v="2012"/>
    <x v="28"/>
    <s v="R"/>
    <s v="RS"/>
    <x v="5"/>
    <s v="LAS"/>
    <s v="H"/>
    <n v="1"/>
    <n v="1"/>
    <n v="0"/>
    <n v="0"/>
    <n v="0"/>
    <n v="0"/>
    <n v="1448.628838355324"/>
    <n v="1587.3089351171172"/>
    <n v="0.42195234330083958"/>
    <n v="73"/>
    <n v="71"/>
    <n v="0"/>
    <n v="2"/>
    <n v="1"/>
    <n v="0.2400943927896434"/>
    <n v="1"/>
    <n v="71.650000000000006"/>
    <n v="71.650000000000006"/>
    <n v="9.9440169815850723"/>
    <n v="1458.572855336909"/>
    <n v="1"/>
    <n v="0"/>
    <n v="0"/>
    <n v="0"/>
    <n v="0"/>
    <n v="0"/>
    <n v="0"/>
    <n v="0"/>
    <n v="0"/>
    <n v="0"/>
  </r>
  <r>
    <d v="2012-09-09T00:00:00"/>
    <n v="2012"/>
    <x v="27"/>
    <s v="R"/>
    <s v="RS"/>
    <x v="11"/>
    <s v="SAS"/>
    <s v="A"/>
    <n v="1"/>
    <n v="1"/>
    <n v="0"/>
    <n v="0"/>
    <n v="0"/>
    <n v="0"/>
    <n v="1713.2704454994248"/>
    <n v="1578.6026048932836"/>
    <n v="0.57240432429820554"/>
    <n v="81"/>
    <n v="62"/>
    <n v="0"/>
    <n v="19"/>
    <n v="1"/>
    <n v="0.50437499637512595"/>
    <n v="1"/>
    <n v="71.8"/>
    <n v="71.8"/>
    <n v="15.485003138035648"/>
    <n v="1728.7554486374604"/>
    <n v="1"/>
    <n v="0"/>
    <n v="0"/>
    <n v="0"/>
    <n v="0"/>
    <n v="0"/>
    <n v="0"/>
    <n v="0"/>
    <n v="0"/>
    <n v="0"/>
  </r>
  <r>
    <d v="2012-09-09T00:00:00"/>
    <n v="2012"/>
    <x v="27"/>
    <s v="R"/>
    <s v="RS"/>
    <x v="6"/>
    <s v="MIN"/>
    <s v="H"/>
    <n v="1"/>
    <n v="1"/>
    <n v="0"/>
    <n v="0"/>
    <n v="0"/>
    <n v="0"/>
    <n v="1578.6026048932836"/>
    <n v="1713.2704454994248"/>
    <n v="0.42759567570179452"/>
    <n v="62"/>
    <n v="81"/>
    <n v="0"/>
    <n v="-19"/>
    <n v="0"/>
    <n v="0.50437499637512595"/>
    <n v="1"/>
    <n v="71.8"/>
    <n v="71.8"/>
    <n v="-15.485003138035649"/>
    <n v="1563.117601755248"/>
    <n v="0"/>
    <n v="1"/>
    <n v="0"/>
    <n v="0"/>
    <n v="0"/>
    <n v="0"/>
    <n v="0"/>
    <n v="0"/>
    <n v="0"/>
    <n v="0"/>
  </r>
  <r>
    <d v="2012-09-11T00:00:00"/>
    <n v="2012"/>
    <x v="27"/>
    <s v="R"/>
    <s v="RS"/>
    <x v="1"/>
    <s v="ATL"/>
    <s v="A"/>
    <n v="2"/>
    <n v="1"/>
    <n v="1"/>
    <n v="-1"/>
    <n v="8"/>
    <n v="-8"/>
    <n v="1497.4828615758991"/>
    <n v="1558.3669674413602"/>
    <n v="0.32258518880561526"/>
    <n v="61"/>
    <n v="77"/>
    <n v="0"/>
    <n v="-16"/>
    <n v="0"/>
    <n v="0.49278378230455133"/>
    <n v="1"/>
    <n v="71.8"/>
    <n v="71.8"/>
    <n v="-11.41366901087323"/>
    <n v="1486.0691925650258"/>
    <n v="0"/>
    <n v="1"/>
    <n v="0"/>
    <n v="0"/>
    <n v="0"/>
    <n v="0"/>
    <n v="0"/>
    <n v="0"/>
    <n v="0"/>
    <n v="0"/>
  </r>
  <r>
    <d v="2012-09-11T00:00:00"/>
    <n v="2012"/>
    <x v="30"/>
    <s v="R"/>
    <s v="RS"/>
    <x v="2"/>
    <s v="SEA"/>
    <s v="H"/>
    <n v="1"/>
    <n v="2"/>
    <n v="-1"/>
    <n v="1"/>
    <n v="-8"/>
    <n v="8"/>
    <n v="1558.3669674413602"/>
    <n v="1497.4828615758991"/>
    <n v="0.67741481119438474"/>
    <n v="77"/>
    <n v="61"/>
    <n v="0"/>
    <n v="16"/>
    <n v="1"/>
    <n v="0.49278378230455133"/>
    <n v="1"/>
    <n v="71.349999999999994"/>
    <n v="71.349999999999994"/>
    <n v="11.342134873618452"/>
    <n v="1569.7091023149787"/>
    <n v="1"/>
    <n v="0"/>
    <n v="0"/>
    <n v="0"/>
    <n v="0"/>
    <n v="0"/>
    <n v="0"/>
    <n v="0"/>
    <n v="0"/>
    <n v="0"/>
  </r>
  <r>
    <d v="2012-09-11T00:00:00"/>
    <n v="2012"/>
    <x v="28"/>
    <s v="R"/>
    <s v="RS"/>
    <x v="11"/>
    <s v="CHI"/>
    <s v="A"/>
    <n v="1"/>
    <n v="1"/>
    <n v="0"/>
    <n v="0"/>
    <n v="0"/>
    <n v="0"/>
    <n v="1728.7554486374604"/>
    <n v="1443.3403558897762"/>
    <n v="0.76123066788092575"/>
    <n v="70"/>
    <n v="83"/>
    <n v="0"/>
    <n v="-13"/>
    <n v="0"/>
    <n v="0.38134290511962637"/>
    <n v="1"/>
    <n v="71.650000000000006"/>
    <n v="71.650000000000006"/>
    <n v="-20.799272363597776"/>
    <n v="1707.9561762738626"/>
    <n v="0"/>
    <n v="1"/>
    <n v="0"/>
    <n v="0"/>
    <n v="0"/>
    <n v="0"/>
    <n v="0"/>
    <n v="0"/>
    <n v="0"/>
    <n v="0"/>
  </r>
  <r>
    <d v="2012-09-11T00:00:00"/>
    <n v="2012"/>
    <x v="28"/>
    <s v="R"/>
    <s v="RS"/>
    <x v="8"/>
    <s v="MIN"/>
    <s v="H"/>
    <n v="1"/>
    <n v="1"/>
    <n v="0"/>
    <n v="0"/>
    <n v="0"/>
    <n v="0"/>
    <n v="1443.3403558897762"/>
    <n v="1728.7554486374604"/>
    <n v="0.23876933211907422"/>
    <n v="83"/>
    <n v="70"/>
    <n v="0"/>
    <n v="13"/>
    <n v="1"/>
    <n v="0.38134290511962637"/>
    <n v="1"/>
    <n v="71.650000000000006"/>
    <n v="71.650000000000006"/>
    <n v="20.799272363597776"/>
    <n v="1464.139628253374"/>
    <n v="1"/>
    <n v="0"/>
    <n v="0"/>
    <n v="0"/>
    <n v="0"/>
    <n v="0"/>
    <n v="0"/>
    <n v="0"/>
    <n v="0"/>
    <n v="0"/>
  </r>
  <r>
    <d v="2012-09-12T00:00:00"/>
    <n v="2012"/>
    <x v="28"/>
    <s v="R"/>
    <s v="RS"/>
    <x v="1"/>
    <s v="IND"/>
    <s v="A"/>
    <n v="0"/>
    <n v="2"/>
    <n v="-2"/>
    <n v="2"/>
    <n v="-16"/>
    <n v="16"/>
    <n v="1486.0691925650258"/>
    <n v="1607.4881925440882"/>
    <n v="0.20315456627190506"/>
    <n v="48"/>
    <n v="72"/>
    <n v="0"/>
    <n v="-24"/>
    <n v="0"/>
    <n v="0.57068735756766997"/>
    <n v="1"/>
    <n v="71.650000000000006"/>
    <n v="71.650000000000006"/>
    <n v="-8.3069392575421794"/>
    <n v="1477.7622533074837"/>
    <n v="0"/>
    <n v="1"/>
    <n v="0"/>
    <n v="0"/>
    <n v="0"/>
    <n v="0"/>
    <n v="0"/>
    <n v="0"/>
    <n v="0"/>
    <n v="0"/>
  </r>
  <r>
    <d v="2012-09-12T00:00:00"/>
    <n v="2012"/>
    <x v="28"/>
    <s v="R"/>
    <s v="RS"/>
    <x v="3"/>
    <s v="SEA"/>
    <s v="H"/>
    <n v="2"/>
    <n v="0"/>
    <n v="2"/>
    <n v="-2"/>
    <n v="16"/>
    <n v="-16"/>
    <n v="1607.4881925440882"/>
    <n v="1486.0691925650258"/>
    <n v="0.79684543372809502"/>
    <n v="72"/>
    <n v="48"/>
    <n v="0"/>
    <n v="24"/>
    <n v="1"/>
    <n v="0.57068735756766997"/>
    <n v="1"/>
    <n v="71.650000000000006"/>
    <n v="71.650000000000006"/>
    <n v="8.3069392575421759"/>
    <n v="1615.7951318016303"/>
    <n v="1"/>
    <n v="0"/>
    <n v="0"/>
    <n v="0"/>
    <n v="0"/>
    <n v="0"/>
    <n v="0"/>
    <n v="0"/>
    <n v="0"/>
    <n v="0"/>
  </r>
  <r>
    <d v="2012-09-12T00:00:00"/>
    <n v="2012"/>
    <x v="29"/>
    <s v="R"/>
    <s v="RS"/>
    <x v="9"/>
    <s v="NYL"/>
    <s v="A"/>
    <n v="2"/>
    <n v="2"/>
    <n v="0"/>
    <n v="0"/>
    <n v="0"/>
    <n v="0"/>
    <n v="1304.193897249093"/>
    <n v="1458.572855336909"/>
    <n v="0.20226147522057628"/>
    <n v="62"/>
    <n v="75"/>
    <n v="0"/>
    <n v="-13"/>
    <n v="0"/>
    <n v="0.41823782287395306"/>
    <n v="1"/>
    <n v="71.5"/>
    <n v="71.5"/>
    <n v="-6.04842803189824"/>
    <n v="1298.1454692171947"/>
    <n v="0"/>
    <n v="1"/>
    <n v="0"/>
    <n v="0"/>
    <n v="0"/>
    <n v="0"/>
    <n v="0"/>
    <n v="0"/>
    <n v="0"/>
    <n v="0"/>
  </r>
  <r>
    <d v="2012-09-12T00:00:00"/>
    <n v="2012"/>
    <x v="29"/>
    <s v="R"/>
    <s v="RS"/>
    <x v="5"/>
    <s v="WAS"/>
    <s v="H"/>
    <n v="2"/>
    <n v="2"/>
    <n v="0"/>
    <n v="0"/>
    <n v="0"/>
    <n v="0"/>
    <n v="1458.572855336909"/>
    <n v="1304.193897249093"/>
    <n v="0.79773852477942364"/>
    <n v="75"/>
    <n v="62"/>
    <n v="0"/>
    <n v="13"/>
    <n v="1"/>
    <n v="0.41823782287395306"/>
    <n v="1"/>
    <n v="71.5"/>
    <n v="71.5"/>
    <n v="6.0484280318982426"/>
    <n v="1464.6212833688073"/>
    <n v="1"/>
    <n v="0"/>
    <n v="0"/>
    <n v="0"/>
    <n v="0"/>
    <n v="0"/>
    <n v="0"/>
    <n v="0"/>
    <n v="0"/>
    <n v="0"/>
  </r>
  <r>
    <d v="2012-09-12T00:00:00"/>
    <n v="2012"/>
    <x v="29"/>
    <s v="R"/>
    <s v="RS"/>
    <x v="4"/>
    <s v="PHX"/>
    <s v="A"/>
    <n v="2"/>
    <n v="2"/>
    <n v="0"/>
    <n v="0"/>
    <n v="0"/>
    <n v="0"/>
    <n v="1586.0239007652331"/>
    <n v="1355.9860979917812"/>
    <n v="0.69860444760283213"/>
    <n v="100"/>
    <n v="78"/>
    <n v="0"/>
    <n v="22"/>
    <n v="1"/>
    <n v="0.50520860650189514"/>
    <n v="1"/>
    <n v="71.5"/>
    <n v="71.5"/>
    <n v="10.887135332819611"/>
    <n v="1596.9110360980526"/>
    <n v="1"/>
    <n v="0"/>
    <n v="0"/>
    <n v="0"/>
    <n v="0"/>
    <n v="0"/>
    <n v="0"/>
    <n v="0"/>
    <n v="0"/>
    <n v="0"/>
  </r>
  <r>
    <d v="2012-09-12T00:00:00"/>
    <n v="2012"/>
    <x v="28"/>
    <s v="R"/>
    <s v="RS"/>
    <x v="10"/>
    <s v="CON"/>
    <s v="H"/>
    <n v="2"/>
    <n v="2"/>
    <n v="0"/>
    <n v="0"/>
    <n v="0"/>
    <n v="0"/>
    <n v="1355.9860979917812"/>
    <n v="1586.0239007652331"/>
    <n v="0.30139555239716787"/>
    <n v="78"/>
    <n v="100"/>
    <n v="0"/>
    <n v="-22"/>
    <n v="0"/>
    <n v="0.50520860650189514"/>
    <n v="1"/>
    <n v="71.650000000000006"/>
    <n v="71.650000000000006"/>
    <n v="-10.909975476874477"/>
    <n v="1345.0761225149067"/>
    <n v="0"/>
    <n v="1"/>
    <n v="0"/>
    <n v="0"/>
    <n v="0"/>
    <n v="0"/>
    <n v="0"/>
    <n v="0"/>
    <n v="0"/>
    <n v="0"/>
  </r>
  <r>
    <d v="2012-09-12T00:00:00"/>
    <n v="2012"/>
    <x v="28"/>
    <s v="R"/>
    <s v="RS"/>
    <x v="6"/>
    <s v="TUL"/>
    <s v="A"/>
    <n v="2"/>
    <n v="3"/>
    <n v="-1"/>
    <n v="1"/>
    <n v="-8"/>
    <n v="8"/>
    <n v="1563.117601755248"/>
    <n v="1328.618372059203"/>
    <n v="0.68443733388249994"/>
    <n v="78"/>
    <n v="67"/>
    <n v="0"/>
    <n v="11"/>
    <n v="1"/>
    <n v="0.36793548116508473"/>
    <n v="1"/>
    <n v="71.650000000000006"/>
    <n v="71.650000000000006"/>
    <n v="8.3190451550004276"/>
    <n v="1571.4366469102483"/>
    <n v="1"/>
    <n v="0"/>
    <n v="0"/>
    <n v="0"/>
    <n v="0"/>
    <n v="0"/>
    <n v="0"/>
    <n v="0"/>
    <n v="0"/>
    <n v="0"/>
  </r>
  <r>
    <d v="2012-09-12T00:00:00"/>
    <n v="2012"/>
    <x v="28"/>
    <s v="R"/>
    <s v="RS"/>
    <x v="7"/>
    <s v="SAS"/>
    <s v="H"/>
    <n v="3"/>
    <n v="2"/>
    <n v="1"/>
    <n v="-1"/>
    <n v="8"/>
    <n v="-8"/>
    <n v="1328.618372059203"/>
    <n v="1563.117601755248"/>
    <n v="0.31556266611750006"/>
    <n v="67"/>
    <n v="78"/>
    <n v="0"/>
    <n v="-11"/>
    <n v="0"/>
    <n v="0.36793548116508473"/>
    <n v="1"/>
    <n v="71.650000000000006"/>
    <n v="71.650000000000006"/>
    <n v="-8.3190451550004276"/>
    <n v="1320.2993269042026"/>
    <n v="0"/>
    <n v="1"/>
    <n v="0"/>
    <n v="0"/>
    <n v="0"/>
    <n v="0"/>
    <n v="0"/>
    <n v="0"/>
    <n v="0"/>
    <n v="0"/>
  </r>
  <r>
    <d v="2012-09-13T00:00:00"/>
    <n v="2012"/>
    <x v="29"/>
    <s v="R"/>
    <s v="RS"/>
    <x v="8"/>
    <s v="LAS"/>
    <s v="A"/>
    <n v="1"/>
    <n v="3"/>
    <n v="-2"/>
    <n v="2"/>
    <n v="-16"/>
    <n v="16"/>
    <n v="1464.139628253374"/>
    <n v="1577.3857360357031"/>
    <n v="0.21087708338747538"/>
    <n v="77"/>
    <n v="86"/>
    <n v="0"/>
    <n v="-9"/>
    <n v="0"/>
    <n v="0.37096308886029405"/>
    <n v="1"/>
    <n v="71.5"/>
    <n v="71.5"/>
    <n v="-5.5932744169636379"/>
    <n v="1458.5463538364104"/>
    <n v="0"/>
    <n v="1"/>
    <n v="0"/>
    <n v="0"/>
    <n v="0"/>
    <n v="0"/>
    <n v="0"/>
    <n v="0"/>
    <n v="0"/>
    <n v="0"/>
  </r>
  <r>
    <d v="2012-09-13T00:00:00"/>
    <n v="2012"/>
    <x v="30"/>
    <s v="R"/>
    <s v="RS"/>
    <x v="0"/>
    <s v="CHI"/>
    <s v="H"/>
    <n v="3"/>
    <n v="1"/>
    <n v="2"/>
    <n v="-2"/>
    <n v="16"/>
    <n v="-16"/>
    <n v="1577.3857360357031"/>
    <n v="1464.139628253374"/>
    <n v="0.78912291661252465"/>
    <n v="86"/>
    <n v="77"/>
    <n v="0"/>
    <n v="9"/>
    <n v="1"/>
    <n v="0.37096308886029405"/>
    <n v="1"/>
    <n v="71.349999999999994"/>
    <n v="71.349999999999994"/>
    <n v="5.5815402748301466"/>
    <n v="1582.9672763105332"/>
    <n v="1"/>
    <n v="0"/>
    <n v="0"/>
    <n v="0"/>
    <n v="0"/>
    <n v="0"/>
    <n v="0"/>
    <n v="0"/>
    <n v="0"/>
    <n v="0"/>
  </r>
  <r>
    <d v="2012-09-14T00:00:00"/>
    <n v="2012"/>
    <x v="29"/>
    <s v="R"/>
    <s v="RS"/>
    <x v="11"/>
    <s v="IND"/>
    <s v="A"/>
    <n v="2"/>
    <n v="1"/>
    <n v="1"/>
    <n v="-1"/>
    <n v="8"/>
    <n v="-8"/>
    <n v="1707.9561762738626"/>
    <n v="1615.7951318016303"/>
    <n v="0.5347145965721094"/>
    <n v="66"/>
    <n v="64"/>
    <n v="0"/>
    <n v="2"/>
    <n v="1"/>
    <n v="0.24873802406176057"/>
    <n v="1"/>
    <n v="71.5"/>
    <n v="71.5"/>
    <n v="8.2749932889504318"/>
    <n v="1716.231169562813"/>
    <n v="1"/>
    <n v="0"/>
    <n v="0"/>
    <n v="0"/>
    <n v="0"/>
    <n v="0"/>
    <n v="0"/>
    <n v="0"/>
    <n v="0"/>
    <n v="0"/>
  </r>
  <r>
    <d v="2012-09-14T00:00:00"/>
    <n v="2012"/>
    <x v="29"/>
    <s v="R"/>
    <s v="RS"/>
    <x v="3"/>
    <s v="MIN"/>
    <s v="H"/>
    <n v="1"/>
    <n v="2"/>
    <n v="-1"/>
    <n v="1"/>
    <n v="-8"/>
    <n v="8"/>
    <n v="1615.7951318016303"/>
    <n v="1707.9561762738626"/>
    <n v="0.46528540342789065"/>
    <n v="64"/>
    <n v="66"/>
    <n v="0"/>
    <n v="-2"/>
    <n v="0"/>
    <n v="0.24873802406176057"/>
    <n v="1"/>
    <n v="71.5"/>
    <n v="71.5"/>
    <n v="-8.2749932889504336"/>
    <n v="1607.52013851268"/>
    <n v="0"/>
    <n v="1"/>
    <n v="0"/>
    <n v="0"/>
    <n v="0"/>
    <n v="0"/>
    <n v="0"/>
    <n v="0"/>
    <n v="0"/>
    <n v="0"/>
  </r>
  <r>
    <d v="2012-09-14T00:00:00"/>
    <n v="2012"/>
    <x v="30"/>
    <s v="R"/>
    <s v="RS"/>
    <x v="4"/>
    <s v="LAS"/>
    <s v="A"/>
    <n v="1"/>
    <n v="0"/>
    <n v="1"/>
    <n v="-1"/>
    <n v="8"/>
    <n v="-8"/>
    <n v="1596.9110360980526"/>
    <n v="1582.9672763105332"/>
    <n v="0.42282851407107136"/>
    <n v="82"/>
    <n v="93"/>
    <n v="0"/>
    <n v="-11"/>
    <n v="0"/>
    <n v="0.43478386873667096"/>
    <n v="1"/>
    <n v="71.349999999999994"/>
    <n v="71.349999999999994"/>
    <n v="-13.11691387436588"/>
    <n v="1583.7941222236866"/>
    <n v="0"/>
    <n v="1"/>
    <n v="0"/>
    <n v="0"/>
    <n v="0"/>
    <n v="0"/>
    <n v="0"/>
    <n v="0"/>
    <n v="0"/>
    <n v="0"/>
  </r>
  <r>
    <d v="2012-09-14T00:00:00"/>
    <n v="2012"/>
    <x v="31"/>
    <s v="R"/>
    <s v="RS"/>
    <x v="0"/>
    <s v="CON"/>
    <s v="H"/>
    <n v="0"/>
    <n v="1"/>
    <n v="-1"/>
    <n v="1"/>
    <n v="-8"/>
    <n v="8"/>
    <n v="1582.9672763105332"/>
    <n v="1596.9110360980526"/>
    <n v="0.57717148592892864"/>
    <n v="93"/>
    <n v="82"/>
    <n v="0"/>
    <n v="11"/>
    <n v="1"/>
    <n v="0.43478386873667096"/>
    <n v="1"/>
    <n v="71.2"/>
    <n v="71.2"/>
    <n v="13.089338021791882"/>
    <n v="1596.0566143323251"/>
    <n v="1"/>
    <n v="0"/>
    <n v="0"/>
    <n v="0"/>
    <n v="0"/>
    <n v="0"/>
    <n v="0"/>
    <n v="0"/>
    <n v="0"/>
    <n v="0"/>
  </r>
  <r>
    <d v="2012-09-14T00:00:00"/>
    <n v="2012"/>
    <x v="29"/>
    <s v="R"/>
    <s v="RS"/>
    <x v="7"/>
    <s v="PHX"/>
    <s v="A"/>
    <n v="1"/>
    <n v="1"/>
    <n v="0"/>
    <n v="0"/>
    <n v="0"/>
    <n v="0"/>
    <n v="1320.2993269042026"/>
    <n v="1345.0761225149067"/>
    <n v="0.34837958270609565"/>
    <n v="92"/>
    <n v="84"/>
    <n v="0"/>
    <n v="8"/>
    <n v="1"/>
    <n v="0.38046005090360818"/>
    <n v="1"/>
    <n v="71.5"/>
    <n v="71.5"/>
    <n v="17.725960905043053"/>
    <n v="1338.0252878092456"/>
    <n v="1"/>
    <n v="0"/>
    <n v="0"/>
    <n v="0"/>
    <n v="0"/>
    <n v="0"/>
    <n v="0"/>
    <n v="0"/>
    <n v="0"/>
    <n v="0"/>
  </r>
  <r>
    <d v="2012-09-14T00:00:00"/>
    <n v="2012"/>
    <x v="29"/>
    <s v="R"/>
    <s v="RS"/>
    <x v="10"/>
    <s v="TUL"/>
    <s v="H"/>
    <n v="1"/>
    <n v="1"/>
    <n v="0"/>
    <n v="0"/>
    <n v="0"/>
    <n v="0"/>
    <n v="1345.0761225149067"/>
    <n v="1320.2993269042026"/>
    <n v="0.65162041729390441"/>
    <n v="84"/>
    <n v="92"/>
    <n v="0"/>
    <n v="-8"/>
    <n v="0"/>
    <n v="0.38046005090360818"/>
    <n v="1"/>
    <n v="71.5"/>
    <n v="71.5"/>
    <n v="-17.725960905043053"/>
    <n v="1327.3501616098638"/>
    <n v="0"/>
    <n v="1"/>
    <n v="0"/>
    <n v="0"/>
    <n v="0"/>
    <n v="0"/>
    <n v="0"/>
    <n v="0"/>
    <n v="0"/>
    <n v="0"/>
  </r>
  <r>
    <d v="2012-09-14T00:00:00"/>
    <n v="2012"/>
    <x v="29"/>
    <s v="R"/>
    <s v="RS"/>
    <x v="1"/>
    <s v="SAS"/>
    <s v="A"/>
    <n v="1"/>
    <n v="1"/>
    <n v="0"/>
    <n v="0"/>
    <n v="0"/>
    <n v="0"/>
    <n v="1477.7622533074837"/>
    <n v="1571.4366469102483"/>
    <n v="0.26448701729266988"/>
    <n v="66"/>
    <n v="90"/>
    <n v="0"/>
    <n v="-24"/>
    <n v="0"/>
    <n v="0.58292652391272659"/>
    <n v="1"/>
    <n v="71.5"/>
    <n v="71.5"/>
    <n v="-11.023619579147979"/>
    <n v="1466.7386337283356"/>
    <n v="0"/>
    <n v="1"/>
    <n v="0"/>
    <n v="0"/>
    <n v="0"/>
    <n v="0"/>
    <n v="0"/>
    <n v="0"/>
    <n v="0"/>
    <n v="0"/>
  </r>
  <r>
    <d v="2012-09-14T00:00:00"/>
    <n v="2012"/>
    <x v="29"/>
    <s v="R"/>
    <s v="RS"/>
    <x v="6"/>
    <s v="SEA"/>
    <s v="H"/>
    <n v="1"/>
    <n v="1"/>
    <n v="0"/>
    <n v="0"/>
    <n v="0"/>
    <n v="0"/>
    <n v="1571.4366469102483"/>
    <n v="1477.7622533074837"/>
    <n v="0.73551298270733012"/>
    <n v="90"/>
    <n v="66"/>
    <n v="0"/>
    <n v="24"/>
    <n v="1"/>
    <n v="0.58292652391272659"/>
    <n v="1"/>
    <n v="71.5"/>
    <n v="71.5"/>
    <n v="11.023619579147979"/>
    <n v="1582.4602664893964"/>
    <n v="1"/>
    <n v="0"/>
    <n v="0"/>
    <n v="0"/>
    <n v="0"/>
    <n v="0"/>
    <n v="0"/>
    <n v="0"/>
    <n v="0"/>
    <n v="0"/>
  </r>
  <r>
    <d v="2012-09-14T00:00:00"/>
    <n v="2012"/>
    <x v="31"/>
    <s v="R"/>
    <s v="RS"/>
    <x v="2"/>
    <s v="WAS"/>
    <s v="A"/>
    <n v="2"/>
    <n v="1"/>
    <n v="1"/>
    <n v="-1"/>
    <n v="8"/>
    <n v="-8"/>
    <n v="1569.7091023149787"/>
    <n v="1298.1454692171947"/>
    <n v="0.76347138800618275"/>
    <n v="82"/>
    <n v="74"/>
    <n v="0"/>
    <n v="8"/>
    <n v="1"/>
    <n v="0.31665544834284631"/>
    <n v="1"/>
    <n v="71.2"/>
    <n v="71.2"/>
    <n v="5.3327428457891095"/>
    <n v="1575.0418451607679"/>
    <n v="1"/>
    <n v="0"/>
    <n v="0"/>
    <n v="0"/>
    <n v="0"/>
    <n v="0"/>
    <n v="0"/>
    <n v="0"/>
    <n v="0"/>
    <n v="0"/>
  </r>
  <r>
    <d v="2012-09-14T00:00:00"/>
    <n v="2012"/>
    <x v="30"/>
    <s v="R"/>
    <s v="RS"/>
    <x v="9"/>
    <s v="ATL"/>
    <s v="H"/>
    <n v="1"/>
    <n v="2"/>
    <n v="-1"/>
    <n v="1"/>
    <n v="-8"/>
    <n v="8"/>
    <n v="1298.1454692171947"/>
    <n v="1569.7091023149787"/>
    <n v="0.23652861199381717"/>
    <n v="74"/>
    <n v="82"/>
    <n v="0"/>
    <n v="-8"/>
    <n v="0"/>
    <n v="0.31665544834284631"/>
    <n v="1"/>
    <n v="71.349999999999994"/>
    <n v="71.349999999999994"/>
    <n v="-5.3439775568406294"/>
    <n v="1292.801491660354"/>
    <n v="0"/>
    <n v="1"/>
    <n v="0"/>
    <n v="0"/>
    <n v="0"/>
    <n v="0"/>
    <n v="0"/>
    <n v="0"/>
    <n v="0"/>
    <n v="0"/>
  </r>
  <r>
    <d v="2012-09-16T00:00:00"/>
    <n v="2012"/>
    <x v="30"/>
    <s v="R"/>
    <s v="RS"/>
    <x v="8"/>
    <s v="PHX"/>
    <s v="A"/>
    <n v="2"/>
    <n v="1"/>
    <n v="1"/>
    <n v="-1"/>
    <n v="8"/>
    <n v="-8"/>
    <n v="1458.5463538364104"/>
    <n v="1327.3501616098638"/>
    <n v="0.58995673504980739"/>
    <n v="86"/>
    <n v="55"/>
    <n v="0"/>
    <n v="31"/>
    <n v="1"/>
    <n v="0.64496988023012414"/>
    <n v="1"/>
    <n v="71.349999999999994"/>
    <n v="71.349999999999994"/>
    <n v="18.869617383790164"/>
    <n v="1477.4159712202006"/>
    <n v="1"/>
    <n v="0"/>
    <n v="0"/>
    <n v="0"/>
    <n v="0"/>
    <n v="0"/>
    <n v="0"/>
    <n v="0"/>
    <n v="0"/>
    <n v="0"/>
  </r>
  <r>
    <d v="2012-09-16T00:00:00"/>
    <n v="2012"/>
    <x v="30"/>
    <s v="R"/>
    <s v="RS"/>
    <x v="10"/>
    <s v="CHI"/>
    <s v="H"/>
    <n v="1"/>
    <n v="2"/>
    <n v="-1"/>
    <n v="1"/>
    <n v="-8"/>
    <n v="8"/>
    <n v="1327.3501616098638"/>
    <n v="1458.5463538364104"/>
    <n v="0.41004326495019255"/>
    <n v="55"/>
    <n v="86"/>
    <n v="0"/>
    <n v="-31"/>
    <n v="0"/>
    <n v="0.64496988023012414"/>
    <n v="1"/>
    <n v="71.349999999999994"/>
    <n v="71.349999999999994"/>
    <n v="-18.86961738379016"/>
    <n v="1308.4805442260736"/>
    <n v="0"/>
    <n v="1"/>
    <n v="0"/>
    <n v="0"/>
    <n v="0"/>
    <n v="0"/>
    <n v="0"/>
    <n v="0"/>
    <n v="0"/>
    <n v="0"/>
  </r>
  <r>
    <d v="2012-09-16T00:00:00"/>
    <n v="2012"/>
    <x v="30"/>
    <s v="R"/>
    <s v="RS"/>
    <x v="7"/>
    <s v="SAS"/>
    <s v="A"/>
    <n v="1"/>
    <n v="1"/>
    <n v="0"/>
    <n v="0"/>
    <n v="0"/>
    <n v="0"/>
    <n v="1338.0252878092456"/>
    <n v="1582.4602664893964"/>
    <n v="0.13117337023010994"/>
    <n v="80"/>
    <n v="70"/>
    <n v="0"/>
    <n v="10"/>
    <n v="1"/>
    <n v="0.3515254384539353"/>
    <n v="1"/>
    <n v="71.349999999999994"/>
    <n v="71.349999999999994"/>
    <n v="21.79133613158201"/>
    <n v="1359.8166239408276"/>
    <n v="1"/>
    <n v="0"/>
    <n v="0"/>
    <n v="0"/>
    <n v="0"/>
    <n v="0"/>
    <n v="0"/>
    <n v="0"/>
    <n v="0"/>
    <n v="0"/>
  </r>
  <r>
    <d v="2012-09-16T00:00:00"/>
    <n v="2012"/>
    <x v="30"/>
    <s v="R"/>
    <s v="RS"/>
    <x v="6"/>
    <s v="TUL"/>
    <s v="H"/>
    <n v="1"/>
    <n v="1"/>
    <n v="0"/>
    <n v="0"/>
    <n v="0"/>
    <n v="0"/>
    <n v="1582.4602664893964"/>
    <n v="1338.0252878092456"/>
    <n v="0.86882662976989011"/>
    <n v="70"/>
    <n v="80"/>
    <n v="0"/>
    <n v="-10"/>
    <n v="0"/>
    <n v="0.3515254384539353"/>
    <n v="1"/>
    <n v="71.349999999999994"/>
    <n v="71.349999999999994"/>
    <n v="-21.79133613158201"/>
    <n v="1560.6689303578144"/>
    <n v="0"/>
    <n v="1"/>
    <n v="0"/>
    <n v="0"/>
    <n v="0"/>
    <n v="0"/>
    <n v="0"/>
    <n v="0"/>
    <n v="0"/>
    <n v="0"/>
  </r>
  <r>
    <d v="2012-09-16T00:00:00"/>
    <n v="2012"/>
    <x v="31"/>
    <s v="R"/>
    <s v="RS"/>
    <x v="4"/>
    <s v="SEA"/>
    <s v="A"/>
    <n v="1"/>
    <n v="1"/>
    <n v="0"/>
    <n v="0"/>
    <n v="0"/>
    <n v="0"/>
    <n v="1583.7941222236866"/>
    <n v="1466.7386337283356"/>
    <n v="0.54742765511592406"/>
    <n v="60"/>
    <n v="58"/>
    <n v="0"/>
    <n v="2"/>
    <n v="1"/>
    <n v="0.2440364796921298"/>
    <n v="1"/>
    <n v="71.2"/>
    <n v="71.2"/>
    <n v="7.8636243238283923"/>
    <n v="1591.657746547515"/>
    <n v="1"/>
    <n v="0"/>
    <n v="0"/>
    <n v="0"/>
    <n v="0"/>
    <n v="0"/>
    <n v="0"/>
    <n v="0"/>
    <n v="0"/>
    <n v="0"/>
  </r>
  <r>
    <d v="2012-09-16T00:00:00"/>
    <n v="2012"/>
    <x v="30"/>
    <s v="R"/>
    <s v="RS"/>
    <x v="1"/>
    <s v="CON"/>
    <s v="H"/>
    <n v="1"/>
    <n v="1"/>
    <n v="0"/>
    <n v="0"/>
    <n v="0"/>
    <n v="0"/>
    <n v="1466.7386337283356"/>
    <n v="1583.7941222236866"/>
    <n v="0.45257234488407588"/>
    <n v="58"/>
    <n v="60"/>
    <n v="0"/>
    <n v="-2"/>
    <n v="0"/>
    <n v="0.2440364796921298"/>
    <n v="1"/>
    <n v="71.349999999999994"/>
    <n v="71.349999999999994"/>
    <n v="-7.8801909481061196"/>
    <n v="1458.8584427802296"/>
    <n v="0"/>
    <n v="1"/>
    <n v="0"/>
    <n v="0"/>
    <n v="0"/>
    <n v="0"/>
    <n v="0"/>
    <n v="0"/>
    <n v="0"/>
    <n v="0"/>
  </r>
  <r>
    <d v="2012-09-16T00:00:00"/>
    <n v="2012"/>
    <x v="30"/>
    <s v="R"/>
    <s v="RS"/>
    <x v="5"/>
    <s v="WAS"/>
    <s v="A"/>
    <n v="3"/>
    <n v="1"/>
    <n v="2"/>
    <n v="-2"/>
    <n v="16"/>
    <n v="-16"/>
    <n v="1464.6212833688073"/>
    <n v="1292.801491660354"/>
    <n v="0.66590867785129038"/>
    <n v="75"/>
    <n v="68"/>
    <n v="0"/>
    <n v="7"/>
    <n v="1"/>
    <n v="0.32375142104595955"/>
    <n v="1"/>
    <n v="71.349999999999994"/>
    <n v="71.349999999999994"/>
    <n v="7.7173972507452104"/>
    <n v="1472.3386806195526"/>
    <n v="1"/>
    <n v="0"/>
    <n v="0"/>
    <n v="0"/>
    <n v="0"/>
    <n v="0"/>
    <n v="0"/>
    <n v="0"/>
    <n v="0"/>
    <n v="0"/>
  </r>
  <r>
    <d v="2012-09-16T00:00:00"/>
    <n v="2012"/>
    <x v="31"/>
    <s v="R"/>
    <s v="RS"/>
    <x v="9"/>
    <s v="NYL"/>
    <s v="H"/>
    <n v="1"/>
    <n v="3"/>
    <n v="-2"/>
    <n v="2"/>
    <n v="-16"/>
    <n v="16"/>
    <n v="1292.801491660354"/>
    <n v="1464.6212833688073"/>
    <n v="0.33409132214870968"/>
    <n v="68"/>
    <n v="75"/>
    <n v="0"/>
    <n v="-7"/>
    <n v="0"/>
    <n v="0.32375142104595955"/>
    <n v="1"/>
    <n v="71.2"/>
    <n v="71.2"/>
    <n v="-7.7011728696994979"/>
    <n v="1285.1003187906545"/>
    <n v="0"/>
    <n v="1"/>
    <n v="0"/>
    <n v="0"/>
    <n v="0"/>
    <n v="0"/>
    <n v="0"/>
    <n v="0"/>
    <n v="0"/>
    <n v="0"/>
  </r>
  <r>
    <d v="2012-09-17T00:00:00"/>
    <n v="2012"/>
    <x v="30"/>
    <s v="R"/>
    <s v="RS"/>
    <x v="3"/>
    <s v="MIN"/>
    <s v="A"/>
    <n v="2"/>
    <n v="2"/>
    <n v="0"/>
    <n v="0"/>
    <n v="0"/>
    <n v="0"/>
    <n v="1607.52013851268"/>
    <n v="1716.231169562813"/>
    <n v="0.24799509694186281"/>
    <n v="79"/>
    <n v="86"/>
    <n v="0"/>
    <n v="-7"/>
    <n v="0"/>
    <n v="0.33936338614660205"/>
    <n v="1"/>
    <n v="71.349999999999994"/>
    <n v="71.349999999999994"/>
    <n v="-6.004848524608204"/>
    <n v="1601.5152899880718"/>
    <n v="0"/>
    <n v="1"/>
    <n v="0"/>
    <n v="0"/>
    <n v="0"/>
    <n v="0"/>
    <n v="0"/>
    <n v="0"/>
    <n v="0"/>
    <n v="0"/>
  </r>
  <r>
    <d v="2012-09-17T00:00:00"/>
    <n v="2012"/>
    <x v="30"/>
    <s v="R"/>
    <s v="RS"/>
    <x v="11"/>
    <s v="IND"/>
    <s v="H"/>
    <n v="2"/>
    <n v="2"/>
    <n v="0"/>
    <n v="0"/>
    <n v="0"/>
    <n v="0"/>
    <n v="1716.231169562813"/>
    <n v="1607.52013851268"/>
    <n v="0.75200490305813716"/>
    <n v="86"/>
    <n v="79"/>
    <n v="0"/>
    <n v="7"/>
    <n v="1"/>
    <n v="0.33936338614660205"/>
    <n v="1"/>
    <n v="71.349999999999994"/>
    <n v="71.349999999999994"/>
    <n v="6.004848524608204"/>
    <n v="1722.2360180874211"/>
    <n v="1"/>
    <n v="0"/>
    <n v="0"/>
    <n v="0"/>
    <n v="0"/>
    <n v="0"/>
    <n v="0"/>
    <n v="0"/>
    <n v="0"/>
    <n v="0"/>
  </r>
  <r>
    <d v="2012-09-18T00:00:00"/>
    <n v="2012"/>
    <x v="31"/>
    <s v="R"/>
    <s v="RS"/>
    <x v="10"/>
    <s v="LAS"/>
    <s v="A"/>
    <n v="1"/>
    <n v="3"/>
    <n v="-2"/>
    <n v="2"/>
    <n v="-16"/>
    <n v="16"/>
    <n v="1308.4805442260736"/>
    <n v="1596.0566143323251"/>
    <n v="8.9222075253938174E-2"/>
    <n v="76"/>
    <n v="101"/>
    <n v="0"/>
    <n v="-25"/>
    <n v="0"/>
    <n v="0.5173608594131508"/>
    <n v="1"/>
    <n v="71.2"/>
    <n v="71.2"/>
    <n v="-3.2865926786785615"/>
    <n v="1305.193951547395"/>
    <n v="0"/>
    <n v="1"/>
    <n v="0"/>
    <n v="0"/>
    <n v="0"/>
    <n v="0"/>
    <n v="0"/>
    <n v="0"/>
    <n v="0"/>
    <n v="0"/>
  </r>
  <r>
    <d v="2012-09-18T00:00:00"/>
    <n v="2012"/>
    <x v="32"/>
    <s v="R"/>
    <s v="RS"/>
    <x v="0"/>
    <s v="PHX"/>
    <s v="H"/>
    <n v="3"/>
    <n v="1"/>
    <n v="2"/>
    <n v="-2"/>
    <n v="16"/>
    <n v="-16"/>
    <n v="1596.0566143323251"/>
    <n v="1308.4805442260736"/>
    <n v="0.9107779247460619"/>
    <n v="101"/>
    <n v="76"/>
    <n v="0"/>
    <n v="25"/>
    <n v="1"/>
    <n v="0.5173608594131508"/>
    <n v="1"/>
    <n v="71.05"/>
    <n v="71.05"/>
    <n v="3.2796686772487584"/>
    <n v="1599.3362830095739"/>
    <n v="1"/>
    <n v="0"/>
    <n v="0"/>
    <n v="0"/>
    <n v="0"/>
    <n v="0"/>
    <n v="0"/>
    <n v="0"/>
    <n v="0"/>
    <n v="0"/>
  </r>
  <r>
    <d v="2012-09-18T00:00:00"/>
    <n v="2012"/>
    <x v="31"/>
    <s v="R"/>
    <s v="RS"/>
    <x v="5"/>
    <s v="SAS"/>
    <s v="A"/>
    <n v="1"/>
    <n v="1"/>
    <n v="0"/>
    <n v="0"/>
    <n v="0"/>
    <n v="0"/>
    <n v="1472.3386806195526"/>
    <n v="1560.6689303578144"/>
    <n v="0.27051472290202883"/>
    <n v="66"/>
    <n v="77"/>
    <n v="0"/>
    <n v="-11"/>
    <n v="0"/>
    <n v="0.40968002142027371"/>
    <n v="1"/>
    <n v="71.2"/>
    <n v="71.2"/>
    <n v="-7.8907027960777834"/>
    <n v="1464.447977823475"/>
    <n v="0"/>
    <n v="1"/>
    <n v="0"/>
    <n v="0"/>
    <n v="0"/>
    <n v="0"/>
    <n v="0"/>
    <n v="0"/>
    <n v="0"/>
    <n v="0"/>
  </r>
  <r>
    <d v="2012-09-18T00:00:00"/>
    <n v="2012"/>
    <x v="31"/>
    <s v="R"/>
    <s v="RS"/>
    <x v="6"/>
    <s v="NYL"/>
    <s v="H"/>
    <n v="1"/>
    <n v="1"/>
    <n v="0"/>
    <n v="0"/>
    <n v="0"/>
    <n v="0"/>
    <n v="1560.6689303578144"/>
    <n v="1472.3386806195526"/>
    <n v="0.72948527709797117"/>
    <n v="77"/>
    <n v="66"/>
    <n v="0"/>
    <n v="11"/>
    <n v="1"/>
    <n v="0.40968002142027371"/>
    <n v="1"/>
    <n v="71.2"/>
    <n v="71.2"/>
    <n v="7.8907027960777834"/>
    <n v="1568.559633153892"/>
    <n v="1"/>
    <n v="0"/>
    <n v="0"/>
    <n v="0"/>
    <n v="0"/>
    <n v="0"/>
    <n v="0"/>
    <n v="0"/>
    <n v="0"/>
    <n v="0"/>
  </r>
  <r>
    <d v="2012-09-18T00:00:00"/>
    <n v="2012"/>
    <x v="31"/>
    <s v="R"/>
    <s v="RS"/>
    <x v="8"/>
    <s v="SEA"/>
    <s v="A"/>
    <n v="1"/>
    <n v="1"/>
    <n v="0"/>
    <n v="0"/>
    <n v="0"/>
    <n v="0"/>
    <n v="1477.4159712202006"/>
    <n v="1458.8584427802296"/>
    <n v="0.40691892426095083"/>
    <n v="60"/>
    <n v="75"/>
    <n v="0"/>
    <n v="-15"/>
    <n v="0"/>
    <n v="0.49519010762423921"/>
    <n v="1"/>
    <n v="71.2"/>
    <n v="71.2"/>
    <n v="-14.346958484017335"/>
    <n v="1463.0690127361834"/>
    <n v="0"/>
    <n v="1"/>
    <n v="0"/>
    <n v="0"/>
    <n v="0"/>
    <n v="0"/>
    <n v="0"/>
    <n v="0"/>
    <n v="0"/>
    <n v="0"/>
  </r>
  <r>
    <d v="2012-09-18T00:00:00"/>
    <n v="2012"/>
    <x v="31"/>
    <s v="R"/>
    <s v="RS"/>
    <x v="1"/>
    <s v="CHI"/>
    <s v="H"/>
    <n v="1"/>
    <n v="1"/>
    <n v="0"/>
    <n v="0"/>
    <n v="0"/>
    <n v="0"/>
    <n v="1458.8584427802296"/>
    <n v="1477.4159712202006"/>
    <n v="0.59308107573904922"/>
    <n v="75"/>
    <n v="60"/>
    <n v="0"/>
    <n v="15"/>
    <n v="1"/>
    <n v="0.49519010762423921"/>
    <n v="1"/>
    <n v="71.2"/>
    <n v="71.2"/>
    <n v="14.346958484017334"/>
    <n v="1473.2054012642468"/>
    <n v="1"/>
    <n v="0"/>
    <n v="0"/>
    <n v="0"/>
    <n v="0"/>
    <n v="0"/>
    <n v="0"/>
    <n v="0"/>
    <n v="0"/>
    <n v="0"/>
  </r>
  <r>
    <d v="2012-09-19T00:00:00"/>
    <n v="2012"/>
    <x v="31"/>
    <s v="R"/>
    <s v="RS"/>
    <x v="3"/>
    <s v="CON"/>
    <s v="A"/>
    <n v="1"/>
    <n v="2"/>
    <n v="-1"/>
    <n v="1"/>
    <n v="-8"/>
    <n v="8"/>
    <n v="1601.5152899880718"/>
    <n v="1591.657746547515"/>
    <n v="0.3731090907212728"/>
    <n v="67"/>
    <n v="73"/>
    <n v="0"/>
    <n v="-6"/>
    <n v="0"/>
    <n v="0.34841863456951794"/>
    <n v="1"/>
    <n v="71.2"/>
    <n v="71.2"/>
    <n v="-9.2558689873421152"/>
    <n v="1592.2594210007296"/>
    <n v="0"/>
    <n v="1"/>
    <n v="0"/>
    <n v="0"/>
    <n v="0"/>
    <n v="0"/>
    <n v="0"/>
    <n v="0"/>
    <n v="0"/>
    <n v="0"/>
  </r>
  <r>
    <d v="2012-09-19T00:00:00"/>
    <n v="2012"/>
    <x v="32"/>
    <s v="R"/>
    <s v="RS"/>
    <x v="4"/>
    <s v="IND"/>
    <s v="H"/>
    <n v="2"/>
    <n v="1"/>
    <n v="1"/>
    <n v="-1"/>
    <n v="8"/>
    <n v="-8"/>
    <n v="1591.657746547515"/>
    <n v="1601.5152899880718"/>
    <n v="0.62689090927872726"/>
    <n v="73"/>
    <n v="67"/>
    <n v="0"/>
    <n v="6"/>
    <n v="1"/>
    <n v="0.34841863456951794"/>
    <n v="1"/>
    <n v="71.05"/>
    <n v="71.05"/>
    <n v="9.2363692633519268"/>
    <n v="1600.8941158108669"/>
    <n v="1"/>
    <n v="0"/>
    <n v="0"/>
    <n v="0"/>
    <n v="0"/>
    <n v="0"/>
    <n v="0"/>
    <n v="0"/>
    <n v="0"/>
    <n v="0"/>
  </r>
  <r>
    <d v="2012-09-20T00:00:00"/>
    <n v="2012"/>
    <x v="32"/>
    <s v="R"/>
    <s v="RS"/>
    <x v="2"/>
    <s v="CHI"/>
    <s v="A"/>
    <n v="5"/>
    <n v="1"/>
    <n v="4"/>
    <n v="-4"/>
    <n v="16"/>
    <n v="-16"/>
    <n v="1575.0418451607679"/>
    <n v="1463.0690127361834"/>
    <n v="0.58546072408888261"/>
    <n v="75"/>
    <n v="66"/>
    <n v="0"/>
    <n v="9"/>
    <n v="1"/>
    <n v="0.37132311015647107"/>
    <n v="1"/>
    <n v="71.05"/>
    <n v="71.05"/>
    <n v="10.936585338806925"/>
    <n v="1585.9784304995749"/>
    <n v="1"/>
    <n v="0"/>
    <n v="0"/>
    <n v="0"/>
    <n v="0"/>
    <n v="0"/>
    <n v="0"/>
    <n v="0"/>
    <n v="0"/>
    <n v="0"/>
  </r>
  <r>
    <d v="2012-09-20T00:00:00"/>
    <n v="2012"/>
    <x v="32"/>
    <s v="R"/>
    <s v="RS"/>
    <x v="8"/>
    <s v="ATL"/>
    <s v="H"/>
    <n v="1"/>
    <n v="5"/>
    <n v="-4"/>
    <n v="4"/>
    <n v="-16"/>
    <n v="16"/>
    <n v="1463.0690127361834"/>
    <n v="1575.0418451607679"/>
    <n v="0.41453927591111733"/>
    <n v="66"/>
    <n v="75"/>
    <n v="0"/>
    <n v="-9"/>
    <n v="0"/>
    <n v="0.37132311015647107"/>
    <n v="1"/>
    <n v="71.05"/>
    <n v="71.05"/>
    <n v="-10.936585338806923"/>
    <n v="1452.1324273973764"/>
    <n v="0"/>
    <n v="1"/>
    <n v="0"/>
    <n v="0"/>
    <n v="0"/>
    <n v="0"/>
    <n v="0"/>
    <n v="0"/>
    <n v="0"/>
    <n v="0"/>
  </r>
  <r>
    <d v="2012-09-20T00:00:00"/>
    <n v="2012"/>
    <x v="31"/>
    <s v="R"/>
    <s v="RS"/>
    <x v="11"/>
    <s v="LAS"/>
    <s v="A"/>
    <n v="2"/>
    <n v="1"/>
    <n v="1"/>
    <n v="-1"/>
    <n v="8"/>
    <n v="-8"/>
    <n v="1722.2360180874211"/>
    <n v="1599.3362830095739"/>
    <n v="0.57835600952969368"/>
    <n v="76"/>
    <n v="92"/>
    <n v="0"/>
    <n v="-16"/>
    <n v="0"/>
    <n v="0.46968279020746101"/>
    <n v="1"/>
    <n v="71.2"/>
    <n v="71.2"/>
    <n v="-19.341043137388152"/>
    <n v="1702.894974950033"/>
    <n v="0"/>
    <n v="1"/>
    <n v="0"/>
    <n v="0"/>
    <n v="0"/>
    <n v="0"/>
    <n v="0"/>
    <n v="0"/>
    <n v="0"/>
    <n v="0"/>
  </r>
  <r>
    <d v="2012-09-20T00:00:00"/>
    <n v="2012"/>
    <x v="33"/>
    <s v="R"/>
    <s v="RS"/>
    <x v="0"/>
    <s v="MIN"/>
    <s v="H"/>
    <n v="1"/>
    <n v="2"/>
    <n v="-1"/>
    <n v="1"/>
    <n v="-8"/>
    <n v="8"/>
    <n v="1599.3362830095739"/>
    <n v="1722.2360180874211"/>
    <n v="0.42164399047030632"/>
    <n v="92"/>
    <n v="76"/>
    <n v="0"/>
    <n v="16"/>
    <n v="1"/>
    <n v="0.46968279020746101"/>
    <n v="1"/>
    <n v="70.900000000000006"/>
    <n v="70.900000000000006"/>
    <n v="19.259549978101404"/>
    <n v="1618.5958329876753"/>
    <n v="1"/>
    <n v="0"/>
    <n v="0"/>
    <n v="0"/>
    <n v="0"/>
    <n v="0"/>
    <n v="0"/>
    <n v="0"/>
    <n v="0"/>
    <n v="0"/>
  </r>
  <r>
    <d v="2012-09-20T00:00:00"/>
    <n v="2012"/>
    <x v="32"/>
    <s v="R"/>
    <s v="RS"/>
    <x v="5"/>
    <s v="TUL"/>
    <s v="A"/>
    <n v="1"/>
    <n v="3"/>
    <n v="-2"/>
    <n v="2"/>
    <n v="-16"/>
    <n v="16"/>
    <n v="1464.447977823475"/>
    <n v="1359.8166239408276"/>
    <n v="0.48364503976010131"/>
    <n v="66"/>
    <n v="78"/>
    <n v="0"/>
    <n v="-12"/>
    <n v="0"/>
    <n v="0.4195478899559576"/>
    <n v="1"/>
    <n v="71.05"/>
    <n v="71.05"/>
    <n v="-14.416915783046067"/>
    <n v="1450.0310620404289"/>
    <n v="0"/>
    <n v="1"/>
    <n v="0"/>
    <n v="0"/>
    <n v="0"/>
    <n v="0"/>
    <n v="0"/>
    <n v="0"/>
    <n v="0"/>
    <n v="0"/>
  </r>
  <r>
    <d v="2012-09-20T00:00:00"/>
    <n v="2012"/>
    <x v="31"/>
    <s v="R"/>
    <s v="RS"/>
    <x v="7"/>
    <s v="NYL"/>
    <s v="H"/>
    <n v="3"/>
    <n v="1"/>
    <n v="2"/>
    <n v="-2"/>
    <n v="16"/>
    <n v="-16"/>
    <n v="1359.8166239408276"/>
    <n v="1464.447977823475"/>
    <n v="0.51635496023989869"/>
    <n v="78"/>
    <n v="66"/>
    <n v="0"/>
    <n v="12"/>
    <n v="1"/>
    <n v="0.4195478899559576"/>
    <n v="1"/>
    <n v="71.2"/>
    <n v="71.2"/>
    <n v="14.44735262143392"/>
    <n v="1374.2639765622616"/>
    <n v="1"/>
    <n v="0"/>
    <n v="0"/>
    <n v="0"/>
    <n v="0"/>
    <n v="0"/>
    <n v="0"/>
    <n v="0"/>
    <n v="0"/>
    <n v="0"/>
  </r>
  <r>
    <d v="2012-09-21T00:00:00"/>
    <n v="2012"/>
    <x v="32"/>
    <s v="R"/>
    <s v="RS"/>
    <x v="11"/>
    <s v="PHX"/>
    <s v="A"/>
    <n v="0"/>
    <n v="2"/>
    <n v="-2"/>
    <n v="2"/>
    <n v="-16"/>
    <n v="16"/>
    <n v="1702.894974950033"/>
    <n v="1305.193951547395"/>
    <n v="0.83501586996122834"/>
    <n v="89"/>
    <n v="66"/>
    <n v="0"/>
    <n v="23"/>
    <n v="1"/>
    <n v="0.46216739693996922"/>
    <n v="1"/>
    <n v="71.05"/>
    <n v="71.05"/>
    <n v="5.4175828143619595"/>
    <n v="1708.312557764395"/>
    <n v="1"/>
    <n v="0"/>
    <n v="0"/>
    <n v="0"/>
    <n v="0"/>
    <n v="0"/>
    <n v="0"/>
    <n v="0"/>
    <n v="0"/>
    <n v="0"/>
  </r>
  <r>
    <d v="2012-09-21T00:00:00"/>
    <n v="2012"/>
    <x v="32"/>
    <s v="R"/>
    <s v="RS"/>
    <x v="10"/>
    <s v="MIN"/>
    <s v="H"/>
    <n v="2"/>
    <n v="0"/>
    <n v="2"/>
    <n v="-2"/>
    <n v="16"/>
    <n v="-16"/>
    <n v="1305.193951547395"/>
    <n v="1702.894974950033"/>
    <n v="0.16498413003877163"/>
    <n v="66"/>
    <n v="89"/>
    <n v="0"/>
    <n v="-23"/>
    <n v="0"/>
    <n v="0.46216739693996922"/>
    <n v="1"/>
    <n v="71.05"/>
    <n v="71.05"/>
    <n v="-5.4175828143619587"/>
    <n v="1299.776368733033"/>
    <n v="0"/>
    <n v="1"/>
    <n v="0"/>
    <n v="0"/>
    <n v="0"/>
    <n v="0"/>
    <n v="0"/>
    <n v="0"/>
    <n v="0"/>
    <n v="0"/>
  </r>
  <r>
    <d v="2012-09-21T00:00:00"/>
    <n v="2012"/>
    <x v="32"/>
    <s v="R"/>
    <s v="RS"/>
    <x v="6"/>
    <s v="SEA"/>
    <s v="A"/>
    <n v="2"/>
    <n v="2"/>
    <n v="0"/>
    <n v="0"/>
    <n v="0"/>
    <n v="0"/>
    <n v="1568.559633153892"/>
    <n v="1473.2054012642468"/>
    <n v="0.51633423866517203"/>
    <n v="75"/>
    <n v="84"/>
    <n v="0"/>
    <n v="-9"/>
    <n v="0"/>
    <n v="0.37608695797906988"/>
    <n v="1"/>
    <n v="71.05"/>
    <n v="71.05"/>
    <n v="-13.796956020177676"/>
    <n v="1554.7626771337143"/>
    <n v="0"/>
    <n v="1"/>
    <n v="0"/>
    <n v="0"/>
    <n v="0"/>
    <n v="0"/>
    <n v="0"/>
    <n v="0"/>
    <n v="0"/>
    <n v="0"/>
  </r>
  <r>
    <d v="2012-09-21T00:00:00"/>
    <n v="2012"/>
    <x v="32"/>
    <s v="R"/>
    <s v="RS"/>
    <x v="1"/>
    <s v="SAS"/>
    <s v="H"/>
    <n v="2"/>
    <n v="2"/>
    <n v="0"/>
    <n v="0"/>
    <n v="0"/>
    <n v="0"/>
    <n v="1473.2054012642468"/>
    <n v="1568.559633153892"/>
    <n v="0.48366576133482797"/>
    <n v="84"/>
    <n v="75"/>
    <n v="0"/>
    <n v="9"/>
    <n v="1"/>
    <n v="0.37608695797906988"/>
    <n v="1"/>
    <n v="71.05"/>
    <n v="71.05"/>
    <n v="13.796956020177676"/>
    <n v="1487.0023572844245"/>
    <n v="1"/>
    <n v="0"/>
    <n v="0"/>
    <n v="0"/>
    <n v="0"/>
    <n v="0"/>
    <n v="0"/>
    <n v="0"/>
    <n v="0"/>
    <n v="0"/>
  </r>
  <r>
    <d v="2012-09-21T00:00:00"/>
    <n v="2012"/>
    <x v="32"/>
    <s v="R"/>
    <s v="RS"/>
    <x v="3"/>
    <s v="WAS"/>
    <s v="A"/>
    <n v="1"/>
    <n v="4"/>
    <n v="-3"/>
    <n v="3"/>
    <n v="-16"/>
    <n v="16"/>
    <n v="1592.2594210007296"/>
    <n v="1285.1003187906545"/>
    <n v="0.75033509247397168"/>
    <n v="66"/>
    <n v="53"/>
    <n v="0"/>
    <n v="13"/>
    <n v="1"/>
    <n v="0.37584121407375226"/>
    <n v="1"/>
    <n v="71.05"/>
    <n v="71.05"/>
    <n v="6.6669314169875529"/>
    <n v="1598.9263524177172"/>
    <n v="1"/>
    <n v="0"/>
    <n v="0"/>
    <n v="0"/>
    <n v="0"/>
    <n v="0"/>
    <n v="0"/>
    <n v="0"/>
    <n v="0"/>
    <n v="0"/>
  </r>
  <r>
    <d v="2012-09-21T00:00:00"/>
    <n v="2012"/>
    <x v="32"/>
    <s v="R"/>
    <s v="RS"/>
    <x v="9"/>
    <s v="IND"/>
    <s v="H"/>
    <n v="4"/>
    <n v="1"/>
    <n v="3"/>
    <n v="-3"/>
    <n v="16"/>
    <n v="-16"/>
    <n v="1285.1003187906545"/>
    <n v="1592.2594210007296"/>
    <n v="0.24966490752602832"/>
    <n v="53"/>
    <n v="66"/>
    <n v="0"/>
    <n v="-13"/>
    <n v="0"/>
    <n v="0.37584121407375226"/>
    <n v="1"/>
    <n v="71.05"/>
    <n v="71.05"/>
    <n v="-6.6669314169875529"/>
    <n v="1278.4333873736668"/>
    <n v="0"/>
    <n v="1"/>
    <n v="0"/>
    <n v="0"/>
    <n v="0"/>
    <n v="0"/>
    <n v="0"/>
    <n v="0"/>
    <n v="0"/>
    <n v="0"/>
  </r>
  <r>
    <d v="2012-09-22T00:00:00"/>
    <n v="2012"/>
    <x v="33"/>
    <s v="R"/>
    <s v="RS"/>
    <x v="9"/>
    <s v="CHI"/>
    <s v="A"/>
    <n v="0"/>
    <n v="1"/>
    <n v="-1"/>
    <n v="1"/>
    <n v="-8"/>
    <n v="8"/>
    <n v="1278.4333873736668"/>
    <n v="1452.1324273973764"/>
    <n v="0.17142829259481415"/>
    <n v="58"/>
    <n v="77"/>
    <n v="0"/>
    <n v="-19"/>
    <n v="0"/>
    <n v="0.49004408364156749"/>
    <n v="1"/>
    <n v="70.900000000000006"/>
    <n v="70.900000000000006"/>
    <n v="-5.9561261173398732"/>
    <n v="1272.477261256327"/>
    <n v="0"/>
    <n v="1"/>
    <n v="0"/>
    <n v="0"/>
    <n v="0"/>
    <n v="0"/>
    <n v="0"/>
    <n v="0"/>
    <n v="0"/>
    <n v="0"/>
  </r>
  <r>
    <d v="2012-09-22T00:00:00"/>
    <n v="2012"/>
    <x v="33"/>
    <s v="R"/>
    <s v="RS"/>
    <x v="8"/>
    <s v="WAS"/>
    <s v="H"/>
    <n v="1"/>
    <n v="0"/>
    <n v="1"/>
    <n v="-1"/>
    <n v="8"/>
    <n v="-8"/>
    <n v="1452.1324273973764"/>
    <n v="1278.4333873736668"/>
    <n v="0.82857170740518582"/>
    <n v="77"/>
    <n v="58"/>
    <n v="0"/>
    <n v="19"/>
    <n v="1"/>
    <n v="0.49004408364156749"/>
    <n v="1"/>
    <n v="70.900000000000006"/>
    <n v="70.900000000000006"/>
    <n v="5.956126117339875"/>
    <n v="1458.0885535147163"/>
    <n v="1"/>
    <n v="0"/>
    <n v="0"/>
    <n v="0"/>
    <n v="0"/>
    <n v="0"/>
    <n v="0"/>
    <n v="0"/>
    <n v="0"/>
    <n v="0"/>
  </r>
  <r>
    <d v="2012-09-22T00:00:00"/>
    <n v="2012"/>
    <x v="32"/>
    <s v="R"/>
    <s v="RS"/>
    <x v="7"/>
    <s v="NYL"/>
    <s v="A"/>
    <n v="1"/>
    <n v="1"/>
    <n v="0"/>
    <n v="0"/>
    <n v="0"/>
    <n v="0"/>
    <n v="1374.2639765622616"/>
    <n v="1450.0310620404289"/>
    <n v="0.28502039607334029"/>
    <n v="74"/>
    <n v="91"/>
    <n v="0"/>
    <n v="-17"/>
    <n v="0"/>
    <n v="0.50082063581293979"/>
    <n v="1"/>
    <n v="71.05"/>
    <n v="71.05"/>
    <n v="-10.141968019457595"/>
    <n v="1364.122008542804"/>
    <n v="0"/>
    <n v="1"/>
    <n v="0"/>
    <n v="0"/>
    <n v="0"/>
    <n v="0"/>
    <n v="0"/>
    <n v="0"/>
    <n v="0"/>
    <n v="0"/>
  </r>
  <r>
    <d v="2012-09-22T00:00:00"/>
    <n v="2012"/>
    <x v="33"/>
    <s v="R"/>
    <s v="RS"/>
    <x v="5"/>
    <s v="TUL"/>
    <s v="H"/>
    <n v="1"/>
    <n v="1"/>
    <n v="0"/>
    <n v="0"/>
    <n v="0"/>
    <n v="0"/>
    <n v="1450.0310620404289"/>
    <n v="1374.2639765622616"/>
    <n v="0.71497960392665971"/>
    <n v="91"/>
    <n v="74"/>
    <n v="0"/>
    <n v="17"/>
    <n v="1"/>
    <n v="0.50082063581293979"/>
    <n v="1"/>
    <n v="70.900000000000006"/>
    <n v="70.900000000000006"/>
    <n v="10.12055640506043"/>
    <n v="1460.1516184454892"/>
    <n v="1"/>
    <n v="0"/>
    <n v="0"/>
    <n v="0"/>
    <n v="0"/>
    <n v="0"/>
    <n v="0"/>
    <n v="0"/>
    <n v="0"/>
    <n v="0"/>
  </r>
  <r>
    <d v="2012-09-23T00:00:00"/>
    <n v="2012"/>
    <x v="33"/>
    <s v="R"/>
    <s v="RS"/>
    <x v="2"/>
    <s v="CON"/>
    <s v="A"/>
    <n v="2"/>
    <n v="3"/>
    <n v="-1"/>
    <n v="1"/>
    <n v="-8"/>
    <n v="8"/>
    <n v="1585.9784304995749"/>
    <n v="1600.8941158108669"/>
    <n v="0.3404009731298796"/>
    <n v="72"/>
    <n v="92"/>
    <n v="0"/>
    <n v="-20"/>
    <n v="0"/>
    <n v="0.5678293885504051"/>
    <n v="1"/>
    <n v="70.900000000000006"/>
    <n v="70.900000000000006"/>
    <n v="-13.704238059192042"/>
    <n v="1572.2741924403829"/>
    <n v="0"/>
    <n v="1"/>
    <n v="0"/>
    <n v="0"/>
    <n v="0"/>
    <n v="0"/>
    <n v="0"/>
    <n v="0"/>
    <n v="0"/>
    <n v="0"/>
  </r>
  <r>
    <d v="2012-09-23T00:00:00"/>
    <n v="2012"/>
    <x v="33"/>
    <s v="R"/>
    <s v="RS"/>
    <x v="4"/>
    <s v="ATL"/>
    <s v="H"/>
    <n v="3"/>
    <n v="2"/>
    <n v="1"/>
    <n v="-1"/>
    <n v="8"/>
    <n v="-8"/>
    <n v="1600.8941158108669"/>
    <n v="1585.9784304995749"/>
    <n v="0.6595990268701204"/>
    <n v="92"/>
    <n v="72"/>
    <n v="0"/>
    <n v="20"/>
    <n v="1"/>
    <n v="0.5678293885504051"/>
    <n v="1"/>
    <n v="70.900000000000006"/>
    <n v="70.900000000000006"/>
    <n v="13.704238059192042"/>
    <n v="1614.5983538700589"/>
    <n v="1"/>
    <n v="0"/>
    <n v="0"/>
    <n v="0"/>
    <n v="0"/>
    <n v="0"/>
    <n v="0"/>
    <n v="0"/>
    <n v="0"/>
    <n v="0"/>
  </r>
  <r>
    <d v="2012-09-23T00:00:00"/>
    <n v="2012"/>
    <x v="33"/>
    <s v="R"/>
    <s v="RS"/>
    <x v="7"/>
    <s v="IND"/>
    <s v="A"/>
    <n v="0"/>
    <n v="1"/>
    <n v="-1"/>
    <n v="1"/>
    <n v="-8"/>
    <n v="8"/>
    <n v="1364.122008542804"/>
    <n v="1598.9263524177172"/>
    <n v="0.12705098070703122"/>
    <n v="58"/>
    <n v="91"/>
    <n v="0"/>
    <n v="-33"/>
    <n v="0"/>
    <n v="0.61812665983045367"/>
    <n v="1"/>
    <n v="70.900000000000006"/>
    <n v="70.900000000000006"/>
    <n v="-5.5680321217828022"/>
    <n v="1358.5539764210212"/>
    <n v="0"/>
    <n v="1"/>
    <n v="0"/>
    <n v="0"/>
    <n v="0"/>
    <n v="0"/>
    <n v="0"/>
    <n v="0"/>
    <n v="0"/>
    <n v="0"/>
  </r>
  <r>
    <d v="2012-09-23T00:00:00"/>
    <n v="2012"/>
    <x v="33"/>
    <s v="R"/>
    <s v="RS"/>
    <x v="3"/>
    <s v="TUL"/>
    <s v="H"/>
    <n v="1"/>
    <n v="0"/>
    <n v="1"/>
    <n v="-1"/>
    <n v="8"/>
    <n v="-8"/>
    <n v="1598.9263524177172"/>
    <n v="1364.122008542804"/>
    <n v="0.87294901929296875"/>
    <n v="91"/>
    <n v="58"/>
    <n v="0"/>
    <n v="33"/>
    <n v="1"/>
    <n v="0.61812665983045367"/>
    <n v="1"/>
    <n v="70.900000000000006"/>
    <n v="70.900000000000006"/>
    <n v="5.5680321217828039"/>
    <n v="1604.4943845395001"/>
    <n v="1"/>
    <n v="0"/>
    <n v="0"/>
    <n v="0"/>
    <n v="0"/>
    <n v="0"/>
    <n v="0"/>
    <n v="0"/>
    <n v="0"/>
    <n v="0"/>
  </r>
  <r>
    <d v="2012-09-23T00:00:00"/>
    <n v="2012"/>
    <x v="33"/>
    <s v="R"/>
    <s v="RS"/>
    <x v="1"/>
    <s v="PHX"/>
    <s v="A"/>
    <n v="1"/>
    <n v="1"/>
    <n v="0"/>
    <n v="0"/>
    <n v="0"/>
    <n v="0"/>
    <n v="1487.0023572844245"/>
    <n v="1299.776368733033"/>
    <n v="0.64433203354091784"/>
    <n v="71"/>
    <n v="57"/>
    <n v="0"/>
    <n v="14"/>
    <n v="1"/>
    <n v="0.42179841573754123"/>
    <n v="1"/>
    <n v="70.900000000000006"/>
    <n v="70.900000000000006"/>
    <n v="10.636431100975297"/>
    <n v="1497.6387883853997"/>
    <n v="1"/>
    <n v="0"/>
    <n v="0"/>
    <n v="0"/>
    <n v="0"/>
    <n v="0"/>
    <n v="0"/>
    <n v="0"/>
    <n v="0"/>
    <n v="0"/>
  </r>
  <r>
    <d v="2012-09-23T00:00:00"/>
    <n v="2012"/>
    <x v="33"/>
    <s v="R"/>
    <s v="RS"/>
    <x v="10"/>
    <s v="SEA"/>
    <s v="H"/>
    <n v="1"/>
    <n v="1"/>
    <n v="0"/>
    <n v="0"/>
    <n v="0"/>
    <n v="0"/>
    <n v="1299.776368733033"/>
    <n v="1487.0023572844245"/>
    <n v="0.35566796645908222"/>
    <n v="57"/>
    <n v="71"/>
    <n v="0"/>
    <n v="-14"/>
    <n v="0"/>
    <n v="0.42179841573754123"/>
    <n v="1"/>
    <n v="70.900000000000006"/>
    <n v="70.900000000000006"/>
    <n v="-10.636431100975299"/>
    <n v="1289.1399376320578"/>
    <n v="0"/>
    <n v="1"/>
    <n v="0"/>
    <n v="0"/>
    <n v="0"/>
    <n v="0"/>
    <n v="0"/>
    <n v="0"/>
    <n v="0"/>
    <n v="0"/>
  </r>
  <r>
    <d v="2012-09-23T00:00:00"/>
    <n v="2012"/>
    <x v="33"/>
    <s v="R"/>
    <s v="RS"/>
    <x v="11"/>
    <s v="SAS"/>
    <s v="A"/>
    <n v="1"/>
    <n v="1"/>
    <n v="0"/>
    <n v="0"/>
    <n v="0"/>
    <n v="0"/>
    <n v="1708.312557764395"/>
    <n v="1554.7626771337143"/>
    <n v="0.59877446223873876"/>
    <n v="84"/>
    <n v="99"/>
    <n v="0"/>
    <n v="-15"/>
    <n v="0"/>
    <n v="0.44580376555709672"/>
    <n v="1"/>
    <n v="70.900000000000006"/>
    <n v="70.900000000000006"/>
    <n v="-18.925756017968787"/>
    <n v="1689.3868017464263"/>
    <n v="0"/>
    <n v="1"/>
    <n v="0"/>
    <n v="0"/>
    <n v="0"/>
    <n v="0"/>
    <n v="0"/>
    <n v="0"/>
    <n v="0"/>
    <n v="0"/>
  </r>
  <r>
    <d v="2012-09-23T00:00:00"/>
    <n v="2012"/>
    <x v="33"/>
    <s v="R"/>
    <s v="RS"/>
    <x v="6"/>
    <s v="MIN"/>
    <s v="H"/>
    <n v="1"/>
    <n v="1"/>
    <n v="0"/>
    <n v="0"/>
    <n v="0"/>
    <n v="0"/>
    <n v="1554.7626771337143"/>
    <n v="1708.312557764395"/>
    <n v="0.40122553776126124"/>
    <n v="99"/>
    <n v="84"/>
    <n v="0"/>
    <n v="15"/>
    <n v="1"/>
    <n v="0.44580376555709672"/>
    <n v="1"/>
    <n v="70.900000000000006"/>
    <n v="70.900000000000006"/>
    <n v="18.925756017968787"/>
    <n v="1573.6884331516831"/>
    <n v="1"/>
    <n v="0"/>
    <n v="0"/>
    <n v="0"/>
    <n v="0"/>
    <n v="0"/>
    <n v="0"/>
    <n v="0"/>
    <n v="0"/>
    <n v="0"/>
  </r>
  <r>
    <d v="2012-09-27T00:00:00"/>
    <n v="2012"/>
    <x v="34"/>
    <s v="P"/>
    <n v="1"/>
    <x v="5"/>
    <s v="CON"/>
    <s v="A"/>
    <n v="4"/>
    <n v="3"/>
    <n v="1"/>
    <n v="-1"/>
    <n v="8"/>
    <n v="-8"/>
    <n v="1460.1516184454892"/>
    <n v="1614.5983538700589"/>
    <n v="0.2174640452190674"/>
    <n v="60"/>
    <n v="65"/>
    <n v="0"/>
    <n v="-5"/>
    <n v="0"/>
    <n v="0.29392604385340054"/>
    <n v="1.1000000000000001"/>
    <n v="70.75"/>
    <n v="77.825000000000003"/>
    <n v="-4.9744453157085742"/>
    <n v="1455.1771731297806"/>
    <n v="0"/>
    <n v="0"/>
    <n v="0"/>
    <n v="1"/>
    <n v="0"/>
    <n v="0"/>
    <n v="0"/>
    <n v="0"/>
    <n v="0"/>
    <n v="0"/>
  </r>
  <r>
    <d v="2012-09-27T00:00:00"/>
    <n v="2012"/>
    <x v="34"/>
    <s v="P"/>
    <n v="1"/>
    <x v="4"/>
    <s v="NYL"/>
    <s v="H"/>
    <n v="3"/>
    <n v="4"/>
    <n v="-1"/>
    <n v="1"/>
    <n v="-8"/>
    <n v="8"/>
    <n v="1614.5983538700589"/>
    <n v="1460.1516184454892"/>
    <n v="0.78253595478093263"/>
    <n v="65"/>
    <n v="60"/>
    <n v="0"/>
    <n v="5"/>
    <n v="1"/>
    <n v="0.29392604385340054"/>
    <n v="1.1000000000000001"/>
    <n v="70.75"/>
    <n v="77.825000000000003"/>
    <n v="4.9744453157085742"/>
    <n v="1619.5727991857675"/>
    <n v="0"/>
    <n v="0"/>
    <n v="1"/>
    <n v="0"/>
    <n v="0"/>
    <n v="0"/>
    <n v="0"/>
    <n v="0"/>
    <n v="0"/>
    <n v="0"/>
  </r>
  <r>
    <d v="2012-09-27T00:00:00"/>
    <n v="2012"/>
    <x v="34"/>
    <s v="P"/>
    <n v="1"/>
    <x v="6"/>
    <s v="LAS"/>
    <s v="A"/>
    <n v="3"/>
    <n v="6"/>
    <n v="-3"/>
    <n v="3"/>
    <n v="-16"/>
    <n v="16"/>
    <n v="1573.6884331516831"/>
    <n v="1618.5958329876753"/>
    <n v="0.28368461312226345"/>
    <n v="86"/>
    <n v="93"/>
    <n v="0"/>
    <n v="-7"/>
    <n v="0"/>
    <n v="0.35675633950211461"/>
    <n v="1.1000000000000001"/>
    <n v="70.75"/>
    <n v="77.825000000000003"/>
    <n v="-7.8763790640182867"/>
    <n v="1565.8120540876648"/>
    <n v="0"/>
    <n v="0"/>
    <n v="0"/>
    <n v="1"/>
    <n v="0"/>
    <n v="0"/>
    <n v="0"/>
    <n v="0"/>
    <n v="0"/>
    <n v="0"/>
  </r>
  <r>
    <d v="2012-09-27T00:00:00"/>
    <n v="2012"/>
    <x v="34"/>
    <s v="P"/>
    <n v="1"/>
    <x v="0"/>
    <s v="SAS"/>
    <s v="H"/>
    <n v="6"/>
    <n v="3"/>
    <n v="3"/>
    <n v="-3"/>
    <n v="16"/>
    <n v="-16"/>
    <n v="1618.5958329876753"/>
    <n v="1573.6884331516831"/>
    <n v="0.71631538687773666"/>
    <n v="93"/>
    <n v="86"/>
    <n v="0"/>
    <n v="7"/>
    <n v="1"/>
    <n v="0.35675633950211461"/>
    <n v="1.1000000000000001"/>
    <n v="70.75"/>
    <n v="77.825000000000003"/>
    <n v="7.8763790640182831"/>
    <n v="1626.4722120516935"/>
    <n v="0"/>
    <n v="0"/>
    <n v="1"/>
    <n v="0"/>
    <n v="0"/>
    <n v="0"/>
    <n v="0"/>
    <n v="0"/>
    <n v="0"/>
    <n v="0"/>
  </r>
  <r>
    <d v="2012-09-28T00:00:00"/>
    <n v="2012"/>
    <x v="34"/>
    <s v="P"/>
    <n v="1"/>
    <x v="2"/>
    <s v="IND"/>
    <s v="A"/>
    <n v="4"/>
    <n v="4"/>
    <n v="0"/>
    <n v="0"/>
    <n v="0"/>
    <n v="0"/>
    <n v="1572.2741924403829"/>
    <n v="1604.4943845395001"/>
    <n v="0.33871694005058456"/>
    <n v="75"/>
    <n v="66"/>
    <n v="0"/>
    <n v="9"/>
    <n v="1"/>
    <n v="0.39535615119793854"/>
    <n v="1.1000000000000001"/>
    <n v="70.75"/>
    <n v="77.825000000000003"/>
    <n v="20.346748976900784"/>
    <n v="1592.6209414172836"/>
    <n v="0"/>
    <n v="0"/>
    <n v="1"/>
    <n v="0"/>
    <n v="0"/>
    <n v="0"/>
    <n v="0"/>
    <n v="0"/>
    <n v="0"/>
    <n v="0"/>
  </r>
  <r>
    <d v="2012-09-28T00:00:00"/>
    <n v="2012"/>
    <x v="34"/>
    <s v="P"/>
    <n v="1"/>
    <x v="3"/>
    <s v="ATL"/>
    <s v="H"/>
    <n v="4"/>
    <n v="4"/>
    <n v="0"/>
    <n v="0"/>
    <n v="0"/>
    <n v="0"/>
    <n v="1604.4943845395001"/>
    <n v="1572.2741924403829"/>
    <n v="0.66128305994941539"/>
    <n v="66"/>
    <n v="75"/>
    <n v="0"/>
    <n v="-9"/>
    <n v="0"/>
    <n v="0.39535615119793854"/>
    <n v="1.1000000000000001"/>
    <n v="70.75"/>
    <n v="77.825000000000003"/>
    <n v="-20.346748976900781"/>
    <n v="1584.1476355625994"/>
    <n v="0"/>
    <n v="0"/>
    <n v="0"/>
    <n v="1"/>
    <n v="0"/>
    <n v="0"/>
    <n v="0"/>
    <n v="0"/>
    <n v="0"/>
    <n v="0"/>
  </r>
  <r>
    <d v="2012-09-28T00:00:00"/>
    <n v="2012"/>
    <x v="34"/>
    <s v="P"/>
    <n v="1"/>
    <x v="1"/>
    <s v="MIN"/>
    <s v="A"/>
    <n v="4"/>
    <n v="4"/>
    <n v="0"/>
    <n v="0"/>
    <n v="0"/>
    <n v="0"/>
    <n v="1497.6387883853997"/>
    <n v="1689.3868017464263"/>
    <n v="0.16975943317392478"/>
    <n v="70"/>
    <n v="78"/>
    <n v="0"/>
    <n v="-8"/>
    <n v="0"/>
    <n v="0.33481538147001427"/>
    <n v="1.1000000000000001"/>
    <n v="70.75"/>
    <n v="77.825000000000003"/>
    <n v="-4.4234227492075142"/>
    <n v="1493.2153656361922"/>
    <n v="0"/>
    <n v="0"/>
    <n v="0"/>
    <n v="1"/>
    <n v="0"/>
    <n v="0"/>
    <n v="0"/>
    <n v="0"/>
    <n v="0"/>
    <n v="0"/>
  </r>
  <r>
    <d v="2012-09-28T00:00:00"/>
    <n v="2012"/>
    <x v="34"/>
    <s v="P"/>
    <n v="1"/>
    <x v="11"/>
    <s v="SEA"/>
    <s v="H"/>
    <n v="4"/>
    <n v="4"/>
    <n v="0"/>
    <n v="0"/>
    <n v="0"/>
    <n v="0"/>
    <n v="1689.3868017464263"/>
    <n v="1497.6387883853997"/>
    <n v="0.83024056682607517"/>
    <n v="78"/>
    <n v="70"/>
    <n v="0"/>
    <n v="8"/>
    <n v="1"/>
    <n v="0.33481538147001427"/>
    <n v="1.1000000000000001"/>
    <n v="70.75"/>
    <n v="77.825000000000003"/>
    <n v="4.4234227492075151"/>
    <n v="1693.8102244956337"/>
    <n v="0"/>
    <n v="0"/>
    <n v="1"/>
    <n v="0"/>
    <n v="0"/>
    <n v="0"/>
    <n v="0"/>
    <n v="0"/>
    <n v="0"/>
    <n v="0"/>
  </r>
  <r>
    <d v="2012-09-29T00:00:00"/>
    <n v="2012"/>
    <x v="35"/>
    <s v="P"/>
    <n v="1"/>
    <x v="4"/>
    <s v="NYL"/>
    <s v="A"/>
    <n v="1"/>
    <n v="1"/>
    <n v="0"/>
    <n v="0"/>
    <n v="0"/>
    <n v="0"/>
    <n v="1619.5727991857675"/>
    <n v="1455.1771731297806"/>
    <n v="0.6136768817614433"/>
    <n v="75"/>
    <n v="62"/>
    <n v="0"/>
    <n v="13"/>
    <n v="1"/>
    <n v="0.41516734293143887"/>
    <n v="1.1000000000000001"/>
    <n v="70.599999999999994"/>
    <n v="77.66"/>
    <n v="12.455789743488884"/>
    <n v="1632.0285889292563"/>
    <n v="0"/>
    <n v="0"/>
    <n v="1"/>
    <n v="0"/>
    <n v="0"/>
    <n v="0"/>
    <n v="0"/>
    <n v="0"/>
    <n v="0"/>
    <n v="0"/>
  </r>
  <r>
    <d v="2012-09-29T00:00:00"/>
    <n v="2012"/>
    <x v="35"/>
    <s v="P"/>
    <n v="1"/>
    <x v="5"/>
    <s v="CON"/>
    <s v="H"/>
    <n v="1"/>
    <n v="1"/>
    <n v="0"/>
    <n v="0"/>
    <n v="0"/>
    <n v="0"/>
    <n v="1455.1771731297806"/>
    <n v="1619.5727991857675"/>
    <n v="0.3863231182385567"/>
    <n v="62"/>
    <n v="75"/>
    <n v="0"/>
    <n v="-13"/>
    <n v="0"/>
    <n v="0.41516734293143887"/>
    <n v="1.1000000000000001"/>
    <n v="70.599999999999994"/>
    <n v="77.66"/>
    <n v="-12.455789743488884"/>
    <n v="1442.7213833862918"/>
    <n v="0"/>
    <n v="0"/>
    <n v="0"/>
    <n v="1"/>
    <n v="0"/>
    <n v="0"/>
    <n v="0"/>
    <n v="0"/>
    <n v="0"/>
    <n v="0"/>
  </r>
  <r>
    <d v="2012-09-29T00:00:00"/>
    <n v="2012"/>
    <x v="35"/>
    <s v="P"/>
    <n v="1"/>
    <x v="0"/>
    <s v="SAS"/>
    <s v="A"/>
    <n v="1"/>
    <n v="1"/>
    <n v="0"/>
    <n v="0"/>
    <n v="0"/>
    <n v="0"/>
    <n v="1626.4722120516935"/>
    <n v="1565.8120540876648"/>
    <n v="0.46646170278784788"/>
    <n v="101"/>
    <n v="94"/>
    <n v="0"/>
    <n v="7"/>
    <n v="1"/>
    <n v="0.35229843997120802"/>
    <n v="1.1000000000000001"/>
    <n v="70.599999999999994"/>
    <n v="77.66"/>
    <n v="14.59733936095067"/>
    <n v="1641.0695514126442"/>
    <n v="0"/>
    <n v="0"/>
    <n v="1"/>
    <n v="0"/>
    <n v="0"/>
    <n v="0"/>
    <n v="0"/>
    <n v="0"/>
    <n v="0"/>
    <n v="0"/>
  </r>
  <r>
    <d v="2012-09-29T00:00:00"/>
    <n v="2012"/>
    <x v="35"/>
    <s v="P"/>
    <n v="1"/>
    <x v="6"/>
    <s v="LAS"/>
    <s v="H"/>
    <n v="1"/>
    <n v="1"/>
    <n v="0"/>
    <n v="0"/>
    <n v="0"/>
    <n v="0"/>
    <n v="1565.8120540876648"/>
    <n v="1626.4722120516935"/>
    <n v="0.53353829721215207"/>
    <n v="94"/>
    <n v="101"/>
    <n v="0"/>
    <n v="-7"/>
    <n v="0"/>
    <n v="0.35229843997120802"/>
    <n v="1.1000000000000001"/>
    <n v="70.599999999999994"/>
    <n v="77.66"/>
    <n v="-14.59733936095067"/>
    <n v="1551.2147147267142"/>
    <n v="0"/>
    <n v="0"/>
    <n v="0"/>
    <n v="1"/>
    <n v="0"/>
    <n v="0"/>
    <n v="0"/>
    <n v="0"/>
    <n v="0"/>
    <n v="0"/>
  </r>
  <r>
    <d v="2012-09-30T00:00:00"/>
    <n v="2012"/>
    <x v="35"/>
    <s v="P"/>
    <n v="1"/>
    <x v="3"/>
    <s v="ATL"/>
    <s v="A"/>
    <n v="1"/>
    <n v="1"/>
    <n v="0"/>
    <n v="0"/>
    <n v="0"/>
    <n v="0"/>
    <n v="1584.1476355625994"/>
    <n v="1592.6209414172836"/>
    <n v="0.36997614832369996"/>
    <n v="103"/>
    <n v="88"/>
    <n v="0"/>
    <n v="15"/>
    <n v="1"/>
    <n v="0.49932226945447783"/>
    <n v="1.1000000000000001"/>
    <n v="70.599999999999994"/>
    <n v="77.66"/>
    <n v="24.430666396091976"/>
    <n v="1608.5783019586913"/>
    <n v="0"/>
    <n v="0"/>
    <n v="1"/>
    <n v="0"/>
    <n v="0"/>
    <n v="0"/>
    <n v="0"/>
    <n v="0"/>
    <n v="0"/>
    <n v="0"/>
  </r>
  <r>
    <d v="2012-09-30T00:00:00"/>
    <n v="2012"/>
    <x v="35"/>
    <s v="P"/>
    <n v="1"/>
    <x v="2"/>
    <s v="IND"/>
    <s v="H"/>
    <n v="1"/>
    <n v="1"/>
    <n v="0"/>
    <n v="0"/>
    <n v="0"/>
    <n v="0"/>
    <n v="1592.6209414172836"/>
    <n v="1584.1476355625994"/>
    <n v="0.63002385167630004"/>
    <n v="88"/>
    <n v="103"/>
    <n v="0"/>
    <n v="-15"/>
    <n v="0"/>
    <n v="0.49932226945447783"/>
    <n v="1.1000000000000001"/>
    <n v="70.599999999999994"/>
    <n v="77.66"/>
    <n v="-24.430666396091976"/>
    <n v="1568.1902750211916"/>
    <n v="0"/>
    <n v="0"/>
    <n v="0"/>
    <n v="1"/>
    <n v="0"/>
    <n v="0"/>
    <n v="0"/>
    <n v="0"/>
    <n v="0"/>
    <n v="0"/>
  </r>
  <r>
    <d v="2012-09-30T00:00:00"/>
    <n v="2012"/>
    <x v="35"/>
    <s v="P"/>
    <n v="1"/>
    <x v="11"/>
    <s v="SEA"/>
    <s v="A"/>
    <n v="1"/>
    <n v="1"/>
    <n v="0"/>
    <n v="0"/>
    <n v="0"/>
    <n v="0"/>
    <n v="1693.8102244956337"/>
    <n v="1493.2153656361922"/>
    <n v="0.66176597858705521"/>
    <n v="79"/>
    <n v="86"/>
    <n v="1"/>
    <n v="-7"/>
    <n v="0"/>
    <n v="0.28538998537494964"/>
    <n v="1.1000000000000001"/>
    <n v="70.599999999999994"/>
    <n v="77.66"/>
    <n v="-14.666974999943511"/>
    <n v="1679.1432494956903"/>
    <n v="0"/>
    <n v="0"/>
    <n v="0"/>
    <n v="1"/>
    <n v="0"/>
    <n v="0"/>
    <n v="0"/>
    <n v="0"/>
    <n v="0"/>
    <n v="0"/>
  </r>
  <r>
    <d v="2012-09-30T00:00:00"/>
    <n v="2012"/>
    <x v="35"/>
    <s v="P"/>
    <n v="1"/>
    <x v="1"/>
    <s v="MIN"/>
    <s v="H"/>
    <n v="1"/>
    <n v="1"/>
    <n v="0"/>
    <n v="0"/>
    <n v="0"/>
    <n v="0"/>
    <n v="1493.2153656361922"/>
    <n v="1693.8102244956337"/>
    <n v="0.33823402141294467"/>
    <n v="86"/>
    <n v="79"/>
    <n v="1"/>
    <n v="7"/>
    <n v="1"/>
    <n v="0.28538998537494964"/>
    <n v="1.1000000000000001"/>
    <n v="70.599999999999994"/>
    <n v="77.66"/>
    <n v="14.666974999943514"/>
    <n v="1507.8823406361357"/>
    <n v="0"/>
    <n v="0"/>
    <n v="1"/>
    <n v="0"/>
    <n v="0"/>
    <n v="0"/>
    <n v="0"/>
    <n v="0"/>
    <n v="0"/>
    <n v="0"/>
  </r>
  <r>
    <d v="2012-10-02T00:00:00"/>
    <n v="2012"/>
    <x v="36"/>
    <s v="P"/>
    <n v="1"/>
    <x v="2"/>
    <s v="IND"/>
    <s v="A"/>
    <n v="1"/>
    <n v="1"/>
    <n v="0"/>
    <n v="0"/>
    <n v="0"/>
    <n v="0"/>
    <n v="1568.1902750211916"/>
    <n v="1608.5783019586913"/>
    <n v="0.32826669064358655"/>
    <n v="64"/>
    <n v="75"/>
    <n v="0"/>
    <n v="-11"/>
    <n v="0"/>
    <n v="0.42551455903060925"/>
    <n v="1.1000000000000001"/>
    <n v="70.45"/>
    <n v="77.495000000000005"/>
    <n v="-10.824676437526778"/>
    <n v="1557.3655985836649"/>
    <n v="0"/>
    <n v="0"/>
    <n v="0"/>
    <n v="1"/>
    <n v="0"/>
    <n v="0"/>
    <n v="0"/>
    <n v="0"/>
    <n v="0"/>
    <n v="0"/>
  </r>
  <r>
    <d v="2012-10-02T00:00:00"/>
    <n v="2012"/>
    <x v="36"/>
    <s v="P"/>
    <n v="1"/>
    <x v="3"/>
    <s v="ATL"/>
    <s v="H"/>
    <n v="1"/>
    <n v="1"/>
    <n v="0"/>
    <n v="0"/>
    <n v="0"/>
    <n v="0"/>
    <n v="1608.5783019586913"/>
    <n v="1568.1902750211916"/>
    <n v="0.67173330935641351"/>
    <n v="75"/>
    <n v="64"/>
    <n v="0"/>
    <n v="11"/>
    <n v="1"/>
    <n v="0.42551455903060925"/>
    <n v="1.1000000000000001"/>
    <n v="70.45"/>
    <n v="77.495000000000005"/>
    <n v="10.824676437526776"/>
    <n v="1619.402978396218"/>
    <n v="0"/>
    <n v="0"/>
    <n v="1"/>
    <n v="0"/>
    <n v="0"/>
    <n v="0"/>
    <n v="0"/>
    <n v="0"/>
    <n v="0"/>
    <n v="0"/>
  </r>
  <r>
    <d v="2012-10-02T00:00:00"/>
    <n v="2012"/>
    <x v="36"/>
    <s v="P"/>
    <n v="1"/>
    <x v="1"/>
    <s v="MIN"/>
    <s v="A"/>
    <n v="1"/>
    <n v="1"/>
    <n v="0"/>
    <n v="0"/>
    <n v="0"/>
    <n v="0"/>
    <n v="1507.8823406361357"/>
    <n v="1679.1432494956903"/>
    <n v="0.18703384199268966"/>
    <n v="72"/>
    <n v="73"/>
    <n v="0"/>
    <n v="-1"/>
    <n v="0"/>
    <n v="0.21368333572787859"/>
    <n v="1.1000000000000001"/>
    <n v="70.45"/>
    <n v="77.495000000000005"/>
    <n v="-3.0971663518761599"/>
    <n v="1504.7851742842595"/>
    <n v="0"/>
    <n v="0"/>
    <n v="0"/>
    <n v="1"/>
    <n v="0"/>
    <n v="0"/>
    <n v="0"/>
    <n v="0"/>
    <n v="0"/>
    <n v="0"/>
  </r>
  <r>
    <d v="2012-10-02T00:00:00"/>
    <n v="2012"/>
    <x v="36"/>
    <s v="P"/>
    <n v="1"/>
    <x v="11"/>
    <s v="SEA"/>
    <s v="H"/>
    <n v="1"/>
    <n v="1"/>
    <n v="0"/>
    <n v="0"/>
    <n v="0"/>
    <n v="0"/>
    <n v="1679.1432494956903"/>
    <n v="1507.8823406361357"/>
    <n v="0.81296615800731031"/>
    <n v="73"/>
    <n v="72"/>
    <n v="0"/>
    <n v="1"/>
    <n v="1"/>
    <n v="0.21368333572787859"/>
    <n v="1.1000000000000001"/>
    <n v="70.45"/>
    <n v="77.495000000000005"/>
    <n v="3.0971663518761603"/>
    <n v="1682.2404158475665"/>
    <n v="0"/>
    <n v="0"/>
    <n v="1"/>
    <n v="0"/>
    <n v="0"/>
    <n v="0"/>
    <n v="0"/>
    <n v="0"/>
    <n v="0"/>
    <n v="0"/>
  </r>
  <r>
    <d v="2012-10-04T00:00:00"/>
    <n v="2012"/>
    <x v="36"/>
    <s v="P"/>
    <n v="2"/>
    <x v="0"/>
    <s v="MIN"/>
    <s v="A"/>
    <n v="4"/>
    <n v="1"/>
    <n v="3"/>
    <n v="-3"/>
    <n v="16"/>
    <n v="-16"/>
    <n v="1641.0695514126442"/>
    <n v="1682.2404158475665"/>
    <n v="0.36904065686096449"/>
    <n v="77"/>
    <n v="94"/>
    <n v="0"/>
    <n v="-17"/>
    <n v="0"/>
    <n v="0.51478043934691275"/>
    <n v="1.2"/>
    <n v="70.45"/>
    <n v="84.54"/>
    <n v="-16.060479016160802"/>
    <n v="1625.0090723964834"/>
    <n v="0"/>
    <n v="0"/>
    <n v="0"/>
    <n v="0"/>
    <n v="0"/>
    <n v="1"/>
    <n v="0"/>
    <n v="0"/>
    <n v="0"/>
    <n v="0"/>
  </r>
  <r>
    <d v="2012-10-04T00:00:00"/>
    <n v="2012"/>
    <x v="37"/>
    <s v="P"/>
    <n v="2"/>
    <x v="11"/>
    <s v="LAS"/>
    <s v="H"/>
    <n v="1"/>
    <n v="4"/>
    <n v="-3"/>
    <n v="3"/>
    <n v="-16"/>
    <n v="16"/>
    <n v="1682.2404158475665"/>
    <n v="1641.0695514126442"/>
    <n v="0.63095934313903557"/>
    <n v="94"/>
    <n v="77"/>
    <n v="0"/>
    <n v="17"/>
    <n v="1"/>
    <n v="0.51478043934691275"/>
    <n v="1.2"/>
    <n v="70.3"/>
    <n v="84.36"/>
    <n v="16.02628353209516"/>
    <n v="1698.2666993796618"/>
    <n v="0"/>
    <n v="0"/>
    <n v="0"/>
    <n v="0"/>
    <n v="1"/>
    <n v="0"/>
    <n v="0"/>
    <n v="0"/>
    <n v="0"/>
    <n v="0"/>
  </r>
  <r>
    <d v="2012-10-05T00:00:00"/>
    <n v="2012"/>
    <x v="37"/>
    <s v="P"/>
    <n v="2"/>
    <x v="3"/>
    <s v="CON"/>
    <s v="A"/>
    <n v="2"/>
    <n v="5"/>
    <n v="-3"/>
    <n v="3"/>
    <n v="-16"/>
    <n v="16"/>
    <n v="1619.402978396218"/>
    <n v="1632.0285889292563"/>
    <n v="0.32291044239757094"/>
    <n v="64"/>
    <n v="76"/>
    <n v="0"/>
    <n v="-12"/>
    <n v="0"/>
    <n v="0.45138031634615228"/>
    <n v="1.2"/>
    <n v="70.3"/>
    <n v="84.36"/>
    <n v="-12.295927032185611"/>
    <n v="1607.1070513640325"/>
    <n v="0"/>
    <n v="0"/>
    <n v="0"/>
    <n v="0"/>
    <n v="0"/>
    <n v="1"/>
    <n v="0"/>
    <n v="0"/>
    <n v="0"/>
    <n v="0"/>
  </r>
  <r>
    <d v="2012-10-05T00:00:00"/>
    <n v="2012"/>
    <x v="36"/>
    <s v="P"/>
    <n v="2"/>
    <x v="4"/>
    <s v="IND"/>
    <s v="H"/>
    <n v="5"/>
    <n v="2"/>
    <n v="3"/>
    <n v="-3"/>
    <n v="16"/>
    <n v="-16"/>
    <n v="1632.0285889292563"/>
    <n v="1619.402978396218"/>
    <n v="0.67708955760242906"/>
    <n v="76"/>
    <n v="64"/>
    <n v="0"/>
    <n v="12"/>
    <n v="1"/>
    <n v="0.45138031634615228"/>
    <n v="1.2"/>
    <n v="70.45"/>
    <n v="84.54"/>
    <n v="12.322163007360974"/>
    <n v="1644.3507519366174"/>
    <n v="0"/>
    <n v="0"/>
    <n v="0"/>
    <n v="0"/>
    <n v="1"/>
    <n v="0"/>
    <n v="0"/>
    <n v="0"/>
    <n v="0"/>
    <n v="0"/>
  </r>
  <r>
    <d v="2012-10-07T00:00:00"/>
    <n v="2012"/>
    <x v="38"/>
    <s v="P"/>
    <n v="2"/>
    <x v="11"/>
    <s v="LAS"/>
    <s v="A"/>
    <n v="2"/>
    <n v="2"/>
    <n v="0"/>
    <n v="0"/>
    <n v="0"/>
    <n v="0"/>
    <n v="1698.2666993796618"/>
    <n v="1625.0090723964834"/>
    <n v="0.48454540699895282"/>
    <n v="80"/>
    <n v="79"/>
    <n v="0"/>
    <n v="1"/>
    <n v="1"/>
    <n v="0.2301306498768951"/>
    <n v="1.2"/>
    <n v="70.150000000000006"/>
    <n v="84.18"/>
    <n v="9.9855915815108496"/>
    <n v="1708.2522909611725"/>
    <n v="0"/>
    <n v="0"/>
    <n v="0"/>
    <n v="0"/>
    <n v="1"/>
    <n v="0"/>
    <n v="0"/>
    <n v="0"/>
    <n v="0"/>
    <n v="0"/>
  </r>
  <r>
    <d v="2012-10-07T00:00:00"/>
    <n v="2012"/>
    <x v="37"/>
    <s v="P"/>
    <n v="2"/>
    <x v="0"/>
    <s v="MIN"/>
    <s v="H"/>
    <n v="2"/>
    <n v="2"/>
    <n v="0"/>
    <n v="0"/>
    <n v="0"/>
    <n v="0"/>
    <n v="1625.0090723964834"/>
    <n v="1698.2666993796618"/>
    <n v="0.51545459300104723"/>
    <n v="79"/>
    <n v="80"/>
    <n v="0"/>
    <n v="-1"/>
    <n v="0"/>
    <n v="0.2301306498768951"/>
    <n v="1.2"/>
    <n v="70.3"/>
    <n v="84.36"/>
    <n v="-10.006943523595334"/>
    <n v="1615.0021288728881"/>
    <n v="0"/>
    <n v="0"/>
    <n v="0"/>
    <n v="0"/>
    <n v="0"/>
    <n v="1"/>
    <n v="0"/>
    <n v="0"/>
    <n v="0"/>
    <n v="0"/>
  </r>
  <r>
    <d v="2012-10-08T00:00:00"/>
    <n v="2012"/>
    <x v="37"/>
    <s v="P"/>
    <n v="2"/>
    <x v="4"/>
    <s v="IND"/>
    <s v="A"/>
    <n v="2"/>
    <n v="2"/>
    <n v="0"/>
    <n v="0"/>
    <n v="0"/>
    <n v="0"/>
    <n v="1644.3507519366174"/>
    <n v="1607.1070513640325"/>
    <n v="0.4331155608977118"/>
    <n v="76"/>
    <n v="78"/>
    <n v="0"/>
    <n v="-2"/>
    <n v="0"/>
    <n v="0.2597787200879329"/>
    <n v="1.2"/>
    <n v="70.3"/>
    <n v="84.36"/>
    <n v="-9.4916984232363415"/>
    <n v="1634.859053513381"/>
    <n v="0"/>
    <n v="0"/>
    <n v="0"/>
    <n v="0"/>
    <n v="0"/>
    <n v="1"/>
    <n v="0"/>
    <n v="0"/>
    <n v="0"/>
    <n v="0"/>
  </r>
  <r>
    <d v="2012-10-08T00:00:00"/>
    <n v="2012"/>
    <x v="38"/>
    <s v="P"/>
    <n v="2"/>
    <x v="3"/>
    <s v="CON"/>
    <s v="H"/>
    <n v="2"/>
    <n v="2"/>
    <n v="0"/>
    <n v="0"/>
    <n v="0"/>
    <n v="0"/>
    <n v="1607.1070513640325"/>
    <n v="1644.3507519366174"/>
    <n v="0.56688443910228825"/>
    <n v="78"/>
    <n v="76"/>
    <n v="0"/>
    <n v="2"/>
    <n v="1"/>
    <n v="0.2597787200879329"/>
    <n v="1.2"/>
    <n v="70.150000000000006"/>
    <n v="84.18"/>
    <n v="9.4714458661455083"/>
    <n v="1616.5784972301781"/>
    <n v="0"/>
    <n v="0"/>
    <n v="0"/>
    <n v="0"/>
    <n v="1"/>
    <n v="0"/>
    <n v="0"/>
    <n v="0"/>
    <n v="0"/>
    <n v="0"/>
  </r>
  <r>
    <d v="2012-10-11T00:00:00"/>
    <n v="2012"/>
    <x v="39"/>
    <s v="P"/>
    <n v="2"/>
    <x v="3"/>
    <s v="CON"/>
    <s v="A"/>
    <n v="2"/>
    <n v="2"/>
    <n v="0"/>
    <n v="0"/>
    <n v="0"/>
    <n v="0"/>
    <n v="1616.5784972301781"/>
    <n v="1634.859053513381"/>
    <n v="0.3569161567355485"/>
    <n v="87"/>
    <n v="71"/>
    <n v="0"/>
    <n v="16"/>
    <n v="1"/>
    <n v="0.51001654383428907"/>
    <n v="1.2"/>
    <n v="70"/>
    <n v="84"/>
    <n v="27.550605527542203"/>
    <n v="1644.1291027577204"/>
    <n v="0"/>
    <n v="0"/>
    <n v="0"/>
    <n v="0"/>
    <n v="1"/>
    <n v="0"/>
    <n v="0"/>
    <n v="0"/>
    <n v="0"/>
    <n v="0"/>
  </r>
  <r>
    <d v="2012-10-11T00:00:00"/>
    <n v="2012"/>
    <x v="38"/>
    <s v="P"/>
    <n v="2"/>
    <x v="4"/>
    <s v="IND"/>
    <s v="H"/>
    <n v="2"/>
    <n v="2"/>
    <n v="0"/>
    <n v="0"/>
    <n v="0"/>
    <n v="0"/>
    <n v="1634.859053513381"/>
    <n v="1616.5784972301781"/>
    <n v="0.64308384326445156"/>
    <n v="71"/>
    <n v="87"/>
    <n v="0"/>
    <n v="-16"/>
    <n v="0"/>
    <n v="0.51001654383428907"/>
    <n v="1.2"/>
    <n v="70.150000000000006"/>
    <n v="84.18"/>
    <n v="-27.609642539386943"/>
    <n v="1607.2494109739941"/>
    <n v="0"/>
    <n v="0"/>
    <n v="0"/>
    <n v="0"/>
    <n v="0"/>
    <n v="1"/>
    <n v="0"/>
    <n v="0"/>
    <n v="0"/>
    <n v="0"/>
  </r>
  <r>
    <d v="2012-10-14T00:00:00"/>
    <n v="2012"/>
    <x v="40"/>
    <s v="P"/>
    <n v="3"/>
    <x v="3"/>
    <s v="MIN"/>
    <s v="A"/>
    <n v="2"/>
    <n v="6"/>
    <n v="-4"/>
    <n v="4"/>
    <n v="-16"/>
    <n v="16"/>
    <n v="1644.1291027577204"/>
    <n v="1708.2522909611725"/>
    <n v="0.26175391320673141"/>
    <n v="76"/>
    <n v="70"/>
    <n v="0"/>
    <n v="6"/>
    <n v="1"/>
    <n v="0.33346189457078962"/>
    <n v="1.35"/>
    <n v="69.849999999999994"/>
    <n v="94.297499999999999"/>
    <n v="23.213869882867726"/>
    <n v="1667.3429726405882"/>
    <n v="0"/>
    <n v="0"/>
    <n v="0"/>
    <n v="0"/>
    <n v="0"/>
    <n v="0"/>
    <n v="1"/>
    <n v="0"/>
    <n v="0"/>
    <n v="0"/>
  </r>
  <r>
    <d v="2012-10-14T00:00:00"/>
    <n v="2012"/>
    <x v="39"/>
    <s v="P"/>
    <n v="3"/>
    <x v="11"/>
    <s v="IND"/>
    <s v="H"/>
    <n v="6"/>
    <n v="2"/>
    <n v="4"/>
    <n v="-4"/>
    <n v="16"/>
    <n v="-16"/>
    <n v="1708.2522909611725"/>
    <n v="1644.1291027577204"/>
    <n v="0.73824608679326853"/>
    <n v="70"/>
    <n v="76"/>
    <n v="0"/>
    <n v="-6"/>
    <n v="0"/>
    <n v="0.33346189457078962"/>
    <n v="1.35"/>
    <n v="70"/>
    <n v="94.5"/>
    <n v="-23.26372071296694"/>
    <n v="1684.9885702482056"/>
    <n v="0"/>
    <n v="0"/>
    <n v="0"/>
    <n v="0"/>
    <n v="0"/>
    <n v="0"/>
    <n v="0"/>
    <n v="1"/>
    <n v="0"/>
    <n v="0"/>
  </r>
  <r>
    <d v="2012-10-17T00:00:00"/>
    <n v="2012"/>
    <x v="41"/>
    <s v="P"/>
    <n v="3"/>
    <x v="3"/>
    <s v="MIN"/>
    <s v="A"/>
    <n v="2"/>
    <n v="2"/>
    <n v="0"/>
    <n v="0"/>
    <n v="0"/>
    <n v="0"/>
    <n v="1667.3429726405882"/>
    <n v="1684.9885702482056"/>
    <n v="0.35775554263952675"/>
    <n v="71"/>
    <n v="83"/>
    <n v="0"/>
    <n v="-12"/>
    <n v="0"/>
    <n v="0.44951941087560388"/>
    <n v="1.35"/>
    <n v="69.7"/>
    <n v="94.095000000000013"/>
    <n v="-15.13217542766405"/>
    <n v="1652.210797212924"/>
    <n v="0"/>
    <n v="0"/>
    <n v="0"/>
    <n v="0"/>
    <n v="0"/>
    <n v="0"/>
    <n v="0"/>
    <n v="1"/>
    <n v="0"/>
    <n v="0"/>
  </r>
  <r>
    <d v="2012-10-17T00:00:00"/>
    <n v="2012"/>
    <x v="40"/>
    <s v="P"/>
    <n v="3"/>
    <x v="11"/>
    <s v="IND"/>
    <s v="H"/>
    <n v="2"/>
    <n v="2"/>
    <n v="0"/>
    <n v="0"/>
    <n v="0"/>
    <n v="0"/>
    <n v="1684.9885702482056"/>
    <n v="1667.3429726405882"/>
    <n v="0.6422444573604732"/>
    <n v="83"/>
    <n v="71"/>
    <n v="0"/>
    <n v="12"/>
    <n v="1"/>
    <n v="0.44951941087560388"/>
    <n v="1.35"/>
    <n v="69.849999999999994"/>
    <n v="94.297499999999999"/>
    <n v="15.164741084968924"/>
    <n v="1700.1533113331745"/>
    <n v="0"/>
    <n v="0"/>
    <n v="0"/>
    <n v="0"/>
    <n v="0"/>
    <n v="0"/>
    <n v="1"/>
    <n v="0"/>
    <n v="0"/>
    <n v="0"/>
  </r>
  <r>
    <d v="2012-10-19T00:00:00"/>
    <n v="2012"/>
    <x v="41"/>
    <s v="P"/>
    <n v="3"/>
    <x v="11"/>
    <s v="IND"/>
    <s v="A"/>
    <n v="1"/>
    <n v="1"/>
    <n v="0"/>
    <n v="0"/>
    <n v="0"/>
    <n v="0"/>
    <n v="1700.1533113331745"/>
    <n v="1652.210797212924"/>
    <n v="0.44829460714309138"/>
    <n v="59"/>
    <n v="76"/>
    <n v="0"/>
    <n v="-17"/>
    <n v="0"/>
    <n v="0.51198711132044183"/>
    <n v="1.35"/>
    <n v="69.7"/>
    <n v="94.095000000000013"/>
    <n v="-21.596784228370542"/>
    <n v="1678.556527104804"/>
    <n v="0"/>
    <n v="0"/>
    <n v="0"/>
    <n v="0"/>
    <n v="0"/>
    <n v="0"/>
    <n v="0"/>
    <n v="1"/>
    <n v="0"/>
    <n v="0"/>
  </r>
  <r>
    <d v="2012-10-19T00:00:00"/>
    <n v="2012"/>
    <x v="42"/>
    <s v="P"/>
    <n v="3"/>
    <x v="3"/>
    <s v="MIN"/>
    <s v="H"/>
    <n v="1"/>
    <n v="1"/>
    <n v="0"/>
    <n v="0"/>
    <n v="0"/>
    <n v="0"/>
    <n v="1652.210797212924"/>
    <n v="1700.1533113331745"/>
    <n v="0.55170539285690856"/>
    <n v="76"/>
    <n v="59"/>
    <n v="0"/>
    <n v="17"/>
    <n v="1"/>
    <n v="0.51198711132044183"/>
    <n v="1.35"/>
    <n v="69.55"/>
    <n v="93.892499999999998"/>
    <n v="21.550306213531869"/>
    <n v="1673.761103426456"/>
    <n v="0"/>
    <n v="0"/>
    <n v="0"/>
    <n v="0"/>
    <n v="0"/>
    <n v="0"/>
    <n v="1"/>
    <n v="0"/>
    <n v="0"/>
    <n v="0"/>
  </r>
  <r>
    <d v="2012-10-21T00:00:00"/>
    <n v="2012"/>
    <x v="42"/>
    <s v="P"/>
    <n v="3"/>
    <x v="11"/>
    <s v="IND"/>
    <s v="A"/>
    <n v="1"/>
    <n v="1"/>
    <n v="0"/>
    <n v="0"/>
    <n v="0"/>
    <n v="0"/>
    <n v="1678.556527104804"/>
    <n v="1673.761103426456"/>
    <n v="0.38794983885660467"/>
    <n v="78"/>
    <n v="87"/>
    <n v="0"/>
    <n v="-9"/>
    <n v="0"/>
    <n v="0.40435564661204521"/>
    <n v="1.35"/>
    <n v="69.55"/>
    <n v="93.892499999999998"/>
    <n v="-14.728889053122737"/>
    <n v="1663.8276380516813"/>
    <n v="0"/>
    <n v="0"/>
    <n v="0"/>
    <n v="0"/>
    <n v="0"/>
    <n v="0"/>
    <n v="0"/>
    <n v="1"/>
    <n v="0"/>
    <n v="0"/>
  </r>
  <r>
    <d v="2012-10-21T00:00:00"/>
    <n v="2012"/>
    <x v="43"/>
    <s v="P"/>
    <n v="3"/>
    <x v="3"/>
    <s v="MIN"/>
    <s v="H"/>
    <n v="1"/>
    <n v="1"/>
    <n v="0"/>
    <n v="0"/>
    <n v="0"/>
    <n v="0"/>
    <n v="1673.761103426456"/>
    <n v="1678.556527104804"/>
    <n v="0.61205016114339539"/>
    <n v="87"/>
    <n v="78"/>
    <n v="0"/>
    <n v="9"/>
    <n v="1"/>
    <n v="0.40435564661204521"/>
    <n v="1.35"/>
    <n v="69.400000000000006"/>
    <n v="93.690000000000012"/>
    <n v="14.697122937264094"/>
    <n v="1688.4582263637201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9">
        <item m="1" x="39"/>
        <item x="2"/>
        <item m="1" x="50"/>
        <item m="1" x="27"/>
        <item m="1" x="25"/>
        <item m="1" x="38"/>
        <item m="1" x="54"/>
        <item m="1" x="15"/>
        <item x="8"/>
        <item m="1" x="40"/>
        <item m="1" x="16"/>
        <item x="4"/>
        <item m="1" x="29"/>
        <item m="1" x="33"/>
        <item m="1" x="12"/>
        <item m="1" x="55"/>
        <item m="1" x="35"/>
        <item m="1" x="14"/>
        <item x="3"/>
        <item m="1" x="49"/>
        <item m="1" x="48"/>
        <item m="1" x="24"/>
        <item m="1" x="23"/>
        <item m="1" x="57"/>
        <item x="0"/>
        <item m="1" x="56"/>
        <item m="1" x="26"/>
        <item m="1" x="18"/>
        <item m="1" x="34"/>
        <item x="11"/>
        <item m="1" x="42"/>
        <item m="1" x="21"/>
        <item m="1" x="30"/>
        <item m="1" x="43"/>
        <item m="1" x="51"/>
        <item x="5"/>
        <item m="1" x="44"/>
        <item m="1" x="32"/>
        <item m="1" x="20"/>
        <item m="1" x="28"/>
        <item x="10"/>
        <item m="1" x="46"/>
        <item m="1" x="19"/>
        <item m="1" x="31"/>
        <item m="1" x="13"/>
        <item x="6"/>
        <item m="1" x="41"/>
        <item x="1"/>
        <item m="1" x="52"/>
        <item m="1" x="47"/>
        <item m="1" x="53"/>
        <item m="1" x="45"/>
        <item m="1" x="22"/>
        <item x="7"/>
        <item m="1" x="17"/>
        <item m="1" x="37"/>
        <item x="9"/>
        <item m="1" x="36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8"/>
    </i>
    <i>
      <x v="24"/>
    </i>
    <i>
      <x v="29"/>
    </i>
    <i>
      <x v="35"/>
    </i>
    <i>
      <x v="40"/>
    </i>
    <i>
      <x v="45"/>
    </i>
    <i>
      <x v="47"/>
    </i>
    <i>
      <x v="53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63">
      <pivotArea outline="0" collapsedLevelsAreSubtotals="1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8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1:C13"/>
  </sortState>
  <tableColumns count="4">
    <tableColumn id="1" xr3:uid="{8C17ECDF-4459-4994-A3F5-8E8FEDF92B6F}" name="TeamID"/>
    <tableColumn id="4" xr3:uid="{789F069E-DAF9-4B19-A6DB-107BA6995CE5}" name="Logo" dataDxfId="66"/>
    <tableColumn id="5" xr3:uid="{A9DA91BA-5529-4913-978B-19C8EF225B29}" name="TeamName" dataDxfId="65"/>
    <tableColumn id="2" xr3:uid="{AA4C8157-DB69-4779-8EEE-6F419B992D71}" name="PreSeasonElo" dataDxfId="6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47" totalsRowShown="0" headerRowDxfId="61" dataDxfId="60">
  <autoFilter ref="A1:AL447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9"/>
    <tableColumn id="21" xr3:uid="{D754AB95-C77C-4DD5-B1B9-A24A4FEE7279}" name="Season" dataDxfId="58"/>
    <tableColumn id="19" xr3:uid="{4C42B78B-6AFC-42C3-A5F4-3266E247C458}" name="GamesPlayed" dataDxfId="57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56"/>
    <tableColumn id="14" xr3:uid="{EFA83923-8CCA-4DC9-BC85-5D86949A45D9}" name="Round" dataDxfId="55"/>
    <tableColumn id="2" xr3:uid="{6E102E51-A49B-416B-8CD2-B93B2A4EA389}" name="Team" dataDxfId="54"/>
    <tableColumn id="3" xr3:uid="{19101345-1C34-4AF3-88E6-76A7F19B7FE6}" name="Opponent" dataDxfId="53"/>
    <tableColumn id="16" xr3:uid="{4CBCDF29-B095-48DF-8EF6-06DC7D78C844}" name="HomeAway" dataDxfId="52"/>
    <tableColumn id="32" xr3:uid="{E3FA53E3-DAD6-4BC2-969A-C53F4798E86D}" name="DaysOff" dataDxfId="51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50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9">
      <calculatedColumnFormula>Games[[#This Row],[DaysOff]]-Games[[#This Row],[OppDaysOff]]</calculatedColumnFormula>
    </tableColumn>
    <tableColumn id="35" xr3:uid="{3F2DB366-7372-41BA-8B0C-09F9BA7EA850}" name="OppRestDiff" dataDxfId="48">
      <calculatedColumnFormula>Games[[#This Row],[OppDaysOff]]-Games[[#This Row],[DaysOff]]</calculatedColumnFormula>
    </tableColumn>
    <tableColumn id="36" xr3:uid="{BDD0FD2C-608F-4CCC-867B-4481F0F4B802}" name="RestAdj" dataDxfId="47">
      <calculatedColumnFormula>MAX(-16, MIN(16, Games[[#This Row],[RestDiff]]*8))</calculatedColumnFormula>
    </tableColumn>
    <tableColumn id="37" xr3:uid="{5F89213A-4C28-428C-B766-3B05D4F530A5}" name="OppRestAdj" dataDxfId="46">
      <calculatedColumnFormula>MAX(-16, MIN(16, Games[[#This Row],[OppRestDiff]]*8))</calculatedColumnFormula>
    </tableColumn>
    <tableColumn id="4" xr3:uid="{68053CFA-948B-4F2C-A114-7C46ABD9EA33}" name="PreGmRate" dataDxfId="45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44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43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42"/>
    <tableColumn id="8" xr3:uid="{0CDDF0F9-2F1E-487C-96DD-90F70CE7DAFC}" name="PointsAgainst" dataDxfId="41"/>
    <tableColumn id="22" xr3:uid="{AB7B5B5C-5BAD-4213-990E-8EB9B177497C}" name="OT" dataDxfId="40"/>
    <tableColumn id="9" xr3:uid="{CE171F1D-5E5D-4800-A6DC-8F6DBD74C939}" name="MOV" dataDxfId="39">
      <calculatedColumnFormula>Games[[#This Row],[PointsFor]]-Games[[#This Row],[PointsAgainst]]</calculatedColumnFormula>
    </tableColumn>
    <tableColumn id="10" xr3:uid="{883A3911-25F6-4C39-9637-F1C42D6A1FC2}" name="Result" dataDxfId="38">
      <calculatedColumnFormula>IF(Games[[#This Row],[MOV]]&gt;0,1,IF(Games[[#This Row],[MOV]]=0,0.5,0))</calculatedColumnFormula>
    </tableColumn>
    <tableColumn id="15" xr3:uid="{00048431-5FD6-47EE-807E-5B63FD521193}" name="MOVMult" dataDxfId="37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36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35">
      <calculatedColumnFormula>MAX(kmin, kmax - 0.15 * MIN(Games[[#This Row],[GamesPlayed]], 82))</calculatedColumnFormula>
    </tableColumn>
    <tableColumn id="29" xr3:uid="{FBA5D644-15ED-4725-9E52-1D37FD0FAC64}" name="Keff" dataDxfId="34">
      <calculatedColumnFormula>Games[[#This Row],[K]]*Games[[#This Row],[POMult]]</calculatedColumnFormula>
    </tableColumn>
    <tableColumn id="11" xr3:uid="{309DAEBD-E62C-4090-89E9-A58FD32AB89B}" name="RatingChange" dataDxfId="33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32">
      <calculatedColumnFormula>Games[[#This Row],[PreGmRate]]+Games[[#This Row],[RatingChange]]</calculatedColumnFormula>
    </tableColumn>
    <tableColumn id="17" xr3:uid="{90B7BF87-E472-4474-A10D-555BD3BF8F04}" name="W" dataDxfId="31">
      <calculatedColumnFormula>IF(Games[[#This Row],[Type]]="R",IF(Games[[#This Row],[Result]]&gt;0.5,1,0),0)</calculatedColumnFormula>
    </tableColumn>
    <tableColumn id="18" xr3:uid="{29756EA1-783D-4C76-A7B8-F906AF0EC7E7}" name="L" dataDxfId="30">
      <calculatedColumnFormula>IF(Games[[#This Row],[Type]]="R",IF(Games[[#This Row],[Result]]&lt;0.5,1,0),0)</calculatedColumnFormula>
    </tableColumn>
    <tableColumn id="23" xr3:uid="{C253CFA7-28A4-4AE5-B131-DC1E8F2B73F8}" name="R1W" dataDxfId="29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8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7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26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25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4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23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22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84</v>
      </c>
      <c r="B2" s="8"/>
      <c r="C2" s="15" t="s">
        <v>85</v>
      </c>
      <c r="D2" s="13">
        <v>1607.0659920609653</v>
      </c>
      <c r="G2" t="s">
        <v>85</v>
      </c>
      <c r="H2" s="12">
        <v>1557.3655985836649</v>
      </c>
    </row>
    <row r="3" spans="1:8" x14ac:dyDescent="0.35">
      <c r="A3" t="s">
        <v>82</v>
      </c>
      <c r="B3" s="8"/>
      <c r="C3" s="15" t="s">
        <v>83</v>
      </c>
      <c r="D3" s="13">
        <v>1442.6300137439248</v>
      </c>
      <c r="G3" t="s">
        <v>83</v>
      </c>
      <c r="H3" s="12">
        <v>1458.0885535147163</v>
      </c>
    </row>
    <row r="4" spans="1:8" x14ac:dyDescent="0.35">
      <c r="A4" t="s">
        <v>81</v>
      </c>
      <c r="B4" s="8"/>
      <c r="C4" s="15" t="s">
        <v>80</v>
      </c>
      <c r="D4" s="13">
        <v>1556.5823440387151</v>
      </c>
      <c r="G4" t="s">
        <v>80</v>
      </c>
      <c r="H4" s="12">
        <v>1607.2494109739941</v>
      </c>
    </row>
    <row r="5" spans="1:8" x14ac:dyDescent="0.35">
      <c r="A5" t="s">
        <v>74</v>
      </c>
      <c r="B5" s="8"/>
      <c r="C5" s="15" t="s">
        <v>75</v>
      </c>
      <c r="D5" s="13">
        <v>1541.5972596747206</v>
      </c>
      <c r="G5" t="s">
        <v>75</v>
      </c>
      <c r="H5" s="12">
        <v>1688.4582263637201</v>
      </c>
    </row>
    <row r="6" spans="1:8" x14ac:dyDescent="0.35">
      <c r="A6" t="s">
        <v>68</v>
      </c>
      <c r="B6" s="8"/>
      <c r="C6" s="15" t="s">
        <v>69</v>
      </c>
      <c r="D6" s="13">
        <v>1432.3765323198922</v>
      </c>
      <c r="G6" t="s">
        <v>69</v>
      </c>
      <c r="H6" s="12">
        <v>1615.0021288728881</v>
      </c>
    </row>
    <row r="7" spans="1:8" x14ac:dyDescent="0.35">
      <c r="A7" t="s">
        <v>72</v>
      </c>
      <c r="B7" s="8"/>
      <c r="C7" s="15" t="s">
        <v>73</v>
      </c>
      <c r="D7" s="13">
        <v>1726.3599757595455</v>
      </c>
      <c r="G7" t="s">
        <v>73</v>
      </c>
      <c r="H7" s="12">
        <v>1663.8276380516813</v>
      </c>
    </row>
    <row r="8" spans="1:8" x14ac:dyDescent="0.35">
      <c r="A8" t="s">
        <v>65</v>
      </c>
      <c r="B8" s="8"/>
      <c r="C8" s="15" t="s">
        <v>66</v>
      </c>
      <c r="D8" s="13">
        <v>1547.40167366213</v>
      </c>
      <c r="G8" t="s">
        <v>66</v>
      </c>
      <c r="H8" s="12">
        <v>1442.7213833862918</v>
      </c>
    </row>
    <row r="9" spans="1:8" x14ac:dyDescent="0.35">
      <c r="A9" t="s">
        <v>44</v>
      </c>
      <c r="B9" s="8"/>
      <c r="C9" s="15" t="s">
        <v>67</v>
      </c>
      <c r="D9" s="13">
        <v>1516.8348232512062</v>
      </c>
      <c r="G9" t="s">
        <v>67</v>
      </c>
      <c r="H9" s="12">
        <v>1289.1399376320578</v>
      </c>
    </row>
    <row r="10" spans="1:8" x14ac:dyDescent="0.35">
      <c r="A10" t="s">
        <v>79</v>
      </c>
      <c r="B10" s="8"/>
      <c r="C10" s="15" t="s">
        <v>78</v>
      </c>
      <c r="D10" s="13">
        <v>1516.3547988840039</v>
      </c>
      <c r="G10" t="s">
        <v>78</v>
      </c>
      <c r="H10" s="12">
        <v>1551.2147147267142</v>
      </c>
    </row>
    <row r="11" spans="1:8" x14ac:dyDescent="0.35">
      <c r="A11" t="s">
        <v>76</v>
      </c>
      <c r="B11" s="8"/>
      <c r="C11" s="15" t="s">
        <v>77</v>
      </c>
      <c r="D11" s="13">
        <v>1565.823153485059</v>
      </c>
      <c r="G11" t="s">
        <v>77</v>
      </c>
      <c r="H11" s="12">
        <v>1504.7851742842595</v>
      </c>
    </row>
    <row r="12" spans="1:8" x14ac:dyDescent="0.35">
      <c r="A12" t="s">
        <v>86</v>
      </c>
      <c r="B12" s="8"/>
      <c r="C12" s="15" t="s">
        <v>87</v>
      </c>
      <c r="D12" s="13">
        <v>1233.6919785204011</v>
      </c>
      <c r="G12" t="s">
        <v>87</v>
      </c>
      <c r="H12" s="12">
        <v>1358.5539764210212</v>
      </c>
    </row>
    <row r="13" spans="1:8" x14ac:dyDescent="0.35">
      <c r="A13" t="s">
        <v>70</v>
      </c>
      <c r="B13" s="8"/>
      <c r="C13" s="15" t="s">
        <v>71</v>
      </c>
      <c r="D13" s="13">
        <v>1332.3025481933619</v>
      </c>
      <c r="G13" t="s">
        <v>71</v>
      </c>
      <c r="H13" s="12">
        <v>1272.477261256327</v>
      </c>
    </row>
    <row r="14" spans="1:8" x14ac:dyDescent="0.35">
      <c r="B14" s="8"/>
      <c r="C14" s="15"/>
      <c r="D14" s="13"/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workbookViewId="0">
      <selection activeCell="G2" sqref="G2:G13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IND</v>
      </c>
      <c r="B2">
        <v>0</v>
      </c>
      <c r="C2" t="str">
        <v>Indiana Fever</v>
      </c>
      <c r="D2" s="1">
        <v>22</v>
      </c>
      <c r="E2" s="1">
        <v>12</v>
      </c>
      <c r="F2" s="3">
        <v>0.6470588235294118</v>
      </c>
      <c r="G2" s="9">
        <v>1688.4582263637201</v>
      </c>
      <c r="H2" s="1">
        <v>41203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MIN</v>
      </c>
      <c r="B3">
        <v>0</v>
      </c>
      <c r="C3" t="str">
        <v>Minnesota Lynx</v>
      </c>
      <c r="D3" s="1">
        <v>27</v>
      </c>
      <c r="E3" s="1">
        <v>7</v>
      </c>
      <c r="F3" s="3">
        <v>0.79411764705882348</v>
      </c>
      <c r="G3" s="9">
        <v>1663.8276380516813</v>
      </c>
      <c r="H3" s="1">
        <v>41203</v>
      </c>
      <c r="O3" s="4"/>
      <c r="P3" s="4"/>
      <c r="Q3" s="1"/>
      <c r="AK3" t="s">
        <v>65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2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2</v>
      </c>
      <c r="AX3" s="4" cm="1">
        <f t="array" ref="AX3">_xlfn.IFNA(INDEX(Games[PostGmRate], MATCH(1, (Games[Team]=AK3)*(Games[Date]=AY3), 0)),0)</f>
        <v>1442.7213833862918</v>
      </c>
      <c r="AY3" s="1">
        <f>_xlfn.MAXIFS(Games[Date], Games[Team], AK3)</f>
        <v>41181</v>
      </c>
      <c r="AZ3">
        <f t="shared" si="2"/>
        <v>2</v>
      </c>
    </row>
    <row r="4" spans="1:68" x14ac:dyDescent="0.35">
      <c r="A4" t="str">
        <v>LAS</v>
      </c>
      <c r="B4">
        <v>0</v>
      </c>
      <c r="C4" t="str">
        <v>Los Angeles Sparks</v>
      </c>
      <c r="D4" s="1">
        <v>24</v>
      </c>
      <c r="E4" s="1">
        <v>10</v>
      </c>
      <c r="F4" s="3">
        <v>0.70588235294117652</v>
      </c>
      <c r="G4" s="9">
        <v>1615.0021288728881</v>
      </c>
      <c r="H4" s="1">
        <v>41189</v>
      </c>
      <c r="O4" s="4"/>
      <c r="P4" s="4"/>
      <c r="Q4" s="1"/>
      <c r="AK4" t="s">
        <v>64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CON</v>
      </c>
      <c r="B5">
        <v>0</v>
      </c>
      <c r="C5" t="str">
        <v>Connecticut Sun</v>
      </c>
      <c r="D5" s="1">
        <v>25</v>
      </c>
      <c r="E5" s="1">
        <v>9</v>
      </c>
      <c r="F5" s="3">
        <v>0.73529411764705888</v>
      </c>
      <c r="G5" s="9">
        <v>1607.2494109739941</v>
      </c>
      <c r="H5" s="1">
        <v>41193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ATL</v>
      </c>
      <c r="B6">
        <v>0</v>
      </c>
      <c r="C6" t="str">
        <v>Atlanta Dream</v>
      </c>
      <c r="D6" s="1">
        <v>19</v>
      </c>
      <c r="E6" s="1">
        <v>15</v>
      </c>
      <c r="F6" s="3">
        <v>0.55882352941176472</v>
      </c>
      <c r="G6" s="9">
        <v>1557.3655985836649</v>
      </c>
      <c r="H6" s="1">
        <v>41184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1289.1399376320578</v>
      </c>
      <c r="AY6" s="1">
        <f>_xlfn.MAXIFS(Games[Date], Games[Team], AK6)</f>
        <v>41175</v>
      </c>
      <c r="AZ6">
        <f>SUM(AV6:AW6)</f>
        <v>0</v>
      </c>
      <c r="BO6" s="4"/>
      <c r="BP6" s="1"/>
    </row>
    <row r="7" spans="1:68" x14ac:dyDescent="0.35">
      <c r="A7" t="str">
        <v>SAS</v>
      </c>
      <c r="B7">
        <v>0</v>
      </c>
      <c r="C7" t="str">
        <v>San Antonio Silver Stars</v>
      </c>
      <c r="D7" s="1">
        <v>21</v>
      </c>
      <c r="E7" s="1">
        <v>13</v>
      </c>
      <c r="F7" s="3">
        <v>0.61764705882352944</v>
      </c>
      <c r="G7" s="9">
        <v>1551.2147147267142</v>
      </c>
      <c r="H7" s="1">
        <v>41181</v>
      </c>
      <c r="AK7" t="s">
        <v>68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2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2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2</v>
      </c>
      <c r="AW7" s="1">
        <f t="shared" si="3"/>
        <v>2</v>
      </c>
      <c r="AX7" s="4" cm="1">
        <f t="array" ref="AX7">_xlfn.IFNA(INDEX(Games[PostGmRate], MATCH(1, (Games[Team]=AK7)*(Games[Date]=AY7), 0)),0)</f>
        <v>1615.0021288728881</v>
      </c>
      <c r="AY7" s="1">
        <f>_xlfn.MAXIFS(Games[Date], Games[Team], AK7)</f>
        <v>41189</v>
      </c>
      <c r="AZ7">
        <f>SUM(AV7:AW7)</f>
        <v>4</v>
      </c>
      <c r="BO7" s="4"/>
      <c r="BP7" s="1"/>
    </row>
    <row r="8" spans="1:68" x14ac:dyDescent="0.35">
      <c r="A8" t="str">
        <v>SEA</v>
      </c>
      <c r="B8">
        <v>0</v>
      </c>
      <c r="C8" t="str">
        <v>Seattle Storm</v>
      </c>
      <c r="D8" s="1">
        <v>16</v>
      </c>
      <c r="E8" s="1">
        <v>18</v>
      </c>
      <c r="F8" s="3">
        <v>0.47058823529411764</v>
      </c>
      <c r="G8" s="9">
        <v>1504.7851742842595</v>
      </c>
      <c r="H8" s="1">
        <v>41184</v>
      </c>
      <c r="O8" s="3"/>
      <c r="P8" s="4"/>
      <c r="Q8" s="1"/>
      <c r="AK8" t="s">
        <v>45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CHI</v>
      </c>
      <c r="B9">
        <v>0</v>
      </c>
      <c r="C9" t="str">
        <v>Chicago Sky</v>
      </c>
      <c r="D9" s="1">
        <v>14</v>
      </c>
      <c r="E9" s="1">
        <v>20</v>
      </c>
      <c r="F9" s="3">
        <v>0.41176470588235292</v>
      </c>
      <c r="G9" s="9">
        <v>1458.0885535147163</v>
      </c>
      <c r="H9" s="1">
        <v>41174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NYL</v>
      </c>
      <c r="B10">
        <v>0</v>
      </c>
      <c r="C10" t="str">
        <v>New York Liberty</v>
      </c>
      <c r="D10" s="1">
        <v>15</v>
      </c>
      <c r="E10" s="1">
        <v>19</v>
      </c>
      <c r="F10" s="3">
        <v>0.44117647058823528</v>
      </c>
      <c r="G10" s="9">
        <v>1442.7213833862918</v>
      </c>
      <c r="H10" s="1">
        <v>41181</v>
      </c>
      <c r="O10" s="3"/>
      <c r="P10" s="4"/>
      <c r="Q10" s="1"/>
      <c r="AX10" s="4"/>
      <c r="BO10" s="4"/>
      <c r="BP10" s="1"/>
    </row>
    <row r="11" spans="1:68" x14ac:dyDescent="0.35">
      <c r="A11" t="str">
        <v>TUL</v>
      </c>
      <c r="B11">
        <v>0</v>
      </c>
      <c r="C11" t="str">
        <v>Tulsa Shock</v>
      </c>
      <c r="D11" s="1">
        <v>9</v>
      </c>
      <c r="E11" s="1">
        <v>25</v>
      </c>
      <c r="F11" s="3">
        <v>0.26470588235294118</v>
      </c>
      <c r="G11" s="9">
        <v>1358.5539764210212</v>
      </c>
      <c r="H11" s="1">
        <v>41175</v>
      </c>
      <c r="O11" s="3"/>
      <c r="P11" s="4"/>
      <c r="Q11" s="1"/>
      <c r="AX11" s="4"/>
      <c r="BO11" s="4"/>
      <c r="BP11" s="1"/>
    </row>
    <row r="12" spans="1:68" x14ac:dyDescent="0.35">
      <c r="A12" t="str">
        <v>PHX</v>
      </c>
      <c r="B12">
        <v>0</v>
      </c>
      <c r="C12" t="str">
        <v>Phoenix Mercury</v>
      </c>
      <c r="D12" s="1">
        <v>7</v>
      </c>
      <c r="E12" s="1">
        <v>27</v>
      </c>
      <c r="F12" s="3">
        <v>0.20588235294117646</v>
      </c>
      <c r="G12" s="9">
        <v>1289.1399376320578</v>
      </c>
      <c r="H12" s="1">
        <v>41175</v>
      </c>
      <c r="O12" s="3"/>
      <c r="P12" s="4"/>
      <c r="Q12" s="1"/>
      <c r="AX12" s="4"/>
      <c r="BO12" s="4"/>
      <c r="BP12" s="1"/>
    </row>
    <row r="13" spans="1:68" x14ac:dyDescent="0.35">
      <c r="A13" t="str">
        <v>WAS</v>
      </c>
      <c r="B13">
        <v>0</v>
      </c>
      <c r="C13" t="str">
        <v>Washington Mystics</v>
      </c>
      <c r="D13" s="1">
        <v>5</v>
      </c>
      <c r="E13" s="1">
        <v>29</v>
      </c>
      <c r="F13" s="3">
        <v>0.14705882352941177</v>
      </c>
      <c r="G13" s="9">
        <v>1272.477261256327</v>
      </c>
      <c r="H13" s="1">
        <v>41174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84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19</v>
      </c>
      <c r="E25" s="1">
        <f>_xlfn.XLOOKUP($A25,StandingsPivot!$A$4:$A$35,StandingsPivot!C$4:C$35)</f>
        <v>15</v>
      </c>
      <c r="F25" s="3">
        <f>(D25)/(D25+E25)</f>
        <v>0.55882352941176472</v>
      </c>
      <c r="G25" s="9" cm="1">
        <f t="array" ref="G25">INDEX(Games[PostGmRate], MATCH(1, (Games[Team]=A25)*(Games[Date]=H25), 0))</f>
        <v>1557.3655985836649</v>
      </c>
      <c r="H25" s="1">
        <f>_xlfn.MAXIFS(Games[Date], Games[Team], A25)</f>
        <v>41184</v>
      </c>
      <c r="AR25" s="3"/>
      <c r="AS25" s="4"/>
      <c r="BD25" s="1"/>
      <c r="BG25" s="3"/>
      <c r="BH25" s="4"/>
    </row>
    <row r="26" spans="1:60" x14ac:dyDescent="0.35">
      <c r="A26" t="s">
        <v>82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14</v>
      </c>
      <c r="E26" s="1">
        <f>_xlfn.XLOOKUP($A26,StandingsPivot!$A$4:$A$35,StandingsPivot!C$4:C$35)</f>
        <v>20</v>
      </c>
      <c r="F26" s="3">
        <f>(D26)/(D26+E26)</f>
        <v>0.41176470588235292</v>
      </c>
      <c r="G26" s="9" cm="1">
        <f t="array" ref="G26">INDEX(Games[PostGmRate], MATCH(1, (Games[Team]=A26)*(Games[Date]=H26), 0))</f>
        <v>1458.0885535147163</v>
      </c>
      <c r="H26" s="1">
        <f>_xlfn.MAXIFS(Games[Date], Games[Team], A26)</f>
        <v>41174</v>
      </c>
      <c r="AR26" s="3"/>
      <c r="AS26" s="4"/>
      <c r="BD26" s="1"/>
      <c r="BG26" s="3"/>
      <c r="BH26" s="4"/>
    </row>
    <row r="27" spans="1:60" x14ac:dyDescent="0.35">
      <c r="A27" t="s">
        <v>81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25</v>
      </c>
      <c r="E27" s="1">
        <f>_xlfn.XLOOKUP($A27,StandingsPivot!$A$4:$A$35,StandingsPivot!C$4:C$35)</f>
        <v>9</v>
      </c>
      <c r="F27" s="3">
        <f>(D27)/(D27+E27)</f>
        <v>0.73529411764705888</v>
      </c>
      <c r="G27" s="9" cm="1">
        <f t="array" ref="G27">INDEX(Games[PostGmRate], MATCH(1, (Games[Team]=A27)*(Games[Date]=H27), 0))</f>
        <v>1607.2494109739941</v>
      </c>
      <c r="H27" s="1">
        <f>_xlfn.MAXIFS(Games[Date], Games[Team], A27)</f>
        <v>41193</v>
      </c>
      <c r="AR27" s="3"/>
      <c r="AS27" s="4"/>
      <c r="BD27" s="1"/>
      <c r="BG27" s="3"/>
      <c r="BH27" s="4"/>
    </row>
    <row r="28" spans="1:60" x14ac:dyDescent="0.35">
      <c r="A28" t="s">
        <v>74</v>
      </c>
      <c r="B28">
        <f>_xlfn.XLOOKUP(A28,ConfDiv[TeamID],ConfDiv[Logo])</f>
        <v>0</v>
      </c>
      <c r="C28" t="str">
        <f>_xlfn.XLOOKUP(A28,ConfDiv[TeamID],ConfDiv[TeamName])</f>
        <v>Indiana Fever</v>
      </c>
      <c r="D28" s="1">
        <f>_xlfn.XLOOKUP($A28,StandingsPivot!$A$4:$A$35,StandingsPivot!B$4:B$35)</f>
        <v>22</v>
      </c>
      <c r="E28" s="1">
        <f>_xlfn.XLOOKUP($A28,StandingsPivot!$A$4:$A$35,StandingsPivot!C$4:C$35)</f>
        <v>12</v>
      </c>
      <c r="F28" s="3">
        <f>(D28)/(D28+E28)</f>
        <v>0.6470588235294118</v>
      </c>
      <c r="G28" s="9" cm="1">
        <f t="array" ref="G28">INDEX(Games[PostGmRate], MATCH(1, (Games[Team]=A28)*(Games[Date]=H28), 0))</f>
        <v>1688.4582263637201</v>
      </c>
      <c r="H28" s="1">
        <f>_xlfn.MAXIFS(Games[Date], Games[Team], A28)</f>
        <v>41203</v>
      </c>
      <c r="AR28" s="3"/>
      <c r="AS28" s="4"/>
      <c r="BD28" s="1"/>
      <c r="BG28" s="3"/>
      <c r="BH28" s="4"/>
    </row>
    <row r="29" spans="1:60" x14ac:dyDescent="0.35">
      <c r="A29" t="s">
        <v>68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24</v>
      </c>
      <c r="E29" s="1">
        <f>_xlfn.XLOOKUP($A29,StandingsPivot!$A$4:$A$35,StandingsPivot!C$4:C$35)</f>
        <v>10</v>
      </c>
      <c r="F29" s="3">
        <f>(D29)/(D29+E29)</f>
        <v>0.70588235294117652</v>
      </c>
      <c r="G29" s="9" cm="1">
        <f t="array" ref="G29">INDEX(Games[PostGmRate], MATCH(1, (Games[Team]=A29)*(Games[Date]=H29), 0))</f>
        <v>1615.0021288728881</v>
      </c>
      <c r="H29" s="1">
        <f>_xlfn.MAXIFS(Games[Date], Games[Team], A29)</f>
        <v>41189</v>
      </c>
      <c r="AR29" s="3"/>
      <c r="AS29" s="4"/>
      <c r="BD29" s="1"/>
      <c r="BG29" s="3"/>
      <c r="BH29" s="4"/>
    </row>
    <row r="30" spans="1:60" x14ac:dyDescent="0.35">
      <c r="A30" t="s">
        <v>72</v>
      </c>
      <c r="B30">
        <f>_xlfn.XLOOKUP(A30,ConfDiv[TeamID],ConfDiv[Logo])</f>
        <v>0</v>
      </c>
      <c r="C30" t="str">
        <f>_xlfn.XLOOKUP(A30,ConfDiv[TeamID],ConfDiv[TeamName])</f>
        <v>Minnesota Lynx</v>
      </c>
      <c r="D30" s="1">
        <f>_xlfn.XLOOKUP($A30,StandingsPivot!$A$4:$A$35,StandingsPivot!B$4:B$35)</f>
        <v>27</v>
      </c>
      <c r="E30" s="1">
        <f>_xlfn.XLOOKUP($A30,StandingsPivot!$A$4:$A$35,StandingsPivot!C$4:C$35)</f>
        <v>7</v>
      </c>
      <c r="F30" s="3">
        <f>(D30)/(D30+E30)</f>
        <v>0.79411764705882348</v>
      </c>
      <c r="G30" s="9" cm="1">
        <f t="array" ref="G30">INDEX(Games[PostGmRate], MATCH(1, (Games[Team]=A30)*(Games[Date]=H30), 0))</f>
        <v>1663.8276380516813</v>
      </c>
      <c r="H30" s="1">
        <f>_xlfn.MAXIFS(Games[Date], Games[Team], A30)</f>
        <v>41203</v>
      </c>
      <c r="AR30" s="3"/>
      <c r="AS30" s="4"/>
      <c r="BD30" s="1"/>
      <c r="BG30" s="3"/>
      <c r="BH30" s="4"/>
    </row>
    <row r="31" spans="1:60" x14ac:dyDescent="0.35">
      <c r="A31" t="s">
        <v>65</v>
      </c>
      <c r="B31">
        <f>_xlfn.XLOOKUP(A31,ConfDiv[TeamID],ConfDiv[Logo])</f>
        <v>0</v>
      </c>
      <c r="C31" t="str">
        <f>_xlfn.XLOOKUP(A31,ConfDiv[TeamID],ConfDiv[TeamName])</f>
        <v>New York Liberty</v>
      </c>
      <c r="D31" s="1">
        <f>_xlfn.XLOOKUP($A31,StandingsPivot!$A$4:$A$35,StandingsPivot!B$4:B$35)</f>
        <v>15</v>
      </c>
      <c r="E31" s="1">
        <f>_xlfn.XLOOKUP($A31,StandingsPivot!$A$4:$A$35,StandingsPivot!C$4:C$35)</f>
        <v>19</v>
      </c>
      <c r="F31" s="3">
        <f>(D31)/(D31+E31)</f>
        <v>0.44117647058823528</v>
      </c>
      <c r="G31" s="9" cm="1">
        <f t="array" ref="G31">INDEX(Games[PostGmRate], MATCH(1, (Games[Team]=A31)*(Games[Date]=H31), 0))</f>
        <v>1442.7213833862918</v>
      </c>
      <c r="H31" s="1">
        <f>_xlfn.MAXIFS(Games[Date], Games[Team], A31)</f>
        <v>41181</v>
      </c>
      <c r="AR31" s="3"/>
      <c r="AS31" s="4"/>
      <c r="BD31" s="1"/>
      <c r="BG31" s="3"/>
      <c r="BH31" s="4"/>
    </row>
    <row r="32" spans="1:60" x14ac:dyDescent="0.35">
      <c r="A32" t="s">
        <v>44</v>
      </c>
      <c r="B32">
        <f>_xlfn.XLOOKUP(A32,ConfDiv[TeamID],ConfDiv[Logo])</f>
        <v>0</v>
      </c>
      <c r="C32" t="str">
        <f>_xlfn.XLOOKUP(A32,ConfDiv[TeamID],ConfDiv[TeamName])</f>
        <v>Phoenix Mercury</v>
      </c>
      <c r="D32" s="1">
        <f>_xlfn.XLOOKUP($A32,StandingsPivot!$A$4:$A$35,StandingsPivot!B$4:B$35)</f>
        <v>7</v>
      </c>
      <c r="E32" s="1">
        <f>_xlfn.XLOOKUP($A32,StandingsPivot!$A$4:$A$35,StandingsPivot!C$4:C$35)</f>
        <v>27</v>
      </c>
      <c r="F32" s="3">
        <f>(D32)/(D32+E32)</f>
        <v>0.20588235294117646</v>
      </c>
      <c r="G32" s="9" cm="1">
        <f t="array" ref="G32">INDEX(Games[PostGmRate], MATCH(1, (Games[Team]=A32)*(Games[Date]=H32), 0))</f>
        <v>1289.1399376320578</v>
      </c>
      <c r="H32" s="1">
        <f>_xlfn.MAXIFS(Games[Date], Games[Team], A32)</f>
        <v>41175</v>
      </c>
    </row>
    <row r="33" spans="1:8" x14ac:dyDescent="0.35">
      <c r="A33" t="s">
        <v>79</v>
      </c>
      <c r="B33">
        <f>_xlfn.XLOOKUP(A33,ConfDiv[TeamID],ConfDiv[Logo])</f>
        <v>0</v>
      </c>
      <c r="C33" t="str">
        <f>_xlfn.XLOOKUP(A33,ConfDiv[TeamID],ConfDiv[TeamName])</f>
        <v>San Antonio Silver Stars</v>
      </c>
      <c r="D33" s="1">
        <f>_xlfn.XLOOKUP($A33,StandingsPivot!$A$4:$A$35,StandingsPivot!B$4:B$35)</f>
        <v>21</v>
      </c>
      <c r="E33" s="1">
        <f>_xlfn.XLOOKUP($A33,StandingsPivot!$A$4:$A$35,StandingsPivot!C$4:C$35)</f>
        <v>13</v>
      </c>
      <c r="F33" s="3">
        <f>(D33)/(D33+E33)</f>
        <v>0.61764705882352944</v>
      </c>
      <c r="G33" s="9" cm="1">
        <f t="array" ref="G33">INDEX(Games[PostGmRate], MATCH(1, (Games[Team]=A33)*(Games[Date]=H33), 0))</f>
        <v>1551.2147147267142</v>
      </c>
      <c r="H33" s="1">
        <f>_xlfn.MAXIFS(Games[Date], Games[Team], A33)</f>
        <v>41181</v>
      </c>
    </row>
    <row r="34" spans="1:8" x14ac:dyDescent="0.35">
      <c r="A34" t="s">
        <v>76</v>
      </c>
      <c r="B34">
        <f>_xlfn.XLOOKUP(A34,ConfDiv[TeamID],ConfDiv[Logo])</f>
        <v>0</v>
      </c>
      <c r="C34" t="str">
        <f>_xlfn.XLOOKUP(A34,ConfDiv[TeamID],ConfDiv[TeamName])</f>
        <v>Seattle Storm</v>
      </c>
      <c r="D34" s="1">
        <f>_xlfn.XLOOKUP($A34,StandingsPivot!$A$4:$A$35,StandingsPivot!B$4:B$35)</f>
        <v>16</v>
      </c>
      <c r="E34" s="1">
        <f>_xlfn.XLOOKUP($A34,StandingsPivot!$A$4:$A$35,StandingsPivot!C$4:C$35)</f>
        <v>18</v>
      </c>
      <c r="F34" s="3">
        <f>(D34)/(D34+E34)</f>
        <v>0.47058823529411764</v>
      </c>
      <c r="G34" s="9" cm="1">
        <f t="array" ref="G34">INDEX(Games[PostGmRate], MATCH(1, (Games[Team]=A34)*(Games[Date]=H34), 0))</f>
        <v>1504.7851742842595</v>
      </c>
      <c r="H34" s="1">
        <f>_xlfn.MAXIFS(Games[Date], Games[Team], A34)</f>
        <v>41184</v>
      </c>
    </row>
    <row r="35" spans="1:8" x14ac:dyDescent="0.35">
      <c r="A35" t="s">
        <v>86</v>
      </c>
      <c r="B35">
        <f>_xlfn.XLOOKUP(A35,ConfDiv[TeamID],ConfDiv[Logo])</f>
        <v>0</v>
      </c>
      <c r="C35" t="str">
        <f>_xlfn.XLOOKUP(A35,ConfDiv[TeamID],ConfDiv[TeamName])</f>
        <v>Tulsa Shock</v>
      </c>
      <c r="D35" s="1">
        <f>_xlfn.XLOOKUP($A35,StandingsPivot!$A$4:$A$35,StandingsPivot!B$4:B$35)</f>
        <v>9</v>
      </c>
      <c r="E35" s="1">
        <f>_xlfn.XLOOKUP($A35,StandingsPivot!$A$4:$A$35,StandingsPivot!C$4:C$35)</f>
        <v>25</v>
      </c>
      <c r="F35" s="3">
        <f>(D35)/(D35+E35)</f>
        <v>0.26470588235294118</v>
      </c>
      <c r="G35" s="9" cm="1">
        <f t="array" ref="G35">INDEX(Games[PostGmRate], MATCH(1, (Games[Team]=A35)*(Games[Date]=H35), 0))</f>
        <v>1358.5539764210212</v>
      </c>
      <c r="H35" s="1">
        <f>_xlfn.MAXIFS(Games[Date], Games[Team], A35)</f>
        <v>41175</v>
      </c>
    </row>
    <row r="36" spans="1:8" x14ac:dyDescent="0.35">
      <c r="A36" t="s">
        <v>70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5</v>
      </c>
      <c r="E36" s="1">
        <f>_xlfn.XLOOKUP($A36,StandingsPivot!$A$4:$A$35,StandingsPivot!C$4:C$35)</f>
        <v>29</v>
      </c>
      <c r="F36" s="3">
        <f>(D36)/(D36+E36)</f>
        <v>0.14705882352941177</v>
      </c>
      <c r="G36" s="9" cm="1">
        <f t="array" ref="G36">INDEX(Games[PostGmRate], MATCH(1, (Games[Team]=A36)*(Games[Date]=H36), 0))</f>
        <v>1272.477261256327</v>
      </c>
      <c r="H36" s="1">
        <f>_xlfn.MAXIFS(Games[Date], Games[Team], A36)</f>
        <v>41174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84</v>
      </c>
      <c r="B4" s="2">
        <v>19</v>
      </c>
      <c r="C4" s="2">
        <v>15</v>
      </c>
      <c r="D4" s="2">
        <v>1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82</v>
      </c>
      <c r="B5" s="2">
        <v>14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81</v>
      </c>
      <c r="B6" s="2">
        <v>25</v>
      </c>
      <c r="C6" s="2">
        <v>9</v>
      </c>
      <c r="D6" s="2">
        <v>2</v>
      </c>
      <c r="E6" s="2">
        <v>0</v>
      </c>
      <c r="F6" s="2">
        <v>1</v>
      </c>
      <c r="G6" s="2">
        <v>2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74</v>
      </c>
      <c r="B7" s="2">
        <v>22</v>
      </c>
      <c r="C7" s="2">
        <v>12</v>
      </c>
      <c r="D7" s="2">
        <v>2</v>
      </c>
      <c r="E7" s="2">
        <v>1</v>
      </c>
      <c r="F7" s="2">
        <v>2</v>
      </c>
      <c r="G7" s="2">
        <v>1</v>
      </c>
      <c r="H7" s="2">
        <v>3</v>
      </c>
      <c r="I7" s="2">
        <v>1</v>
      </c>
      <c r="J7" s="2">
        <v>0</v>
      </c>
      <c r="K7" s="2">
        <v>0</v>
      </c>
    </row>
    <row r="8" spans="1:11" x14ac:dyDescent="0.35">
      <c r="A8" s="6" t="s">
        <v>68</v>
      </c>
      <c r="B8" s="2">
        <v>24</v>
      </c>
      <c r="C8" s="2">
        <v>10</v>
      </c>
      <c r="D8" s="2">
        <v>2</v>
      </c>
      <c r="E8" s="2">
        <v>0</v>
      </c>
      <c r="F8" s="2">
        <v>0</v>
      </c>
      <c r="G8" s="2">
        <v>2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72</v>
      </c>
      <c r="B9" s="2">
        <v>27</v>
      </c>
      <c r="C9" s="2">
        <v>7</v>
      </c>
      <c r="D9" s="2">
        <v>2</v>
      </c>
      <c r="E9" s="2">
        <v>1</v>
      </c>
      <c r="F9" s="2">
        <v>2</v>
      </c>
      <c r="G9" s="2">
        <v>0</v>
      </c>
      <c r="H9" s="2">
        <v>1</v>
      </c>
      <c r="I9" s="2">
        <v>3</v>
      </c>
      <c r="J9" s="2">
        <v>0</v>
      </c>
      <c r="K9" s="2">
        <v>0</v>
      </c>
    </row>
    <row r="10" spans="1:11" x14ac:dyDescent="0.35">
      <c r="A10" s="6" t="s">
        <v>65</v>
      </c>
      <c r="B10" s="2">
        <v>15</v>
      </c>
      <c r="C10" s="2">
        <v>19</v>
      </c>
      <c r="D10" s="2">
        <v>0</v>
      </c>
      <c r="E10" s="2">
        <v>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44</v>
      </c>
      <c r="B11" s="2">
        <v>7</v>
      </c>
      <c r="C11" s="2">
        <v>27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79</v>
      </c>
      <c r="B12" s="2">
        <v>21</v>
      </c>
      <c r="C12" s="2">
        <v>13</v>
      </c>
      <c r="D12" s="2">
        <v>0</v>
      </c>
      <c r="E12" s="2">
        <v>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76</v>
      </c>
      <c r="B13" s="2">
        <v>16</v>
      </c>
      <c r="C13" s="2">
        <v>18</v>
      </c>
      <c r="D13" s="2">
        <v>1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86</v>
      </c>
      <c r="B14" s="2">
        <v>9</v>
      </c>
      <c r="C14" s="2">
        <v>25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70</v>
      </c>
      <c r="B15" s="2">
        <v>5</v>
      </c>
      <c r="C15" s="2">
        <v>29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20</v>
      </c>
      <c r="B16" s="2">
        <v>204</v>
      </c>
      <c r="C16" s="2">
        <v>204</v>
      </c>
      <c r="D16" s="2">
        <v>10</v>
      </c>
      <c r="E16" s="2">
        <v>10</v>
      </c>
      <c r="F16" s="2">
        <v>5</v>
      </c>
      <c r="G16" s="2">
        <v>5</v>
      </c>
      <c r="H16" s="2">
        <v>4</v>
      </c>
      <c r="I16" s="2">
        <v>4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8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47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41047</v>
      </c>
      <c r="B2" s="2">
        <v>2012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68</v>
      </c>
      <c r="G2" s="1" t="s">
        <v>76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1466.1882661599461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1532.9115767425296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0.29574703899187865</v>
      </c>
      <c r="R2" s="1">
        <v>72</v>
      </c>
      <c r="S2" s="1">
        <v>66</v>
      </c>
      <c r="T2" s="1">
        <v>0</v>
      </c>
      <c r="U2" s="1">
        <f>Games[[#This Row],[PointsFor]]-Games[[#This Row],[PointsAgainst]]</f>
        <v>6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0.33277741854716431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17.776166737649163</v>
      </c>
      <c r="AB2" s="4">
        <f>Games[[#This Row],[PreGmRate]]+Games[[#This Row],[RatingChange]]</f>
        <v>1483.9644328975953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41047</v>
      </c>
      <c r="B3" s="2">
        <v>2012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76</v>
      </c>
      <c r="G3" s="1" t="s">
        <v>68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1532.9115767425296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1466.1882661599461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0.70425296100812129</v>
      </c>
      <c r="R3" s="1">
        <v>66</v>
      </c>
      <c r="S3" s="1">
        <v>72</v>
      </c>
      <c r="T3" s="1">
        <v>0</v>
      </c>
      <c r="U3" s="1">
        <f>Games[[#This Row],[PointsFor]]-Games[[#This Row],[PointsAgainst]]</f>
        <v>-6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0.33277741854716431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-17.776166737649159</v>
      </c>
      <c r="AB3" s="4">
        <f>Games[[#This Row],[PreGmRate]]+Games[[#This Row],[RatingChange]]</f>
        <v>1515.1354100048804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41048</v>
      </c>
      <c r="B4" s="2">
        <v>2012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84</v>
      </c>
      <c r="G4" s="1" t="s">
        <v>74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1553.5329960304825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1520.7986298373603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0.42675363272674666</v>
      </c>
      <c r="R4" s="1">
        <v>84</v>
      </c>
      <c r="S4" s="1">
        <v>92</v>
      </c>
      <c r="T4" s="1">
        <v>0</v>
      </c>
      <c r="U4" s="1">
        <f>Games[[#This Row],[PointsFor]]-Games[[#This Row],[PointsAgainst]]</f>
        <v>-8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0.37800409786791456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-12.235714074962809</v>
      </c>
      <c r="AB4" s="4">
        <f>Games[[#This Row],[PreGmRate]]+Games[[#This Row],[RatingChange]]</f>
        <v>1541.2972819555198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41048</v>
      </c>
      <c r="B5" s="2">
        <v>2012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74</v>
      </c>
      <c r="G5" s="1" t="s">
        <v>84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1520.7986298373603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1553.5329960304825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0.5732463672732534</v>
      </c>
      <c r="R5" s="1">
        <v>92</v>
      </c>
      <c r="S5" s="1">
        <v>84</v>
      </c>
      <c r="T5" s="1">
        <v>0</v>
      </c>
      <c r="U5" s="1">
        <f>Games[[#This Row],[PointsFor]]-Games[[#This Row],[PointsAgainst]]</f>
        <v>8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0.37800409786791456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12.235714074962807</v>
      </c>
      <c r="AB5" s="4">
        <f>Games[[#This Row],[PreGmRate]]+Games[[#This Row],[RatingChange]]</f>
        <v>1533.034343912323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41048</v>
      </c>
      <c r="B6" s="2">
        <v>2012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81</v>
      </c>
      <c r="G6" s="1" t="s">
        <v>65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1528.2911720193574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1523.7008368310649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0.38766955242124645</v>
      </c>
      <c r="R6" s="1">
        <v>78</v>
      </c>
      <c r="S6" s="1">
        <v>73</v>
      </c>
      <c r="T6" s="1">
        <v>0</v>
      </c>
      <c r="U6" s="1">
        <f>Games[[#This Row],[PointsFor]]-Games[[#This Row],[PointsAgainst]]</f>
        <v>5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0.33049175219496357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15.349776828858372</v>
      </c>
      <c r="AB6" s="4">
        <f>Games[[#This Row],[PreGmRate]]+Games[[#This Row],[RatingChange]]</f>
        <v>1543.6409488482159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41048</v>
      </c>
      <c r="B7" s="2">
        <v>2012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65</v>
      </c>
      <c r="G7" s="1" t="s">
        <v>81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1523.7008368310649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1528.2911720193574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0.61233044757875366</v>
      </c>
      <c r="R7" s="1">
        <v>73</v>
      </c>
      <c r="S7" s="1">
        <v>78</v>
      </c>
      <c r="T7" s="1">
        <v>0</v>
      </c>
      <c r="U7" s="1">
        <f>Games[[#This Row],[PointsFor]]-Games[[#This Row],[PointsAgainst]]</f>
        <v>-5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0.33049175219496357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-15.349776828858376</v>
      </c>
      <c r="AB7" s="4">
        <f>Games[[#This Row],[PreGmRate]]+Games[[#This Row],[RatingChange]]</f>
        <v>1508.3510600022064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41048</v>
      </c>
      <c r="B8" s="2">
        <v>2012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79</v>
      </c>
      <c r="G8" s="1" t="s">
        <v>86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1508.1773994420018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1366.8459892602004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0.58176573371384821</v>
      </c>
      <c r="R8" s="1">
        <v>88</v>
      </c>
      <c r="S8" s="1">
        <v>79</v>
      </c>
      <c r="T8" s="1">
        <v>0</v>
      </c>
      <c r="U8" s="1">
        <f>Games[[#This Row],[PointsFor]]-Games[[#This Row],[PointsAgainst]]</f>
        <v>9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0.36319572394913346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11.52168304686553</v>
      </c>
      <c r="AB8" s="4">
        <f>Games[[#This Row],[PreGmRate]]+Games[[#This Row],[RatingChange]]</f>
        <v>1519.6990824888674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41048</v>
      </c>
      <c r="B9" s="2">
        <v>2012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86</v>
      </c>
      <c r="G9" s="1" t="s">
        <v>79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1366.8459892602004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1508.1773994420018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0.41823426628615173</v>
      </c>
      <c r="R9" s="1">
        <v>79</v>
      </c>
      <c r="S9" s="1">
        <v>88</v>
      </c>
      <c r="T9" s="1">
        <v>0</v>
      </c>
      <c r="U9" s="1">
        <f>Games[[#This Row],[PointsFor]]-Games[[#This Row],[PointsAgainst]]</f>
        <v>-9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0.36319572394913346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-11.521683046865528</v>
      </c>
      <c r="AB9" s="4">
        <f>Games[[#This Row],[PreGmRate]]+Games[[#This Row],[RatingChange]]</f>
        <v>1355.3243062133349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41048</v>
      </c>
      <c r="B10" s="2">
        <v>2012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82</v>
      </c>
      <c r="G10" s="1" t="s">
        <v>70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1471.3150068719624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1416.1512740966809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0.45859630280795982</v>
      </c>
      <c r="R10" s="1">
        <v>69</v>
      </c>
      <c r="S10" s="1">
        <v>57</v>
      </c>
      <c r="T10" s="1">
        <v>0</v>
      </c>
      <c r="U10" s="1">
        <f>Games[[#This Row],[PointsFor]]-Games[[#This Row],[PointsAgainst]]</f>
        <v>12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0.43608281326102077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17.907945873880909</v>
      </c>
      <c r="AB10" s="4">
        <f>Games[[#This Row],[PreGmRate]]+Games[[#This Row],[RatingChange]]</f>
        <v>1489.2229527458433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41048</v>
      </c>
      <c r="B11" s="2">
        <v>2012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70</v>
      </c>
      <c r="G11" s="1" t="s">
        <v>82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1416.1512740966809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1471.3150068719624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0.54140369719204018</v>
      </c>
      <c r="R11" s="1">
        <v>57</v>
      </c>
      <c r="S11" s="1">
        <v>69</v>
      </c>
      <c r="T11" s="1">
        <v>0</v>
      </c>
      <c r="U11" s="1">
        <f>Games[[#This Row],[PointsFor]]-Games[[#This Row],[PointsAgainst]]</f>
        <v>-12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0.43608281326102077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-17.907945873880909</v>
      </c>
      <c r="AB11" s="4">
        <f>Games[[#This Row],[PreGmRate]]+Games[[#This Row],[RatingChange]]</f>
        <v>1398.2433282228001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41049</v>
      </c>
      <c r="B12" s="2">
        <v>2012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65</v>
      </c>
      <c r="G12" s="1" t="s">
        <v>81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1508.3510600022064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1543.6409488482159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0.33477029332812458</v>
      </c>
      <c r="R12" s="1">
        <v>77</v>
      </c>
      <c r="S12" s="1">
        <v>92</v>
      </c>
      <c r="T12" s="1">
        <v>0</v>
      </c>
      <c r="U12" s="1">
        <f>Games[[#This Row],[PointsFor]]-Games[[#This Row],[PointsAgainst]]</f>
        <v>-15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0.48848261375977142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-12.379180719579409</v>
      </c>
      <c r="AB12" s="4">
        <f>Games[[#This Row],[PreGmRate]]+Games[[#This Row],[RatingChange]]</f>
        <v>1495.971879282627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41049</v>
      </c>
      <c r="B13" s="2">
        <v>2012</v>
      </c>
      <c r="C13" s="2">
        <f>COUNTIFS(Games[Team],Games[[#This Row],[Team]],Games[Season],Games[[#This Row],[Season]],Games[Date],"&lt;=" &amp; Games[[#This Row],[Date]])</f>
        <v>2</v>
      </c>
      <c r="D13" s="2" t="s">
        <v>23</v>
      </c>
      <c r="E13" s="2" t="s">
        <v>29</v>
      </c>
      <c r="F13" s="1" t="s">
        <v>81</v>
      </c>
      <c r="G13" s="1" t="s">
        <v>65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1543.6409488482159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1508.3510600022064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0.66522970667187542</v>
      </c>
      <c r="R13" s="1">
        <v>92</v>
      </c>
      <c r="S13" s="1">
        <v>77</v>
      </c>
      <c r="T13" s="1">
        <v>0</v>
      </c>
      <c r="U13" s="1">
        <f>Games[[#This Row],[PointsFor]]-Games[[#This Row],[PointsAgainst]]</f>
        <v>15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0.48848261375977142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12.379180719579409</v>
      </c>
      <c r="AB13" s="4">
        <f>Games[[#This Row],[PreGmRate]]+Games[[#This Row],[RatingChange]]</f>
        <v>1556.0201295677953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41049</v>
      </c>
      <c r="B14" s="2">
        <v>2012</v>
      </c>
      <c r="C14" s="2">
        <f>COUNTIFS(Games[Team],Games[[#This Row],[Team]],Games[Season],Games[[#This Row],[Season]],Games[Date],"&lt;=" &amp; Games[[#This Row],[Date]])</f>
        <v>1</v>
      </c>
      <c r="D14" s="2" t="s">
        <v>23</v>
      </c>
      <c r="E14" s="2" t="s">
        <v>29</v>
      </c>
      <c r="F14" s="1" t="s">
        <v>44</v>
      </c>
      <c r="G14" s="1" t="s">
        <v>72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1508.4174116256031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1613.1799878797729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0.2522581678555339</v>
      </c>
      <c r="R14" s="1">
        <v>83</v>
      </c>
      <c r="S14" s="1">
        <v>105</v>
      </c>
      <c r="T14" s="1">
        <v>0</v>
      </c>
      <c r="U14" s="1">
        <f>Games[[#This Row],[PointsFor]]-Games[[#This Row],[PointsAgainst]]</f>
        <v>-22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0.55371560982254131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75.849999999999994</v>
      </c>
      <c r="Z14" s="4">
        <f>Games[[#This Row],[K]]*Games[[#This Row],[POMult]]</f>
        <v>75.849999999999994</v>
      </c>
      <c r="AA14" s="4">
        <f>(Games[[#This Row],[Keff]]*Games[[#This Row],[MOVMult]])*(Games[[#This Row],[Result]]-Games[[#This Row],[ExpectedWin%]])</f>
        <v>-10.594673785973113</v>
      </c>
      <c r="AB14" s="4">
        <f>Games[[#This Row],[PreGmRate]]+Games[[#This Row],[RatingChange]]</f>
        <v>1497.82273783963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41049</v>
      </c>
      <c r="B15" s="2">
        <v>2012</v>
      </c>
      <c r="C15" s="2">
        <f>COUNTIFS(Games[Team],Games[[#This Row],[Team]],Games[Season],Games[[#This Row],[Season]],Games[Date],"&lt;=" &amp; Games[[#This Row],[Date]])</f>
        <v>1</v>
      </c>
      <c r="D15" s="2" t="s">
        <v>23</v>
      </c>
      <c r="E15" s="2" t="s">
        <v>29</v>
      </c>
      <c r="F15" s="1" t="s">
        <v>72</v>
      </c>
      <c r="G15" s="1" t="s">
        <v>44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1613.1799878797729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1508.4174116256031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0.74774183214446621</v>
      </c>
      <c r="R15" s="1">
        <v>105</v>
      </c>
      <c r="S15" s="1">
        <v>83</v>
      </c>
      <c r="T15" s="1">
        <v>0</v>
      </c>
      <c r="U15" s="1">
        <f>Games[[#This Row],[PointsFor]]-Games[[#This Row],[PointsAgainst]]</f>
        <v>22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0.55371560982254131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10.594673785973107</v>
      </c>
      <c r="AB15" s="4">
        <f>Games[[#This Row],[PreGmRate]]+Games[[#This Row],[RatingChange]]</f>
        <v>1623.774661665746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41051</v>
      </c>
      <c r="B16" s="2">
        <v>2012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76</v>
      </c>
      <c r="G16" s="1" t="s">
        <v>68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1515.1354100048804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1483.9644328975953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0.4245534832134803</v>
      </c>
      <c r="R16" s="1">
        <v>61</v>
      </c>
      <c r="S16" s="1">
        <v>74</v>
      </c>
      <c r="T16" s="1">
        <v>0</v>
      </c>
      <c r="U16" s="1">
        <f>Games[[#This Row],[PointsFor]]-Games[[#This Row],[PointsAgainst]]</f>
        <v>-13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0.46009247887556404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-14.786773543175761</v>
      </c>
      <c r="AB16" s="4">
        <f>Games[[#This Row],[PreGmRate]]+Games[[#This Row],[RatingChange]]</f>
        <v>1500.3486364617047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41051</v>
      </c>
      <c r="B17" s="2">
        <v>2012</v>
      </c>
      <c r="C17" s="2">
        <f>COUNTIFS(Games[Team],Games[[#This Row],[Team]],Games[Season],Games[[#This Row],[Season]],Games[Date],"&lt;=" &amp; Games[[#This Row],[Date]])</f>
        <v>2</v>
      </c>
      <c r="D17" s="2" t="s">
        <v>23</v>
      </c>
      <c r="E17" s="2" t="s">
        <v>29</v>
      </c>
      <c r="F17" s="1" t="s">
        <v>68</v>
      </c>
      <c r="G17" s="1" t="s">
        <v>76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1483.9644328975953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1515.1354100048804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0.57544651678651981</v>
      </c>
      <c r="R17" s="1">
        <v>74</v>
      </c>
      <c r="S17" s="1">
        <v>61</v>
      </c>
      <c r="T17" s="1">
        <v>0</v>
      </c>
      <c r="U17" s="1">
        <f>Games[[#This Row],[PointsFor]]-Games[[#This Row],[PointsAgainst]]</f>
        <v>13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0.46009247887556404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14.786773543175755</v>
      </c>
      <c r="AB17" s="4">
        <f>Games[[#This Row],[PreGmRate]]+Games[[#This Row],[RatingChange]]</f>
        <v>1498.7512064407711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41051</v>
      </c>
      <c r="B18" s="2">
        <v>2012</v>
      </c>
      <c r="C18" s="2">
        <f>COUNTIFS(Games[Team],Games[[#This Row],[Team]],Games[Season],Games[[#This Row],[Season]],Games[Date],"&lt;=" &amp; Games[[#This Row],[Date]])</f>
        <v>2</v>
      </c>
      <c r="D18" s="2" t="s">
        <v>23</v>
      </c>
      <c r="E18" s="2" t="s">
        <v>29</v>
      </c>
      <c r="F18" s="1" t="s">
        <v>72</v>
      </c>
      <c r="G18" s="1" t="s">
        <v>65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1623.774661665746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1495.971879282627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0.56270539291987764</v>
      </c>
      <c r="R18" s="1">
        <v>80</v>
      </c>
      <c r="S18" s="1">
        <v>62</v>
      </c>
      <c r="T18" s="1">
        <v>0</v>
      </c>
      <c r="U18" s="1">
        <f>Games[[#This Row],[PointsFor]]-Games[[#This Row],[PointsAgainst]]</f>
        <v>18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0.49420043944617065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16.359616854873281</v>
      </c>
      <c r="AB18" s="4">
        <f>Games[[#This Row],[PreGmRate]]+Games[[#This Row],[RatingChange]]</f>
        <v>1640.1342785206193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41051</v>
      </c>
      <c r="B19" s="2">
        <v>2012</v>
      </c>
      <c r="C19" s="2">
        <f>COUNTIFS(Games[Team],Games[[#This Row],[Team]],Games[Season],Games[[#This Row],[Season]],Games[Date],"&lt;=" &amp; Games[[#This Row],[Date]])</f>
        <v>3</v>
      </c>
      <c r="D19" s="2" t="s">
        <v>23</v>
      </c>
      <c r="E19" s="2" t="s">
        <v>29</v>
      </c>
      <c r="F19" s="1" t="s">
        <v>65</v>
      </c>
      <c r="G19" s="1" t="s">
        <v>72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1495.971879282627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1623.774661665746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0.4372946070801223</v>
      </c>
      <c r="R19" s="1">
        <v>62</v>
      </c>
      <c r="S19" s="1">
        <v>80</v>
      </c>
      <c r="T19" s="1">
        <v>0</v>
      </c>
      <c r="U19" s="1">
        <f>Games[[#This Row],[PointsFor]]-Games[[#This Row],[PointsAgainst]]</f>
        <v>-18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0.49420043944617065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75.55</v>
      </c>
      <c r="Z19" s="4">
        <f>Games[[#This Row],[K]]*Games[[#This Row],[POMult]]</f>
        <v>75.55</v>
      </c>
      <c r="AA19" s="4">
        <f>(Games[[#This Row],[Keff]]*Games[[#This Row],[MOVMult]])*(Games[[#This Row],[Result]]-Games[[#This Row],[ExpectedWin%]])</f>
        <v>-16.327200176825311</v>
      </c>
      <c r="AB19" s="4">
        <f>Games[[#This Row],[PreGmRate]]+Games[[#This Row],[RatingChange]]</f>
        <v>1479.6446791058017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41051</v>
      </c>
      <c r="B20" s="2">
        <v>2012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44</v>
      </c>
      <c r="G20" s="1" t="s">
        <v>86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-1</v>
      </c>
      <c r="L20" s="2">
        <f>Games[[#This Row],[OppDaysOff]]-Games[[#This Row],[DaysOff]]</f>
        <v>1</v>
      </c>
      <c r="M20" s="1">
        <f>MAX(-16, MIN(16, Games[[#This Row],[RestDiff]]*8))</f>
        <v>-8</v>
      </c>
      <c r="N20" s="1">
        <f>MAX(-16, MIN(16, Games[[#This Row],[OppRestDiff]]*8))</f>
        <v>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1497.82273783963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1355.3243062133349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0.5608569426447455</v>
      </c>
      <c r="R20" s="1">
        <v>89</v>
      </c>
      <c r="S20" s="1">
        <v>87</v>
      </c>
      <c r="T20" s="1">
        <v>0</v>
      </c>
      <c r="U20" s="1">
        <f>Games[[#This Row],[PointsFor]]-Games[[#This Row],[PointsAgainst]]</f>
        <v>2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0.23941151617007855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7.9587880218977833</v>
      </c>
      <c r="AB20" s="4">
        <f>Games[[#This Row],[PreGmRate]]+Games[[#This Row],[RatingChange]]</f>
        <v>1505.7815258615278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41051</v>
      </c>
      <c r="B21" s="2">
        <v>2012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86</v>
      </c>
      <c r="G21" s="1" t="s">
        <v>44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" s="2">
        <f>Games[[#This Row],[DaysOff]]-Games[[#This Row],[OppDaysOff]]</f>
        <v>1</v>
      </c>
      <c r="L21" s="2">
        <f>Games[[#This Row],[OppDaysOff]]-Games[[#This Row],[DaysOff]]</f>
        <v>-1</v>
      </c>
      <c r="M21" s="1">
        <f>MAX(-16, MIN(16, Games[[#This Row],[RestDiff]]*8))</f>
        <v>8</v>
      </c>
      <c r="N21" s="1">
        <f>MAX(-16, MIN(16, Games[[#This Row],[OppRestDiff]]*8))</f>
        <v>-8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1355.3243062133349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1497.82273783963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0.4391430573552545</v>
      </c>
      <c r="R21" s="1">
        <v>87</v>
      </c>
      <c r="S21" s="1">
        <v>89</v>
      </c>
      <c r="T21" s="1">
        <v>0</v>
      </c>
      <c r="U21" s="1">
        <f>Games[[#This Row],[PointsFor]]-Games[[#This Row],[PointsAgainst]]</f>
        <v>-2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0.23941151617007855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-7.9587880218977833</v>
      </c>
      <c r="AB21" s="4">
        <f>Games[[#This Row],[PreGmRate]]+Games[[#This Row],[RatingChange]]</f>
        <v>1347.3655181914371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41053</v>
      </c>
      <c r="B22" s="2">
        <v>2012</v>
      </c>
      <c r="C22" s="2">
        <f>COUNTIFS(Games[Team],Games[[#This Row],[Team]],Games[Season],Games[[#This Row],[Season]],Games[Date],"&lt;=" &amp; Games[[#This Row],[Date]])</f>
        <v>3</v>
      </c>
      <c r="D22" s="2" t="s">
        <v>23</v>
      </c>
      <c r="E22" s="2" t="s">
        <v>29</v>
      </c>
      <c r="F22" s="1" t="s">
        <v>68</v>
      </c>
      <c r="G22" s="1" t="s">
        <v>72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1498.7512064407711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1640.1342785206193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0.21460135798276381</v>
      </c>
      <c r="R22" s="1">
        <v>84</v>
      </c>
      <c r="S22" s="1">
        <v>92</v>
      </c>
      <c r="T22" s="1">
        <v>0</v>
      </c>
      <c r="U22" s="1">
        <f>Games[[#This Row],[PointsFor]]-Games[[#This Row],[PointsAgainst]]</f>
        <v>-8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0.34738670235423125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75.55</v>
      </c>
      <c r="Z22" s="4">
        <f>Games[[#This Row],[K]]*Games[[#This Row],[POMult]]</f>
        <v>75.55</v>
      </c>
      <c r="AA22" s="4">
        <f>(Games[[#This Row],[Keff]]*Games[[#This Row],[MOVMult]])*(Games[[#This Row],[Result]]-Games[[#This Row],[ExpectedWin%]])</f>
        <v>-5.6322266672166199</v>
      </c>
      <c r="AB22" s="4">
        <f>Games[[#This Row],[PreGmRate]]+Games[[#This Row],[RatingChange]]</f>
        <v>1493.1189797735544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41053</v>
      </c>
      <c r="B23" s="2">
        <v>2012</v>
      </c>
      <c r="C23" s="2">
        <f>COUNTIFS(Games[Team],Games[[#This Row],[Team]],Games[Season],Games[[#This Row],[Season]],Games[Date],"&lt;=" &amp; Games[[#This Row],[Date]])</f>
        <v>3</v>
      </c>
      <c r="D23" s="2" t="s">
        <v>23</v>
      </c>
      <c r="E23" s="2" t="s">
        <v>29</v>
      </c>
      <c r="F23" s="1" t="s">
        <v>72</v>
      </c>
      <c r="G23" s="1" t="s">
        <v>68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1640.1342785206193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1498.7512064407711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0.78539864201723619</v>
      </c>
      <c r="R23" s="1">
        <v>92</v>
      </c>
      <c r="S23" s="1">
        <v>84</v>
      </c>
      <c r="T23" s="1">
        <v>0</v>
      </c>
      <c r="U23" s="1">
        <f>Games[[#This Row],[PointsFor]]-Games[[#This Row],[PointsAgainst]]</f>
        <v>8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0.34738670235423125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5.6322266672166199</v>
      </c>
      <c r="AB23" s="4">
        <f>Games[[#This Row],[PreGmRate]]+Games[[#This Row],[RatingChange]]</f>
        <v>1645.7665051878359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41054</v>
      </c>
      <c r="B24" s="2">
        <v>2012</v>
      </c>
      <c r="C24" s="2">
        <f>COUNTIFS(Games[Team],Games[[#This Row],[Team]],Games[Season],Games[[#This Row],[Season]],Games[Date],"&lt;=" &amp; Games[[#This Row],[Date]])</f>
        <v>4</v>
      </c>
      <c r="D24" s="2" t="s">
        <v>23</v>
      </c>
      <c r="E24" s="2" t="s">
        <v>29</v>
      </c>
      <c r="F24" s="1" t="s">
        <v>65</v>
      </c>
      <c r="G24" s="1" t="s">
        <v>84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" s="2">
        <f>Games[[#This Row],[DaysOff]]-Games[[#This Row],[OppDaysOff]]</f>
        <v>-3</v>
      </c>
      <c r="L24" s="2">
        <f>Games[[#This Row],[OppDaysOff]]-Games[[#This Row],[DaysOff]]</f>
        <v>3</v>
      </c>
      <c r="M24" s="1">
        <f>MAX(-16, MIN(16, Games[[#This Row],[RestDiff]]*8))</f>
        <v>-16</v>
      </c>
      <c r="N24" s="1">
        <f>MAX(-16, MIN(16, Games[[#This Row],[OppRestDiff]]*8))</f>
        <v>16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1479.6446791058017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1541.2972819555198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0.26451141985708299</v>
      </c>
      <c r="R24" s="1">
        <v>74</v>
      </c>
      <c r="S24" s="1">
        <v>100</v>
      </c>
      <c r="T24" s="1">
        <v>0</v>
      </c>
      <c r="U24" s="1">
        <f>Games[[#This Row],[PointsFor]]-Games[[#This Row],[PointsAgainst]]</f>
        <v>-26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0.62212439053930091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75.400000000000006</v>
      </c>
      <c r="Z24" s="4">
        <f>Games[[#This Row],[K]]*Games[[#This Row],[POMult]]</f>
        <v>75.400000000000006</v>
      </c>
      <c r="AA24" s="4">
        <f>(Games[[#This Row],[Keff]]*Games[[#This Row],[MOVMult]])*(Games[[#This Row],[Result]]-Games[[#This Row],[ExpectedWin%]])</f>
        <v>-12.407749042543177</v>
      </c>
      <c r="AB24" s="4">
        <f>Games[[#This Row],[PreGmRate]]+Games[[#This Row],[RatingChange]]</f>
        <v>1467.2369300632586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41054</v>
      </c>
      <c r="B25" s="2">
        <v>2012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84</v>
      </c>
      <c r="G25" s="1" t="s">
        <v>65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3</v>
      </c>
      <c r="L25" s="2">
        <f>Games[[#This Row],[OppDaysOff]]-Games[[#This Row],[DaysOff]]</f>
        <v>-3</v>
      </c>
      <c r="M25" s="1">
        <f>MAX(-16, MIN(16, Games[[#This Row],[RestDiff]]*8))</f>
        <v>16</v>
      </c>
      <c r="N25" s="1">
        <f>MAX(-16, MIN(16, Games[[#This Row],[OppRestDiff]]*8))</f>
        <v>-16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1541.2972819555198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1479.6446791058017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0.73548858014291696</v>
      </c>
      <c r="R25" s="1">
        <v>100</v>
      </c>
      <c r="S25" s="1">
        <v>74</v>
      </c>
      <c r="T25" s="1">
        <v>0</v>
      </c>
      <c r="U25" s="1">
        <f>Games[[#This Row],[PointsFor]]-Games[[#This Row],[PointsAgainst]]</f>
        <v>26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0.62212439053930091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12.457116744303962</v>
      </c>
      <c r="AB25" s="4">
        <f>Games[[#This Row],[PreGmRate]]+Games[[#This Row],[RatingChange]]</f>
        <v>1553.7543986998237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41054</v>
      </c>
      <c r="B26" s="2">
        <v>2012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74</v>
      </c>
      <c r="G26" s="1" t="s">
        <v>82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" s="2">
        <f>Games[[#This Row],[DaysOff]]-Games[[#This Row],[OppDaysOff]]</f>
        <v>0</v>
      </c>
      <c r="L26" s="2">
        <f>Games[[#This Row],[OppDaysOff]]-Games[[#This Row],[DaysOff]]</f>
        <v>0</v>
      </c>
      <c r="M26" s="1">
        <f>MAX(-16, MIN(16, Games[[#This Row],[RestDiff]]*8))</f>
        <v>0</v>
      </c>
      <c r="N26" s="1">
        <f>MAX(-16, MIN(16, Games[[#This Row],[OppRestDiff]]*8))</f>
        <v>0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1533.034343912323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1489.2229527458433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0.44242051918070247</v>
      </c>
      <c r="R26" s="1">
        <v>83</v>
      </c>
      <c r="S26" s="1">
        <v>72</v>
      </c>
      <c r="T26" s="1">
        <v>0</v>
      </c>
      <c r="U26" s="1">
        <f>Games[[#This Row],[PointsFor]]-Games[[#This Row],[PointsAgainst]]</f>
        <v>11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0.42434340773657786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17.911011896996339</v>
      </c>
      <c r="AB26" s="4">
        <f>Games[[#This Row],[PreGmRate]]+Games[[#This Row],[RatingChange]]</f>
        <v>1550.9453558093194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41054</v>
      </c>
      <c r="B27" s="2">
        <v>2012</v>
      </c>
      <c r="C27" s="2">
        <f>COUNTIFS(Games[Team],Games[[#This Row],[Team]],Games[Season],Games[[#This Row],[Season]],Games[Date],"&lt;=" &amp; Games[[#This Row],[Date]])</f>
        <v>2</v>
      </c>
      <c r="D27" s="2" t="s">
        <v>23</v>
      </c>
      <c r="E27" s="2" t="s">
        <v>29</v>
      </c>
      <c r="F27" s="1" t="s">
        <v>82</v>
      </c>
      <c r="G27" s="1" t="s">
        <v>74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" s="2">
        <f>Games[[#This Row],[DaysOff]]-Games[[#This Row],[OppDaysOff]]</f>
        <v>0</v>
      </c>
      <c r="L27" s="2">
        <f>Games[[#This Row],[OppDaysOff]]-Games[[#This Row],[DaysOff]]</f>
        <v>0</v>
      </c>
      <c r="M27" s="1">
        <f>MAX(-16, MIN(16, Games[[#This Row],[RestDiff]]*8))</f>
        <v>0</v>
      </c>
      <c r="N27" s="1">
        <f>MAX(-16, MIN(16, Games[[#This Row],[OppRestDiff]]*8))</f>
        <v>0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1489.2229527458433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1533.034343912323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0.55757948081929753</v>
      </c>
      <c r="R27" s="1">
        <v>72</v>
      </c>
      <c r="S27" s="1">
        <v>83</v>
      </c>
      <c r="T27" s="1">
        <v>0</v>
      </c>
      <c r="U27" s="1">
        <f>Games[[#This Row],[PointsFor]]-Games[[#This Row],[PointsAgainst]]</f>
        <v>-11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0.42434340773657786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-17.911011896996339</v>
      </c>
      <c r="AB27" s="4">
        <f>Games[[#This Row],[PreGmRate]]+Games[[#This Row],[RatingChange]]</f>
        <v>1471.3119408488469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41054</v>
      </c>
      <c r="B28" s="2">
        <v>2012</v>
      </c>
      <c r="C28" s="2">
        <f>COUNTIFS(Games[Team],Games[[#This Row],[Team]],Games[Season],Games[[#This Row],[Season]],Games[Date],"&lt;=" &amp; Games[[#This Row],[Date]])</f>
        <v>2</v>
      </c>
      <c r="D28" s="2" t="s">
        <v>23</v>
      </c>
      <c r="E28" s="2" t="s">
        <v>29</v>
      </c>
      <c r="F28" s="1" t="s">
        <v>79</v>
      </c>
      <c r="G28" s="1" t="s">
        <v>81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" s="2">
        <f>Games[[#This Row],[DaysOff]]-Games[[#This Row],[OppDaysOff]]</f>
        <v>1</v>
      </c>
      <c r="L28" s="2">
        <f>Games[[#This Row],[OppDaysOff]]-Games[[#This Row],[DaysOff]]</f>
        <v>-1</v>
      </c>
      <c r="M28" s="1">
        <f>MAX(-16, MIN(16, Games[[#This Row],[RestDiff]]*8))</f>
        <v>8</v>
      </c>
      <c r="N28" s="1">
        <f>MAX(-16, MIN(16, Games[[#This Row],[OppRestDiff]]*8))</f>
        <v>-8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1519.6990824888674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1556.0201295677953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0.35422468472024399</v>
      </c>
      <c r="R28" s="1">
        <v>79</v>
      </c>
      <c r="S28" s="1">
        <v>83</v>
      </c>
      <c r="T28" s="1">
        <v>0</v>
      </c>
      <c r="U28" s="1">
        <f>Games[[#This Row],[PointsFor]]-Games[[#This Row],[PointsAgainst]]</f>
        <v>-4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0.30228336140329143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-8.1056704890667159</v>
      </c>
      <c r="AB28" s="4">
        <f>Games[[#This Row],[PreGmRate]]+Games[[#This Row],[RatingChange]]</f>
        <v>1511.5934119998005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41054</v>
      </c>
      <c r="B29" s="2">
        <v>2012</v>
      </c>
      <c r="C29" s="2">
        <f>COUNTIFS(Games[Team],Games[[#This Row],[Team]],Games[Season],Games[[#This Row],[Season]],Games[Date],"&lt;=" &amp; Games[[#This Row],[Date]])</f>
        <v>3</v>
      </c>
      <c r="D29" s="2" t="s">
        <v>23</v>
      </c>
      <c r="E29" s="2" t="s">
        <v>29</v>
      </c>
      <c r="F29" s="1" t="s">
        <v>81</v>
      </c>
      <c r="G29" s="1" t="s">
        <v>79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" s="2">
        <f>Games[[#This Row],[DaysOff]]-Games[[#This Row],[OppDaysOff]]</f>
        <v>-1</v>
      </c>
      <c r="L29" s="2">
        <f>Games[[#This Row],[OppDaysOff]]-Games[[#This Row],[DaysOff]]</f>
        <v>1</v>
      </c>
      <c r="M29" s="1">
        <f>MAX(-16, MIN(16, Games[[#This Row],[RestDiff]]*8))</f>
        <v>-8</v>
      </c>
      <c r="N29" s="1">
        <f>MAX(-16, MIN(16, Games[[#This Row],[OppRestDiff]]*8))</f>
        <v>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1556.0201295677953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1519.6990824888674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0.64577531527975596</v>
      </c>
      <c r="R29" s="1">
        <v>83</v>
      </c>
      <c r="S29" s="1">
        <v>79</v>
      </c>
      <c r="T29" s="1">
        <v>0</v>
      </c>
      <c r="U29" s="1">
        <f>Games[[#This Row],[PointsFor]]-Games[[#This Row],[PointsAgainst]]</f>
        <v>4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0.30228336140329143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8.0896090548083279</v>
      </c>
      <c r="AB29" s="4">
        <f>Games[[#This Row],[PreGmRate]]+Games[[#This Row],[RatingChange]]</f>
        <v>1564.1097386226036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41055</v>
      </c>
      <c r="B30" s="2">
        <v>2012</v>
      </c>
      <c r="C30" s="2">
        <f>COUNTIFS(Games[Team],Games[[#This Row],[Team]],Games[Season],Games[[#This Row],[Season]],Games[Date],"&lt;=" &amp; Games[[#This Row],[Date]])</f>
        <v>4</v>
      </c>
      <c r="D30" s="2" t="s">
        <v>23</v>
      </c>
      <c r="E30" s="2" t="s">
        <v>29</v>
      </c>
      <c r="F30" s="1" t="s">
        <v>68</v>
      </c>
      <c r="G30" s="1" t="s">
        <v>44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" s="2">
        <f>Games[[#This Row],[DaysOff]]-Games[[#This Row],[OppDaysOff]]</f>
        <v>-2</v>
      </c>
      <c r="L30" s="2">
        <f>Games[[#This Row],[OppDaysOff]]-Games[[#This Row],[DaysOff]]</f>
        <v>2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1493.1189797735544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1505.7815258615278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0.32286395746794733</v>
      </c>
      <c r="R30" s="1">
        <v>99</v>
      </c>
      <c r="S30" s="1">
        <v>88</v>
      </c>
      <c r="T30" s="1">
        <v>0</v>
      </c>
      <c r="U30" s="1">
        <f>Games[[#This Row],[PointsFor]]-Games[[#This Row],[PointsAgainst]]</f>
        <v>11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0.43524323070077559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75.400000000000006</v>
      </c>
      <c r="Z30" s="4">
        <f>Games[[#This Row],[K]]*Games[[#This Row],[POMult]]</f>
        <v>75.400000000000006</v>
      </c>
      <c r="AA30" s="4">
        <f>(Games[[#This Row],[Keff]]*Games[[#This Row],[MOVMult]])*(Games[[#This Row],[Result]]-Games[[#This Row],[ExpectedWin%]])</f>
        <v>22.221803459679368</v>
      </c>
      <c r="AB30" s="4">
        <f>Games[[#This Row],[PreGmRate]]+Games[[#This Row],[RatingChange]]</f>
        <v>1515.3407832332339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41055</v>
      </c>
      <c r="B31" s="2">
        <v>2012</v>
      </c>
      <c r="C31" s="2">
        <f>COUNTIFS(Games[Team],Games[[#This Row],[Team]],Games[Season],Games[[#This Row],[Season]],Games[Date],"&lt;=" &amp; Games[[#This Row],[Date]])</f>
        <v>3</v>
      </c>
      <c r="D31" s="2" t="s">
        <v>23</v>
      </c>
      <c r="E31" s="2" t="s">
        <v>29</v>
      </c>
      <c r="F31" s="1" t="s">
        <v>44</v>
      </c>
      <c r="G31" s="1" t="s">
        <v>68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2</v>
      </c>
      <c r="L31" s="2">
        <f>Games[[#This Row],[OppDaysOff]]-Games[[#This Row],[DaysOff]]</f>
        <v>-2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1505.7815258615278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1493.1189797735544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0.67713604253205262</v>
      </c>
      <c r="R31" s="1">
        <v>88</v>
      </c>
      <c r="S31" s="1">
        <v>99</v>
      </c>
      <c r="T31" s="1">
        <v>0</v>
      </c>
      <c r="U31" s="1">
        <f>Games[[#This Row],[PointsFor]]-Games[[#This Row],[PointsAgainst]]</f>
        <v>-11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0.43524323070077559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-22.266011291495701</v>
      </c>
      <c r="AB31" s="4">
        <f>Games[[#This Row],[PreGmRate]]+Games[[#This Row],[RatingChange]]</f>
        <v>1483.5155145700321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41055</v>
      </c>
      <c r="B32" s="2">
        <v>2012</v>
      </c>
      <c r="C32" s="2">
        <f>COUNTIFS(Games[Team],Games[[#This Row],[Team]],Games[Season],Games[[#This Row],[Season]],Games[Date],"&lt;=" &amp; Games[[#This Row],[Date]])</f>
        <v>3</v>
      </c>
      <c r="D32" s="2" t="s">
        <v>23</v>
      </c>
      <c r="E32" s="2" t="s">
        <v>29</v>
      </c>
      <c r="F32" s="1" t="s">
        <v>86</v>
      </c>
      <c r="G32" s="1" t="s">
        <v>70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2" s="2">
        <f>Games[[#This Row],[DaysOff]]-Games[[#This Row],[OppDaysOff]]</f>
        <v>-3</v>
      </c>
      <c r="L32" s="2">
        <f>Games[[#This Row],[OppDaysOff]]-Games[[#This Row],[DaysOff]]</f>
        <v>3</v>
      </c>
      <c r="M32" s="1">
        <f>MAX(-16, MIN(16, Games[[#This Row],[RestDiff]]*8))</f>
        <v>-16</v>
      </c>
      <c r="N32" s="1">
        <f>MAX(-16, MIN(16, Games[[#This Row],[OppRestDiff]]*8))</f>
        <v>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1347.3655181914371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1398.2433282228001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0.27675289790633895</v>
      </c>
      <c r="R32" s="1">
        <v>61</v>
      </c>
      <c r="S32" s="1">
        <v>64</v>
      </c>
      <c r="T32" s="1">
        <v>0</v>
      </c>
      <c r="U32" s="1">
        <f>Games[[#This Row],[PointsFor]]-Games[[#This Row],[PointsAgainst]]</f>
        <v>-3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0.27838068796641202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-5.8205731228535873</v>
      </c>
      <c r="AB32" s="4">
        <f>Games[[#This Row],[PreGmRate]]+Games[[#This Row],[RatingChange]]</f>
        <v>1341.5449450685835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41055</v>
      </c>
      <c r="B33" s="2">
        <v>2012</v>
      </c>
      <c r="C33" s="2">
        <f>COUNTIFS(Games[Team],Games[[#This Row],[Team]],Games[Season],Games[[#This Row],[Season]],Games[Date],"&lt;=" &amp; Games[[#This Row],[Date]])</f>
        <v>2</v>
      </c>
      <c r="D33" s="2" t="s">
        <v>23</v>
      </c>
      <c r="E33" s="2" t="s">
        <v>29</v>
      </c>
      <c r="F33" s="1" t="s">
        <v>70</v>
      </c>
      <c r="G33" s="1" t="s">
        <v>86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6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" s="2">
        <f>Games[[#This Row],[DaysOff]]-Games[[#This Row],[OppDaysOff]]</f>
        <v>3</v>
      </c>
      <c r="L33" s="2">
        <f>Games[[#This Row],[OppDaysOff]]-Games[[#This Row],[DaysOff]]</f>
        <v>-3</v>
      </c>
      <c r="M33" s="1">
        <f>MAX(-16, MIN(16, Games[[#This Row],[RestDiff]]*8))</f>
        <v>16</v>
      </c>
      <c r="N33" s="1">
        <f>MAX(-16, MIN(16, Games[[#This Row],[OppRestDiff]]*8))</f>
        <v>-16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1398.2433282228001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1347.3655181914371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0.72324710209366105</v>
      </c>
      <c r="R33" s="1">
        <v>64</v>
      </c>
      <c r="S33" s="1">
        <v>61</v>
      </c>
      <c r="T33" s="1">
        <v>0</v>
      </c>
      <c r="U33" s="1">
        <f>Games[[#This Row],[PointsFor]]-Games[[#This Row],[PointsAgainst]]</f>
        <v>3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0.27838068796641202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75.7</v>
      </c>
      <c r="Z33" s="4">
        <f>Games[[#This Row],[K]]*Games[[#This Row],[POMult]]</f>
        <v>75.7</v>
      </c>
      <c r="AA33" s="4">
        <f>(Games[[#This Row],[Keff]]*Games[[#This Row],[MOVMult]])*(Games[[#This Row],[Result]]-Games[[#This Row],[ExpectedWin%]])</f>
        <v>5.832129522170967</v>
      </c>
      <c r="AB33" s="4">
        <f>Games[[#This Row],[PreGmRate]]+Games[[#This Row],[RatingChange]]</f>
        <v>1404.0754577449711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41056</v>
      </c>
      <c r="B34" s="2">
        <v>2012</v>
      </c>
      <c r="C34" s="2">
        <f>COUNTIFS(Games[Team],Games[[#This Row],[Team]],Games[Season],Games[[#This Row],[Season]],Games[Date],"&lt;=" &amp; Games[[#This Row],[Date]])</f>
        <v>3</v>
      </c>
      <c r="D34" s="2" t="s">
        <v>23</v>
      </c>
      <c r="E34" s="2" t="s">
        <v>29</v>
      </c>
      <c r="F34" s="1" t="s">
        <v>74</v>
      </c>
      <c r="G34" s="1" t="s">
        <v>84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1550.9453558093194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1553.7543986998237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0.37760811247636183</v>
      </c>
      <c r="R34" s="1">
        <v>78</v>
      </c>
      <c r="S34" s="1">
        <v>62</v>
      </c>
      <c r="T34" s="1">
        <v>0</v>
      </c>
      <c r="U34" s="1">
        <f>Games[[#This Row],[PointsFor]]-Games[[#This Row],[PointsAgainst]]</f>
        <v>16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0.5165767936387532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24.290322686383991</v>
      </c>
      <c r="AB34" s="4">
        <f>Games[[#This Row],[PreGmRate]]+Games[[#This Row],[RatingChange]]</f>
        <v>1575.2356784957033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41056</v>
      </c>
      <c r="B35" s="2">
        <v>2012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84</v>
      </c>
      <c r="G35" s="1" t="s">
        <v>74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1553.7543986998237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1550.9453558093194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0.62239188752363817</v>
      </c>
      <c r="R35" s="1">
        <v>62</v>
      </c>
      <c r="S35" s="1">
        <v>78</v>
      </c>
      <c r="T35" s="1">
        <v>0</v>
      </c>
      <c r="U35" s="1">
        <f>Games[[#This Row],[PointsFor]]-Games[[#This Row],[PointsAgainst]]</f>
        <v>-16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0.5165767936387532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-24.290322686383991</v>
      </c>
      <c r="AB35" s="4">
        <f>Games[[#This Row],[PreGmRate]]+Games[[#This Row],[RatingChange]]</f>
        <v>1529.4640760134398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41056</v>
      </c>
      <c r="B36" s="2">
        <v>2012</v>
      </c>
      <c r="C36" s="2">
        <f>COUNTIFS(Games[Team],Games[[#This Row],[Team]],Games[Season],Games[[#This Row],[Season]],Games[Date],"&lt;=" &amp; Games[[#This Row],[Date]])</f>
        <v>3</v>
      </c>
      <c r="D36" s="2" t="s">
        <v>23</v>
      </c>
      <c r="E36" s="2" t="s">
        <v>29</v>
      </c>
      <c r="F36" s="1" t="s">
        <v>76</v>
      </c>
      <c r="G36" s="1" t="s">
        <v>72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2</v>
      </c>
      <c r="L36" s="2">
        <f>Games[[#This Row],[OppDaysOff]]-Games[[#This Row],[DaysOff]]</f>
        <v>-2</v>
      </c>
      <c r="M36" s="1">
        <f>MAX(-16, MIN(16, Games[[#This Row],[RestDiff]]*8))</f>
        <v>16</v>
      </c>
      <c r="N36" s="1">
        <f>MAX(-16, MIN(16, Games[[#This Row],[OppRestDiff]]*8))</f>
        <v>-16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1500.3486364617047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1645.7665051878359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0.2429766768858278</v>
      </c>
      <c r="R36" s="1">
        <v>71</v>
      </c>
      <c r="S36" s="1">
        <v>84</v>
      </c>
      <c r="T36" s="1">
        <v>0</v>
      </c>
      <c r="U36" s="1">
        <f>Games[[#This Row],[PointsFor]]-Games[[#This Row],[PointsAgainst]]</f>
        <v>-13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0.42102347526666178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-7.728680755042368</v>
      </c>
      <c r="AB36" s="4">
        <f>Games[[#This Row],[PreGmRate]]+Games[[#This Row],[RatingChange]]</f>
        <v>1492.6199557066623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41056</v>
      </c>
      <c r="B37" s="2">
        <v>2012</v>
      </c>
      <c r="C37" s="2">
        <f>COUNTIFS(Games[Team],Games[[#This Row],[Team]],Games[Season],Games[[#This Row],[Season]],Games[Date],"&lt;=" &amp; Games[[#This Row],[Date]])</f>
        <v>4</v>
      </c>
      <c r="D37" s="2" t="s">
        <v>23</v>
      </c>
      <c r="E37" s="2" t="s">
        <v>29</v>
      </c>
      <c r="F37" s="1" t="s">
        <v>72</v>
      </c>
      <c r="G37" s="1" t="s">
        <v>76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" s="2">
        <f>Games[[#This Row],[DaysOff]]-Games[[#This Row],[OppDaysOff]]</f>
        <v>-2</v>
      </c>
      <c r="L37" s="2">
        <f>Games[[#This Row],[OppDaysOff]]-Games[[#This Row],[DaysOff]]</f>
        <v>2</v>
      </c>
      <c r="M37" s="1">
        <f>MAX(-16, MIN(16, Games[[#This Row],[RestDiff]]*8))</f>
        <v>-16</v>
      </c>
      <c r="N37" s="1">
        <f>MAX(-16, MIN(16, Games[[#This Row],[OppRestDiff]]*8))</f>
        <v>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1645.7665051878359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1500.3486364617047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0.7570233231141722</v>
      </c>
      <c r="R37" s="1">
        <v>84</v>
      </c>
      <c r="S37" s="1">
        <v>71</v>
      </c>
      <c r="T37" s="1">
        <v>0</v>
      </c>
      <c r="U37" s="1">
        <f>Games[[#This Row],[PointsFor]]-Games[[#This Row],[PointsAgainst]]</f>
        <v>13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0.42102347526666178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7.7133359223056868</v>
      </c>
      <c r="AB37" s="4">
        <f>Games[[#This Row],[PreGmRate]]+Games[[#This Row],[RatingChange]]</f>
        <v>1653.4798411101417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41058</v>
      </c>
      <c r="B38" s="2">
        <v>2012</v>
      </c>
      <c r="C38" s="2">
        <f>COUNTIFS(Games[Team],Games[[#This Row],[Team]],Games[Season],Games[[#This Row],[Season]],Games[Date],"&lt;=" &amp; Games[[#This Row],[Date]])</f>
        <v>4</v>
      </c>
      <c r="D38" s="2" t="s">
        <v>23</v>
      </c>
      <c r="E38" s="2" t="s">
        <v>29</v>
      </c>
      <c r="F38" s="1" t="s">
        <v>86</v>
      </c>
      <c r="G38" s="1" t="s">
        <v>68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1341.5449450685835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1515.3407832332339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0.18482518798288078</v>
      </c>
      <c r="R38" s="1">
        <v>75</v>
      </c>
      <c r="S38" s="1">
        <v>76</v>
      </c>
      <c r="T38" s="1">
        <v>0</v>
      </c>
      <c r="U38" s="1">
        <f>Games[[#This Row],[PointsFor]]-Games[[#This Row],[PointsAgainst]]</f>
        <v>-1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0.21328904704632975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-2.9723575914130662</v>
      </c>
      <c r="AB38" s="4">
        <f>Games[[#This Row],[PreGmRate]]+Games[[#This Row],[RatingChange]]</f>
        <v>1338.5725874771704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41058</v>
      </c>
      <c r="B39" s="2">
        <v>2012</v>
      </c>
      <c r="C39" s="2">
        <f>COUNTIFS(Games[Team],Games[[#This Row],[Team]],Games[Season],Games[[#This Row],[Season]],Games[Date],"&lt;=" &amp; Games[[#This Row],[Date]])</f>
        <v>5</v>
      </c>
      <c r="D39" s="2" t="s">
        <v>23</v>
      </c>
      <c r="E39" s="2" t="s">
        <v>29</v>
      </c>
      <c r="F39" s="1" t="s">
        <v>68</v>
      </c>
      <c r="G39" s="1" t="s">
        <v>86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1515.3407832332339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1341.5449450685835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0.81517481201711928</v>
      </c>
      <c r="R39" s="1">
        <v>76</v>
      </c>
      <c r="S39" s="1">
        <v>75</v>
      </c>
      <c r="T39" s="1">
        <v>0</v>
      </c>
      <c r="U39" s="1">
        <f>Games[[#This Row],[PointsFor]]-Games[[#This Row],[PointsAgainst]]</f>
        <v>1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0.21328904704632975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75.25</v>
      </c>
      <c r="Z39" s="4">
        <f>Games[[#This Row],[K]]*Games[[#This Row],[POMult]]</f>
        <v>75.25</v>
      </c>
      <c r="AA39" s="4">
        <f>(Games[[#This Row],[Keff]]*Games[[#This Row],[MOVMult]])*(Games[[#This Row],[Result]]-Games[[#This Row],[ExpectedWin%]])</f>
        <v>2.966444413180811</v>
      </c>
      <c r="AB39" s="4">
        <f>Games[[#This Row],[PreGmRate]]+Games[[#This Row],[RatingChange]]</f>
        <v>1518.3072276464147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41059</v>
      </c>
      <c r="B40" s="2">
        <v>2012</v>
      </c>
      <c r="C40" s="2">
        <f>COUNTIFS(Games[Team],Games[[#This Row],[Team]],Games[Season],Games[[#This Row],[Season]],Games[Date],"&lt;=" &amp; Games[[#This Row],[Date]])</f>
        <v>3</v>
      </c>
      <c r="D40" s="2" t="s">
        <v>23</v>
      </c>
      <c r="E40" s="2" t="s">
        <v>29</v>
      </c>
      <c r="F40" s="1" t="s">
        <v>82</v>
      </c>
      <c r="G40" s="1" t="s">
        <v>79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1471.3119408488469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1511.5934119998005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0.32840196085677797</v>
      </c>
      <c r="R40" s="1">
        <v>77</v>
      </c>
      <c r="S40" s="1">
        <v>63</v>
      </c>
      <c r="T40" s="1">
        <v>0</v>
      </c>
      <c r="U40" s="1">
        <f>Games[[#This Row],[PointsFor]]-Games[[#This Row],[PointsAgainst]]</f>
        <v>14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0.47177172105774839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23.937334738452602</v>
      </c>
      <c r="AB40" s="4">
        <f>Games[[#This Row],[PreGmRate]]+Games[[#This Row],[RatingChange]]</f>
        <v>1495.2492755872995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41059</v>
      </c>
      <c r="B41" s="2">
        <v>2012</v>
      </c>
      <c r="C41" s="2">
        <f>COUNTIFS(Games[Team],Games[[#This Row],[Team]],Games[Season],Games[[#This Row],[Season]],Games[Date],"&lt;=" &amp; Games[[#This Row],[Date]])</f>
        <v>3</v>
      </c>
      <c r="D41" s="2" t="s">
        <v>23</v>
      </c>
      <c r="E41" s="2" t="s">
        <v>29</v>
      </c>
      <c r="F41" s="1" t="s">
        <v>79</v>
      </c>
      <c r="G41" s="1" t="s">
        <v>82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1511.5934119998005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1471.3119408488469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0.67159803914322203</v>
      </c>
      <c r="R41" s="1">
        <v>63</v>
      </c>
      <c r="S41" s="1">
        <v>77</v>
      </c>
      <c r="T41" s="1">
        <v>0</v>
      </c>
      <c r="U41" s="1">
        <f>Games[[#This Row],[PointsFor]]-Games[[#This Row],[PointsAgainst]]</f>
        <v>-14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0.47177172105774839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-23.937334738452602</v>
      </c>
      <c r="AB41" s="4">
        <f>Games[[#This Row],[PreGmRate]]+Games[[#This Row],[RatingChange]]</f>
        <v>1487.6560772613479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41059</v>
      </c>
      <c r="B42" s="2">
        <v>2012</v>
      </c>
      <c r="C42" s="2">
        <f>COUNTIFS(Games[Team],Games[[#This Row],[Team]],Games[Season],Games[[#This Row],[Season]],Games[Date],"&lt;=" &amp; Games[[#This Row],[Date]])</f>
        <v>5</v>
      </c>
      <c r="D42" s="2" t="s">
        <v>23</v>
      </c>
      <c r="E42" s="2" t="s">
        <v>29</v>
      </c>
      <c r="F42" s="1" t="s">
        <v>72</v>
      </c>
      <c r="G42" s="1" t="s">
        <v>70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" s="2">
        <f>Games[[#This Row],[DaysOff]]-Games[[#This Row],[OppDaysOff]]</f>
        <v>-1</v>
      </c>
      <c r="L42" s="2">
        <f>Games[[#This Row],[OppDaysOff]]-Games[[#This Row],[DaysOff]]</f>
        <v>1</v>
      </c>
      <c r="M42" s="1">
        <f>MAX(-16, MIN(16, Games[[#This Row],[RestDiff]]*8))</f>
        <v>-8</v>
      </c>
      <c r="N42" s="1">
        <f>MAX(-16, MIN(16, Games[[#This Row],[OppRestDiff]]*8))</f>
        <v>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1653.4798411101417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1404.0754577449711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0.70266917123267481</v>
      </c>
      <c r="R42" s="1">
        <v>79</v>
      </c>
      <c r="S42" s="1">
        <v>77</v>
      </c>
      <c r="T42" s="1">
        <v>0</v>
      </c>
      <c r="U42" s="1">
        <f>Games[[#This Row],[PointsFor]]-Games[[#This Row],[PointsAgainst]]</f>
        <v>2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0.22175287218696524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75.25</v>
      </c>
      <c r="Z42" s="4">
        <f>Games[[#This Row],[K]]*Games[[#This Row],[POMult]]</f>
        <v>75.25</v>
      </c>
      <c r="AA42" s="4">
        <f>(Games[[#This Row],[Keff]]*Games[[#This Row],[MOVMult]])*(Games[[#This Row],[Result]]-Games[[#This Row],[ExpectedWin%]])</f>
        <v>4.9615308864836054</v>
      </c>
      <c r="AB42" s="4">
        <f>Games[[#This Row],[PreGmRate]]+Games[[#This Row],[RatingChange]]</f>
        <v>1658.4413719966253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41059</v>
      </c>
      <c r="B43" s="2">
        <v>2012</v>
      </c>
      <c r="C43" s="2">
        <f>COUNTIFS(Games[Team],Games[[#This Row],[Team]],Games[Season],Games[[#This Row],[Season]],Games[Date],"&lt;=" &amp; Games[[#This Row],[Date]])</f>
        <v>3</v>
      </c>
      <c r="D43" s="2" t="s">
        <v>23</v>
      </c>
      <c r="E43" s="2" t="s">
        <v>29</v>
      </c>
      <c r="F43" s="1" t="s">
        <v>70</v>
      </c>
      <c r="G43" s="1" t="s">
        <v>72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" s="2">
        <f>Games[[#This Row],[DaysOff]]-Games[[#This Row],[OppDaysOff]]</f>
        <v>1</v>
      </c>
      <c r="L43" s="2">
        <f>Games[[#This Row],[OppDaysOff]]-Games[[#This Row],[DaysOff]]</f>
        <v>-1</v>
      </c>
      <c r="M43" s="1">
        <f>MAX(-16, MIN(16, Games[[#This Row],[RestDiff]]*8))</f>
        <v>8</v>
      </c>
      <c r="N43" s="1">
        <f>MAX(-16, MIN(16, Games[[#This Row],[OppRestDiff]]*8))</f>
        <v>-8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1404.0754577449711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1653.4798411101417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0.29733082876732525</v>
      </c>
      <c r="R43" s="1">
        <v>77</v>
      </c>
      <c r="S43" s="1">
        <v>79</v>
      </c>
      <c r="T43" s="1">
        <v>0</v>
      </c>
      <c r="U43" s="1">
        <f>Games[[#This Row],[PointsFor]]-Games[[#This Row],[PointsAgainst]]</f>
        <v>-2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0.22175287218696524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75.55</v>
      </c>
      <c r="Z43" s="4">
        <f>Games[[#This Row],[K]]*Games[[#This Row],[POMult]]</f>
        <v>75.55</v>
      </c>
      <c r="AA43" s="4">
        <f>(Games[[#This Row],[Keff]]*Games[[#This Row],[MOVMult]])*(Games[[#This Row],[Result]]-Games[[#This Row],[ExpectedWin%]])</f>
        <v>-4.9813110760642711</v>
      </c>
      <c r="AB43" s="4">
        <f>Games[[#This Row],[PreGmRate]]+Games[[#This Row],[RatingChange]]</f>
        <v>1399.0941466689069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41060</v>
      </c>
      <c r="B44" s="2">
        <v>2012</v>
      </c>
      <c r="C44" s="2">
        <f>COUNTIFS(Games[Team],Games[[#This Row],[Team]],Games[Season],Games[[#This Row],[Season]],Games[Date],"&lt;=" &amp; Games[[#This Row],[Date]])</f>
        <v>4</v>
      </c>
      <c r="D44" s="2" t="s">
        <v>23</v>
      </c>
      <c r="E44" s="2" t="s">
        <v>29</v>
      </c>
      <c r="F44" s="1" t="s">
        <v>44</v>
      </c>
      <c r="G44" s="1" t="s">
        <v>84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" s="2">
        <f>Games[[#This Row],[DaysOff]]-Games[[#This Row],[OppDaysOff]]</f>
        <v>1</v>
      </c>
      <c r="L44" s="2">
        <f>Games[[#This Row],[OppDaysOff]]-Games[[#This Row],[DaysOff]]</f>
        <v>-1</v>
      </c>
      <c r="M44" s="1">
        <f>MAX(-16, MIN(16, Games[[#This Row],[RestDiff]]*8))</f>
        <v>8</v>
      </c>
      <c r="N44" s="1">
        <f>MAX(-16, MIN(16, Games[[#This Row],[OppRestDiff]]*8))</f>
        <v>-8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1483.5155145700321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1529.4640760134398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0.34165207745930315</v>
      </c>
      <c r="R44" s="1">
        <v>65</v>
      </c>
      <c r="S44" s="1">
        <v>81</v>
      </c>
      <c r="T44" s="1">
        <v>0</v>
      </c>
      <c r="U44" s="1">
        <f>Games[[#This Row],[PointsFor]]-Games[[#This Row],[PointsAgainst]]</f>
        <v>-16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0.49869092349708233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-12.846560767724895</v>
      </c>
      <c r="AB44" s="4">
        <f>Games[[#This Row],[PreGmRate]]+Games[[#This Row],[RatingChange]]</f>
        <v>1470.6689538023072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41060</v>
      </c>
      <c r="B45" s="2">
        <v>2012</v>
      </c>
      <c r="C45" s="2">
        <f>COUNTIFS(Games[Team],Games[[#This Row],[Team]],Games[Season],Games[[#This Row],[Season]],Games[Date],"&lt;=" &amp; Games[[#This Row],[Date]])</f>
        <v>4</v>
      </c>
      <c r="D45" s="2" t="s">
        <v>23</v>
      </c>
      <c r="E45" s="2" t="s">
        <v>29</v>
      </c>
      <c r="F45" s="1" t="s">
        <v>84</v>
      </c>
      <c r="G45" s="1" t="s">
        <v>44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5" s="2">
        <f>Games[[#This Row],[DaysOff]]-Games[[#This Row],[OppDaysOff]]</f>
        <v>-1</v>
      </c>
      <c r="L45" s="2">
        <f>Games[[#This Row],[OppDaysOff]]-Games[[#This Row],[DaysOff]]</f>
        <v>1</v>
      </c>
      <c r="M45" s="1">
        <f>MAX(-16, MIN(16, Games[[#This Row],[RestDiff]]*8))</f>
        <v>-8</v>
      </c>
      <c r="N45" s="1">
        <f>MAX(-16, MIN(16, Games[[#This Row],[OppRestDiff]]*8))</f>
        <v>8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1529.4640760134398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1483.5155145700321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0.65834792254069685</v>
      </c>
      <c r="R45" s="1">
        <v>81</v>
      </c>
      <c r="S45" s="1">
        <v>65</v>
      </c>
      <c r="T45" s="1">
        <v>0</v>
      </c>
      <c r="U45" s="1">
        <f>Games[[#This Row],[PointsFor]]-Games[[#This Row],[PointsAgainst]]</f>
        <v>16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0.49869092349708233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12.846560767724895</v>
      </c>
      <c r="AB45" s="4">
        <f>Games[[#This Row],[PreGmRate]]+Games[[#This Row],[RatingChange]]</f>
        <v>1542.3106367811647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41061</v>
      </c>
      <c r="B46" s="2">
        <v>2012</v>
      </c>
      <c r="C46" s="2">
        <f>COUNTIFS(Games[Team],Games[[#This Row],[Team]],Games[Season],Games[[#This Row],[Season]],Games[Date],"&lt;=" &amp; Games[[#This Row],[Date]])</f>
        <v>4</v>
      </c>
      <c r="D46" s="2" t="s">
        <v>23</v>
      </c>
      <c r="E46" s="2" t="s">
        <v>29</v>
      </c>
      <c r="F46" s="1" t="s">
        <v>70</v>
      </c>
      <c r="G46" s="1" t="s">
        <v>82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1399.0941466689069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1495.2492755872995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0.26171838480738641</v>
      </c>
      <c r="R46" s="1">
        <v>63</v>
      </c>
      <c r="S46" s="1">
        <v>65</v>
      </c>
      <c r="T46" s="1">
        <v>0</v>
      </c>
      <c r="U46" s="1">
        <f>Games[[#This Row],[PointsFor]]-Games[[#This Row],[PointsAgainst]]</f>
        <v>-2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0.24797154121498688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-4.8933628278718402</v>
      </c>
      <c r="AB46" s="4">
        <f>Games[[#This Row],[PreGmRate]]+Games[[#This Row],[RatingChange]]</f>
        <v>1394.200783841035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41061</v>
      </c>
      <c r="B47" s="2">
        <v>2012</v>
      </c>
      <c r="C47" s="2">
        <f>COUNTIFS(Games[Team],Games[[#This Row],[Team]],Games[Season],Games[[#This Row],[Season]],Games[Date],"&lt;=" &amp; Games[[#This Row],[Date]])</f>
        <v>4</v>
      </c>
      <c r="D47" s="2" t="s">
        <v>23</v>
      </c>
      <c r="E47" s="2" t="s">
        <v>29</v>
      </c>
      <c r="F47" s="1" t="s">
        <v>82</v>
      </c>
      <c r="G47" s="1" t="s">
        <v>70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1495.2492755872995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1399.0941466689069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0.73828161519261359</v>
      </c>
      <c r="R47" s="1">
        <v>65</v>
      </c>
      <c r="S47" s="1">
        <v>63</v>
      </c>
      <c r="T47" s="1">
        <v>0</v>
      </c>
      <c r="U47" s="1">
        <f>Games[[#This Row],[PointsFor]]-Games[[#This Row],[PointsAgainst]]</f>
        <v>2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0.24797154121498688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4.8933628278718402</v>
      </c>
      <c r="AB47" s="4">
        <f>Games[[#This Row],[PreGmRate]]+Games[[#This Row],[RatingChange]]</f>
        <v>1500.1426384151714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41061</v>
      </c>
      <c r="B48" s="2">
        <v>2012</v>
      </c>
      <c r="C48" s="2">
        <f>COUNTIFS(Games[Team],Games[[#This Row],[Team]],Games[Season],Games[[#This Row],[Season]],Games[Date],"&lt;=" &amp; Games[[#This Row],[Date]])</f>
        <v>6</v>
      </c>
      <c r="D48" s="2" t="s">
        <v>23</v>
      </c>
      <c r="E48" s="2" t="s">
        <v>29</v>
      </c>
      <c r="F48" s="1" t="s">
        <v>72</v>
      </c>
      <c r="G48" s="1" t="s">
        <v>81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8" s="2">
        <f>Games[[#This Row],[DaysOff]]-Games[[#This Row],[OppDaysOff]]</f>
        <v>-5</v>
      </c>
      <c r="L48" s="2">
        <f>Games[[#This Row],[OppDaysOff]]-Games[[#This Row],[DaysOff]]</f>
        <v>5</v>
      </c>
      <c r="M48" s="1">
        <f>MAX(-16, MIN(16, Games[[#This Row],[RestDiff]]*8))</f>
        <v>-16</v>
      </c>
      <c r="N48" s="1">
        <f>MAX(-16, MIN(16, Games[[#This Row],[OppRestDiff]]*8))</f>
        <v>16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1658.4413719966253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1564.1097386226036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0.46885708101675944</v>
      </c>
      <c r="R48" s="1">
        <v>85</v>
      </c>
      <c r="S48" s="1">
        <v>72</v>
      </c>
      <c r="T48" s="1">
        <v>0</v>
      </c>
      <c r="U48" s="1">
        <f>Games[[#This Row],[PointsFor]]-Games[[#This Row],[PointsAgainst]]</f>
        <v>13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0.43764093542265597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75.099999999999994</v>
      </c>
      <c r="Z48" s="4">
        <f>Games[[#This Row],[K]]*Games[[#This Row],[POMult]]</f>
        <v>75.099999999999994</v>
      </c>
      <c r="AA48" s="4">
        <f>(Games[[#This Row],[Keff]]*Games[[#This Row],[MOVMult]])*(Games[[#This Row],[Result]]-Games[[#This Row],[ExpectedWin%]])</f>
        <v>17.456986281411599</v>
      </c>
      <c r="AB48" s="4">
        <f>Games[[#This Row],[PreGmRate]]+Games[[#This Row],[RatingChange]]</f>
        <v>1675.898358278037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41061</v>
      </c>
      <c r="B49" s="2">
        <v>2012</v>
      </c>
      <c r="C49" s="2">
        <f>COUNTIFS(Games[Team],Games[[#This Row],[Team]],Games[Season],Games[[#This Row],[Season]],Games[Date],"&lt;=" &amp; Games[[#This Row],[Date]])</f>
        <v>4</v>
      </c>
      <c r="D49" s="2" t="s">
        <v>23</v>
      </c>
      <c r="E49" s="2" t="s">
        <v>29</v>
      </c>
      <c r="F49" s="1" t="s">
        <v>81</v>
      </c>
      <c r="G49" s="1" t="s">
        <v>72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6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5</v>
      </c>
      <c r="L49" s="2">
        <f>Games[[#This Row],[OppDaysOff]]-Games[[#This Row],[DaysOff]]</f>
        <v>-5</v>
      </c>
      <c r="M49" s="1">
        <f>MAX(-16, MIN(16, Games[[#This Row],[RestDiff]]*8))</f>
        <v>16</v>
      </c>
      <c r="N49" s="1">
        <f>MAX(-16, MIN(16, Games[[#This Row],[OppRestDiff]]*8))</f>
        <v>-16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1564.1097386226036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1658.4413719966253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0.53114291898324062</v>
      </c>
      <c r="R49" s="1">
        <v>72</v>
      </c>
      <c r="S49" s="1">
        <v>85</v>
      </c>
      <c r="T49" s="1">
        <v>0</v>
      </c>
      <c r="U49" s="1">
        <f>Games[[#This Row],[PointsFor]]-Games[[#This Row],[PointsAgainst]]</f>
        <v>-13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0.43764093542265597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-17.526721246583683</v>
      </c>
      <c r="AB49" s="4">
        <f>Games[[#This Row],[PreGmRate]]+Games[[#This Row],[RatingChange]]</f>
        <v>1546.5830173760198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41061</v>
      </c>
      <c r="B50" s="2">
        <v>2012</v>
      </c>
      <c r="C50" s="2">
        <f>COUNTIFS(Games[Team],Games[[#This Row],[Team]],Games[Season],Games[[#This Row],[Season]],Games[Date],"&lt;=" &amp; Games[[#This Row],[Date]])</f>
        <v>5</v>
      </c>
      <c r="D50" s="2" t="s">
        <v>23</v>
      </c>
      <c r="E50" s="2" t="s">
        <v>29</v>
      </c>
      <c r="F50" s="1" t="s">
        <v>44</v>
      </c>
      <c r="G50" s="1" t="s">
        <v>79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-1</v>
      </c>
      <c r="L50" s="2">
        <f>Games[[#This Row],[OppDaysOff]]-Games[[#This Row],[DaysOff]]</f>
        <v>1</v>
      </c>
      <c r="M50" s="1">
        <f>MAX(-16, MIN(16, Games[[#This Row],[RestDiff]]*8))</f>
        <v>-8</v>
      </c>
      <c r="N50" s="1">
        <f>MAX(-16, MIN(16, Games[[#This Row],[OppRestDiff]]*8))</f>
        <v>8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1470.6689538023072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1487.6560772613479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0.3377287813900795</v>
      </c>
      <c r="R50" s="1">
        <v>66</v>
      </c>
      <c r="S50" s="1">
        <v>85</v>
      </c>
      <c r="T50" s="1">
        <v>0</v>
      </c>
      <c r="U50" s="1">
        <f>Games[[#This Row],[PointsFor]]-Games[[#This Row],[PointsAgainst]]</f>
        <v>-19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0.55314725545687016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-14.057734575732361</v>
      </c>
      <c r="AB50" s="4">
        <f>Games[[#This Row],[PreGmRate]]+Games[[#This Row],[RatingChange]]</f>
        <v>1456.6112192265748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41061</v>
      </c>
      <c r="B51" s="2">
        <v>2012</v>
      </c>
      <c r="C51" s="2">
        <f>COUNTIFS(Games[Team],Games[[#This Row],[Team]],Games[Season],Games[[#This Row],[Season]],Games[Date],"&lt;=" &amp; Games[[#This Row],[Date]])</f>
        <v>4</v>
      </c>
      <c r="D51" s="2" t="s">
        <v>23</v>
      </c>
      <c r="E51" s="2" t="s">
        <v>29</v>
      </c>
      <c r="F51" s="1" t="s">
        <v>79</v>
      </c>
      <c r="G51" s="1" t="s">
        <v>44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" s="2">
        <f>Games[[#This Row],[DaysOff]]-Games[[#This Row],[OppDaysOff]]</f>
        <v>1</v>
      </c>
      <c r="L51" s="2">
        <f>Games[[#This Row],[OppDaysOff]]-Games[[#This Row],[DaysOff]]</f>
        <v>-1</v>
      </c>
      <c r="M51" s="1">
        <f>MAX(-16, MIN(16, Games[[#This Row],[RestDiff]]*8))</f>
        <v>8</v>
      </c>
      <c r="N51" s="1">
        <f>MAX(-16, MIN(16, Games[[#This Row],[OppRestDiff]]*8))</f>
        <v>-8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1487.6560772613479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1470.6689538023072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0.66227121860992044</v>
      </c>
      <c r="R51" s="1">
        <v>85</v>
      </c>
      <c r="S51" s="1">
        <v>66</v>
      </c>
      <c r="T51" s="1">
        <v>0</v>
      </c>
      <c r="U51" s="1">
        <f>Games[[#This Row],[PointsFor]]-Games[[#This Row],[PointsAgainst]]</f>
        <v>19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0.55314725545687016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14.085756638009572</v>
      </c>
      <c r="AB51" s="4">
        <f>Games[[#This Row],[PreGmRate]]+Games[[#This Row],[RatingChange]]</f>
        <v>1501.7418338993575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41061</v>
      </c>
      <c r="B52" s="2">
        <v>2012</v>
      </c>
      <c r="C52" s="2">
        <f>COUNTIFS(Games[Team],Games[[#This Row],[Team]],Games[Season],Games[[#This Row],[Season]],Games[Date],"&lt;=" &amp; Games[[#This Row],[Date]])</f>
        <v>5</v>
      </c>
      <c r="D52" s="2" t="s">
        <v>23</v>
      </c>
      <c r="E52" s="2" t="s">
        <v>29</v>
      </c>
      <c r="F52" s="1" t="s">
        <v>86</v>
      </c>
      <c r="G52" s="1" t="s">
        <v>76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2" s="2">
        <f>Games[[#This Row],[DaysOff]]-Games[[#This Row],[OppDaysOff]]</f>
        <v>-2</v>
      </c>
      <c r="L52" s="2">
        <f>Games[[#This Row],[OppDaysOff]]-Games[[#This Row],[DaysOff]]</f>
        <v>2</v>
      </c>
      <c r="M52" s="1">
        <f>MAX(-16, MIN(16, Games[[#This Row],[RestDiff]]*8))</f>
        <v>-16</v>
      </c>
      <c r="N52" s="1">
        <f>MAX(-16, MIN(16, Games[[#This Row],[OppRestDiff]]*8))</f>
        <v>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1338.5725874771704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1492.6199557066623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0.17443474219602417</v>
      </c>
      <c r="R52" s="1">
        <v>58</v>
      </c>
      <c r="S52" s="1">
        <v>76</v>
      </c>
      <c r="T52" s="1">
        <v>0</v>
      </c>
      <c r="U52" s="1">
        <f>Games[[#This Row],[PointsFor]]-Games[[#This Row],[PointsAgainst]]</f>
        <v>-18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0.48462168602684264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-6.3612481295682892</v>
      </c>
      <c r="AB52" s="4">
        <f>Games[[#This Row],[PreGmRate]]+Games[[#This Row],[RatingChange]]</f>
        <v>1332.211339347602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41061</v>
      </c>
      <c r="B53" s="2">
        <v>2012</v>
      </c>
      <c r="C53" s="2">
        <f>COUNTIFS(Games[Team],Games[[#This Row],[Team]],Games[Season],Games[[#This Row],[Season]],Games[Date],"&lt;=" &amp; Games[[#This Row],[Date]])</f>
        <v>4</v>
      </c>
      <c r="D53" s="2" t="s">
        <v>23</v>
      </c>
      <c r="E53" s="2" t="s">
        <v>29</v>
      </c>
      <c r="F53" s="1" t="s">
        <v>76</v>
      </c>
      <c r="G53" s="1" t="s">
        <v>86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4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" s="2">
        <f>Games[[#This Row],[DaysOff]]-Games[[#This Row],[OppDaysOff]]</f>
        <v>2</v>
      </c>
      <c r="L53" s="2">
        <f>Games[[#This Row],[OppDaysOff]]-Games[[#This Row],[DaysOff]]</f>
        <v>-2</v>
      </c>
      <c r="M53" s="1">
        <f>MAX(-16, MIN(16, Games[[#This Row],[RestDiff]]*8))</f>
        <v>16</v>
      </c>
      <c r="N53" s="1">
        <f>MAX(-16, MIN(16, Games[[#This Row],[OppRestDiff]]*8))</f>
        <v>-16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1492.6199557066623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1338.5725874771704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0.82556525780397594</v>
      </c>
      <c r="R53" s="1">
        <v>76</v>
      </c>
      <c r="S53" s="1">
        <v>58</v>
      </c>
      <c r="T53" s="1">
        <v>0</v>
      </c>
      <c r="U53" s="1">
        <f>Games[[#This Row],[PointsFor]]-Games[[#This Row],[PointsAgainst]]</f>
        <v>18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0.48462168602684264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75.400000000000006</v>
      </c>
      <c r="Z53" s="4">
        <f>Games[[#This Row],[K]]*Games[[#This Row],[POMult]]</f>
        <v>75.400000000000006</v>
      </c>
      <c r="AA53" s="4">
        <f>(Games[[#This Row],[Keff]]*Games[[#This Row],[MOVMult]])*(Games[[#This Row],[Result]]-Games[[#This Row],[ExpectedWin%]])</f>
        <v>6.3739283583979889</v>
      </c>
      <c r="AB53" s="4">
        <f>Games[[#This Row],[PreGmRate]]+Games[[#This Row],[RatingChange]]</f>
        <v>1498.9938840650602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41062</v>
      </c>
      <c r="B54" s="2">
        <v>2012</v>
      </c>
      <c r="C54" s="2">
        <f>COUNTIFS(Games[Team],Games[[#This Row],[Team]],Games[Season],Games[[#This Row],[Season]],Games[Date],"&lt;=" &amp; Games[[#This Row],[Date]])</f>
        <v>5</v>
      </c>
      <c r="D54" s="2" t="s">
        <v>23</v>
      </c>
      <c r="E54" s="2" t="s">
        <v>29</v>
      </c>
      <c r="F54" s="1" t="s">
        <v>82</v>
      </c>
      <c r="G54" s="1" t="s">
        <v>84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-1</v>
      </c>
      <c r="L54" s="2">
        <f>Games[[#This Row],[OppDaysOff]]-Games[[#This Row],[DaysOff]]</f>
        <v>1</v>
      </c>
      <c r="M54" s="1">
        <f>MAX(-16, MIN(16, Games[[#This Row],[RestDiff]]*8))</f>
        <v>-8</v>
      </c>
      <c r="N54" s="1">
        <f>MAX(-16, MIN(16, Games[[#This Row],[OppRestDiff]]*8))</f>
        <v>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1500.1426384151714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1542.3106367811647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0.30610663287128781</v>
      </c>
      <c r="R54" s="1">
        <v>94</v>
      </c>
      <c r="S54" s="1">
        <v>92</v>
      </c>
      <c r="T54" s="1">
        <v>1</v>
      </c>
      <c r="U54" s="1">
        <f>Games[[#This Row],[PointsFor]]-Games[[#This Row],[PointsAgainst]]</f>
        <v>2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0.23287399679830836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12.159626562071209</v>
      </c>
      <c r="AB54" s="4">
        <f>Games[[#This Row],[PreGmRate]]+Games[[#This Row],[RatingChange]]</f>
        <v>1512.3022649772427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41062</v>
      </c>
      <c r="B55" s="2">
        <v>2012</v>
      </c>
      <c r="C55" s="2">
        <f>COUNTIFS(Games[Team],Games[[#This Row],[Team]],Games[Season],Games[[#This Row],[Season]],Games[Date],"&lt;=" &amp; Games[[#This Row],[Date]])</f>
        <v>5</v>
      </c>
      <c r="D55" s="2" t="s">
        <v>23</v>
      </c>
      <c r="E55" s="2" t="s">
        <v>29</v>
      </c>
      <c r="F55" s="1" t="s">
        <v>84</v>
      </c>
      <c r="G55" s="1" t="s">
        <v>82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5" s="2">
        <f>Games[[#This Row],[DaysOff]]-Games[[#This Row],[OppDaysOff]]</f>
        <v>1</v>
      </c>
      <c r="L55" s="2">
        <f>Games[[#This Row],[OppDaysOff]]-Games[[#This Row],[DaysOff]]</f>
        <v>-1</v>
      </c>
      <c r="M55" s="1">
        <f>MAX(-16, MIN(16, Games[[#This Row],[RestDiff]]*8))</f>
        <v>8</v>
      </c>
      <c r="N55" s="1">
        <f>MAX(-16, MIN(16, Games[[#This Row],[OppRestDiff]]*8))</f>
        <v>-8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1542.3106367811647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1500.1426384151714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0.69389336712871219</v>
      </c>
      <c r="R55" s="1">
        <v>92</v>
      </c>
      <c r="S55" s="1">
        <v>94</v>
      </c>
      <c r="T55" s="1">
        <v>1</v>
      </c>
      <c r="U55" s="1">
        <f>Games[[#This Row],[PointsFor]]-Games[[#This Row],[PointsAgainst]]</f>
        <v>-2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0.23287399679830836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-12.159626562071209</v>
      </c>
      <c r="AB55" s="4">
        <f>Games[[#This Row],[PreGmRate]]+Games[[#This Row],[RatingChange]]</f>
        <v>1530.1510102190935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41062</v>
      </c>
      <c r="B56" s="2">
        <v>2012</v>
      </c>
      <c r="C56" s="2">
        <f>COUNTIFS(Games[Team],Games[[#This Row],[Team]],Games[Season],Games[[#This Row],[Season]],Games[Date],"&lt;=" &amp; Games[[#This Row],[Date]])</f>
        <v>5</v>
      </c>
      <c r="D56" s="2" t="s">
        <v>23</v>
      </c>
      <c r="E56" s="2" t="s">
        <v>29</v>
      </c>
      <c r="F56" s="1" t="s">
        <v>65</v>
      </c>
      <c r="G56" s="1" t="s">
        <v>74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7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6" s="2">
        <f>Games[[#This Row],[DaysOff]]-Games[[#This Row],[OppDaysOff]]</f>
        <v>2</v>
      </c>
      <c r="L56" s="2">
        <f>Games[[#This Row],[OppDaysOff]]-Games[[#This Row],[DaysOff]]</f>
        <v>-2</v>
      </c>
      <c r="M56" s="1">
        <f>MAX(-16, MIN(16, Games[[#This Row],[RestDiff]]*8))</f>
        <v>16</v>
      </c>
      <c r="N56" s="1">
        <f>MAX(-16, MIN(16, Games[[#This Row],[OppRestDiff]]*8))</f>
        <v>-16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1467.2369300632586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1575.2356784957033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0.28474871628736964</v>
      </c>
      <c r="R56" s="1">
        <v>68</v>
      </c>
      <c r="S56" s="1">
        <v>91</v>
      </c>
      <c r="T56" s="1">
        <v>0</v>
      </c>
      <c r="U56" s="1">
        <f>Games[[#This Row],[PointsFor]]-Games[[#This Row],[PointsAgainst]]</f>
        <v>-23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0.56453060368693397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75.25</v>
      </c>
      <c r="Z56" s="4">
        <f>Games[[#This Row],[K]]*Games[[#This Row],[POMult]]</f>
        <v>75.25</v>
      </c>
      <c r="AA56" s="4">
        <f>(Games[[#This Row],[Keff]]*Games[[#This Row],[MOVMult]])*(Games[[#This Row],[Result]]-Games[[#This Row],[ExpectedWin%]])</f>
        <v>-12.096389694035318</v>
      </c>
      <c r="AB56" s="4">
        <f>Games[[#This Row],[PreGmRate]]+Games[[#This Row],[RatingChange]]</f>
        <v>1455.1405403692233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41062</v>
      </c>
      <c r="B57" s="2">
        <v>2012</v>
      </c>
      <c r="C57" s="2">
        <f>COUNTIFS(Games[Team],Games[[#This Row],[Team]],Games[Season],Games[[#This Row],[Season]],Games[Date],"&lt;=" &amp; Games[[#This Row],[Date]])</f>
        <v>4</v>
      </c>
      <c r="D57" s="2" t="s">
        <v>23</v>
      </c>
      <c r="E57" s="2" t="s">
        <v>29</v>
      </c>
      <c r="F57" s="1" t="s">
        <v>74</v>
      </c>
      <c r="G57" s="1" t="s">
        <v>65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5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57" s="2">
        <f>Games[[#This Row],[DaysOff]]-Games[[#This Row],[OppDaysOff]]</f>
        <v>-2</v>
      </c>
      <c r="L57" s="2">
        <f>Games[[#This Row],[OppDaysOff]]-Games[[#This Row],[DaysOff]]</f>
        <v>2</v>
      </c>
      <c r="M57" s="1">
        <f>MAX(-16, MIN(16, Games[[#This Row],[RestDiff]]*8))</f>
        <v>-16</v>
      </c>
      <c r="N57" s="1">
        <f>MAX(-16, MIN(16, Games[[#This Row],[OppRestDiff]]*8))</f>
        <v>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1575.2356784957033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1467.2369300632586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0.71525128371263036</v>
      </c>
      <c r="R57" s="1">
        <v>91</v>
      </c>
      <c r="S57" s="1">
        <v>68</v>
      </c>
      <c r="T57" s="1">
        <v>0</v>
      </c>
      <c r="U57" s="1">
        <f>Games[[#This Row],[PointsFor]]-Games[[#This Row],[PointsAgainst]]</f>
        <v>23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0.56453060368693397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75.400000000000006</v>
      </c>
      <c r="Z57" s="4">
        <f>Games[[#This Row],[K]]*Games[[#This Row],[POMult]]</f>
        <v>75.400000000000006</v>
      </c>
      <c r="AA57" s="4">
        <f>(Games[[#This Row],[Keff]]*Games[[#This Row],[MOVMult]])*(Games[[#This Row],[Result]]-Games[[#This Row],[ExpectedWin%]])</f>
        <v>12.120502098741037</v>
      </c>
      <c r="AB57" s="4">
        <f>Games[[#This Row],[PreGmRate]]+Games[[#This Row],[RatingChange]]</f>
        <v>1587.3561805944444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41063</v>
      </c>
      <c r="B58" s="2">
        <v>2012</v>
      </c>
      <c r="C58" s="2">
        <f>COUNTIFS(Games[Team],Games[[#This Row],[Team]],Games[Season],Games[[#This Row],[Season]],Games[Date],"&lt;=" &amp; Games[[#This Row],[Date]])</f>
        <v>5</v>
      </c>
      <c r="D58" s="2" t="s">
        <v>23</v>
      </c>
      <c r="E58" s="2" t="s">
        <v>29</v>
      </c>
      <c r="F58" s="1" t="s">
        <v>70</v>
      </c>
      <c r="G58" s="1" t="s">
        <v>81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0</v>
      </c>
      <c r="L58" s="2">
        <f>Games[[#This Row],[OppDaysOff]]-Games[[#This Row],[DaysOff]]</f>
        <v>0</v>
      </c>
      <c r="M58" s="1">
        <f>MAX(-16, MIN(16, Games[[#This Row],[RestDiff]]*8))</f>
        <v>0</v>
      </c>
      <c r="N58" s="1">
        <f>MAX(-16, MIN(16, Games[[#This Row],[OppRestDiff]]*8))</f>
        <v>0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1394.200783841035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1546.5830173760198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0.20412241190718111</v>
      </c>
      <c r="R58" s="1">
        <v>86</v>
      </c>
      <c r="S58" s="1">
        <v>94</v>
      </c>
      <c r="T58" s="1">
        <v>0</v>
      </c>
      <c r="U58" s="1">
        <f>Games[[#This Row],[PointsFor]]-Games[[#This Row],[PointsAgainst]]</f>
        <v>-8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0.34456134549001538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-5.292535140078261</v>
      </c>
      <c r="AB58" s="4">
        <f>Games[[#This Row],[PreGmRate]]+Games[[#This Row],[RatingChange]]</f>
        <v>1388.9082487009566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41063</v>
      </c>
      <c r="B59" s="2">
        <v>2012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81</v>
      </c>
      <c r="G59" s="1" t="s">
        <v>70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0</v>
      </c>
      <c r="L59" s="2">
        <f>Games[[#This Row],[OppDaysOff]]-Games[[#This Row],[DaysOff]]</f>
        <v>0</v>
      </c>
      <c r="M59" s="1">
        <f>MAX(-16, MIN(16, Games[[#This Row],[RestDiff]]*8))</f>
        <v>0</v>
      </c>
      <c r="N59" s="1">
        <f>MAX(-16, MIN(16, Games[[#This Row],[OppRestDiff]]*8))</f>
        <v>0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1546.5830173760198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1394.200783841035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0.79587758809281894</v>
      </c>
      <c r="R59" s="1">
        <v>94</v>
      </c>
      <c r="S59" s="1">
        <v>86</v>
      </c>
      <c r="T59" s="1">
        <v>0</v>
      </c>
      <c r="U59" s="1">
        <f>Games[[#This Row],[PointsFor]]-Games[[#This Row],[PointsAgainst]]</f>
        <v>8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0.34456134549001538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5.2925351400782601</v>
      </c>
      <c r="AB59" s="4">
        <f>Games[[#This Row],[PreGmRate]]+Games[[#This Row],[RatingChange]]</f>
        <v>1551.8755525160982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41063</v>
      </c>
      <c r="B60" s="2">
        <v>2012</v>
      </c>
      <c r="C60" s="2">
        <f>COUNTIFS(Games[Team],Games[[#This Row],[Team]],Games[Season],Games[[#This Row],[Season]],Games[Date],"&lt;=" &amp; Games[[#This Row],[Date]])</f>
        <v>5</v>
      </c>
      <c r="D60" s="2" t="s">
        <v>23</v>
      </c>
      <c r="E60" s="2" t="s">
        <v>29</v>
      </c>
      <c r="F60" s="1" t="s">
        <v>76</v>
      </c>
      <c r="G60" s="1" t="s">
        <v>68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0" s="2">
        <f>Games[[#This Row],[DaysOff]]-Games[[#This Row],[OppDaysOff]]</f>
        <v>-3</v>
      </c>
      <c r="L60" s="2">
        <f>Games[[#This Row],[OppDaysOff]]-Games[[#This Row],[DaysOff]]</f>
        <v>3</v>
      </c>
      <c r="M60" s="1">
        <f>MAX(-16, MIN(16, Games[[#This Row],[RestDiff]]*8))</f>
        <v>-16</v>
      </c>
      <c r="N60" s="1">
        <f>MAX(-16, MIN(16, Games[[#This Row],[OppRestDiff]]*8))</f>
        <v>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1498.9938840650602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1518.3072276464147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0.31455135646493171</v>
      </c>
      <c r="R60" s="1">
        <v>65</v>
      </c>
      <c r="S60" s="1">
        <v>67</v>
      </c>
      <c r="T60" s="1">
        <v>0</v>
      </c>
      <c r="U60" s="1">
        <f>Games[[#This Row],[PointsFor]]-Games[[#This Row],[PointsAgainst]]</f>
        <v>-2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0.26359884164603903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75.25</v>
      </c>
      <c r="Z60" s="4">
        <f>Games[[#This Row],[K]]*Games[[#This Row],[POMult]]</f>
        <v>75.25</v>
      </c>
      <c r="AA60" s="4">
        <f>(Games[[#This Row],[Keff]]*Games[[#This Row],[MOVMult]])*(Games[[#This Row],[Result]]-Games[[#This Row],[ExpectedWin%]])</f>
        <v>-6.2393818334765596</v>
      </c>
      <c r="AB60" s="4">
        <f>Games[[#This Row],[PreGmRate]]+Games[[#This Row],[RatingChange]]</f>
        <v>1492.7545022315837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41063</v>
      </c>
      <c r="B61" s="2">
        <v>2012</v>
      </c>
      <c r="C61" s="2">
        <f>COUNTIFS(Games[Team],Games[[#This Row],[Team]],Games[Season],Games[[#This Row],[Season]],Games[Date],"&lt;=" &amp; Games[[#This Row],[Date]])</f>
        <v>6</v>
      </c>
      <c r="D61" s="2" t="s">
        <v>23</v>
      </c>
      <c r="E61" s="2" t="s">
        <v>29</v>
      </c>
      <c r="F61" s="1" t="s">
        <v>68</v>
      </c>
      <c r="G61" s="1" t="s">
        <v>76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3</v>
      </c>
      <c r="L61" s="2">
        <f>Games[[#This Row],[OppDaysOff]]-Games[[#This Row],[DaysOff]]</f>
        <v>-3</v>
      </c>
      <c r="M61" s="1">
        <f>MAX(-16, MIN(16, Games[[#This Row],[RestDiff]]*8))</f>
        <v>16</v>
      </c>
      <c r="N61" s="1">
        <f>MAX(-16, MIN(16, Games[[#This Row],[OppRestDiff]]*8))</f>
        <v>-16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1518.3072276464147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1498.9938840650602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0.68544864353506829</v>
      </c>
      <c r="R61" s="1">
        <v>67</v>
      </c>
      <c r="S61" s="1">
        <v>65</v>
      </c>
      <c r="T61" s="1">
        <v>0</v>
      </c>
      <c r="U61" s="1">
        <f>Games[[#This Row],[PointsFor]]-Games[[#This Row],[PointsAgainst]]</f>
        <v>2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0.26359884164603903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75.099999999999994</v>
      </c>
      <c r="Z61" s="4">
        <f>Games[[#This Row],[K]]*Games[[#This Row],[POMult]]</f>
        <v>75.099999999999994</v>
      </c>
      <c r="AA61" s="4">
        <f>(Games[[#This Row],[Keff]]*Games[[#This Row],[MOVMult]])*(Games[[#This Row],[Result]]-Games[[#This Row],[ExpectedWin%]])</f>
        <v>6.2269445274962072</v>
      </c>
      <c r="AB61" s="4">
        <f>Games[[#This Row],[PreGmRate]]+Games[[#This Row],[RatingChange]]</f>
        <v>1524.534172173911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41063</v>
      </c>
      <c r="B62" s="2">
        <v>2012</v>
      </c>
      <c r="C62" s="2">
        <f>COUNTIFS(Games[Team],Games[[#This Row],[Team]],Games[Season],Games[[#This Row],[Season]],Games[Date],"&lt;=" &amp; Games[[#This Row],[Date]])</f>
        <v>5</v>
      </c>
      <c r="D62" s="2" t="s">
        <v>23</v>
      </c>
      <c r="E62" s="2" t="s">
        <v>29</v>
      </c>
      <c r="F62" s="1" t="s">
        <v>79</v>
      </c>
      <c r="G62" s="1" t="s">
        <v>72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1501.7418338993575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1675.898358278037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0.18451257076901875</v>
      </c>
      <c r="R62" s="1">
        <v>79</v>
      </c>
      <c r="S62" s="1">
        <v>83</v>
      </c>
      <c r="T62" s="1">
        <v>0</v>
      </c>
      <c r="U62" s="1">
        <f>Games[[#This Row],[PointsFor]]-Games[[#This Row],[PointsAgainst]]</f>
        <v>-4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0.27196267328689588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-3.776085033103838</v>
      </c>
      <c r="AB62" s="4">
        <f>Games[[#This Row],[PreGmRate]]+Games[[#This Row],[RatingChange]]</f>
        <v>1497.9657488662538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41063</v>
      </c>
      <c r="B63" s="2">
        <v>2012</v>
      </c>
      <c r="C63" s="2">
        <f>COUNTIFS(Games[Team],Games[[#This Row],[Team]],Games[Season],Games[[#This Row],[Season]],Games[Date],"&lt;=" &amp; Games[[#This Row],[Date]])</f>
        <v>7</v>
      </c>
      <c r="D63" s="2" t="s">
        <v>23</v>
      </c>
      <c r="E63" s="2" t="s">
        <v>29</v>
      </c>
      <c r="F63" s="1" t="s">
        <v>72</v>
      </c>
      <c r="G63" s="1" t="s">
        <v>79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1675.898358278037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1501.7418338993575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0.81548742923098116</v>
      </c>
      <c r="R63" s="1">
        <v>83</v>
      </c>
      <c r="S63" s="1">
        <v>79</v>
      </c>
      <c r="T63" s="1">
        <v>0</v>
      </c>
      <c r="U63" s="1">
        <f>Games[[#This Row],[PointsFor]]-Games[[#This Row],[PointsAgainst]]</f>
        <v>4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0.27196267328689588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74.95</v>
      </c>
      <c r="Z63" s="4">
        <f>Games[[#This Row],[K]]*Games[[#This Row],[POMult]]</f>
        <v>74.95</v>
      </c>
      <c r="AA63" s="4">
        <f>(Games[[#This Row],[Keff]]*Games[[#This Row],[MOVMult]])*(Games[[#This Row],[Result]]-Games[[#This Row],[ExpectedWin%]])</f>
        <v>3.7610308735034255</v>
      </c>
      <c r="AB63" s="4">
        <f>Games[[#This Row],[PreGmRate]]+Games[[#This Row],[RatingChange]]</f>
        <v>1679.6593891515404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41063</v>
      </c>
      <c r="B64" s="2">
        <v>2012</v>
      </c>
      <c r="C64" s="2">
        <f>COUNTIFS(Games[Team],Games[[#This Row],[Team]],Games[Season],Games[[#This Row],[Season]],Games[Date],"&lt;=" &amp; Games[[#This Row],[Date]])</f>
        <v>5</v>
      </c>
      <c r="D64" s="2" t="s">
        <v>23</v>
      </c>
      <c r="E64" s="2" t="s">
        <v>29</v>
      </c>
      <c r="F64" s="1" t="s">
        <v>74</v>
      </c>
      <c r="G64" s="1" t="s">
        <v>65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1587.3561805944444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1455.1405403692233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0.56894584845600127</v>
      </c>
      <c r="R64" s="1">
        <v>72</v>
      </c>
      <c r="S64" s="1">
        <v>87</v>
      </c>
      <c r="T64" s="1">
        <v>0</v>
      </c>
      <c r="U64" s="1">
        <f>Games[[#This Row],[PointsFor]]-Games[[#This Row],[PointsAgainst]]</f>
        <v>-15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0.4529429136205787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75.25</v>
      </c>
      <c r="Z64" s="4">
        <f>Games[[#This Row],[K]]*Games[[#This Row],[POMult]]</f>
        <v>75.25</v>
      </c>
      <c r="AA64" s="4">
        <f>(Games[[#This Row],[Keff]]*Games[[#This Row],[MOVMult]])*(Games[[#This Row],[Result]]-Games[[#This Row],[ExpectedWin%]])</f>
        <v>-19.391924269472508</v>
      </c>
      <c r="AB64" s="4">
        <f>Games[[#This Row],[PreGmRate]]+Games[[#This Row],[RatingChange]]</f>
        <v>1567.9642563249718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41063</v>
      </c>
      <c r="B65" s="2">
        <v>2012</v>
      </c>
      <c r="C65" s="2">
        <f>COUNTIFS(Games[Team],Games[[#This Row],[Team]],Games[Season],Games[[#This Row],[Season]],Games[Date],"&lt;=" &amp; Games[[#This Row],[Date]])</f>
        <v>6</v>
      </c>
      <c r="D65" s="2" t="s">
        <v>23</v>
      </c>
      <c r="E65" s="2" t="s">
        <v>29</v>
      </c>
      <c r="F65" s="1" t="s">
        <v>65</v>
      </c>
      <c r="G65" s="1" t="s">
        <v>74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0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1455.1405403692233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1587.3561805944444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0.43105415154399873</v>
      </c>
      <c r="R65" s="1">
        <v>87</v>
      </c>
      <c r="S65" s="1">
        <v>72</v>
      </c>
      <c r="T65" s="1">
        <v>0</v>
      </c>
      <c r="U65" s="1">
        <f>Games[[#This Row],[PointsFor]]-Games[[#This Row],[PointsAgainst]]</f>
        <v>15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0.4529429136205787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75.099999999999994</v>
      </c>
      <c r="Z65" s="4">
        <f>Games[[#This Row],[K]]*Games[[#This Row],[POMult]]</f>
        <v>75.099999999999994</v>
      </c>
      <c r="AA65" s="4">
        <f>(Games[[#This Row],[Keff]]*Games[[#This Row],[MOVMult]])*(Games[[#This Row],[Result]]-Games[[#This Row],[ExpectedWin%]])</f>
        <v>19.353269270928706</v>
      </c>
      <c r="AB65" s="4">
        <f>Games[[#This Row],[PreGmRate]]+Games[[#This Row],[RatingChange]]</f>
        <v>1474.493809640152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41063</v>
      </c>
      <c r="B66" s="2">
        <v>2012</v>
      </c>
      <c r="C66" s="2">
        <f>COUNTIFS(Games[Team],Games[[#This Row],[Team]],Games[Season],Games[[#This Row],[Season]],Games[Date],"&lt;=" &amp; Games[[#This Row],[Date]])</f>
        <v>6</v>
      </c>
      <c r="D66" s="2" t="s">
        <v>23</v>
      </c>
      <c r="E66" s="2" t="s">
        <v>29</v>
      </c>
      <c r="F66" s="1" t="s">
        <v>86</v>
      </c>
      <c r="G66" s="1" t="s">
        <v>44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1332.211339347602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1456.6112192265748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0.23153817185727008</v>
      </c>
      <c r="R66" s="1">
        <v>72</v>
      </c>
      <c r="S66" s="1">
        <v>79</v>
      </c>
      <c r="T66" s="1">
        <v>0</v>
      </c>
      <c r="U66" s="1">
        <f>Games[[#This Row],[PointsFor]]-Games[[#This Row],[PointsAgainst]]</f>
        <v>-7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0.3353432854623708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-5.8311223216686559</v>
      </c>
      <c r="AB66" s="4">
        <f>Games[[#This Row],[PreGmRate]]+Games[[#This Row],[RatingChange]]</f>
        <v>1326.3802170259335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41063</v>
      </c>
      <c r="B67" s="2">
        <v>2012</v>
      </c>
      <c r="C67" s="2">
        <f>COUNTIFS(Games[Team],Games[[#This Row],[Team]],Games[Season],Games[[#This Row],[Season]],Games[Date],"&lt;=" &amp; Games[[#This Row],[Date]])</f>
        <v>6</v>
      </c>
      <c r="D67" s="2" t="s">
        <v>23</v>
      </c>
      <c r="E67" s="2" t="s">
        <v>29</v>
      </c>
      <c r="F67" s="1" t="s">
        <v>44</v>
      </c>
      <c r="G67" s="1" t="s">
        <v>86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1456.6112192265748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1332.211339347602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0.76846182814273001</v>
      </c>
      <c r="R67" s="1">
        <v>79</v>
      </c>
      <c r="S67" s="1">
        <v>72</v>
      </c>
      <c r="T67" s="1">
        <v>0</v>
      </c>
      <c r="U67" s="1">
        <f>Games[[#This Row],[PointsFor]]-Games[[#This Row],[PointsAgainst]]</f>
        <v>7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0.3353432854623708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5.8311223216686541</v>
      </c>
      <c r="AB67" s="4">
        <f>Games[[#This Row],[PreGmRate]]+Games[[#This Row],[RatingChange]]</f>
        <v>1462.4423415482433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41065</v>
      </c>
      <c r="B68" s="2">
        <v>2012</v>
      </c>
      <c r="C68" s="2">
        <f>COUNTIFS(Games[Team],Games[[#This Row],[Team]],Games[Season],Games[[#This Row],[Season]],Games[Date],"&lt;=" &amp; Games[[#This Row],[Date]])</f>
        <v>6</v>
      </c>
      <c r="D68" s="2" t="s">
        <v>23</v>
      </c>
      <c r="E68" s="2" t="s">
        <v>29</v>
      </c>
      <c r="F68" s="1" t="s">
        <v>84</v>
      </c>
      <c r="G68" s="1" t="s">
        <v>65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1</v>
      </c>
      <c r="L68" s="2">
        <f>Games[[#This Row],[OppDaysOff]]-Games[[#This Row],[DaysOff]]</f>
        <v>-1</v>
      </c>
      <c r="M68" s="1">
        <f>MAX(-16, MIN(16, Games[[#This Row],[RestDiff]]*8))</f>
        <v>8</v>
      </c>
      <c r="N68" s="1">
        <f>MAX(-16, MIN(16, Games[[#This Row],[OppRestDiff]]*8))</f>
        <v>-8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1530.1510102190935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1474.493809640152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0.48224475252543286</v>
      </c>
      <c r="R68" s="1">
        <v>74</v>
      </c>
      <c r="S68" s="1">
        <v>79</v>
      </c>
      <c r="T68" s="1">
        <v>0</v>
      </c>
      <c r="U68" s="1">
        <f>Games[[#This Row],[PointsFor]]-Games[[#This Row],[PointsAgainst]]</f>
        <v>-5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0.31705084028502634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-11.482497411243601</v>
      </c>
      <c r="AB68" s="4">
        <f>Games[[#This Row],[PreGmRate]]+Games[[#This Row],[RatingChange]]</f>
        <v>1518.6685128078498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41065</v>
      </c>
      <c r="B69" s="2">
        <v>2012</v>
      </c>
      <c r="C69" s="2">
        <f>COUNTIFS(Games[Team],Games[[#This Row],[Team]],Games[Season],Games[[#This Row],[Season]],Games[Date],"&lt;=" &amp; Games[[#This Row],[Date]])</f>
        <v>7</v>
      </c>
      <c r="D69" s="2" t="s">
        <v>23</v>
      </c>
      <c r="E69" s="2" t="s">
        <v>29</v>
      </c>
      <c r="F69" s="1" t="s">
        <v>65</v>
      </c>
      <c r="G69" s="1" t="s">
        <v>84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9" s="2">
        <f>Games[[#This Row],[DaysOff]]-Games[[#This Row],[OppDaysOff]]</f>
        <v>-1</v>
      </c>
      <c r="L69" s="2">
        <f>Games[[#This Row],[OppDaysOff]]-Games[[#This Row],[DaysOff]]</f>
        <v>1</v>
      </c>
      <c r="M69" s="1">
        <f>MAX(-16, MIN(16, Games[[#This Row],[RestDiff]]*8))</f>
        <v>-8</v>
      </c>
      <c r="N69" s="1">
        <f>MAX(-16, MIN(16, Games[[#This Row],[OppRestDiff]]*8))</f>
        <v>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1474.493809640152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1530.1510102190935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0.51775524747456703</v>
      </c>
      <c r="R69" s="1">
        <v>79</v>
      </c>
      <c r="S69" s="1">
        <v>74</v>
      </c>
      <c r="T69" s="1">
        <v>0</v>
      </c>
      <c r="U69" s="1">
        <f>Games[[#This Row],[PointsFor]]-Games[[#This Row],[PointsAgainst]]</f>
        <v>5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0.31705084028502634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74.95</v>
      </c>
      <c r="Z69" s="4">
        <f>Games[[#This Row],[K]]*Games[[#This Row],[POMult]]</f>
        <v>74.95</v>
      </c>
      <c r="AA69" s="4">
        <f>(Games[[#This Row],[Keff]]*Games[[#This Row],[MOVMult]])*(Games[[#This Row],[Result]]-Games[[#This Row],[ExpectedWin%]])</f>
        <v>11.459562995641921</v>
      </c>
      <c r="AB69" s="4">
        <f>Games[[#This Row],[PreGmRate]]+Games[[#This Row],[RatingChange]]</f>
        <v>1485.9533726357938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41066</v>
      </c>
      <c r="B70" s="2">
        <v>2012</v>
      </c>
      <c r="C70" s="2">
        <f>COUNTIFS(Games[Team],Games[[#This Row],[Team]],Games[Season],Games[[#This Row],[Season]],Games[Date],"&lt;=" &amp; Games[[#This Row],[Date]])</f>
        <v>6</v>
      </c>
      <c r="D70" s="2" t="s">
        <v>23</v>
      </c>
      <c r="E70" s="2" t="s">
        <v>29</v>
      </c>
      <c r="F70" s="1" t="s">
        <v>76</v>
      </c>
      <c r="G70" s="1" t="s">
        <v>72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1492.7545022315837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1679.6593891515404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0.17372502484628721</v>
      </c>
      <c r="R70" s="1">
        <v>55</v>
      </c>
      <c r="S70" s="1">
        <v>79</v>
      </c>
      <c r="T70" s="1">
        <v>0</v>
      </c>
      <c r="U70" s="1">
        <f>Games[[#This Row],[PointsFor]]-Games[[#This Row],[PointsAgainst]]</f>
        <v>-24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0.54374104846692839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-7.0940531793302402</v>
      </c>
      <c r="AB70" s="4">
        <f>Games[[#This Row],[PreGmRate]]+Games[[#This Row],[RatingChange]]</f>
        <v>1485.6604490522534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41066</v>
      </c>
      <c r="B71" s="2">
        <v>2012</v>
      </c>
      <c r="C71" s="2">
        <f>COUNTIFS(Games[Team],Games[[#This Row],[Team]],Games[Season],Games[[#This Row],[Season]],Games[Date],"&lt;=" &amp; Games[[#This Row],[Date]])</f>
        <v>8</v>
      </c>
      <c r="D71" s="2" t="s">
        <v>23</v>
      </c>
      <c r="E71" s="2" t="s">
        <v>29</v>
      </c>
      <c r="F71" s="1" t="s">
        <v>72</v>
      </c>
      <c r="G71" s="1" t="s">
        <v>76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1679.6593891515404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1492.7545022315837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0.82627497515371284</v>
      </c>
      <c r="R71" s="1">
        <v>79</v>
      </c>
      <c r="S71" s="1">
        <v>55</v>
      </c>
      <c r="T71" s="1">
        <v>0</v>
      </c>
      <c r="U71" s="1">
        <f>Games[[#This Row],[PointsFor]]-Games[[#This Row],[PointsAgainst]]</f>
        <v>24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0.54374104846692839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74.8</v>
      </c>
      <c r="Z71" s="4">
        <f>Games[[#This Row],[K]]*Games[[#This Row],[POMult]]</f>
        <v>74.8</v>
      </c>
      <c r="AA71" s="4">
        <f>(Games[[#This Row],[Keff]]*Games[[#This Row],[MOVMult]])*(Games[[#This Row],[Result]]-Games[[#This Row],[ExpectedWin%]])</f>
        <v>7.065714751183779</v>
      </c>
      <c r="AB71" s="4">
        <f>Games[[#This Row],[PreGmRate]]+Games[[#This Row],[RatingChange]]</f>
        <v>1686.7251039027242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41068</v>
      </c>
      <c r="B72" s="2">
        <v>2012</v>
      </c>
      <c r="C72" s="2">
        <f>COUNTIFS(Games[Team],Games[[#This Row],[Team]],Games[Season],Games[[#This Row],[Season]],Games[Date],"&lt;=" &amp; Games[[#This Row],[Date]])</f>
        <v>6</v>
      </c>
      <c r="D72" s="2" t="s">
        <v>23</v>
      </c>
      <c r="E72" s="2" t="s">
        <v>29</v>
      </c>
      <c r="F72" s="1" t="s">
        <v>79</v>
      </c>
      <c r="G72" s="1" t="s">
        <v>84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2" s="2">
        <f>Games[[#This Row],[DaysOff]]-Games[[#This Row],[OppDaysOff]]</f>
        <v>2</v>
      </c>
      <c r="L72" s="2">
        <f>Games[[#This Row],[OppDaysOff]]-Games[[#This Row],[DaysOff]]</f>
        <v>-2</v>
      </c>
      <c r="M72" s="1">
        <f>MAX(-16, MIN(16, Games[[#This Row],[RestDiff]]*8))</f>
        <v>16</v>
      </c>
      <c r="N72" s="1">
        <f>MAX(-16, MIN(16, Games[[#This Row],[OppRestDiff]]*8))</f>
        <v>-16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1497.9657488662538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1518.6685128078498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0.39687316916087667</v>
      </c>
      <c r="R72" s="1">
        <v>57</v>
      </c>
      <c r="S72" s="1">
        <v>60</v>
      </c>
      <c r="T72" s="1">
        <v>0</v>
      </c>
      <c r="U72" s="1">
        <f>Games[[#This Row],[PointsFor]]-Games[[#This Row],[PointsAgainst]]</f>
        <v>-3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0.28526209295542326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75.099999999999994</v>
      </c>
      <c r="Z72" s="4">
        <f>Games[[#This Row],[K]]*Games[[#This Row],[POMult]]</f>
        <v>75.099999999999994</v>
      </c>
      <c r="AA72" s="4">
        <f>(Games[[#This Row],[Keff]]*Games[[#This Row],[MOVMult]])*(Games[[#This Row],[Result]]-Games[[#This Row],[ExpectedWin%]])</f>
        <v>-8.5022866025385238</v>
      </c>
      <c r="AB72" s="4">
        <f>Games[[#This Row],[PreGmRate]]+Games[[#This Row],[RatingChange]]</f>
        <v>1489.4634622637152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41068</v>
      </c>
      <c r="B73" s="2">
        <v>2012</v>
      </c>
      <c r="C73" s="2">
        <f>COUNTIFS(Games[Team],Games[[#This Row],[Team]],Games[Season],Games[[#This Row],[Season]],Games[Date],"&lt;=" &amp; Games[[#This Row],[Date]])</f>
        <v>7</v>
      </c>
      <c r="D73" s="2" t="s">
        <v>23</v>
      </c>
      <c r="E73" s="2" t="s">
        <v>29</v>
      </c>
      <c r="F73" s="1" t="s">
        <v>84</v>
      </c>
      <c r="G73" s="1" t="s">
        <v>79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3" s="2">
        <f>Games[[#This Row],[DaysOff]]-Games[[#This Row],[OppDaysOff]]</f>
        <v>-2</v>
      </c>
      <c r="L73" s="2">
        <f>Games[[#This Row],[OppDaysOff]]-Games[[#This Row],[DaysOff]]</f>
        <v>2</v>
      </c>
      <c r="M73" s="1">
        <f>MAX(-16, MIN(16, Games[[#This Row],[RestDiff]]*8))</f>
        <v>-16</v>
      </c>
      <c r="N73" s="1">
        <f>MAX(-16, MIN(16, Games[[#This Row],[OppRestDiff]]*8))</f>
        <v>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1518.6685128078498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1497.9657488662538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0.60312683083912344</v>
      </c>
      <c r="R73" s="1">
        <v>60</v>
      </c>
      <c r="S73" s="1">
        <v>57</v>
      </c>
      <c r="T73" s="1">
        <v>0</v>
      </c>
      <c r="U73" s="1">
        <f>Games[[#This Row],[PointsFor]]-Games[[#This Row],[PointsAgainst]]</f>
        <v>3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0.28526209295542326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74.95</v>
      </c>
      <c r="Z73" s="4">
        <f>Games[[#This Row],[K]]*Games[[#This Row],[POMult]]</f>
        <v>74.95</v>
      </c>
      <c r="AA73" s="4">
        <f>(Games[[#This Row],[Keff]]*Games[[#This Row],[MOVMult]])*(Games[[#This Row],[Result]]-Games[[#This Row],[ExpectedWin%]])</f>
        <v>8.4853046719076204</v>
      </c>
      <c r="AB73" s="4">
        <f>Games[[#This Row],[PreGmRate]]+Games[[#This Row],[RatingChange]]</f>
        <v>1527.1538174797574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41068</v>
      </c>
      <c r="B74" s="2">
        <v>2012</v>
      </c>
      <c r="C74" s="2">
        <f>COUNTIFS(Games[Team],Games[[#This Row],[Team]],Games[Season],Games[[#This Row],[Season]],Games[Date],"&lt;=" &amp; Games[[#This Row],[Date]])</f>
        <v>7</v>
      </c>
      <c r="D74" s="2" t="s">
        <v>23</v>
      </c>
      <c r="E74" s="2" t="s">
        <v>29</v>
      </c>
      <c r="F74" s="1" t="s">
        <v>86</v>
      </c>
      <c r="G74" s="1" t="s">
        <v>82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74" s="2">
        <f>Games[[#This Row],[DaysOff]]-Games[[#This Row],[OppDaysOff]]</f>
        <v>-1</v>
      </c>
      <c r="L74" s="2">
        <f>Games[[#This Row],[OppDaysOff]]-Games[[#This Row],[DaysOff]]</f>
        <v>1</v>
      </c>
      <c r="M74" s="1">
        <f>MAX(-16, MIN(16, Games[[#This Row],[RestDiff]]*8))</f>
        <v>-8</v>
      </c>
      <c r="N74" s="1">
        <f>MAX(-16, MIN(16, Games[[#This Row],[OppRestDiff]]*8))</f>
        <v>8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1326.3802170259335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1512.3022649772427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0.16166389890366542</v>
      </c>
      <c r="R74" s="1">
        <v>91</v>
      </c>
      <c r="S74" s="1">
        <v>98</v>
      </c>
      <c r="T74" s="1">
        <v>1</v>
      </c>
      <c r="U74" s="1">
        <f>Games[[#This Row],[PointsFor]]-Games[[#This Row],[PointsAgainst]]</f>
        <v>-7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0.28841142030822831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74.95</v>
      </c>
      <c r="Z74" s="4">
        <f>Games[[#This Row],[K]]*Games[[#This Row],[POMult]]</f>
        <v>74.95</v>
      </c>
      <c r="AA74" s="4">
        <f>(Games[[#This Row],[Keff]]*Games[[#This Row],[MOVMult]])*(Games[[#This Row],[Result]]-Games[[#This Row],[ExpectedWin%]])</f>
        <v>-3.4945973164181301</v>
      </c>
      <c r="AB74" s="4">
        <f>Games[[#This Row],[PreGmRate]]+Games[[#This Row],[RatingChange]]</f>
        <v>1322.8856197095154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41068</v>
      </c>
      <c r="B75" s="2">
        <v>2012</v>
      </c>
      <c r="C75" s="2">
        <f>COUNTIFS(Games[Team],Games[[#This Row],[Team]],Games[Season],Games[[#This Row],[Season]],Games[Date],"&lt;=" &amp; Games[[#This Row],[Date]])</f>
        <v>6</v>
      </c>
      <c r="D75" s="2" t="s">
        <v>23</v>
      </c>
      <c r="E75" s="2" t="s">
        <v>29</v>
      </c>
      <c r="F75" s="1" t="s">
        <v>82</v>
      </c>
      <c r="G75" s="1" t="s">
        <v>86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5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5" s="2">
        <f>Games[[#This Row],[DaysOff]]-Games[[#This Row],[OppDaysOff]]</f>
        <v>1</v>
      </c>
      <c r="L75" s="2">
        <f>Games[[#This Row],[OppDaysOff]]-Games[[#This Row],[DaysOff]]</f>
        <v>-1</v>
      </c>
      <c r="M75" s="1">
        <f>MAX(-16, MIN(16, Games[[#This Row],[RestDiff]]*8))</f>
        <v>8</v>
      </c>
      <c r="N75" s="1">
        <f>MAX(-16, MIN(16, Games[[#This Row],[OppRestDiff]]*8))</f>
        <v>-8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1512.3022649772427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1326.3802170259335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0.8383361010963345</v>
      </c>
      <c r="R75" s="1">
        <v>98</v>
      </c>
      <c r="S75" s="1">
        <v>91</v>
      </c>
      <c r="T75" s="1">
        <v>1</v>
      </c>
      <c r="U75" s="1">
        <f>Games[[#This Row],[PointsFor]]-Games[[#This Row],[PointsAgainst]]</f>
        <v>7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0.28841142030822831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3.5015911736224372</v>
      </c>
      <c r="AB75" s="4">
        <f>Games[[#This Row],[PreGmRate]]+Games[[#This Row],[RatingChange]]</f>
        <v>1515.8038561508652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41068</v>
      </c>
      <c r="B76" s="2">
        <v>2012</v>
      </c>
      <c r="C76" s="2">
        <f>COUNTIFS(Games[Team],Games[[#This Row],[Team]],Games[Season],Games[[#This Row],[Season]],Games[Date],"&lt;=" &amp; Games[[#This Row],[Date]])</f>
        <v>6</v>
      </c>
      <c r="D76" s="2" t="s">
        <v>23</v>
      </c>
      <c r="E76" s="2" t="s">
        <v>29</v>
      </c>
      <c r="F76" s="1" t="s">
        <v>81</v>
      </c>
      <c r="G76" s="1" t="s">
        <v>74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4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1551.8755525160982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1567.9642563249718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0.359817371020757</v>
      </c>
      <c r="R76" s="1">
        <v>89</v>
      </c>
      <c r="S76" s="1">
        <v>81</v>
      </c>
      <c r="T76" s="1">
        <v>0</v>
      </c>
      <c r="U76" s="1">
        <f>Games[[#This Row],[PointsFor]]-Games[[#This Row],[PointsAgainst]]</f>
        <v>8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0.38317816828996881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18.422330936463556</v>
      </c>
      <c r="AB76" s="4">
        <f>Games[[#This Row],[PreGmRate]]+Games[[#This Row],[RatingChange]]</f>
        <v>1570.2978834525618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41068</v>
      </c>
      <c r="B77" s="2">
        <v>2012</v>
      </c>
      <c r="C77" s="2">
        <f>COUNTIFS(Games[Team],Games[[#This Row],[Team]],Games[Season],Games[[#This Row],[Season]],Games[Date],"&lt;=" &amp; Games[[#This Row],[Date]])</f>
        <v>6</v>
      </c>
      <c r="D77" s="2" t="s">
        <v>23</v>
      </c>
      <c r="E77" s="2" t="s">
        <v>29</v>
      </c>
      <c r="F77" s="1" t="s">
        <v>74</v>
      </c>
      <c r="G77" s="1" t="s">
        <v>81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1567.9642563249718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1551.8755525160982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0.64018262897924294</v>
      </c>
      <c r="R77" s="1">
        <v>81</v>
      </c>
      <c r="S77" s="1">
        <v>89</v>
      </c>
      <c r="T77" s="1">
        <v>0</v>
      </c>
      <c r="U77" s="1">
        <f>Games[[#This Row],[PointsFor]]-Games[[#This Row],[PointsAgainst]]</f>
        <v>-8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0.38317816828996881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75.099999999999994</v>
      </c>
      <c r="Z77" s="4">
        <f>Games[[#This Row],[K]]*Games[[#This Row],[POMult]]</f>
        <v>75.099999999999994</v>
      </c>
      <c r="AA77" s="4">
        <f>(Games[[#This Row],[Keff]]*Games[[#This Row],[MOVMult]])*(Games[[#This Row],[Result]]-Games[[#This Row],[ExpectedWin%]])</f>
        <v>-18.422330936463556</v>
      </c>
      <c r="AB77" s="4">
        <f>Games[[#This Row],[PreGmRate]]+Games[[#This Row],[RatingChange]]</f>
        <v>1549.5419253885082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41068</v>
      </c>
      <c r="B78" s="2">
        <v>2012</v>
      </c>
      <c r="C78" s="2">
        <f>COUNTIFS(Games[Team],Games[[#This Row],[Team]],Games[Season],Games[[#This Row],[Season]],Games[Date],"&lt;=" &amp; Games[[#This Row],[Date]])</f>
        <v>7</v>
      </c>
      <c r="D78" s="2" t="s">
        <v>23</v>
      </c>
      <c r="E78" s="2" t="s">
        <v>29</v>
      </c>
      <c r="F78" s="1" t="s">
        <v>44</v>
      </c>
      <c r="G78" s="1" t="s">
        <v>68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1462.4423415482433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1524.534172173911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0.30133007147936464</v>
      </c>
      <c r="R78" s="1">
        <v>74</v>
      </c>
      <c r="S78" s="1">
        <v>90</v>
      </c>
      <c r="T78" s="1">
        <v>0</v>
      </c>
      <c r="U78" s="1">
        <f>Games[[#This Row],[PointsFor]]-Games[[#This Row],[PointsAgainst]]</f>
        <v>-16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0.49231222614605663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74.95</v>
      </c>
      <c r="Z78" s="4">
        <f>Games[[#This Row],[K]]*Games[[#This Row],[POMult]]</f>
        <v>74.95</v>
      </c>
      <c r="AA78" s="4">
        <f>(Games[[#This Row],[Keff]]*Games[[#This Row],[MOVMult]])*(Games[[#This Row],[Result]]-Games[[#This Row],[ExpectedWin%]])</f>
        <v>-11.11871844819199</v>
      </c>
      <c r="AB78" s="4">
        <f>Games[[#This Row],[PreGmRate]]+Games[[#This Row],[RatingChange]]</f>
        <v>1451.3236231000515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41068</v>
      </c>
      <c r="B79" s="2">
        <v>2012</v>
      </c>
      <c r="C79" s="2">
        <f>COUNTIFS(Games[Team],Games[[#This Row],[Team]],Games[Season],Games[[#This Row],[Season]],Games[Date],"&lt;=" &amp; Games[[#This Row],[Date]])</f>
        <v>7</v>
      </c>
      <c r="D79" s="2" t="s">
        <v>23</v>
      </c>
      <c r="E79" s="2" t="s">
        <v>29</v>
      </c>
      <c r="F79" s="1" t="s">
        <v>68</v>
      </c>
      <c r="G79" s="1" t="s">
        <v>44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1524.534172173911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1462.4423415482433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0.69866992852063536</v>
      </c>
      <c r="R79" s="1">
        <v>90</v>
      </c>
      <c r="S79" s="1">
        <v>74</v>
      </c>
      <c r="T79" s="1">
        <v>0</v>
      </c>
      <c r="U79" s="1">
        <f>Games[[#This Row],[PointsFor]]-Games[[#This Row],[PointsAgainst]]</f>
        <v>16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0.49231222614605663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11.11871844819199</v>
      </c>
      <c r="AB79" s="4">
        <f>Games[[#This Row],[PreGmRate]]+Games[[#This Row],[RatingChange]]</f>
        <v>1535.6528906221029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41068</v>
      </c>
      <c r="B80" s="2">
        <v>2012</v>
      </c>
      <c r="C80" s="2">
        <f>COUNTIFS(Games[Team],Games[[#This Row],[Team]],Games[Season],Games[[#This Row],[Season]],Games[Date],"&lt;=" &amp; Games[[#This Row],[Date]])</f>
        <v>8</v>
      </c>
      <c r="D80" s="2" t="s">
        <v>23</v>
      </c>
      <c r="E80" s="2" t="s">
        <v>29</v>
      </c>
      <c r="F80" s="1" t="s">
        <v>65</v>
      </c>
      <c r="G80" s="1" t="s">
        <v>70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0" s="2">
        <f>Games[[#This Row],[DaysOff]]-Games[[#This Row],[OppDaysOff]]</f>
        <v>-2</v>
      </c>
      <c r="L80" s="2">
        <f>Games[[#This Row],[OppDaysOff]]-Games[[#This Row],[DaysOff]]</f>
        <v>2</v>
      </c>
      <c r="M80" s="1">
        <f>MAX(-16, MIN(16, Games[[#This Row],[RestDiff]]*8))</f>
        <v>-16</v>
      </c>
      <c r="N80" s="1">
        <f>MAX(-16, MIN(16, Games[[#This Row],[OppRestDiff]]*8))</f>
        <v>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1485.9533726357938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1388.9082487009566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0.47274877219599792</v>
      </c>
      <c r="R80" s="1">
        <v>76</v>
      </c>
      <c r="S80" s="1">
        <v>70</v>
      </c>
      <c r="T80" s="1">
        <v>0</v>
      </c>
      <c r="U80" s="1">
        <f>Games[[#This Row],[PointsFor]]-Games[[#This Row],[PointsAgainst]]</f>
        <v>6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0.3249978782776472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74.8</v>
      </c>
      <c r="Z80" s="4">
        <f>Games[[#This Row],[K]]*Games[[#This Row],[POMult]]</f>
        <v>74.8</v>
      </c>
      <c r="AA80" s="4">
        <f>(Games[[#This Row],[Keff]]*Games[[#This Row],[MOVMult]])*(Games[[#This Row],[Result]]-Games[[#This Row],[ExpectedWin%]])</f>
        <v>12.817393670597763</v>
      </c>
      <c r="AB80" s="4">
        <f>Games[[#This Row],[PreGmRate]]+Games[[#This Row],[RatingChange]]</f>
        <v>1498.7707663063916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41068</v>
      </c>
      <c r="B81" s="2">
        <v>2012</v>
      </c>
      <c r="C81" s="2">
        <f>COUNTIFS(Games[Team],Games[[#This Row],[Team]],Games[Season],Games[[#This Row],[Season]],Games[Date],"&lt;=" &amp; Games[[#This Row],[Date]])</f>
        <v>6</v>
      </c>
      <c r="D81" s="2" t="s">
        <v>23</v>
      </c>
      <c r="E81" s="2" t="s">
        <v>29</v>
      </c>
      <c r="F81" s="1" t="s">
        <v>70</v>
      </c>
      <c r="G81" s="1" t="s">
        <v>65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1" s="2">
        <f>Games[[#This Row],[DaysOff]]-Games[[#This Row],[OppDaysOff]]</f>
        <v>2</v>
      </c>
      <c r="L81" s="2">
        <f>Games[[#This Row],[OppDaysOff]]-Games[[#This Row],[DaysOff]]</f>
        <v>-2</v>
      </c>
      <c r="M81" s="1">
        <f>MAX(-16, MIN(16, Games[[#This Row],[RestDiff]]*8))</f>
        <v>16</v>
      </c>
      <c r="N81" s="1">
        <f>MAX(-16, MIN(16, Games[[#This Row],[OppRestDiff]]*8))</f>
        <v>-16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1388.9082487009566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1485.9533726357938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0.52725122780400213</v>
      </c>
      <c r="R81" s="1">
        <v>70</v>
      </c>
      <c r="S81" s="1">
        <v>76</v>
      </c>
      <c r="T81" s="1">
        <v>0</v>
      </c>
      <c r="U81" s="1">
        <f>Games[[#This Row],[PointsFor]]-Games[[#This Row],[PointsAgainst]]</f>
        <v>-6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0.3249978782776472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-12.868800329704442</v>
      </c>
      <c r="AB81" s="4">
        <f>Games[[#This Row],[PreGmRate]]+Games[[#This Row],[RatingChange]]</f>
        <v>1376.0394483712521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41069</v>
      </c>
      <c r="B82" s="2">
        <v>2012</v>
      </c>
      <c r="C82" s="2">
        <f>COUNTIFS(Games[Team],Games[[#This Row],[Team]],Games[Season],Games[[#This Row],[Season]],Games[Date],"&lt;=" &amp; Games[[#This Row],[Date]])</f>
        <v>7</v>
      </c>
      <c r="D82" s="2" t="s">
        <v>23</v>
      </c>
      <c r="E82" s="2" t="s">
        <v>29</v>
      </c>
      <c r="F82" s="1" t="s">
        <v>76</v>
      </c>
      <c r="G82" s="1" t="s">
        <v>79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2" s="2">
        <f>Games[[#This Row],[DaysOff]]-Games[[#This Row],[OppDaysOff]]</f>
        <v>2</v>
      </c>
      <c r="L82" s="2">
        <f>Games[[#This Row],[OppDaysOff]]-Games[[#This Row],[DaysOff]]</f>
        <v>-2</v>
      </c>
      <c r="M82" s="1">
        <f>MAX(-16, MIN(16, Games[[#This Row],[RestDiff]]*8))</f>
        <v>16</v>
      </c>
      <c r="N82" s="1">
        <f>MAX(-16, MIN(16, Games[[#This Row],[OppRestDiff]]*8))</f>
        <v>-16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1485.6604490522534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1489.4634622637152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0.42037651233390838</v>
      </c>
      <c r="R82" s="1">
        <v>67</v>
      </c>
      <c r="S82" s="1">
        <v>80</v>
      </c>
      <c r="T82" s="1">
        <v>0</v>
      </c>
      <c r="U82" s="1">
        <f>Games[[#This Row],[PointsFor]]-Games[[#This Row],[PointsAgainst]]</f>
        <v>-13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0.47055249119686093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74.95</v>
      </c>
      <c r="Z82" s="4">
        <f>Games[[#This Row],[K]]*Games[[#This Row],[POMult]]</f>
        <v>74.95</v>
      </c>
      <c r="AA82" s="4">
        <f>(Games[[#This Row],[Keff]]*Games[[#This Row],[MOVMult]])*(Games[[#This Row],[Result]]-Games[[#This Row],[ExpectedWin%]])</f>
        <v>-14.825800673196673</v>
      </c>
      <c r="AB82" s="4">
        <f>Games[[#This Row],[PreGmRate]]+Games[[#This Row],[RatingChange]]</f>
        <v>1470.8346483790567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41069</v>
      </c>
      <c r="B83" s="2">
        <v>2012</v>
      </c>
      <c r="C83" s="2">
        <f>COUNTIFS(Games[Team],Games[[#This Row],[Team]],Games[Season],Games[[#This Row],[Season]],Games[Date],"&lt;=" &amp; Games[[#This Row],[Date]])</f>
        <v>7</v>
      </c>
      <c r="D83" s="2" t="s">
        <v>23</v>
      </c>
      <c r="E83" s="2" t="s">
        <v>29</v>
      </c>
      <c r="F83" s="1" t="s">
        <v>79</v>
      </c>
      <c r="G83" s="1" t="s">
        <v>76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-2</v>
      </c>
      <c r="L83" s="2">
        <f>Games[[#This Row],[OppDaysOff]]-Games[[#This Row],[DaysOff]]</f>
        <v>2</v>
      </c>
      <c r="M83" s="1">
        <f>MAX(-16, MIN(16, Games[[#This Row],[RestDiff]]*8))</f>
        <v>-16</v>
      </c>
      <c r="N83" s="1">
        <f>MAX(-16, MIN(16, Games[[#This Row],[OppRestDiff]]*8))</f>
        <v>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1489.4634622637152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1485.6604490522534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0.57962348766609162</v>
      </c>
      <c r="R83" s="1">
        <v>80</v>
      </c>
      <c r="S83" s="1">
        <v>67</v>
      </c>
      <c r="T83" s="1">
        <v>0</v>
      </c>
      <c r="U83" s="1">
        <f>Games[[#This Row],[PointsFor]]-Games[[#This Row],[PointsAgainst]]</f>
        <v>13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0.47055249119686093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14.825800673196673</v>
      </c>
      <c r="AB83" s="4">
        <f>Games[[#This Row],[PreGmRate]]+Games[[#This Row],[RatingChange]]</f>
        <v>1504.2892629369119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41069</v>
      </c>
      <c r="B84" s="2">
        <v>2012</v>
      </c>
      <c r="C84" s="2">
        <f>COUNTIFS(Games[Team],Games[[#This Row],[Team]],Games[Season],Games[[#This Row],[Season]],Games[Date],"&lt;=" &amp; Games[[#This Row],[Date]])</f>
        <v>9</v>
      </c>
      <c r="D84" s="2" t="s">
        <v>23</v>
      </c>
      <c r="E84" s="2" t="s">
        <v>29</v>
      </c>
      <c r="F84" s="1" t="s">
        <v>72</v>
      </c>
      <c r="G84" s="1" t="s">
        <v>86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4" s="2">
        <f>Games[[#This Row],[DaysOff]]-Games[[#This Row],[OppDaysOff]]</f>
        <v>2</v>
      </c>
      <c r="L84" s="2">
        <f>Games[[#This Row],[OppDaysOff]]-Games[[#This Row],[DaysOff]]</f>
        <v>-2</v>
      </c>
      <c r="M84" s="1">
        <f>MAX(-16, MIN(16, Games[[#This Row],[RestDiff]]*8))</f>
        <v>16</v>
      </c>
      <c r="N84" s="1">
        <f>MAX(-16, MIN(16, Games[[#This Row],[OppRestDiff]]*8))</f>
        <v>-16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1686.7251039027242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1322.8856197095154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0.85755048177109028</v>
      </c>
      <c r="R84" s="1">
        <v>93</v>
      </c>
      <c r="S84" s="1">
        <v>73</v>
      </c>
      <c r="T84" s="1">
        <v>0</v>
      </c>
      <c r="U84" s="1">
        <f>Games[[#This Row],[PointsFor]]-Games[[#This Row],[PointsAgainst]]</f>
        <v>20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0.44113531964344238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74.650000000000006</v>
      </c>
      <c r="Z84" s="4">
        <f>Games[[#This Row],[K]]*Games[[#This Row],[POMult]]</f>
        <v>74.650000000000006</v>
      </c>
      <c r="AA84" s="4">
        <f>(Games[[#This Row],[Keff]]*Games[[#This Row],[MOVMult]])*(Games[[#This Row],[Result]]-Games[[#This Row],[ExpectedWin%]])</f>
        <v>4.690969701957397</v>
      </c>
      <c r="AB84" s="4">
        <f>Games[[#This Row],[PreGmRate]]+Games[[#This Row],[RatingChange]]</f>
        <v>1691.4160736046815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41069</v>
      </c>
      <c r="B85" s="2">
        <v>2012</v>
      </c>
      <c r="C85" s="2">
        <f>COUNTIFS(Games[Team],Games[[#This Row],[Team]],Games[Season],Games[[#This Row],[Season]],Games[Date],"&lt;=" &amp; Games[[#This Row],[Date]])</f>
        <v>8</v>
      </c>
      <c r="D85" s="2" t="s">
        <v>23</v>
      </c>
      <c r="E85" s="2" t="s">
        <v>29</v>
      </c>
      <c r="F85" s="1" t="s">
        <v>86</v>
      </c>
      <c r="G85" s="1" t="s">
        <v>72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5" s="2">
        <f>Games[[#This Row],[DaysOff]]-Games[[#This Row],[OppDaysOff]]</f>
        <v>-2</v>
      </c>
      <c r="L85" s="2">
        <f>Games[[#This Row],[OppDaysOff]]-Games[[#This Row],[DaysOff]]</f>
        <v>2</v>
      </c>
      <c r="M85" s="1">
        <f>MAX(-16, MIN(16, Games[[#This Row],[RestDiff]]*8))</f>
        <v>-16</v>
      </c>
      <c r="N85" s="1">
        <f>MAX(-16, MIN(16, Games[[#This Row],[OppRestDiff]]*8))</f>
        <v>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1322.8856197095154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1686.7251039027242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0.14244951822890964</v>
      </c>
      <c r="R85" s="1">
        <v>73</v>
      </c>
      <c r="S85" s="1">
        <v>93</v>
      </c>
      <c r="T85" s="1">
        <v>0</v>
      </c>
      <c r="U85" s="1">
        <f>Games[[#This Row],[PointsFor]]-Games[[#This Row],[PointsAgainst]]</f>
        <v>-20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0.44113531964344238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74.8</v>
      </c>
      <c r="Z85" s="4">
        <f>Games[[#This Row],[K]]*Games[[#This Row],[POMult]]</f>
        <v>74.8</v>
      </c>
      <c r="AA85" s="4">
        <f>(Games[[#This Row],[Keff]]*Games[[#This Row],[MOVMult]])*(Games[[#This Row],[Result]]-Games[[#This Row],[ExpectedWin%]])</f>
        <v>-4.7003956290209388</v>
      </c>
      <c r="AB85" s="4">
        <f>Games[[#This Row],[PreGmRate]]+Games[[#This Row],[RatingChange]]</f>
        <v>1318.1852240804944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41070</v>
      </c>
      <c r="B86" s="2">
        <v>2012</v>
      </c>
      <c r="C86" s="2">
        <f>COUNTIFS(Games[Team],Games[[#This Row],[Team]],Games[Season],Games[[#This Row],[Season]],Games[Date],"&lt;=" &amp; Games[[#This Row],[Date]])</f>
        <v>8</v>
      </c>
      <c r="D86" s="2" t="s">
        <v>23</v>
      </c>
      <c r="E86" s="2" t="s">
        <v>29</v>
      </c>
      <c r="F86" s="1" t="s">
        <v>84</v>
      </c>
      <c r="G86" s="1" t="s">
        <v>81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1527.1538174797574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1570.2978834525618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0.32477790707431481</v>
      </c>
      <c r="R86" s="1">
        <v>73</v>
      </c>
      <c r="S86" s="1">
        <v>92</v>
      </c>
      <c r="T86" s="1">
        <v>0</v>
      </c>
      <c r="U86" s="1">
        <f>Games[[#This Row],[PointsFor]]-Games[[#This Row],[PointsAgainst]]</f>
        <v>-19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0.54150850709401721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74.8</v>
      </c>
      <c r="Z86" s="4">
        <f>Games[[#This Row],[K]]*Games[[#This Row],[POMult]]</f>
        <v>74.8</v>
      </c>
      <c r="AA86" s="4">
        <f>(Games[[#This Row],[Keff]]*Games[[#This Row],[MOVMult]])*(Games[[#This Row],[Result]]-Games[[#This Row],[ExpectedWin%]])</f>
        <v>-13.155075969850488</v>
      </c>
      <c r="AB86" s="4">
        <f>Games[[#This Row],[PreGmRate]]+Games[[#This Row],[RatingChange]]</f>
        <v>1513.9987415099069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41070</v>
      </c>
      <c r="B87" s="2">
        <v>2012</v>
      </c>
      <c r="C87" s="2">
        <f>COUNTIFS(Games[Team],Games[[#This Row],[Team]],Games[Season],Games[[#This Row],[Season]],Games[Date],"&lt;=" &amp; Games[[#This Row],[Date]])</f>
        <v>7</v>
      </c>
      <c r="D87" s="2" t="s">
        <v>23</v>
      </c>
      <c r="E87" s="2" t="s">
        <v>29</v>
      </c>
      <c r="F87" s="1" t="s">
        <v>81</v>
      </c>
      <c r="G87" s="1" t="s">
        <v>84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1570.2978834525618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1527.1538174797574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0.67522209292568525</v>
      </c>
      <c r="R87" s="1">
        <v>92</v>
      </c>
      <c r="S87" s="1">
        <v>73</v>
      </c>
      <c r="T87" s="1">
        <v>0</v>
      </c>
      <c r="U87" s="1">
        <f>Games[[#This Row],[PointsFor]]-Games[[#This Row],[PointsAgainst]]</f>
        <v>19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0.54150850709401721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13.181456469790026</v>
      </c>
      <c r="AB87" s="4">
        <f>Games[[#This Row],[PreGmRate]]+Games[[#This Row],[RatingChange]]</f>
        <v>1583.4793399223518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41070</v>
      </c>
      <c r="B88" s="2">
        <v>2012</v>
      </c>
      <c r="C88" s="2">
        <f>COUNTIFS(Games[Team],Games[[#This Row],[Team]],Games[Season],Games[[#This Row],[Season]],Games[Date],"&lt;=" &amp; Games[[#This Row],[Date]])</f>
        <v>7</v>
      </c>
      <c r="D88" s="2" t="s">
        <v>23</v>
      </c>
      <c r="E88" s="2" t="s">
        <v>29</v>
      </c>
      <c r="F88" s="1" t="s">
        <v>82</v>
      </c>
      <c r="G88" s="1" t="s">
        <v>65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1515.8038561508652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1498.7707663063916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0.40480285340172295</v>
      </c>
      <c r="R88" s="1">
        <v>73</v>
      </c>
      <c r="S88" s="1">
        <v>64</v>
      </c>
      <c r="T88" s="1">
        <v>0</v>
      </c>
      <c r="U88" s="1">
        <f>Games[[#This Row],[PointsFor]]-Games[[#This Row],[PointsAgainst]]</f>
        <v>9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0.40028971820227749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17.856934791592465</v>
      </c>
      <c r="AB88" s="4">
        <f>Games[[#This Row],[PreGmRate]]+Games[[#This Row],[RatingChange]]</f>
        <v>1533.6607909424577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41070</v>
      </c>
      <c r="B89" s="2">
        <v>2012</v>
      </c>
      <c r="C89" s="2">
        <f>COUNTIFS(Games[Team],Games[[#This Row],[Team]],Games[Season],Games[[#This Row],[Season]],Games[Date],"&lt;=" &amp; Games[[#This Row],[Date]])</f>
        <v>9</v>
      </c>
      <c r="D89" s="2" t="s">
        <v>23</v>
      </c>
      <c r="E89" s="2" t="s">
        <v>29</v>
      </c>
      <c r="F89" s="1" t="s">
        <v>65</v>
      </c>
      <c r="G89" s="1" t="s">
        <v>82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1498.7707663063916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1515.8038561508652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0.59519714659827705</v>
      </c>
      <c r="R89" s="1">
        <v>64</v>
      </c>
      <c r="S89" s="1">
        <v>73</v>
      </c>
      <c r="T89" s="1">
        <v>0</v>
      </c>
      <c r="U89" s="1">
        <f>Games[[#This Row],[PointsFor]]-Games[[#This Row],[PointsAgainst]]</f>
        <v>-9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0.40028971820227749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74.650000000000006</v>
      </c>
      <c r="Z89" s="4">
        <f>Games[[#This Row],[K]]*Games[[#This Row],[POMult]]</f>
        <v>74.650000000000006</v>
      </c>
      <c r="AA89" s="4">
        <f>(Games[[#This Row],[Keff]]*Games[[#This Row],[MOVMult]])*(Games[[#This Row],[Result]]-Games[[#This Row],[ExpectedWin%]])</f>
        <v>-17.785459402166481</v>
      </c>
      <c r="AB89" s="4">
        <f>Games[[#This Row],[PreGmRate]]+Games[[#This Row],[RatingChange]]</f>
        <v>1480.9853069042251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41073</v>
      </c>
      <c r="B90" s="2">
        <v>2012</v>
      </c>
      <c r="C90" s="2">
        <f>COUNTIFS(Games[Team],Games[[#This Row],[Team]],Games[Season],Games[[#This Row],[Season]],Games[Date],"&lt;=" &amp; Games[[#This Row],[Date]])</f>
        <v>8</v>
      </c>
      <c r="D90" s="2" t="s">
        <v>23</v>
      </c>
      <c r="E90" s="2" t="s">
        <v>29</v>
      </c>
      <c r="F90" s="1" t="s">
        <v>76</v>
      </c>
      <c r="G90" s="1" t="s">
        <v>82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1</v>
      </c>
      <c r="L90" s="2">
        <f>Games[[#This Row],[OppDaysOff]]-Games[[#This Row],[DaysOff]]</f>
        <v>-1</v>
      </c>
      <c r="M90" s="1">
        <f>MAX(-16, MIN(16, Games[[#This Row],[RestDiff]]*8))</f>
        <v>8</v>
      </c>
      <c r="N90" s="1">
        <f>MAX(-16, MIN(16, Games[[#This Row],[OppRestDiff]]*8))</f>
        <v>-8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1470.8346483790567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1533.6607909424577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0.32014711294351267</v>
      </c>
      <c r="R90" s="1">
        <v>58</v>
      </c>
      <c r="S90" s="1">
        <v>74</v>
      </c>
      <c r="T90" s="1">
        <v>0</v>
      </c>
      <c r="U90" s="1">
        <f>Games[[#This Row],[PointsFor]]-Games[[#This Row],[PointsAgainst]]</f>
        <v>-16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0.49202595495434903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-11.782547535098841</v>
      </c>
      <c r="AB90" s="4">
        <f>Games[[#This Row],[PreGmRate]]+Games[[#This Row],[RatingChange]]</f>
        <v>1459.052100843958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41073</v>
      </c>
      <c r="B91" s="2">
        <v>2012</v>
      </c>
      <c r="C91" s="2">
        <f>COUNTIFS(Games[Team],Games[[#This Row],[Team]],Games[Season],Games[[#This Row],[Season]],Games[Date],"&lt;=" &amp; Games[[#This Row],[Date]])</f>
        <v>8</v>
      </c>
      <c r="D91" s="2" t="s">
        <v>23</v>
      </c>
      <c r="E91" s="2" t="s">
        <v>29</v>
      </c>
      <c r="F91" s="1" t="s">
        <v>82</v>
      </c>
      <c r="G91" s="1" t="s">
        <v>76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1" s="2">
        <f>Games[[#This Row],[DaysOff]]-Games[[#This Row],[OppDaysOff]]</f>
        <v>-1</v>
      </c>
      <c r="L91" s="2">
        <f>Games[[#This Row],[OppDaysOff]]-Games[[#This Row],[DaysOff]]</f>
        <v>1</v>
      </c>
      <c r="M91" s="1">
        <f>MAX(-16, MIN(16, Games[[#This Row],[RestDiff]]*8))</f>
        <v>-8</v>
      </c>
      <c r="N91" s="1">
        <f>MAX(-16, MIN(16, Games[[#This Row],[OppRestDiff]]*8))</f>
        <v>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1533.6607909424577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1470.8346483790567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0.67985288705648728</v>
      </c>
      <c r="R91" s="1">
        <v>74</v>
      </c>
      <c r="S91" s="1">
        <v>58</v>
      </c>
      <c r="T91" s="1">
        <v>0</v>
      </c>
      <c r="U91" s="1">
        <f>Games[[#This Row],[PointsFor]]-Games[[#This Row],[PointsAgainst]]</f>
        <v>16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0.49202595495434903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11.782547535098844</v>
      </c>
      <c r="AB91" s="4">
        <f>Games[[#This Row],[PreGmRate]]+Games[[#This Row],[RatingChange]]</f>
        <v>1545.4433384775566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41073</v>
      </c>
      <c r="B92" s="2">
        <v>2012</v>
      </c>
      <c r="C92" s="2">
        <f>COUNTIFS(Games[Team],Games[[#This Row],[Team]],Games[Season],Games[[#This Row],[Season]],Games[Date],"&lt;=" &amp; Games[[#This Row],[Date]])</f>
        <v>8</v>
      </c>
      <c r="D92" s="2" t="s">
        <v>23</v>
      </c>
      <c r="E92" s="2" t="s">
        <v>29</v>
      </c>
      <c r="F92" s="1" t="s">
        <v>68</v>
      </c>
      <c r="G92" s="1" t="s">
        <v>81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2" s="2">
        <f>Games[[#This Row],[DaysOff]]-Games[[#This Row],[OppDaysOff]]</f>
        <v>2</v>
      </c>
      <c r="L92" s="2">
        <f>Games[[#This Row],[OppDaysOff]]-Games[[#This Row],[DaysOff]]</f>
        <v>-2</v>
      </c>
      <c r="M92" s="1">
        <f>MAX(-16, MIN(16, Games[[#This Row],[RestDiff]]*8))</f>
        <v>16</v>
      </c>
      <c r="N92" s="1">
        <f>MAX(-16, MIN(16, Games[[#This Row],[OppRestDiff]]*8))</f>
        <v>-16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1535.6528906221029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1583.4793399223518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0.36016519258857055</v>
      </c>
      <c r="R92" s="1">
        <v>87</v>
      </c>
      <c r="S92" s="1">
        <v>81</v>
      </c>
      <c r="T92" s="1">
        <v>0</v>
      </c>
      <c r="U92" s="1">
        <f>Games[[#This Row],[PointsFor]]-Games[[#This Row],[PointsAgainst]]</f>
        <v>6</v>
      </c>
      <c r="V92" s="1">
        <f>IF(Games[[#This Row],[MOV]]&gt;0,1,IF(Games[[#This Row],[MOV]]=0,0.5,0))</f>
        <v>1</v>
      </c>
      <c r="W92" s="4">
        <f>((ABS(Games[[#This Row],[MOV]])+5)^0.6)/(12+0.01*(ABS(Games[[#This Row],[PreGmRate]]-Games[[#This Row],[OppPreGmRate]])))*IF(Games[[#This Row],[OT]]=1,0.9,1)</f>
        <v>0.3378169404451859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16.167798369848775</v>
      </c>
      <c r="AB92" s="4">
        <f>Games[[#This Row],[PreGmRate]]+Games[[#This Row],[RatingChange]]</f>
        <v>1551.8206889919516</v>
      </c>
      <c r="AC92" s="2">
        <f>IF(Games[[#This Row],[Type]]="R",IF(Games[[#This Row],[Result]]&gt;0.5,1,0),0)</f>
        <v>1</v>
      </c>
      <c r="AD92" s="2">
        <f>IF(Games[[#This Row],[Type]]="R",IF(Games[[#This Row],[Result]]&lt;0.5,1,0),0)</f>
        <v>0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41073</v>
      </c>
      <c r="B93" s="2">
        <v>2012</v>
      </c>
      <c r="C93" s="2">
        <f>COUNTIFS(Games[Team],Games[[#This Row],[Team]],Games[Season],Games[[#This Row],[Season]],Games[Date],"&lt;=" &amp; Games[[#This Row],[Date]])</f>
        <v>8</v>
      </c>
      <c r="D93" s="2" t="s">
        <v>23</v>
      </c>
      <c r="E93" s="2" t="s">
        <v>29</v>
      </c>
      <c r="F93" s="1" t="s">
        <v>81</v>
      </c>
      <c r="G93" s="1" t="s">
        <v>68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3" s="2">
        <f>Games[[#This Row],[DaysOff]]-Games[[#This Row],[OppDaysOff]]</f>
        <v>-2</v>
      </c>
      <c r="L93" s="2">
        <f>Games[[#This Row],[OppDaysOff]]-Games[[#This Row],[DaysOff]]</f>
        <v>2</v>
      </c>
      <c r="M93" s="1">
        <f>MAX(-16, MIN(16, Games[[#This Row],[RestDiff]]*8))</f>
        <v>-16</v>
      </c>
      <c r="N93" s="1">
        <f>MAX(-16, MIN(16, Games[[#This Row],[OppRestDiff]]*8))</f>
        <v>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1583.4793399223518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1535.6528906221029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0.63983480741142951</v>
      </c>
      <c r="R93" s="1">
        <v>81</v>
      </c>
      <c r="S93" s="1">
        <v>87</v>
      </c>
      <c r="T93" s="1">
        <v>0</v>
      </c>
      <c r="U93" s="1">
        <f>Games[[#This Row],[PointsFor]]-Games[[#This Row],[PointsAgainst]]</f>
        <v>-6</v>
      </c>
      <c r="V93" s="1">
        <f>IF(Games[[#This Row],[MOV]]&gt;0,1,IF(Games[[#This Row],[MOV]]=0,0.5,0))</f>
        <v>0</v>
      </c>
      <c r="W93" s="4">
        <f>((ABS(Games[[#This Row],[MOV]])+5)^0.6)/(12+0.01*(ABS(Games[[#This Row],[PreGmRate]]-Games[[#This Row],[OppPreGmRate]])))*IF(Games[[#This Row],[OT]]=1,0.9,1)</f>
        <v>0.3378169404451859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-16.167798369848775</v>
      </c>
      <c r="AB93" s="4">
        <f>Games[[#This Row],[PreGmRate]]+Games[[#This Row],[RatingChange]]</f>
        <v>1567.3115415525031</v>
      </c>
      <c r="AC93" s="2">
        <f>IF(Games[[#This Row],[Type]]="R",IF(Games[[#This Row],[Result]]&gt;0.5,1,0),0)</f>
        <v>0</v>
      </c>
      <c r="AD93" s="2">
        <f>IF(Games[[#This Row],[Type]]="R",IF(Games[[#This Row],[Result]]&lt;0.5,1,0),0)</f>
        <v>1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41075</v>
      </c>
      <c r="B94" s="2">
        <v>2012</v>
      </c>
      <c r="C94" s="2">
        <f>COUNTIFS(Games[Team],Games[[#This Row],[Team]],Games[Season],Games[[#This Row],[Season]],Games[Date],"&lt;=" &amp; Games[[#This Row],[Date]])</f>
        <v>9</v>
      </c>
      <c r="D94" s="2" t="s">
        <v>23</v>
      </c>
      <c r="E94" s="2" t="s">
        <v>29</v>
      </c>
      <c r="F94" s="1" t="s">
        <v>68</v>
      </c>
      <c r="G94" s="1" t="s">
        <v>84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4" s="2">
        <f>Games[[#This Row],[DaysOff]]-Games[[#This Row],[OppDaysOff]]</f>
        <v>-3</v>
      </c>
      <c r="L94" s="2">
        <f>Games[[#This Row],[OppDaysOff]]-Games[[#This Row],[DaysOff]]</f>
        <v>3</v>
      </c>
      <c r="M94" s="1">
        <f>MAX(-16, MIN(16, Games[[#This Row],[RestDiff]]*8))</f>
        <v>-16</v>
      </c>
      <c r="N94" s="1">
        <f>MAX(-16, MIN(16, Games[[#This Row],[OppRestDiff]]*8))</f>
        <v>16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1551.8206889919516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1513.9987415099069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0.38935386016952367</v>
      </c>
      <c r="R94" s="1">
        <v>59</v>
      </c>
      <c r="S94" s="1">
        <v>92</v>
      </c>
      <c r="T94" s="1">
        <v>0</v>
      </c>
      <c r="U94" s="1">
        <f>Games[[#This Row],[PointsFor]]-Games[[#This Row],[PointsAgainst]]</f>
        <v>-33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0.7164930452184366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74.650000000000006</v>
      </c>
      <c r="Z94" s="4">
        <f>Games[[#This Row],[K]]*Games[[#This Row],[POMult]]</f>
        <v>74.650000000000006</v>
      </c>
      <c r="AA94" s="4">
        <f>(Games[[#This Row],[Keff]]*Games[[#This Row],[MOVMult]])*(Games[[#This Row],[Result]]-Games[[#This Row],[ExpectedWin%]])</f>
        <v>-20.825060704002009</v>
      </c>
      <c r="AB94" s="4">
        <f>Games[[#This Row],[PreGmRate]]+Games[[#This Row],[RatingChange]]</f>
        <v>1530.9956282879496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41075</v>
      </c>
      <c r="B95" s="2">
        <v>2012</v>
      </c>
      <c r="C95" s="2">
        <f>COUNTIFS(Games[Team],Games[[#This Row],[Team]],Games[Season],Games[[#This Row],[Season]],Games[Date],"&lt;=" &amp; Games[[#This Row],[Date]])</f>
        <v>9</v>
      </c>
      <c r="D95" s="2" t="s">
        <v>23</v>
      </c>
      <c r="E95" s="2" t="s">
        <v>29</v>
      </c>
      <c r="F95" s="1" t="s">
        <v>84</v>
      </c>
      <c r="G95" s="1" t="s">
        <v>68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4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3</v>
      </c>
      <c r="L95" s="2">
        <f>Games[[#This Row],[OppDaysOff]]-Games[[#This Row],[DaysOff]]</f>
        <v>-3</v>
      </c>
      <c r="M95" s="1">
        <f>MAX(-16, MIN(16, Games[[#This Row],[RestDiff]]*8))</f>
        <v>16</v>
      </c>
      <c r="N95" s="1">
        <f>MAX(-16, MIN(16, Games[[#This Row],[OppRestDiff]]*8))</f>
        <v>-16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1513.9987415099069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1551.8206889919516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0.61064613983047633</v>
      </c>
      <c r="R95" s="1">
        <v>92</v>
      </c>
      <c r="S95" s="1">
        <v>59</v>
      </c>
      <c r="T95" s="1">
        <v>0</v>
      </c>
      <c r="U95" s="1">
        <f>Games[[#This Row],[PointsFor]]-Games[[#This Row],[PointsAgainst]]</f>
        <v>33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0.7164930452184366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74.650000000000006</v>
      </c>
      <c r="Z95" s="4">
        <f>Games[[#This Row],[K]]*Games[[#This Row],[POMult]]</f>
        <v>74.650000000000006</v>
      </c>
      <c r="AA95" s="4">
        <f>(Games[[#This Row],[Keff]]*Games[[#This Row],[MOVMult]])*(Games[[#This Row],[Result]]-Games[[#This Row],[ExpectedWin%]])</f>
        <v>20.825060704002009</v>
      </c>
      <c r="AB95" s="4">
        <f>Games[[#This Row],[PreGmRate]]+Games[[#This Row],[RatingChange]]</f>
        <v>1534.8238022139089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41075</v>
      </c>
      <c r="B96" s="2">
        <v>2012</v>
      </c>
      <c r="C96" s="2">
        <f>COUNTIFS(Games[Team],Games[[#This Row],[Team]],Games[Season],Games[[#This Row],[Season]],Games[Date],"&lt;=" &amp; Games[[#This Row],[Date]])</f>
        <v>10</v>
      </c>
      <c r="D96" s="2" t="s">
        <v>23</v>
      </c>
      <c r="E96" s="2" t="s">
        <v>29</v>
      </c>
      <c r="F96" s="1" t="s">
        <v>65</v>
      </c>
      <c r="G96" s="1" t="s">
        <v>81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4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3</v>
      </c>
      <c r="L96" s="2">
        <f>Games[[#This Row],[OppDaysOff]]-Games[[#This Row],[DaysOff]]</f>
        <v>-3</v>
      </c>
      <c r="M96" s="1">
        <f>MAX(-16, MIN(16, Games[[#This Row],[RestDiff]]*8))</f>
        <v>16</v>
      </c>
      <c r="N96" s="1">
        <f>MAX(-16, MIN(16, Games[[#This Row],[OppRestDiff]]*8))</f>
        <v>-16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1480.9853069042251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1567.3115415525031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0.31082400659711618</v>
      </c>
      <c r="R96" s="1">
        <v>55</v>
      </c>
      <c r="S96" s="1">
        <v>97</v>
      </c>
      <c r="T96" s="1">
        <v>0</v>
      </c>
      <c r="U96" s="1">
        <f>Games[[#This Row],[PointsFor]]-Games[[#This Row],[PointsAgainst]]</f>
        <v>-42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0.78326295651281308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74.5</v>
      </c>
      <c r="Z96" s="4">
        <f>Games[[#This Row],[K]]*Games[[#This Row],[POMult]]</f>
        <v>74.5</v>
      </c>
      <c r="AA96" s="4">
        <f>(Games[[#This Row],[Keff]]*Games[[#This Row],[MOVMult]])*(Games[[#This Row],[Result]]-Games[[#This Row],[ExpectedWin%]])</f>
        <v>-18.137541311999943</v>
      </c>
      <c r="AB96" s="4">
        <f>Games[[#This Row],[PreGmRate]]+Games[[#This Row],[RatingChange]]</f>
        <v>1462.8477655922252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41075</v>
      </c>
      <c r="B97" s="2">
        <v>2012</v>
      </c>
      <c r="C97" s="2">
        <f>COUNTIFS(Games[Team],Games[[#This Row],[Team]],Games[Season],Games[[#This Row],[Season]],Games[Date],"&lt;=" &amp; Games[[#This Row],[Date]])</f>
        <v>9</v>
      </c>
      <c r="D97" s="2" t="s">
        <v>23</v>
      </c>
      <c r="E97" s="2" t="s">
        <v>29</v>
      </c>
      <c r="F97" s="1" t="s">
        <v>81</v>
      </c>
      <c r="G97" s="1" t="s">
        <v>65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7" s="2">
        <f>Games[[#This Row],[DaysOff]]-Games[[#This Row],[OppDaysOff]]</f>
        <v>-3</v>
      </c>
      <c r="L97" s="2">
        <f>Games[[#This Row],[OppDaysOff]]-Games[[#This Row],[DaysOff]]</f>
        <v>3</v>
      </c>
      <c r="M97" s="1">
        <f>MAX(-16, MIN(16, Games[[#This Row],[RestDiff]]*8))</f>
        <v>-16</v>
      </c>
      <c r="N97" s="1">
        <f>MAX(-16, MIN(16, Games[[#This Row],[OppRestDiff]]*8))</f>
        <v>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1567.3115415525031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1480.9853069042251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0.68917599340288394</v>
      </c>
      <c r="R97" s="1">
        <v>97</v>
      </c>
      <c r="S97" s="1">
        <v>55</v>
      </c>
      <c r="T97" s="1">
        <v>0</v>
      </c>
      <c r="U97" s="1">
        <f>Games[[#This Row],[PointsFor]]-Games[[#This Row],[PointsAgainst]]</f>
        <v>42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0.78326295651281308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74.650000000000006</v>
      </c>
      <c r="Z97" s="4">
        <f>Games[[#This Row],[K]]*Games[[#This Row],[POMult]]</f>
        <v>74.650000000000006</v>
      </c>
      <c r="AA97" s="4">
        <f>(Games[[#This Row],[Keff]]*Games[[#This Row],[MOVMult]])*(Games[[#This Row],[Result]]-Games[[#This Row],[ExpectedWin%]])</f>
        <v>18.174059851554301</v>
      </c>
      <c r="AB97" s="4">
        <f>Games[[#This Row],[PreGmRate]]+Games[[#This Row],[RatingChange]]</f>
        <v>1585.4856014040574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41075</v>
      </c>
      <c r="B98" s="2">
        <v>2012</v>
      </c>
      <c r="C98" s="2">
        <f>COUNTIFS(Games[Team],Games[[#This Row],[Team]],Games[Season],Games[[#This Row],[Season]],Games[Date],"&lt;=" &amp; Games[[#This Row],[Date]])</f>
        <v>10</v>
      </c>
      <c r="D98" s="2" t="s">
        <v>23</v>
      </c>
      <c r="E98" s="2" t="s">
        <v>29</v>
      </c>
      <c r="F98" s="1" t="s">
        <v>72</v>
      </c>
      <c r="G98" s="1" t="s">
        <v>44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5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98" s="2">
        <f>Games[[#This Row],[DaysOff]]-Games[[#This Row],[OppDaysOff]]</f>
        <v>-1</v>
      </c>
      <c r="L98" s="2">
        <f>Games[[#This Row],[OppDaysOff]]-Games[[#This Row],[DaysOff]]</f>
        <v>1</v>
      </c>
      <c r="M98" s="1">
        <f>MAX(-16, MIN(16, Games[[#This Row],[RestDiff]]*8))</f>
        <v>-8</v>
      </c>
      <c r="N98" s="1">
        <f>MAX(-16, MIN(16, Games[[#This Row],[OppRestDiff]]*8))</f>
        <v>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1691.4160736046815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1451.3236231000515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0.69134972503983627</v>
      </c>
      <c r="R98" s="1">
        <v>78</v>
      </c>
      <c r="S98" s="1">
        <v>60</v>
      </c>
      <c r="T98" s="1">
        <v>0</v>
      </c>
      <c r="U98" s="1">
        <f>Games[[#This Row],[PointsFor]]-Games[[#This Row],[PointsAgainst]]</f>
        <v>18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0.45566568890882164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74.5</v>
      </c>
      <c r="Z98" s="4">
        <f>Games[[#This Row],[K]]*Games[[#This Row],[POMult]]</f>
        <v>74.5</v>
      </c>
      <c r="AA98" s="4">
        <f>(Games[[#This Row],[Keff]]*Games[[#This Row],[MOVMult]])*(Games[[#This Row],[Result]]-Games[[#This Row],[ExpectedWin%]])</f>
        <v>10.477779842785708</v>
      </c>
      <c r="AB98" s="4">
        <f>Games[[#This Row],[PreGmRate]]+Games[[#This Row],[RatingChange]]</f>
        <v>1701.8938534474673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41075</v>
      </c>
      <c r="B99" s="2">
        <v>2012</v>
      </c>
      <c r="C99" s="2">
        <f>COUNTIFS(Games[Team],Games[[#This Row],[Team]],Games[Season],Games[[#This Row],[Season]],Games[Date],"&lt;=" &amp; Games[[#This Row],[Date]])</f>
        <v>8</v>
      </c>
      <c r="D99" s="2" t="s">
        <v>23</v>
      </c>
      <c r="E99" s="2" t="s">
        <v>29</v>
      </c>
      <c r="F99" s="1" t="s">
        <v>44</v>
      </c>
      <c r="G99" s="1" t="s">
        <v>72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6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9" s="2">
        <f>Games[[#This Row],[DaysOff]]-Games[[#This Row],[OppDaysOff]]</f>
        <v>1</v>
      </c>
      <c r="L99" s="2">
        <f>Games[[#This Row],[OppDaysOff]]-Games[[#This Row],[DaysOff]]</f>
        <v>-1</v>
      </c>
      <c r="M99" s="1">
        <f>MAX(-16, MIN(16, Games[[#This Row],[RestDiff]]*8))</f>
        <v>8</v>
      </c>
      <c r="N99" s="1">
        <f>MAX(-16, MIN(16, Games[[#This Row],[OppRestDiff]]*8))</f>
        <v>-8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1451.3236231000515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1691.4160736046815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0.30865027496016367</v>
      </c>
      <c r="R99" s="1">
        <v>60</v>
      </c>
      <c r="S99" s="1">
        <v>78</v>
      </c>
      <c r="T99" s="1">
        <v>0</v>
      </c>
      <c r="U99" s="1">
        <f>Games[[#This Row],[PointsFor]]-Games[[#This Row],[PointsAgainst]]</f>
        <v>-18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0.45566568890882164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-10.519972244837192</v>
      </c>
      <c r="AB99" s="4">
        <f>Games[[#This Row],[PreGmRate]]+Games[[#This Row],[RatingChange]]</f>
        <v>1440.8036508552143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41075</v>
      </c>
      <c r="B100" s="2">
        <v>2012</v>
      </c>
      <c r="C100" s="2">
        <f>COUNTIFS(Games[Team],Games[[#This Row],[Team]],Games[Season],Games[[#This Row],[Season]],Games[Date],"&lt;=" &amp; Games[[#This Row],[Date]])</f>
        <v>9</v>
      </c>
      <c r="D100" s="2" t="s">
        <v>23</v>
      </c>
      <c r="E100" s="2" t="s">
        <v>29</v>
      </c>
      <c r="F100" s="1" t="s">
        <v>76</v>
      </c>
      <c r="G100" s="1" t="s">
        <v>86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00" s="2">
        <f>Games[[#This Row],[DaysOff]]-Games[[#This Row],[OppDaysOff]]</f>
        <v>-4</v>
      </c>
      <c r="L100" s="2">
        <f>Games[[#This Row],[OppDaysOff]]-Games[[#This Row],[DaysOff]]</f>
        <v>4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1459.052100843958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1318.1852240804944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0.53572533048719306</v>
      </c>
      <c r="R100" s="1">
        <v>86</v>
      </c>
      <c r="S100" s="1">
        <v>73</v>
      </c>
      <c r="T100" s="1">
        <v>0</v>
      </c>
      <c r="U100" s="1">
        <f>Games[[#This Row],[PointsFor]]-Games[[#This Row],[PointsAgainst]]</f>
        <v>13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0.42245245713297347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14.641401227799239</v>
      </c>
      <c r="AB100" s="4">
        <f>Games[[#This Row],[PreGmRate]]+Games[[#This Row],[RatingChange]]</f>
        <v>1473.6935020717572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41075</v>
      </c>
      <c r="B101" s="2">
        <v>2012</v>
      </c>
      <c r="C101" s="2">
        <f>COUNTIFS(Games[Team],Games[[#This Row],[Team]],Games[Season],Games[[#This Row],[Season]],Games[Date],"&lt;=" &amp; Games[[#This Row],[Date]])</f>
        <v>9</v>
      </c>
      <c r="D101" s="2" t="s">
        <v>23</v>
      </c>
      <c r="E101" s="2" t="s">
        <v>29</v>
      </c>
      <c r="F101" s="1" t="s">
        <v>86</v>
      </c>
      <c r="G101" s="1" t="s">
        <v>76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4</v>
      </c>
      <c r="L101" s="2">
        <f>Games[[#This Row],[OppDaysOff]]-Games[[#This Row],[DaysOff]]</f>
        <v>-4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1318.1852240804944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1459.052100843958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0.46427466951280694</v>
      </c>
      <c r="R101" s="1">
        <v>73</v>
      </c>
      <c r="S101" s="1">
        <v>86</v>
      </c>
      <c r="T101" s="1">
        <v>0</v>
      </c>
      <c r="U101" s="1">
        <f>Games[[#This Row],[PointsFor]]-Games[[#This Row],[PointsAgainst]]</f>
        <v>-13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0.42245245713297347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-14.641401227799239</v>
      </c>
      <c r="AB101" s="4">
        <f>Games[[#This Row],[PreGmRate]]+Games[[#This Row],[RatingChange]]</f>
        <v>1303.5438228526953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41075</v>
      </c>
      <c r="B102" s="2">
        <v>2012</v>
      </c>
      <c r="C102" s="2">
        <f>COUNTIFS(Games[Team],Games[[#This Row],[Team]],Games[Season],Games[[#This Row],[Season]],Games[Date],"&lt;=" &amp; Games[[#This Row],[Date]])</f>
        <v>7</v>
      </c>
      <c r="D102" s="2" t="s">
        <v>23</v>
      </c>
      <c r="E102" s="2" t="s">
        <v>29</v>
      </c>
      <c r="F102" s="1" t="s">
        <v>74</v>
      </c>
      <c r="G102" s="1" t="s">
        <v>70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1549.5419253885082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1376.0394483712521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0.62602882015398653</v>
      </c>
      <c r="R102" s="1">
        <v>66</v>
      </c>
      <c r="S102" s="1">
        <v>67</v>
      </c>
      <c r="T102" s="1">
        <v>0</v>
      </c>
      <c r="U102" s="1">
        <f>Games[[#This Row],[PointsFor]]-Games[[#This Row],[PointsAgainst]]</f>
        <v>-1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0.21333460263914092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74.95</v>
      </c>
      <c r="Z102" s="4">
        <f>Games[[#This Row],[K]]*Games[[#This Row],[POMult]]</f>
        <v>74.95</v>
      </c>
      <c r="AA102" s="4">
        <f>(Games[[#This Row],[Keff]]*Games[[#This Row],[MOVMult]])*(Games[[#This Row],[Result]]-Games[[#This Row],[ExpectedWin%]])</f>
        <v>-10.00984303863566</v>
      </c>
      <c r="AB102" s="4">
        <f>Games[[#This Row],[PreGmRate]]+Games[[#This Row],[RatingChange]]</f>
        <v>1539.5320823498726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41075</v>
      </c>
      <c r="B103" s="2">
        <v>2012</v>
      </c>
      <c r="C103" s="2">
        <f>COUNTIFS(Games[Team],Games[[#This Row],[Team]],Games[Season],Games[[#This Row],[Season]],Games[Date],"&lt;=" &amp; Games[[#This Row],[Date]])</f>
        <v>7</v>
      </c>
      <c r="D103" s="2" t="s">
        <v>23</v>
      </c>
      <c r="E103" s="2" t="s">
        <v>29</v>
      </c>
      <c r="F103" s="1" t="s">
        <v>70</v>
      </c>
      <c r="G103" s="1" t="s">
        <v>74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1376.0394483712521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1549.5419253885082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0.37397117984601347</v>
      </c>
      <c r="R103" s="1">
        <v>67</v>
      </c>
      <c r="S103" s="1">
        <v>66</v>
      </c>
      <c r="T103" s="1">
        <v>0</v>
      </c>
      <c r="U103" s="1">
        <f>Games[[#This Row],[PointsFor]]-Games[[#This Row],[PointsAgainst]]</f>
        <v>1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0.21333460263914092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74.95</v>
      </c>
      <c r="Z103" s="4">
        <f>Games[[#This Row],[K]]*Games[[#This Row],[POMult]]</f>
        <v>74.95</v>
      </c>
      <c r="AA103" s="4">
        <f>(Games[[#This Row],[Keff]]*Games[[#This Row],[MOVMult]])*(Games[[#This Row],[Result]]-Games[[#This Row],[ExpectedWin%]])</f>
        <v>10.00984303863566</v>
      </c>
      <c r="AB103" s="4">
        <f>Games[[#This Row],[PreGmRate]]+Games[[#This Row],[RatingChange]]</f>
        <v>1386.0492914098877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41076</v>
      </c>
      <c r="B104" s="2">
        <v>2012</v>
      </c>
      <c r="C104" s="2">
        <f>COUNTIFS(Games[Team],Games[[#This Row],[Team]],Games[Season],Games[[#This Row],[Season]],Games[Date],"&lt;=" &amp; Games[[#This Row],[Date]])</f>
        <v>9</v>
      </c>
      <c r="D104" s="2" t="s">
        <v>23</v>
      </c>
      <c r="E104" s="2" t="s">
        <v>29</v>
      </c>
      <c r="F104" s="1" t="s">
        <v>82</v>
      </c>
      <c r="G104" s="1" t="s">
        <v>74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4" s="2">
        <f>Games[[#This Row],[DaysOff]]-Games[[#This Row],[OppDaysOff]]</f>
        <v>2</v>
      </c>
      <c r="L104" s="2">
        <f>Games[[#This Row],[OppDaysOff]]-Games[[#This Row],[DaysOff]]</f>
        <v>-2</v>
      </c>
      <c r="M104" s="1">
        <f>MAX(-16, MIN(16, Games[[#This Row],[RestDiff]]*8))</f>
        <v>16</v>
      </c>
      <c r="N104" s="1">
        <f>MAX(-16, MIN(16, Games[[#This Row],[OppRestDiff]]*8))</f>
        <v>-16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1545.4433384775566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1539.5320823498726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0.43405930127666864</v>
      </c>
      <c r="R104" s="1">
        <v>70</v>
      </c>
      <c r="S104" s="1">
        <v>84</v>
      </c>
      <c r="T104" s="1">
        <v>0</v>
      </c>
      <c r="U104" s="1">
        <f>Games[[#This Row],[PointsFor]]-Games[[#This Row],[PointsAgainst]]</f>
        <v>-14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0.48521789747600375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-15.722285946361753</v>
      </c>
      <c r="AB104" s="4">
        <f>Games[[#This Row],[PreGmRate]]+Games[[#This Row],[RatingChange]]</f>
        <v>1529.7210525311948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41076</v>
      </c>
      <c r="B105" s="2">
        <v>2012</v>
      </c>
      <c r="C105" s="2">
        <f>COUNTIFS(Games[Team],Games[[#This Row],[Team]],Games[Season],Games[[#This Row],[Season]],Games[Date],"&lt;=" &amp; Games[[#This Row],[Date]])</f>
        <v>8</v>
      </c>
      <c r="D105" s="2" t="s">
        <v>23</v>
      </c>
      <c r="E105" s="2" t="s">
        <v>29</v>
      </c>
      <c r="F105" s="1" t="s">
        <v>74</v>
      </c>
      <c r="G105" s="1" t="s">
        <v>82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5" s="2">
        <f>Games[[#This Row],[DaysOff]]-Games[[#This Row],[OppDaysOff]]</f>
        <v>-2</v>
      </c>
      <c r="L105" s="2">
        <f>Games[[#This Row],[OppDaysOff]]-Games[[#This Row],[DaysOff]]</f>
        <v>2</v>
      </c>
      <c r="M105" s="1">
        <f>MAX(-16, MIN(16, Games[[#This Row],[RestDiff]]*8))</f>
        <v>-16</v>
      </c>
      <c r="N105" s="1">
        <f>MAX(-16, MIN(16, Games[[#This Row],[OppRestDiff]]*8))</f>
        <v>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1539.5320823498726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1545.4433384775566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0.56594069872333141</v>
      </c>
      <c r="R105" s="1">
        <v>84</v>
      </c>
      <c r="S105" s="1">
        <v>70</v>
      </c>
      <c r="T105" s="1">
        <v>0</v>
      </c>
      <c r="U105" s="1">
        <f>Games[[#This Row],[PointsFor]]-Games[[#This Row],[PointsAgainst]]</f>
        <v>14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0.48521789747600375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15.753877947593557</v>
      </c>
      <c r="AB105" s="4">
        <f>Games[[#This Row],[PreGmRate]]+Games[[#This Row],[RatingChange]]</f>
        <v>1555.2859602974661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41076</v>
      </c>
      <c r="B106" s="2">
        <v>2012</v>
      </c>
      <c r="C106" s="2">
        <f>COUNTIFS(Games[Team],Games[[#This Row],[Team]],Games[Season],Games[[#This Row],[Season]],Games[Date],"&lt;=" &amp; Games[[#This Row],[Date]])</f>
        <v>10</v>
      </c>
      <c r="D106" s="2" t="s">
        <v>23</v>
      </c>
      <c r="E106" s="2" t="s">
        <v>29</v>
      </c>
      <c r="F106" s="1" t="s">
        <v>68</v>
      </c>
      <c r="G106" s="1" t="s">
        <v>79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6" s="2">
        <f>Games[[#This Row],[DaysOff]]-Games[[#This Row],[OppDaysOff]]</f>
        <v>-6</v>
      </c>
      <c r="L106" s="2">
        <f>Games[[#This Row],[OppDaysOff]]-Games[[#This Row],[DaysOff]]</f>
        <v>6</v>
      </c>
      <c r="M106" s="1">
        <f>MAX(-16, MIN(16, Games[[#This Row],[RestDiff]]*8))</f>
        <v>-16</v>
      </c>
      <c r="N106" s="1">
        <f>MAX(-16, MIN(16, Games[[#This Row],[OppRestDiff]]*8))</f>
        <v>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1530.9956282879496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1504.2892629369119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0.37425267603625983</v>
      </c>
      <c r="R106" s="1">
        <v>85</v>
      </c>
      <c r="S106" s="1">
        <v>98</v>
      </c>
      <c r="T106" s="1">
        <v>1</v>
      </c>
      <c r="U106" s="1">
        <f>Games[[#This Row],[PointsFor]]-Games[[#This Row],[PointsAgainst]]</f>
        <v>-13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0.41559029161258093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74.5</v>
      </c>
      <c r="Z106" s="4">
        <f>Games[[#This Row],[K]]*Games[[#This Row],[POMult]]</f>
        <v>74.5</v>
      </c>
      <c r="AA106" s="4">
        <f>(Games[[#This Row],[Keff]]*Games[[#This Row],[MOVMult]])*(Games[[#This Row],[Result]]-Games[[#This Row],[ExpectedWin%]])</f>
        <v>-11.587415518417002</v>
      </c>
      <c r="AB106" s="4">
        <f>Games[[#This Row],[PreGmRate]]+Games[[#This Row],[RatingChange]]</f>
        <v>1519.4082127695326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41076</v>
      </c>
      <c r="B107" s="2">
        <v>2012</v>
      </c>
      <c r="C107" s="2">
        <f>COUNTIFS(Games[Team],Games[[#This Row],[Team]],Games[Season],Games[[#This Row],[Season]],Games[Date],"&lt;=" &amp; Games[[#This Row],[Date]])</f>
        <v>8</v>
      </c>
      <c r="D107" s="2" t="s">
        <v>23</v>
      </c>
      <c r="E107" s="2" t="s">
        <v>29</v>
      </c>
      <c r="F107" s="1" t="s">
        <v>79</v>
      </c>
      <c r="G107" s="1" t="s">
        <v>68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7" s="2">
        <f>Games[[#This Row],[DaysOff]]-Games[[#This Row],[OppDaysOff]]</f>
        <v>6</v>
      </c>
      <c r="L107" s="2">
        <f>Games[[#This Row],[OppDaysOff]]-Games[[#This Row],[DaysOff]]</f>
        <v>-6</v>
      </c>
      <c r="M107" s="1">
        <f>MAX(-16, MIN(16, Games[[#This Row],[RestDiff]]*8))</f>
        <v>16</v>
      </c>
      <c r="N107" s="1">
        <f>MAX(-16, MIN(16, Games[[#This Row],[OppRestDiff]]*8))</f>
        <v>-16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1504.2892629369119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1530.9956282879496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0.62574732396374011</v>
      </c>
      <c r="R107" s="1">
        <v>98</v>
      </c>
      <c r="S107" s="1">
        <v>85</v>
      </c>
      <c r="T107" s="1">
        <v>1</v>
      </c>
      <c r="U107" s="1">
        <f>Games[[#This Row],[PointsFor]]-Games[[#This Row],[PointsAgainst]]</f>
        <v>13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0.41559029161258093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11.634076252048212</v>
      </c>
      <c r="AB107" s="4">
        <f>Games[[#This Row],[PreGmRate]]+Games[[#This Row],[RatingChange]]</f>
        <v>1515.9233391889602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41077</v>
      </c>
      <c r="B108" s="2">
        <v>2012</v>
      </c>
      <c r="C108" s="2">
        <f>COUNTIFS(Games[Team],Games[[#This Row],[Team]],Games[Season],Games[[#This Row],[Season]],Games[Date],"&lt;=" &amp; Games[[#This Row],[Date]])</f>
        <v>10</v>
      </c>
      <c r="D108" s="2" t="s">
        <v>23</v>
      </c>
      <c r="E108" s="2" t="s">
        <v>29</v>
      </c>
      <c r="F108" s="1" t="s">
        <v>81</v>
      </c>
      <c r="G108" s="1" t="s">
        <v>84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1585.4856014040574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1534.8238022139089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0.45216918106213616</v>
      </c>
      <c r="R108" s="1">
        <v>75</v>
      </c>
      <c r="S108" s="1">
        <v>73</v>
      </c>
      <c r="T108" s="1">
        <v>0</v>
      </c>
      <c r="U108" s="1">
        <f>Games[[#This Row],[PointsFor]]-Games[[#This Row],[PointsAgainst]]</f>
        <v>2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0.2569916065076337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10.48870020786595</v>
      </c>
      <c r="AB108" s="4">
        <f>Games[[#This Row],[PreGmRate]]+Games[[#This Row],[RatingChange]]</f>
        <v>1595.9743016119235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41077</v>
      </c>
      <c r="B109" s="2">
        <v>2012</v>
      </c>
      <c r="C109" s="2">
        <f>COUNTIFS(Games[Team],Games[[#This Row],[Team]],Games[Season],Games[[#This Row],[Season]],Games[Date],"&lt;=" &amp; Games[[#This Row],[Date]])</f>
        <v>10</v>
      </c>
      <c r="D109" s="2" t="s">
        <v>23</v>
      </c>
      <c r="E109" s="2" t="s">
        <v>29</v>
      </c>
      <c r="F109" s="1" t="s">
        <v>84</v>
      </c>
      <c r="G109" s="1" t="s">
        <v>81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1534.8238022139089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1585.4856014040574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0.54783081893786389</v>
      </c>
      <c r="R109" s="1">
        <v>73</v>
      </c>
      <c r="S109" s="1">
        <v>75</v>
      </c>
      <c r="T109" s="1">
        <v>0</v>
      </c>
      <c r="U109" s="1">
        <f>Games[[#This Row],[PointsFor]]-Games[[#This Row],[PointsAgainst]]</f>
        <v>-2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0.2569916065076337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74.5</v>
      </c>
      <c r="Z109" s="4">
        <f>Games[[#This Row],[K]]*Games[[#This Row],[POMult]]</f>
        <v>74.5</v>
      </c>
      <c r="AA109" s="4">
        <f>(Games[[#This Row],[Keff]]*Games[[#This Row],[MOVMult]])*(Games[[#This Row],[Result]]-Games[[#This Row],[ExpectedWin%]])</f>
        <v>-10.488700207865952</v>
      </c>
      <c r="AB109" s="4">
        <f>Games[[#This Row],[PreGmRate]]+Games[[#This Row],[RatingChange]]</f>
        <v>1524.3351020060429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41077</v>
      </c>
      <c r="B110" s="2">
        <v>2012</v>
      </c>
      <c r="C110" s="2">
        <f>COUNTIFS(Games[Team],Games[[#This Row],[Team]],Games[Season],Games[[#This Row],[Season]],Games[Date],"&lt;=" &amp; Games[[#This Row],[Date]])</f>
        <v>11</v>
      </c>
      <c r="D110" s="2" t="s">
        <v>23</v>
      </c>
      <c r="E110" s="2" t="s">
        <v>29</v>
      </c>
      <c r="F110" s="1" t="s">
        <v>72</v>
      </c>
      <c r="G110" s="1" t="s">
        <v>76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1701.8938534474673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1473.6935020717572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0.69637268004357744</v>
      </c>
      <c r="R110" s="1">
        <v>62</v>
      </c>
      <c r="S110" s="1">
        <v>65</v>
      </c>
      <c r="T110" s="1">
        <v>0</v>
      </c>
      <c r="U110" s="1">
        <f>Games[[#This Row],[PointsFor]]-Games[[#This Row],[PointsAgainst]]</f>
        <v>-3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0.24381749030031216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74.349999999999994</v>
      </c>
      <c r="Z110" s="4">
        <f>Games[[#This Row],[K]]*Games[[#This Row],[POMult]]</f>
        <v>74.349999999999994</v>
      </c>
      <c r="AA110" s="4">
        <f>(Games[[#This Row],[Keff]]*Games[[#This Row],[MOVMult]])*(Games[[#This Row],[Result]]-Games[[#This Row],[ExpectedWin%]])</f>
        <v>-12.623725841689296</v>
      </c>
      <c r="AB110" s="4">
        <f>Games[[#This Row],[PreGmRate]]+Games[[#This Row],[RatingChange]]</f>
        <v>1689.270127605778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41077</v>
      </c>
      <c r="B111" s="2">
        <v>2012</v>
      </c>
      <c r="C111" s="2">
        <f>COUNTIFS(Games[Team],Games[[#This Row],[Team]],Games[Season],Games[[#This Row],[Season]],Games[Date],"&lt;=" &amp; Games[[#This Row],[Date]])</f>
        <v>10</v>
      </c>
      <c r="D111" s="2" t="s">
        <v>23</v>
      </c>
      <c r="E111" s="2" t="s">
        <v>29</v>
      </c>
      <c r="F111" s="1" t="s">
        <v>76</v>
      </c>
      <c r="G111" s="1" t="s">
        <v>72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1473.6935020717572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1701.8938534474673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0.30362731995642256</v>
      </c>
      <c r="R111" s="1">
        <v>65</v>
      </c>
      <c r="S111" s="1">
        <v>62</v>
      </c>
      <c r="T111" s="1">
        <v>0</v>
      </c>
      <c r="U111" s="1">
        <f>Games[[#This Row],[PointsFor]]-Games[[#This Row],[PointsAgainst]]</f>
        <v>3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0.24381749030031216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12.649194017563588</v>
      </c>
      <c r="AB111" s="4">
        <f>Games[[#This Row],[PreGmRate]]+Games[[#This Row],[RatingChange]]</f>
        <v>1486.3426960893207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41077</v>
      </c>
      <c r="B112" s="2">
        <v>2012</v>
      </c>
      <c r="C112" s="2">
        <f>COUNTIFS(Games[Team],Games[[#This Row],[Team]],Games[Season],Games[[#This Row],[Season]],Games[Date],"&lt;=" &amp; Games[[#This Row],[Date]])</f>
        <v>9</v>
      </c>
      <c r="D112" s="2" t="s">
        <v>23</v>
      </c>
      <c r="E112" s="2" t="s">
        <v>29</v>
      </c>
      <c r="F112" s="1" t="s">
        <v>44</v>
      </c>
      <c r="G112" s="1" t="s">
        <v>86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1440.8036508552143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1303.5438228526953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0.57605226542321841</v>
      </c>
      <c r="R112" s="1">
        <v>75</v>
      </c>
      <c r="S112" s="1">
        <v>87</v>
      </c>
      <c r="T112" s="1">
        <v>0</v>
      </c>
      <c r="U112" s="1">
        <f>Games[[#This Row],[PointsFor]]-Games[[#This Row],[PointsAgainst]]</f>
        <v>-12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0.4093111302905435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-17.601320678657046</v>
      </c>
      <c r="AB112" s="4">
        <f>Games[[#This Row],[PreGmRate]]+Games[[#This Row],[RatingChange]]</f>
        <v>1423.2023301765573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41077</v>
      </c>
      <c r="B113" s="2">
        <v>2012</v>
      </c>
      <c r="C113" s="2">
        <f>COUNTIFS(Games[Team],Games[[#This Row],[Team]],Games[Season],Games[[#This Row],[Season]],Games[Date],"&lt;=" &amp; Games[[#This Row],[Date]])</f>
        <v>10</v>
      </c>
      <c r="D113" s="2" t="s">
        <v>23</v>
      </c>
      <c r="E113" s="2" t="s">
        <v>29</v>
      </c>
      <c r="F113" s="1" t="s">
        <v>86</v>
      </c>
      <c r="G113" s="1" t="s">
        <v>44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1303.5438228526953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1440.8036508552143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0.42394773457678153</v>
      </c>
      <c r="R113" s="1">
        <v>87</v>
      </c>
      <c r="S113" s="1">
        <v>75</v>
      </c>
      <c r="T113" s="1">
        <v>0</v>
      </c>
      <c r="U113" s="1">
        <f>Games[[#This Row],[PointsFor]]-Games[[#This Row],[PointsAgainst]]</f>
        <v>12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0.4093111302905435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17.565952988077029</v>
      </c>
      <c r="AB113" s="4">
        <f>Games[[#This Row],[PreGmRate]]+Games[[#This Row],[RatingChange]]</f>
        <v>1321.1097758407723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41078</v>
      </c>
      <c r="B114" s="2">
        <v>2012</v>
      </c>
      <c r="C114" s="2">
        <f>COUNTIFS(Games[Team],Games[[#This Row],[Team]],Games[Season],Games[[#This Row],[Season]],Games[Date],"&lt;=" &amp; Games[[#This Row],[Date]])</f>
        <v>8</v>
      </c>
      <c r="D114" s="2" t="s">
        <v>23</v>
      </c>
      <c r="E114" s="2" t="s">
        <v>29</v>
      </c>
      <c r="F114" s="1" t="s">
        <v>70</v>
      </c>
      <c r="G114" s="1" t="s">
        <v>68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1</v>
      </c>
      <c r="L114" s="2">
        <f>Games[[#This Row],[OppDaysOff]]-Games[[#This Row],[DaysOff]]</f>
        <v>-1</v>
      </c>
      <c r="M114" s="1">
        <f>MAX(-16, MIN(16, Games[[#This Row],[RestDiff]]*8))</f>
        <v>8</v>
      </c>
      <c r="N114" s="1">
        <f>MAX(-16, MIN(16, Games[[#This Row],[OppRestDiff]]*8))</f>
        <v>-8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1386.0492914098877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1519.4082127695326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0.23882810843432936</v>
      </c>
      <c r="R114" s="1">
        <v>70</v>
      </c>
      <c r="S114" s="1">
        <v>101</v>
      </c>
      <c r="T114" s="1">
        <v>0</v>
      </c>
      <c r="U114" s="1">
        <f>Games[[#This Row],[PointsFor]]-Games[[#This Row],[PointsAgainst]]</f>
        <v>-31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0.64392372894437566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74.8</v>
      </c>
      <c r="Z114" s="4">
        <f>Games[[#This Row],[K]]*Games[[#This Row],[POMult]]</f>
        <v>74.8</v>
      </c>
      <c r="AA114" s="4">
        <f>(Games[[#This Row],[Keff]]*Games[[#This Row],[MOVMult]])*(Games[[#This Row],[Result]]-Games[[#This Row],[ExpectedWin%]])</f>
        <v>-11.503274044750427</v>
      </c>
      <c r="AB114" s="4">
        <f>Games[[#This Row],[PreGmRate]]+Games[[#This Row],[RatingChange]]</f>
        <v>1374.5460173651372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41078</v>
      </c>
      <c r="B115" s="2">
        <v>2012</v>
      </c>
      <c r="C115" s="2">
        <f>COUNTIFS(Games[Team],Games[[#This Row],[Team]],Games[Season],Games[[#This Row],[Season]],Games[Date],"&lt;=" &amp; Games[[#This Row],[Date]])</f>
        <v>11</v>
      </c>
      <c r="D115" s="2" t="s">
        <v>23</v>
      </c>
      <c r="E115" s="2" t="s">
        <v>29</v>
      </c>
      <c r="F115" s="1" t="s">
        <v>68</v>
      </c>
      <c r="G115" s="1" t="s">
        <v>70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5" s="2">
        <f>Games[[#This Row],[DaysOff]]-Games[[#This Row],[OppDaysOff]]</f>
        <v>-1</v>
      </c>
      <c r="L115" s="2">
        <f>Games[[#This Row],[OppDaysOff]]-Games[[#This Row],[DaysOff]]</f>
        <v>1</v>
      </c>
      <c r="M115" s="1">
        <f>MAX(-16, MIN(16, Games[[#This Row],[RestDiff]]*8))</f>
        <v>-8</v>
      </c>
      <c r="N115" s="1">
        <f>MAX(-16, MIN(16, Games[[#This Row],[OppRestDiff]]*8))</f>
        <v>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1519.4082127695326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1386.0492914098877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0.76117189156567067</v>
      </c>
      <c r="R115" s="1">
        <v>101</v>
      </c>
      <c r="S115" s="1">
        <v>70</v>
      </c>
      <c r="T115" s="1">
        <v>0</v>
      </c>
      <c r="U115" s="1">
        <f>Games[[#This Row],[PointsFor]]-Games[[#This Row],[PointsAgainst]]</f>
        <v>31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0.64392372894437566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74.349999999999994</v>
      </c>
      <c r="Z115" s="4">
        <f>Games[[#This Row],[K]]*Games[[#This Row],[POMult]]</f>
        <v>74.349999999999994</v>
      </c>
      <c r="AA115" s="4">
        <f>(Games[[#This Row],[Keff]]*Games[[#This Row],[MOVMult]])*(Games[[#This Row],[Result]]-Games[[#This Row],[ExpectedWin%]])</f>
        <v>11.43406985597853</v>
      </c>
      <c r="AB115" s="4">
        <f>Games[[#This Row],[PreGmRate]]+Games[[#This Row],[RatingChange]]</f>
        <v>1530.8422826255112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41079</v>
      </c>
      <c r="B116" s="2">
        <v>2012</v>
      </c>
      <c r="C116" s="2">
        <f>COUNTIFS(Games[Team],Games[[#This Row],[Team]],Games[Season],Games[[#This Row],[Season]],Games[Date],"&lt;=" &amp; Games[[#This Row],[Date]])</f>
        <v>11</v>
      </c>
      <c r="D116" s="2" t="s">
        <v>23</v>
      </c>
      <c r="E116" s="2" t="s">
        <v>29</v>
      </c>
      <c r="F116" s="1" t="s">
        <v>65</v>
      </c>
      <c r="G116" s="1" t="s">
        <v>84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2</v>
      </c>
      <c r="L116" s="2">
        <f>Games[[#This Row],[OppDaysOff]]-Games[[#This Row],[DaysOff]]</f>
        <v>-2</v>
      </c>
      <c r="M116" s="1">
        <f>MAX(-16, MIN(16, Games[[#This Row],[RestDiff]]*8))</f>
        <v>16</v>
      </c>
      <c r="N116" s="1">
        <f>MAX(-16, MIN(16, Games[[#This Row],[OppRestDiff]]*8))</f>
        <v>-16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1462.8477655922252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1524.3351020060429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0.3422495121933638</v>
      </c>
      <c r="R116" s="1">
        <v>73</v>
      </c>
      <c r="S116" s="1">
        <v>60</v>
      </c>
      <c r="T116" s="1">
        <v>0</v>
      </c>
      <c r="U116" s="1">
        <f>Games[[#This Row],[PointsFor]]-Games[[#This Row],[PointsAgainst]]</f>
        <v>13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0.4490354285975347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74.349999999999994</v>
      </c>
      <c r="Z116" s="4">
        <f>Games[[#This Row],[K]]*Games[[#This Row],[POMult]]</f>
        <v>74.349999999999994</v>
      </c>
      <c r="AA116" s="4">
        <f>(Games[[#This Row],[Keff]]*Games[[#This Row],[MOVMult]])*(Games[[#This Row],[Result]]-Games[[#This Row],[ExpectedWin%]])</f>
        <v>21.95951578825516</v>
      </c>
      <c r="AB116" s="4">
        <f>Games[[#This Row],[PreGmRate]]+Games[[#This Row],[RatingChange]]</f>
        <v>1484.8072813804804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41079</v>
      </c>
      <c r="B117" s="2">
        <v>2012</v>
      </c>
      <c r="C117" s="2">
        <f>COUNTIFS(Games[Team],Games[[#This Row],[Team]],Games[Season],Games[[#This Row],[Season]],Games[Date],"&lt;=" &amp; Games[[#This Row],[Date]])</f>
        <v>11</v>
      </c>
      <c r="D117" s="2" t="s">
        <v>23</v>
      </c>
      <c r="E117" s="2" t="s">
        <v>29</v>
      </c>
      <c r="F117" s="1" t="s">
        <v>84</v>
      </c>
      <c r="G117" s="1" t="s">
        <v>65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7" s="2">
        <f>Games[[#This Row],[DaysOff]]-Games[[#This Row],[OppDaysOff]]</f>
        <v>-2</v>
      </c>
      <c r="L117" s="2">
        <f>Games[[#This Row],[OppDaysOff]]-Games[[#This Row],[DaysOff]]</f>
        <v>2</v>
      </c>
      <c r="M117" s="1">
        <f>MAX(-16, MIN(16, Games[[#This Row],[RestDiff]]*8))</f>
        <v>-16</v>
      </c>
      <c r="N117" s="1">
        <f>MAX(-16, MIN(16, Games[[#This Row],[OppRestDiff]]*8))</f>
        <v>16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1524.3351020060429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1462.8477655922252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0.65775048780663625</v>
      </c>
      <c r="R117" s="1">
        <v>60</v>
      </c>
      <c r="S117" s="1">
        <v>73</v>
      </c>
      <c r="T117" s="1">
        <v>0</v>
      </c>
      <c r="U117" s="1">
        <f>Games[[#This Row],[PointsFor]]-Games[[#This Row],[PointsAgainst]]</f>
        <v>-13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0.4490354285975347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-21.95951578825516</v>
      </c>
      <c r="AB117" s="4">
        <f>Games[[#This Row],[PreGmRate]]+Games[[#This Row],[RatingChange]]</f>
        <v>1502.3755862177877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41079</v>
      </c>
      <c r="B118" s="2">
        <v>2012</v>
      </c>
      <c r="C118" s="2">
        <f>COUNTIFS(Games[Team],Games[[#This Row],[Team]],Games[Season],Games[[#This Row],[Season]],Games[Date],"&lt;=" &amp; Games[[#This Row],[Date]])</f>
        <v>9</v>
      </c>
      <c r="D118" s="2" t="s">
        <v>23</v>
      </c>
      <c r="E118" s="2" t="s">
        <v>29</v>
      </c>
      <c r="F118" s="1" t="s">
        <v>74</v>
      </c>
      <c r="G118" s="1" t="s">
        <v>81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1</v>
      </c>
      <c r="L118" s="2">
        <f>Games[[#This Row],[OppDaysOff]]-Games[[#This Row],[DaysOff]]</f>
        <v>-1</v>
      </c>
      <c r="M118" s="1">
        <f>MAX(-16, MIN(16, Games[[#This Row],[RestDiff]]*8))</f>
        <v>8</v>
      </c>
      <c r="N118" s="1">
        <f>MAX(-16, MIN(16, Games[[#This Row],[OppRestDiff]]*8))</f>
        <v>-8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1555.2859602974661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1595.9743016119235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0.34849518209220987</v>
      </c>
      <c r="R118" s="1">
        <v>85</v>
      </c>
      <c r="S118" s="1">
        <v>88</v>
      </c>
      <c r="T118" s="1">
        <v>1</v>
      </c>
      <c r="U118" s="1">
        <f>Games[[#This Row],[PointsFor]]-Games[[#This Row],[PointsAgainst]]</f>
        <v>-3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0.25260026418445458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-6.5714376384904112</v>
      </c>
      <c r="AB118" s="4">
        <f>Games[[#This Row],[PreGmRate]]+Games[[#This Row],[RatingChange]]</f>
        <v>1548.7145226589757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41079</v>
      </c>
      <c r="B119" s="2">
        <v>2012</v>
      </c>
      <c r="C119" s="2">
        <f>COUNTIFS(Games[Team],Games[[#This Row],[Team]],Games[Season],Games[[#This Row],[Season]],Games[Date],"&lt;=" &amp; Games[[#This Row],[Date]])</f>
        <v>11</v>
      </c>
      <c r="D119" s="2" t="s">
        <v>23</v>
      </c>
      <c r="E119" s="2" t="s">
        <v>29</v>
      </c>
      <c r="F119" s="1" t="s">
        <v>81</v>
      </c>
      <c r="G119" s="1" t="s">
        <v>74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-1</v>
      </c>
      <c r="L119" s="2">
        <f>Games[[#This Row],[OppDaysOff]]-Games[[#This Row],[DaysOff]]</f>
        <v>1</v>
      </c>
      <c r="M119" s="1">
        <f>MAX(-16, MIN(16, Games[[#This Row],[RestDiff]]*8))</f>
        <v>-8</v>
      </c>
      <c r="N119" s="1">
        <f>MAX(-16, MIN(16, Games[[#This Row],[OppRestDiff]]*8))</f>
        <v>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1595.9743016119235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1555.2859602974661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0.65150481790779013</v>
      </c>
      <c r="R119" s="1">
        <v>88</v>
      </c>
      <c r="S119" s="1">
        <v>85</v>
      </c>
      <c r="T119" s="1">
        <v>1</v>
      </c>
      <c r="U119" s="1">
        <f>Games[[#This Row],[PointsFor]]-Games[[#This Row],[PointsAgainst]]</f>
        <v>3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0.25260026418445458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74.349999999999994</v>
      </c>
      <c r="Z119" s="4">
        <f>Games[[#This Row],[K]]*Games[[#This Row],[POMult]]</f>
        <v>74.349999999999994</v>
      </c>
      <c r="AA119" s="4">
        <f>(Games[[#This Row],[Keff]]*Games[[#This Row],[MOVMult]])*(Games[[#This Row],[Result]]-Games[[#This Row],[ExpectedWin%]])</f>
        <v>6.5450286459713594</v>
      </c>
      <c r="AB119" s="4">
        <f>Games[[#This Row],[PreGmRate]]+Games[[#This Row],[RatingChange]]</f>
        <v>1602.5193302578948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41080</v>
      </c>
      <c r="B120" s="2">
        <v>2012</v>
      </c>
      <c r="C120" s="2">
        <f>COUNTIFS(Games[Team],Games[[#This Row],[Team]],Games[Season],Games[[#This Row],[Season]],Games[Date],"&lt;=" &amp; Games[[#This Row],[Date]])</f>
        <v>11</v>
      </c>
      <c r="D120" s="2" t="s">
        <v>23</v>
      </c>
      <c r="E120" s="2" t="s">
        <v>29</v>
      </c>
      <c r="F120" s="1" t="s">
        <v>86</v>
      </c>
      <c r="G120" s="1" t="s">
        <v>68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1</v>
      </c>
      <c r="L120" s="2">
        <f>Games[[#This Row],[OppDaysOff]]-Games[[#This Row],[DaysOff]]</f>
        <v>-1</v>
      </c>
      <c r="M120" s="1">
        <f>MAX(-16, MIN(16, Games[[#This Row],[RestDiff]]*8))</f>
        <v>8</v>
      </c>
      <c r="N120" s="1">
        <f>MAX(-16, MIN(16, Games[[#This Row],[OppRestDiff]]*8))</f>
        <v>-8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1321.1097758407723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1530.8422826255112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0.16815543745534861</v>
      </c>
      <c r="R120" s="1">
        <v>79</v>
      </c>
      <c r="S120" s="1">
        <v>95</v>
      </c>
      <c r="T120" s="1">
        <v>0</v>
      </c>
      <c r="U120" s="1">
        <f>Games[[#This Row],[PointsFor]]-Games[[#This Row],[PointsAgainst]]</f>
        <v>-16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0.44075257947566865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-5.5104459980204785</v>
      </c>
      <c r="AB120" s="4">
        <f>Games[[#This Row],[PreGmRate]]+Games[[#This Row],[RatingChange]]</f>
        <v>1315.5993298427518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41080</v>
      </c>
      <c r="B121" s="2">
        <v>2012</v>
      </c>
      <c r="C121" s="2">
        <f>COUNTIFS(Games[Team],Games[[#This Row],[Team]],Games[Season],Games[[#This Row],[Season]],Games[Date],"&lt;=" &amp; Games[[#This Row],[Date]])</f>
        <v>12</v>
      </c>
      <c r="D121" s="2" t="s">
        <v>23</v>
      </c>
      <c r="E121" s="2" t="s">
        <v>29</v>
      </c>
      <c r="F121" s="1" t="s">
        <v>68</v>
      </c>
      <c r="G121" s="1" t="s">
        <v>86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1" s="2">
        <f>Games[[#This Row],[DaysOff]]-Games[[#This Row],[OppDaysOff]]</f>
        <v>-1</v>
      </c>
      <c r="L121" s="2">
        <f>Games[[#This Row],[OppDaysOff]]-Games[[#This Row],[DaysOff]]</f>
        <v>1</v>
      </c>
      <c r="M121" s="1">
        <f>MAX(-16, MIN(16, Games[[#This Row],[RestDiff]]*8))</f>
        <v>-8</v>
      </c>
      <c r="N121" s="1">
        <f>MAX(-16, MIN(16, Games[[#This Row],[OppRestDiff]]*8))</f>
        <v>8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1530.8422826255112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1321.1097758407723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0.83184456254465144</v>
      </c>
      <c r="R121" s="1">
        <v>95</v>
      </c>
      <c r="S121" s="1">
        <v>79</v>
      </c>
      <c r="T121" s="1">
        <v>0</v>
      </c>
      <c r="U121" s="1">
        <f>Games[[#This Row],[PointsFor]]-Games[[#This Row],[PointsAgainst]]</f>
        <v>16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0.44075257947566865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74.2</v>
      </c>
      <c r="Z121" s="4">
        <f>Games[[#This Row],[K]]*Games[[#This Row],[POMult]]</f>
        <v>74.2</v>
      </c>
      <c r="AA121" s="4">
        <f>(Games[[#This Row],[Keff]]*Games[[#This Row],[MOVMult]])*(Games[[#This Row],[Result]]-Games[[#This Row],[ExpectedWin%]])</f>
        <v>5.4993287565987821</v>
      </c>
      <c r="AB121" s="4">
        <f>Games[[#This Row],[PreGmRate]]+Games[[#This Row],[RatingChange]]</f>
        <v>1536.3416113821099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41080</v>
      </c>
      <c r="B122" s="2">
        <v>2012</v>
      </c>
      <c r="C122" s="2">
        <f>COUNTIFS(Games[Team],Games[[#This Row],[Team]],Games[Season],Games[[#This Row],[Season]],Games[Date],"&lt;=" &amp; Games[[#This Row],[Date]])</f>
        <v>9</v>
      </c>
      <c r="D122" s="2" t="s">
        <v>23</v>
      </c>
      <c r="E122" s="2" t="s">
        <v>29</v>
      </c>
      <c r="F122" s="1" t="s">
        <v>70</v>
      </c>
      <c r="G122" s="1" t="s">
        <v>44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-1</v>
      </c>
      <c r="L122" s="2">
        <f>Games[[#This Row],[OppDaysOff]]-Games[[#This Row],[DaysOff]]</f>
        <v>1</v>
      </c>
      <c r="M122" s="1">
        <f>MAX(-16, MIN(16, Games[[#This Row],[RestDiff]]*8))</f>
        <v>-8</v>
      </c>
      <c r="N122" s="1">
        <f>MAX(-16, MIN(16, Games[[#This Row],[OppRestDiff]]*8))</f>
        <v>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1374.5460173651372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1423.2023301765573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0.29823129538966997</v>
      </c>
      <c r="R122" s="1">
        <v>77</v>
      </c>
      <c r="S122" s="1">
        <v>80</v>
      </c>
      <c r="T122" s="1">
        <v>0</v>
      </c>
      <c r="U122" s="1">
        <f>Games[[#This Row],[PointsFor]]-Games[[#This Row],[PointsAgainst]]</f>
        <v>-3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0.27887595789622222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74.650000000000006</v>
      </c>
      <c r="Z122" s="4">
        <f>Games[[#This Row],[K]]*Games[[#This Row],[POMult]]</f>
        <v>74.650000000000006</v>
      </c>
      <c r="AA122" s="4">
        <f>(Games[[#This Row],[Keff]]*Games[[#This Row],[MOVMult]])*(Games[[#This Row],[Result]]-Games[[#This Row],[ExpectedWin%]])</f>
        <v>-6.2086060248701571</v>
      </c>
      <c r="AB122" s="4">
        <f>Games[[#This Row],[PreGmRate]]+Games[[#This Row],[RatingChange]]</f>
        <v>1368.3374113402672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41080</v>
      </c>
      <c r="B123" s="2">
        <v>2012</v>
      </c>
      <c r="C123" s="2">
        <f>COUNTIFS(Games[Team],Games[[#This Row],[Team]],Games[Season],Games[[#This Row],[Season]],Games[Date],"&lt;=" &amp; Games[[#This Row],[Date]])</f>
        <v>10</v>
      </c>
      <c r="D123" s="2" t="s">
        <v>23</v>
      </c>
      <c r="E123" s="2" t="s">
        <v>29</v>
      </c>
      <c r="F123" s="1" t="s">
        <v>44</v>
      </c>
      <c r="G123" s="1" t="s">
        <v>70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1</v>
      </c>
      <c r="L123" s="2">
        <f>Games[[#This Row],[OppDaysOff]]-Games[[#This Row],[DaysOff]]</f>
        <v>-1</v>
      </c>
      <c r="M123" s="1">
        <f>MAX(-16, MIN(16, Games[[#This Row],[RestDiff]]*8))</f>
        <v>8</v>
      </c>
      <c r="N123" s="1">
        <f>MAX(-16, MIN(16, Games[[#This Row],[OppRestDiff]]*8))</f>
        <v>-8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1423.2023301765573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1374.5460173651372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0.70176870461033003</v>
      </c>
      <c r="R123" s="1">
        <v>80</v>
      </c>
      <c r="S123" s="1">
        <v>77</v>
      </c>
      <c r="T123" s="1">
        <v>0</v>
      </c>
      <c r="U123" s="1">
        <f>Games[[#This Row],[PointsFor]]-Games[[#This Row],[PointsAgainst]]</f>
        <v>3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0.27887595789622222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74.5</v>
      </c>
      <c r="Z123" s="4">
        <f>Games[[#This Row],[K]]*Games[[#This Row],[POMult]]</f>
        <v>74.5</v>
      </c>
      <c r="AA123" s="4">
        <f>(Games[[#This Row],[Keff]]*Games[[#This Row],[MOVMult]])*(Games[[#This Row],[Result]]-Games[[#This Row],[ExpectedWin%]])</f>
        <v>6.1961305941436935</v>
      </c>
      <c r="AB123" s="4">
        <f>Games[[#This Row],[PreGmRate]]+Games[[#This Row],[RatingChange]]</f>
        <v>1429.3984607707009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41081</v>
      </c>
      <c r="B124" s="2">
        <v>2012</v>
      </c>
      <c r="C124" s="2">
        <f>COUNTIFS(Games[Team],Games[[#This Row],[Team]],Games[Season],Games[[#This Row],[Season]],Games[Date],"&lt;=" &amp; Games[[#This Row],[Date]])</f>
        <v>12</v>
      </c>
      <c r="D124" s="2" t="s">
        <v>23</v>
      </c>
      <c r="E124" s="2" t="s">
        <v>29</v>
      </c>
      <c r="F124" s="1" t="s">
        <v>81</v>
      </c>
      <c r="G124" s="1" t="s">
        <v>74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1602.5193302578948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1548.7145226589757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0.45665470105249056</v>
      </c>
      <c r="R124" s="1">
        <v>61</v>
      </c>
      <c r="S124" s="1">
        <v>95</v>
      </c>
      <c r="T124" s="1">
        <v>0</v>
      </c>
      <c r="U124" s="1">
        <f>Games[[#This Row],[PointsFor]]-Games[[#This Row],[PointsAgainst]]</f>
        <v>-34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0.71847032216136064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74.2</v>
      </c>
      <c r="Z124" s="4">
        <f>Games[[#This Row],[K]]*Games[[#This Row],[POMult]]</f>
        <v>74.2</v>
      </c>
      <c r="AA124" s="4">
        <f>(Games[[#This Row],[Keff]]*Games[[#This Row],[MOVMult]])*(Games[[#This Row],[Result]]-Games[[#This Row],[ExpectedWin%]])</f>
        <v>-24.344489483480857</v>
      </c>
      <c r="AB124" s="4">
        <f>Games[[#This Row],[PreGmRate]]+Games[[#This Row],[RatingChange]]</f>
        <v>1578.174840774414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41081</v>
      </c>
      <c r="B125" s="2">
        <v>2012</v>
      </c>
      <c r="C125" s="2">
        <f>COUNTIFS(Games[Team],Games[[#This Row],[Team]],Games[Season],Games[[#This Row],[Season]],Games[Date],"&lt;=" &amp; Games[[#This Row],[Date]])</f>
        <v>10</v>
      </c>
      <c r="D125" s="2" t="s">
        <v>23</v>
      </c>
      <c r="E125" s="2" t="s">
        <v>29</v>
      </c>
      <c r="F125" s="1" t="s">
        <v>74</v>
      </c>
      <c r="G125" s="1" t="s">
        <v>81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1548.7145226589757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1602.5193302578948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0.54334529894750949</v>
      </c>
      <c r="R125" s="1">
        <v>95</v>
      </c>
      <c r="S125" s="1">
        <v>61</v>
      </c>
      <c r="T125" s="1">
        <v>0</v>
      </c>
      <c r="U125" s="1">
        <f>Games[[#This Row],[PointsFor]]-Games[[#This Row],[PointsAgainst]]</f>
        <v>34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0.71847032216136064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74.5</v>
      </c>
      <c r="Z125" s="4">
        <f>Games[[#This Row],[K]]*Games[[#This Row],[POMult]]</f>
        <v>74.5</v>
      </c>
      <c r="AA125" s="4">
        <f>(Games[[#This Row],[Keff]]*Games[[#This Row],[MOVMult]])*(Games[[#This Row],[Result]]-Games[[#This Row],[ExpectedWin%]])</f>
        <v>24.442917338535359</v>
      </c>
      <c r="AB125" s="4">
        <f>Games[[#This Row],[PreGmRate]]+Games[[#This Row],[RatingChange]]</f>
        <v>1573.1574399975111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41081</v>
      </c>
      <c r="B126" s="2">
        <v>2012</v>
      </c>
      <c r="C126" s="2">
        <f>COUNTIFS(Games[Team],Games[[#This Row],[Team]],Games[Season],Games[[#This Row],[Season]],Games[Date],"&lt;=" &amp; Games[[#This Row],[Date]])</f>
        <v>12</v>
      </c>
      <c r="D126" s="2" t="s">
        <v>23</v>
      </c>
      <c r="E126" s="2" t="s">
        <v>29</v>
      </c>
      <c r="F126" s="1" t="s">
        <v>65</v>
      </c>
      <c r="G126" s="1" t="s">
        <v>72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6" s="2">
        <f>Games[[#This Row],[DaysOff]]-Games[[#This Row],[OppDaysOff]]</f>
        <v>-2</v>
      </c>
      <c r="L126" s="2">
        <f>Games[[#This Row],[OppDaysOff]]-Games[[#This Row],[DaysOff]]</f>
        <v>2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1484.8072813804804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1689.270127605778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0.1364925570015619</v>
      </c>
      <c r="R126" s="1">
        <v>70</v>
      </c>
      <c r="S126" s="1">
        <v>102</v>
      </c>
      <c r="T126" s="1">
        <v>0</v>
      </c>
      <c r="U126" s="1">
        <f>Games[[#This Row],[PointsFor]]-Games[[#This Row],[PointsAgainst]]</f>
        <v>-32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0.62145656413298977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74.2</v>
      </c>
      <c r="Z126" s="4">
        <f>Games[[#This Row],[K]]*Games[[#This Row],[POMult]]</f>
        <v>74.2</v>
      </c>
      <c r="AA126" s="4">
        <f>(Games[[#This Row],[Keff]]*Games[[#This Row],[MOVMult]])*(Games[[#This Row],[Result]]-Games[[#This Row],[ExpectedWin%]])</f>
        <v>-6.2939553063906359</v>
      </c>
      <c r="AB126" s="4">
        <f>Games[[#This Row],[PreGmRate]]+Games[[#This Row],[RatingChange]]</f>
        <v>1478.5133260740897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41081</v>
      </c>
      <c r="B127" s="2">
        <v>2012</v>
      </c>
      <c r="C127" s="2">
        <f>COUNTIFS(Games[Team],Games[[#This Row],[Team]],Games[Season],Games[[#This Row],[Season]],Games[Date],"&lt;=" &amp; Games[[#This Row],[Date]])</f>
        <v>12</v>
      </c>
      <c r="D127" s="2" t="s">
        <v>23</v>
      </c>
      <c r="E127" s="2" t="s">
        <v>29</v>
      </c>
      <c r="F127" s="1" t="s">
        <v>72</v>
      </c>
      <c r="G127" s="1" t="s">
        <v>65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2</v>
      </c>
      <c r="L127" s="2">
        <f>Games[[#This Row],[OppDaysOff]]-Games[[#This Row],[DaysOff]]</f>
        <v>-2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1689.270127605778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1484.8072813804804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0.86350744299843807</v>
      </c>
      <c r="R127" s="1">
        <v>102</v>
      </c>
      <c r="S127" s="1">
        <v>70</v>
      </c>
      <c r="T127" s="1">
        <v>0</v>
      </c>
      <c r="U127" s="1">
        <f>Games[[#This Row],[PointsFor]]-Games[[#This Row],[PointsAgainst]]</f>
        <v>32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0.62145656413298977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74.2</v>
      </c>
      <c r="Z127" s="4">
        <f>Games[[#This Row],[K]]*Games[[#This Row],[POMult]]</f>
        <v>74.2</v>
      </c>
      <c r="AA127" s="4">
        <f>(Games[[#This Row],[Keff]]*Games[[#This Row],[MOVMult]])*(Games[[#This Row],[Result]]-Games[[#This Row],[ExpectedWin%]])</f>
        <v>6.2939553063906368</v>
      </c>
      <c r="AB127" s="4">
        <f>Games[[#This Row],[PreGmRate]]+Games[[#This Row],[RatingChange]]</f>
        <v>1695.5640829121687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41082</v>
      </c>
      <c r="B128" s="2">
        <v>2012</v>
      </c>
      <c r="C128" s="2">
        <f>COUNTIFS(Games[Team],Games[[#This Row],[Team]],Games[Season],Games[[#This Row],[Season]],Games[Date],"&lt;=" &amp; Games[[#This Row],[Date]])</f>
        <v>9</v>
      </c>
      <c r="D128" s="2" t="s">
        <v>23</v>
      </c>
      <c r="E128" s="2" t="s">
        <v>29</v>
      </c>
      <c r="F128" s="1" t="s">
        <v>79</v>
      </c>
      <c r="G128" s="1" t="s">
        <v>76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8" s="2">
        <f>Games[[#This Row],[DaysOff]]-Games[[#This Row],[OppDaysOff]]</f>
        <v>1</v>
      </c>
      <c r="L128" s="2">
        <f>Games[[#This Row],[OppDaysOff]]-Games[[#This Row],[DaysOff]]</f>
        <v>-1</v>
      </c>
      <c r="M128" s="1">
        <f>MAX(-16, MIN(16, Games[[#This Row],[RestDiff]]*8))</f>
        <v>8</v>
      </c>
      <c r="N128" s="1">
        <f>MAX(-16, MIN(16, Games[[#This Row],[OppRestDiff]]*8))</f>
        <v>-8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1515.9233391889602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1486.3426960893207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0.444934363742085</v>
      </c>
      <c r="R128" s="1">
        <v>76</v>
      </c>
      <c r="S128" s="1">
        <v>82</v>
      </c>
      <c r="T128" s="1">
        <v>0</v>
      </c>
      <c r="U128" s="1">
        <f>Games[[#This Row],[PointsFor]]-Games[[#This Row],[PointsAgainst]]</f>
        <v>-6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0.34282982224455094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74.650000000000006</v>
      </c>
      <c r="Z128" s="4">
        <f>Games[[#This Row],[K]]*Games[[#This Row],[POMult]]</f>
        <v>74.650000000000006</v>
      </c>
      <c r="AA128" s="4">
        <f>(Games[[#This Row],[Keff]]*Games[[#This Row],[MOVMult]])*(Games[[#This Row],[Result]]-Games[[#This Row],[ExpectedWin%]])</f>
        <v>-11.386869793323088</v>
      </c>
      <c r="AB128" s="4">
        <f>Games[[#This Row],[PreGmRate]]+Games[[#This Row],[RatingChange]]</f>
        <v>1504.5364693956371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41082</v>
      </c>
      <c r="B129" s="2">
        <v>2012</v>
      </c>
      <c r="C129" s="2">
        <f>COUNTIFS(Games[Team],Games[[#This Row],[Team]],Games[Season],Games[[#This Row],[Season]],Games[Date],"&lt;=" &amp; Games[[#This Row],[Date]])</f>
        <v>11</v>
      </c>
      <c r="D129" s="2" t="s">
        <v>23</v>
      </c>
      <c r="E129" s="2" t="s">
        <v>29</v>
      </c>
      <c r="F129" s="1" t="s">
        <v>76</v>
      </c>
      <c r="G129" s="1" t="s">
        <v>79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9" s="2">
        <f>Games[[#This Row],[DaysOff]]-Games[[#This Row],[OppDaysOff]]</f>
        <v>-1</v>
      </c>
      <c r="L129" s="2">
        <f>Games[[#This Row],[OppDaysOff]]-Games[[#This Row],[DaysOff]]</f>
        <v>1</v>
      </c>
      <c r="M129" s="1">
        <f>MAX(-16, MIN(16, Games[[#This Row],[RestDiff]]*8))</f>
        <v>-8</v>
      </c>
      <c r="N129" s="1">
        <f>MAX(-16, MIN(16, Games[[#This Row],[OppRestDiff]]*8))</f>
        <v>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1486.3426960893207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1515.9233391889602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0.55506563625791494</v>
      </c>
      <c r="R129" s="1">
        <v>82</v>
      </c>
      <c r="S129" s="1">
        <v>76</v>
      </c>
      <c r="T129" s="1">
        <v>0</v>
      </c>
      <c r="U129" s="1">
        <f>Games[[#This Row],[PointsFor]]-Games[[#This Row],[PointsAgainst]]</f>
        <v>6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0.34282982224455094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74.349999999999994</v>
      </c>
      <c r="Z129" s="4">
        <f>Games[[#This Row],[K]]*Games[[#This Row],[POMult]]</f>
        <v>74.349999999999994</v>
      </c>
      <c r="AA129" s="4">
        <f>(Games[[#This Row],[Keff]]*Games[[#This Row],[MOVMult]])*(Games[[#This Row],[Result]]-Games[[#This Row],[ExpectedWin%]])</f>
        <v>11.34110876267343</v>
      </c>
      <c r="AB129" s="4">
        <f>Games[[#This Row],[PreGmRate]]+Games[[#This Row],[RatingChange]]</f>
        <v>1497.6838048519942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41083</v>
      </c>
      <c r="B130" s="2">
        <v>2012</v>
      </c>
      <c r="C130" s="2">
        <f>COUNTIFS(Games[Team],Games[[#This Row],[Team]],Games[Season],Games[[#This Row],[Season]],Games[Date],"&lt;=" &amp; Games[[#This Row],[Date]])</f>
        <v>10</v>
      </c>
      <c r="D130" s="2" t="s">
        <v>23</v>
      </c>
      <c r="E130" s="2" t="s">
        <v>29</v>
      </c>
      <c r="F130" s="1" t="s">
        <v>82</v>
      </c>
      <c r="G130" s="1" t="s">
        <v>72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5</v>
      </c>
      <c r="L130" s="2">
        <f>Games[[#This Row],[OppDaysOff]]-Games[[#This Row],[DaysOff]]</f>
        <v>-5</v>
      </c>
      <c r="M130" s="1">
        <f>MAX(-16, MIN(16, Games[[#This Row],[RestDiff]]*8))</f>
        <v>16</v>
      </c>
      <c r="N130" s="1">
        <f>MAX(-16, MIN(16, Games[[#This Row],[OppRestDiff]]*8))</f>
        <v>-16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1529.7210525311948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1695.5640829121687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0.22200757479198693</v>
      </c>
      <c r="R130" s="1">
        <v>67</v>
      </c>
      <c r="S130" s="1">
        <v>79</v>
      </c>
      <c r="T130" s="1">
        <v>0</v>
      </c>
      <c r="U130" s="1">
        <f>Games[[#This Row],[PointsFor]]-Games[[#This Row],[PointsAgainst]]</f>
        <v>-12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0.4007454147488495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74.5</v>
      </c>
      <c r="Z130" s="4">
        <f>Games[[#This Row],[K]]*Games[[#This Row],[POMult]]</f>
        <v>74.5</v>
      </c>
      <c r="AA130" s="4">
        <f>(Games[[#This Row],[Keff]]*Games[[#This Row],[MOVMult]])*(Games[[#This Row],[Result]]-Games[[#This Row],[ExpectedWin%]])</f>
        <v>-6.6281545639863761</v>
      </c>
      <c r="AB130" s="4">
        <f>Games[[#This Row],[PreGmRate]]+Games[[#This Row],[RatingChange]]</f>
        <v>1523.0928979672085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41083</v>
      </c>
      <c r="B131" s="2">
        <v>2012</v>
      </c>
      <c r="C131" s="2">
        <f>COUNTIFS(Games[Team],Games[[#This Row],[Team]],Games[Season],Games[[#This Row],[Season]],Games[Date],"&lt;=" &amp; Games[[#This Row],[Date]])</f>
        <v>13</v>
      </c>
      <c r="D131" s="2" t="s">
        <v>23</v>
      </c>
      <c r="E131" s="2" t="s">
        <v>29</v>
      </c>
      <c r="F131" s="1" t="s">
        <v>72</v>
      </c>
      <c r="G131" s="1" t="s">
        <v>82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1" s="2">
        <f>Games[[#This Row],[DaysOff]]-Games[[#This Row],[OppDaysOff]]</f>
        <v>-5</v>
      </c>
      <c r="L131" s="2">
        <f>Games[[#This Row],[OppDaysOff]]-Games[[#This Row],[DaysOff]]</f>
        <v>5</v>
      </c>
      <c r="M131" s="1">
        <f>MAX(-16, MIN(16, Games[[#This Row],[RestDiff]]*8))</f>
        <v>-16</v>
      </c>
      <c r="N131" s="1">
        <f>MAX(-16, MIN(16, Games[[#This Row],[OppRestDiff]]*8))</f>
        <v>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1695.5640829121687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1529.7210525311948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0.77799242520801304</v>
      </c>
      <c r="R131" s="1">
        <v>79</v>
      </c>
      <c r="S131" s="1">
        <v>67</v>
      </c>
      <c r="T131" s="1">
        <v>0</v>
      </c>
      <c r="U131" s="1">
        <f>Games[[#This Row],[PointsFor]]-Games[[#This Row],[PointsAgainst]]</f>
        <v>12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0.4007454147488495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74.05</v>
      </c>
      <c r="Z131" s="4">
        <f>Games[[#This Row],[K]]*Games[[#This Row],[POMult]]</f>
        <v>74.05</v>
      </c>
      <c r="AA131" s="4">
        <f>(Games[[#This Row],[Keff]]*Games[[#This Row],[MOVMult]])*(Games[[#This Row],[Result]]-Games[[#This Row],[ExpectedWin%]])</f>
        <v>6.5881187310495468</v>
      </c>
      <c r="AB131" s="4">
        <f>Games[[#This Row],[PreGmRate]]+Games[[#This Row],[RatingChange]]</f>
        <v>1702.1522016432182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41083</v>
      </c>
      <c r="B132" s="2">
        <v>2012</v>
      </c>
      <c r="C132" s="2">
        <f>COUNTIFS(Games[Team],Games[[#This Row],[Team]],Games[Season],Games[[#This Row],[Season]],Games[Date],"&lt;=" &amp; Games[[#This Row],[Date]])</f>
        <v>13</v>
      </c>
      <c r="D132" s="2" t="s">
        <v>23</v>
      </c>
      <c r="E132" s="2" t="s">
        <v>29</v>
      </c>
      <c r="F132" s="1" t="s">
        <v>68</v>
      </c>
      <c r="G132" s="1" t="s">
        <v>44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1536.3416113821099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1429.3984607707009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0.53296993764509104</v>
      </c>
      <c r="R132" s="1">
        <v>93</v>
      </c>
      <c r="S132" s="1">
        <v>84</v>
      </c>
      <c r="T132" s="1">
        <v>0</v>
      </c>
      <c r="U132" s="1">
        <f>Games[[#This Row],[PointsFor]]-Games[[#This Row],[PointsAgainst]]</f>
        <v>9</v>
      </c>
      <c r="V132" s="1">
        <f>IF(Games[[#This Row],[MOV]]&gt;0,1,IF(Games[[#This Row],[MOV]]=0,0.5,0))</f>
        <v>1</v>
      </c>
      <c r="W132" s="4">
        <f>((ABS(Games[[#This Row],[MOV]])+5)^0.6)/(12+0.01*(ABS(Games[[#This Row],[PreGmRate]]-Games[[#This Row],[OppPreGmRate]])))*IF(Games[[#This Row],[OT]]=1,0.9,1)</f>
        <v>0.37275212188746493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74.05</v>
      </c>
      <c r="Z132" s="4">
        <f>Games[[#This Row],[K]]*Games[[#This Row],[POMult]]</f>
        <v>74.05</v>
      </c>
      <c r="AA132" s="4">
        <f>(Games[[#This Row],[Keff]]*Games[[#This Row],[MOVMult]])*(Games[[#This Row],[Result]]-Games[[#This Row],[ExpectedWin%]])</f>
        <v>12.891101380210426</v>
      </c>
      <c r="AB132" s="4">
        <f>Games[[#This Row],[PreGmRate]]+Games[[#This Row],[RatingChange]]</f>
        <v>1549.2327127623203</v>
      </c>
      <c r="AC132" s="2">
        <f>IF(Games[[#This Row],[Type]]="R",IF(Games[[#This Row],[Result]]&gt;0.5,1,0),0)</f>
        <v>1</v>
      </c>
      <c r="AD132" s="2">
        <f>IF(Games[[#This Row],[Type]]="R",IF(Games[[#This Row],[Result]]&lt;0.5,1,0),0)</f>
        <v>0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41083</v>
      </c>
      <c r="B133" s="2">
        <v>2012</v>
      </c>
      <c r="C133" s="2">
        <f>COUNTIFS(Games[Team],Games[[#This Row],[Team]],Games[Season],Games[[#This Row],[Season]],Games[Date],"&lt;=" &amp; Games[[#This Row],[Date]])</f>
        <v>11</v>
      </c>
      <c r="D133" s="2" t="s">
        <v>23</v>
      </c>
      <c r="E133" s="2" t="s">
        <v>29</v>
      </c>
      <c r="F133" s="1" t="s">
        <v>44</v>
      </c>
      <c r="G133" s="1" t="s">
        <v>68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1429.3984607707009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1536.3416113821099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0.46703006235490896</v>
      </c>
      <c r="R133" s="1">
        <v>84</v>
      </c>
      <c r="S133" s="1">
        <v>93</v>
      </c>
      <c r="T133" s="1">
        <v>0</v>
      </c>
      <c r="U133" s="1">
        <f>Games[[#This Row],[PointsFor]]-Games[[#This Row],[PointsAgainst]]</f>
        <v>-9</v>
      </c>
      <c r="V133" s="1">
        <f>IF(Games[[#This Row],[MOV]]&gt;0,1,IF(Games[[#This Row],[MOV]]=0,0.5,0))</f>
        <v>0</v>
      </c>
      <c r="W133" s="4">
        <f>((ABS(Games[[#This Row],[MOV]])+5)^0.6)/(12+0.01*(ABS(Games[[#This Row],[PreGmRate]]-Games[[#This Row],[OppPreGmRate]])))*IF(Games[[#This Row],[OT]]=1,0.9,1)</f>
        <v>0.37275212188746493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-12.943327314228833</v>
      </c>
      <c r="AB133" s="4">
        <f>Games[[#This Row],[PreGmRate]]+Games[[#This Row],[RatingChange]]</f>
        <v>1416.4551334564721</v>
      </c>
      <c r="AC133" s="2">
        <f>IF(Games[[#This Row],[Type]]="R",IF(Games[[#This Row],[Result]]&gt;0.5,1,0),0)</f>
        <v>0</v>
      </c>
      <c r="AD133" s="2">
        <f>IF(Games[[#This Row],[Type]]="R",IF(Games[[#This Row],[Result]]&lt;0.5,1,0),0)</f>
        <v>1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41083</v>
      </c>
      <c r="B134" s="2">
        <v>2012</v>
      </c>
      <c r="C134" s="2">
        <f>COUNTIFS(Games[Team],Games[[#This Row],[Team]],Games[Season],Games[[#This Row],[Season]],Games[Date],"&lt;=" &amp; Games[[#This Row],[Date]])</f>
        <v>11</v>
      </c>
      <c r="D134" s="2" t="s">
        <v>23</v>
      </c>
      <c r="E134" s="2" t="s">
        <v>29</v>
      </c>
      <c r="F134" s="1" t="s">
        <v>74</v>
      </c>
      <c r="G134" s="1" t="s">
        <v>86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1573.1574399975111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1315.5993298427518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0.71238124511483869</v>
      </c>
      <c r="R134" s="1">
        <v>73</v>
      </c>
      <c r="S134" s="1">
        <v>70</v>
      </c>
      <c r="T134" s="1">
        <v>0</v>
      </c>
      <c r="U134" s="1">
        <f>Games[[#This Row],[PointsFor]]-Games[[#This Row],[PointsAgainst]]</f>
        <v>3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0.23890658142026092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5.1088869023841612</v>
      </c>
      <c r="AB134" s="4">
        <f>Games[[#This Row],[PreGmRate]]+Games[[#This Row],[RatingChange]]</f>
        <v>1578.2663268998954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41083</v>
      </c>
      <c r="B135" s="2">
        <v>2012</v>
      </c>
      <c r="C135" s="2">
        <f>COUNTIFS(Games[Team],Games[[#This Row],[Team]],Games[Season],Games[[#This Row],[Season]],Games[Date],"&lt;=" &amp; Games[[#This Row],[Date]])</f>
        <v>12</v>
      </c>
      <c r="D135" s="2" t="s">
        <v>23</v>
      </c>
      <c r="E135" s="2" t="s">
        <v>29</v>
      </c>
      <c r="F135" s="1" t="s">
        <v>86</v>
      </c>
      <c r="G135" s="1" t="s">
        <v>74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1315.5993298427518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1573.1574399975111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0.28761875488516137</v>
      </c>
      <c r="R135" s="1">
        <v>70</v>
      </c>
      <c r="S135" s="1">
        <v>73</v>
      </c>
      <c r="T135" s="1">
        <v>0</v>
      </c>
      <c r="U135" s="1">
        <f>Games[[#This Row],[PointsFor]]-Games[[#This Row],[PointsAgainst]]</f>
        <v>-3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0.23890658142026092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74.2</v>
      </c>
      <c r="Z135" s="4">
        <f>Games[[#This Row],[K]]*Games[[#This Row],[POMult]]</f>
        <v>74.2</v>
      </c>
      <c r="AA135" s="4">
        <f>(Games[[#This Row],[Keff]]*Games[[#This Row],[MOVMult]])*(Games[[#This Row],[Result]]-Games[[#This Row],[ExpectedWin%]])</f>
        <v>-5.0985798003618683</v>
      </c>
      <c r="AB135" s="4">
        <f>Games[[#This Row],[PreGmRate]]+Games[[#This Row],[RatingChange]]</f>
        <v>1310.5007500423899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41084</v>
      </c>
      <c r="B136" s="2">
        <v>2012</v>
      </c>
      <c r="C136" s="2">
        <f>COUNTIFS(Games[Team],Games[[#This Row],[Team]],Games[Season],Games[[#This Row],[Season]],Games[Date],"&lt;=" &amp; Games[[#This Row],[Date]])</f>
        <v>10</v>
      </c>
      <c r="D136" s="2" t="s">
        <v>23</v>
      </c>
      <c r="E136" s="2" t="s">
        <v>29</v>
      </c>
      <c r="F136" s="1" t="s">
        <v>79</v>
      </c>
      <c r="G136" s="1" t="s">
        <v>68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6" s="2">
        <f>Games[[#This Row],[DaysOff]]-Games[[#This Row],[OppDaysOff]]</f>
        <v>1</v>
      </c>
      <c r="L136" s="2">
        <f>Games[[#This Row],[OppDaysOff]]-Games[[#This Row],[DaysOff]]</f>
        <v>-1</v>
      </c>
      <c r="M136" s="1">
        <f>MAX(-16, MIN(16, Games[[#This Row],[RestDiff]]*8))</f>
        <v>8</v>
      </c>
      <c r="N136" s="1">
        <f>MAX(-16, MIN(16, Games[[#This Row],[OppRestDiff]]*8))</f>
        <v>-8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1504.5364693956371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1549.2327127623203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0.34327539707780919</v>
      </c>
      <c r="R136" s="1">
        <v>91</v>
      </c>
      <c r="S136" s="1">
        <v>71</v>
      </c>
      <c r="T136" s="1">
        <v>0</v>
      </c>
      <c r="U136" s="1">
        <f>Games[[#This Row],[PointsFor]]-Games[[#This Row],[PointsAgainst]]</f>
        <v>20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0.55424352279287425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74.5</v>
      </c>
      <c r="Z136" s="4">
        <f>Games[[#This Row],[K]]*Games[[#This Row],[POMult]]</f>
        <v>74.5</v>
      </c>
      <c r="AA136" s="4">
        <f>(Games[[#This Row],[Keff]]*Games[[#This Row],[MOVMult]])*(Games[[#This Row],[Result]]-Games[[#This Row],[ExpectedWin%]])</f>
        <v>27.11690912841182</v>
      </c>
      <c r="AB136" s="4">
        <f>Games[[#This Row],[PreGmRate]]+Games[[#This Row],[RatingChange]]</f>
        <v>1531.653378524049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41084</v>
      </c>
      <c r="B137" s="2">
        <v>2012</v>
      </c>
      <c r="C137" s="2">
        <f>COUNTIFS(Games[Team],Games[[#This Row],[Team]],Games[Season],Games[[#This Row],[Season]],Games[Date],"&lt;=" &amp; Games[[#This Row],[Date]])</f>
        <v>14</v>
      </c>
      <c r="D137" s="2" t="s">
        <v>23</v>
      </c>
      <c r="E137" s="2" t="s">
        <v>29</v>
      </c>
      <c r="F137" s="1" t="s">
        <v>68</v>
      </c>
      <c r="G137" s="1" t="s">
        <v>79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-1</v>
      </c>
      <c r="L137" s="2">
        <f>Games[[#This Row],[OppDaysOff]]-Games[[#This Row],[DaysOff]]</f>
        <v>1</v>
      </c>
      <c r="M137" s="1">
        <f>MAX(-16, MIN(16, Games[[#This Row],[RestDiff]]*8))</f>
        <v>-8</v>
      </c>
      <c r="N137" s="1">
        <f>MAX(-16, MIN(16, Games[[#This Row],[OppRestDiff]]*8))</f>
        <v>8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1549.2327127623203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1504.5364693956371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0.65672460292219081</v>
      </c>
      <c r="R137" s="1">
        <v>71</v>
      </c>
      <c r="S137" s="1">
        <v>91</v>
      </c>
      <c r="T137" s="1">
        <v>0</v>
      </c>
      <c r="U137" s="1">
        <f>Games[[#This Row],[PointsFor]]-Games[[#This Row],[PointsAgainst]]</f>
        <v>-20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0.55424352279287425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73.900000000000006</v>
      </c>
      <c r="Z137" s="4">
        <f>Games[[#This Row],[K]]*Games[[#This Row],[POMult]]</f>
        <v>73.900000000000006</v>
      </c>
      <c r="AA137" s="4">
        <f>(Games[[#This Row],[Keff]]*Games[[#This Row],[MOVMult]])*(Games[[#This Row],[Result]]-Games[[#This Row],[ExpectedWin%]])</f>
        <v>-26.898517913954812</v>
      </c>
      <c r="AB137" s="4">
        <f>Games[[#This Row],[PreGmRate]]+Games[[#This Row],[RatingChange]]</f>
        <v>1522.3341948483655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41084</v>
      </c>
      <c r="B138" s="2">
        <v>2012</v>
      </c>
      <c r="C138" s="2">
        <f>COUNTIFS(Games[Team],Games[[#This Row],[Team]],Games[Season],Games[[#This Row],[Season]],Games[Date],"&lt;=" &amp; Games[[#This Row],[Date]])</f>
        <v>12</v>
      </c>
      <c r="D138" s="2" t="s">
        <v>23</v>
      </c>
      <c r="E138" s="2" t="s">
        <v>29</v>
      </c>
      <c r="F138" s="1" t="s">
        <v>84</v>
      </c>
      <c r="G138" s="1" t="s">
        <v>65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8" s="2">
        <f>Games[[#This Row],[DaysOff]]-Games[[#This Row],[OppDaysOff]]</f>
        <v>2</v>
      </c>
      <c r="L138" s="2">
        <f>Games[[#This Row],[OppDaysOff]]-Games[[#This Row],[DaysOff]]</f>
        <v>-2</v>
      </c>
      <c r="M138" s="1">
        <f>MAX(-16, MIN(16, Games[[#This Row],[RestDiff]]*8))</f>
        <v>16</v>
      </c>
      <c r="N138" s="1">
        <f>MAX(-16, MIN(16, Games[[#This Row],[OppRestDiff]]*8))</f>
        <v>-16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1502.3755862177877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1478.5133260740897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0.45959483625123415</v>
      </c>
      <c r="R138" s="1">
        <v>74</v>
      </c>
      <c r="S138" s="1">
        <v>64</v>
      </c>
      <c r="T138" s="1">
        <v>0</v>
      </c>
      <c r="U138" s="1">
        <f>Games[[#This Row],[PointsFor]]-Games[[#This Row],[PointsAgainst]]</f>
        <v>10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0.41487972603969614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16.635873454460164</v>
      </c>
      <c r="AB138" s="4">
        <f>Games[[#This Row],[PreGmRate]]+Games[[#This Row],[RatingChange]]</f>
        <v>1519.0114596722478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41084</v>
      </c>
      <c r="B139" s="2">
        <v>2012</v>
      </c>
      <c r="C139" s="2">
        <f>COUNTIFS(Games[Team],Games[[#This Row],[Team]],Games[Season],Games[[#This Row],[Season]],Games[Date],"&lt;=" &amp; Games[[#This Row],[Date]])</f>
        <v>13</v>
      </c>
      <c r="D139" s="2" t="s">
        <v>23</v>
      </c>
      <c r="E139" s="2" t="s">
        <v>29</v>
      </c>
      <c r="F139" s="1" t="s">
        <v>65</v>
      </c>
      <c r="G139" s="1" t="s">
        <v>84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9" s="2">
        <f>Games[[#This Row],[DaysOff]]-Games[[#This Row],[OppDaysOff]]</f>
        <v>-2</v>
      </c>
      <c r="L139" s="2">
        <f>Games[[#This Row],[OppDaysOff]]-Games[[#This Row],[DaysOff]]</f>
        <v>2</v>
      </c>
      <c r="M139" s="1">
        <f>MAX(-16, MIN(16, Games[[#This Row],[RestDiff]]*8))</f>
        <v>-16</v>
      </c>
      <c r="N139" s="1">
        <f>MAX(-16, MIN(16, Games[[#This Row],[OppRestDiff]]*8))</f>
        <v>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1478.5133260740897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1502.3755862177877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0.5404051637487659</v>
      </c>
      <c r="R139" s="1">
        <v>64</v>
      </c>
      <c r="S139" s="1">
        <v>74</v>
      </c>
      <c r="T139" s="1">
        <v>0</v>
      </c>
      <c r="U139" s="1">
        <f>Games[[#This Row],[PointsFor]]-Games[[#This Row],[PointsAgainst]]</f>
        <v>-10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0.41487972603969614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74.05</v>
      </c>
      <c r="Z139" s="4">
        <f>Games[[#This Row],[K]]*Games[[#This Row],[POMult]]</f>
        <v>74.05</v>
      </c>
      <c r="AA139" s="4">
        <f>(Games[[#This Row],[Keff]]*Games[[#This Row],[MOVMult]])*(Games[[#This Row],[Result]]-Games[[#This Row],[ExpectedWin%]])</f>
        <v>-16.602242982517186</v>
      </c>
      <c r="AB139" s="4">
        <f>Games[[#This Row],[PreGmRate]]+Games[[#This Row],[RatingChange]]</f>
        <v>1461.9110830915724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41084</v>
      </c>
      <c r="B140" s="2">
        <v>2012</v>
      </c>
      <c r="C140" s="2">
        <f>COUNTIFS(Games[Team],Games[[#This Row],[Team]],Games[Season],Games[[#This Row],[Season]],Games[Date],"&lt;=" &amp; Games[[#This Row],[Date]])</f>
        <v>10</v>
      </c>
      <c r="D140" s="2" t="s">
        <v>23</v>
      </c>
      <c r="E140" s="2" t="s">
        <v>29</v>
      </c>
      <c r="F140" s="1" t="s">
        <v>70</v>
      </c>
      <c r="G140" s="1" t="s">
        <v>76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2</v>
      </c>
      <c r="L140" s="2">
        <f>Games[[#This Row],[OppDaysOff]]-Games[[#This Row],[DaysOff]]</f>
        <v>-2</v>
      </c>
      <c r="M140" s="1">
        <f>MAX(-16, MIN(16, Games[[#This Row],[RestDiff]]*8))</f>
        <v>16</v>
      </c>
      <c r="N140" s="1">
        <f>MAX(-16, MIN(16, Games[[#This Row],[OppRestDiff]]*8))</f>
        <v>-16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1368.3374113402672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1497.6838048519942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0.26039553829924322</v>
      </c>
      <c r="R140" s="1">
        <v>55</v>
      </c>
      <c r="S140" s="1">
        <v>72</v>
      </c>
      <c r="T140" s="1">
        <v>0</v>
      </c>
      <c r="U140" s="1">
        <f>Games[[#This Row],[PointsFor]]-Games[[#This Row],[PointsAgainst]]</f>
        <v>-17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0.48063505946748586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74.5</v>
      </c>
      <c r="Z140" s="4">
        <f>Games[[#This Row],[K]]*Games[[#This Row],[POMult]]</f>
        <v>74.5</v>
      </c>
      <c r="AA140" s="4">
        <f>(Games[[#This Row],[Keff]]*Games[[#This Row],[MOVMult]])*(Games[[#This Row],[Result]]-Games[[#This Row],[ExpectedWin%]])</f>
        <v>-9.3240642651465961</v>
      </c>
      <c r="AB140" s="4">
        <f>Games[[#This Row],[PreGmRate]]+Games[[#This Row],[RatingChange]]</f>
        <v>1359.0133470751207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41084</v>
      </c>
      <c r="B141" s="2">
        <v>2012</v>
      </c>
      <c r="C141" s="2">
        <f>COUNTIFS(Games[Team],Games[[#This Row],[Team]],Games[Season],Games[[#This Row],[Season]],Games[Date],"&lt;=" &amp; Games[[#This Row],[Date]])</f>
        <v>12</v>
      </c>
      <c r="D141" s="2" t="s">
        <v>23</v>
      </c>
      <c r="E141" s="2" t="s">
        <v>29</v>
      </c>
      <c r="F141" s="1" t="s">
        <v>76</v>
      </c>
      <c r="G141" s="1" t="s">
        <v>70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1" s="2">
        <f>Games[[#This Row],[DaysOff]]-Games[[#This Row],[OppDaysOff]]</f>
        <v>-2</v>
      </c>
      <c r="L141" s="2">
        <f>Games[[#This Row],[OppDaysOff]]-Games[[#This Row],[DaysOff]]</f>
        <v>2</v>
      </c>
      <c r="M141" s="1">
        <f>MAX(-16, MIN(16, Games[[#This Row],[RestDiff]]*8))</f>
        <v>-16</v>
      </c>
      <c r="N141" s="1">
        <f>MAX(-16, MIN(16, Games[[#This Row],[OppRestDiff]]*8))</f>
        <v>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1497.6838048519942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1368.3374113402672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0.73960446170075667</v>
      </c>
      <c r="R141" s="1">
        <v>72</v>
      </c>
      <c r="S141" s="1">
        <v>55</v>
      </c>
      <c r="T141" s="1">
        <v>0</v>
      </c>
      <c r="U141" s="1">
        <f>Games[[#This Row],[PointsFor]]-Games[[#This Row],[PointsAgainst]]</f>
        <v>17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0.48063505946748586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74.2</v>
      </c>
      <c r="Z141" s="4">
        <f>Games[[#This Row],[K]]*Games[[#This Row],[POMult]]</f>
        <v>74.2</v>
      </c>
      <c r="AA141" s="4">
        <f>(Games[[#This Row],[Keff]]*Games[[#This Row],[MOVMult]])*(Games[[#This Row],[Result]]-Games[[#This Row],[ExpectedWin%]])</f>
        <v>9.28651769763594</v>
      </c>
      <c r="AB141" s="4">
        <f>Games[[#This Row],[PreGmRate]]+Games[[#This Row],[RatingChange]]</f>
        <v>1506.9703225496301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41086</v>
      </c>
      <c r="B142" s="2">
        <v>2012</v>
      </c>
      <c r="C142" s="2">
        <f>COUNTIFS(Games[Team],Games[[#This Row],[Team]],Games[Season],Games[[#This Row],[Season]],Games[Date],"&lt;=" &amp; Games[[#This Row],[Date]])</f>
        <v>12</v>
      </c>
      <c r="D142" s="2" t="s">
        <v>23</v>
      </c>
      <c r="E142" s="2" t="s">
        <v>29</v>
      </c>
      <c r="F142" s="1" t="s">
        <v>74</v>
      </c>
      <c r="G142" s="1" t="s">
        <v>84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1</v>
      </c>
      <c r="L142" s="2">
        <f>Games[[#This Row],[OppDaysOff]]-Games[[#This Row],[DaysOff]]</f>
        <v>-1</v>
      </c>
      <c r="M142" s="1">
        <f>MAX(-16, MIN(16, Games[[#This Row],[RestDiff]]*8))</f>
        <v>8</v>
      </c>
      <c r="N142" s="1">
        <f>MAX(-16, MIN(16, Games[[#This Row],[OppRestDiff]]*8))</f>
        <v>-8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1578.2663268998954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1519.0114596722478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0.48741739941996748</v>
      </c>
      <c r="R142" s="1">
        <v>58</v>
      </c>
      <c r="S142" s="1">
        <v>70</v>
      </c>
      <c r="T142" s="1">
        <v>0</v>
      </c>
      <c r="U142" s="1">
        <f>Games[[#This Row],[PointsFor]]-Games[[#This Row],[PointsAgainst]]</f>
        <v>-12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0.43466604413203208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74.2</v>
      </c>
      <c r="Z142" s="4">
        <f>Games[[#This Row],[K]]*Games[[#This Row],[POMult]]</f>
        <v>74.2</v>
      </c>
      <c r="AA142" s="4">
        <f>(Games[[#This Row],[Keff]]*Games[[#This Row],[MOVMult]])*(Games[[#This Row],[Result]]-Games[[#This Row],[ExpectedWin%]])</f>
        <v>-15.720293429247393</v>
      </c>
      <c r="AB142" s="4">
        <f>Games[[#This Row],[PreGmRate]]+Games[[#This Row],[RatingChange]]</f>
        <v>1562.5460334706479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41086</v>
      </c>
      <c r="B143" s="2">
        <v>2012</v>
      </c>
      <c r="C143" s="2">
        <f>COUNTIFS(Games[Team],Games[[#This Row],[Team]],Games[Season],Games[[#This Row],[Season]],Games[Date],"&lt;=" &amp; Games[[#This Row],[Date]])</f>
        <v>13</v>
      </c>
      <c r="D143" s="2" t="s">
        <v>23</v>
      </c>
      <c r="E143" s="2" t="s">
        <v>29</v>
      </c>
      <c r="F143" s="1" t="s">
        <v>84</v>
      </c>
      <c r="G143" s="1" t="s">
        <v>74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3" s="2">
        <f>Games[[#This Row],[DaysOff]]-Games[[#This Row],[OppDaysOff]]</f>
        <v>-1</v>
      </c>
      <c r="L143" s="2">
        <f>Games[[#This Row],[OppDaysOff]]-Games[[#This Row],[DaysOff]]</f>
        <v>1</v>
      </c>
      <c r="M143" s="1">
        <f>MAX(-16, MIN(16, Games[[#This Row],[RestDiff]]*8))</f>
        <v>-8</v>
      </c>
      <c r="N143" s="1">
        <f>MAX(-16, MIN(16, Games[[#This Row],[OppRestDiff]]*8))</f>
        <v>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1519.0114596722478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1578.2663268998954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0.51258260058003258</v>
      </c>
      <c r="R143" s="1">
        <v>70</v>
      </c>
      <c r="S143" s="1">
        <v>58</v>
      </c>
      <c r="T143" s="1">
        <v>0</v>
      </c>
      <c r="U143" s="1">
        <f>Games[[#This Row],[PointsFor]]-Games[[#This Row],[PointsAgainst]]</f>
        <v>12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0.43466604413203208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74.05</v>
      </c>
      <c r="Z143" s="4">
        <f>Games[[#This Row],[K]]*Games[[#This Row],[POMult]]</f>
        <v>74.05</v>
      </c>
      <c r="AA143" s="4">
        <f>(Games[[#This Row],[Keff]]*Games[[#This Row],[MOVMult]])*(Games[[#This Row],[Result]]-Games[[#This Row],[ExpectedWin%]])</f>
        <v>15.688513860320338</v>
      </c>
      <c r="AB143" s="4">
        <f>Games[[#This Row],[PreGmRate]]+Games[[#This Row],[RatingChange]]</f>
        <v>1534.6999735325683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41086</v>
      </c>
      <c r="B144" s="2">
        <v>2012</v>
      </c>
      <c r="C144" s="2">
        <f>COUNTIFS(Games[Team],Games[[#This Row],[Team]],Games[Season],Games[[#This Row],[Season]],Games[Date],"&lt;=" &amp; Games[[#This Row],[Date]])</f>
        <v>15</v>
      </c>
      <c r="D144" s="2" t="s">
        <v>23</v>
      </c>
      <c r="E144" s="2" t="s">
        <v>29</v>
      </c>
      <c r="F144" s="1" t="s">
        <v>68</v>
      </c>
      <c r="G144" s="1" t="s">
        <v>86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-1</v>
      </c>
      <c r="L144" s="2">
        <f>Games[[#This Row],[OppDaysOff]]-Games[[#This Row],[DaysOff]]</f>
        <v>1</v>
      </c>
      <c r="M144" s="1">
        <f>MAX(-16, MIN(16, Games[[#This Row],[RestDiff]]*8))</f>
        <v>-8</v>
      </c>
      <c r="N144" s="1">
        <f>MAX(-16, MIN(16, Games[[#This Row],[OppRestDiff]]*8))</f>
        <v>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1522.3341948483655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1310.5007500423899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0.65560406033557539</v>
      </c>
      <c r="R144" s="1">
        <v>75</v>
      </c>
      <c r="S144" s="1">
        <v>91</v>
      </c>
      <c r="T144" s="1">
        <v>0</v>
      </c>
      <c r="U144" s="1">
        <f>Games[[#This Row],[PointsFor]]-Games[[#This Row],[PointsAgainst]]</f>
        <v>-16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0.44009669909857085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73.75</v>
      </c>
      <c r="Z144" s="4">
        <f>Games[[#This Row],[K]]*Games[[#This Row],[POMult]]</f>
        <v>73.75</v>
      </c>
      <c r="AA144" s="4">
        <f>(Games[[#This Row],[Keff]]*Games[[#This Row],[MOVMult]])*(Games[[#This Row],[Result]]-Games[[#This Row],[ExpectedWin%]])</f>
        <v>-21.279027236611391</v>
      </c>
      <c r="AB144" s="4">
        <f>Games[[#This Row],[PreGmRate]]+Games[[#This Row],[RatingChange]]</f>
        <v>1501.0551676117541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41086</v>
      </c>
      <c r="B145" s="2">
        <v>2012</v>
      </c>
      <c r="C145" s="2">
        <f>COUNTIFS(Games[Team],Games[[#This Row],[Team]],Games[Season],Games[[#This Row],[Season]],Games[Date],"&lt;=" &amp; Games[[#This Row],[Date]])</f>
        <v>13</v>
      </c>
      <c r="D145" s="2" t="s">
        <v>23</v>
      </c>
      <c r="E145" s="2" t="s">
        <v>29</v>
      </c>
      <c r="F145" s="1" t="s">
        <v>86</v>
      </c>
      <c r="G145" s="1" t="s">
        <v>68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1</v>
      </c>
      <c r="L145" s="2">
        <f>Games[[#This Row],[OppDaysOff]]-Games[[#This Row],[DaysOff]]</f>
        <v>-1</v>
      </c>
      <c r="M145" s="1">
        <f>MAX(-16, MIN(16, Games[[#This Row],[RestDiff]]*8))</f>
        <v>8</v>
      </c>
      <c r="N145" s="1">
        <f>MAX(-16, MIN(16, Games[[#This Row],[OppRestDiff]]*8))</f>
        <v>-8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1310.5007500423899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1522.3341948483655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0.34439593966442444</v>
      </c>
      <c r="R145" s="1">
        <v>91</v>
      </c>
      <c r="S145" s="1">
        <v>75</v>
      </c>
      <c r="T145" s="1">
        <v>0</v>
      </c>
      <c r="U145" s="1">
        <f>Games[[#This Row],[PointsFor]]-Games[[#This Row],[PointsAgainst]]</f>
        <v>16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0.44009669909857085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74.05</v>
      </c>
      <c r="Z145" s="4">
        <f>Games[[#This Row],[K]]*Games[[#This Row],[POMult]]</f>
        <v>74.05</v>
      </c>
      <c r="AA145" s="4">
        <f>(Games[[#This Row],[Keff]]*Games[[#This Row],[MOVMult]])*(Games[[#This Row],[Result]]-Games[[#This Row],[ExpectedWin%]])</f>
        <v>21.365585991472187</v>
      </c>
      <c r="AB145" s="4">
        <f>Games[[#This Row],[PreGmRate]]+Games[[#This Row],[RatingChange]]</f>
        <v>1331.8663360338621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41086</v>
      </c>
      <c r="B146" s="2">
        <v>2012</v>
      </c>
      <c r="C146" s="2">
        <f>COUNTIFS(Games[Team],Games[[#This Row],[Team]],Games[Season],Games[[#This Row],[Season]],Games[Date],"&lt;=" &amp; Games[[#This Row],[Date]])</f>
        <v>13</v>
      </c>
      <c r="D146" s="2" t="s">
        <v>23</v>
      </c>
      <c r="E146" s="2" t="s">
        <v>29</v>
      </c>
      <c r="F146" s="1" t="s">
        <v>76</v>
      </c>
      <c r="G146" s="1" t="s">
        <v>70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1506.9703225496301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1359.0133470751207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0.5910157320521312</v>
      </c>
      <c r="R146" s="1">
        <v>79</v>
      </c>
      <c r="S146" s="1">
        <v>71</v>
      </c>
      <c r="T146" s="1">
        <v>0</v>
      </c>
      <c r="U146" s="1">
        <f>Games[[#This Row],[PointsFor]]-Games[[#This Row],[PointsAgainst]]</f>
        <v>8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0.34569251873901413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74.05</v>
      </c>
      <c r="Z146" s="4">
        <f>Games[[#This Row],[K]]*Games[[#This Row],[POMult]]</f>
        <v>74.05</v>
      </c>
      <c r="AA146" s="4">
        <f>(Games[[#This Row],[Keff]]*Games[[#This Row],[MOVMult]])*(Games[[#This Row],[Result]]-Games[[#This Row],[ExpectedWin%]])</f>
        <v>10.469396466738841</v>
      </c>
      <c r="AB146" s="4">
        <f>Games[[#This Row],[PreGmRate]]+Games[[#This Row],[RatingChange]]</f>
        <v>1517.4397190163688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41086</v>
      </c>
      <c r="B147" s="2">
        <v>2012</v>
      </c>
      <c r="C147" s="2">
        <f>COUNTIFS(Games[Team],Games[[#This Row],[Team]],Games[Season],Games[[#This Row],[Season]],Games[Date],"&lt;=" &amp; Games[[#This Row],[Date]])</f>
        <v>11</v>
      </c>
      <c r="D147" s="2" t="s">
        <v>23</v>
      </c>
      <c r="E147" s="2" t="s">
        <v>29</v>
      </c>
      <c r="F147" s="1" t="s">
        <v>70</v>
      </c>
      <c r="G147" s="1" t="s">
        <v>76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1359.0133470751207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1506.9703225496301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0.40898426794786885</v>
      </c>
      <c r="R147" s="1">
        <v>71</v>
      </c>
      <c r="S147" s="1">
        <v>79</v>
      </c>
      <c r="T147" s="1">
        <v>0</v>
      </c>
      <c r="U147" s="1">
        <f>Games[[#This Row],[PointsFor]]-Games[[#This Row],[PointsAgainst]]</f>
        <v>-8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0.34569251873901413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74.349999999999994</v>
      </c>
      <c r="Z147" s="4">
        <f>Games[[#This Row],[K]]*Games[[#This Row],[POMult]]</f>
        <v>74.349999999999994</v>
      </c>
      <c r="AA147" s="4">
        <f>(Games[[#This Row],[Keff]]*Games[[#This Row],[MOVMult]])*(Games[[#This Row],[Result]]-Games[[#This Row],[ExpectedWin%]])</f>
        <v>-10.511811307252302</v>
      </c>
      <c r="AB147" s="4">
        <f>Games[[#This Row],[PreGmRate]]+Games[[#This Row],[RatingChange]]</f>
        <v>1348.5015357678683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41087</v>
      </c>
      <c r="B148" s="2">
        <v>2012</v>
      </c>
      <c r="C148" s="2">
        <f>COUNTIFS(Games[Team],Games[[#This Row],[Team]],Games[Season],Games[[#This Row],[Season]],Games[Date],"&lt;=" &amp; Games[[#This Row],[Date]])</f>
        <v>13</v>
      </c>
      <c r="D148" s="2" t="s">
        <v>23</v>
      </c>
      <c r="E148" s="2" t="s">
        <v>29</v>
      </c>
      <c r="F148" s="1" t="s">
        <v>74</v>
      </c>
      <c r="G148" s="1" t="s">
        <v>82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8" s="2">
        <f>Games[[#This Row],[DaysOff]]-Games[[#This Row],[OppDaysOff]]</f>
        <v>-3</v>
      </c>
      <c r="L148" s="2">
        <f>Games[[#This Row],[OppDaysOff]]-Games[[#This Row],[DaysOff]]</f>
        <v>3</v>
      </c>
      <c r="M148" s="1">
        <f>MAX(-16, MIN(16, Games[[#This Row],[RestDiff]]*8))</f>
        <v>-16</v>
      </c>
      <c r="N148" s="1">
        <f>MAX(-16, MIN(16, Games[[#This Row],[OppRestDiff]]*8))</f>
        <v>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1562.5460334706479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1523.0928979672085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0.3915886777220301</v>
      </c>
      <c r="R148" s="1">
        <v>81</v>
      </c>
      <c r="S148" s="1">
        <v>72</v>
      </c>
      <c r="T148" s="1">
        <v>0</v>
      </c>
      <c r="U148" s="1">
        <f>Games[[#This Row],[PointsFor]]-Games[[#This Row],[PointsAgainst]]</f>
        <v>9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0.39304901381270463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74.05</v>
      </c>
      <c r="Z148" s="4">
        <f>Games[[#This Row],[K]]*Games[[#This Row],[POMult]]</f>
        <v>74.05</v>
      </c>
      <c r="AA148" s="4">
        <f>(Games[[#This Row],[Keff]]*Games[[#This Row],[MOVMult]])*(Games[[#This Row],[Result]]-Games[[#This Row],[ExpectedWin%]])</f>
        <v>17.707981569334827</v>
      </c>
      <c r="AB148" s="4">
        <f>Games[[#This Row],[PreGmRate]]+Games[[#This Row],[RatingChange]]</f>
        <v>1580.2540150399827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41087</v>
      </c>
      <c r="B149" s="2">
        <v>2012</v>
      </c>
      <c r="C149" s="2">
        <f>COUNTIFS(Games[Team],Games[[#This Row],[Team]],Games[Season],Games[[#This Row],[Season]],Games[Date],"&lt;=" &amp; Games[[#This Row],[Date]])</f>
        <v>11</v>
      </c>
      <c r="D149" s="2" t="s">
        <v>23</v>
      </c>
      <c r="E149" s="2" t="s">
        <v>29</v>
      </c>
      <c r="F149" s="1" t="s">
        <v>82</v>
      </c>
      <c r="G149" s="1" t="s">
        <v>74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9" s="2">
        <f>Games[[#This Row],[DaysOff]]-Games[[#This Row],[OppDaysOff]]</f>
        <v>3</v>
      </c>
      <c r="L149" s="2">
        <f>Games[[#This Row],[OppDaysOff]]-Games[[#This Row],[DaysOff]]</f>
        <v>-3</v>
      </c>
      <c r="M149" s="1">
        <f>MAX(-16, MIN(16, Games[[#This Row],[RestDiff]]*8))</f>
        <v>16</v>
      </c>
      <c r="N149" s="1">
        <f>MAX(-16, MIN(16, Games[[#This Row],[OppRestDiff]]*8))</f>
        <v>-16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1523.0928979672085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1562.5460334706479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0.6084113222779699</v>
      </c>
      <c r="R149" s="1">
        <v>72</v>
      </c>
      <c r="S149" s="1">
        <v>81</v>
      </c>
      <c r="T149" s="1">
        <v>0</v>
      </c>
      <c r="U149" s="1">
        <f>Games[[#This Row],[PointsFor]]-Games[[#This Row],[PointsAgainst]]</f>
        <v>-9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0.39304901381270463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74.349999999999994</v>
      </c>
      <c r="Z149" s="4">
        <f>Games[[#This Row],[K]]*Games[[#This Row],[POMult]]</f>
        <v>74.349999999999994</v>
      </c>
      <c r="AA149" s="4">
        <f>(Games[[#This Row],[Keff]]*Games[[#This Row],[MOVMult]])*(Games[[#This Row],[Result]]-Games[[#This Row],[ExpectedWin%]])</f>
        <v>-17.77972221039898</v>
      </c>
      <c r="AB149" s="4">
        <f>Games[[#This Row],[PreGmRate]]+Games[[#This Row],[RatingChange]]</f>
        <v>1505.3131757568094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41087</v>
      </c>
      <c r="B150" s="2">
        <v>2012</v>
      </c>
      <c r="C150" s="2">
        <f>COUNTIFS(Games[Team],Games[[#This Row],[Team]],Games[Season],Games[[#This Row],[Season]],Games[Date],"&lt;=" &amp; Games[[#This Row],[Date]])</f>
        <v>12</v>
      </c>
      <c r="D150" s="2" t="s">
        <v>23</v>
      </c>
      <c r="E150" s="2" t="s">
        <v>29</v>
      </c>
      <c r="F150" s="1" t="s">
        <v>44</v>
      </c>
      <c r="G150" s="1" t="s">
        <v>72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1416.4551334564721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1702.1522016432182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0.10639099402329508</v>
      </c>
      <c r="R150" s="1">
        <v>80</v>
      </c>
      <c r="S150" s="1">
        <v>96</v>
      </c>
      <c r="T150" s="1">
        <v>0</v>
      </c>
      <c r="U150" s="1">
        <f>Games[[#This Row],[PointsFor]]-Games[[#This Row],[PointsAgainst]]</f>
        <v>-16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0.41821664189888136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-3.3014907312540172</v>
      </c>
      <c r="AB150" s="4">
        <f>Games[[#This Row],[PreGmRate]]+Games[[#This Row],[RatingChange]]</f>
        <v>1413.1536427252181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41087</v>
      </c>
      <c r="B151" s="2">
        <v>2012</v>
      </c>
      <c r="C151" s="2">
        <f>COUNTIFS(Games[Team],Games[[#This Row],[Team]],Games[Season],Games[[#This Row],[Season]],Games[Date],"&lt;=" &amp; Games[[#This Row],[Date]])</f>
        <v>14</v>
      </c>
      <c r="D151" s="2" t="s">
        <v>23</v>
      </c>
      <c r="E151" s="2" t="s">
        <v>29</v>
      </c>
      <c r="F151" s="1" t="s">
        <v>72</v>
      </c>
      <c r="G151" s="1" t="s">
        <v>44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1702.1522016432182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1416.4551334564721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0.89360900597670501</v>
      </c>
      <c r="R151" s="1">
        <v>96</v>
      </c>
      <c r="S151" s="1">
        <v>80</v>
      </c>
      <c r="T151" s="1">
        <v>0</v>
      </c>
      <c r="U151" s="1">
        <f>Games[[#This Row],[PointsFor]]-Games[[#This Row],[PointsAgainst]]</f>
        <v>16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0.41821664189888136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73.900000000000006</v>
      </c>
      <c r="Z151" s="4">
        <f>Games[[#This Row],[K]]*Games[[#This Row],[POMult]]</f>
        <v>73.900000000000006</v>
      </c>
      <c r="AA151" s="4">
        <f>(Games[[#This Row],[Keff]]*Games[[#This Row],[MOVMult]])*(Games[[#This Row],[Result]]-Games[[#This Row],[ExpectedWin%]])</f>
        <v>3.2881423859794023</v>
      </c>
      <c r="AB151" s="4">
        <f>Games[[#This Row],[PreGmRate]]+Games[[#This Row],[RatingChange]]</f>
        <v>1705.4403440291976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41088</v>
      </c>
      <c r="B152" s="2">
        <v>2012</v>
      </c>
      <c r="C152" s="2">
        <f>COUNTIFS(Games[Team],Games[[#This Row],[Team]],Games[Season],Games[[#This Row],[Season]],Games[Date],"&lt;=" &amp; Games[[#This Row],[Date]])</f>
        <v>16</v>
      </c>
      <c r="D152" s="2" t="s">
        <v>23</v>
      </c>
      <c r="E152" s="2" t="s">
        <v>29</v>
      </c>
      <c r="F152" s="1" t="s">
        <v>68</v>
      </c>
      <c r="G152" s="1" t="s">
        <v>79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2" s="2">
        <f>Games[[#This Row],[DaysOff]]-Games[[#This Row],[OppDaysOff]]</f>
        <v>-2</v>
      </c>
      <c r="L152" s="2">
        <f>Games[[#This Row],[OppDaysOff]]-Games[[#This Row],[DaysOff]]</f>
        <v>2</v>
      </c>
      <c r="M152" s="1">
        <f>MAX(-16, MIN(16, Games[[#This Row],[RestDiff]]*8))</f>
        <v>-16</v>
      </c>
      <c r="N152" s="1">
        <f>MAX(-16, MIN(16, Games[[#This Row],[OppRestDiff]]*8))</f>
        <v>16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1501.0551676117541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1531.653378524049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0.3007167399759616</v>
      </c>
      <c r="R152" s="1">
        <v>80</v>
      </c>
      <c r="S152" s="1">
        <v>94</v>
      </c>
      <c r="T152" s="1">
        <v>0</v>
      </c>
      <c r="U152" s="1">
        <f>Games[[#This Row],[PointsFor]]-Games[[#This Row],[PointsAgainst]]</f>
        <v>-14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0.47548397117133778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73.599999999999994</v>
      </c>
      <c r="Z152" s="4">
        <f>Games[[#This Row],[K]]*Games[[#This Row],[POMult]]</f>
        <v>73.599999999999994</v>
      </c>
      <c r="AA152" s="4">
        <f>(Games[[#This Row],[Keff]]*Games[[#This Row],[MOVMult]])*(Games[[#This Row],[Result]]-Games[[#This Row],[ExpectedWin%]])</f>
        <v>-10.523768843500104</v>
      </c>
      <c r="AB152" s="4">
        <f>Games[[#This Row],[PreGmRate]]+Games[[#This Row],[RatingChange]]</f>
        <v>1490.5313987682539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41088</v>
      </c>
      <c r="B153" s="2">
        <v>2012</v>
      </c>
      <c r="C153" s="2">
        <f>COUNTIFS(Games[Team],Games[[#This Row],[Team]],Games[Season],Games[[#This Row],[Season]],Games[Date],"&lt;=" &amp; Games[[#This Row],[Date]])</f>
        <v>11</v>
      </c>
      <c r="D153" s="2" t="s">
        <v>23</v>
      </c>
      <c r="E153" s="2" t="s">
        <v>29</v>
      </c>
      <c r="F153" s="1" t="s">
        <v>79</v>
      </c>
      <c r="G153" s="1" t="s">
        <v>68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2</v>
      </c>
      <c r="L153" s="2">
        <f>Games[[#This Row],[OppDaysOff]]-Games[[#This Row],[DaysOff]]</f>
        <v>-2</v>
      </c>
      <c r="M153" s="1">
        <f>MAX(-16, MIN(16, Games[[#This Row],[RestDiff]]*8))</f>
        <v>16</v>
      </c>
      <c r="N153" s="1">
        <f>MAX(-16, MIN(16, Games[[#This Row],[OppRestDiff]]*8))</f>
        <v>-16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1531.653378524049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1501.0551676117541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0.6992832600240384</v>
      </c>
      <c r="R153" s="1">
        <v>94</v>
      </c>
      <c r="S153" s="1">
        <v>80</v>
      </c>
      <c r="T153" s="1">
        <v>0</v>
      </c>
      <c r="U153" s="1">
        <f>Games[[#This Row],[PointsFor]]-Games[[#This Row],[PointsAgainst]]</f>
        <v>14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0.47548397117133778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74.349999999999994</v>
      </c>
      <c r="Z153" s="4">
        <f>Games[[#This Row],[K]]*Games[[#This Row],[POMult]]</f>
        <v>74.349999999999994</v>
      </c>
      <c r="AA153" s="4">
        <f>(Games[[#This Row],[Keff]]*Games[[#This Row],[MOVMult]])*(Games[[#This Row],[Result]]-Games[[#This Row],[ExpectedWin%]])</f>
        <v>10.631008335791204</v>
      </c>
      <c r="AB153" s="4">
        <f>Games[[#This Row],[PreGmRate]]+Games[[#This Row],[RatingChange]]</f>
        <v>1542.2843868598402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41089</v>
      </c>
      <c r="B154" s="2">
        <v>2012</v>
      </c>
      <c r="C154" s="2">
        <f>COUNTIFS(Games[Team],Games[[#This Row],[Team]],Games[Season],Games[[#This Row],[Season]],Games[Date],"&lt;=" &amp; Games[[#This Row],[Date]])</f>
        <v>13</v>
      </c>
      <c r="D154" s="2" t="s">
        <v>23</v>
      </c>
      <c r="E154" s="2" t="s">
        <v>29</v>
      </c>
      <c r="F154" s="1" t="s">
        <v>44</v>
      </c>
      <c r="G154" s="1" t="s">
        <v>82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1413.1536427252181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1505.3131757568094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0.26618687725144297</v>
      </c>
      <c r="R154" s="1">
        <v>84</v>
      </c>
      <c r="S154" s="1">
        <v>81</v>
      </c>
      <c r="T154" s="1">
        <v>0</v>
      </c>
      <c r="U154" s="1">
        <f>Games[[#This Row],[PointsFor]]-Games[[#This Row],[PointsAgainst]]</f>
        <v>3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0.26948702262906743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14.643618063238662</v>
      </c>
      <c r="AB154" s="4">
        <f>Games[[#This Row],[PreGmRate]]+Games[[#This Row],[RatingChange]]</f>
        <v>1427.7972607884567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41089</v>
      </c>
      <c r="B155" s="2">
        <v>2012</v>
      </c>
      <c r="C155" s="2">
        <f>COUNTIFS(Games[Team],Games[[#This Row],[Team]],Games[Season],Games[[#This Row],[Season]],Games[Date],"&lt;=" &amp; Games[[#This Row],[Date]])</f>
        <v>12</v>
      </c>
      <c r="D155" s="2" t="s">
        <v>23</v>
      </c>
      <c r="E155" s="2" t="s">
        <v>29</v>
      </c>
      <c r="F155" s="1" t="s">
        <v>82</v>
      </c>
      <c r="G155" s="1" t="s">
        <v>44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1505.3131757568094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1413.1536427252181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0.73381312274855715</v>
      </c>
      <c r="R155" s="1">
        <v>81</v>
      </c>
      <c r="S155" s="1">
        <v>84</v>
      </c>
      <c r="T155" s="1">
        <v>0</v>
      </c>
      <c r="U155" s="1">
        <f>Games[[#This Row],[PointsFor]]-Games[[#This Row],[PointsAgainst]]</f>
        <v>-3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0.26948702262906743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-14.673281030281011</v>
      </c>
      <c r="AB155" s="4">
        <f>Games[[#This Row],[PreGmRate]]+Games[[#This Row],[RatingChange]]</f>
        <v>1490.6398947265284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41089</v>
      </c>
      <c r="B156" s="2">
        <v>2012</v>
      </c>
      <c r="C156" s="2">
        <f>COUNTIFS(Games[Team],Games[[#This Row],[Team]],Games[Season],Games[[#This Row],[Season]],Games[Date],"&lt;=" &amp; Games[[#This Row],[Date]])</f>
        <v>14</v>
      </c>
      <c r="D156" s="2" t="s">
        <v>23</v>
      </c>
      <c r="E156" s="2" t="s">
        <v>29</v>
      </c>
      <c r="F156" s="1" t="s">
        <v>84</v>
      </c>
      <c r="G156" s="1" t="s">
        <v>86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1534.6999735325683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1331.8663360338621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0.66464455740947237</v>
      </c>
      <c r="R156" s="1">
        <v>102</v>
      </c>
      <c r="S156" s="1">
        <v>92</v>
      </c>
      <c r="T156" s="1">
        <v>0</v>
      </c>
      <c r="U156" s="1">
        <f>Games[[#This Row],[PointsFor]]-Games[[#This Row],[PointsAgainst]]</f>
        <v>10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0.36195000292699286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73.900000000000006</v>
      </c>
      <c r="Z156" s="4">
        <f>Games[[#This Row],[K]]*Games[[#This Row],[POMult]]</f>
        <v>73.900000000000006</v>
      </c>
      <c r="AA156" s="4">
        <f>(Games[[#This Row],[Keff]]*Games[[#This Row],[MOVMult]])*(Games[[#This Row],[Result]]-Games[[#This Row],[ExpectedWin%]])</f>
        <v>8.9701226632718889</v>
      </c>
      <c r="AB156" s="4">
        <f>Games[[#This Row],[PreGmRate]]+Games[[#This Row],[RatingChange]]</f>
        <v>1543.6700961958402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41089</v>
      </c>
      <c r="B157" s="2">
        <v>2012</v>
      </c>
      <c r="C157" s="2">
        <f>COUNTIFS(Games[Team],Games[[#This Row],[Team]],Games[Season],Games[[#This Row],[Season]],Games[Date],"&lt;=" &amp; Games[[#This Row],[Date]])</f>
        <v>14</v>
      </c>
      <c r="D157" s="2" t="s">
        <v>23</v>
      </c>
      <c r="E157" s="2" t="s">
        <v>29</v>
      </c>
      <c r="F157" s="1" t="s">
        <v>86</v>
      </c>
      <c r="G157" s="1" t="s">
        <v>84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1331.8663360338621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1534.6999735325683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0.33535544259052763</v>
      </c>
      <c r="R157" s="1">
        <v>92</v>
      </c>
      <c r="S157" s="1">
        <v>102</v>
      </c>
      <c r="T157" s="1">
        <v>0</v>
      </c>
      <c r="U157" s="1">
        <f>Games[[#This Row],[PointsFor]]-Games[[#This Row],[PointsAgainst]]</f>
        <v>-10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0.36195000292699286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-8.9701226632718889</v>
      </c>
      <c r="AB157" s="4">
        <f>Games[[#This Row],[PreGmRate]]+Games[[#This Row],[RatingChange]]</f>
        <v>1322.8962133705902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41089</v>
      </c>
      <c r="B158" s="2">
        <v>2012</v>
      </c>
      <c r="C158" s="2">
        <f>COUNTIFS(Games[Team],Games[[#This Row],[Team]],Games[Season],Games[[#This Row],[Season]],Games[Date],"&lt;=" &amp; Games[[#This Row],[Date]])</f>
        <v>13</v>
      </c>
      <c r="D158" s="2" t="s">
        <v>23</v>
      </c>
      <c r="E158" s="2" t="s">
        <v>29</v>
      </c>
      <c r="F158" s="1" t="s">
        <v>81</v>
      </c>
      <c r="G158" s="1" t="s">
        <v>70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7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5</v>
      </c>
      <c r="L158" s="2">
        <f>Games[[#This Row],[OppDaysOff]]-Games[[#This Row],[DaysOff]]</f>
        <v>-5</v>
      </c>
      <c r="M158" s="1">
        <f>MAX(-16, MIN(16, Games[[#This Row],[RestDiff]]*8))</f>
        <v>16</v>
      </c>
      <c r="N158" s="1">
        <f>MAX(-16, MIN(16, Games[[#This Row],[OppRestDiff]]*8))</f>
        <v>-16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1578.174840774414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1348.5015357678683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0.73551176366759508</v>
      </c>
      <c r="R158" s="1">
        <v>77</v>
      </c>
      <c r="S158" s="1">
        <v>64</v>
      </c>
      <c r="T158" s="1">
        <v>0</v>
      </c>
      <c r="U158" s="1">
        <f>Games[[#This Row],[PointsFor]]-Games[[#This Row],[PointsAgainst]]</f>
        <v>13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0.396211151731862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74.05</v>
      </c>
      <c r="Z158" s="4">
        <f>Games[[#This Row],[K]]*Games[[#This Row],[POMult]]</f>
        <v>74.05</v>
      </c>
      <c r="AA158" s="4">
        <f>(Games[[#This Row],[Keff]]*Games[[#This Row],[MOVMult]])*(Games[[#This Row],[Result]]-Games[[#This Row],[ExpectedWin%]])</f>
        <v>7.7599356259593781</v>
      </c>
      <c r="AB158" s="4">
        <f>Games[[#This Row],[PreGmRate]]+Games[[#This Row],[RatingChange]]</f>
        <v>1585.9347764003733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41089</v>
      </c>
      <c r="B159" s="2">
        <v>2012</v>
      </c>
      <c r="C159" s="2">
        <f>COUNTIFS(Games[Team],Games[[#This Row],[Team]],Games[Season],Games[[#This Row],[Season]],Games[Date],"&lt;=" &amp; Games[[#This Row],[Date]])</f>
        <v>12</v>
      </c>
      <c r="D159" s="2" t="s">
        <v>23</v>
      </c>
      <c r="E159" s="2" t="s">
        <v>29</v>
      </c>
      <c r="F159" s="1" t="s">
        <v>70</v>
      </c>
      <c r="G159" s="1" t="s">
        <v>81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59" s="2">
        <f>Games[[#This Row],[DaysOff]]-Games[[#This Row],[OppDaysOff]]</f>
        <v>-5</v>
      </c>
      <c r="L159" s="2">
        <f>Games[[#This Row],[OppDaysOff]]-Games[[#This Row],[DaysOff]]</f>
        <v>5</v>
      </c>
      <c r="M159" s="1">
        <f>MAX(-16, MIN(16, Games[[#This Row],[RestDiff]]*8))</f>
        <v>-16</v>
      </c>
      <c r="N159" s="1">
        <f>MAX(-16, MIN(16, Games[[#This Row],[OppRestDiff]]*8))</f>
        <v>16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1348.5015357678683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1578.174840774414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0.26448823633240481</v>
      </c>
      <c r="R159" s="1">
        <v>64</v>
      </c>
      <c r="S159" s="1">
        <v>77</v>
      </c>
      <c r="T159" s="1">
        <v>0</v>
      </c>
      <c r="U159" s="1">
        <f>Games[[#This Row],[PointsFor]]-Games[[#This Row],[PointsAgainst]]</f>
        <v>-13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0.396211151731862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74.2</v>
      </c>
      <c r="Z159" s="4">
        <f>Games[[#This Row],[K]]*Games[[#This Row],[POMult]]</f>
        <v>74.2</v>
      </c>
      <c r="AA159" s="4">
        <f>(Games[[#This Row],[Keff]]*Games[[#This Row],[MOVMult]])*(Games[[#This Row],[Result]]-Games[[#This Row],[ExpectedWin%]])</f>
        <v>-7.775654604269894</v>
      </c>
      <c r="AB159" s="4">
        <f>Games[[#This Row],[PreGmRate]]+Games[[#This Row],[RatingChange]]</f>
        <v>1340.7258811635984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41090</v>
      </c>
      <c r="B160" s="2">
        <v>2012</v>
      </c>
      <c r="C160" s="2">
        <f>COUNTIFS(Games[Team],Games[[#This Row],[Team]],Games[Season],Games[[#This Row],[Season]],Games[Date],"&lt;=" &amp; Games[[#This Row],[Date]])</f>
        <v>14</v>
      </c>
      <c r="D160" s="2" t="s">
        <v>23</v>
      </c>
      <c r="E160" s="2" t="s">
        <v>29</v>
      </c>
      <c r="F160" s="1" t="s">
        <v>76</v>
      </c>
      <c r="G160" s="1" t="s">
        <v>65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60" s="2">
        <f>Games[[#This Row],[DaysOff]]-Games[[#This Row],[OppDaysOff]]</f>
        <v>-2</v>
      </c>
      <c r="L160" s="2">
        <f>Games[[#This Row],[OppDaysOff]]-Games[[#This Row],[DaysOff]]</f>
        <v>2</v>
      </c>
      <c r="M160" s="1">
        <f>MAX(-16, MIN(16, Games[[#This Row],[RestDiff]]*8))</f>
        <v>-16</v>
      </c>
      <c r="N160" s="1">
        <f>MAX(-16, MIN(16, Games[[#This Row],[OppRestDiff]]*8))</f>
        <v>16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1517.4397190163688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1461.9110830915724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0.41384296197684817</v>
      </c>
      <c r="R160" s="1">
        <v>59</v>
      </c>
      <c r="S160" s="1">
        <v>77</v>
      </c>
      <c r="T160" s="1">
        <v>0</v>
      </c>
      <c r="U160" s="1">
        <f>Games[[#This Row],[PointsFor]]-Games[[#This Row],[PointsAgainst]]</f>
        <v>-18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0.52264894624903691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73.900000000000006</v>
      </c>
      <c r="Z160" s="4">
        <f>Games[[#This Row],[K]]*Games[[#This Row],[POMult]]</f>
        <v>73.900000000000006</v>
      </c>
      <c r="AA160" s="4">
        <f>(Games[[#This Row],[Keff]]*Games[[#This Row],[MOVMult]])*(Games[[#This Row],[Result]]-Games[[#This Row],[ExpectedWin%]])</f>
        <v>-15.984170052444737</v>
      </c>
      <c r="AB160" s="4">
        <f>Games[[#This Row],[PreGmRate]]+Games[[#This Row],[RatingChange]]</f>
        <v>1501.455548963924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41090</v>
      </c>
      <c r="B161" s="2">
        <v>2012</v>
      </c>
      <c r="C161" s="2">
        <f>COUNTIFS(Games[Team],Games[[#This Row],[Team]],Games[Season],Games[[#This Row],[Season]],Games[Date],"&lt;=" &amp; Games[[#This Row],[Date]])</f>
        <v>14</v>
      </c>
      <c r="D161" s="2" t="s">
        <v>23</v>
      </c>
      <c r="E161" s="2" t="s">
        <v>29</v>
      </c>
      <c r="F161" s="1" t="s">
        <v>65</v>
      </c>
      <c r="G161" s="1" t="s">
        <v>76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1" s="2">
        <f>Games[[#This Row],[DaysOff]]-Games[[#This Row],[OppDaysOff]]</f>
        <v>2</v>
      </c>
      <c r="L161" s="2">
        <f>Games[[#This Row],[OppDaysOff]]-Games[[#This Row],[DaysOff]]</f>
        <v>-2</v>
      </c>
      <c r="M161" s="1">
        <f>MAX(-16, MIN(16, Games[[#This Row],[RestDiff]]*8))</f>
        <v>16</v>
      </c>
      <c r="N161" s="1">
        <f>MAX(-16, MIN(16, Games[[#This Row],[OppRestDiff]]*8))</f>
        <v>-16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1461.9110830915724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1517.4397190163688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0.58615703802315178</v>
      </c>
      <c r="R161" s="1">
        <v>77</v>
      </c>
      <c r="S161" s="1">
        <v>59</v>
      </c>
      <c r="T161" s="1">
        <v>0</v>
      </c>
      <c r="U161" s="1">
        <f>Games[[#This Row],[PointsFor]]-Games[[#This Row],[PointsAgainst]]</f>
        <v>18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0.52264894624903691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15.984170052444739</v>
      </c>
      <c r="AB161" s="4">
        <f>Games[[#This Row],[PreGmRate]]+Games[[#This Row],[RatingChange]]</f>
        <v>1477.8952531440173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41091</v>
      </c>
      <c r="B162" s="2">
        <v>2012</v>
      </c>
      <c r="C162" s="2">
        <f>COUNTIFS(Games[Team],Games[[#This Row],[Team]],Games[Season],Games[[#This Row],[Season]],Games[Date],"&lt;=" &amp; Games[[#This Row],[Date]])</f>
        <v>15</v>
      </c>
      <c r="D162" s="2" t="s">
        <v>23</v>
      </c>
      <c r="E162" s="2" t="s">
        <v>29</v>
      </c>
      <c r="F162" s="1" t="s">
        <v>84</v>
      </c>
      <c r="G162" s="1" t="s">
        <v>82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1543.6700961958402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1490.6398947265284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0.45554854646888604</v>
      </c>
      <c r="R162" s="1">
        <v>69</v>
      </c>
      <c r="S162" s="1">
        <v>71</v>
      </c>
      <c r="T162" s="1">
        <v>0</v>
      </c>
      <c r="U162" s="1">
        <f>Games[[#This Row],[PointsFor]]-Games[[#This Row],[PointsAgainst]]</f>
        <v>-2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0.25650585643882862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73.75</v>
      </c>
      <c r="Z162" s="4">
        <f>Games[[#This Row],[K]]*Games[[#This Row],[POMult]]</f>
        <v>73.75</v>
      </c>
      <c r="AA162" s="4">
        <f>(Games[[#This Row],[Keff]]*Games[[#This Row],[MOVMult]])*(Games[[#This Row],[Result]]-Games[[#This Row],[ExpectedWin%]])</f>
        <v>-8.617751667033053</v>
      </c>
      <c r="AB162" s="4">
        <f>Games[[#This Row],[PreGmRate]]+Games[[#This Row],[RatingChange]]</f>
        <v>1535.0523445288072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41091</v>
      </c>
      <c r="B163" s="2">
        <v>2012</v>
      </c>
      <c r="C163" s="2">
        <f>COUNTIFS(Games[Team],Games[[#This Row],[Team]],Games[Season],Games[[#This Row],[Season]],Games[Date],"&lt;=" &amp; Games[[#This Row],[Date]])</f>
        <v>13</v>
      </c>
      <c r="D163" s="2" t="s">
        <v>23</v>
      </c>
      <c r="E163" s="2" t="s">
        <v>29</v>
      </c>
      <c r="F163" s="1" t="s">
        <v>82</v>
      </c>
      <c r="G163" s="1" t="s">
        <v>84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1490.6398947265284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1543.6700961958402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0.5444514535311139</v>
      </c>
      <c r="R163" s="1">
        <v>71</v>
      </c>
      <c r="S163" s="1">
        <v>69</v>
      </c>
      <c r="T163" s="1">
        <v>0</v>
      </c>
      <c r="U163" s="1">
        <f>Games[[#This Row],[PointsFor]]-Games[[#This Row],[PointsAgainst]]</f>
        <v>2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0.25650585643882862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8.6528069280514934</v>
      </c>
      <c r="AB163" s="4">
        <f>Games[[#This Row],[PreGmRate]]+Games[[#This Row],[RatingChange]]</f>
        <v>1499.2927016545798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41091</v>
      </c>
      <c r="B164" s="2">
        <v>2012</v>
      </c>
      <c r="C164" s="2">
        <f>COUNTIFS(Games[Team],Games[[#This Row],[Team]],Games[Season],Games[[#This Row],[Season]],Games[Date],"&lt;=" &amp; Games[[#This Row],[Date]])</f>
        <v>15</v>
      </c>
      <c r="D164" s="2" t="s">
        <v>23</v>
      </c>
      <c r="E164" s="2" t="s">
        <v>29</v>
      </c>
      <c r="F164" s="1" t="s">
        <v>76</v>
      </c>
      <c r="G164" s="1" t="s">
        <v>81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-1</v>
      </c>
      <c r="L164" s="2">
        <f>Games[[#This Row],[OppDaysOff]]-Games[[#This Row],[DaysOff]]</f>
        <v>1</v>
      </c>
      <c r="M164" s="1">
        <f>MAX(-16, MIN(16, Games[[#This Row],[RestDiff]]*8))</f>
        <v>-8</v>
      </c>
      <c r="N164" s="1">
        <f>MAX(-16, MIN(16, Games[[#This Row],[OppRestDiff]]*8))</f>
        <v>8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1501.455548963924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1585.9347764003733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0.25693740402518928</v>
      </c>
      <c r="R164" s="1">
        <v>89</v>
      </c>
      <c r="S164" s="1">
        <v>83</v>
      </c>
      <c r="T164" s="1">
        <v>1</v>
      </c>
      <c r="U164" s="1">
        <f>Games[[#This Row],[PointsFor]]-Games[[#This Row],[PointsAgainst]]</f>
        <v>6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0.29535956197239582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73.75</v>
      </c>
      <c r="Z164" s="4">
        <f>Games[[#This Row],[K]]*Games[[#This Row],[POMult]]</f>
        <v>73.75</v>
      </c>
      <c r="AA164" s="4">
        <f>(Games[[#This Row],[Keff]]*Games[[#This Row],[MOVMult]])*(Games[[#This Row],[Result]]-Games[[#This Row],[ExpectedWin%]])</f>
        <v>16.185959911307869</v>
      </c>
      <c r="AB164" s="4">
        <f>Games[[#This Row],[PreGmRate]]+Games[[#This Row],[RatingChange]]</f>
        <v>1517.6415088752319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41091</v>
      </c>
      <c r="B165" s="2">
        <v>2012</v>
      </c>
      <c r="C165" s="2">
        <f>COUNTIFS(Games[Team],Games[[#This Row],[Team]],Games[Season],Games[[#This Row],[Season]],Games[Date],"&lt;=" &amp; Games[[#This Row],[Date]])</f>
        <v>14</v>
      </c>
      <c r="D165" s="2" t="s">
        <v>23</v>
      </c>
      <c r="E165" s="2" t="s">
        <v>29</v>
      </c>
      <c r="F165" s="1" t="s">
        <v>81</v>
      </c>
      <c r="G165" s="1" t="s">
        <v>76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5" s="2">
        <f>Games[[#This Row],[DaysOff]]-Games[[#This Row],[OppDaysOff]]</f>
        <v>1</v>
      </c>
      <c r="L165" s="2">
        <f>Games[[#This Row],[OppDaysOff]]-Games[[#This Row],[DaysOff]]</f>
        <v>-1</v>
      </c>
      <c r="M165" s="1">
        <f>MAX(-16, MIN(16, Games[[#This Row],[RestDiff]]*8))</f>
        <v>8</v>
      </c>
      <c r="N165" s="1">
        <f>MAX(-16, MIN(16, Games[[#This Row],[OppRestDiff]]*8))</f>
        <v>-8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1585.9347764003733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1501.455548963924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0.74306259597481072</v>
      </c>
      <c r="R165" s="1">
        <v>83</v>
      </c>
      <c r="S165" s="1">
        <v>89</v>
      </c>
      <c r="T165" s="1">
        <v>1</v>
      </c>
      <c r="U165" s="1">
        <f>Games[[#This Row],[PointsFor]]-Games[[#This Row],[PointsAgainst]]</f>
        <v>-6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0.29535956197239582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73.900000000000006</v>
      </c>
      <c r="Z165" s="4">
        <f>Games[[#This Row],[K]]*Games[[#This Row],[POMult]]</f>
        <v>73.900000000000006</v>
      </c>
      <c r="AA165" s="4">
        <f>(Games[[#This Row],[Keff]]*Games[[#This Row],[MOVMult]])*(Games[[#This Row],[Result]]-Games[[#This Row],[ExpectedWin%]])</f>
        <v>-16.218880507737648</v>
      </c>
      <c r="AB165" s="4">
        <f>Games[[#This Row],[PreGmRate]]+Games[[#This Row],[RatingChange]]</f>
        <v>1569.7158958926357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41091</v>
      </c>
      <c r="B166" s="2">
        <v>2012</v>
      </c>
      <c r="C166" s="2">
        <f>COUNTIFS(Games[Team],Games[[#This Row],[Team]],Games[Season],Games[[#This Row],[Season]],Games[Date],"&lt;=" &amp; Games[[#This Row],[Date]])</f>
        <v>15</v>
      </c>
      <c r="D166" s="2" t="s">
        <v>23</v>
      </c>
      <c r="E166" s="2" t="s">
        <v>29</v>
      </c>
      <c r="F166" s="1" t="s">
        <v>72</v>
      </c>
      <c r="G166" s="1" t="s">
        <v>79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6" s="2">
        <f>Games[[#This Row],[DaysOff]]-Games[[#This Row],[OppDaysOff]]</f>
        <v>1</v>
      </c>
      <c r="L166" s="2">
        <f>Games[[#This Row],[OppDaysOff]]-Games[[#This Row],[DaysOff]]</f>
        <v>-1</v>
      </c>
      <c r="M166" s="1">
        <f>MAX(-16, MIN(16, Games[[#This Row],[RestDiff]]*8))</f>
        <v>8</v>
      </c>
      <c r="N166" s="1">
        <f>MAX(-16, MIN(16, Games[[#This Row],[OppRestDiff]]*8))</f>
        <v>-8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1705.4403440291976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1542.2843868598402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0.63361613748588119</v>
      </c>
      <c r="R166" s="1">
        <v>84</v>
      </c>
      <c r="S166" s="1">
        <v>93</v>
      </c>
      <c r="T166" s="1">
        <v>0</v>
      </c>
      <c r="U166" s="1">
        <f>Games[[#This Row],[PointsFor]]-Games[[#This Row],[PointsAgainst]]</f>
        <v>-9</v>
      </c>
      <c r="V166" s="1">
        <f>IF(Games[[#This Row],[MOV]]&gt;0,1,IF(Games[[#This Row],[MOV]]=0,0.5,0))</f>
        <v>0</v>
      </c>
      <c r="W166" s="4">
        <f>((ABS(Games[[#This Row],[MOV]])+5)^0.6)/(12+0.01*(ABS(Games[[#This Row],[PreGmRate]]-Games[[#This Row],[OppPreGmRate]])))*IF(Games[[#This Row],[OT]]=1,0.9,1)</f>
        <v>0.35738084847482077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73.75</v>
      </c>
      <c r="Z166" s="4">
        <f>Games[[#This Row],[K]]*Games[[#This Row],[POMult]]</f>
        <v>73.75</v>
      </c>
      <c r="AA166" s="4">
        <f>(Games[[#This Row],[Keff]]*Games[[#This Row],[MOVMult]])*(Games[[#This Row],[Result]]-Games[[#This Row],[ExpectedWin%]])</f>
        <v>-16.700117620625665</v>
      </c>
      <c r="AB166" s="4">
        <f>Games[[#This Row],[PreGmRate]]+Games[[#This Row],[RatingChange]]</f>
        <v>1688.740226408572</v>
      </c>
      <c r="AC166" s="2">
        <f>IF(Games[[#This Row],[Type]]="R",IF(Games[[#This Row],[Result]]&gt;0.5,1,0),0)</f>
        <v>0</v>
      </c>
      <c r="AD166" s="2">
        <f>IF(Games[[#This Row],[Type]]="R",IF(Games[[#This Row],[Result]]&lt;0.5,1,0),0)</f>
        <v>1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41091</v>
      </c>
      <c r="B167" s="2">
        <v>2012</v>
      </c>
      <c r="C167" s="2">
        <f>COUNTIFS(Games[Team],Games[[#This Row],[Team]],Games[Season],Games[[#This Row],[Season]],Games[Date],"&lt;=" &amp; Games[[#This Row],[Date]])</f>
        <v>12</v>
      </c>
      <c r="D167" s="2" t="s">
        <v>23</v>
      </c>
      <c r="E167" s="2" t="s">
        <v>29</v>
      </c>
      <c r="F167" s="1" t="s">
        <v>79</v>
      </c>
      <c r="G167" s="1" t="s">
        <v>72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7" s="2">
        <f>Games[[#This Row],[DaysOff]]-Games[[#This Row],[OppDaysOff]]</f>
        <v>-1</v>
      </c>
      <c r="L167" s="2">
        <f>Games[[#This Row],[OppDaysOff]]-Games[[#This Row],[DaysOff]]</f>
        <v>1</v>
      </c>
      <c r="M167" s="1">
        <f>MAX(-16, MIN(16, Games[[#This Row],[RestDiff]]*8))</f>
        <v>-8</v>
      </c>
      <c r="N167" s="1">
        <f>MAX(-16, MIN(16, Games[[#This Row],[OppRestDiff]]*8))</f>
        <v>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1542.2843868598402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1705.4403440291976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0.36638386251411886</v>
      </c>
      <c r="R167" s="1">
        <v>93</v>
      </c>
      <c r="S167" s="1">
        <v>84</v>
      </c>
      <c r="T167" s="1">
        <v>0</v>
      </c>
      <c r="U167" s="1">
        <f>Games[[#This Row],[PointsFor]]-Games[[#This Row],[PointsAgainst]]</f>
        <v>9</v>
      </c>
      <c r="V167" s="1">
        <f>IF(Games[[#This Row],[MOV]]&gt;0,1,IF(Games[[#This Row],[MOV]]=0,0.5,0))</f>
        <v>1</v>
      </c>
      <c r="W167" s="4">
        <f>((ABS(Games[[#This Row],[MOV]])+5)^0.6)/(12+0.01*(ABS(Games[[#This Row],[PreGmRate]]-Games[[#This Row],[OppPreGmRate]])))*IF(Games[[#This Row],[OT]]=1,0.9,1)</f>
        <v>0.35738084847482077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74.2</v>
      </c>
      <c r="Z167" s="4">
        <f>Games[[#This Row],[K]]*Games[[#This Row],[POMult]]</f>
        <v>74.2</v>
      </c>
      <c r="AA167" s="4">
        <f>(Games[[#This Row],[Keff]]*Games[[#This Row],[MOVMult]])*(Games[[#This Row],[Result]]-Games[[#This Row],[ExpectedWin%]])</f>
        <v>16.802016643395582</v>
      </c>
      <c r="AB167" s="4">
        <f>Games[[#This Row],[PreGmRate]]+Games[[#This Row],[RatingChange]]</f>
        <v>1559.0864035032357</v>
      </c>
      <c r="AC167" s="2">
        <f>IF(Games[[#This Row],[Type]]="R",IF(Games[[#This Row],[Result]]&gt;0.5,1,0),0)</f>
        <v>1</v>
      </c>
      <c r="AD167" s="2">
        <f>IF(Games[[#This Row],[Type]]="R",IF(Games[[#This Row],[Result]]&lt;0.5,1,0),0)</f>
        <v>0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41091</v>
      </c>
      <c r="B168" s="2">
        <v>2012</v>
      </c>
      <c r="C168" s="2">
        <f>COUNTIFS(Games[Team],Games[[#This Row],[Team]],Games[Season],Games[[#This Row],[Season]],Games[Date],"&lt;=" &amp; Games[[#This Row],[Date]])</f>
        <v>14</v>
      </c>
      <c r="D168" s="2" t="s">
        <v>23</v>
      </c>
      <c r="E168" s="2" t="s">
        <v>29</v>
      </c>
      <c r="F168" s="1" t="s">
        <v>44</v>
      </c>
      <c r="G168" s="1" t="s">
        <v>70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1427.7972607884567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1340.7258811635984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0.50441995545051832</v>
      </c>
      <c r="R168" s="1">
        <v>77</v>
      </c>
      <c r="S168" s="1">
        <v>90</v>
      </c>
      <c r="T168" s="1">
        <v>0</v>
      </c>
      <c r="U168" s="1">
        <f>Games[[#This Row],[PointsFor]]-Games[[#This Row],[PointsAgainst]]</f>
        <v>-13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0.44010962852895114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-16.405805854056322</v>
      </c>
      <c r="AB168" s="4">
        <f>Games[[#This Row],[PreGmRate]]+Games[[#This Row],[RatingChange]]</f>
        <v>1411.3914549344004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41091</v>
      </c>
      <c r="B169" s="2">
        <v>2012</v>
      </c>
      <c r="C169" s="2">
        <f>COUNTIFS(Games[Team],Games[[#This Row],[Team]],Games[Season],Games[[#This Row],[Season]],Games[Date],"&lt;=" &amp; Games[[#This Row],[Date]])</f>
        <v>13</v>
      </c>
      <c r="D169" s="2" t="s">
        <v>23</v>
      </c>
      <c r="E169" s="2" t="s">
        <v>29</v>
      </c>
      <c r="F169" s="1" t="s">
        <v>70</v>
      </c>
      <c r="G169" s="1" t="s">
        <v>44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1340.7258811635984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1427.7972607884567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0.49558004454948168</v>
      </c>
      <c r="R169" s="1">
        <v>90</v>
      </c>
      <c r="S169" s="1">
        <v>77</v>
      </c>
      <c r="T169" s="1">
        <v>0</v>
      </c>
      <c r="U169" s="1">
        <f>Games[[#This Row],[PointsFor]]-Games[[#This Row],[PointsAgainst]]</f>
        <v>13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0.44010962852895114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74.05</v>
      </c>
      <c r="Z169" s="4">
        <f>Games[[#This Row],[K]]*Games[[#This Row],[POMult]]</f>
        <v>74.05</v>
      </c>
      <c r="AA169" s="4">
        <f>(Games[[#This Row],[Keff]]*Games[[#This Row],[MOVMult]])*(Games[[#This Row],[Result]]-Games[[#This Row],[ExpectedWin%]])</f>
        <v>16.439105865938703</v>
      </c>
      <c r="AB169" s="4">
        <f>Games[[#This Row],[PreGmRate]]+Games[[#This Row],[RatingChange]]</f>
        <v>1357.1649870295371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41093</v>
      </c>
      <c r="B170" s="2">
        <v>2012</v>
      </c>
      <c r="C170" s="2">
        <f>COUNTIFS(Games[Team],Games[[#This Row],[Team]],Games[Season],Games[[#This Row],[Season]],Games[Date],"&lt;=" &amp; Games[[#This Row],[Date]])</f>
        <v>15</v>
      </c>
      <c r="D170" s="2" t="s">
        <v>23</v>
      </c>
      <c r="E170" s="2" t="s">
        <v>29</v>
      </c>
      <c r="F170" s="1" t="s">
        <v>44</v>
      </c>
      <c r="G170" s="1" t="s">
        <v>79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1411.3914549344004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1559.0864035032357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0.20854084753617427</v>
      </c>
      <c r="R170" s="1">
        <v>81</v>
      </c>
      <c r="S170" s="1">
        <v>82</v>
      </c>
      <c r="T170" s="1">
        <v>0</v>
      </c>
      <c r="U170" s="1">
        <f>Games[[#This Row],[PointsFor]]-Games[[#This Row],[PointsAgainst]]</f>
        <v>-1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0.2174198289230925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73.75</v>
      </c>
      <c r="Z170" s="4">
        <f>Games[[#This Row],[K]]*Games[[#This Row],[POMult]]</f>
        <v>73.75</v>
      </c>
      <c r="AA170" s="4">
        <f>(Games[[#This Row],[Keff]]*Games[[#This Row],[MOVMult]])*(Games[[#This Row],[Result]]-Games[[#This Row],[ExpectedWin%]])</f>
        <v>-3.3438925103658903</v>
      </c>
      <c r="AB170" s="4">
        <f>Games[[#This Row],[PreGmRate]]+Games[[#This Row],[RatingChange]]</f>
        <v>1408.0475624240344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41093</v>
      </c>
      <c r="B171" s="2">
        <v>2012</v>
      </c>
      <c r="C171" s="2">
        <f>COUNTIFS(Games[Team],Games[[#This Row],[Team]],Games[Season],Games[[#This Row],[Season]],Games[Date],"&lt;=" &amp; Games[[#This Row],[Date]])</f>
        <v>13</v>
      </c>
      <c r="D171" s="2" t="s">
        <v>23</v>
      </c>
      <c r="E171" s="2" t="s">
        <v>29</v>
      </c>
      <c r="F171" s="1" t="s">
        <v>79</v>
      </c>
      <c r="G171" s="1" t="s">
        <v>44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1559.0864035032357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1411.3914549344004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0.79145915246382581</v>
      </c>
      <c r="R171" s="1">
        <v>82</v>
      </c>
      <c r="S171" s="1">
        <v>81</v>
      </c>
      <c r="T171" s="1">
        <v>0</v>
      </c>
      <c r="U171" s="1">
        <f>Games[[#This Row],[PointsFor]]-Games[[#This Row],[PointsAgainst]]</f>
        <v>1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0.2174198289230925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74.05</v>
      </c>
      <c r="Z171" s="4">
        <f>Games[[#This Row],[K]]*Games[[#This Row],[POMult]]</f>
        <v>74.05</v>
      </c>
      <c r="AA171" s="4">
        <f>(Games[[#This Row],[Keff]]*Games[[#This Row],[MOVMult]])*(Games[[#This Row],[Result]]-Games[[#This Row],[ExpectedWin%]])</f>
        <v>3.357494784984326</v>
      </c>
      <c r="AB171" s="4">
        <f>Games[[#This Row],[PreGmRate]]+Games[[#This Row],[RatingChange]]</f>
        <v>1562.44389828822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41095</v>
      </c>
      <c r="B172" s="2">
        <v>2012</v>
      </c>
      <c r="C172" s="2">
        <f>COUNTIFS(Games[Team],Games[[#This Row],[Team]],Games[Season],Games[[#This Row],[Season]],Games[Date],"&lt;=" &amp; Games[[#This Row],[Date]])</f>
        <v>14</v>
      </c>
      <c r="D172" s="2" t="s">
        <v>23</v>
      </c>
      <c r="E172" s="2" t="s">
        <v>29</v>
      </c>
      <c r="F172" s="1" t="s">
        <v>79</v>
      </c>
      <c r="G172" s="1" t="s">
        <v>74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72" s="2">
        <f>Games[[#This Row],[DaysOff]]-Games[[#This Row],[OppDaysOff]]</f>
        <v>-6</v>
      </c>
      <c r="L172" s="2">
        <f>Games[[#This Row],[OppDaysOff]]-Games[[#This Row],[DaysOff]]</f>
        <v>6</v>
      </c>
      <c r="M172" s="1">
        <f>MAX(-16, MIN(16, Games[[#This Row],[RestDiff]]*8))</f>
        <v>-16</v>
      </c>
      <c r="N172" s="1">
        <f>MAX(-16, MIN(16, Games[[#This Row],[OppRestDiff]]*8))</f>
        <v>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1562.44389828822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1580.2540150399827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0.31642006458803268</v>
      </c>
      <c r="R172" s="1">
        <v>88</v>
      </c>
      <c r="S172" s="1">
        <v>72</v>
      </c>
      <c r="T172" s="1">
        <v>0</v>
      </c>
      <c r="U172" s="1">
        <f>Games[[#This Row],[PointsFor]]-Games[[#This Row],[PointsAgainst]]</f>
        <v>16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0.51021356300879561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25.774232653697023</v>
      </c>
      <c r="AB172" s="4">
        <f>Games[[#This Row],[PreGmRate]]+Games[[#This Row],[RatingChange]]</f>
        <v>1588.218130941917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41095</v>
      </c>
      <c r="B173" s="2">
        <v>2012</v>
      </c>
      <c r="C173" s="2">
        <f>COUNTIFS(Games[Team],Games[[#This Row],[Team]],Games[Season],Games[[#This Row],[Season]],Games[Date],"&lt;=" &amp; Games[[#This Row],[Date]])</f>
        <v>14</v>
      </c>
      <c r="D173" s="2" t="s">
        <v>23</v>
      </c>
      <c r="E173" s="2" t="s">
        <v>29</v>
      </c>
      <c r="F173" s="1" t="s">
        <v>74</v>
      </c>
      <c r="G173" s="1" t="s">
        <v>79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7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6</v>
      </c>
      <c r="L173" s="2">
        <f>Games[[#This Row],[OppDaysOff]]-Games[[#This Row],[DaysOff]]</f>
        <v>-6</v>
      </c>
      <c r="M173" s="1">
        <f>MAX(-16, MIN(16, Games[[#This Row],[RestDiff]]*8))</f>
        <v>16</v>
      </c>
      <c r="N173" s="1">
        <f>MAX(-16, MIN(16, Games[[#This Row],[OppRestDiff]]*8))</f>
        <v>-16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1580.2540150399827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1562.44389828822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0.68357993541196727</v>
      </c>
      <c r="R173" s="1">
        <v>72</v>
      </c>
      <c r="S173" s="1">
        <v>88</v>
      </c>
      <c r="T173" s="1">
        <v>0</v>
      </c>
      <c r="U173" s="1">
        <f>Games[[#This Row],[PointsFor]]-Games[[#This Row],[PointsAgainst]]</f>
        <v>-16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0.51021356300879561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-25.774232653697016</v>
      </c>
      <c r="AB173" s="4">
        <f>Games[[#This Row],[PreGmRate]]+Games[[#This Row],[RatingChange]]</f>
        <v>1554.4797823862857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41095</v>
      </c>
      <c r="B174" s="2">
        <v>2012</v>
      </c>
      <c r="C174" s="2">
        <f>COUNTIFS(Games[Team],Games[[#This Row],[Team]],Games[Season],Games[[#This Row],[Season]],Games[Date],"&lt;=" &amp; Games[[#This Row],[Date]])</f>
        <v>16</v>
      </c>
      <c r="D174" s="2" t="s">
        <v>23</v>
      </c>
      <c r="E174" s="2" t="s">
        <v>29</v>
      </c>
      <c r="F174" s="1" t="s">
        <v>72</v>
      </c>
      <c r="G174" s="1" t="s">
        <v>68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74" s="2">
        <f>Games[[#This Row],[DaysOff]]-Games[[#This Row],[OppDaysOff]]</f>
        <v>-3</v>
      </c>
      <c r="L174" s="2">
        <f>Games[[#This Row],[OppDaysOff]]-Games[[#This Row],[DaysOff]]</f>
        <v>3</v>
      </c>
      <c r="M174" s="1">
        <f>MAX(-16, MIN(16, Games[[#This Row],[RestDiff]]*8))</f>
        <v>-16</v>
      </c>
      <c r="N174" s="1">
        <f>MAX(-16, MIN(16, Games[[#This Row],[OppRestDiff]]*8))</f>
        <v>16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1688.740226408572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1490.5313987682539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0.61614845405246255</v>
      </c>
      <c r="R174" s="1">
        <v>90</v>
      </c>
      <c r="S174" s="1">
        <v>96</v>
      </c>
      <c r="T174" s="1">
        <v>0</v>
      </c>
      <c r="U174" s="1">
        <f>Games[[#This Row],[PointsFor]]-Games[[#This Row],[PointsAgainst]]</f>
        <v>-6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0.30148351589268335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73.599999999999994</v>
      </c>
      <c r="Z174" s="4">
        <f>Games[[#This Row],[K]]*Games[[#This Row],[POMult]]</f>
        <v>73.599999999999994</v>
      </c>
      <c r="AA174" s="4">
        <f>(Games[[#This Row],[Keff]]*Games[[#This Row],[MOVMult]])*(Games[[#This Row],[Result]]-Games[[#This Row],[ExpectedWin%]])</f>
        <v>-13.671833124832931</v>
      </c>
      <c r="AB174" s="4">
        <f>Games[[#This Row],[PreGmRate]]+Games[[#This Row],[RatingChange]]</f>
        <v>1675.0683932837389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41095</v>
      </c>
      <c r="B175" s="2">
        <v>2012</v>
      </c>
      <c r="C175" s="2">
        <f>COUNTIFS(Games[Team],Games[[#This Row],[Team]],Games[Season],Games[[#This Row],[Season]],Games[Date],"&lt;=" &amp; Games[[#This Row],[Date]])</f>
        <v>17</v>
      </c>
      <c r="D175" s="2" t="s">
        <v>23</v>
      </c>
      <c r="E175" s="2" t="s">
        <v>29</v>
      </c>
      <c r="F175" s="1" t="s">
        <v>68</v>
      </c>
      <c r="G175" s="1" t="s">
        <v>72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6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5" s="2">
        <f>Games[[#This Row],[DaysOff]]-Games[[#This Row],[OppDaysOff]]</f>
        <v>3</v>
      </c>
      <c r="L175" s="2">
        <f>Games[[#This Row],[OppDaysOff]]-Games[[#This Row],[DaysOff]]</f>
        <v>-3</v>
      </c>
      <c r="M175" s="1">
        <f>MAX(-16, MIN(16, Games[[#This Row],[RestDiff]]*8))</f>
        <v>16</v>
      </c>
      <c r="N175" s="1">
        <f>MAX(-16, MIN(16, Games[[#This Row],[OppRestDiff]]*8))</f>
        <v>-16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1490.5313987682539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1688.740226408572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0.38385154594753751</v>
      </c>
      <c r="R175" s="1">
        <v>96</v>
      </c>
      <c r="S175" s="1">
        <v>90</v>
      </c>
      <c r="T175" s="1">
        <v>0</v>
      </c>
      <c r="U175" s="1">
        <f>Games[[#This Row],[PointsFor]]-Games[[#This Row],[PointsAgainst]]</f>
        <v>6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0.30148351589268335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73.45</v>
      </c>
      <c r="Z175" s="4">
        <f>Games[[#This Row],[K]]*Games[[#This Row],[POMult]]</f>
        <v>73.45</v>
      </c>
      <c r="AA175" s="4">
        <f>(Games[[#This Row],[Keff]]*Games[[#This Row],[MOVMult]])*(Games[[#This Row],[Result]]-Games[[#This Row],[ExpectedWin%]])</f>
        <v>13.643969334496994</v>
      </c>
      <c r="AB175" s="4">
        <f>Games[[#This Row],[PreGmRate]]+Games[[#This Row],[RatingChange]]</f>
        <v>1504.1753681027508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41096</v>
      </c>
      <c r="B176" s="2">
        <v>2012</v>
      </c>
      <c r="C176" s="2">
        <f>COUNTIFS(Games[Team],Games[[#This Row],[Team]],Games[Season],Games[[#This Row],[Season]],Games[Date],"&lt;=" &amp; Games[[#This Row],[Date]])</f>
        <v>15</v>
      </c>
      <c r="D176" s="2" t="s">
        <v>23</v>
      </c>
      <c r="E176" s="2" t="s">
        <v>29</v>
      </c>
      <c r="F176" s="1" t="s">
        <v>65</v>
      </c>
      <c r="G176" s="1" t="s">
        <v>82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6" s="2">
        <f>Games[[#This Row],[DaysOff]]-Games[[#This Row],[OppDaysOff]]</f>
        <v>1</v>
      </c>
      <c r="L176" s="2">
        <f>Games[[#This Row],[OppDaysOff]]-Games[[#This Row],[DaysOff]]</f>
        <v>-1</v>
      </c>
      <c r="M176" s="1">
        <f>MAX(-16, MIN(16, Games[[#This Row],[RestDiff]]*8))</f>
        <v>8</v>
      </c>
      <c r="N176" s="1">
        <f>MAX(-16, MIN(16, Games[[#This Row],[OppRestDiff]]*8))</f>
        <v>-8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1477.8952531440173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1499.2927016545798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0.37411273589395239</v>
      </c>
      <c r="R176" s="1">
        <v>64</v>
      </c>
      <c r="S176" s="1">
        <v>59</v>
      </c>
      <c r="T176" s="1">
        <v>0</v>
      </c>
      <c r="U176" s="1">
        <f>Games[[#This Row],[PointsFor]]-Games[[#This Row],[PointsAgainst]]</f>
        <v>5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0.32594400048810523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15.04530965539943</v>
      </c>
      <c r="AB176" s="4">
        <f>Games[[#This Row],[PreGmRate]]+Games[[#This Row],[RatingChange]]</f>
        <v>1492.9405627994167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41096</v>
      </c>
      <c r="B177" s="2">
        <v>2012</v>
      </c>
      <c r="C177" s="2">
        <f>COUNTIFS(Games[Team],Games[[#This Row],[Team]],Games[Season],Games[[#This Row],[Season]],Games[Date],"&lt;=" &amp; Games[[#This Row],[Date]])</f>
        <v>14</v>
      </c>
      <c r="D177" s="2" t="s">
        <v>23</v>
      </c>
      <c r="E177" s="2" t="s">
        <v>29</v>
      </c>
      <c r="F177" s="1" t="s">
        <v>82</v>
      </c>
      <c r="G177" s="1" t="s">
        <v>65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77" s="2">
        <f>Games[[#This Row],[DaysOff]]-Games[[#This Row],[OppDaysOff]]</f>
        <v>-1</v>
      </c>
      <c r="L177" s="2">
        <f>Games[[#This Row],[OppDaysOff]]-Games[[#This Row],[DaysOff]]</f>
        <v>1</v>
      </c>
      <c r="M177" s="1">
        <f>MAX(-16, MIN(16, Games[[#This Row],[RestDiff]]*8))</f>
        <v>-8</v>
      </c>
      <c r="N177" s="1">
        <f>MAX(-16, MIN(16, Games[[#This Row],[OppRestDiff]]*8))</f>
        <v>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1499.2927016545798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1477.8952531440173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0.62588726410604767</v>
      </c>
      <c r="R177" s="1">
        <v>59</v>
      </c>
      <c r="S177" s="1">
        <v>64</v>
      </c>
      <c r="T177" s="1">
        <v>0</v>
      </c>
      <c r="U177" s="1">
        <f>Games[[#This Row],[PointsFor]]-Games[[#This Row],[PointsAgainst]]</f>
        <v>-5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0.32594400048810523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73.900000000000006</v>
      </c>
      <c r="Z177" s="4">
        <f>Games[[#This Row],[K]]*Games[[#This Row],[POMult]]</f>
        <v>73.900000000000006</v>
      </c>
      <c r="AA177" s="4">
        <f>(Games[[#This Row],[Keff]]*Games[[#This Row],[MOVMult]])*(Games[[#This Row],[Result]]-Games[[#This Row],[ExpectedWin%]])</f>
        <v>-15.075910285207026</v>
      </c>
      <c r="AB177" s="4">
        <f>Games[[#This Row],[PreGmRate]]+Games[[#This Row],[RatingChange]]</f>
        <v>1484.2167913693727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41096</v>
      </c>
      <c r="B178" s="2">
        <v>2012</v>
      </c>
      <c r="C178" s="2">
        <f>COUNTIFS(Games[Team],Games[[#This Row],[Team]],Games[Season],Games[[#This Row],[Season]],Games[Date],"&lt;=" &amp; Games[[#This Row],[Date]])</f>
        <v>15</v>
      </c>
      <c r="D178" s="2" t="s">
        <v>23</v>
      </c>
      <c r="E178" s="2" t="s">
        <v>29</v>
      </c>
      <c r="F178" s="1" t="s">
        <v>81</v>
      </c>
      <c r="G178" s="1" t="s">
        <v>86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78" s="2">
        <f>Games[[#This Row],[DaysOff]]-Games[[#This Row],[OppDaysOff]]</f>
        <v>-2</v>
      </c>
      <c r="L178" s="2">
        <f>Games[[#This Row],[OppDaysOff]]-Games[[#This Row],[DaysOff]]</f>
        <v>2</v>
      </c>
      <c r="M178" s="1">
        <f>MAX(-16, MIN(16, Games[[#This Row],[RestDiff]]*8))</f>
        <v>-16</v>
      </c>
      <c r="N178" s="1">
        <f>MAX(-16, MIN(16, Games[[#This Row],[OppRestDiff]]*8))</f>
        <v>16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1569.7158958926357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1322.8962133705902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0.6798447931452728</v>
      </c>
      <c r="R178" s="1">
        <v>86</v>
      </c>
      <c r="S178" s="1">
        <v>75</v>
      </c>
      <c r="T178" s="1">
        <v>0</v>
      </c>
      <c r="U178" s="1">
        <f>Games[[#This Row],[PointsFor]]-Games[[#This Row],[PointsAgainst]]</f>
        <v>11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0.36480231136274677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8.6135102598374313</v>
      </c>
      <c r="AB178" s="4">
        <f>Games[[#This Row],[PreGmRate]]+Games[[#This Row],[RatingChange]]</f>
        <v>1578.3294061524732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41096</v>
      </c>
      <c r="B179" s="2">
        <v>2012</v>
      </c>
      <c r="C179" s="2">
        <f>COUNTIFS(Games[Team],Games[[#This Row],[Team]],Games[Season],Games[[#This Row],[Season]],Games[Date],"&lt;=" &amp; Games[[#This Row],[Date]])</f>
        <v>15</v>
      </c>
      <c r="D179" s="2" t="s">
        <v>23</v>
      </c>
      <c r="E179" s="2" t="s">
        <v>29</v>
      </c>
      <c r="F179" s="1" t="s">
        <v>86</v>
      </c>
      <c r="G179" s="1" t="s">
        <v>81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9" s="2">
        <f>Games[[#This Row],[DaysOff]]-Games[[#This Row],[OppDaysOff]]</f>
        <v>2</v>
      </c>
      <c r="L179" s="2">
        <f>Games[[#This Row],[OppDaysOff]]-Games[[#This Row],[DaysOff]]</f>
        <v>-2</v>
      </c>
      <c r="M179" s="1">
        <f>MAX(-16, MIN(16, Games[[#This Row],[RestDiff]]*8))</f>
        <v>16</v>
      </c>
      <c r="N179" s="1">
        <f>MAX(-16, MIN(16, Games[[#This Row],[OppRestDiff]]*8))</f>
        <v>-16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1322.8962133705902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1569.7158958926357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0.3201552068547272</v>
      </c>
      <c r="R179" s="1">
        <v>75</v>
      </c>
      <c r="S179" s="1">
        <v>86</v>
      </c>
      <c r="T179" s="1">
        <v>0</v>
      </c>
      <c r="U179" s="1">
        <f>Games[[#This Row],[PointsFor]]-Games[[#This Row],[PointsAgainst]]</f>
        <v>-11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0.36480231136274677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-8.6135102598374313</v>
      </c>
      <c r="AB179" s="4">
        <f>Games[[#This Row],[PreGmRate]]+Games[[#This Row],[RatingChange]]</f>
        <v>1314.2827031107527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41096</v>
      </c>
      <c r="B180" s="2">
        <v>2012</v>
      </c>
      <c r="C180" s="2">
        <f>COUNTIFS(Games[Team],Games[[#This Row],[Team]],Games[Season],Games[[#This Row],[Season]],Games[Date],"&lt;=" &amp; Games[[#This Row],[Date]])</f>
        <v>15</v>
      </c>
      <c r="D180" s="2" t="s">
        <v>23</v>
      </c>
      <c r="E180" s="2" t="s">
        <v>29</v>
      </c>
      <c r="F180" s="1" t="s">
        <v>79</v>
      </c>
      <c r="G180" s="1" t="s">
        <v>70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0" s="2">
        <f>Games[[#This Row],[DaysOff]]-Games[[#This Row],[OppDaysOff]]</f>
        <v>-4</v>
      </c>
      <c r="L180" s="2">
        <f>Games[[#This Row],[OppDaysOff]]-Games[[#This Row],[DaysOff]]</f>
        <v>4</v>
      </c>
      <c r="M180" s="1">
        <f>MAX(-16, MIN(16, Games[[#This Row],[RestDiff]]*8))</f>
        <v>-16</v>
      </c>
      <c r="N180" s="1">
        <f>MAX(-16, MIN(16, Games[[#This Row],[OppRestDiff]]*8))</f>
        <v>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1588.218130941917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1357.1649870295371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0.65977666801010593</v>
      </c>
      <c r="R180" s="1">
        <v>78</v>
      </c>
      <c r="S180" s="1">
        <v>73</v>
      </c>
      <c r="T180" s="1">
        <v>0</v>
      </c>
      <c r="U180" s="1">
        <f>Games[[#This Row],[PointsFor]]-Games[[#This Row],[PointsAgainst]]</f>
        <v>5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0.27819174448344069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73.75</v>
      </c>
      <c r="Z180" s="4">
        <f>Games[[#This Row],[K]]*Games[[#This Row],[POMult]]</f>
        <v>73.75</v>
      </c>
      <c r="AA180" s="4">
        <f>(Games[[#This Row],[Keff]]*Games[[#This Row],[MOVMult]])*(Games[[#This Row],[Result]]-Games[[#This Row],[ExpectedWin%]])</f>
        <v>6.9802400152175101</v>
      </c>
      <c r="AB180" s="4">
        <f>Games[[#This Row],[PreGmRate]]+Games[[#This Row],[RatingChange]]</f>
        <v>1595.1983709571346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41096</v>
      </c>
      <c r="B181" s="2">
        <v>2012</v>
      </c>
      <c r="C181" s="2">
        <f>COUNTIFS(Games[Team],Games[[#This Row],[Team]],Games[Season],Games[[#This Row],[Season]],Games[Date],"&lt;=" &amp; Games[[#This Row],[Date]])</f>
        <v>14</v>
      </c>
      <c r="D181" s="2" t="s">
        <v>23</v>
      </c>
      <c r="E181" s="2" t="s">
        <v>29</v>
      </c>
      <c r="F181" s="1" t="s">
        <v>70</v>
      </c>
      <c r="G181" s="1" t="s">
        <v>79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1" s="2">
        <f>Games[[#This Row],[DaysOff]]-Games[[#This Row],[OppDaysOff]]</f>
        <v>4</v>
      </c>
      <c r="L181" s="2">
        <f>Games[[#This Row],[OppDaysOff]]-Games[[#This Row],[DaysOff]]</f>
        <v>-4</v>
      </c>
      <c r="M181" s="1">
        <f>MAX(-16, MIN(16, Games[[#This Row],[RestDiff]]*8))</f>
        <v>16</v>
      </c>
      <c r="N181" s="1">
        <f>MAX(-16, MIN(16, Games[[#This Row],[OppRestDiff]]*8))</f>
        <v>-16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1357.1649870295371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1588.218130941917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0.34022333198989402</v>
      </c>
      <c r="R181" s="1">
        <v>73</v>
      </c>
      <c r="S181" s="1">
        <v>78</v>
      </c>
      <c r="T181" s="1">
        <v>0</v>
      </c>
      <c r="U181" s="1">
        <f>Games[[#This Row],[PointsFor]]-Games[[#This Row],[PointsAgainst]]</f>
        <v>-5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0.27819174448344069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73.900000000000006</v>
      </c>
      <c r="Z181" s="4">
        <f>Games[[#This Row],[K]]*Games[[#This Row],[POMult]]</f>
        <v>73.900000000000006</v>
      </c>
      <c r="AA181" s="4">
        <f>(Games[[#This Row],[Keff]]*Games[[#This Row],[MOVMult]])*(Games[[#This Row],[Result]]-Games[[#This Row],[ExpectedWin%]])</f>
        <v>-6.9944371135535448</v>
      </c>
      <c r="AB181" s="4">
        <f>Games[[#This Row],[PreGmRate]]+Games[[#This Row],[RatingChange]]</f>
        <v>1350.1705499159834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41097</v>
      </c>
      <c r="B182" s="2">
        <v>2012</v>
      </c>
      <c r="C182" s="2">
        <f>COUNTIFS(Games[Team],Games[[#This Row],[Team]],Games[Season],Games[[#This Row],[Season]],Games[Date],"&lt;=" &amp; Games[[#This Row],[Date]])</f>
        <v>15</v>
      </c>
      <c r="D182" s="2" t="s">
        <v>23</v>
      </c>
      <c r="E182" s="2" t="s">
        <v>29</v>
      </c>
      <c r="F182" s="1" t="s">
        <v>82</v>
      </c>
      <c r="G182" s="1" t="s">
        <v>74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-1</v>
      </c>
      <c r="L182" s="2">
        <f>Games[[#This Row],[OppDaysOff]]-Games[[#This Row],[DaysOff]]</f>
        <v>1</v>
      </c>
      <c r="M182" s="1">
        <f>MAX(-16, MIN(16, Games[[#This Row],[RestDiff]]*8))</f>
        <v>-8</v>
      </c>
      <c r="N182" s="1">
        <f>MAX(-16, MIN(16, Games[[#This Row],[OppRestDiff]]*8))</f>
        <v>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1484.2167913693727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1554.4797823862857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0.27286944936740071</v>
      </c>
      <c r="R182" s="1">
        <v>86</v>
      </c>
      <c r="S182" s="1">
        <v>88</v>
      </c>
      <c r="T182" s="1">
        <v>1</v>
      </c>
      <c r="U182" s="1">
        <f>Games[[#This Row],[PointsFor]]-Games[[#This Row],[PointsAgainst]]</f>
        <v>-2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0.22772341516686129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73.75</v>
      </c>
      <c r="Z182" s="4">
        <f>Games[[#This Row],[K]]*Games[[#This Row],[POMult]]</f>
        <v>73.75</v>
      </c>
      <c r="AA182" s="4">
        <f>(Games[[#This Row],[Keff]]*Games[[#This Row],[MOVMult]])*(Games[[#This Row],[Result]]-Games[[#This Row],[ExpectedWin%]])</f>
        <v>-4.5827337642175996</v>
      </c>
      <c r="AB182" s="4">
        <f>Games[[#This Row],[PreGmRate]]+Games[[#This Row],[RatingChange]]</f>
        <v>1479.634057605155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41097</v>
      </c>
      <c r="B183" s="2">
        <v>2012</v>
      </c>
      <c r="C183" s="2">
        <f>COUNTIFS(Games[Team],Games[[#This Row],[Team]],Games[Season],Games[[#This Row],[Season]],Games[Date],"&lt;=" &amp; Games[[#This Row],[Date]])</f>
        <v>15</v>
      </c>
      <c r="D183" s="2" t="s">
        <v>23</v>
      </c>
      <c r="E183" s="2" t="s">
        <v>29</v>
      </c>
      <c r="F183" s="1" t="s">
        <v>74</v>
      </c>
      <c r="G183" s="1" t="s">
        <v>82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3" s="2">
        <f>Games[[#This Row],[DaysOff]]-Games[[#This Row],[OppDaysOff]]</f>
        <v>1</v>
      </c>
      <c r="L183" s="2">
        <f>Games[[#This Row],[OppDaysOff]]-Games[[#This Row],[DaysOff]]</f>
        <v>-1</v>
      </c>
      <c r="M183" s="1">
        <f>MAX(-16, MIN(16, Games[[#This Row],[RestDiff]]*8))</f>
        <v>8</v>
      </c>
      <c r="N183" s="1">
        <f>MAX(-16, MIN(16, Games[[#This Row],[OppRestDiff]]*8))</f>
        <v>-8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1554.4797823862857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1484.2167913693727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0.72713055063259935</v>
      </c>
      <c r="R183" s="1">
        <v>88</v>
      </c>
      <c r="S183" s="1">
        <v>86</v>
      </c>
      <c r="T183" s="1">
        <v>1</v>
      </c>
      <c r="U183" s="1">
        <f>Games[[#This Row],[PointsFor]]-Games[[#This Row],[PointsAgainst]]</f>
        <v>2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0.22772341516686129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73.75</v>
      </c>
      <c r="Z183" s="4">
        <f>Games[[#This Row],[K]]*Games[[#This Row],[POMult]]</f>
        <v>73.75</v>
      </c>
      <c r="AA183" s="4">
        <f>(Games[[#This Row],[Keff]]*Games[[#This Row],[MOVMult]])*(Games[[#This Row],[Result]]-Games[[#This Row],[ExpectedWin%]])</f>
        <v>4.5827337642175987</v>
      </c>
      <c r="AB183" s="4">
        <f>Games[[#This Row],[PreGmRate]]+Games[[#This Row],[RatingChange]]</f>
        <v>1559.0625161505034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41097</v>
      </c>
      <c r="B184" s="2">
        <v>2012</v>
      </c>
      <c r="C184" s="2">
        <f>COUNTIFS(Games[Team],Games[[#This Row],[Team]],Games[Season],Games[[#This Row],[Season]],Games[Date],"&lt;=" &amp; Games[[#This Row],[Date]])</f>
        <v>16</v>
      </c>
      <c r="D184" s="2" t="s">
        <v>23</v>
      </c>
      <c r="E184" s="2" t="s">
        <v>29</v>
      </c>
      <c r="F184" s="1" t="s">
        <v>76</v>
      </c>
      <c r="G184" s="1" t="s">
        <v>68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4</v>
      </c>
      <c r="L184" s="2">
        <f>Games[[#This Row],[OppDaysOff]]-Games[[#This Row],[DaysOff]]</f>
        <v>-4</v>
      </c>
      <c r="M184" s="1">
        <f>MAX(-16, MIN(16, Games[[#This Row],[RestDiff]]*8))</f>
        <v>16</v>
      </c>
      <c r="N184" s="1">
        <f>MAX(-16, MIN(16, Games[[#This Row],[OppRestDiff]]*8))</f>
        <v>-16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1517.6415088752319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1504.1753681027508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0.44477158618636037</v>
      </c>
      <c r="R184" s="1">
        <v>59</v>
      </c>
      <c r="S184" s="1">
        <v>83</v>
      </c>
      <c r="T184" s="1">
        <v>0</v>
      </c>
      <c r="U184" s="1">
        <f>Games[[#This Row],[PointsFor]]-Games[[#This Row],[PointsAgainst]]</f>
        <v>-24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0.62145707407847417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73.599999999999994</v>
      </c>
      <c r="Z184" s="4">
        <f>Games[[#This Row],[K]]*Games[[#This Row],[POMult]]</f>
        <v>73.599999999999994</v>
      </c>
      <c r="AA184" s="4">
        <f>(Games[[#This Row],[Keff]]*Games[[#This Row],[MOVMult]])*(Games[[#This Row],[Result]]-Games[[#This Row],[ExpectedWin%]])</f>
        <v>-20.343514615827839</v>
      </c>
      <c r="AB184" s="4">
        <f>Games[[#This Row],[PreGmRate]]+Games[[#This Row],[RatingChange]]</f>
        <v>1497.297994259404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41097</v>
      </c>
      <c r="B185" s="2">
        <v>2012</v>
      </c>
      <c r="C185" s="2">
        <f>COUNTIFS(Games[Team],Games[[#This Row],[Team]],Games[Season],Games[[#This Row],[Season]],Games[Date],"&lt;=" &amp; Games[[#This Row],[Date]])</f>
        <v>18</v>
      </c>
      <c r="D185" s="2" t="s">
        <v>23</v>
      </c>
      <c r="E185" s="2" t="s">
        <v>29</v>
      </c>
      <c r="F185" s="1" t="s">
        <v>68</v>
      </c>
      <c r="G185" s="1" t="s">
        <v>76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5" s="2">
        <f>Games[[#This Row],[DaysOff]]-Games[[#This Row],[OppDaysOff]]</f>
        <v>-4</v>
      </c>
      <c r="L185" s="2">
        <f>Games[[#This Row],[OppDaysOff]]-Games[[#This Row],[DaysOff]]</f>
        <v>4</v>
      </c>
      <c r="M185" s="1">
        <f>MAX(-16, MIN(16, Games[[#This Row],[RestDiff]]*8))</f>
        <v>-16</v>
      </c>
      <c r="N185" s="1">
        <f>MAX(-16, MIN(16, Games[[#This Row],[OppRestDiff]]*8))</f>
        <v>16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1504.1753681027508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1517.6415088752319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0.55522841381363963</v>
      </c>
      <c r="R185" s="1">
        <v>83</v>
      </c>
      <c r="S185" s="1">
        <v>59</v>
      </c>
      <c r="T185" s="1">
        <v>0</v>
      </c>
      <c r="U185" s="1">
        <f>Games[[#This Row],[PointsFor]]-Games[[#This Row],[PointsAgainst]]</f>
        <v>24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0.62145707407847417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73.3</v>
      </c>
      <c r="Z185" s="4">
        <f>Games[[#This Row],[K]]*Games[[#This Row],[POMult]]</f>
        <v>73.3</v>
      </c>
      <c r="AA185" s="4">
        <f>(Games[[#This Row],[Keff]]*Games[[#This Row],[MOVMult]])*(Games[[#This Row],[Result]]-Games[[#This Row],[ExpectedWin%]])</f>
        <v>20.260592681252458</v>
      </c>
      <c r="AB185" s="4">
        <f>Games[[#This Row],[PreGmRate]]+Games[[#This Row],[RatingChange]]</f>
        <v>1524.4359607840033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41097</v>
      </c>
      <c r="B186" s="2">
        <v>2012</v>
      </c>
      <c r="C186" s="2">
        <f>COUNTIFS(Games[Team],Games[[#This Row],[Team]],Games[Season],Games[[#This Row],[Season]],Games[Date],"&lt;=" &amp; Games[[#This Row],[Date]])</f>
        <v>16</v>
      </c>
      <c r="D186" s="2" t="s">
        <v>23</v>
      </c>
      <c r="E186" s="2" t="s">
        <v>29</v>
      </c>
      <c r="F186" s="1" t="s">
        <v>81</v>
      </c>
      <c r="G186" s="1" t="s">
        <v>72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-1</v>
      </c>
      <c r="L186" s="2">
        <f>Games[[#This Row],[OppDaysOff]]-Games[[#This Row],[DaysOff]]</f>
        <v>1</v>
      </c>
      <c r="M186" s="1">
        <f>MAX(-16, MIN(16, Games[[#This Row],[RestDiff]]*8))</f>
        <v>-8</v>
      </c>
      <c r="N186" s="1">
        <f>MAX(-16, MIN(16, Games[[#This Row],[OppRestDiff]]*8))</f>
        <v>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1578.3294061524732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1675.0683932837389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0.24369622438309527</v>
      </c>
      <c r="R186" s="1">
        <v>86</v>
      </c>
      <c r="S186" s="1">
        <v>80</v>
      </c>
      <c r="T186" s="1">
        <v>0</v>
      </c>
      <c r="U186" s="1">
        <f>Games[[#This Row],[PointsFor]]-Games[[#This Row],[PointsAgainst]]</f>
        <v>6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0.32507460444429354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18.094939091401582</v>
      </c>
      <c r="AB186" s="4">
        <f>Games[[#This Row],[PreGmRate]]+Games[[#This Row],[RatingChange]]</f>
        <v>1596.4243452438748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41097</v>
      </c>
      <c r="B187" s="2">
        <v>2012</v>
      </c>
      <c r="C187" s="2">
        <f>COUNTIFS(Games[Team],Games[[#This Row],[Team]],Games[Season],Games[[#This Row],[Season]],Games[Date],"&lt;=" &amp; Games[[#This Row],[Date]])</f>
        <v>17</v>
      </c>
      <c r="D187" s="2" t="s">
        <v>23</v>
      </c>
      <c r="E187" s="2" t="s">
        <v>29</v>
      </c>
      <c r="F187" s="1" t="s">
        <v>72</v>
      </c>
      <c r="G187" s="1" t="s">
        <v>81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7" s="2">
        <f>Games[[#This Row],[DaysOff]]-Games[[#This Row],[OppDaysOff]]</f>
        <v>1</v>
      </c>
      <c r="L187" s="2">
        <f>Games[[#This Row],[OppDaysOff]]-Games[[#This Row],[DaysOff]]</f>
        <v>-1</v>
      </c>
      <c r="M187" s="1">
        <f>MAX(-16, MIN(16, Games[[#This Row],[RestDiff]]*8))</f>
        <v>8</v>
      </c>
      <c r="N187" s="1">
        <f>MAX(-16, MIN(16, Games[[#This Row],[OppRestDiff]]*8))</f>
        <v>-8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1675.0683932837389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1578.3294061524732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0.75630377561690476</v>
      </c>
      <c r="R187" s="1">
        <v>80</v>
      </c>
      <c r="S187" s="1">
        <v>86</v>
      </c>
      <c r="T187" s="1">
        <v>0</v>
      </c>
      <c r="U187" s="1">
        <f>Games[[#This Row],[PointsFor]]-Games[[#This Row],[PointsAgainst]]</f>
        <v>-6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0.32507460444429354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73.45</v>
      </c>
      <c r="Z187" s="4">
        <f>Games[[#This Row],[K]]*Games[[#This Row],[POMult]]</f>
        <v>73.45</v>
      </c>
      <c r="AA187" s="4">
        <f>(Games[[#This Row],[Keff]]*Games[[#This Row],[MOVMult]])*(Games[[#This Row],[Result]]-Games[[#This Row],[ExpectedWin%]])</f>
        <v>-18.058060818796825</v>
      </c>
      <c r="AB187" s="4">
        <f>Games[[#This Row],[PreGmRate]]+Games[[#This Row],[RatingChange]]</f>
        <v>1657.0103324649422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41097</v>
      </c>
      <c r="B188" s="2">
        <v>2012</v>
      </c>
      <c r="C188" s="2">
        <f>COUNTIFS(Games[Team],Games[[#This Row],[Team]],Games[Season],Games[[#This Row],[Season]],Games[Date],"&lt;=" &amp; Games[[#This Row],[Date]])</f>
        <v>16</v>
      </c>
      <c r="D188" s="2" t="s">
        <v>23</v>
      </c>
      <c r="E188" s="2" t="s">
        <v>29</v>
      </c>
      <c r="F188" s="1" t="s">
        <v>84</v>
      </c>
      <c r="G188" s="1" t="s">
        <v>44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8" s="2">
        <f>Games[[#This Row],[DaysOff]]-Games[[#This Row],[OppDaysOff]]</f>
        <v>2</v>
      </c>
      <c r="L188" s="2">
        <f>Games[[#This Row],[OppDaysOff]]-Games[[#This Row],[DaysOff]]</f>
        <v>-2</v>
      </c>
      <c r="M188" s="1">
        <f>MAX(-16, MIN(16, Games[[#This Row],[RestDiff]]*8))</f>
        <v>16</v>
      </c>
      <c r="N188" s="1">
        <f>MAX(-16, MIN(16, Games[[#This Row],[OppRestDiff]]*8))</f>
        <v>-16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1535.0523445288072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1408.0475624240344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0.60629439478147962</v>
      </c>
      <c r="R188" s="1">
        <v>100</v>
      </c>
      <c r="S188" s="1">
        <v>93</v>
      </c>
      <c r="T188" s="1">
        <v>1</v>
      </c>
      <c r="U188" s="1">
        <f>Games[[#This Row],[PointsFor]]-Games[[#This Row],[PointsAgainst]]</f>
        <v>7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0.30121650778992165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8.7282701840912829</v>
      </c>
      <c r="AB188" s="4">
        <f>Games[[#This Row],[PreGmRate]]+Games[[#This Row],[RatingChange]]</f>
        <v>1543.7806147128986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41097</v>
      </c>
      <c r="B189" s="2">
        <v>2012</v>
      </c>
      <c r="C189" s="2">
        <f>COUNTIFS(Games[Team],Games[[#This Row],[Team]],Games[Season],Games[[#This Row],[Season]],Games[Date],"&lt;=" &amp; Games[[#This Row],[Date]])</f>
        <v>16</v>
      </c>
      <c r="D189" s="2" t="s">
        <v>23</v>
      </c>
      <c r="E189" s="2" t="s">
        <v>29</v>
      </c>
      <c r="F189" s="1" t="s">
        <v>44</v>
      </c>
      <c r="G189" s="1" t="s">
        <v>84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9" s="2">
        <f>Games[[#This Row],[DaysOff]]-Games[[#This Row],[OppDaysOff]]</f>
        <v>-2</v>
      </c>
      <c r="L189" s="2">
        <f>Games[[#This Row],[OppDaysOff]]-Games[[#This Row],[DaysOff]]</f>
        <v>2</v>
      </c>
      <c r="M189" s="1">
        <f>MAX(-16, MIN(16, Games[[#This Row],[RestDiff]]*8))</f>
        <v>-16</v>
      </c>
      <c r="N189" s="1">
        <f>MAX(-16, MIN(16, Games[[#This Row],[OppRestDiff]]*8))</f>
        <v>16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1408.0475624240344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1535.0523445288072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0.39370560521852033</v>
      </c>
      <c r="R189" s="1">
        <v>93</v>
      </c>
      <c r="S189" s="1">
        <v>100</v>
      </c>
      <c r="T189" s="1">
        <v>1</v>
      </c>
      <c r="U189" s="1">
        <f>Games[[#This Row],[PointsFor]]-Games[[#This Row],[PointsAgainst]]</f>
        <v>-7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0.30121650778992165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73.599999999999994</v>
      </c>
      <c r="Z189" s="4">
        <f>Games[[#This Row],[K]]*Games[[#This Row],[POMult]]</f>
        <v>73.599999999999994</v>
      </c>
      <c r="AA189" s="4">
        <f>(Games[[#This Row],[Keff]]*Games[[#This Row],[MOVMult]])*(Games[[#This Row],[Result]]-Games[[#This Row],[ExpectedWin%]])</f>
        <v>-8.7282701840912811</v>
      </c>
      <c r="AB189" s="4">
        <f>Games[[#This Row],[PreGmRate]]+Games[[#This Row],[RatingChange]]</f>
        <v>1399.319292239943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41098</v>
      </c>
      <c r="B190" s="2">
        <v>2012</v>
      </c>
      <c r="C190" s="2">
        <f>COUNTIFS(Games[Team],Games[[#This Row],[Team]],Games[Season],Games[[#This Row],[Season]],Games[Date],"&lt;=" &amp; Games[[#This Row],[Date]])</f>
        <v>17</v>
      </c>
      <c r="D190" s="2" t="s">
        <v>23</v>
      </c>
      <c r="E190" s="2" t="s">
        <v>29</v>
      </c>
      <c r="F190" s="1" t="s">
        <v>84</v>
      </c>
      <c r="G190" s="1" t="s">
        <v>68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1543.7806147128986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1524.4359607840033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0.40801289092791826</v>
      </c>
      <c r="R190" s="1">
        <v>63</v>
      </c>
      <c r="S190" s="1">
        <v>79</v>
      </c>
      <c r="T190" s="1">
        <v>0</v>
      </c>
      <c r="U190" s="1">
        <f>Games[[#This Row],[PointsFor]]-Games[[#This Row],[PointsAgainst]]</f>
        <v>-16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0.50957146261643194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73.45</v>
      </c>
      <c r="Z190" s="4">
        <f>Games[[#This Row],[K]]*Games[[#This Row],[POMult]]</f>
        <v>73.45</v>
      </c>
      <c r="AA190" s="4">
        <f>(Games[[#This Row],[Keff]]*Games[[#This Row],[MOVMult]])*(Games[[#This Row],[Result]]-Games[[#This Row],[ExpectedWin%]])</f>
        <v>-15.271116245062782</v>
      </c>
      <c r="AB190" s="4">
        <f>Games[[#This Row],[PreGmRate]]+Games[[#This Row],[RatingChange]]</f>
        <v>1528.5094984678358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41098</v>
      </c>
      <c r="B191" s="2">
        <v>2012</v>
      </c>
      <c r="C191" s="2">
        <f>COUNTIFS(Games[Team],Games[[#This Row],[Team]],Games[Season],Games[[#This Row],[Season]],Games[Date],"&lt;=" &amp; Games[[#This Row],[Date]])</f>
        <v>19</v>
      </c>
      <c r="D191" s="2" t="s">
        <v>23</v>
      </c>
      <c r="E191" s="2" t="s">
        <v>29</v>
      </c>
      <c r="F191" s="1" t="s">
        <v>68</v>
      </c>
      <c r="G191" s="1" t="s">
        <v>84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1524.4359607840033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1543.7806147128986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0.59198710907208163</v>
      </c>
      <c r="R191" s="1">
        <v>79</v>
      </c>
      <c r="S191" s="1">
        <v>63</v>
      </c>
      <c r="T191" s="1">
        <v>0</v>
      </c>
      <c r="U191" s="1">
        <f>Games[[#This Row],[PointsFor]]-Games[[#This Row],[PointsAgainst]]</f>
        <v>16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0.50957146261643194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73.150000000000006</v>
      </c>
      <c r="Z191" s="4">
        <f>Games[[#This Row],[K]]*Games[[#This Row],[POMult]]</f>
        <v>73.150000000000006</v>
      </c>
      <c r="AA191" s="4">
        <f>(Games[[#This Row],[Keff]]*Games[[#This Row],[MOVMult]])*(Games[[#This Row],[Result]]-Games[[#This Row],[ExpectedWin%]])</f>
        <v>15.208742727383834</v>
      </c>
      <c r="AB191" s="4">
        <f>Games[[#This Row],[PreGmRate]]+Games[[#This Row],[RatingChange]]</f>
        <v>1539.6447035113872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41098</v>
      </c>
      <c r="B192" s="2">
        <v>2012</v>
      </c>
      <c r="C192" s="2">
        <f>COUNTIFS(Games[Team],Games[[#This Row],[Team]],Games[Season],Games[[#This Row],[Season]],Games[Date],"&lt;=" &amp; Games[[#This Row],[Date]])</f>
        <v>16</v>
      </c>
      <c r="D192" s="2" t="s">
        <v>23</v>
      </c>
      <c r="E192" s="2" t="s">
        <v>29</v>
      </c>
      <c r="F192" s="1" t="s">
        <v>79</v>
      </c>
      <c r="G192" s="1" t="s">
        <v>65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1595.1983709571346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1492.9405627994167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0.52625093831572889</v>
      </c>
      <c r="R192" s="1">
        <v>94</v>
      </c>
      <c r="S192" s="1">
        <v>81</v>
      </c>
      <c r="T192" s="1">
        <v>0</v>
      </c>
      <c r="U192" s="1">
        <f>Games[[#This Row],[PointsFor]]-Games[[#This Row],[PointsAgainst]]</f>
        <v>13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0.434977239705164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15.166756354495108</v>
      </c>
      <c r="AB192" s="4">
        <f>Games[[#This Row],[PreGmRate]]+Games[[#This Row],[RatingChange]]</f>
        <v>1610.3651273116297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41098</v>
      </c>
      <c r="B193" s="2">
        <v>2012</v>
      </c>
      <c r="C193" s="2">
        <f>COUNTIFS(Games[Team],Games[[#This Row],[Team]],Games[Season],Games[[#This Row],[Season]],Games[Date],"&lt;=" &amp; Games[[#This Row],[Date]])</f>
        <v>16</v>
      </c>
      <c r="D193" s="2" t="s">
        <v>23</v>
      </c>
      <c r="E193" s="2" t="s">
        <v>29</v>
      </c>
      <c r="F193" s="1" t="s">
        <v>65</v>
      </c>
      <c r="G193" s="1" t="s">
        <v>79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1492.9405627994167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1595.1983709571346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0.47374906168427111</v>
      </c>
      <c r="R193" s="1">
        <v>81</v>
      </c>
      <c r="S193" s="1">
        <v>94</v>
      </c>
      <c r="T193" s="1">
        <v>0</v>
      </c>
      <c r="U193" s="1">
        <f>Games[[#This Row],[PointsFor]]-Games[[#This Row],[PointsAgainst]]</f>
        <v>-13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0.434977239705164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73.599999999999994</v>
      </c>
      <c r="Z193" s="4">
        <f>Games[[#This Row],[K]]*Games[[#This Row],[POMult]]</f>
        <v>73.599999999999994</v>
      </c>
      <c r="AA193" s="4">
        <f>(Games[[#This Row],[Keff]]*Games[[#This Row],[MOVMult]])*(Games[[#This Row],[Result]]-Games[[#This Row],[ExpectedWin%]])</f>
        <v>-15.166756354495108</v>
      </c>
      <c r="AB193" s="4">
        <f>Games[[#This Row],[PreGmRate]]+Games[[#This Row],[RatingChange]]</f>
        <v>1477.7738064449215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41098</v>
      </c>
      <c r="B194" s="2">
        <v>2012</v>
      </c>
      <c r="C194" s="2">
        <f>COUNTIFS(Games[Team],Games[[#This Row],[Team]],Games[Season],Games[[#This Row],[Season]],Games[Date],"&lt;=" &amp; Games[[#This Row],[Date]])</f>
        <v>17</v>
      </c>
      <c r="D194" s="2" t="s">
        <v>23</v>
      </c>
      <c r="E194" s="2" t="s">
        <v>29</v>
      </c>
      <c r="F194" s="1" t="s">
        <v>44</v>
      </c>
      <c r="G194" s="1" t="s">
        <v>76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1399.319292239943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1497.297994259404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0.25969515027780715</v>
      </c>
      <c r="R194" s="1">
        <v>68</v>
      </c>
      <c r="S194" s="1">
        <v>83</v>
      </c>
      <c r="T194" s="1">
        <v>0</v>
      </c>
      <c r="U194" s="1">
        <f>Games[[#This Row],[PointsFor]]-Games[[#This Row],[PointsAgainst]]</f>
        <v>-15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0.46489024258694572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73.45</v>
      </c>
      <c r="Z194" s="4">
        <f>Games[[#This Row],[K]]*Games[[#This Row],[POMult]]</f>
        <v>73.45</v>
      </c>
      <c r="AA194" s="4">
        <f>(Games[[#This Row],[Keff]]*Games[[#This Row],[MOVMult]])*(Games[[#This Row],[Result]]-Games[[#This Row],[ExpectedWin%]])</f>
        <v>-8.8675995066602127</v>
      </c>
      <c r="AB194" s="4">
        <f>Games[[#This Row],[PreGmRate]]+Games[[#This Row],[RatingChange]]</f>
        <v>1390.4516927332829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41098</v>
      </c>
      <c r="B195" s="2">
        <v>2012</v>
      </c>
      <c r="C195" s="2">
        <f>COUNTIFS(Games[Team],Games[[#This Row],[Team]],Games[Season],Games[[#This Row],[Season]],Games[Date],"&lt;=" &amp; Games[[#This Row],[Date]])</f>
        <v>17</v>
      </c>
      <c r="D195" s="2" t="s">
        <v>23</v>
      </c>
      <c r="E195" s="2" t="s">
        <v>29</v>
      </c>
      <c r="F195" s="1" t="s">
        <v>76</v>
      </c>
      <c r="G195" s="1" t="s">
        <v>44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1497.297994259404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1399.319292239943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0.74030484972219279</v>
      </c>
      <c r="R195" s="1">
        <v>83</v>
      </c>
      <c r="S195" s="1">
        <v>68</v>
      </c>
      <c r="T195" s="1">
        <v>0</v>
      </c>
      <c r="U195" s="1">
        <f>Games[[#This Row],[PointsFor]]-Games[[#This Row],[PointsAgainst]]</f>
        <v>15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0.46489024258694572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73.45</v>
      </c>
      <c r="Z195" s="4">
        <f>Games[[#This Row],[K]]*Games[[#This Row],[POMult]]</f>
        <v>73.45</v>
      </c>
      <c r="AA195" s="4">
        <f>(Games[[#This Row],[Keff]]*Games[[#This Row],[MOVMult]])*(Games[[#This Row],[Result]]-Games[[#This Row],[ExpectedWin%]])</f>
        <v>8.8675995066602145</v>
      </c>
      <c r="AB195" s="4">
        <f>Games[[#This Row],[PreGmRate]]+Games[[#This Row],[RatingChange]]</f>
        <v>1506.1655937660644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41098</v>
      </c>
      <c r="B196" s="2">
        <v>2012</v>
      </c>
      <c r="C196" s="2">
        <f>COUNTIFS(Games[Team],Games[[#This Row],[Team]],Games[Season],Games[[#This Row],[Season]],Games[Date],"&lt;=" &amp; Games[[#This Row],[Date]])</f>
        <v>15</v>
      </c>
      <c r="D196" s="2" t="s">
        <v>23</v>
      </c>
      <c r="E196" s="2" t="s">
        <v>29</v>
      </c>
      <c r="F196" s="1" t="s">
        <v>70</v>
      </c>
      <c r="G196" s="1" t="s">
        <v>86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1350.1705499159834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1314.2827031107527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0.4312002555797772</v>
      </c>
      <c r="R196" s="1">
        <v>62</v>
      </c>
      <c r="S196" s="1">
        <v>78</v>
      </c>
      <c r="T196" s="1">
        <v>0</v>
      </c>
      <c r="U196" s="1">
        <f>Games[[#This Row],[PointsFor]]-Games[[#This Row],[PointsAgainst]]</f>
        <v>-16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0.50275050470173821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73.75</v>
      </c>
      <c r="Z196" s="4">
        <f>Games[[#This Row],[K]]*Games[[#This Row],[POMult]]</f>
        <v>73.75</v>
      </c>
      <c r="AA196" s="4">
        <f>(Games[[#This Row],[Keff]]*Games[[#This Row],[MOVMult]])*(Games[[#This Row],[Result]]-Games[[#This Row],[ExpectedWin%]])</f>
        <v>-15.987978276368549</v>
      </c>
      <c r="AB196" s="4">
        <f>Games[[#This Row],[PreGmRate]]+Games[[#This Row],[RatingChange]]</f>
        <v>1334.1825716396149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41098</v>
      </c>
      <c r="B197" s="2">
        <v>2012</v>
      </c>
      <c r="C197" s="2">
        <f>COUNTIFS(Games[Team],Games[[#This Row],[Team]],Games[Season],Games[[#This Row],[Season]],Games[Date],"&lt;=" &amp; Games[[#This Row],[Date]])</f>
        <v>16</v>
      </c>
      <c r="D197" s="2" t="s">
        <v>23</v>
      </c>
      <c r="E197" s="2" t="s">
        <v>29</v>
      </c>
      <c r="F197" s="1" t="s">
        <v>86</v>
      </c>
      <c r="G197" s="1" t="s">
        <v>70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1314.2827031107527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1350.1705499159834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0.56879974442022274</v>
      </c>
      <c r="R197" s="1">
        <v>78</v>
      </c>
      <c r="S197" s="1">
        <v>62</v>
      </c>
      <c r="T197" s="1">
        <v>0</v>
      </c>
      <c r="U197" s="1">
        <f>Games[[#This Row],[PointsFor]]-Games[[#This Row],[PointsAgainst]]</f>
        <v>16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0.50275050470173821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73.599999999999994</v>
      </c>
      <c r="Z197" s="4">
        <f>Games[[#This Row],[K]]*Games[[#This Row],[POMult]]</f>
        <v>73.599999999999994</v>
      </c>
      <c r="AA197" s="4">
        <f>(Games[[#This Row],[Keff]]*Games[[#This Row],[MOVMult]])*(Games[[#This Row],[Result]]-Games[[#This Row],[ExpectedWin%]])</f>
        <v>15.955460354450512</v>
      </c>
      <c r="AB197" s="4">
        <f>Games[[#This Row],[PreGmRate]]+Games[[#This Row],[RatingChange]]</f>
        <v>1330.2381634652031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41100</v>
      </c>
      <c r="B198" s="2">
        <v>2012</v>
      </c>
      <c r="C198" s="2">
        <f>COUNTIFS(Games[Team],Games[[#This Row],[Team]],Games[Season],Games[[#This Row],[Season]],Games[Date],"&lt;=" &amp; Games[[#This Row],[Date]])</f>
        <v>17</v>
      </c>
      <c r="D198" s="2" t="s">
        <v>23</v>
      </c>
      <c r="E198" s="2" t="s">
        <v>29</v>
      </c>
      <c r="F198" s="1" t="s">
        <v>65</v>
      </c>
      <c r="G198" s="1" t="s">
        <v>74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-1</v>
      </c>
      <c r="L198" s="2">
        <f>Games[[#This Row],[OppDaysOff]]-Games[[#This Row],[DaysOff]]</f>
        <v>1</v>
      </c>
      <c r="M198" s="1">
        <f>MAX(-16, MIN(16, Games[[#This Row],[RestDiff]]*8))</f>
        <v>-8</v>
      </c>
      <c r="N198" s="1">
        <f>MAX(-16, MIN(16, Games[[#This Row],[OppRestDiff]]*8))</f>
        <v>8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1477.7738064449215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1559.0625161505034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0.26045949369897392</v>
      </c>
      <c r="R198" s="1">
        <v>82</v>
      </c>
      <c r="S198" s="1">
        <v>84</v>
      </c>
      <c r="T198" s="1">
        <v>0</v>
      </c>
      <c r="U198" s="1">
        <f>Games[[#This Row],[PointsFor]]-Games[[#This Row],[PointsAgainst]]</f>
        <v>-2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0.25084868268718163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-4.7989233892058172</v>
      </c>
      <c r="AB198" s="4">
        <f>Games[[#This Row],[PreGmRate]]+Games[[#This Row],[RatingChange]]</f>
        <v>1472.9748830557157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41100</v>
      </c>
      <c r="B199" s="2">
        <v>2012</v>
      </c>
      <c r="C199" s="2">
        <f>COUNTIFS(Games[Team],Games[[#This Row],[Team]],Games[Season],Games[[#This Row],[Season]],Games[Date],"&lt;=" &amp; Games[[#This Row],[Date]])</f>
        <v>16</v>
      </c>
      <c r="D199" s="2" t="s">
        <v>23</v>
      </c>
      <c r="E199" s="2" t="s">
        <v>29</v>
      </c>
      <c r="F199" s="1" t="s">
        <v>74</v>
      </c>
      <c r="G199" s="1" t="s">
        <v>65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1</v>
      </c>
      <c r="L199" s="2">
        <f>Games[[#This Row],[OppDaysOff]]-Games[[#This Row],[DaysOff]]</f>
        <v>-1</v>
      </c>
      <c r="M199" s="1">
        <f>MAX(-16, MIN(16, Games[[#This Row],[RestDiff]]*8))</f>
        <v>8</v>
      </c>
      <c r="N199" s="1">
        <f>MAX(-16, MIN(16, Games[[#This Row],[OppRestDiff]]*8))</f>
        <v>-8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1559.0625161505034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1477.7738064449215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0.73954050630102608</v>
      </c>
      <c r="R199" s="1">
        <v>84</v>
      </c>
      <c r="S199" s="1">
        <v>82</v>
      </c>
      <c r="T199" s="1">
        <v>0</v>
      </c>
      <c r="U199" s="1">
        <f>Games[[#This Row],[PointsFor]]-Games[[#This Row],[PointsAgainst]]</f>
        <v>2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0.25084868268718163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4.8087237773389804</v>
      </c>
      <c r="AB199" s="4">
        <f>Games[[#This Row],[PreGmRate]]+Games[[#This Row],[RatingChange]]</f>
        <v>1563.8712399278425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41100</v>
      </c>
      <c r="B200" s="2">
        <v>2012</v>
      </c>
      <c r="C200" s="2">
        <f>COUNTIFS(Games[Team],Games[[#This Row],[Team]],Games[Season],Games[[#This Row],[Season]],Games[Date],"&lt;=" &amp; Games[[#This Row],[Date]])</f>
        <v>20</v>
      </c>
      <c r="D200" s="2" t="s">
        <v>23</v>
      </c>
      <c r="E200" s="2" t="s">
        <v>29</v>
      </c>
      <c r="F200" s="1" t="s">
        <v>68</v>
      </c>
      <c r="G200" s="1" t="s">
        <v>44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1539.6447035113872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1390.4516927332829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0.5927344682753215</v>
      </c>
      <c r="R200" s="1">
        <v>90</v>
      </c>
      <c r="S200" s="1">
        <v>71</v>
      </c>
      <c r="T200" s="1">
        <v>0</v>
      </c>
      <c r="U200" s="1">
        <f>Games[[#This Row],[PointsFor]]-Games[[#This Row],[PointsAgainst]]</f>
        <v>19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0.49894498555065037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</v>
      </c>
      <c r="Z200" s="4">
        <f>Games[[#This Row],[K]]*Games[[#This Row],[POMult]]</f>
        <v>73</v>
      </c>
      <c r="AA200" s="4">
        <f>(Games[[#This Row],[Keff]]*Games[[#This Row],[MOVMult]])*(Games[[#This Row],[Result]]-Games[[#This Row],[ExpectedWin%]])</f>
        <v>14.83382592344028</v>
      </c>
      <c r="AB200" s="4">
        <f>Games[[#This Row],[PreGmRate]]+Games[[#This Row],[RatingChange]]</f>
        <v>1554.4785294348276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41100</v>
      </c>
      <c r="B201" s="2">
        <v>2012</v>
      </c>
      <c r="C201" s="2">
        <f>COUNTIFS(Games[Team],Games[[#This Row],[Team]],Games[Season],Games[[#This Row],[Season]],Games[Date],"&lt;=" &amp; Games[[#This Row],[Date]])</f>
        <v>18</v>
      </c>
      <c r="D201" s="2" t="s">
        <v>23</v>
      </c>
      <c r="E201" s="2" t="s">
        <v>29</v>
      </c>
      <c r="F201" s="1" t="s">
        <v>44</v>
      </c>
      <c r="G201" s="1" t="s">
        <v>68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1390.4516927332829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1539.6447035113872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0.40726553172467855</v>
      </c>
      <c r="R201" s="1">
        <v>71</v>
      </c>
      <c r="S201" s="1">
        <v>90</v>
      </c>
      <c r="T201" s="1">
        <v>0</v>
      </c>
      <c r="U201" s="1">
        <f>Games[[#This Row],[PointsFor]]-Games[[#This Row],[PointsAgainst]]</f>
        <v>-19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0.49894498555065037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73.3</v>
      </c>
      <c r="Z201" s="4">
        <f>Games[[#This Row],[K]]*Games[[#This Row],[POMult]]</f>
        <v>73.3</v>
      </c>
      <c r="AA201" s="4">
        <f>(Games[[#This Row],[Keff]]*Games[[#This Row],[MOVMult]])*(Games[[#This Row],[Result]]-Games[[#This Row],[ExpectedWin%]])</f>
        <v>-14.894786851892775</v>
      </c>
      <c r="AB201" s="4">
        <f>Games[[#This Row],[PreGmRate]]+Games[[#This Row],[RatingChange]]</f>
        <v>1375.5569058813901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41100</v>
      </c>
      <c r="B202" s="2">
        <v>2012</v>
      </c>
      <c r="C202" s="2">
        <f>COUNTIFS(Games[Team],Games[[#This Row],[Team]],Games[Season],Games[[#This Row],[Season]],Games[Date],"&lt;=" &amp; Games[[#This Row],[Date]])</f>
        <v>18</v>
      </c>
      <c r="D202" s="2" t="s">
        <v>23</v>
      </c>
      <c r="E202" s="2" t="s">
        <v>29</v>
      </c>
      <c r="F202" s="1" t="s">
        <v>72</v>
      </c>
      <c r="G202" s="1" t="s">
        <v>86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1</v>
      </c>
      <c r="L202" s="2">
        <f>Games[[#This Row],[OppDaysOff]]-Games[[#This Row],[DaysOff]]</f>
        <v>-1</v>
      </c>
      <c r="M202" s="1">
        <f>MAX(-16, MIN(16, Games[[#This Row],[RestDiff]]*8))</f>
        <v>8</v>
      </c>
      <c r="N202" s="1">
        <f>MAX(-16, MIN(16, Games[[#This Row],[OppRestDiff]]*8))</f>
        <v>-8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1657.0103324649422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1330.2381634652031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0.81602008086564293</v>
      </c>
      <c r="R202" s="1">
        <v>107</v>
      </c>
      <c r="S202" s="1">
        <v>86</v>
      </c>
      <c r="T202" s="1">
        <v>0</v>
      </c>
      <c r="U202" s="1">
        <f>Games[[#This Row],[PointsFor]]-Games[[#This Row],[PointsAgainst]]</f>
        <v>21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0.46260441581641465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73.3</v>
      </c>
      <c r="Z202" s="4">
        <f>Games[[#This Row],[K]]*Games[[#This Row],[POMult]]</f>
        <v>73.3</v>
      </c>
      <c r="AA202" s="4">
        <f>(Games[[#This Row],[Keff]]*Games[[#This Row],[MOVMult]])*(Games[[#This Row],[Result]]-Games[[#This Row],[ExpectedWin%]])</f>
        <v>6.2385573568602632</v>
      </c>
      <c r="AB202" s="4">
        <f>Games[[#This Row],[PreGmRate]]+Games[[#This Row],[RatingChange]]</f>
        <v>1663.2488898218023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41100</v>
      </c>
      <c r="B203" s="2">
        <v>2012</v>
      </c>
      <c r="C203" s="2">
        <f>COUNTIFS(Games[Team],Games[[#This Row],[Team]],Games[Season],Games[[#This Row],[Season]],Games[Date],"&lt;=" &amp; Games[[#This Row],[Date]])</f>
        <v>17</v>
      </c>
      <c r="D203" s="2" t="s">
        <v>23</v>
      </c>
      <c r="E203" s="2" t="s">
        <v>29</v>
      </c>
      <c r="F203" s="1" t="s">
        <v>86</v>
      </c>
      <c r="G203" s="1" t="s">
        <v>72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-1</v>
      </c>
      <c r="L203" s="2">
        <f>Games[[#This Row],[OppDaysOff]]-Games[[#This Row],[DaysOff]]</f>
        <v>1</v>
      </c>
      <c r="M203" s="1">
        <f>MAX(-16, MIN(16, Games[[#This Row],[RestDiff]]*8))</f>
        <v>-8</v>
      </c>
      <c r="N203" s="1">
        <f>MAX(-16, MIN(16, Games[[#This Row],[OppRestDiff]]*8))</f>
        <v>8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1330.2381634652031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1657.0103324649422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0.18397991913435707</v>
      </c>
      <c r="R203" s="1">
        <v>86</v>
      </c>
      <c r="S203" s="1">
        <v>107</v>
      </c>
      <c r="T203" s="1">
        <v>0</v>
      </c>
      <c r="U203" s="1">
        <f>Games[[#This Row],[PointsFor]]-Games[[#This Row],[PointsAgainst]]</f>
        <v>-21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0.46260441581641465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-6.2513238453122293</v>
      </c>
      <c r="AB203" s="4">
        <f>Games[[#This Row],[PreGmRate]]+Games[[#This Row],[RatingChange]]</f>
        <v>1323.9868396198908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41100</v>
      </c>
      <c r="B204" s="2">
        <v>2012</v>
      </c>
      <c r="C204" s="2">
        <f>COUNTIFS(Games[Team],Games[[#This Row],[Team]],Games[Season],Games[[#This Row],[Season]],Games[Date],"&lt;=" &amp; Games[[#This Row],[Date]])</f>
        <v>17</v>
      </c>
      <c r="D204" s="2" t="s">
        <v>23</v>
      </c>
      <c r="E204" s="2" t="s">
        <v>29</v>
      </c>
      <c r="F204" s="1" t="s">
        <v>81</v>
      </c>
      <c r="G204" s="1" t="s">
        <v>70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1</v>
      </c>
      <c r="L204" s="2">
        <f>Games[[#This Row],[OppDaysOff]]-Games[[#This Row],[DaysOff]]</f>
        <v>-1</v>
      </c>
      <c r="M204" s="1">
        <f>MAX(-16, MIN(16, Games[[#This Row],[RestDiff]]*8))</f>
        <v>8</v>
      </c>
      <c r="N204" s="1">
        <f>MAX(-16, MIN(16, Games[[#This Row],[OppRestDiff]]*8))</f>
        <v>-8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1596.4243452438748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1334.1825716396149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0.75364456946298719</v>
      </c>
      <c r="R204" s="1">
        <v>77</v>
      </c>
      <c r="S204" s="1">
        <v>70</v>
      </c>
      <c r="T204" s="1">
        <v>0</v>
      </c>
      <c r="U204" s="1">
        <f>Games[[#This Row],[PointsFor]]-Games[[#This Row],[PointsAgainst]]</f>
        <v>7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0.3037313083252009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5.4959592135453397</v>
      </c>
      <c r="AB204" s="4">
        <f>Games[[#This Row],[PreGmRate]]+Games[[#This Row],[RatingChange]]</f>
        <v>1601.9203044574201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41100</v>
      </c>
      <c r="B205" s="2">
        <v>2012</v>
      </c>
      <c r="C205" s="2">
        <f>COUNTIFS(Games[Team],Games[[#This Row],[Team]],Games[Season],Games[[#This Row],[Season]],Games[Date],"&lt;=" &amp; Games[[#This Row],[Date]])</f>
        <v>16</v>
      </c>
      <c r="D205" s="2" t="s">
        <v>23</v>
      </c>
      <c r="E205" s="2" t="s">
        <v>29</v>
      </c>
      <c r="F205" s="1" t="s">
        <v>70</v>
      </c>
      <c r="G205" s="1" t="s">
        <v>81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5" s="2">
        <f>Games[[#This Row],[DaysOff]]-Games[[#This Row],[OppDaysOff]]</f>
        <v>-1</v>
      </c>
      <c r="L205" s="2">
        <f>Games[[#This Row],[OppDaysOff]]-Games[[#This Row],[DaysOff]]</f>
        <v>1</v>
      </c>
      <c r="M205" s="1">
        <f>MAX(-16, MIN(16, Games[[#This Row],[RestDiff]]*8))</f>
        <v>-8</v>
      </c>
      <c r="N205" s="1">
        <f>MAX(-16, MIN(16, Games[[#This Row],[OppRestDiff]]*8))</f>
        <v>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1334.1825716396149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1596.4243452438748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0.24635543053701292</v>
      </c>
      <c r="R205" s="1">
        <v>70</v>
      </c>
      <c r="S205" s="1">
        <v>77</v>
      </c>
      <c r="T205" s="1">
        <v>0</v>
      </c>
      <c r="U205" s="1">
        <f>Games[[#This Row],[PointsFor]]-Games[[#This Row],[PointsAgainst]]</f>
        <v>-7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0.3037313083252009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73.599999999999994</v>
      </c>
      <c r="Z205" s="4">
        <f>Games[[#This Row],[K]]*Games[[#This Row],[POMult]]</f>
        <v>73.599999999999994</v>
      </c>
      <c r="AA205" s="4">
        <f>(Games[[#This Row],[Keff]]*Games[[#This Row],[MOVMult]])*(Games[[#This Row],[Result]]-Games[[#This Row],[ExpectedWin%]])</f>
        <v>-5.5071830921298455</v>
      </c>
      <c r="AB205" s="4">
        <f>Games[[#This Row],[PreGmRate]]+Games[[#This Row],[RatingChange]]</f>
        <v>1328.675388547485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41101</v>
      </c>
      <c r="B206" s="2">
        <v>2012</v>
      </c>
      <c r="C206" s="2">
        <f>COUNTIFS(Games[Team],Games[[#This Row],[Team]],Games[Season],Games[[#This Row],[Season]],Games[Date],"&lt;=" &amp; Games[[#This Row],[Date]])</f>
        <v>17</v>
      </c>
      <c r="D206" s="2" t="s">
        <v>23</v>
      </c>
      <c r="E206" s="2" t="s">
        <v>29</v>
      </c>
      <c r="F206" s="1" t="s">
        <v>79</v>
      </c>
      <c r="G206" s="1" t="s">
        <v>82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6" s="2">
        <f>Games[[#This Row],[DaysOff]]-Games[[#This Row],[OppDaysOff]]</f>
        <v>-1</v>
      </c>
      <c r="L206" s="2">
        <f>Games[[#This Row],[OppDaysOff]]-Games[[#This Row],[DaysOff]]</f>
        <v>1</v>
      </c>
      <c r="M206" s="1">
        <f>MAX(-16, MIN(16, Games[[#This Row],[RestDiff]]*8))</f>
        <v>-8</v>
      </c>
      <c r="N206" s="1">
        <f>MAX(-16, MIN(16, Games[[#This Row],[OppRestDiff]]*8))</f>
        <v>8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1610.3651273116297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1479.634057605155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0.54411058975930526</v>
      </c>
      <c r="R206" s="1">
        <v>77</v>
      </c>
      <c r="S206" s="1">
        <v>68</v>
      </c>
      <c r="T206" s="1">
        <v>0</v>
      </c>
      <c r="U206" s="1">
        <f>Games[[#This Row],[PointsFor]]-Games[[#This Row],[PointsAgainst]]</f>
        <v>9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0.36608886924399214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12.258514042171724</v>
      </c>
      <c r="AB206" s="4">
        <f>Games[[#This Row],[PreGmRate]]+Games[[#This Row],[RatingChange]]</f>
        <v>1622.6236413538015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41101</v>
      </c>
      <c r="B207" s="2">
        <v>2012</v>
      </c>
      <c r="C207" s="2">
        <f>COUNTIFS(Games[Team],Games[[#This Row],[Team]],Games[Season],Games[[#This Row],[Season]],Games[Date],"&lt;=" &amp; Games[[#This Row],[Date]])</f>
        <v>16</v>
      </c>
      <c r="D207" s="2" t="s">
        <v>23</v>
      </c>
      <c r="E207" s="2" t="s">
        <v>29</v>
      </c>
      <c r="F207" s="1" t="s">
        <v>82</v>
      </c>
      <c r="G207" s="1" t="s">
        <v>79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7" s="2">
        <f>Games[[#This Row],[DaysOff]]-Games[[#This Row],[OppDaysOff]]</f>
        <v>1</v>
      </c>
      <c r="L207" s="2">
        <f>Games[[#This Row],[OppDaysOff]]-Games[[#This Row],[DaysOff]]</f>
        <v>-1</v>
      </c>
      <c r="M207" s="1">
        <f>MAX(-16, MIN(16, Games[[#This Row],[RestDiff]]*8))</f>
        <v>8</v>
      </c>
      <c r="N207" s="1">
        <f>MAX(-16, MIN(16, Games[[#This Row],[OppRestDiff]]*8))</f>
        <v>-8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1479.634057605155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1610.3651273116297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0.45588941024069468</v>
      </c>
      <c r="R207" s="1">
        <v>68</v>
      </c>
      <c r="S207" s="1">
        <v>77</v>
      </c>
      <c r="T207" s="1">
        <v>0</v>
      </c>
      <c r="U207" s="1">
        <f>Games[[#This Row],[PointsFor]]-Games[[#This Row],[PointsAgainst]]</f>
        <v>-9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0.36608886924399214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73.599999999999994</v>
      </c>
      <c r="Z207" s="4">
        <f>Games[[#This Row],[K]]*Games[[#This Row],[POMult]]</f>
        <v>73.599999999999994</v>
      </c>
      <c r="AA207" s="4">
        <f>(Games[[#This Row],[Keff]]*Games[[#This Row],[MOVMult]])*(Games[[#This Row],[Result]]-Games[[#This Row],[ExpectedWin%]])</f>
        <v>-12.28354844797602</v>
      </c>
      <c r="AB207" s="4">
        <f>Games[[#This Row],[PreGmRate]]+Games[[#This Row],[RatingChange]]</f>
        <v>1467.350509157179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41101</v>
      </c>
      <c r="B208" s="2">
        <v>2012</v>
      </c>
      <c r="C208" s="2">
        <f>COUNTIFS(Games[Team],Games[[#This Row],[Team]],Games[Season],Games[[#This Row],[Season]],Games[Date],"&lt;=" &amp; Games[[#This Row],[Date]])</f>
        <v>17</v>
      </c>
      <c r="D208" s="2" t="s">
        <v>23</v>
      </c>
      <c r="E208" s="2" t="s">
        <v>29</v>
      </c>
      <c r="F208" s="1" t="s">
        <v>70</v>
      </c>
      <c r="G208" s="1" t="s">
        <v>81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1328.675388547485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1601.9203044574201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0.11340055158733643</v>
      </c>
      <c r="R208" s="1">
        <v>73</v>
      </c>
      <c r="S208" s="1">
        <v>85</v>
      </c>
      <c r="T208" s="1">
        <v>0</v>
      </c>
      <c r="U208" s="1">
        <f>Games[[#This Row],[PointsFor]]-Games[[#This Row],[PointsAgainst]]</f>
        <v>-12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0.3715304399023025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73.45</v>
      </c>
      <c r="Z208" s="4">
        <f>Games[[#This Row],[K]]*Games[[#This Row],[POMult]]</f>
        <v>73.45</v>
      </c>
      <c r="AA208" s="4">
        <f>(Games[[#This Row],[Keff]]*Games[[#This Row],[MOVMult]])*(Games[[#This Row],[Result]]-Games[[#This Row],[ExpectedWin%]])</f>
        <v>-3.0945775381650833</v>
      </c>
      <c r="AB208" s="4">
        <f>Games[[#This Row],[PreGmRate]]+Games[[#This Row],[RatingChange]]</f>
        <v>1325.5808110093199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41101</v>
      </c>
      <c r="B209" s="2">
        <v>2012</v>
      </c>
      <c r="C209" s="2">
        <f>COUNTIFS(Games[Team],Games[[#This Row],[Team]],Games[Season],Games[[#This Row],[Season]],Games[Date],"&lt;=" &amp; Games[[#This Row],[Date]])</f>
        <v>18</v>
      </c>
      <c r="D209" s="2" t="s">
        <v>23</v>
      </c>
      <c r="E209" s="2" t="s">
        <v>29</v>
      </c>
      <c r="F209" s="1" t="s">
        <v>81</v>
      </c>
      <c r="G209" s="1" t="s">
        <v>70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1601.9203044574201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1328.675388547485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0.88659944841266358</v>
      </c>
      <c r="R209" s="1">
        <v>85</v>
      </c>
      <c r="S209" s="1">
        <v>73</v>
      </c>
      <c r="T209" s="1">
        <v>0</v>
      </c>
      <c r="U209" s="1">
        <f>Games[[#This Row],[PointsFor]]-Games[[#This Row],[PointsAgainst]]</f>
        <v>12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0.3715304399023025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3.0882577746426216</v>
      </c>
      <c r="AB209" s="4">
        <f>Games[[#This Row],[PreGmRate]]+Games[[#This Row],[RatingChange]]</f>
        <v>1605.0085622320628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41101</v>
      </c>
      <c r="B210" s="2">
        <v>2012</v>
      </c>
      <c r="C210" s="2">
        <f>COUNTIFS(Games[Team],Games[[#This Row],[Team]],Games[Season],Games[[#This Row],[Season]],Games[Date],"&lt;=" &amp; Games[[#This Row],[Date]])</f>
        <v>18</v>
      </c>
      <c r="D210" s="2" t="s">
        <v>23</v>
      </c>
      <c r="E210" s="2" t="s">
        <v>29</v>
      </c>
      <c r="F210" s="1" t="s">
        <v>84</v>
      </c>
      <c r="G210" s="1" t="s">
        <v>76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1528.5094984678358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1506.1655937660644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0.41218959865261967</v>
      </c>
      <c r="R210" s="1">
        <v>70</v>
      </c>
      <c r="S210" s="1">
        <v>59</v>
      </c>
      <c r="T210" s="1">
        <v>0</v>
      </c>
      <c r="U210" s="1">
        <f>Games[[#This Row],[PointsFor]]-Games[[#This Row],[PointsAgainst]]</f>
        <v>11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0.43179596370461032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73.3</v>
      </c>
      <c r="Z210" s="4">
        <f>Games[[#This Row],[K]]*Games[[#This Row],[POMult]]</f>
        <v>73.3</v>
      </c>
      <c r="AA210" s="4">
        <f>(Games[[#This Row],[Keff]]*Games[[#This Row],[MOVMult]])*(Games[[#This Row],[Result]]-Games[[#This Row],[ExpectedWin%]])</f>
        <v>18.604577834570787</v>
      </c>
      <c r="AB210" s="4">
        <f>Games[[#This Row],[PreGmRate]]+Games[[#This Row],[RatingChange]]</f>
        <v>1547.1140763024066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41101</v>
      </c>
      <c r="B211" s="2">
        <v>2012</v>
      </c>
      <c r="C211" s="2">
        <f>COUNTIFS(Games[Team],Games[[#This Row],[Team]],Games[Season],Games[[#This Row],[Season]],Games[Date],"&lt;=" &amp; Games[[#This Row],[Date]])</f>
        <v>18</v>
      </c>
      <c r="D211" s="2" t="s">
        <v>23</v>
      </c>
      <c r="E211" s="2" t="s">
        <v>29</v>
      </c>
      <c r="F211" s="1" t="s">
        <v>76</v>
      </c>
      <c r="G211" s="1" t="s">
        <v>84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1506.1655937660644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1528.5094984678358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0.58781040134738027</v>
      </c>
      <c r="R211" s="1">
        <v>59</v>
      </c>
      <c r="S211" s="1">
        <v>70</v>
      </c>
      <c r="T211" s="1">
        <v>0</v>
      </c>
      <c r="U211" s="1">
        <f>Games[[#This Row],[PointsFor]]-Games[[#This Row],[PointsAgainst]]</f>
        <v>-11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0.43179596370461032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73.3</v>
      </c>
      <c r="Z211" s="4">
        <f>Games[[#This Row],[K]]*Games[[#This Row],[POMult]]</f>
        <v>73.3</v>
      </c>
      <c r="AA211" s="4">
        <f>(Games[[#This Row],[Keff]]*Games[[#This Row],[MOVMult]])*(Games[[#This Row],[Result]]-Games[[#This Row],[ExpectedWin%]])</f>
        <v>-18.604577834570783</v>
      </c>
      <c r="AB211" s="4">
        <f>Games[[#This Row],[PreGmRate]]+Games[[#This Row],[RatingChange]]</f>
        <v>1487.5610159314936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41102</v>
      </c>
      <c r="B212" s="2">
        <v>2012</v>
      </c>
      <c r="C212" s="2">
        <f>COUNTIFS(Games[Team],Games[[#This Row],[Team]],Games[Season],Games[[#This Row],[Season]],Games[Date],"&lt;=" &amp; Games[[#This Row],[Date]])</f>
        <v>21</v>
      </c>
      <c r="D212" s="2" t="s">
        <v>23</v>
      </c>
      <c r="E212" s="2" t="s">
        <v>29</v>
      </c>
      <c r="F212" s="1" t="s">
        <v>68</v>
      </c>
      <c r="G212" s="1" t="s">
        <v>74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1554.4785294348276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1563.8712399278425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0.36874334631187744</v>
      </c>
      <c r="R212" s="1">
        <v>77</v>
      </c>
      <c r="S212" s="1">
        <v>74</v>
      </c>
      <c r="T212" s="1">
        <v>0</v>
      </c>
      <c r="U212" s="1">
        <f>Games[[#This Row],[PointsFor]]-Games[[#This Row],[PointsAgainst]]</f>
        <v>3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0.28792981989819993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72.849999999999994</v>
      </c>
      <c r="Z212" s="4">
        <f>Games[[#This Row],[K]]*Games[[#This Row],[POMult]]</f>
        <v>72.849999999999994</v>
      </c>
      <c r="AA212" s="4">
        <f>(Games[[#This Row],[Keff]]*Games[[#This Row],[MOVMult]])*(Games[[#This Row],[Result]]-Games[[#This Row],[ExpectedWin%]])</f>
        <v>13.241042224044294</v>
      </c>
      <c r="AB212" s="4">
        <f>Games[[#This Row],[PreGmRate]]+Games[[#This Row],[RatingChange]]</f>
        <v>1567.7195716588719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41102</v>
      </c>
      <c r="B213" s="2">
        <v>2012</v>
      </c>
      <c r="C213" s="2">
        <f>COUNTIFS(Games[Team],Games[[#This Row],[Team]],Games[Season],Games[[#This Row],[Season]],Games[Date],"&lt;=" &amp; Games[[#This Row],[Date]])</f>
        <v>17</v>
      </c>
      <c r="D213" s="2" t="s">
        <v>23</v>
      </c>
      <c r="E213" s="2" t="s">
        <v>29</v>
      </c>
      <c r="F213" s="1" t="s">
        <v>74</v>
      </c>
      <c r="G213" s="1" t="s">
        <v>68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1563.8712399278425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1554.4785294348276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0.63125665368812256</v>
      </c>
      <c r="R213" s="1">
        <v>74</v>
      </c>
      <c r="S213" s="1">
        <v>77</v>
      </c>
      <c r="T213" s="1">
        <v>0</v>
      </c>
      <c r="U213" s="1">
        <f>Games[[#This Row],[PointsFor]]-Games[[#This Row],[PointsAgainst]]</f>
        <v>-3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0.28792981989819993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73.45</v>
      </c>
      <c r="Z213" s="4">
        <f>Games[[#This Row],[K]]*Games[[#This Row],[POMult]]</f>
        <v>73.45</v>
      </c>
      <c r="AA213" s="4">
        <f>(Games[[#This Row],[Keff]]*Games[[#This Row],[MOVMult]])*(Games[[#This Row],[Result]]-Games[[#This Row],[ExpectedWin%]])</f>
        <v>-13.350096792807872</v>
      </c>
      <c r="AB213" s="4">
        <f>Games[[#This Row],[PreGmRate]]+Games[[#This Row],[RatingChange]]</f>
        <v>1550.5211431350347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41102</v>
      </c>
      <c r="B214" s="2">
        <v>2012</v>
      </c>
      <c r="C214" s="2">
        <f>COUNTIFS(Games[Team],Games[[#This Row],[Team]],Games[Season],Games[[#This Row],[Season]],Games[Date],"&lt;=" &amp; Games[[#This Row],[Date]])</f>
        <v>18</v>
      </c>
      <c r="D214" s="2" t="s">
        <v>23</v>
      </c>
      <c r="E214" s="2" t="s">
        <v>29</v>
      </c>
      <c r="F214" s="1" t="s">
        <v>86</v>
      </c>
      <c r="G214" s="1" t="s">
        <v>72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1323.9868396198908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1663.2488898218023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8.0431975557748656E-2</v>
      </c>
      <c r="R214" s="1">
        <v>74</v>
      </c>
      <c r="S214" s="1">
        <v>89</v>
      </c>
      <c r="T214" s="1">
        <v>0</v>
      </c>
      <c r="U214" s="1">
        <f>Games[[#This Row],[PointsFor]]-Games[[#This Row],[PointsAgainst]]</f>
        <v>-15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0.39201748238733186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-2.3112032831644034</v>
      </c>
      <c r="AB214" s="4">
        <f>Games[[#This Row],[PreGmRate]]+Games[[#This Row],[RatingChange]]</f>
        <v>1321.6756363367265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41102</v>
      </c>
      <c r="B215" s="2">
        <v>2012</v>
      </c>
      <c r="C215" s="2">
        <f>COUNTIFS(Games[Team],Games[[#This Row],[Team]],Games[Season],Games[[#This Row],[Season]],Games[Date],"&lt;=" &amp; Games[[#This Row],[Date]])</f>
        <v>19</v>
      </c>
      <c r="D215" s="2" t="s">
        <v>23</v>
      </c>
      <c r="E215" s="2" t="s">
        <v>29</v>
      </c>
      <c r="F215" s="1" t="s">
        <v>72</v>
      </c>
      <c r="G215" s="1" t="s">
        <v>86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1663.2488898218023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1323.9868396198908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0.91956802444225139</v>
      </c>
      <c r="R215" s="1">
        <v>89</v>
      </c>
      <c r="S215" s="1">
        <v>74</v>
      </c>
      <c r="T215" s="1">
        <v>0</v>
      </c>
      <c r="U215" s="1">
        <f>Games[[#This Row],[PointsFor]]-Games[[#This Row],[PointsAgainst]]</f>
        <v>15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0.39201748238733186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73.150000000000006</v>
      </c>
      <c r="Z215" s="4">
        <f>Games[[#This Row],[K]]*Games[[#This Row],[POMult]]</f>
        <v>73.150000000000006</v>
      </c>
      <c r="AA215" s="4">
        <f>(Games[[#This Row],[Keff]]*Games[[#This Row],[MOVMult]])*(Games[[#This Row],[Result]]-Games[[#This Row],[ExpectedWin%]])</f>
        <v>2.306473672080164</v>
      </c>
      <c r="AB215" s="4">
        <f>Games[[#This Row],[PreGmRate]]+Games[[#This Row],[RatingChange]]</f>
        <v>1665.5553634938824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41103</v>
      </c>
      <c r="B216" s="2">
        <v>2012</v>
      </c>
      <c r="C216" s="2">
        <f>COUNTIFS(Games[Team],Games[[#This Row],[Team]],Games[Season],Games[[#This Row],[Season]],Games[Date],"&lt;=" &amp; Games[[#This Row],[Date]])</f>
        <v>19</v>
      </c>
      <c r="D216" s="2" t="s">
        <v>23</v>
      </c>
      <c r="E216" s="2" t="s">
        <v>29</v>
      </c>
      <c r="F216" s="1" t="s">
        <v>81</v>
      </c>
      <c r="G216" s="1" t="s">
        <v>82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0</v>
      </c>
      <c r="L216" s="2">
        <f>Games[[#This Row],[OppDaysOff]]-Games[[#This Row],[DaysOff]]</f>
        <v>0</v>
      </c>
      <c r="M216" s="1">
        <f>MAX(-16, MIN(16, Games[[#This Row],[RestDiff]]*8))</f>
        <v>0</v>
      </c>
      <c r="N216" s="1">
        <f>MAX(-16, MIN(16, Games[[#This Row],[OppRestDiff]]*8))</f>
        <v>0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1605.0085622320628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1467.350509157179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0.57661200060709039</v>
      </c>
      <c r="R216" s="1">
        <v>80</v>
      </c>
      <c r="S216" s="1">
        <v>78</v>
      </c>
      <c r="T216" s="1">
        <v>1</v>
      </c>
      <c r="U216" s="1">
        <f>Games[[#This Row],[PointsFor]]-Games[[#This Row],[PointsAgainst]]</f>
        <v>2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0.21625005419695989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73.150000000000006</v>
      </c>
      <c r="Z216" s="4">
        <f>Games[[#This Row],[K]]*Games[[#This Row],[POMult]]</f>
        <v>73.150000000000006</v>
      </c>
      <c r="AA216" s="4">
        <f>(Games[[#This Row],[Keff]]*Games[[#This Row],[MOVMult]])*(Games[[#This Row],[Result]]-Games[[#This Row],[ExpectedWin%]])</f>
        <v>6.6974441321715759</v>
      </c>
      <c r="AB216" s="4">
        <f>Games[[#This Row],[PreGmRate]]+Games[[#This Row],[RatingChange]]</f>
        <v>1611.7060063642343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41103</v>
      </c>
      <c r="B217" s="2">
        <v>2012</v>
      </c>
      <c r="C217" s="2">
        <f>COUNTIFS(Games[Team],Games[[#This Row],[Team]],Games[Season],Games[[#This Row],[Season]],Games[Date],"&lt;=" &amp; Games[[#This Row],[Date]])</f>
        <v>17</v>
      </c>
      <c r="D217" s="2" t="s">
        <v>23</v>
      </c>
      <c r="E217" s="2" t="s">
        <v>29</v>
      </c>
      <c r="F217" s="1" t="s">
        <v>82</v>
      </c>
      <c r="G217" s="1" t="s">
        <v>81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0</v>
      </c>
      <c r="L217" s="2">
        <f>Games[[#This Row],[OppDaysOff]]-Games[[#This Row],[DaysOff]]</f>
        <v>0</v>
      </c>
      <c r="M217" s="1">
        <f>MAX(-16, MIN(16, Games[[#This Row],[RestDiff]]*8))</f>
        <v>0</v>
      </c>
      <c r="N217" s="1">
        <f>MAX(-16, MIN(16, Games[[#This Row],[OppRestDiff]]*8))</f>
        <v>0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1467.350509157179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1605.0085622320628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0.42338799939290966</v>
      </c>
      <c r="R217" s="1">
        <v>78</v>
      </c>
      <c r="S217" s="1">
        <v>80</v>
      </c>
      <c r="T217" s="1">
        <v>1</v>
      </c>
      <c r="U217" s="1">
        <f>Games[[#This Row],[PointsFor]]-Games[[#This Row],[PointsAgainst]]</f>
        <v>-2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0.21625005419695989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-6.7249114355160939</v>
      </c>
      <c r="AB217" s="4">
        <f>Games[[#This Row],[PreGmRate]]+Games[[#This Row],[RatingChange]]</f>
        <v>1460.6255977216629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41103</v>
      </c>
      <c r="B218" s="2">
        <v>2012</v>
      </c>
      <c r="C218" s="2">
        <f>COUNTIFS(Games[Team],Games[[#This Row],[Team]],Games[Season],Games[[#This Row],[Season]],Games[Date],"&lt;=" &amp; Games[[#This Row],[Date]])</f>
        <v>18</v>
      </c>
      <c r="D218" s="2" t="s">
        <v>23</v>
      </c>
      <c r="E218" s="2" t="s">
        <v>29</v>
      </c>
      <c r="F218" s="1" t="s">
        <v>70</v>
      </c>
      <c r="G218" s="1" t="s">
        <v>65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8" s="2">
        <f>Games[[#This Row],[DaysOff]]-Games[[#This Row],[OppDaysOff]]</f>
        <v>-1</v>
      </c>
      <c r="L218" s="2">
        <f>Games[[#This Row],[OppDaysOff]]-Games[[#This Row],[DaysOff]]</f>
        <v>1</v>
      </c>
      <c r="M218" s="1">
        <f>MAX(-16, MIN(16, Games[[#This Row],[RestDiff]]*8))</f>
        <v>-8</v>
      </c>
      <c r="N218" s="1">
        <f>MAX(-16, MIN(16, Games[[#This Row],[OppRestDiff]]*8))</f>
        <v>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1325.5808110093199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1472.9748830557157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0.19401733001429344</v>
      </c>
      <c r="R218" s="1">
        <v>70</v>
      </c>
      <c r="S218" s="1">
        <v>53</v>
      </c>
      <c r="T218" s="1">
        <v>0</v>
      </c>
      <c r="U218" s="1">
        <f>Games[[#This Row],[PointsFor]]-Games[[#This Row],[PointsAgainst]]</f>
        <v>17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0.47419719008263228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73.3</v>
      </c>
      <c r="Z218" s="4">
        <f>Games[[#This Row],[K]]*Games[[#This Row],[POMult]]</f>
        <v>73.3</v>
      </c>
      <c r="AA218" s="4">
        <f>(Games[[#This Row],[Keff]]*Games[[#This Row],[MOVMult]])*(Games[[#This Row],[Result]]-Games[[#This Row],[ExpectedWin%]])</f>
        <v>28.014872782672683</v>
      </c>
      <c r="AB218" s="4">
        <f>Games[[#This Row],[PreGmRate]]+Games[[#This Row],[RatingChange]]</f>
        <v>1353.5956837919925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41103</v>
      </c>
      <c r="B219" s="2">
        <v>2012</v>
      </c>
      <c r="C219" s="2">
        <f>COUNTIFS(Games[Team],Games[[#This Row],[Team]],Games[Season],Games[[#This Row],[Season]],Games[Date],"&lt;=" &amp; Games[[#This Row],[Date]])</f>
        <v>18</v>
      </c>
      <c r="D219" s="2" t="s">
        <v>23</v>
      </c>
      <c r="E219" s="2" t="s">
        <v>29</v>
      </c>
      <c r="F219" s="1" t="s">
        <v>65</v>
      </c>
      <c r="G219" s="1" t="s">
        <v>70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1</v>
      </c>
      <c r="L219" s="2">
        <f>Games[[#This Row],[OppDaysOff]]-Games[[#This Row],[DaysOff]]</f>
        <v>-1</v>
      </c>
      <c r="M219" s="1">
        <f>MAX(-16, MIN(16, Games[[#This Row],[RestDiff]]*8))</f>
        <v>8</v>
      </c>
      <c r="N219" s="1">
        <f>MAX(-16, MIN(16, Games[[#This Row],[OppRestDiff]]*8))</f>
        <v>-8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1472.9748830557157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1325.5808110093199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0.80598266998570645</v>
      </c>
      <c r="R219" s="1">
        <v>53</v>
      </c>
      <c r="S219" s="1">
        <v>70</v>
      </c>
      <c r="T219" s="1">
        <v>0</v>
      </c>
      <c r="U219" s="1">
        <f>Games[[#This Row],[PointsFor]]-Games[[#This Row],[PointsAgainst]]</f>
        <v>-17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0.47419719008263228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-28.014872782672679</v>
      </c>
      <c r="AB219" s="4">
        <f>Games[[#This Row],[PreGmRate]]+Games[[#This Row],[RatingChange]]</f>
        <v>1444.9600102730431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41103</v>
      </c>
      <c r="B220" s="2">
        <v>2012</v>
      </c>
      <c r="C220" s="2">
        <f>COUNTIFS(Games[Team],Games[[#This Row],[Team]],Games[Season],Games[[#This Row],[Season]],Games[Date],"&lt;=" &amp; Games[[#This Row],[Date]])</f>
        <v>19</v>
      </c>
      <c r="D220" s="2" t="s">
        <v>23</v>
      </c>
      <c r="E220" s="2" t="s">
        <v>29</v>
      </c>
      <c r="F220" s="1" t="s">
        <v>76</v>
      </c>
      <c r="G220" s="1" t="s">
        <v>44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0" s="2">
        <f>Games[[#This Row],[DaysOff]]-Games[[#This Row],[OppDaysOff]]</f>
        <v>-1</v>
      </c>
      <c r="L220" s="2">
        <f>Games[[#This Row],[OppDaysOff]]-Games[[#This Row],[DaysOff]]</f>
        <v>1</v>
      </c>
      <c r="M220" s="1">
        <f>MAX(-16, MIN(16, Games[[#This Row],[RestDiff]]*8))</f>
        <v>-8</v>
      </c>
      <c r="N220" s="1">
        <f>MAX(-16, MIN(16, Games[[#This Row],[OppRestDiff]]*8))</f>
        <v>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1487.5610159314936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1375.5569058813901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0.51726843221716323</v>
      </c>
      <c r="R220" s="1">
        <v>83</v>
      </c>
      <c r="S220" s="1">
        <v>64</v>
      </c>
      <c r="T220" s="1">
        <v>0</v>
      </c>
      <c r="U220" s="1">
        <f>Games[[#This Row],[PointsFor]]-Games[[#This Row],[PointsAgainst]]</f>
        <v>19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0.51308763601511298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18.118055262721782</v>
      </c>
      <c r="AB220" s="4">
        <f>Games[[#This Row],[PreGmRate]]+Games[[#This Row],[RatingChange]]</f>
        <v>1505.6790711942153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41103</v>
      </c>
      <c r="B221" s="2">
        <v>2012</v>
      </c>
      <c r="C221" s="2">
        <f>COUNTIFS(Games[Team],Games[[#This Row],[Team]],Games[Season],Games[[#This Row],[Season]],Games[Date],"&lt;=" &amp; Games[[#This Row],[Date]])</f>
        <v>19</v>
      </c>
      <c r="D221" s="2" t="s">
        <v>23</v>
      </c>
      <c r="E221" s="2" t="s">
        <v>29</v>
      </c>
      <c r="F221" s="1" t="s">
        <v>44</v>
      </c>
      <c r="G221" s="1" t="s">
        <v>76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1</v>
      </c>
      <c r="L221" s="2">
        <f>Games[[#This Row],[OppDaysOff]]-Games[[#This Row],[DaysOff]]</f>
        <v>-1</v>
      </c>
      <c r="M221" s="1">
        <f>MAX(-16, MIN(16, Games[[#This Row],[RestDiff]]*8))</f>
        <v>8</v>
      </c>
      <c r="N221" s="1">
        <f>MAX(-16, MIN(16, Games[[#This Row],[OppRestDiff]]*8))</f>
        <v>-8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1375.5569058813901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1487.5610159314936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0.48273156778283677</v>
      </c>
      <c r="R221" s="1">
        <v>64</v>
      </c>
      <c r="S221" s="1">
        <v>83</v>
      </c>
      <c r="T221" s="1">
        <v>0</v>
      </c>
      <c r="U221" s="1">
        <f>Games[[#This Row],[PointsFor]]-Games[[#This Row],[PointsAgainst]]</f>
        <v>-19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0.51308763601511298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73.150000000000006</v>
      </c>
      <c r="Z221" s="4">
        <f>Games[[#This Row],[K]]*Games[[#This Row],[POMult]]</f>
        <v>73.150000000000006</v>
      </c>
      <c r="AA221" s="4">
        <f>(Games[[#This Row],[Keff]]*Games[[#This Row],[MOVMult]])*(Games[[#This Row],[Result]]-Games[[#This Row],[ExpectedWin%]])</f>
        <v>-18.118055262721782</v>
      </c>
      <c r="AB221" s="4">
        <f>Games[[#This Row],[PreGmRate]]+Games[[#This Row],[RatingChange]]</f>
        <v>1357.4388506186683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41103</v>
      </c>
      <c r="B222" s="2">
        <v>2012</v>
      </c>
      <c r="C222" s="2">
        <f>COUNTIFS(Games[Team],Games[[#This Row],[Team]],Games[Season],Games[[#This Row],[Season]],Games[Date],"&lt;=" &amp; Games[[#This Row],[Date]])</f>
        <v>19</v>
      </c>
      <c r="D222" s="2" t="s">
        <v>23</v>
      </c>
      <c r="E222" s="2" t="s">
        <v>29</v>
      </c>
      <c r="F222" s="1" t="s">
        <v>84</v>
      </c>
      <c r="G222" s="1" t="s">
        <v>79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1547.1140763024066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1622.6236413538015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0.28532258275494105</v>
      </c>
      <c r="R222" s="1">
        <v>70</v>
      </c>
      <c r="S222" s="1">
        <v>91</v>
      </c>
      <c r="T222" s="1">
        <v>0</v>
      </c>
      <c r="U222" s="1">
        <f>Games[[#This Row],[PointsFor]]-Games[[#This Row],[PointsAgainst]]</f>
        <v>-21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0.55373285052270504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73.150000000000006</v>
      </c>
      <c r="Z222" s="4">
        <f>Games[[#This Row],[K]]*Games[[#This Row],[POMult]]</f>
        <v>73.150000000000006</v>
      </c>
      <c r="AA222" s="4">
        <f>(Games[[#This Row],[Keff]]*Games[[#This Row],[MOVMult]])*(Games[[#This Row],[Result]]-Games[[#This Row],[ExpectedWin%]])</f>
        <v>-11.557150428979867</v>
      </c>
      <c r="AB222" s="4">
        <f>Games[[#This Row],[PreGmRate]]+Games[[#This Row],[RatingChange]]</f>
        <v>1535.5569258734267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41103</v>
      </c>
      <c r="B223" s="2">
        <v>2012</v>
      </c>
      <c r="C223" s="2">
        <f>COUNTIFS(Games[Team],Games[[#This Row],[Team]],Games[Season],Games[[#This Row],[Season]],Games[Date],"&lt;=" &amp; Games[[#This Row],[Date]])</f>
        <v>18</v>
      </c>
      <c r="D223" s="2" t="s">
        <v>23</v>
      </c>
      <c r="E223" s="2" t="s">
        <v>29</v>
      </c>
      <c r="F223" s="1" t="s">
        <v>79</v>
      </c>
      <c r="G223" s="1" t="s">
        <v>84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1622.6236413538015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1547.1140763024066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0.71467741724505895</v>
      </c>
      <c r="R223" s="1">
        <v>91</v>
      </c>
      <c r="S223" s="1">
        <v>70</v>
      </c>
      <c r="T223" s="1">
        <v>0</v>
      </c>
      <c r="U223" s="1">
        <f>Games[[#This Row],[PointsFor]]-Games[[#This Row],[PointsAgainst]]</f>
        <v>21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0.55373285052270504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73.3</v>
      </c>
      <c r="Z223" s="4">
        <f>Games[[#This Row],[K]]*Games[[#This Row],[POMult]]</f>
        <v>73.3</v>
      </c>
      <c r="AA223" s="4">
        <f>(Games[[#This Row],[Keff]]*Games[[#This Row],[MOVMult]])*(Games[[#This Row],[Result]]-Games[[#This Row],[ExpectedWin%]])</f>
        <v>11.580849302039972</v>
      </c>
      <c r="AB223" s="4">
        <f>Games[[#This Row],[PreGmRate]]+Games[[#This Row],[RatingChange]]</f>
        <v>1634.2044906558415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41137</v>
      </c>
      <c r="B224" s="2">
        <v>2012</v>
      </c>
      <c r="C224" s="2">
        <f>COUNTIFS(Games[Team],Games[[#This Row],[Team]],Games[Season],Games[[#This Row],[Season]],Games[Date],"&lt;=" &amp; Games[[#This Row],[Date]])</f>
        <v>19</v>
      </c>
      <c r="D224" s="2" t="s">
        <v>23</v>
      </c>
      <c r="E224" s="2" t="s">
        <v>29</v>
      </c>
      <c r="F224" s="1" t="s">
        <v>70</v>
      </c>
      <c r="G224" s="1" t="s">
        <v>74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33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24" s="2">
        <f>Games[[#This Row],[DaysOff]]-Games[[#This Row],[OppDaysOff]]</f>
        <v>-1</v>
      </c>
      <c r="L224" s="2">
        <f>Games[[#This Row],[OppDaysOff]]-Games[[#This Row],[DaysOff]]</f>
        <v>1</v>
      </c>
      <c r="M224" s="1">
        <f>MAX(-16, MIN(16, Games[[#This Row],[RestDiff]]*8))</f>
        <v>-8</v>
      </c>
      <c r="N224" s="1">
        <f>MAX(-16, MIN(16, Games[[#This Row],[OppRestDiff]]*8))</f>
        <v>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1353.5956837919925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1550.5211431350347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0.15326227298410106</v>
      </c>
      <c r="R224" s="1">
        <v>66</v>
      </c>
      <c r="S224" s="1">
        <v>84</v>
      </c>
      <c r="T224" s="1">
        <v>0</v>
      </c>
      <c r="U224" s="1">
        <f>Games[[#This Row],[PointsFor]]-Games[[#This Row],[PointsAgainst]]</f>
        <v>-18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0.46974640927525874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-5.2663905364119028</v>
      </c>
      <c r="AB224" s="4">
        <f>Games[[#This Row],[PreGmRate]]+Games[[#This Row],[RatingChange]]</f>
        <v>1348.3292932555808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41137</v>
      </c>
      <c r="B225" s="2">
        <v>2012</v>
      </c>
      <c r="C225" s="2">
        <f>COUNTIFS(Games[Team],Games[[#This Row],[Team]],Games[Season],Games[[#This Row],[Season]],Games[Date],"&lt;=" &amp; Games[[#This Row],[Date]])</f>
        <v>18</v>
      </c>
      <c r="D225" s="2" t="s">
        <v>23</v>
      </c>
      <c r="E225" s="2" t="s">
        <v>29</v>
      </c>
      <c r="F225" s="1" t="s">
        <v>74</v>
      </c>
      <c r="G225" s="1" t="s">
        <v>70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33</v>
      </c>
      <c r="K225" s="2">
        <f>Games[[#This Row],[DaysOff]]-Games[[#This Row],[OppDaysOff]]</f>
        <v>1</v>
      </c>
      <c r="L225" s="2">
        <f>Games[[#This Row],[OppDaysOff]]-Games[[#This Row],[DaysOff]]</f>
        <v>-1</v>
      </c>
      <c r="M225" s="1">
        <f>MAX(-16, MIN(16, Games[[#This Row],[RestDiff]]*8))</f>
        <v>8</v>
      </c>
      <c r="N225" s="1">
        <f>MAX(-16, MIN(16, Games[[#This Row],[OppRestDiff]]*8))</f>
        <v>-8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1550.5211431350347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1353.5956837919925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0.84673772701589889</v>
      </c>
      <c r="R225" s="1">
        <v>84</v>
      </c>
      <c r="S225" s="1">
        <v>66</v>
      </c>
      <c r="T225" s="1">
        <v>0</v>
      </c>
      <c r="U225" s="1">
        <f>Games[[#This Row],[PointsFor]]-Games[[#This Row],[PointsAgainst]]</f>
        <v>18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0.46974640927525874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73.3</v>
      </c>
      <c r="Z225" s="4">
        <f>Games[[#This Row],[K]]*Games[[#This Row],[POMult]]</f>
        <v>73.3</v>
      </c>
      <c r="AA225" s="4">
        <f>(Games[[#This Row],[Keff]]*Games[[#This Row],[MOVMult]])*(Games[[#This Row],[Result]]-Games[[#This Row],[ExpectedWin%]])</f>
        <v>5.2771896967736502</v>
      </c>
      <c r="AB225" s="4">
        <f>Games[[#This Row],[PreGmRate]]+Games[[#This Row],[RatingChange]]</f>
        <v>1555.7983328318082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41137</v>
      </c>
      <c r="B226" s="2">
        <v>2012</v>
      </c>
      <c r="C226" s="2">
        <f>COUNTIFS(Games[Team],Games[[#This Row],[Team]],Games[Season],Games[[#This Row],[Season]],Games[Date],"&lt;=" &amp; Games[[#This Row],[Date]])</f>
        <v>20</v>
      </c>
      <c r="D226" s="2" t="s">
        <v>23</v>
      </c>
      <c r="E226" s="2" t="s">
        <v>29</v>
      </c>
      <c r="F226" s="1" t="s">
        <v>81</v>
      </c>
      <c r="G226" s="1" t="s">
        <v>65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33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33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1611.7060063642343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1444.9600102730431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0.61687952336802854</v>
      </c>
      <c r="R226" s="1">
        <v>66</v>
      </c>
      <c r="S226" s="1">
        <v>79</v>
      </c>
      <c r="T226" s="1">
        <v>0</v>
      </c>
      <c r="U226" s="1">
        <f>Games[[#This Row],[PointsFor]]-Games[[#This Row],[PointsAgainst]]</f>
        <v>-13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0.41445338665484305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</v>
      </c>
      <c r="Z226" s="4">
        <f>Games[[#This Row],[K]]*Games[[#This Row],[POMult]]</f>
        <v>73</v>
      </c>
      <c r="AA226" s="4">
        <f>(Games[[#This Row],[Keff]]*Games[[#This Row],[MOVMult]])*(Games[[#This Row],[Result]]-Games[[#This Row],[ExpectedWin%]])</f>
        <v>-18.663749956107051</v>
      </c>
      <c r="AB226" s="4">
        <f>Games[[#This Row],[PreGmRate]]+Games[[#This Row],[RatingChange]]</f>
        <v>1593.0422564081273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41137</v>
      </c>
      <c r="B227" s="2">
        <v>2012</v>
      </c>
      <c r="C227" s="2">
        <f>COUNTIFS(Games[Team],Games[[#This Row],[Team]],Games[Season],Games[[#This Row],[Season]],Games[Date],"&lt;=" &amp; Games[[#This Row],[Date]])</f>
        <v>19</v>
      </c>
      <c r="D227" s="2" t="s">
        <v>23</v>
      </c>
      <c r="E227" s="2" t="s">
        <v>29</v>
      </c>
      <c r="F227" s="1" t="s">
        <v>65</v>
      </c>
      <c r="G227" s="1" t="s">
        <v>81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33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33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1444.9600102730431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1611.7060063642343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0.38312047663197152</v>
      </c>
      <c r="R227" s="1">
        <v>79</v>
      </c>
      <c r="S227" s="1">
        <v>66</v>
      </c>
      <c r="T227" s="1">
        <v>0</v>
      </c>
      <c r="U227" s="1">
        <f>Games[[#This Row],[PointsFor]]-Games[[#This Row],[PointsAgainst]]</f>
        <v>13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0.41445338665484305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18.702100127249736</v>
      </c>
      <c r="AB227" s="4">
        <f>Games[[#This Row],[PreGmRate]]+Games[[#This Row],[RatingChange]]</f>
        <v>1463.6621104002927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41137</v>
      </c>
      <c r="B228" s="2">
        <v>2012</v>
      </c>
      <c r="C228" s="2">
        <f>COUNTIFS(Games[Team],Games[[#This Row],[Team]],Games[Season],Games[[#This Row],[Season]],Games[Date],"&lt;=" &amp; Games[[#This Row],[Date]])</f>
        <v>20</v>
      </c>
      <c r="D228" s="2" t="s">
        <v>23</v>
      </c>
      <c r="E228" s="2" t="s">
        <v>29</v>
      </c>
      <c r="F228" s="1" t="s">
        <v>44</v>
      </c>
      <c r="G228" s="1" t="s">
        <v>76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33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33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1357.4388506186683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1505.6790711942153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0.20802325136659458</v>
      </c>
      <c r="R228" s="1">
        <v>58</v>
      </c>
      <c r="S228" s="1">
        <v>72</v>
      </c>
      <c r="T228" s="1">
        <v>0</v>
      </c>
      <c r="U228" s="1">
        <f>Games[[#This Row],[PointsFor]]-Games[[#This Row],[PointsAgainst]]</f>
        <v>-14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0.43399515554515716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</v>
      </c>
      <c r="Z228" s="4">
        <f>Games[[#This Row],[K]]*Games[[#This Row],[POMult]]</f>
        <v>73</v>
      </c>
      <c r="AA228" s="4">
        <f>(Games[[#This Row],[Keff]]*Games[[#This Row],[MOVMult]])*(Games[[#This Row],[Result]]-Games[[#This Row],[ExpectedWin%]])</f>
        <v>-6.5905190833713814</v>
      </c>
      <c r="AB228" s="4">
        <f>Games[[#This Row],[PreGmRate]]+Games[[#This Row],[RatingChange]]</f>
        <v>1350.8483315352969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41137</v>
      </c>
      <c r="B229" s="2">
        <v>2012</v>
      </c>
      <c r="C229" s="2">
        <f>COUNTIFS(Games[Team],Games[[#This Row],[Team]],Games[Season],Games[[#This Row],[Season]],Games[Date],"&lt;=" &amp; Games[[#This Row],[Date]])</f>
        <v>20</v>
      </c>
      <c r="D229" s="2" t="s">
        <v>23</v>
      </c>
      <c r="E229" s="2" t="s">
        <v>29</v>
      </c>
      <c r="F229" s="1" t="s">
        <v>76</v>
      </c>
      <c r="G229" s="1" t="s">
        <v>44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33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1505.6790711942153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1357.4388506186683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0.79197674863340539</v>
      </c>
      <c r="R229" s="1">
        <v>72</v>
      </c>
      <c r="S229" s="1">
        <v>58</v>
      </c>
      <c r="T229" s="1">
        <v>0</v>
      </c>
      <c r="U229" s="1">
        <f>Games[[#This Row],[PointsFor]]-Games[[#This Row],[PointsAgainst]]</f>
        <v>14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0.43399515554515716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</v>
      </c>
      <c r="Z229" s="4">
        <f>Games[[#This Row],[K]]*Games[[#This Row],[POMult]]</f>
        <v>73</v>
      </c>
      <c r="AA229" s="4">
        <f>(Games[[#This Row],[Keff]]*Games[[#This Row],[MOVMult]])*(Games[[#This Row],[Result]]-Games[[#This Row],[ExpectedWin%]])</f>
        <v>6.5905190833713823</v>
      </c>
      <c r="AB229" s="4">
        <f>Games[[#This Row],[PreGmRate]]+Games[[#This Row],[RatingChange]]</f>
        <v>1512.2695902775868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41138</v>
      </c>
      <c r="B230" s="2">
        <v>2012</v>
      </c>
      <c r="C230" s="2">
        <f>COUNTIFS(Games[Team],Games[[#This Row],[Team]],Games[Season],Games[[#This Row],[Season]],Games[Date],"&lt;=" &amp; Games[[#This Row],[Date]])</f>
        <v>20</v>
      </c>
      <c r="D230" s="2" t="s">
        <v>23</v>
      </c>
      <c r="E230" s="2" t="s">
        <v>29</v>
      </c>
      <c r="F230" s="1" t="s">
        <v>84</v>
      </c>
      <c r="G230" s="1" t="s">
        <v>82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1535.5569258734267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1460.6255977216629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0.48695209516538429</v>
      </c>
      <c r="R230" s="1">
        <v>82</v>
      </c>
      <c r="S230" s="1">
        <v>76</v>
      </c>
      <c r="T230" s="1">
        <v>0</v>
      </c>
      <c r="U230" s="1">
        <f>Games[[#This Row],[PointsFor]]-Games[[#This Row],[PointsAgainst]]</f>
        <v>6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0.33063499500030452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</v>
      </c>
      <c r="Z230" s="4">
        <f>Games[[#This Row],[K]]*Games[[#This Row],[POMult]]</f>
        <v>73</v>
      </c>
      <c r="AA230" s="4">
        <f>(Games[[#This Row],[Keff]]*Games[[#This Row],[MOVMult]])*(Games[[#This Row],[Result]]-Games[[#This Row],[ExpectedWin%]])</f>
        <v>12.383106175843421</v>
      </c>
      <c r="AB230" s="4">
        <f>Games[[#This Row],[PreGmRate]]+Games[[#This Row],[RatingChange]]</f>
        <v>1547.9400320492703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41138</v>
      </c>
      <c r="B231" s="2">
        <v>2012</v>
      </c>
      <c r="C231" s="2">
        <f>COUNTIFS(Games[Team],Games[[#This Row],[Team]],Games[Season],Games[[#This Row],[Season]],Games[Date],"&lt;=" &amp; Games[[#This Row],[Date]])</f>
        <v>18</v>
      </c>
      <c r="D231" s="2" t="s">
        <v>23</v>
      </c>
      <c r="E231" s="2" t="s">
        <v>29</v>
      </c>
      <c r="F231" s="1" t="s">
        <v>82</v>
      </c>
      <c r="G231" s="1" t="s">
        <v>84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1460.6255977216629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1535.5569258734267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0.51304790483461571</v>
      </c>
      <c r="R231" s="1">
        <v>76</v>
      </c>
      <c r="S231" s="1">
        <v>82</v>
      </c>
      <c r="T231" s="1">
        <v>0</v>
      </c>
      <c r="U231" s="1">
        <f>Games[[#This Row],[PointsFor]]-Games[[#This Row],[PointsAgainst]]</f>
        <v>-6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0.33063499500030452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73.3</v>
      </c>
      <c r="Z231" s="4">
        <f>Games[[#This Row],[K]]*Games[[#This Row],[POMult]]</f>
        <v>73.3</v>
      </c>
      <c r="AA231" s="4">
        <f>(Games[[#This Row],[Keff]]*Games[[#This Row],[MOVMult]])*(Games[[#This Row],[Result]]-Games[[#This Row],[ExpectedWin%]])</f>
        <v>-12.433995653278394</v>
      </c>
      <c r="AB231" s="4">
        <f>Games[[#This Row],[PreGmRate]]+Games[[#This Row],[RatingChange]]</f>
        <v>1448.1916020683846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41138</v>
      </c>
      <c r="B232" s="2">
        <v>2012</v>
      </c>
      <c r="C232" s="2">
        <f>COUNTIFS(Games[Team],Games[[#This Row],[Team]],Games[Season],Games[[#This Row],[Season]],Games[Date],"&lt;=" &amp; Games[[#This Row],[Date]])</f>
        <v>20</v>
      </c>
      <c r="D232" s="2" t="s">
        <v>23</v>
      </c>
      <c r="E232" s="2" t="s">
        <v>29</v>
      </c>
      <c r="F232" s="1" t="s">
        <v>70</v>
      </c>
      <c r="G232" s="1" t="s">
        <v>72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35</v>
      </c>
      <c r="K232" s="2">
        <f>Games[[#This Row],[DaysOff]]-Games[[#This Row],[OppDaysOff]]</f>
        <v>-35</v>
      </c>
      <c r="L232" s="2">
        <f>Games[[#This Row],[OppDaysOff]]-Games[[#This Row],[DaysOff]]</f>
        <v>35</v>
      </c>
      <c r="M232" s="1">
        <f>MAX(-16, MIN(16, Games[[#This Row],[RestDiff]]*8))</f>
        <v>-16</v>
      </c>
      <c r="N232" s="1">
        <f>MAX(-16, MIN(16, Games[[#This Row],[OppRestDiff]]*8))</f>
        <v>16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1348.3292932555808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1665.5553634938824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7.6290463227415575E-2</v>
      </c>
      <c r="R232" s="1">
        <v>69</v>
      </c>
      <c r="S232" s="1">
        <v>98</v>
      </c>
      <c r="T232" s="1">
        <v>0</v>
      </c>
      <c r="U232" s="1">
        <f>Games[[#This Row],[PointsFor]]-Games[[#This Row],[PointsAgainst]]</f>
        <v>-29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0.54681076227672731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</v>
      </c>
      <c r="Z232" s="4">
        <f>Games[[#This Row],[K]]*Games[[#This Row],[POMult]]</f>
        <v>73</v>
      </c>
      <c r="AA232" s="4">
        <f>(Games[[#This Row],[Keff]]*Games[[#This Row],[MOVMult]])*(Games[[#This Row],[Result]]-Games[[#This Row],[ExpectedWin%]])</f>
        <v>-3.0453005836834253</v>
      </c>
      <c r="AB232" s="4">
        <f>Games[[#This Row],[PreGmRate]]+Games[[#This Row],[RatingChange]]</f>
        <v>1345.2839926718973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41138</v>
      </c>
      <c r="B233" s="2">
        <v>2012</v>
      </c>
      <c r="C233" s="2">
        <f>COUNTIFS(Games[Team],Games[[#This Row],[Team]],Games[Season],Games[[#This Row],[Season]],Games[Date],"&lt;=" &amp; Games[[#This Row],[Date]])</f>
        <v>20</v>
      </c>
      <c r="D233" s="2" t="s">
        <v>23</v>
      </c>
      <c r="E233" s="2" t="s">
        <v>29</v>
      </c>
      <c r="F233" s="1" t="s">
        <v>72</v>
      </c>
      <c r="G233" s="1" t="s">
        <v>70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35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3" s="2">
        <f>Games[[#This Row],[DaysOff]]-Games[[#This Row],[OppDaysOff]]</f>
        <v>35</v>
      </c>
      <c r="L233" s="2">
        <f>Games[[#This Row],[OppDaysOff]]-Games[[#This Row],[DaysOff]]</f>
        <v>-35</v>
      </c>
      <c r="M233" s="1">
        <f>MAX(-16, MIN(16, Games[[#This Row],[RestDiff]]*8))</f>
        <v>16</v>
      </c>
      <c r="N233" s="1">
        <f>MAX(-16, MIN(16, Games[[#This Row],[OppRestDiff]]*8))</f>
        <v>-16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1665.5553634938824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1348.3292932555808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0.92370953677258438</v>
      </c>
      <c r="R233" s="1">
        <v>98</v>
      </c>
      <c r="S233" s="1">
        <v>69</v>
      </c>
      <c r="T233" s="1">
        <v>0</v>
      </c>
      <c r="U233" s="1">
        <f>Games[[#This Row],[PointsFor]]-Games[[#This Row],[PointsAgainst]]</f>
        <v>29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0.54681076227672731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3.0453005836834266</v>
      </c>
      <c r="AB233" s="4">
        <f>Games[[#This Row],[PreGmRate]]+Games[[#This Row],[RatingChange]]</f>
        <v>1668.6006640775659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41138</v>
      </c>
      <c r="B234" s="2">
        <v>2012</v>
      </c>
      <c r="C234" s="2">
        <f>COUNTIFS(Games[Team],Games[[#This Row],[Team]],Games[Season],Games[[#This Row],[Season]],Games[Date],"&lt;=" &amp; Games[[#This Row],[Date]])</f>
        <v>19</v>
      </c>
      <c r="D234" s="2" t="s">
        <v>23</v>
      </c>
      <c r="E234" s="2" t="s">
        <v>29</v>
      </c>
      <c r="F234" s="1" t="s">
        <v>79</v>
      </c>
      <c r="G234" s="1" t="s">
        <v>86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35</v>
      </c>
      <c r="K234" s="2">
        <f>Games[[#This Row],[DaysOff]]-Games[[#This Row],[OppDaysOff]]</f>
        <v>-1</v>
      </c>
      <c r="L234" s="2">
        <f>Games[[#This Row],[OppDaysOff]]-Games[[#This Row],[DaysOff]]</f>
        <v>1</v>
      </c>
      <c r="M234" s="1">
        <f>MAX(-16, MIN(16, Games[[#This Row],[RestDiff]]*8))</f>
        <v>-8</v>
      </c>
      <c r="N234" s="1">
        <f>MAX(-16, MIN(16, Games[[#This Row],[OppRestDiff]]*8))</f>
        <v>8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1634.2044906558415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1321.6756363367265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0.77266386734634385</v>
      </c>
      <c r="R234" s="1">
        <v>89</v>
      </c>
      <c r="S234" s="1">
        <v>79</v>
      </c>
      <c r="T234" s="1">
        <v>0</v>
      </c>
      <c r="U234" s="1">
        <f>Games[[#This Row],[PointsFor]]-Games[[#This Row],[PointsAgainst]]</f>
        <v>10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0.33569980351040224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73.150000000000006</v>
      </c>
      <c r="Z234" s="4">
        <f>Games[[#This Row],[K]]*Games[[#This Row],[POMult]]</f>
        <v>73.150000000000006</v>
      </c>
      <c r="AA234" s="4">
        <f>(Games[[#This Row],[Keff]]*Games[[#This Row],[MOVMult]])*(Games[[#This Row],[Result]]-Games[[#This Row],[ExpectedWin%]])</f>
        <v>5.5825662438326367</v>
      </c>
      <c r="AB234" s="4">
        <f>Games[[#This Row],[PreGmRate]]+Games[[#This Row],[RatingChange]]</f>
        <v>1639.7870568996741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41138</v>
      </c>
      <c r="B235" s="2">
        <v>2012</v>
      </c>
      <c r="C235" s="2">
        <f>COUNTIFS(Games[Team],Games[[#This Row],[Team]],Games[Season],Games[[#This Row],[Season]],Games[Date],"&lt;=" &amp; Games[[#This Row],[Date]])</f>
        <v>19</v>
      </c>
      <c r="D235" s="2" t="s">
        <v>23</v>
      </c>
      <c r="E235" s="2" t="s">
        <v>29</v>
      </c>
      <c r="F235" s="1" t="s">
        <v>86</v>
      </c>
      <c r="G235" s="1" t="s">
        <v>79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35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35" s="2">
        <f>Games[[#This Row],[DaysOff]]-Games[[#This Row],[OppDaysOff]]</f>
        <v>1</v>
      </c>
      <c r="L235" s="2">
        <f>Games[[#This Row],[OppDaysOff]]-Games[[#This Row],[DaysOff]]</f>
        <v>-1</v>
      </c>
      <c r="M235" s="1">
        <f>MAX(-16, MIN(16, Games[[#This Row],[RestDiff]]*8))</f>
        <v>8</v>
      </c>
      <c r="N235" s="1">
        <f>MAX(-16, MIN(16, Games[[#This Row],[OppRestDiff]]*8))</f>
        <v>-8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1321.6756363367265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1634.2044906558415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0.22733613265365618</v>
      </c>
      <c r="R235" s="1">
        <v>79</v>
      </c>
      <c r="S235" s="1">
        <v>89</v>
      </c>
      <c r="T235" s="1">
        <v>0</v>
      </c>
      <c r="U235" s="1">
        <f>Games[[#This Row],[PointsFor]]-Games[[#This Row],[PointsAgainst]]</f>
        <v>-10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0.33569980351040224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73.150000000000006</v>
      </c>
      <c r="Z235" s="4">
        <f>Games[[#This Row],[K]]*Games[[#This Row],[POMult]]</f>
        <v>73.150000000000006</v>
      </c>
      <c r="AA235" s="4">
        <f>(Games[[#This Row],[Keff]]*Games[[#This Row],[MOVMult]])*(Games[[#This Row],[Result]]-Games[[#This Row],[ExpectedWin%]])</f>
        <v>-5.5825662438326367</v>
      </c>
      <c r="AB235" s="4">
        <f>Games[[#This Row],[PreGmRate]]+Games[[#This Row],[RatingChange]]</f>
        <v>1316.0930700928939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41139</v>
      </c>
      <c r="B236" s="2">
        <v>2012</v>
      </c>
      <c r="C236" s="2">
        <f>COUNTIFS(Games[Team],Games[[#This Row],[Team]],Games[Season],Games[[#This Row],[Season]],Games[Date],"&lt;=" &amp; Games[[#This Row],[Date]])</f>
        <v>20</v>
      </c>
      <c r="D236" s="2" t="s">
        <v>23</v>
      </c>
      <c r="E236" s="2" t="s">
        <v>29</v>
      </c>
      <c r="F236" s="1" t="s">
        <v>65</v>
      </c>
      <c r="G236" s="1" t="s">
        <v>81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1463.6621104002927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1593.0422564081273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0.22647650101740194</v>
      </c>
      <c r="R236" s="1">
        <v>74</v>
      </c>
      <c r="S236" s="1">
        <v>85</v>
      </c>
      <c r="T236" s="1">
        <v>0</v>
      </c>
      <c r="U236" s="1">
        <f>Games[[#This Row],[PointsFor]]-Games[[#This Row],[PointsAgainst]]</f>
        <v>-11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0.39702952228838773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-6.564003561619379</v>
      </c>
      <c r="AB236" s="4">
        <f>Games[[#This Row],[PreGmRate]]+Games[[#This Row],[RatingChange]]</f>
        <v>1457.0981068386734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41139</v>
      </c>
      <c r="B237" s="2">
        <v>2012</v>
      </c>
      <c r="C237" s="2">
        <f>COUNTIFS(Games[Team],Games[[#This Row],[Team]],Games[Season],Games[[#This Row],[Season]],Games[Date],"&lt;=" &amp; Games[[#This Row],[Date]])</f>
        <v>21</v>
      </c>
      <c r="D237" s="2" t="s">
        <v>23</v>
      </c>
      <c r="E237" s="2" t="s">
        <v>29</v>
      </c>
      <c r="F237" s="1" t="s">
        <v>81</v>
      </c>
      <c r="G237" s="1" t="s">
        <v>65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1593.0422564081273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1463.6621104002927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0.77352349898259809</v>
      </c>
      <c r="R237" s="1">
        <v>85</v>
      </c>
      <c r="S237" s="1">
        <v>74</v>
      </c>
      <c r="T237" s="1">
        <v>0</v>
      </c>
      <c r="U237" s="1">
        <f>Games[[#This Row],[PointsFor]]-Games[[#This Row],[PointsAgainst]]</f>
        <v>11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0.39702952228838773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72.849999999999994</v>
      </c>
      <c r="Z237" s="4">
        <f>Games[[#This Row],[K]]*Games[[#This Row],[POMult]]</f>
        <v>72.849999999999994</v>
      </c>
      <c r="AA237" s="4">
        <f>(Games[[#This Row],[Keff]]*Games[[#This Row],[MOVMult]])*(Games[[#This Row],[Result]]-Games[[#This Row],[ExpectedWin%]])</f>
        <v>6.5505158830681056</v>
      </c>
      <c r="AB237" s="4">
        <f>Games[[#This Row],[PreGmRate]]+Games[[#This Row],[RatingChange]]</f>
        <v>1599.5927722911954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41139</v>
      </c>
      <c r="B238" s="2">
        <v>2012</v>
      </c>
      <c r="C238" s="2">
        <f>COUNTIFS(Games[Team],Games[[#This Row],[Team]],Games[Season],Games[[#This Row],[Season]],Games[Date],"&lt;=" &amp; Games[[#This Row],[Date]])</f>
        <v>21</v>
      </c>
      <c r="D238" s="2" t="s">
        <v>23</v>
      </c>
      <c r="E238" s="2" t="s">
        <v>29</v>
      </c>
      <c r="F238" s="1" t="s">
        <v>84</v>
      </c>
      <c r="G238" s="1" t="s">
        <v>74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-1</v>
      </c>
      <c r="L238" s="2">
        <f>Games[[#This Row],[OppDaysOff]]-Games[[#This Row],[DaysOff]]</f>
        <v>1</v>
      </c>
      <c r="M238" s="1">
        <f>MAX(-16, MIN(16, Games[[#This Row],[RestDiff]]*8))</f>
        <v>-8</v>
      </c>
      <c r="N238" s="1">
        <f>MAX(-16, MIN(16, Games[[#This Row],[OppRestDiff]]*8))</f>
        <v>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1547.9400320492703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1555.7983328318082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0.34958081520779583</v>
      </c>
      <c r="R238" s="1">
        <v>72</v>
      </c>
      <c r="S238" s="1">
        <v>86</v>
      </c>
      <c r="T238" s="1">
        <v>0</v>
      </c>
      <c r="U238" s="1">
        <f>Games[[#This Row],[PointsFor]]-Games[[#This Row],[PointsAgainst]]</f>
        <v>-14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0.48443573543505242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72.849999999999994</v>
      </c>
      <c r="Z238" s="4">
        <f>Games[[#This Row],[K]]*Games[[#This Row],[POMult]]</f>
        <v>72.849999999999994</v>
      </c>
      <c r="AA238" s="4">
        <f>(Games[[#This Row],[Keff]]*Games[[#This Row],[MOVMult]])*(Games[[#This Row],[Result]]-Games[[#This Row],[ExpectedWin%]])</f>
        <v>-12.337106653673306</v>
      </c>
      <c r="AB238" s="4">
        <f>Games[[#This Row],[PreGmRate]]+Games[[#This Row],[RatingChange]]</f>
        <v>1535.6029253955969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41139</v>
      </c>
      <c r="B239" s="2">
        <v>2012</v>
      </c>
      <c r="C239" s="2">
        <f>COUNTIFS(Games[Team],Games[[#This Row],[Team]],Games[Season],Games[[#This Row],[Season]],Games[Date],"&lt;=" &amp; Games[[#This Row],[Date]])</f>
        <v>19</v>
      </c>
      <c r="D239" s="2" t="s">
        <v>23</v>
      </c>
      <c r="E239" s="2" t="s">
        <v>29</v>
      </c>
      <c r="F239" s="1" t="s">
        <v>74</v>
      </c>
      <c r="G239" s="1" t="s">
        <v>84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9" s="2">
        <f>Games[[#This Row],[DaysOff]]-Games[[#This Row],[OppDaysOff]]</f>
        <v>1</v>
      </c>
      <c r="L239" s="2">
        <f>Games[[#This Row],[OppDaysOff]]-Games[[#This Row],[DaysOff]]</f>
        <v>-1</v>
      </c>
      <c r="M239" s="1">
        <f>MAX(-16, MIN(16, Games[[#This Row],[RestDiff]]*8))</f>
        <v>8</v>
      </c>
      <c r="N239" s="1">
        <f>MAX(-16, MIN(16, Games[[#This Row],[OppRestDiff]]*8))</f>
        <v>-8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1555.7983328318082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1547.9400320492703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0.65041918479220417</v>
      </c>
      <c r="R239" s="1">
        <v>86</v>
      </c>
      <c r="S239" s="1">
        <v>72</v>
      </c>
      <c r="T239" s="1">
        <v>0</v>
      </c>
      <c r="U239" s="1">
        <f>Games[[#This Row],[PointsFor]]-Games[[#This Row],[PointsAgainst]]</f>
        <v>14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0.48443573543505242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73.150000000000006</v>
      </c>
      <c r="Z239" s="4">
        <f>Games[[#This Row],[K]]*Games[[#This Row],[POMult]]</f>
        <v>73.150000000000006</v>
      </c>
      <c r="AA239" s="4">
        <f>(Games[[#This Row],[Keff]]*Games[[#This Row],[MOVMult]])*(Games[[#This Row],[Result]]-Games[[#This Row],[ExpectedWin%]])</f>
        <v>12.387911485466059</v>
      </c>
      <c r="AB239" s="4">
        <f>Games[[#This Row],[PreGmRate]]+Games[[#This Row],[RatingChange]]</f>
        <v>1568.1862443172743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41139</v>
      </c>
      <c r="B240" s="2">
        <v>2012</v>
      </c>
      <c r="C240" s="2">
        <f>COUNTIFS(Games[Team],Games[[#This Row],[Team]],Games[Season],Games[[#This Row],[Season]],Games[Date],"&lt;=" &amp; Games[[#This Row],[Date]])</f>
        <v>22</v>
      </c>
      <c r="D240" s="2" t="s">
        <v>23</v>
      </c>
      <c r="E240" s="2" t="s">
        <v>29</v>
      </c>
      <c r="F240" s="1" t="s">
        <v>68</v>
      </c>
      <c r="G240" s="1" t="s">
        <v>76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36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35</v>
      </c>
      <c r="L240" s="2">
        <f>Games[[#This Row],[OppDaysOff]]-Games[[#This Row],[DaysOff]]</f>
        <v>-35</v>
      </c>
      <c r="M240" s="1">
        <f>MAX(-16, MIN(16, Games[[#This Row],[RestDiff]]*8))</f>
        <v>16</v>
      </c>
      <c r="N240" s="1">
        <f>MAX(-16, MIN(16, Games[[#This Row],[OppRestDiff]]*8))</f>
        <v>-16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1567.7195716588719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1512.2695902775868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0.5049647591352705</v>
      </c>
      <c r="R240" s="1">
        <v>82</v>
      </c>
      <c r="S240" s="1">
        <v>71</v>
      </c>
      <c r="T240" s="1">
        <v>0</v>
      </c>
      <c r="U240" s="1">
        <f>Games[[#This Row],[PointsFor]]-Games[[#This Row],[PointsAgainst]]</f>
        <v>11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0.42040955206232289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72.7</v>
      </c>
      <c r="Z240" s="4">
        <f>Games[[#This Row],[K]]*Games[[#This Row],[POMult]]</f>
        <v>72.7</v>
      </c>
      <c r="AA240" s="4">
        <f>(Games[[#This Row],[Keff]]*Games[[#This Row],[MOVMult]])*(Games[[#This Row],[Result]]-Games[[#This Row],[ExpectedWin%]])</f>
        <v>15.130145439131267</v>
      </c>
      <c r="AB240" s="4">
        <f>Games[[#This Row],[PreGmRate]]+Games[[#This Row],[RatingChange]]</f>
        <v>1582.8497170980031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41139</v>
      </c>
      <c r="B241" s="2">
        <v>2012</v>
      </c>
      <c r="C241" s="2">
        <f>COUNTIFS(Games[Team],Games[[#This Row],[Team]],Games[Season],Games[[#This Row],[Season]],Games[Date],"&lt;=" &amp; Games[[#This Row],[Date]])</f>
        <v>21</v>
      </c>
      <c r="D241" s="2" t="s">
        <v>23</v>
      </c>
      <c r="E241" s="2" t="s">
        <v>29</v>
      </c>
      <c r="F241" s="1" t="s">
        <v>76</v>
      </c>
      <c r="G241" s="1" t="s">
        <v>68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36</v>
      </c>
      <c r="K241" s="2">
        <f>Games[[#This Row],[DaysOff]]-Games[[#This Row],[OppDaysOff]]</f>
        <v>-35</v>
      </c>
      <c r="L241" s="2">
        <f>Games[[#This Row],[OppDaysOff]]-Games[[#This Row],[DaysOff]]</f>
        <v>35</v>
      </c>
      <c r="M241" s="1">
        <f>MAX(-16, MIN(16, Games[[#This Row],[RestDiff]]*8))</f>
        <v>-16</v>
      </c>
      <c r="N241" s="1">
        <f>MAX(-16, MIN(16, Games[[#This Row],[OppRestDiff]]*8))</f>
        <v>16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1512.2695902775868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1567.7195716588719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0.49503524086472955</v>
      </c>
      <c r="R241" s="1">
        <v>71</v>
      </c>
      <c r="S241" s="1">
        <v>82</v>
      </c>
      <c r="T241" s="1">
        <v>0</v>
      </c>
      <c r="U241" s="1">
        <f>Games[[#This Row],[PointsFor]]-Games[[#This Row],[PointsAgainst]]</f>
        <v>-11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0.42040955206232289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72.849999999999994</v>
      </c>
      <c r="Z241" s="4">
        <f>Games[[#This Row],[K]]*Games[[#This Row],[POMult]]</f>
        <v>72.849999999999994</v>
      </c>
      <c r="AA241" s="4">
        <f>(Games[[#This Row],[Keff]]*Games[[#This Row],[MOVMult]])*(Games[[#This Row],[Result]]-Games[[#This Row],[ExpectedWin%]])</f>
        <v>-15.161363070711317</v>
      </c>
      <c r="AB241" s="4">
        <f>Games[[#This Row],[PreGmRate]]+Games[[#This Row],[RatingChange]]</f>
        <v>1497.1082272068754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41140</v>
      </c>
      <c r="B242" s="2">
        <v>2012</v>
      </c>
      <c r="C242" s="2">
        <f>COUNTIFS(Games[Team],Games[[#This Row],[Team]],Games[Season],Games[[#This Row],[Season]],Games[Date],"&lt;=" &amp; Games[[#This Row],[Date]])</f>
        <v>20</v>
      </c>
      <c r="D242" s="2" t="s">
        <v>23</v>
      </c>
      <c r="E242" s="2" t="s">
        <v>29</v>
      </c>
      <c r="F242" s="1" t="s">
        <v>86</v>
      </c>
      <c r="G242" s="1" t="s">
        <v>72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1316.0930700928939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1668.6006640775659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7.496989172362116E-2</v>
      </c>
      <c r="R242" s="1">
        <v>59</v>
      </c>
      <c r="S242" s="1">
        <v>83</v>
      </c>
      <c r="T242" s="1">
        <v>0</v>
      </c>
      <c r="U242" s="1">
        <f>Games[[#This Row],[PointsFor]]-Games[[#This Row],[PointsAgainst]]</f>
        <v>-24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0.48574133888919935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-2.6583662175013334</v>
      </c>
      <c r="AB242" s="4">
        <f>Games[[#This Row],[PreGmRate]]+Games[[#This Row],[RatingChange]]</f>
        <v>1313.4347038753926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41140</v>
      </c>
      <c r="B243" s="2">
        <v>2012</v>
      </c>
      <c r="C243" s="2">
        <f>COUNTIFS(Games[Team],Games[[#This Row],[Team]],Games[Season],Games[[#This Row],[Season]],Games[Date],"&lt;=" &amp; Games[[#This Row],[Date]])</f>
        <v>21</v>
      </c>
      <c r="D243" s="2" t="s">
        <v>23</v>
      </c>
      <c r="E243" s="2" t="s">
        <v>29</v>
      </c>
      <c r="F243" s="1" t="s">
        <v>72</v>
      </c>
      <c r="G243" s="1" t="s">
        <v>86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1668.6006640775659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1316.0930700928939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0.92503010827637877</v>
      </c>
      <c r="R243" s="1">
        <v>83</v>
      </c>
      <c r="S243" s="1">
        <v>59</v>
      </c>
      <c r="T243" s="1">
        <v>0</v>
      </c>
      <c r="U243" s="1">
        <f>Games[[#This Row],[PointsFor]]-Games[[#This Row],[PointsAgainst]]</f>
        <v>24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0.48574133888919935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2.6529038211640041</v>
      </c>
      <c r="AB243" s="4">
        <f>Games[[#This Row],[PreGmRate]]+Games[[#This Row],[RatingChange]]</f>
        <v>1671.2535678987299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41140</v>
      </c>
      <c r="B244" s="2">
        <v>2012</v>
      </c>
      <c r="C244" s="2">
        <f>COUNTIFS(Games[Team],Games[[#This Row],[Team]],Games[Season],Games[[#This Row],[Season]],Games[Date],"&lt;=" &amp; Games[[#This Row],[Date]])</f>
        <v>20</v>
      </c>
      <c r="D244" s="2" t="s">
        <v>23</v>
      </c>
      <c r="E244" s="2" t="s">
        <v>29</v>
      </c>
      <c r="F244" s="1" t="s">
        <v>79</v>
      </c>
      <c r="G244" s="1" t="s">
        <v>44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4" s="2">
        <f>Games[[#This Row],[DaysOff]]-Games[[#This Row],[OppDaysOff]]</f>
        <v>-1</v>
      </c>
      <c r="L244" s="2">
        <f>Games[[#This Row],[OppDaysOff]]-Games[[#This Row],[DaysOff]]</f>
        <v>1</v>
      </c>
      <c r="M244" s="1">
        <f>MAX(-16, MIN(16, Games[[#This Row],[RestDiff]]*8))</f>
        <v>-8</v>
      </c>
      <c r="N244" s="1">
        <f>MAX(-16, MIN(16, Games[[#This Row],[OppRestDiff]]*8))</f>
        <v>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1639.7870568996741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1350.8483315352969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0.74793304801885707</v>
      </c>
      <c r="R244" s="1">
        <v>89</v>
      </c>
      <c r="S244" s="1">
        <v>47</v>
      </c>
      <c r="T244" s="1">
        <v>0</v>
      </c>
      <c r="U244" s="1">
        <f>Games[[#This Row],[PointsFor]]-Games[[#This Row],[PointsAgainst]]</f>
        <v>42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0.67667773859803315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</v>
      </c>
      <c r="Z244" s="4">
        <f>Games[[#This Row],[K]]*Games[[#This Row],[POMult]]</f>
        <v>73</v>
      </c>
      <c r="AA244" s="4">
        <f>(Games[[#This Row],[Keff]]*Games[[#This Row],[MOVMult]])*(Games[[#This Row],[Result]]-Games[[#This Row],[ExpectedWin%]])</f>
        <v>12.451470938058613</v>
      </c>
      <c r="AB244" s="4">
        <f>Games[[#This Row],[PreGmRate]]+Games[[#This Row],[RatingChange]]</f>
        <v>1652.2385278377328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41140</v>
      </c>
      <c r="B245" s="2">
        <v>2012</v>
      </c>
      <c r="C245" s="2">
        <f>COUNTIFS(Games[Team],Games[[#This Row],[Team]],Games[Season],Games[[#This Row],[Season]],Games[Date],"&lt;=" &amp; Games[[#This Row],[Date]])</f>
        <v>21</v>
      </c>
      <c r="D245" s="2" t="s">
        <v>23</v>
      </c>
      <c r="E245" s="2" t="s">
        <v>29</v>
      </c>
      <c r="F245" s="1" t="s">
        <v>44</v>
      </c>
      <c r="G245" s="1" t="s">
        <v>79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1</v>
      </c>
      <c r="L245" s="2">
        <f>Games[[#This Row],[OppDaysOff]]-Games[[#This Row],[DaysOff]]</f>
        <v>-1</v>
      </c>
      <c r="M245" s="1">
        <f>MAX(-16, MIN(16, Games[[#This Row],[RestDiff]]*8))</f>
        <v>8</v>
      </c>
      <c r="N245" s="1">
        <f>MAX(-16, MIN(16, Games[[#This Row],[OppRestDiff]]*8))</f>
        <v>-8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1350.8483315352969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1639.7870568996741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0.25206695198114287</v>
      </c>
      <c r="R245" s="1">
        <v>47</v>
      </c>
      <c r="S245" s="1">
        <v>89</v>
      </c>
      <c r="T245" s="1">
        <v>0</v>
      </c>
      <c r="U245" s="1">
        <f>Games[[#This Row],[PointsFor]]-Games[[#This Row],[PointsAgainst]]</f>
        <v>-42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0.67667773859803315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-12.425885723802324</v>
      </c>
      <c r="AB245" s="4">
        <f>Games[[#This Row],[PreGmRate]]+Games[[#This Row],[RatingChange]]</f>
        <v>1338.4224458114945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41140</v>
      </c>
      <c r="B246" s="2">
        <v>2012</v>
      </c>
      <c r="C246" s="2">
        <f>COUNTIFS(Games[Team],Games[[#This Row],[Team]],Games[Season],Games[[#This Row],[Season]],Games[Date],"&lt;=" &amp; Games[[#This Row],[Date]])</f>
        <v>19</v>
      </c>
      <c r="D246" s="2" t="s">
        <v>23</v>
      </c>
      <c r="E246" s="2" t="s">
        <v>29</v>
      </c>
      <c r="F246" s="1" t="s">
        <v>82</v>
      </c>
      <c r="G246" s="1" t="s">
        <v>70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1448.1916020683846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1345.2839926718973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0.52718340715852652</v>
      </c>
      <c r="R246" s="1">
        <v>71</v>
      </c>
      <c r="S246" s="1">
        <v>75</v>
      </c>
      <c r="T246" s="1">
        <v>1</v>
      </c>
      <c r="U246" s="1">
        <f>Games[[#This Row],[PointsFor]]-Games[[#This Row],[PointsAgainst]]</f>
        <v>-4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0.25815134647343668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73.150000000000006</v>
      </c>
      <c r="Z246" s="4">
        <f>Games[[#This Row],[K]]*Games[[#This Row],[POMult]]</f>
        <v>73.150000000000006</v>
      </c>
      <c r="AA246" s="4">
        <f>(Games[[#This Row],[Keff]]*Games[[#This Row],[MOVMult]])*(Games[[#This Row],[Result]]-Games[[#This Row],[ExpectedWin%]])</f>
        <v>-9.9552107328986796</v>
      </c>
      <c r="AB246" s="4">
        <f>Games[[#This Row],[PreGmRate]]+Games[[#This Row],[RatingChange]]</f>
        <v>1438.2363913354859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41140</v>
      </c>
      <c r="B247" s="2">
        <v>2012</v>
      </c>
      <c r="C247" s="2">
        <f>COUNTIFS(Games[Team],Games[[#This Row],[Team]],Games[Season],Games[[#This Row],[Season]],Games[Date],"&lt;=" &amp; Games[[#This Row],[Date]])</f>
        <v>21</v>
      </c>
      <c r="D247" s="2" t="s">
        <v>23</v>
      </c>
      <c r="E247" s="2" t="s">
        <v>29</v>
      </c>
      <c r="F247" s="1" t="s">
        <v>70</v>
      </c>
      <c r="G247" s="1" t="s">
        <v>82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1345.2839926718973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1448.1916020683846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0.47281659284147348</v>
      </c>
      <c r="R247" s="1">
        <v>75</v>
      </c>
      <c r="S247" s="1">
        <v>71</v>
      </c>
      <c r="T247" s="1">
        <v>1</v>
      </c>
      <c r="U247" s="1">
        <f>Games[[#This Row],[PointsFor]]-Games[[#This Row],[PointsAgainst]]</f>
        <v>4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0.25815134647343668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72.849999999999994</v>
      </c>
      <c r="Z247" s="4">
        <f>Games[[#This Row],[K]]*Games[[#This Row],[POMult]]</f>
        <v>72.849999999999994</v>
      </c>
      <c r="AA247" s="4">
        <f>(Games[[#This Row],[Keff]]*Games[[#This Row],[MOVMult]])*(Games[[#This Row],[Result]]-Games[[#This Row],[ExpectedWin%]])</f>
        <v>9.9143828009797517</v>
      </c>
      <c r="AB247" s="4">
        <f>Games[[#This Row],[PreGmRate]]+Games[[#This Row],[RatingChange]]</f>
        <v>1355.1983754728772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41142</v>
      </c>
      <c r="B248" s="2">
        <v>2012</v>
      </c>
      <c r="C248" s="2">
        <f>COUNTIFS(Games[Team],Games[[#This Row],[Team]],Games[Season],Games[[#This Row],[Season]],Games[Date],"&lt;=" &amp; Games[[#This Row],[Date]])</f>
        <v>21</v>
      </c>
      <c r="D248" s="2" t="s">
        <v>23</v>
      </c>
      <c r="E248" s="2" t="s">
        <v>29</v>
      </c>
      <c r="F248" s="1" t="s">
        <v>65</v>
      </c>
      <c r="G248" s="1" t="s">
        <v>82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1</v>
      </c>
      <c r="L248" s="2">
        <f>Games[[#This Row],[OppDaysOff]]-Games[[#This Row],[DaysOff]]</f>
        <v>-1</v>
      </c>
      <c r="M248" s="1">
        <f>MAX(-16, MIN(16, Games[[#This Row],[RestDiff]]*8))</f>
        <v>8</v>
      </c>
      <c r="N248" s="1">
        <f>MAX(-16, MIN(16, Games[[#This Row],[OppRestDiff]]*8))</f>
        <v>-8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1457.0981068386734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1438.2363913354859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0.42975208635115014</v>
      </c>
      <c r="R248" s="1">
        <v>77</v>
      </c>
      <c r="S248" s="1">
        <v>67</v>
      </c>
      <c r="T248" s="1">
        <v>0</v>
      </c>
      <c r="U248" s="1">
        <f>Games[[#This Row],[PointsFor]]-Games[[#This Row],[PointsAgainst]]</f>
        <v>10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0.41658182609265237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72.849999999999994</v>
      </c>
      <c r="Z248" s="4">
        <f>Games[[#This Row],[K]]*Games[[#This Row],[POMult]]</f>
        <v>72.849999999999994</v>
      </c>
      <c r="AA248" s="4">
        <f>(Games[[#This Row],[Keff]]*Games[[#This Row],[MOVMult]])*(Games[[#This Row],[Result]]-Games[[#This Row],[ExpectedWin%]])</f>
        <v>17.305875717536495</v>
      </c>
      <c r="AB248" s="4">
        <f>Games[[#This Row],[PreGmRate]]+Games[[#This Row],[RatingChange]]</f>
        <v>1474.4039825562099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41142</v>
      </c>
      <c r="B249" s="2">
        <v>2012</v>
      </c>
      <c r="C249" s="2">
        <f>COUNTIFS(Games[Team],Games[[#This Row],[Team]],Games[Season],Games[[#This Row],[Season]],Games[Date],"&lt;=" &amp; Games[[#This Row],[Date]])</f>
        <v>20</v>
      </c>
      <c r="D249" s="2" t="s">
        <v>23</v>
      </c>
      <c r="E249" s="2" t="s">
        <v>29</v>
      </c>
      <c r="F249" s="1" t="s">
        <v>82</v>
      </c>
      <c r="G249" s="1" t="s">
        <v>65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-1</v>
      </c>
      <c r="L249" s="2">
        <f>Games[[#This Row],[OppDaysOff]]-Games[[#This Row],[DaysOff]]</f>
        <v>1</v>
      </c>
      <c r="M249" s="1">
        <f>MAX(-16, MIN(16, Games[[#This Row],[RestDiff]]*8))</f>
        <v>-8</v>
      </c>
      <c r="N249" s="1">
        <f>MAX(-16, MIN(16, Games[[#This Row],[OppRestDiff]]*8))</f>
        <v>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1438.2363913354859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1457.0981068386734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0.57024791364884997</v>
      </c>
      <c r="R249" s="1">
        <v>67</v>
      </c>
      <c r="S249" s="1">
        <v>77</v>
      </c>
      <c r="T249" s="1">
        <v>0</v>
      </c>
      <c r="U249" s="1">
        <f>Games[[#This Row],[PointsFor]]-Games[[#This Row],[PointsAgainst]]</f>
        <v>-10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0.41658182609265237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</v>
      </c>
      <c r="Z249" s="4">
        <f>Games[[#This Row],[K]]*Games[[#This Row],[POMult]]</f>
        <v>73</v>
      </c>
      <c r="AA249" s="4">
        <f>(Games[[#This Row],[Keff]]*Games[[#This Row],[MOVMult]])*(Games[[#This Row],[Result]]-Games[[#This Row],[ExpectedWin%]])</f>
        <v>-17.341508955115504</v>
      </c>
      <c r="AB249" s="4">
        <f>Games[[#This Row],[PreGmRate]]+Games[[#This Row],[RatingChange]]</f>
        <v>1420.8948823803703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41142</v>
      </c>
      <c r="B250" s="2">
        <v>2012</v>
      </c>
      <c r="C250" s="2">
        <f>COUNTIFS(Games[Team],Games[[#This Row],[Team]],Games[Season],Games[[#This Row],[Season]],Games[Date],"&lt;=" &amp; Games[[#This Row],[Date]])</f>
        <v>21</v>
      </c>
      <c r="D250" s="2" t="s">
        <v>23</v>
      </c>
      <c r="E250" s="2" t="s">
        <v>29</v>
      </c>
      <c r="F250" s="1" t="s">
        <v>86</v>
      </c>
      <c r="G250" s="1" t="s">
        <v>81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-1</v>
      </c>
      <c r="L250" s="2">
        <f>Games[[#This Row],[OppDaysOff]]-Games[[#This Row],[DaysOff]]</f>
        <v>1</v>
      </c>
      <c r="M250" s="1">
        <f>MAX(-16, MIN(16, Games[[#This Row],[RestDiff]]*8))</f>
        <v>-8</v>
      </c>
      <c r="N250" s="1">
        <f>MAX(-16, MIN(16, Games[[#This Row],[OppRestDiff]]*8))</f>
        <v>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1313.4347038753926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1599.5927722911954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9.7712427897863358E-2</v>
      </c>
      <c r="R250" s="1">
        <v>80</v>
      </c>
      <c r="S250" s="1">
        <v>82</v>
      </c>
      <c r="T250" s="1">
        <v>1</v>
      </c>
      <c r="U250" s="1">
        <f>Games[[#This Row],[PointsFor]]-Games[[#This Row],[PointsAgainst]]</f>
        <v>-2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0.19464189753570063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-1.3855292237999841</v>
      </c>
      <c r="AB250" s="4">
        <f>Games[[#This Row],[PreGmRate]]+Games[[#This Row],[RatingChange]]</f>
        <v>1312.0491746515927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41142</v>
      </c>
      <c r="B251" s="2">
        <v>2012</v>
      </c>
      <c r="C251" s="2">
        <f>COUNTIFS(Games[Team],Games[[#This Row],[Team]],Games[Season],Games[[#This Row],[Season]],Games[Date],"&lt;=" &amp; Games[[#This Row],[Date]])</f>
        <v>22</v>
      </c>
      <c r="D251" s="2" t="s">
        <v>23</v>
      </c>
      <c r="E251" s="2" t="s">
        <v>29</v>
      </c>
      <c r="F251" s="1" t="s">
        <v>81</v>
      </c>
      <c r="G251" s="1" t="s">
        <v>86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1</v>
      </c>
      <c r="L251" s="2">
        <f>Games[[#This Row],[OppDaysOff]]-Games[[#This Row],[DaysOff]]</f>
        <v>-1</v>
      </c>
      <c r="M251" s="1">
        <f>MAX(-16, MIN(16, Games[[#This Row],[RestDiff]]*8))</f>
        <v>8</v>
      </c>
      <c r="N251" s="1">
        <f>MAX(-16, MIN(16, Games[[#This Row],[OppRestDiff]]*8))</f>
        <v>-8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1599.5927722911954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1313.4347038753926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0.90228757210213661</v>
      </c>
      <c r="R251" s="1">
        <v>82</v>
      </c>
      <c r="S251" s="1">
        <v>80</v>
      </c>
      <c r="T251" s="1">
        <v>1</v>
      </c>
      <c r="U251" s="1">
        <f>Games[[#This Row],[PointsFor]]-Games[[#This Row],[PointsAgainst]]</f>
        <v>2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0.19464189753570063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72.7</v>
      </c>
      <c r="Z251" s="4">
        <f>Games[[#This Row],[K]]*Games[[#This Row],[POMult]]</f>
        <v>72.7</v>
      </c>
      <c r="AA251" s="4">
        <f>(Games[[#This Row],[Keff]]*Games[[#This Row],[MOVMult]])*(Games[[#This Row],[Result]]-Games[[#This Row],[ExpectedWin%]])</f>
        <v>1.3826763839431555</v>
      </c>
      <c r="AB251" s="4">
        <f>Games[[#This Row],[PreGmRate]]+Games[[#This Row],[RatingChange]]</f>
        <v>1600.9754486751385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41142</v>
      </c>
      <c r="B252" s="2">
        <v>2012</v>
      </c>
      <c r="C252" s="2">
        <f>COUNTIFS(Games[Team],Games[[#This Row],[Team]],Games[Season],Games[[#This Row],[Season]],Games[Date],"&lt;=" &amp; Games[[#This Row],[Date]])</f>
        <v>20</v>
      </c>
      <c r="D252" s="2" t="s">
        <v>23</v>
      </c>
      <c r="E252" s="2" t="s">
        <v>29</v>
      </c>
      <c r="F252" s="1" t="s">
        <v>74</v>
      </c>
      <c r="G252" s="1" t="s">
        <v>68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1568.1862443172743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1582.8497170980031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0.36170938485631837</v>
      </c>
      <c r="R252" s="1">
        <v>69</v>
      </c>
      <c r="S252" s="1">
        <v>79</v>
      </c>
      <c r="T252" s="1">
        <v>0</v>
      </c>
      <c r="U252" s="1">
        <f>Games[[#This Row],[PointsFor]]-Games[[#This Row],[PointsAgainst]]</f>
        <v>-10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0.41802165832511273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</v>
      </c>
      <c r="Z252" s="4">
        <f>Games[[#This Row],[K]]*Games[[#This Row],[POMult]]</f>
        <v>73</v>
      </c>
      <c r="AA252" s="4">
        <f>(Games[[#This Row],[Keff]]*Games[[#This Row],[MOVMult]])*(Games[[#This Row],[Result]]-Games[[#This Row],[ExpectedWin%]])</f>
        <v>-11.037772052925808</v>
      </c>
      <c r="AB252" s="4">
        <f>Games[[#This Row],[PreGmRate]]+Games[[#This Row],[RatingChange]]</f>
        <v>1557.1484722643484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41142</v>
      </c>
      <c r="B253" s="2">
        <v>2012</v>
      </c>
      <c r="C253" s="2">
        <f>COUNTIFS(Games[Team],Games[[#This Row],[Team]],Games[Season],Games[[#This Row],[Season]],Games[Date],"&lt;=" &amp; Games[[#This Row],[Date]])</f>
        <v>23</v>
      </c>
      <c r="D253" s="2" t="s">
        <v>23</v>
      </c>
      <c r="E253" s="2" t="s">
        <v>29</v>
      </c>
      <c r="F253" s="1" t="s">
        <v>68</v>
      </c>
      <c r="G253" s="1" t="s">
        <v>74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1582.8497170980031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1568.1862443172743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0.63829061514368168</v>
      </c>
      <c r="R253" s="1">
        <v>79</v>
      </c>
      <c r="S253" s="1">
        <v>69</v>
      </c>
      <c r="T253" s="1">
        <v>0</v>
      </c>
      <c r="U253" s="1">
        <f>Games[[#This Row],[PointsFor]]-Games[[#This Row],[PointsAgainst]]</f>
        <v>10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0.41802165832511273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72.55</v>
      </c>
      <c r="Z253" s="4">
        <f>Games[[#This Row],[K]]*Games[[#This Row],[POMult]]</f>
        <v>72.55</v>
      </c>
      <c r="AA253" s="4">
        <f>(Games[[#This Row],[Keff]]*Games[[#This Row],[MOVMult]])*(Games[[#This Row],[Result]]-Games[[#This Row],[ExpectedWin%]])</f>
        <v>10.969730992325578</v>
      </c>
      <c r="AB253" s="4">
        <f>Games[[#This Row],[PreGmRate]]+Games[[#This Row],[RatingChange]]</f>
        <v>1593.8194480903287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41142</v>
      </c>
      <c r="B254" s="2">
        <v>2012</v>
      </c>
      <c r="C254" s="2">
        <f>COUNTIFS(Games[Team],Games[[#This Row],[Team]],Games[Season],Games[[#This Row],[Season]],Games[Date],"&lt;=" &amp; Games[[#This Row],[Date]])</f>
        <v>22</v>
      </c>
      <c r="D254" s="2" t="s">
        <v>23</v>
      </c>
      <c r="E254" s="2" t="s">
        <v>29</v>
      </c>
      <c r="F254" s="1" t="s">
        <v>70</v>
      </c>
      <c r="G254" s="1" t="s">
        <v>79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1355.1983754728772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1652.2385278377328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0.10034081772592196</v>
      </c>
      <c r="R254" s="1">
        <v>72</v>
      </c>
      <c r="S254" s="1">
        <v>75</v>
      </c>
      <c r="T254" s="1">
        <v>0</v>
      </c>
      <c r="U254" s="1">
        <f>Games[[#This Row],[PointsFor]]-Games[[#This Row],[PointsAgainst]]</f>
        <v>-3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0.23260580203434791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72.7</v>
      </c>
      <c r="Z254" s="4">
        <f>Games[[#This Row],[K]]*Games[[#This Row],[POMult]]</f>
        <v>72.7</v>
      </c>
      <c r="AA254" s="4">
        <f>(Games[[#This Row],[Keff]]*Games[[#This Row],[MOVMult]])*(Games[[#This Row],[Result]]-Games[[#This Row],[ExpectedWin%]])</f>
        <v>-1.6968075591110126</v>
      </c>
      <c r="AB254" s="4">
        <f>Games[[#This Row],[PreGmRate]]+Games[[#This Row],[RatingChange]]</f>
        <v>1353.5015679137662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41142</v>
      </c>
      <c r="B255" s="2">
        <v>2012</v>
      </c>
      <c r="C255" s="2">
        <f>COUNTIFS(Games[Team],Games[[#This Row],[Team]],Games[Season],Games[[#This Row],[Season]],Games[Date],"&lt;=" &amp; Games[[#This Row],[Date]])</f>
        <v>21</v>
      </c>
      <c r="D255" s="2" t="s">
        <v>23</v>
      </c>
      <c r="E255" s="2" t="s">
        <v>29</v>
      </c>
      <c r="F255" s="1" t="s">
        <v>79</v>
      </c>
      <c r="G255" s="1" t="s">
        <v>70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1652.2385278377328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1355.1983754728772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0.89965918227407815</v>
      </c>
      <c r="R255" s="1">
        <v>75</v>
      </c>
      <c r="S255" s="1">
        <v>72</v>
      </c>
      <c r="T255" s="1">
        <v>0</v>
      </c>
      <c r="U255" s="1">
        <f>Games[[#This Row],[PointsFor]]-Games[[#This Row],[PointsAgainst]]</f>
        <v>3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0.23260580203434791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72.849999999999994</v>
      </c>
      <c r="Z255" s="4">
        <f>Games[[#This Row],[K]]*Games[[#This Row],[POMult]]</f>
        <v>72.849999999999994</v>
      </c>
      <c r="AA255" s="4">
        <f>(Games[[#This Row],[Keff]]*Games[[#This Row],[MOVMult]])*(Games[[#This Row],[Result]]-Games[[#This Row],[ExpectedWin%]])</f>
        <v>1.7003085375685987</v>
      </c>
      <c r="AB255" s="4">
        <f>Games[[#This Row],[PreGmRate]]+Games[[#This Row],[RatingChange]]</f>
        <v>1653.9388363753014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41142</v>
      </c>
      <c r="B256" s="2">
        <v>2012</v>
      </c>
      <c r="C256" s="2">
        <f>COUNTIFS(Games[Team],Games[[#This Row],[Team]],Games[Season],Games[[#This Row],[Season]],Games[Date],"&lt;=" &amp; Games[[#This Row],[Date]])</f>
        <v>22</v>
      </c>
      <c r="D256" s="2" t="s">
        <v>23</v>
      </c>
      <c r="E256" s="2" t="s">
        <v>29</v>
      </c>
      <c r="F256" s="1" t="s">
        <v>72</v>
      </c>
      <c r="G256" s="1" t="s">
        <v>76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6" s="2">
        <f>Games[[#This Row],[DaysOff]]-Games[[#This Row],[OppDaysOff]]</f>
        <v>-1</v>
      </c>
      <c r="L256" s="2">
        <f>Games[[#This Row],[OppDaysOff]]-Games[[#This Row],[DaysOff]]</f>
        <v>1</v>
      </c>
      <c r="M256" s="1">
        <f>MAX(-16, MIN(16, Games[[#This Row],[RestDiff]]*8))</f>
        <v>-8</v>
      </c>
      <c r="N256" s="1">
        <f>MAX(-16, MIN(16, Games[[#This Row],[OppRestDiff]]*8))</f>
        <v>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1671.2535678987299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1497.1082272068754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0.60511283776512614</v>
      </c>
      <c r="R256" s="1">
        <v>86</v>
      </c>
      <c r="S256" s="1">
        <v>73</v>
      </c>
      <c r="T256" s="1">
        <v>0</v>
      </c>
      <c r="U256" s="1">
        <f>Games[[#This Row],[PointsFor]]-Games[[#This Row],[PointsAgainst]]</f>
        <v>13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0.41222168427376371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72.7</v>
      </c>
      <c r="Z256" s="4">
        <f>Games[[#This Row],[K]]*Games[[#This Row],[POMult]]</f>
        <v>72.7</v>
      </c>
      <c r="AA256" s="4">
        <f>(Games[[#This Row],[Keff]]*Games[[#This Row],[MOVMult]])*(Games[[#This Row],[Result]]-Games[[#This Row],[ExpectedWin%]])</f>
        <v>11.834182416027543</v>
      </c>
      <c r="AB256" s="4">
        <f>Games[[#This Row],[PreGmRate]]+Games[[#This Row],[RatingChange]]</f>
        <v>1683.0877503147574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41142</v>
      </c>
      <c r="B257" s="2">
        <v>2012</v>
      </c>
      <c r="C257" s="2">
        <f>COUNTIFS(Games[Team],Games[[#This Row],[Team]],Games[Season],Games[[#This Row],[Season]],Games[Date],"&lt;=" &amp; Games[[#This Row],[Date]])</f>
        <v>22</v>
      </c>
      <c r="D257" s="2" t="s">
        <v>23</v>
      </c>
      <c r="E257" s="2" t="s">
        <v>29</v>
      </c>
      <c r="F257" s="1" t="s">
        <v>76</v>
      </c>
      <c r="G257" s="1" t="s">
        <v>72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1</v>
      </c>
      <c r="L257" s="2">
        <f>Games[[#This Row],[OppDaysOff]]-Games[[#This Row],[DaysOff]]</f>
        <v>-1</v>
      </c>
      <c r="M257" s="1">
        <f>MAX(-16, MIN(16, Games[[#This Row],[RestDiff]]*8))</f>
        <v>8</v>
      </c>
      <c r="N257" s="1">
        <f>MAX(-16, MIN(16, Games[[#This Row],[OppRestDiff]]*8))</f>
        <v>-8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1497.1082272068754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1671.2535678987299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0.39488716223487391</v>
      </c>
      <c r="R257" s="1">
        <v>73</v>
      </c>
      <c r="S257" s="1">
        <v>86</v>
      </c>
      <c r="T257" s="1">
        <v>0</v>
      </c>
      <c r="U257" s="1">
        <f>Games[[#This Row],[PointsFor]]-Games[[#This Row],[PointsAgainst]]</f>
        <v>-13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0.41222168427376371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72.7</v>
      </c>
      <c r="Z257" s="4">
        <f>Games[[#This Row],[K]]*Games[[#This Row],[POMult]]</f>
        <v>72.7</v>
      </c>
      <c r="AA257" s="4">
        <f>(Games[[#This Row],[Keff]]*Games[[#This Row],[MOVMult]])*(Games[[#This Row],[Result]]-Games[[#This Row],[ExpectedWin%]])</f>
        <v>-11.834182416027545</v>
      </c>
      <c r="AB257" s="4">
        <f>Games[[#This Row],[PreGmRate]]+Games[[#This Row],[RatingChange]]</f>
        <v>1485.2740447908479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41143</v>
      </c>
      <c r="B258" s="2">
        <v>2012</v>
      </c>
      <c r="C258" s="2">
        <f>COUNTIFS(Games[Team],Games[[#This Row],[Team]],Games[Season],Games[[#This Row],[Season]],Games[Date],"&lt;=" &amp; Games[[#This Row],[Date]])</f>
        <v>21</v>
      </c>
      <c r="D258" s="2" t="s">
        <v>23</v>
      </c>
      <c r="E258" s="2" t="s">
        <v>29</v>
      </c>
      <c r="F258" s="1" t="s">
        <v>82</v>
      </c>
      <c r="G258" s="1" t="s">
        <v>84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8" s="2">
        <f>Games[[#This Row],[DaysOff]]-Games[[#This Row],[OppDaysOff]]</f>
        <v>-3</v>
      </c>
      <c r="L258" s="2">
        <f>Games[[#This Row],[OppDaysOff]]-Games[[#This Row],[DaysOff]]</f>
        <v>3</v>
      </c>
      <c r="M258" s="1">
        <f>MAX(-16, MIN(16, Games[[#This Row],[RestDiff]]*8))</f>
        <v>-16</v>
      </c>
      <c r="N258" s="1">
        <f>MAX(-16, MIN(16, Games[[#This Row],[OppRestDiff]]*8))</f>
        <v>16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1420.8948823803703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1535.6029253955969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0.2094800721443614</v>
      </c>
      <c r="R258" s="1">
        <v>71</v>
      </c>
      <c r="S258" s="1">
        <v>82</v>
      </c>
      <c r="T258" s="1">
        <v>0</v>
      </c>
      <c r="U258" s="1">
        <f>Games[[#This Row],[PointsFor]]-Games[[#This Row],[PointsAgainst]]</f>
        <v>-11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0.40146036004972152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72.849999999999994</v>
      </c>
      <c r="Z258" s="4">
        <f>Games[[#This Row],[K]]*Games[[#This Row],[POMult]]</f>
        <v>72.849999999999994</v>
      </c>
      <c r="AA258" s="4">
        <f>(Games[[#This Row],[Keff]]*Games[[#This Row],[MOVMult]])*(Games[[#This Row],[Result]]-Games[[#This Row],[ExpectedWin%]])</f>
        <v>-6.1265353068231905</v>
      </c>
      <c r="AB258" s="4">
        <f>Games[[#This Row],[PreGmRate]]+Games[[#This Row],[RatingChange]]</f>
        <v>1414.7683470735471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41143</v>
      </c>
      <c r="B259" s="2">
        <v>2012</v>
      </c>
      <c r="C259" s="2">
        <f>COUNTIFS(Games[Team],Games[[#This Row],[Team]],Games[Season],Games[[#This Row],[Season]],Games[Date],"&lt;=" &amp; Games[[#This Row],[Date]])</f>
        <v>22</v>
      </c>
      <c r="D259" s="2" t="s">
        <v>23</v>
      </c>
      <c r="E259" s="2" t="s">
        <v>29</v>
      </c>
      <c r="F259" s="1" t="s">
        <v>84</v>
      </c>
      <c r="G259" s="1" t="s">
        <v>82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9" s="2">
        <f>Games[[#This Row],[DaysOff]]-Games[[#This Row],[OppDaysOff]]</f>
        <v>3</v>
      </c>
      <c r="L259" s="2">
        <f>Games[[#This Row],[OppDaysOff]]-Games[[#This Row],[DaysOff]]</f>
        <v>-3</v>
      </c>
      <c r="M259" s="1">
        <f>MAX(-16, MIN(16, Games[[#This Row],[RestDiff]]*8))</f>
        <v>16</v>
      </c>
      <c r="N259" s="1">
        <f>MAX(-16, MIN(16, Games[[#This Row],[OppRestDiff]]*8))</f>
        <v>-16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1535.6029253955969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1420.8948823803703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0.79051992785563863</v>
      </c>
      <c r="R259" s="1">
        <v>82</v>
      </c>
      <c r="S259" s="1">
        <v>71</v>
      </c>
      <c r="T259" s="1">
        <v>0</v>
      </c>
      <c r="U259" s="1">
        <f>Games[[#This Row],[PointsFor]]-Games[[#This Row],[PointsAgainst]]</f>
        <v>11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0.40146036004972152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6.1139206150452434</v>
      </c>
      <c r="AB259" s="4">
        <f>Games[[#This Row],[PreGmRate]]+Games[[#This Row],[RatingChange]]</f>
        <v>1541.7168460106423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41144</v>
      </c>
      <c r="B260" s="2">
        <v>2012</v>
      </c>
      <c r="C260" s="2">
        <f>COUNTIFS(Games[Team],Games[[#This Row],[Team]],Games[Season],Games[[#This Row],[Season]],Games[Date],"&lt;=" &amp; Games[[#This Row],[Date]])</f>
        <v>22</v>
      </c>
      <c r="D260" s="2" t="s">
        <v>23</v>
      </c>
      <c r="E260" s="2" t="s">
        <v>29</v>
      </c>
      <c r="F260" s="1" t="s">
        <v>79</v>
      </c>
      <c r="G260" s="1" t="s">
        <v>68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1653.9388363753014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1593.8194480903287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0.46568705562914647</v>
      </c>
      <c r="R260" s="1">
        <v>77</v>
      </c>
      <c r="S260" s="1">
        <v>101</v>
      </c>
      <c r="T260" s="1">
        <v>0</v>
      </c>
      <c r="U260" s="1">
        <f>Games[[#This Row],[PointsFor]]-Games[[#This Row],[PointsAgainst]]</f>
        <v>-24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0.59844894408308424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-20.260757672138567</v>
      </c>
      <c r="AB260" s="4">
        <f>Games[[#This Row],[PreGmRate]]+Games[[#This Row],[RatingChange]]</f>
        <v>1633.6780787031628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41144</v>
      </c>
      <c r="B261" s="2">
        <v>2012</v>
      </c>
      <c r="C261" s="2">
        <f>COUNTIFS(Games[Team],Games[[#This Row],[Team]],Games[Season],Games[[#This Row],[Season]],Games[Date],"&lt;=" &amp; Games[[#This Row],[Date]])</f>
        <v>24</v>
      </c>
      <c r="D261" s="2" t="s">
        <v>23</v>
      </c>
      <c r="E261" s="2" t="s">
        <v>29</v>
      </c>
      <c r="F261" s="1" t="s">
        <v>68</v>
      </c>
      <c r="G261" s="1" t="s">
        <v>79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1593.8194480903287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1653.9388363753014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0.53431294437085364</v>
      </c>
      <c r="R261" s="1">
        <v>101</v>
      </c>
      <c r="S261" s="1">
        <v>77</v>
      </c>
      <c r="T261" s="1">
        <v>0</v>
      </c>
      <c r="U261" s="1">
        <f>Games[[#This Row],[PointsFor]]-Games[[#This Row],[PointsAgainst]]</f>
        <v>24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0.59844894408308424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72.400000000000006</v>
      </c>
      <c r="Z261" s="4">
        <f>Games[[#This Row],[K]]*Games[[#This Row],[POMult]]</f>
        <v>72.400000000000006</v>
      </c>
      <c r="AA261" s="4">
        <f>(Games[[#This Row],[Keff]]*Games[[#This Row],[MOVMult]])*(Games[[#This Row],[Result]]-Games[[#This Row],[ExpectedWin%]])</f>
        <v>20.177150694124236</v>
      </c>
      <c r="AB261" s="4">
        <f>Games[[#This Row],[PreGmRate]]+Games[[#This Row],[RatingChange]]</f>
        <v>1613.996598784453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41144</v>
      </c>
      <c r="B262" s="2">
        <v>2012</v>
      </c>
      <c r="C262" s="2">
        <f>COUNTIFS(Games[Team],Games[[#This Row],[Team]],Games[Season],Games[[#This Row],[Season]],Games[Date],"&lt;=" &amp; Games[[#This Row],[Date]])</f>
        <v>22</v>
      </c>
      <c r="D262" s="2" t="s">
        <v>23</v>
      </c>
      <c r="E262" s="2" t="s">
        <v>29</v>
      </c>
      <c r="F262" s="1" t="s">
        <v>65</v>
      </c>
      <c r="G262" s="1" t="s">
        <v>44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2" s="2">
        <f>Games[[#This Row],[DaysOff]]-Games[[#This Row],[OppDaysOff]]</f>
        <v>-2</v>
      </c>
      <c r="L262" s="2">
        <f>Games[[#This Row],[OppDaysOff]]-Games[[#This Row],[DaysOff]]</f>
        <v>2</v>
      </c>
      <c r="M262" s="1">
        <f>MAX(-16, MIN(16, Games[[#This Row],[RestDiff]]*8))</f>
        <v>-16</v>
      </c>
      <c r="N262" s="1">
        <f>MAX(-16, MIN(16, Games[[#This Row],[OppRestDiff]]*8))</f>
        <v>16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1474.4039825562099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1338.4224458114945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0.52872408090415024</v>
      </c>
      <c r="R262" s="1">
        <v>89</v>
      </c>
      <c r="S262" s="1">
        <v>77</v>
      </c>
      <c r="T262" s="1">
        <v>0</v>
      </c>
      <c r="U262" s="1">
        <f>Games[[#This Row],[PointsFor]]-Games[[#This Row],[PointsAgainst]]</f>
        <v>12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0.4097027665708225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14.037137580278172</v>
      </c>
      <c r="AB262" s="4">
        <f>Games[[#This Row],[PreGmRate]]+Games[[#This Row],[RatingChange]]</f>
        <v>1488.4411201364881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41144</v>
      </c>
      <c r="B263" s="2">
        <v>2012</v>
      </c>
      <c r="C263" s="2">
        <f>COUNTIFS(Games[Team],Games[[#This Row],[Team]],Games[Season],Games[[#This Row],[Season]],Games[Date],"&lt;=" &amp; Games[[#This Row],[Date]])</f>
        <v>22</v>
      </c>
      <c r="D263" s="2" t="s">
        <v>23</v>
      </c>
      <c r="E263" s="2" t="s">
        <v>29</v>
      </c>
      <c r="F263" s="1" t="s">
        <v>44</v>
      </c>
      <c r="G263" s="1" t="s">
        <v>65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2</v>
      </c>
      <c r="L263" s="2">
        <f>Games[[#This Row],[OppDaysOff]]-Games[[#This Row],[DaysOff]]</f>
        <v>-2</v>
      </c>
      <c r="M263" s="1">
        <f>MAX(-16, MIN(16, Games[[#This Row],[RestDiff]]*8))</f>
        <v>16</v>
      </c>
      <c r="N263" s="1">
        <f>MAX(-16, MIN(16, Games[[#This Row],[OppRestDiff]]*8))</f>
        <v>-16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1338.4224458114945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1474.4039825562099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0.47127591909584976</v>
      </c>
      <c r="R263" s="1">
        <v>77</v>
      </c>
      <c r="S263" s="1">
        <v>89</v>
      </c>
      <c r="T263" s="1">
        <v>0</v>
      </c>
      <c r="U263" s="1">
        <f>Games[[#This Row],[PointsFor]]-Games[[#This Row],[PointsAgainst]]</f>
        <v>-12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0.4097027665708225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-14.037137580278172</v>
      </c>
      <c r="AB263" s="4">
        <f>Games[[#This Row],[PreGmRate]]+Games[[#This Row],[RatingChange]]</f>
        <v>1324.3853082312164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41144</v>
      </c>
      <c r="B264" s="2">
        <v>2012</v>
      </c>
      <c r="C264" s="2">
        <f>COUNTIFS(Games[Team],Games[[#This Row],[Team]],Games[Season],Games[[#This Row],[Season]],Games[Date],"&lt;=" &amp; Games[[#This Row],[Date]])</f>
        <v>21</v>
      </c>
      <c r="D264" s="2" t="s">
        <v>23</v>
      </c>
      <c r="E264" s="2" t="s">
        <v>29</v>
      </c>
      <c r="F264" s="1" t="s">
        <v>74</v>
      </c>
      <c r="G264" s="1" t="s">
        <v>76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1557.1484722643484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1485.2740447908479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0.48255697984207258</v>
      </c>
      <c r="R264" s="1">
        <v>68</v>
      </c>
      <c r="S264" s="1">
        <v>66</v>
      </c>
      <c r="T264" s="1">
        <v>0</v>
      </c>
      <c r="U264" s="1">
        <f>Games[[#This Row],[PointsFor]]-Games[[#This Row],[PointsAgainst]]</f>
        <v>2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0.25270543854715599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72.849999999999994</v>
      </c>
      <c r="Z264" s="4">
        <f>Games[[#This Row],[K]]*Games[[#This Row],[POMult]]</f>
        <v>72.849999999999994</v>
      </c>
      <c r="AA264" s="4">
        <f>(Games[[#This Row],[Keff]]*Games[[#This Row],[MOVMult]])*(Games[[#This Row],[Result]]-Games[[#This Row],[ExpectedWin%]])</f>
        <v>9.5259144694488711</v>
      </c>
      <c r="AB264" s="4">
        <f>Games[[#This Row],[PreGmRate]]+Games[[#This Row],[RatingChange]]</f>
        <v>1566.6743867337973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41144</v>
      </c>
      <c r="B265" s="2">
        <v>2012</v>
      </c>
      <c r="C265" s="2">
        <f>COUNTIFS(Games[Team],Games[[#This Row],[Team]],Games[Season],Games[[#This Row],[Season]],Games[Date],"&lt;=" &amp; Games[[#This Row],[Date]])</f>
        <v>23</v>
      </c>
      <c r="D265" s="2" t="s">
        <v>23</v>
      </c>
      <c r="E265" s="2" t="s">
        <v>29</v>
      </c>
      <c r="F265" s="1" t="s">
        <v>76</v>
      </c>
      <c r="G265" s="1" t="s">
        <v>74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1485.2740447908479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1557.1484722643484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0.51744302015792742</v>
      </c>
      <c r="R265" s="1">
        <v>66</v>
      </c>
      <c r="S265" s="1">
        <v>68</v>
      </c>
      <c r="T265" s="1">
        <v>0</v>
      </c>
      <c r="U265" s="1">
        <f>Games[[#This Row],[PointsFor]]-Games[[#This Row],[PointsAgainst]]</f>
        <v>-2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0.25270543854715599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72.55</v>
      </c>
      <c r="Z265" s="4">
        <f>Games[[#This Row],[K]]*Games[[#This Row],[POMult]]</f>
        <v>72.55</v>
      </c>
      <c r="AA265" s="4">
        <f>(Games[[#This Row],[Keff]]*Games[[#This Row],[MOVMult]])*(Games[[#This Row],[Result]]-Games[[#This Row],[ExpectedWin%]])</f>
        <v>-9.4866862698492191</v>
      </c>
      <c r="AB265" s="4">
        <f>Games[[#This Row],[PreGmRate]]+Games[[#This Row],[RatingChange]]</f>
        <v>1475.7873585209986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41145</v>
      </c>
      <c r="B266" s="2">
        <v>2012</v>
      </c>
      <c r="C266" s="2">
        <f>COUNTIFS(Games[Team],Games[[#This Row],[Team]],Games[Season],Games[[#This Row],[Season]],Games[Date],"&lt;=" &amp; Games[[#This Row],[Date]])</f>
        <v>22</v>
      </c>
      <c r="D266" s="2" t="s">
        <v>23</v>
      </c>
      <c r="E266" s="2" t="s">
        <v>29</v>
      </c>
      <c r="F266" s="1" t="s">
        <v>82</v>
      </c>
      <c r="G266" s="1" t="s">
        <v>86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6" s="2">
        <f>Games[[#This Row],[DaysOff]]-Games[[#This Row],[OppDaysOff]]</f>
        <v>-1</v>
      </c>
      <c r="L266" s="2">
        <f>Games[[#This Row],[OppDaysOff]]-Games[[#This Row],[DaysOff]]</f>
        <v>1</v>
      </c>
      <c r="M266" s="1">
        <f>MAX(-16, MIN(16, Games[[#This Row],[RestDiff]]*8))</f>
        <v>-8</v>
      </c>
      <c r="N266" s="1">
        <f>MAX(-16, MIN(16, Games[[#This Row],[OppRestDiff]]*8))</f>
        <v>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1414.7683470735471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1312.0491746515927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0.50391312378146857</v>
      </c>
      <c r="R266" s="1">
        <v>78</v>
      </c>
      <c r="S266" s="1">
        <v>81</v>
      </c>
      <c r="T266" s="1">
        <v>1</v>
      </c>
      <c r="U266" s="1">
        <f>Games[[#This Row],[PointsFor]]-Games[[#This Row],[PointsAgainst]]</f>
        <v>-3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0.24057234239053182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72.7</v>
      </c>
      <c r="Z266" s="4">
        <f>Games[[#This Row],[K]]*Games[[#This Row],[POMult]]</f>
        <v>72.7</v>
      </c>
      <c r="AA266" s="4">
        <f>(Games[[#This Row],[Keff]]*Games[[#This Row],[MOVMult]])*(Games[[#This Row],[Result]]-Games[[#This Row],[ExpectedWin%]])</f>
        <v>-8.8132436519441342</v>
      </c>
      <c r="AB266" s="4">
        <f>Games[[#This Row],[PreGmRate]]+Games[[#This Row],[RatingChange]]</f>
        <v>1405.9551034216031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41145</v>
      </c>
      <c r="B267" s="2">
        <v>2012</v>
      </c>
      <c r="C267" s="2">
        <f>COUNTIFS(Games[Team],Games[[#This Row],[Team]],Games[Season],Games[[#This Row],[Season]],Games[Date],"&lt;=" &amp; Games[[#This Row],[Date]])</f>
        <v>22</v>
      </c>
      <c r="D267" s="2" t="s">
        <v>23</v>
      </c>
      <c r="E267" s="2" t="s">
        <v>29</v>
      </c>
      <c r="F267" s="1" t="s">
        <v>86</v>
      </c>
      <c r="G267" s="1" t="s">
        <v>82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1</v>
      </c>
      <c r="L267" s="2">
        <f>Games[[#This Row],[OppDaysOff]]-Games[[#This Row],[DaysOff]]</f>
        <v>-1</v>
      </c>
      <c r="M267" s="1">
        <f>MAX(-16, MIN(16, Games[[#This Row],[RestDiff]]*8))</f>
        <v>8</v>
      </c>
      <c r="N267" s="1">
        <f>MAX(-16, MIN(16, Games[[#This Row],[OppRestDiff]]*8))</f>
        <v>-8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1312.0491746515927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1414.7683470735471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0.49608687621853143</v>
      </c>
      <c r="R267" s="1">
        <v>81</v>
      </c>
      <c r="S267" s="1">
        <v>78</v>
      </c>
      <c r="T267" s="1">
        <v>1</v>
      </c>
      <c r="U267" s="1">
        <f>Games[[#This Row],[PointsFor]]-Games[[#This Row],[PointsAgainst]]</f>
        <v>3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0.24057234239053182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8.8132436519441342</v>
      </c>
      <c r="AB267" s="4">
        <f>Games[[#This Row],[PreGmRate]]+Games[[#This Row],[RatingChange]]</f>
        <v>1320.8624183035367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41145</v>
      </c>
      <c r="B268" s="2">
        <v>2012</v>
      </c>
      <c r="C268" s="2">
        <f>COUNTIFS(Games[Team],Games[[#This Row],[Team]],Games[Season],Games[[#This Row],[Season]],Games[Date],"&lt;=" &amp; Games[[#This Row],[Date]])</f>
        <v>23</v>
      </c>
      <c r="D268" s="2" t="s">
        <v>23</v>
      </c>
      <c r="E268" s="2" t="s">
        <v>29</v>
      </c>
      <c r="F268" s="1" t="s">
        <v>84</v>
      </c>
      <c r="G268" s="1" t="s">
        <v>70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-1</v>
      </c>
      <c r="L268" s="2">
        <f>Games[[#This Row],[OppDaysOff]]-Games[[#This Row],[DaysOff]]</f>
        <v>1</v>
      </c>
      <c r="M268" s="1">
        <f>MAX(-16, MIN(16, Games[[#This Row],[RestDiff]]*8))</f>
        <v>-8</v>
      </c>
      <c r="N268" s="1">
        <f>MAX(-16, MIN(16, Games[[#This Row],[OppRestDiff]]*8))</f>
        <v>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1541.7168460106423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1353.5015679137662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0.62429246889307077</v>
      </c>
      <c r="R268" s="1">
        <v>81</v>
      </c>
      <c r="S268" s="1">
        <v>69</v>
      </c>
      <c r="T268" s="1">
        <v>0</v>
      </c>
      <c r="U268" s="1">
        <f>Games[[#This Row],[PointsFor]]-Games[[#This Row],[PointsAgainst]]</f>
        <v>12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0.39428706795550184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72.55</v>
      </c>
      <c r="Z268" s="4">
        <f>Games[[#This Row],[K]]*Games[[#This Row],[POMult]]</f>
        <v>72.55</v>
      </c>
      <c r="AA268" s="4">
        <f>(Games[[#This Row],[Keff]]*Games[[#This Row],[MOVMult]])*(Games[[#This Row],[Result]]-Games[[#This Row],[ExpectedWin%]])</f>
        <v>10.74731184259144</v>
      </c>
      <c r="AB268" s="4">
        <f>Games[[#This Row],[PreGmRate]]+Games[[#This Row],[RatingChange]]</f>
        <v>1552.4641578532337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41145</v>
      </c>
      <c r="B269" s="2">
        <v>2012</v>
      </c>
      <c r="C269" s="2">
        <f>COUNTIFS(Games[Team],Games[[#This Row],[Team]],Games[Season],Games[[#This Row],[Season]],Games[Date],"&lt;=" &amp; Games[[#This Row],[Date]])</f>
        <v>23</v>
      </c>
      <c r="D269" s="2" t="s">
        <v>23</v>
      </c>
      <c r="E269" s="2" t="s">
        <v>29</v>
      </c>
      <c r="F269" s="1" t="s">
        <v>70</v>
      </c>
      <c r="G269" s="1" t="s">
        <v>84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1</v>
      </c>
      <c r="L269" s="2">
        <f>Games[[#This Row],[OppDaysOff]]-Games[[#This Row],[DaysOff]]</f>
        <v>-1</v>
      </c>
      <c r="M269" s="1">
        <f>MAX(-16, MIN(16, Games[[#This Row],[RestDiff]]*8))</f>
        <v>8</v>
      </c>
      <c r="N269" s="1">
        <f>MAX(-16, MIN(16, Games[[#This Row],[OppRestDiff]]*8))</f>
        <v>-8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1353.5015679137662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1541.7168460106423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0.37570753110692917</v>
      </c>
      <c r="R269" s="1">
        <v>69</v>
      </c>
      <c r="S269" s="1">
        <v>81</v>
      </c>
      <c r="T269" s="1">
        <v>0</v>
      </c>
      <c r="U269" s="1">
        <f>Games[[#This Row],[PointsFor]]-Games[[#This Row],[PointsAgainst]]</f>
        <v>-12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0.39428706795550184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72.55</v>
      </c>
      <c r="Z269" s="4">
        <f>Games[[#This Row],[K]]*Games[[#This Row],[POMult]]</f>
        <v>72.55</v>
      </c>
      <c r="AA269" s="4">
        <f>(Games[[#This Row],[Keff]]*Games[[#This Row],[MOVMult]])*(Games[[#This Row],[Result]]-Games[[#This Row],[ExpectedWin%]])</f>
        <v>-10.747311842591438</v>
      </c>
      <c r="AB269" s="4">
        <f>Games[[#This Row],[PreGmRate]]+Games[[#This Row],[RatingChange]]</f>
        <v>1342.7542560711747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41146</v>
      </c>
      <c r="B270" s="2">
        <v>2012</v>
      </c>
      <c r="C270" s="2">
        <f>COUNTIFS(Games[Team],Games[[#This Row],[Team]],Games[Season],Games[[#This Row],[Season]],Games[Date],"&lt;=" &amp; Games[[#This Row],[Date]])</f>
        <v>23</v>
      </c>
      <c r="D270" s="2" t="s">
        <v>23</v>
      </c>
      <c r="E270" s="2" t="s">
        <v>29</v>
      </c>
      <c r="F270" s="1" t="s">
        <v>72</v>
      </c>
      <c r="G270" s="1" t="s">
        <v>84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0" s="2">
        <f>Games[[#This Row],[DaysOff]]-Games[[#This Row],[OppDaysOff]]</f>
        <v>3</v>
      </c>
      <c r="L270" s="2">
        <f>Games[[#This Row],[OppDaysOff]]-Games[[#This Row],[DaysOff]]</f>
        <v>-3</v>
      </c>
      <c r="M270" s="1">
        <f>MAX(-16, MIN(16, Games[[#This Row],[RestDiff]]*8))</f>
        <v>16</v>
      </c>
      <c r="N270" s="1">
        <f>MAX(-16, MIN(16, Games[[#This Row],[OppRestDiff]]*8))</f>
        <v>-16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1683.0877503147574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1552.4641578532337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0.6112557510902884</v>
      </c>
      <c r="R270" s="1">
        <v>84</v>
      </c>
      <c r="S270" s="1">
        <v>74</v>
      </c>
      <c r="T270" s="1">
        <v>0</v>
      </c>
      <c r="U270" s="1">
        <f>Games[[#This Row],[PointsFor]]-Games[[#This Row],[PointsAgainst]]</f>
        <v>10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0.38159224146886078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72.55</v>
      </c>
      <c r="Z270" s="4">
        <f>Games[[#This Row],[K]]*Games[[#This Row],[POMult]]</f>
        <v>72.55</v>
      </c>
      <c r="AA270" s="4">
        <f>(Games[[#This Row],[Keff]]*Games[[#This Row],[MOVMult]])*(Games[[#This Row],[Result]]-Games[[#This Row],[ExpectedWin%]])</f>
        <v>10.762196813684934</v>
      </c>
      <c r="AB270" s="4">
        <f>Games[[#This Row],[PreGmRate]]+Games[[#This Row],[RatingChange]]</f>
        <v>1693.8499471284424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41146</v>
      </c>
      <c r="B271" s="2">
        <v>2012</v>
      </c>
      <c r="C271" s="2">
        <f>COUNTIFS(Games[Team],Games[[#This Row],[Team]],Games[Season],Games[[#This Row],[Season]],Games[Date],"&lt;=" &amp; Games[[#This Row],[Date]])</f>
        <v>24</v>
      </c>
      <c r="D271" s="2" t="s">
        <v>23</v>
      </c>
      <c r="E271" s="2" t="s">
        <v>29</v>
      </c>
      <c r="F271" s="1" t="s">
        <v>84</v>
      </c>
      <c r="G271" s="1" t="s">
        <v>72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1" s="2">
        <f>Games[[#This Row],[DaysOff]]-Games[[#This Row],[OppDaysOff]]</f>
        <v>-3</v>
      </c>
      <c r="L271" s="2">
        <f>Games[[#This Row],[OppDaysOff]]-Games[[#This Row],[DaysOff]]</f>
        <v>3</v>
      </c>
      <c r="M271" s="1">
        <f>MAX(-16, MIN(16, Games[[#This Row],[RestDiff]]*8))</f>
        <v>-16</v>
      </c>
      <c r="N271" s="1">
        <f>MAX(-16, MIN(16, Games[[#This Row],[OppRestDiff]]*8))</f>
        <v>16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1552.4641578532337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1683.0877503147574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0.38874424890971154</v>
      </c>
      <c r="R271" s="1">
        <v>74</v>
      </c>
      <c r="S271" s="1">
        <v>84</v>
      </c>
      <c r="T271" s="1">
        <v>0</v>
      </c>
      <c r="U271" s="1">
        <f>Games[[#This Row],[PointsFor]]-Games[[#This Row],[PointsAgainst]]</f>
        <v>-10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0.38159224146886078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72.400000000000006</v>
      </c>
      <c r="Z271" s="4">
        <f>Games[[#This Row],[K]]*Games[[#This Row],[POMult]]</f>
        <v>72.400000000000006</v>
      </c>
      <c r="AA271" s="4">
        <f>(Games[[#This Row],[Keff]]*Games[[#This Row],[MOVMult]])*(Games[[#This Row],[Result]]-Games[[#This Row],[ExpectedWin%]])</f>
        <v>-10.739945545289995</v>
      </c>
      <c r="AB271" s="4">
        <f>Games[[#This Row],[PreGmRate]]+Games[[#This Row],[RatingChange]]</f>
        <v>1541.7242123079436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41146</v>
      </c>
      <c r="B272" s="2">
        <v>2012</v>
      </c>
      <c r="C272" s="2">
        <f>COUNTIFS(Games[Team],Games[[#This Row],[Team]],Games[Season],Games[[#This Row],[Season]],Games[Date],"&lt;=" &amp; Games[[#This Row],[Date]])</f>
        <v>23</v>
      </c>
      <c r="D272" s="2" t="s">
        <v>23</v>
      </c>
      <c r="E272" s="2" t="s">
        <v>29</v>
      </c>
      <c r="F272" s="1" t="s">
        <v>65</v>
      </c>
      <c r="G272" s="1" t="s">
        <v>68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1488.4411201364881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1613.996598784453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0.23035667879676205</v>
      </c>
      <c r="R272" s="1">
        <v>62</v>
      </c>
      <c r="S272" s="1">
        <v>87</v>
      </c>
      <c r="T272" s="1">
        <v>0</v>
      </c>
      <c r="U272" s="1">
        <f>Games[[#This Row],[PointsFor]]-Games[[#This Row],[PointsAgainst]]</f>
        <v>-25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0.58059707531637639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72.55</v>
      </c>
      <c r="Z272" s="4">
        <f>Games[[#This Row],[K]]*Games[[#This Row],[POMult]]</f>
        <v>72.55</v>
      </c>
      <c r="AA272" s="4">
        <f>(Games[[#This Row],[Keff]]*Games[[#This Row],[MOVMult]])*(Games[[#This Row],[Result]]-Games[[#This Row],[ExpectedWin%]])</f>
        <v>-9.7031572349015143</v>
      </c>
      <c r="AB272" s="4">
        <f>Games[[#This Row],[PreGmRate]]+Games[[#This Row],[RatingChange]]</f>
        <v>1478.7379629015866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41146</v>
      </c>
      <c r="B273" s="2">
        <v>2012</v>
      </c>
      <c r="C273" s="2">
        <f>COUNTIFS(Games[Team],Games[[#This Row],[Team]],Games[Season],Games[[#This Row],[Season]],Games[Date],"&lt;=" &amp; Games[[#This Row],[Date]])</f>
        <v>25</v>
      </c>
      <c r="D273" s="2" t="s">
        <v>23</v>
      </c>
      <c r="E273" s="2" t="s">
        <v>29</v>
      </c>
      <c r="F273" s="1" t="s">
        <v>68</v>
      </c>
      <c r="G273" s="1" t="s">
        <v>65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1613.996598784453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1488.4411201364881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0.76964332120323797</v>
      </c>
      <c r="R273" s="1">
        <v>87</v>
      </c>
      <c r="S273" s="1">
        <v>62</v>
      </c>
      <c r="T273" s="1">
        <v>0</v>
      </c>
      <c r="U273" s="1">
        <f>Games[[#This Row],[PointsFor]]-Games[[#This Row],[PointsAgainst]]</f>
        <v>25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0.58059707531637639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72.25</v>
      </c>
      <c r="Z273" s="4">
        <f>Games[[#This Row],[K]]*Games[[#This Row],[POMult]]</f>
        <v>72.25</v>
      </c>
      <c r="AA273" s="4">
        <f>(Games[[#This Row],[Keff]]*Games[[#This Row],[MOVMult]])*(Games[[#This Row],[Result]]-Games[[#This Row],[ExpectedWin%]])</f>
        <v>9.6630339107048133</v>
      </c>
      <c r="AB273" s="4">
        <f>Games[[#This Row],[PreGmRate]]+Games[[#This Row],[RatingChange]]</f>
        <v>1623.6596326951578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41146</v>
      </c>
      <c r="B274" s="2">
        <v>2012</v>
      </c>
      <c r="C274" s="2">
        <f>COUNTIFS(Games[Team],Games[[#This Row],[Team]],Games[Season],Games[[#This Row],[Season]],Games[Date],"&lt;=" &amp; Games[[#This Row],[Date]])</f>
        <v>22</v>
      </c>
      <c r="D274" s="2" t="s">
        <v>23</v>
      </c>
      <c r="E274" s="2" t="s">
        <v>29</v>
      </c>
      <c r="F274" s="1" t="s">
        <v>74</v>
      </c>
      <c r="G274" s="1" t="s">
        <v>44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1566.6743867337973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1324.3853082312164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0.71324262628008828</v>
      </c>
      <c r="R274" s="1">
        <v>85</v>
      </c>
      <c r="S274" s="1">
        <v>72</v>
      </c>
      <c r="T274" s="1">
        <v>0</v>
      </c>
      <c r="U274" s="1">
        <f>Games[[#This Row],[PointsFor]]-Games[[#This Row],[PointsAgainst]]</f>
        <v>13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0.39274547330348342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72.7</v>
      </c>
      <c r="Z274" s="4">
        <f>Games[[#This Row],[K]]*Games[[#This Row],[POMult]]</f>
        <v>72.7</v>
      </c>
      <c r="AA274" s="4">
        <f>(Games[[#This Row],[Keff]]*Games[[#This Row],[MOVMult]])*(Games[[#This Row],[Result]]-Games[[#This Row],[ExpectedWin%]])</f>
        <v>8.1876674157975469</v>
      </c>
      <c r="AB274" s="4">
        <f>Games[[#This Row],[PreGmRate]]+Games[[#This Row],[RatingChange]]</f>
        <v>1574.8620541495948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41146</v>
      </c>
      <c r="B275" s="2">
        <v>2012</v>
      </c>
      <c r="C275" s="2">
        <f>COUNTIFS(Games[Team],Games[[#This Row],[Team]],Games[Season],Games[[#This Row],[Season]],Games[Date],"&lt;=" &amp; Games[[#This Row],[Date]])</f>
        <v>23</v>
      </c>
      <c r="D275" s="2" t="s">
        <v>23</v>
      </c>
      <c r="E275" s="2" t="s">
        <v>29</v>
      </c>
      <c r="F275" s="1" t="s">
        <v>44</v>
      </c>
      <c r="G275" s="1" t="s">
        <v>74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1324.3853082312164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1566.6743867337973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0.28675737371991172</v>
      </c>
      <c r="R275" s="1">
        <v>72</v>
      </c>
      <c r="S275" s="1">
        <v>85</v>
      </c>
      <c r="T275" s="1">
        <v>0</v>
      </c>
      <c r="U275" s="1">
        <f>Games[[#This Row],[PointsFor]]-Games[[#This Row],[PointsAgainst]]</f>
        <v>-13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0.39274547330348342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72.55</v>
      </c>
      <c r="Z275" s="4">
        <f>Games[[#This Row],[K]]*Games[[#This Row],[POMult]]</f>
        <v>72.55</v>
      </c>
      <c r="AA275" s="4">
        <f>(Games[[#This Row],[Keff]]*Games[[#This Row],[MOVMult]])*(Games[[#This Row],[Result]]-Games[[#This Row],[ExpectedWin%]])</f>
        <v>-8.1707740167278136</v>
      </c>
      <c r="AB275" s="4">
        <f>Games[[#This Row],[PreGmRate]]+Games[[#This Row],[RatingChange]]</f>
        <v>1316.2145342144886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41146</v>
      </c>
      <c r="B276" s="2">
        <v>2012</v>
      </c>
      <c r="C276" s="2">
        <f>COUNTIFS(Games[Team],Games[[#This Row],[Team]],Games[Season],Games[[#This Row],[Season]],Games[Date],"&lt;=" &amp; Games[[#This Row],[Date]])</f>
        <v>23</v>
      </c>
      <c r="D276" s="2" t="s">
        <v>23</v>
      </c>
      <c r="E276" s="2" t="s">
        <v>29</v>
      </c>
      <c r="F276" s="1" t="s">
        <v>86</v>
      </c>
      <c r="G276" s="1" t="s">
        <v>79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-1</v>
      </c>
      <c r="L276" s="2">
        <f>Games[[#This Row],[OppDaysOff]]-Games[[#This Row],[DaysOff]]</f>
        <v>1</v>
      </c>
      <c r="M276" s="1">
        <f>MAX(-16, MIN(16, Games[[#This Row],[RestDiff]]*8))</f>
        <v>-8</v>
      </c>
      <c r="N276" s="1">
        <f>MAX(-16, MIN(16, Games[[#This Row],[OppRestDiff]]*8))</f>
        <v>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1320.8624183035367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1633.6780787031628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8.4993377250145039E-2</v>
      </c>
      <c r="R276" s="1">
        <v>71</v>
      </c>
      <c r="S276" s="1">
        <v>91</v>
      </c>
      <c r="T276" s="1">
        <v>0</v>
      </c>
      <c r="U276" s="1">
        <f>Games[[#This Row],[PointsFor]]-Games[[#This Row],[PointsAgainst]]</f>
        <v>-20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0.45601380841626948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-2.8119040473074532</v>
      </c>
      <c r="AB276" s="4">
        <f>Games[[#This Row],[PreGmRate]]+Games[[#This Row],[RatingChange]]</f>
        <v>1318.0505142562292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41146</v>
      </c>
      <c r="B277" s="2">
        <v>2012</v>
      </c>
      <c r="C277" s="2">
        <f>COUNTIFS(Games[Team],Games[[#This Row],[Team]],Games[Season],Games[[#This Row],[Season]],Games[Date],"&lt;=" &amp; Games[[#This Row],[Date]])</f>
        <v>23</v>
      </c>
      <c r="D277" s="2" t="s">
        <v>23</v>
      </c>
      <c r="E277" s="2" t="s">
        <v>29</v>
      </c>
      <c r="F277" s="1" t="s">
        <v>79</v>
      </c>
      <c r="G277" s="1" t="s">
        <v>86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7" s="2">
        <f>Games[[#This Row],[DaysOff]]-Games[[#This Row],[OppDaysOff]]</f>
        <v>1</v>
      </c>
      <c r="L277" s="2">
        <f>Games[[#This Row],[OppDaysOff]]-Games[[#This Row],[DaysOff]]</f>
        <v>-1</v>
      </c>
      <c r="M277" s="1">
        <f>MAX(-16, MIN(16, Games[[#This Row],[RestDiff]]*8))</f>
        <v>8</v>
      </c>
      <c r="N277" s="1">
        <f>MAX(-16, MIN(16, Games[[#This Row],[OppRestDiff]]*8))</f>
        <v>-8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1633.6780787031628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1320.8624183035367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0.91500662274985489</v>
      </c>
      <c r="R277" s="1">
        <v>91</v>
      </c>
      <c r="S277" s="1">
        <v>71</v>
      </c>
      <c r="T277" s="1">
        <v>0</v>
      </c>
      <c r="U277" s="1">
        <f>Games[[#This Row],[PointsFor]]-Games[[#This Row],[PointsAgainst]]</f>
        <v>20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0.45601380841626948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2.8119040473074555</v>
      </c>
      <c r="AB277" s="4">
        <f>Games[[#This Row],[PreGmRate]]+Games[[#This Row],[RatingChange]]</f>
        <v>1636.4899827504703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41147</v>
      </c>
      <c r="B278" s="2">
        <v>2012</v>
      </c>
      <c r="C278" s="2">
        <f>COUNTIFS(Games[Team],Games[[#This Row],[Team]],Games[Season],Games[[#This Row],[Season]],Games[Date],"&lt;=" &amp; Games[[#This Row],[Date]])</f>
        <v>23</v>
      </c>
      <c r="D278" s="2" t="s">
        <v>23</v>
      </c>
      <c r="E278" s="2" t="s">
        <v>29</v>
      </c>
      <c r="F278" s="1" t="s">
        <v>82</v>
      </c>
      <c r="G278" s="1" t="s">
        <v>81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8" s="2">
        <f>Games[[#This Row],[DaysOff]]-Games[[#This Row],[OppDaysOff]]</f>
        <v>-3</v>
      </c>
      <c r="L278" s="2">
        <f>Games[[#This Row],[OppDaysOff]]-Games[[#This Row],[DaysOff]]</f>
        <v>3</v>
      </c>
      <c r="M278" s="1">
        <f>MAX(-16, MIN(16, Games[[#This Row],[RestDiff]]*8))</f>
        <v>-16</v>
      </c>
      <c r="N278" s="1">
        <f>MAX(-16, MIN(16, Games[[#This Row],[OppRestDiff]]*8))</f>
        <v>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1405.9551034216031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1600.9754486751385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0.14302650515114562</v>
      </c>
      <c r="R278" s="1">
        <v>82</v>
      </c>
      <c r="S278" s="1">
        <v>70</v>
      </c>
      <c r="T278" s="1">
        <v>0</v>
      </c>
      <c r="U278" s="1">
        <f>Games[[#This Row],[PointsFor]]-Games[[#This Row],[PointsAgainst]]</f>
        <v>12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0.39236369100579011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72.55</v>
      </c>
      <c r="Z278" s="4">
        <f>Games[[#This Row],[K]]*Games[[#This Row],[POMult]]</f>
        <v>72.55</v>
      </c>
      <c r="AA278" s="4">
        <f>(Games[[#This Row],[Keff]]*Games[[#This Row],[MOVMult]])*(Games[[#This Row],[Result]]-Games[[#This Row],[ExpectedWin%]])</f>
        <v>24.394595320321177</v>
      </c>
      <c r="AB278" s="4">
        <f>Games[[#This Row],[PreGmRate]]+Games[[#This Row],[RatingChange]]</f>
        <v>1430.3496987419244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41147</v>
      </c>
      <c r="B279" s="2">
        <v>2012</v>
      </c>
      <c r="C279" s="2">
        <f>COUNTIFS(Games[Team],Games[[#This Row],[Team]],Games[Season],Games[[#This Row],[Season]],Games[Date],"&lt;=" &amp; Games[[#This Row],[Date]])</f>
        <v>23</v>
      </c>
      <c r="D279" s="2" t="s">
        <v>23</v>
      </c>
      <c r="E279" s="2" t="s">
        <v>29</v>
      </c>
      <c r="F279" s="1" t="s">
        <v>81</v>
      </c>
      <c r="G279" s="1" t="s">
        <v>82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3</v>
      </c>
      <c r="L279" s="2">
        <f>Games[[#This Row],[OppDaysOff]]-Games[[#This Row],[DaysOff]]</f>
        <v>-3</v>
      </c>
      <c r="M279" s="1">
        <f>MAX(-16, MIN(16, Games[[#This Row],[RestDiff]]*8))</f>
        <v>16</v>
      </c>
      <c r="N279" s="1">
        <f>MAX(-16, MIN(16, Games[[#This Row],[OppRestDiff]]*8))</f>
        <v>-16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1600.9754486751385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1405.9551034216031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0.85697349484885443</v>
      </c>
      <c r="R279" s="1">
        <v>70</v>
      </c>
      <c r="S279" s="1">
        <v>82</v>
      </c>
      <c r="T279" s="1">
        <v>0</v>
      </c>
      <c r="U279" s="1">
        <f>Games[[#This Row],[PointsFor]]-Games[[#This Row],[PointsAgainst]]</f>
        <v>-12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0.39236369100579011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-24.39459532032118</v>
      </c>
      <c r="AB279" s="4">
        <f>Games[[#This Row],[PreGmRate]]+Games[[#This Row],[RatingChange]]</f>
        <v>1576.5808533548172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41147</v>
      </c>
      <c r="B280" s="2">
        <v>2012</v>
      </c>
      <c r="C280" s="2">
        <f>COUNTIFS(Games[Team],Games[[#This Row],[Team]],Games[Season],Games[[#This Row],[Season]],Games[Date],"&lt;=" &amp; Games[[#This Row],[Date]])</f>
        <v>24</v>
      </c>
      <c r="D280" s="2" t="s">
        <v>23</v>
      </c>
      <c r="E280" s="2" t="s">
        <v>29</v>
      </c>
      <c r="F280" s="1" t="s">
        <v>65</v>
      </c>
      <c r="G280" s="1" t="s">
        <v>76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0" s="2">
        <f>Games[[#This Row],[DaysOff]]-Games[[#This Row],[OppDaysOff]]</f>
        <v>-2</v>
      </c>
      <c r="L280" s="2">
        <f>Games[[#This Row],[OppDaysOff]]-Games[[#This Row],[DaysOff]]</f>
        <v>2</v>
      </c>
      <c r="M280" s="1">
        <f>MAX(-16, MIN(16, Games[[#This Row],[RestDiff]]*8))</f>
        <v>-16</v>
      </c>
      <c r="N280" s="1">
        <f>MAX(-16, MIN(16, Games[[#This Row],[OppRestDiff]]*8))</f>
        <v>16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1478.7379629015866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1475.7873585209986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0.34281724976198824</v>
      </c>
      <c r="R280" s="1">
        <v>66</v>
      </c>
      <c r="S280" s="1">
        <v>84</v>
      </c>
      <c r="T280" s="1">
        <v>0</v>
      </c>
      <c r="U280" s="1">
        <f>Games[[#This Row],[PointsFor]]-Games[[#This Row],[PointsAgainst]]</f>
        <v>-18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0.54549265461275542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72.400000000000006</v>
      </c>
      <c r="Z280" s="4">
        <f>Games[[#This Row],[K]]*Games[[#This Row],[POMult]]</f>
        <v>72.400000000000006</v>
      </c>
      <c r="AA280" s="4">
        <f>(Games[[#This Row],[Keff]]*Games[[#This Row],[MOVMult]])*(Games[[#This Row],[Result]]-Games[[#This Row],[ExpectedWin%]])</f>
        <v>-13.539110713267075</v>
      </c>
      <c r="AB280" s="4">
        <f>Games[[#This Row],[PreGmRate]]+Games[[#This Row],[RatingChange]]</f>
        <v>1465.1988521883195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41147</v>
      </c>
      <c r="B281" s="2">
        <v>2012</v>
      </c>
      <c r="C281" s="2">
        <f>COUNTIFS(Games[Team],Games[[#This Row],[Team]],Games[Season],Games[[#This Row],[Season]],Games[Date],"&lt;=" &amp; Games[[#This Row],[Date]])</f>
        <v>24</v>
      </c>
      <c r="D281" s="2" t="s">
        <v>23</v>
      </c>
      <c r="E281" s="2" t="s">
        <v>29</v>
      </c>
      <c r="F281" s="1" t="s">
        <v>76</v>
      </c>
      <c r="G281" s="1" t="s">
        <v>65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1" s="2">
        <f>Games[[#This Row],[DaysOff]]-Games[[#This Row],[OppDaysOff]]</f>
        <v>2</v>
      </c>
      <c r="L281" s="2">
        <f>Games[[#This Row],[OppDaysOff]]-Games[[#This Row],[DaysOff]]</f>
        <v>-2</v>
      </c>
      <c r="M281" s="1">
        <f>MAX(-16, MIN(16, Games[[#This Row],[RestDiff]]*8))</f>
        <v>16</v>
      </c>
      <c r="N281" s="1">
        <f>MAX(-16, MIN(16, Games[[#This Row],[OppRestDiff]]*8))</f>
        <v>-16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1475.7873585209986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1478.7379629015866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0.65718275023801176</v>
      </c>
      <c r="R281" s="1">
        <v>84</v>
      </c>
      <c r="S281" s="1">
        <v>66</v>
      </c>
      <c r="T281" s="1">
        <v>0</v>
      </c>
      <c r="U281" s="1">
        <f>Games[[#This Row],[PointsFor]]-Games[[#This Row],[PointsAgainst]]</f>
        <v>18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0.54549265461275542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72.400000000000006</v>
      </c>
      <c r="Z281" s="4">
        <f>Games[[#This Row],[K]]*Games[[#This Row],[POMult]]</f>
        <v>72.400000000000006</v>
      </c>
      <c r="AA281" s="4">
        <f>(Games[[#This Row],[Keff]]*Games[[#This Row],[MOVMult]])*(Games[[#This Row],[Result]]-Games[[#This Row],[ExpectedWin%]])</f>
        <v>13.539110713267075</v>
      </c>
      <c r="AB281" s="4">
        <f>Games[[#This Row],[PreGmRate]]+Games[[#This Row],[RatingChange]]</f>
        <v>1489.3264692342657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41149</v>
      </c>
      <c r="B282" s="2">
        <v>2012</v>
      </c>
      <c r="C282" s="2">
        <f>COUNTIFS(Games[Team],Games[[#This Row],[Team]],Games[Season],Games[[#This Row],[Season]],Games[Date],"&lt;=" &amp; Games[[#This Row],[Date]])</f>
        <v>24</v>
      </c>
      <c r="D282" s="2" t="s">
        <v>23</v>
      </c>
      <c r="E282" s="2" t="s">
        <v>29</v>
      </c>
      <c r="F282" s="1" t="s">
        <v>86</v>
      </c>
      <c r="G282" s="1" t="s">
        <v>84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1318.0505142562292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1541.7242123079436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0.1454040734397484</v>
      </c>
      <c r="R282" s="1">
        <v>84</v>
      </c>
      <c r="S282" s="1">
        <v>80</v>
      </c>
      <c r="T282" s="1">
        <v>0</v>
      </c>
      <c r="U282" s="1">
        <f>Games[[#This Row],[PointsFor]]-Games[[#This Row],[PointsAgainst]]</f>
        <v>4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0.26250346718920703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72.400000000000006</v>
      </c>
      <c r="Z282" s="4">
        <f>Games[[#This Row],[K]]*Games[[#This Row],[POMult]]</f>
        <v>72.400000000000006</v>
      </c>
      <c r="AA282" s="4">
        <f>(Games[[#This Row],[Keff]]*Games[[#This Row],[MOVMult]])*(Games[[#This Row],[Result]]-Games[[#This Row],[ExpectedWin%]])</f>
        <v>16.241810108791544</v>
      </c>
      <c r="AB282" s="4">
        <f>Games[[#This Row],[PreGmRate]]+Games[[#This Row],[RatingChange]]</f>
        <v>1334.2923243650207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41149</v>
      </c>
      <c r="B283" s="2">
        <v>2012</v>
      </c>
      <c r="C283" s="2">
        <f>COUNTIFS(Games[Team],Games[[#This Row],[Team]],Games[Season],Games[[#This Row],[Season]],Games[Date],"&lt;=" &amp; Games[[#This Row],[Date]])</f>
        <v>25</v>
      </c>
      <c r="D283" s="2" t="s">
        <v>23</v>
      </c>
      <c r="E283" s="2" t="s">
        <v>29</v>
      </c>
      <c r="F283" s="1" t="s">
        <v>84</v>
      </c>
      <c r="G283" s="1" t="s">
        <v>86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1541.7242123079436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1318.0505142562292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0.85459592656025152</v>
      </c>
      <c r="R283" s="1">
        <v>80</v>
      </c>
      <c r="S283" s="1">
        <v>84</v>
      </c>
      <c r="T283" s="1">
        <v>0</v>
      </c>
      <c r="U283" s="1">
        <f>Games[[#This Row],[PointsFor]]-Games[[#This Row],[PointsAgainst]]</f>
        <v>-4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0.26250346718920703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72.25</v>
      </c>
      <c r="Z283" s="4">
        <f>Games[[#This Row],[K]]*Games[[#This Row],[POMult]]</f>
        <v>72.25</v>
      </c>
      <c r="AA283" s="4">
        <f>(Games[[#This Row],[Keff]]*Games[[#This Row],[MOVMult]])*(Games[[#This Row],[Result]]-Games[[#This Row],[ExpectedWin%]])</f>
        <v>-16.208159949726365</v>
      </c>
      <c r="AB283" s="4">
        <f>Games[[#This Row],[PreGmRate]]+Games[[#This Row],[RatingChange]]</f>
        <v>1525.5160523582172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41149</v>
      </c>
      <c r="B284" s="2">
        <v>2012</v>
      </c>
      <c r="C284" s="2">
        <f>COUNTIFS(Games[Team],Games[[#This Row],[Team]],Games[Season],Games[[#This Row],[Season]],Games[Date],"&lt;=" &amp; Games[[#This Row],[Date]])</f>
        <v>24</v>
      </c>
      <c r="D284" s="2" t="s">
        <v>23</v>
      </c>
      <c r="E284" s="2" t="s">
        <v>29</v>
      </c>
      <c r="F284" s="1" t="s">
        <v>81</v>
      </c>
      <c r="G284" s="1" t="s">
        <v>82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1576.5808533548172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1430.3496987419244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0.58861221974398792</v>
      </c>
      <c r="R284" s="1">
        <v>83</v>
      </c>
      <c r="S284" s="1">
        <v>72</v>
      </c>
      <c r="T284" s="1">
        <v>0</v>
      </c>
      <c r="U284" s="1">
        <f>Games[[#This Row],[PointsFor]]-Games[[#This Row],[PointsAgainst]]</f>
        <v>11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0.39205983497011465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11.677296467078719</v>
      </c>
      <c r="AB284" s="4">
        <f>Games[[#This Row],[PreGmRate]]+Games[[#This Row],[RatingChange]]</f>
        <v>1588.258149821896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41149</v>
      </c>
      <c r="B285" s="2">
        <v>2012</v>
      </c>
      <c r="C285" s="2">
        <f>COUNTIFS(Games[Team],Games[[#This Row],[Team]],Games[Season],Games[[#This Row],[Season]],Games[Date],"&lt;=" &amp; Games[[#This Row],[Date]])</f>
        <v>24</v>
      </c>
      <c r="D285" s="2" t="s">
        <v>23</v>
      </c>
      <c r="E285" s="2" t="s">
        <v>29</v>
      </c>
      <c r="F285" s="1" t="s">
        <v>82</v>
      </c>
      <c r="G285" s="1" t="s">
        <v>81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1430.3496987419244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1576.5808533548172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0.41138778025601208</v>
      </c>
      <c r="R285" s="1">
        <v>72</v>
      </c>
      <c r="S285" s="1">
        <v>83</v>
      </c>
      <c r="T285" s="1">
        <v>0</v>
      </c>
      <c r="U285" s="1">
        <f>Games[[#This Row],[PointsFor]]-Games[[#This Row],[PointsAgainst]]</f>
        <v>-11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0.39205983497011465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-11.677296467078719</v>
      </c>
      <c r="AB285" s="4">
        <f>Games[[#This Row],[PreGmRate]]+Games[[#This Row],[RatingChange]]</f>
        <v>1418.6724022748456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41149</v>
      </c>
      <c r="B286" s="2">
        <v>2012</v>
      </c>
      <c r="C286" s="2">
        <f>COUNTIFS(Games[Team],Games[[#This Row],[Team]],Games[Season],Games[[#This Row],[Season]],Games[Date],"&lt;=" &amp; Games[[#This Row],[Date]])</f>
        <v>24</v>
      </c>
      <c r="D286" s="2" t="s">
        <v>23</v>
      </c>
      <c r="E286" s="2" t="s">
        <v>29</v>
      </c>
      <c r="F286" s="1" t="s">
        <v>70</v>
      </c>
      <c r="G286" s="1" t="s">
        <v>74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6" s="2">
        <f>Games[[#This Row],[DaysOff]]-Games[[#This Row],[OppDaysOff]]</f>
        <v>1</v>
      </c>
      <c r="L286" s="2">
        <f>Games[[#This Row],[OppDaysOff]]-Games[[#This Row],[DaysOff]]</f>
        <v>-1</v>
      </c>
      <c r="M286" s="1">
        <f>MAX(-16, MIN(16, Games[[#This Row],[RestDiff]]*8))</f>
        <v>8</v>
      </c>
      <c r="N286" s="1">
        <f>MAX(-16, MIN(16, Games[[#This Row],[OppRestDiff]]*8))</f>
        <v>-8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1342.7542560711747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1574.8620541495948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0.15090003124621754</v>
      </c>
      <c r="R286" s="1">
        <v>68</v>
      </c>
      <c r="S286" s="1">
        <v>83</v>
      </c>
      <c r="T286" s="1">
        <v>0</v>
      </c>
      <c r="U286" s="1">
        <f>Games[[#This Row],[PointsFor]]-Games[[#This Row],[PointsAgainst]]</f>
        <v>-15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0.42134931076010662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72.400000000000006</v>
      </c>
      <c r="Z286" s="4">
        <f>Games[[#This Row],[K]]*Games[[#This Row],[POMult]]</f>
        <v>72.400000000000006</v>
      </c>
      <c r="AA286" s="4">
        <f>(Games[[#This Row],[Keff]]*Games[[#This Row],[MOVMult]])*(Games[[#This Row],[Result]]-Games[[#This Row],[ExpectedWin%]])</f>
        <v>-4.6033095891313156</v>
      </c>
      <c r="AB286" s="4">
        <f>Games[[#This Row],[PreGmRate]]+Games[[#This Row],[RatingChange]]</f>
        <v>1338.1509464820433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41149</v>
      </c>
      <c r="B287" s="2">
        <v>2012</v>
      </c>
      <c r="C287" s="2">
        <f>COUNTIFS(Games[Team],Games[[#This Row],[Team]],Games[Season],Games[[#This Row],[Season]],Games[Date],"&lt;=" &amp; Games[[#This Row],[Date]])</f>
        <v>23</v>
      </c>
      <c r="D287" s="2" t="s">
        <v>23</v>
      </c>
      <c r="E287" s="2" t="s">
        <v>29</v>
      </c>
      <c r="F287" s="1" t="s">
        <v>74</v>
      </c>
      <c r="G287" s="1" t="s">
        <v>70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7" s="2">
        <f>Games[[#This Row],[DaysOff]]-Games[[#This Row],[OppDaysOff]]</f>
        <v>-1</v>
      </c>
      <c r="L287" s="2">
        <f>Games[[#This Row],[OppDaysOff]]-Games[[#This Row],[DaysOff]]</f>
        <v>1</v>
      </c>
      <c r="M287" s="1">
        <f>MAX(-16, MIN(16, Games[[#This Row],[RestDiff]]*8))</f>
        <v>-8</v>
      </c>
      <c r="N287" s="1">
        <f>MAX(-16, MIN(16, Games[[#This Row],[OppRestDiff]]*8))</f>
        <v>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1574.8620541495948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1342.7542560711747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0.84909996875378246</v>
      </c>
      <c r="R287" s="1">
        <v>83</v>
      </c>
      <c r="S287" s="1">
        <v>68</v>
      </c>
      <c r="T287" s="1">
        <v>0</v>
      </c>
      <c r="U287" s="1">
        <f>Games[[#This Row],[PointsFor]]-Games[[#This Row],[PointsAgainst]]</f>
        <v>15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0.42134931076010662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72.55</v>
      </c>
      <c r="Z287" s="4">
        <f>Games[[#This Row],[K]]*Games[[#This Row],[POMult]]</f>
        <v>72.55</v>
      </c>
      <c r="AA287" s="4">
        <f>(Games[[#This Row],[Keff]]*Games[[#This Row],[MOVMult]])*(Games[[#This Row],[Result]]-Games[[#This Row],[ExpectedWin%]])</f>
        <v>4.6128468327552063</v>
      </c>
      <c r="AB287" s="4">
        <f>Games[[#This Row],[PreGmRate]]+Games[[#This Row],[RatingChange]]</f>
        <v>1579.4749009823499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41149</v>
      </c>
      <c r="B288" s="2">
        <v>2012</v>
      </c>
      <c r="C288" s="2">
        <f>COUNTIFS(Games[Team],Games[[#This Row],[Team]],Games[Season],Games[[#This Row],[Season]],Games[Date],"&lt;=" &amp; Games[[#This Row],[Date]])</f>
        <v>24</v>
      </c>
      <c r="D288" s="2" t="s">
        <v>23</v>
      </c>
      <c r="E288" s="2" t="s">
        <v>29</v>
      </c>
      <c r="F288" s="1" t="s">
        <v>79</v>
      </c>
      <c r="G288" s="1" t="s">
        <v>72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1636.4899827504703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1693.8499471284424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0.30709550896191729</v>
      </c>
      <c r="R288" s="1">
        <v>84</v>
      </c>
      <c r="S288" s="1">
        <v>96</v>
      </c>
      <c r="T288" s="1">
        <v>1</v>
      </c>
      <c r="U288" s="1">
        <f>Games[[#This Row],[PointsFor]]-Games[[#This Row],[PointsAgainst]]</f>
        <v>-12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0.3917889963725445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-8.7109248262614649</v>
      </c>
      <c r="AB288" s="4">
        <f>Games[[#This Row],[PreGmRate]]+Games[[#This Row],[RatingChange]]</f>
        <v>1627.7790579242089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41149</v>
      </c>
      <c r="B289" s="2">
        <v>2012</v>
      </c>
      <c r="C289" s="2">
        <f>COUNTIFS(Games[Team],Games[[#This Row],[Team]],Games[Season],Games[[#This Row],[Season]],Games[Date],"&lt;=" &amp; Games[[#This Row],[Date]])</f>
        <v>24</v>
      </c>
      <c r="D289" s="2" t="s">
        <v>23</v>
      </c>
      <c r="E289" s="2" t="s">
        <v>29</v>
      </c>
      <c r="F289" s="1" t="s">
        <v>72</v>
      </c>
      <c r="G289" s="1" t="s">
        <v>79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1693.8499471284424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1636.4899827504703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0.69290449103808283</v>
      </c>
      <c r="R289" s="1">
        <v>96</v>
      </c>
      <c r="S289" s="1">
        <v>84</v>
      </c>
      <c r="T289" s="1">
        <v>1</v>
      </c>
      <c r="U289" s="1">
        <f>Games[[#This Row],[PointsFor]]-Games[[#This Row],[PointsAgainst]]</f>
        <v>12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0.3917889963725445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8.7109248262614631</v>
      </c>
      <c r="AB289" s="4">
        <f>Games[[#This Row],[PreGmRate]]+Games[[#This Row],[RatingChange]]</f>
        <v>1702.5608719547038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41151</v>
      </c>
      <c r="B290" s="2">
        <v>2012</v>
      </c>
      <c r="C290" s="2">
        <f>COUNTIFS(Games[Team],Games[[#This Row],[Team]],Games[Season],Games[[#This Row],[Season]],Games[Date],"&lt;=" &amp; Games[[#This Row],[Date]])</f>
        <v>25</v>
      </c>
      <c r="D290" s="2" t="s">
        <v>23</v>
      </c>
      <c r="E290" s="2" t="s">
        <v>29</v>
      </c>
      <c r="F290" s="1" t="s">
        <v>70</v>
      </c>
      <c r="G290" s="1" t="s">
        <v>84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1338.1509464820433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1525.5160523582172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0.17334507025548515</v>
      </c>
      <c r="R290" s="1">
        <v>59</v>
      </c>
      <c r="S290" s="1">
        <v>82</v>
      </c>
      <c r="T290" s="1">
        <v>0</v>
      </c>
      <c r="U290" s="1">
        <f>Games[[#This Row],[PointsFor]]-Games[[#This Row],[PointsAgainst]]</f>
        <v>-23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0.53223576111782844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72.25</v>
      </c>
      <c r="Z290" s="4">
        <f>Games[[#This Row],[K]]*Games[[#This Row],[POMult]]</f>
        <v>72.25</v>
      </c>
      <c r="AA290" s="4">
        <f>(Games[[#This Row],[Keff]]*Games[[#This Row],[MOVMult]])*(Games[[#This Row],[Result]]-Games[[#This Row],[ExpectedWin%]])</f>
        <v>-6.6658171803993778</v>
      </c>
      <c r="AB290" s="4">
        <f>Games[[#This Row],[PreGmRate]]+Games[[#This Row],[RatingChange]]</f>
        <v>1331.4851293016438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41151</v>
      </c>
      <c r="B291" s="2">
        <v>2012</v>
      </c>
      <c r="C291" s="2">
        <f>COUNTIFS(Games[Team],Games[[#This Row],[Team]],Games[Season],Games[[#This Row],[Season]],Games[Date],"&lt;=" &amp; Games[[#This Row],[Date]])</f>
        <v>26</v>
      </c>
      <c r="D291" s="2" t="s">
        <v>23</v>
      </c>
      <c r="E291" s="2" t="s">
        <v>29</v>
      </c>
      <c r="F291" s="1" t="s">
        <v>84</v>
      </c>
      <c r="G291" s="1" t="s">
        <v>70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1525.5160523582172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1338.1509464820433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0.82665492974451493</v>
      </c>
      <c r="R291" s="1">
        <v>82</v>
      </c>
      <c r="S291" s="1">
        <v>59</v>
      </c>
      <c r="T291" s="1">
        <v>0</v>
      </c>
      <c r="U291" s="1">
        <f>Games[[#This Row],[PointsFor]]-Games[[#This Row],[PointsAgainst]]</f>
        <v>23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0.53223576111782844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72.099999999999994</v>
      </c>
      <c r="Z291" s="4">
        <f>Games[[#This Row],[K]]*Games[[#This Row],[POMult]]</f>
        <v>72.099999999999994</v>
      </c>
      <c r="AA291" s="4">
        <f>(Games[[#This Row],[Keff]]*Games[[#This Row],[MOVMult]])*(Games[[#This Row],[Result]]-Games[[#This Row],[ExpectedWin%]])</f>
        <v>6.6519781135888563</v>
      </c>
      <c r="AB291" s="4">
        <f>Games[[#This Row],[PreGmRate]]+Games[[#This Row],[RatingChange]]</f>
        <v>1532.1680304718061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41151</v>
      </c>
      <c r="B292" s="2">
        <v>2012</v>
      </c>
      <c r="C292" s="2">
        <f>COUNTIFS(Games[Team],Games[[#This Row],[Team]],Games[Season],Games[[#This Row],[Season]],Games[Date],"&lt;=" &amp; Games[[#This Row],[Date]])</f>
        <v>24</v>
      </c>
      <c r="D292" s="2" t="s">
        <v>23</v>
      </c>
      <c r="E292" s="2" t="s">
        <v>29</v>
      </c>
      <c r="F292" s="1" t="s">
        <v>74</v>
      </c>
      <c r="G292" s="1" t="s">
        <v>65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2" s="2">
        <f>Games[[#This Row],[DaysOff]]-Games[[#This Row],[OppDaysOff]]</f>
        <v>-2</v>
      </c>
      <c r="L292" s="2">
        <f>Games[[#This Row],[OppDaysOff]]-Games[[#This Row],[DaysOff]]</f>
        <v>2</v>
      </c>
      <c r="M292" s="1">
        <f>MAX(-16, MIN(16, Games[[#This Row],[RestDiff]]*8))</f>
        <v>-16</v>
      </c>
      <c r="N292" s="1">
        <f>MAX(-16, MIN(16, Games[[#This Row],[OppRestDiff]]*8))</f>
        <v>16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1579.4749009823499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1465.1988521883195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0.49751905514343064</v>
      </c>
      <c r="R292" s="1">
        <v>76</v>
      </c>
      <c r="S292" s="1">
        <v>63</v>
      </c>
      <c r="T292" s="1">
        <v>0</v>
      </c>
      <c r="U292" s="1">
        <f>Games[[#This Row],[PointsFor]]-Games[[#This Row],[PointsAgainst]]</f>
        <v>13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0.43099964219595538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72.400000000000006</v>
      </c>
      <c r="Z292" s="4">
        <f>Games[[#This Row],[K]]*Games[[#This Row],[POMult]]</f>
        <v>72.400000000000006</v>
      </c>
      <c r="AA292" s="4">
        <f>(Games[[#This Row],[Keff]]*Games[[#This Row],[MOVMult]])*(Games[[#This Row],[Result]]-Games[[#This Row],[ExpectedWin%]])</f>
        <v>15.679603378907011</v>
      </c>
      <c r="AB292" s="4">
        <f>Games[[#This Row],[PreGmRate]]+Games[[#This Row],[RatingChange]]</f>
        <v>1595.1545043612568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41151</v>
      </c>
      <c r="B293" s="2">
        <v>2012</v>
      </c>
      <c r="C293" s="2">
        <f>COUNTIFS(Games[Team],Games[[#This Row],[Team]],Games[Season],Games[[#This Row],[Season]],Games[Date],"&lt;=" &amp; Games[[#This Row],[Date]])</f>
        <v>25</v>
      </c>
      <c r="D293" s="2" t="s">
        <v>23</v>
      </c>
      <c r="E293" s="2" t="s">
        <v>29</v>
      </c>
      <c r="F293" s="1" t="s">
        <v>65</v>
      </c>
      <c r="G293" s="1" t="s">
        <v>74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2</v>
      </c>
      <c r="L293" s="2">
        <f>Games[[#This Row],[OppDaysOff]]-Games[[#This Row],[DaysOff]]</f>
        <v>-2</v>
      </c>
      <c r="M293" s="1">
        <f>MAX(-16, MIN(16, Games[[#This Row],[RestDiff]]*8))</f>
        <v>16</v>
      </c>
      <c r="N293" s="1">
        <f>MAX(-16, MIN(16, Games[[#This Row],[OppRestDiff]]*8))</f>
        <v>-16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1465.1988521883195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1579.4749009823499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0.50248094485656936</v>
      </c>
      <c r="R293" s="1">
        <v>63</v>
      </c>
      <c r="S293" s="1">
        <v>76</v>
      </c>
      <c r="T293" s="1">
        <v>0</v>
      </c>
      <c r="U293" s="1">
        <f>Games[[#This Row],[PointsFor]]-Games[[#This Row],[PointsAgainst]]</f>
        <v>-13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0.43099964219595538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72.25</v>
      </c>
      <c r="Z293" s="4">
        <f>Games[[#This Row],[K]]*Games[[#This Row],[POMult]]</f>
        <v>72.25</v>
      </c>
      <c r="AA293" s="4">
        <f>(Games[[#This Row],[Keff]]*Games[[#This Row],[MOVMult]])*(Games[[#This Row],[Result]]-Games[[#This Row],[ExpectedWin%]])</f>
        <v>-15.647118012790489</v>
      </c>
      <c r="AB293" s="4">
        <f>Games[[#This Row],[PreGmRate]]+Games[[#This Row],[RatingChange]]</f>
        <v>1449.551734175529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41151</v>
      </c>
      <c r="B294" s="2">
        <v>2012</v>
      </c>
      <c r="C294" s="2">
        <f>COUNTIFS(Games[Team],Games[[#This Row],[Team]],Games[Season],Games[[#This Row],[Season]],Games[Date],"&lt;=" &amp; Games[[#This Row],[Date]])</f>
        <v>25</v>
      </c>
      <c r="D294" s="2" t="s">
        <v>23</v>
      </c>
      <c r="E294" s="2" t="s">
        <v>29</v>
      </c>
      <c r="F294" s="1" t="s">
        <v>81</v>
      </c>
      <c r="G294" s="1" t="s">
        <v>79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1588.258149821896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1627.7790579242089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0.32936830492770891</v>
      </c>
      <c r="R294" s="1">
        <v>84</v>
      </c>
      <c r="S294" s="1">
        <v>73</v>
      </c>
      <c r="T294" s="1">
        <v>0</v>
      </c>
      <c r="U294" s="1">
        <f>Games[[#This Row],[PointsFor]]-Games[[#This Row],[PointsAgainst]]</f>
        <v>11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0.42581223185433481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72.25</v>
      </c>
      <c r="Z294" s="4">
        <f>Games[[#This Row],[K]]*Games[[#This Row],[POMult]]</f>
        <v>72.25</v>
      </c>
      <c r="AA294" s="4">
        <f>(Games[[#This Row],[Keff]]*Games[[#This Row],[MOVMult]])*(Games[[#This Row],[Result]]-Games[[#This Row],[ExpectedWin%]])</f>
        <v>20.63193967053888</v>
      </c>
      <c r="AB294" s="4">
        <f>Games[[#This Row],[PreGmRate]]+Games[[#This Row],[RatingChange]]</f>
        <v>1608.890089492435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41151</v>
      </c>
      <c r="B295" s="2">
        <v>2012</v>
      </c>
      <c r="C295" s="2">
        <f>COUNTIFS(Games[Team],Games[[#This Row],[Team]],Games[Season],Games[[#This Row],[Season]],Games[Date],"&lt;=" &amp; Games[[#This Row],[Date]])</f>
        <v>25</v>
      </c>
      <c r="D295" s="2" t="s">
        <v>23</v>
      </c>
      <c r="E295" s="2" t="s">
        <v>29</v>
      </c>
      <c r="F295" s="1" t="s">
        <v>79</v>
      </c>
      <c r="G295" s="1" t="s">
        <v>81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1627.7790579242089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1588.258149821896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0.67063169507229115</v>
      </c>
      <c r="R295" s="1">
        <v>73</v>
      </c>
      <c r="S295" s="1">
        <v>84</v>
      </c>
      <c r="T295" s="1">
        <v>0</v>
      </c>
      <c r="U295" s="1">
        <f>Games[[#This Row],[PointsFor]]-Games[[#This Row],[PointsAgainst]]</f>
        <v>-11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0.42581223185433481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-20.631939670538884</v>
      </c>
      <c r="AB295" s="4">
        <f>Games[[#This Row],[PreGmRate]]+Games[[#This Row],[RatingChange]]</f>
        <v>1607.14711825367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41151</v>
      </c>
      <c r="B296" s="2">
        <v>2012</v>
      </c>
      <c r="C296" s="2">
        <f>COUNTIFS(Games[Team],Games[[#This Row],[Team]],Games[Season],Games[[#This Row],[Season]],Games[Date],"&lt;=" &amp; Games[[#This Row],[Date]])</f>
        <v>24</v>
      </c>
      <c r="D296" s="2" t="s">
        <v>23</v>
      </c>
      <c r="E296" s="2" t="s">
        <v>29</v>
      </c>
      <c r="F296" s="1" t="s">
        <v>44</v>
      </c>
      <c r="G296" s="1" t="s">
        <v>76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6" s="2">
        <f>Games[[#This Row],[DaysOff]]-Games[[#This Row],[OppDaysOff]]</f>
        <v>1</v>
      </c>
      <c r="L296" s="2">
        <f>Games[[#This Row],[OppDaysOff]]-Games[[#This Row],[DaysOff]]</f>
        <v>-1</v>
      </c>
      <c r="M296" s="1">
        <f>MAX(-16, MIN(16, Games[[#This Row],[RestDiff]]*8))</f>
        <v>8</v>
      </c>
      <c r="N296" s="1">
        <f>MAX(-16, MIN(16, Games[[#This Row],[OppRestDiff]]*8))</f>
        <v>-8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1316.2145342144886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1489.3264692342657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0.19973493071834461</v>
      </c>
      <c r="R296" s="1">
        <v>75</v>
      </c>
      <c r="S296" s="1">
        <v>68</v>
      </c>
      <c r="T296" s="1">
        <v>0</v>
      </c>
      <c r="U296" s="1">
        <f>Games[[#This Row],[PointsFor]]-Games[[#This Row],[PointsAgainst]]</f>
        <v>7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0.3234467603532899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72.400000000000006</v>
      </c>
      <c r="Z296" s="4">
        <f>Games[[#This Row],[K]]*Games[[#This Row],[POMult]]</f>
        <v>72.400000000000006</v>
      </c>
      <c r="AA296" s="4">
        <f>(Games[[#This Row],[Keff]]*Games[[#This Row],[MOVMult]])*(Games[[#This Row],[Result]]-Games[[#This Row],[ExpectedWin%]])</f>
        <v>18.740243631613005</v>
      </c>
      <c r="AB296" s="4">
        <f>Games[[#This Row],[PreGmRate]]+Games[[#This Row],[RatingChange]]</f>
        <v>1334.9547778461017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41151</v>
      </c>
      <c r="B297" s="2">
        <v>2012</v>
      </c>
      <c r="C297" s="2">
        <f>COUNTIFS(Games[Team],Games[[#This Row],[Team]],Games[Season],Games[[#This Row],[Season]],Games[Date],"&lt;=" &amp; Games[[#This Row],[Date]])</f>
        <v>25</v>
      </c>
      <c r="D297" s="2" t="s">
        <v>23</v>
      </c>
      <c r="E297" s="2" t="s">
        <v>29</v>
      </c>
      <c r="F297" s="1" t="s">
        <v>76</v>
      </c>
      <c r="G297" s="1" t="s">
        <v>44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7" s="2">
        <f>Games[[#This Row],[DaysOff]]-Games[[#This Row],[OppDaysOff]]</f>
        <v>-1</v>
      </c>
      <c r="L297" s="2">
        <f>Games[[#This Row],[OppDaysOff]]-Games[[#This Row],[DaysOff]]</f>
        <v>1</v>
      </c>
      <c r="M297" s="1">
        <f>MAX(-16, MIN(16, Games[[#This Row],[RestDiff]]*8))</f>
        <v>-8</v>
      </c>
      <c r="N297" s="1">
        <f>MAX(-16, MIN(16, Games[[#This Row],[OppRestDiff]]*8))</f>
        <v>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1489.3264692342657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1316.2145342144886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0.80026506928165531</v>
      </c>
      <c r="R297" s="1">
        <v>68</v>
      </c>
      <c r="S297" s="1">
        <v>75</v>
      </c>
      <c r="T297" s="1">
        <v>0</v>
      </c>
      <c r="U297" s="1">
        <f>Games[[#This Row],[PointsFor]]-Games[[#This Row],[PointsAgainst]]</f>
        <v>-7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0.3234467603532899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72.25</v>
      </c>
      <c r="Z297" s="4">
        <f>Games[[#This Row],[K]]*Games[[#This Row],[POMult]]</f>
        <v>72.25</v>
      </c>
      <c r="AA297" s="4">
        <f>(Games[[#This Row],[Keff]]*Games[[#This Row],[MOVMult]])*(Games[[#This Row],[Result]]-Games[[#This Row],[ExpectedWin%]])</f>
        <v>-18.701417160000542</v>
      </c>
      <c r="AB297" s="4">
        <f>Games[[#This Row],[PreGmRate]]+Games[[#This Row],[RatingChange]]</f>
        <v>1470.6250520742651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41151</v>
      </c>
      <c r="B298" s="2">
        <v>2012</v>
      </c>
      <c r="C298" s="2">
        <f>COUNTIFS(Games[Team],Games[[#This Row],[Team]],Games[Season],Games[[#This Row],[Season]],Games[Date],"&lt;=" &amp; Games[[#This Row],[Date]])</f>
        <v>26</v>
      </c>
      <c r="D298" s="2" t="s">
        <v>23</v>
      </c>
      <c r="E298" s="2" t="s">
        <v>29</v>
      </c>
      <c r="F298" s="1" t="s">
        <v>68</v>
      </c>
      <c r="G298" s="1" t="s">
        <v>86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3</v>
      </c>
      <c r="L298" s="2">
        <f>Games[[#This Row],[OppDaysOff]]-Games[[#This Row],[DaysOff]]</f>
        <v>-3</v>
      </c>
      <c r="M298" s="1">
        <f>MAX(-16, MIN(16, Games[[#This Row],[RestDiff]]*8))</f>
        <v>16</v>
      </c>
      <c r="N298" s="1">
        <f>MAX(-16, MIN(16, Games[[#This Row],[OppRestDiff]]*8))</f>
        <v>-16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1623.6596326951578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1334.2923243650207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0.79679725946061897</v>
      </c>
      <c r="R298" s="1">
        <v>85</v>
      </c>
      <c r="S298" s="1">
        <v>99</v>
      </c>
      <c r="T298" s="1">
        <v>0</v>
      </c>
      <c r="U298" s="1">
        <f>Games[[#This Row],[PointsFor]]-Games[[#This Row],[PointsAgainst]]</f>
        <v>-14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0.39287133601513169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72.099999999999994</v>
      </c>
      <c r="Z298" s="4">
        <f>Games[[#This Row],[K]]*Games[[#This Row],[POMult]]</f>
        <v>72.099999999999994</v>
      </c>
      <c r="AA298" s="4">
        <f>(Games[[#This Row],[Keff]]*Games[[#This Row],[MOVMult]])*(Games[[#This Row],[Result]]-Games[[#This Row],[ExpectedWin%]])</f>
        <v>-22.570097758124948</v>
      </c>
      <c r="AB298" s="4">
        <f>Games[[#This Row],[PreGmRate]]+Games[[#This Row],[RatingChange]]</f>
        <v>1601.0895349370328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41151</v>
      </c>
      <c r="B299" s="2">
        <v>2012</v>
      </c>
      <c r="C299" s="2">
        <f>COUNTIFS(Games[Team],Games[[#This Row],[Team]],Games[Season],Games[[#This Row],[Season]],Games[Date],"&lt;=" &amp; Games[[#This Row],[Date]])</f>
        <v>25</v>
      </c>
      <c r="D299" s="2" t="s">
        <v>23</v>
      </c>
      <c r="E299" s="2" t="s">
        <v>29</v>
      </c>
      <c r="F299" s="1" t="s">
        <v>86</v>
      </c>
      <c r="G299" s="1" t="s">
        <v>68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9" s="2">
        <f>Games[[#This Row],[DaysOff]]-Games[[#This Row],[OppDaysOff]]</f>
        <v>-3</v>
      </c>
      <c r="L299" s="2">
        <f>Games[[#This Row],[OppDaysOff]]-Games[[#This Row],[DaysOff]]</f>
        <v>3</v>
      </c>
      <c r="M299" s="1">
        <f>MAX(-16, MIN(16, Games[[#This Row],[RestDiff]]*8))</f>
        <v>-16</v>
      </c>
      <c r="N299" s="1">
        <f>MAX(-16, MIN(16, Games[[#This Row],[OppRestDiff]]*8))</f>
        <v>16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1334.2923243650207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1623.6596326951578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0.20320274053938095</v>
      </c>
      <c r="R299" s="1">
        <v>99</v>
      </c>
      <c r="S299" s="1">
        <v>85</v>
      </c>
      <c r="T299" s="1">
        <v>0</v>
      </c>
      <c r="U299" s="1">
        <f>Games[[#This Row],[PointsFor]]-Games[[#This Row],[PointsAgainst]]</f>
        <v>14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0.39287133601513169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72.25</v>
      </c>
      <c r="Z299" s="4">
        <f>Games[[#This Row],[K]]*Games[[#This Row],[POMult]]</f>
        <v>72.25</v>
      </c>
      <c r="AA299" s="4">
        <f>(Games[[#This Row],[Keff]]*Games[[#This Row],[MOVMult]])*(Games[[#This Row],[Result]]-Games[[#This Row],[ExpectedWin%]])</f>
        <v>22.617053578703576</v>
      </c>
      <c r="AB299" s="4">
        <f>Games[[#This Row],[PreGmRate]]+Games[[#This Row],[RatingChange]]</f>
        <v>1356.9093779437244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41152</v>
      </c>
      <c r="B300" s="2">
        <v>2012</v>
      </c>
      <c r="C300" s="2">
        <f>COUNTIFS(Games[Team],Games[[#This Row],[Team]],Games[Season],Games[[#This Row],[Season]],Games[Date],"&lt;=" &amp; Games[[#This Row],[Date]])</f>
        <v>26</v>
      </c>
      <c r="D300" s="2" t="s">
        <v>23</v>
      </c>
      <c r="E300" s="2" t="s">
        <v>29</v>
      </c>
      <c r="F300" s="1" t="s">
        <v>86</v>
      </c>
      <c r="G300" s="1" t="s">
        <v>72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0" s="2">
        <f>Games[[#This Row],[DaysOff]]-Games[[#This Row],[OppDaysOff]]</f>
        <v>-2</v>
      </c>
      <c r="L300" s="2">
        <f>Games[[#This Row],[OppDaysOff]]-Games[[#This Row],[DaysOff]]</f>
        <v>2</v>
      </c>
      <c r="M300" s="1">
        <f>MAX(-16, MIN(16, Games[[#This Row],[RestDiff]]*8))</f>
        <v>-16</v>
      </c>
      <c r="N300" s="1">
        <f>MAX(-16, MIN(16, Games[[#This Row],[OppRestDiff]]*8))</f>
        <v>16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1356.9093779437244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1702.5608719547038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6.5529500925548809E-2</v>
      </c>
      <c r="R300" s="1">
        <v>83</v>
      </c>
      <c r="S300" s="1">
        <v>92</v>
      </c>
      <c r="T300" s="1">
        <v>0</v>
      </c>
      <c r="U300" s="1">
        <f>Games[[#This Row],[PointsFor]]-Games[[#This Row],[PointsAgainst]]</f>
        <v>-9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0.31518478419251655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72.099999999999994</v>
      </c>
      <c r="Z300" s="4">
        <f>Games[[#This Row],[K]]*Games[[#This Row],[POMult]]</f>
        <v>72.099999999999994</v>
      </c>
      <c r="AA300" s="4">
        <f>(Games[[#This Row],[Keff]]*Games[[#This Row],[MOVMult]])*(Games[[#This Row],[Result]]-Games[[#This Row],[ExpectedWin%]])</f>
        <v>-1.4891463058980401</v>
      </c>
      <c r="AB300" s="4">
        <f>Games[[#This Row],[PreGmRate]]+Games[[#This Row],[RatingChange]]</f>
        <v>1355.4202316378264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41152</v>
      </c>
      <c r="B301" s="2">
        <v>2012</v>
      </c>
      <c r="C301" s="2">
        <f>COUNTIFS(Games[Team],Games[[#This Row],[Team]],Games[Season],Games[[#This Row],[Season]],Games[Date],"&lt;=" &amp; Games[[#This Row],[Date]])</f>
        <v>25</v>
      </c>
      <c r="D301" s="2" t="s">
        <v>23</v>
      </c>
      <c r="E301" s="2" t="s">
        <v>29</v>
      </c>
      <c r="F301" s="1" t="s">
        <v>72</v>
      </c>
      <c r="G301" s="1" t="s">
        <v>86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1" s="2">
        <f>Games[[#This Row],[DaysOff]]-Games[[#This Row],[OppDaysOff]]</f>
        <v>2</v>
      </c>
      <c r="L301" s="2">
        <f>Games[[#This Row],[OppDaysOff]]-Games[[#This Row],[DaysOff]]</f>
        <v>-2</v>
      </c>
      <c r="M301" s="1">
        <f>MAX(-16, MIN(16, Games[[#This Row],[RestDiff]]*8))</f>
        <v>16</v>
      </c>
      <c r="N301" s="1">
        <f>MAX(-16, MIN(16, Games[[#This Row],[OppRestDiff]]*8))</f>
        <v>-16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1702.5608719547038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1356.9093779437244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0.93447049907445123</v>
      </c>
      <c r="R301" s="1">
        <v>92</v>
      </c>
      <c r="S301" s="1">
        <v>83</v>
      </c>
      <c r="T301" s="1">
        <v>0</v>
      </c>
      <c r="U301" s="1">
        <f>Games[[#This Row],[PointsFor]]-Games[[#This Row],[PointsAgainst]]</f>
        <v>9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0.31518478419251655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72.25</v>
      </c>
      <c r="Z301" s="4">
        <f>Games[[#This Row],[K]]*Games[[#This Row],[POMult]]</f>
        <v>72.25</v>
      </c>
      <c r="AA301" s="4">
        <f>(Games[[#This Row],[Keff]]*Games[[#This Row],[MOVMult]])*(Games[[#This Row],[Result]]-Games[[#This Row],[ExpectedWin%]])</f>
        <v>1.4922443911391585</v>
      </c>
      <c r="AB301" s="4">
        <f>Games[[#This Row],[PreGmRate]]+Games[[#This Row],[RatingChange]]</f>
        <v>1704.0531163458429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41153</v>
      </c>
      <c r="B302" s="2">
        <v>2012</v>
      </c>
      <c r="C302" s="2">
        <f>COUNTIFS(Games[Team],Games[[#This Row],[Team]],Games[Season],Games[[#This Row],[Season]],Games[Date],"&lt;=" &amp; Games[[#This Row],[Date]])</f>
        <v>25</v>
      </c>
      <c r="D302" s="2" t="s">
        <v>23</v>
      </c>
      <c r="E302" s="2" t="s">
        <v>29</v>
      </c>
      <c r="F302" s="1" t="s">
        <v>82</v>
      </c>
      <c r="G302" s="1" t="s">
        <v>74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2</v>
      </c>
      <c r="L302" s="2">
        <f>Games[[#This Row],[OppDaysOff]]-Games[[#This Row],[DaysOff]]</f>
        <v>-2</v>
      </c>
      <c r="M302" s="1">
        <f>MAX(-16, MIN(16, Games[[#This Row],[RestDiff]]*8))</f>
        <v>16</v>
      </c>
      <c r="N302" s="1">
        <f>MAX(-16, MIN(16, Games[[#This Row],[OppRestDiff]]*8))</f>
        <v>-16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1418.6724022748456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1595.1545043612568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0.21160987116201982</v>
      </c>
      <c r="R302" s="1">
        <v>64</v>
      </c>
      <c r="S302" s="1">
        <v>81</v>
      </c>
      <c r="T302" s="1">
        <v>0</v>
      </c>
      <c r="U302" s="1">
        <f>Games[[#This Row],[PointsFor]]-Games[[#This Row],[PointsAgainst]]</f>
        <v>-17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0.46417638262781186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-7.096706001882386</v>
      </c>
      <c r="AB302" s="4">
        <f>Games[[#This Row],[PreGmRate]]+Games[[#This Row],[RatingChange]]</f>
        <v>1411.5756962729631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41153</v>
      </c>
      <c r="B303" s="2">
        <v>2012</v>
      </c>
      <c r="C303" s="2">
        <f>COUNTIFS(Games[Team],Games[[#This Row],[Team]],Games[Season],Games[[#This Row],[Season]],Games[Date],"&lt;=" &amp; Games[[#This Row],[Date]])</f>
        <v>25</v>
      </c>
      <c r="D303" s="2" t="s">
        <v>23</v>
      </c>
      <c r="E303" s="2" t="s">
        <v>29</v>
      </c>
      <c r="F303" s="1" t="s">
        <v>74</v>
      </c>
      <c r="G303" s="1" t="s">
        <v>82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3" s="2">
        <f>Games[[#This Row],[DaysOff]]-Games[[#This Row],[OppDaysOff]]</f>
        <v>-2</v>
      </c>
      <c r="L303" s="2">
        <f>Games[[#This Row],[OppDaysOff]]-Games[[#This Row],[DaysOff]]</f>
        <v>2</v>
      </c>
      <c r="M303" s="1">
        <f>MAX(-16, MIN(16, Games[[#This Row],[RestDiff]]*8))</f>
        <v>-16</v>
      </c>
      <c r="N303" s="1">
        <f>MAX(-16, MIN(16, Games[[#This Row],[OppRestDiff]]*8))</f>
        <v>16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1595.1545043612568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1418.6724022748456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0.7883901288379801</v>
      </c>
      <c r="R303" s="1">
        <v>81</v>
      </c>
      <c r="S303" s="1">
        <v>64</v>
      </c>
      <c r="T303" s="1">
        <v>0</v>
      </c>
      <c r="U303" s="1">
        <f>Games[[#This Row],[PointsFor]]-Games[[#This Row],[PointsAgainst]]</f>
        <v>17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0.46417638262781186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72.25</v>
      </c>
      <c r="Z303" s="4">
        <f>Games[[#This Row],[K]]*Games[[#This Row],[POMult]]</f>
        <v>72.25</v>
      </c>
      <c r="AA303" s="4">
        <f>(Games[[#This Row],[Keff]]*Games[[#This Row],[MOVMult]])*(Games[[#This Row],[Result]]-Games[[#This Row],[ExpectedWin%]])</f>
        <v>7.0967060018823886</v>
      </c>
      <c r="AB303" s="4">
        <f>Games[[#This Row],[PreGmRate]]+Games[[#This Row],[RatingChange]]</f>
        <v>1602.2512103631393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41153</v>
      </c>
      <c r="B304" s="2">
        <v>2012</v>
      </c>
      <c r="C304" s="2">
        <f>COUNTIFS(Games[Team],Games[[#This Row],[Team]],Games[Season],Games[[#This Row],[Season]],Games[Date],"&lt;=" &amp; Games[[#This Row],[Date]])</f>
        <v>26</v>
      </c>
      <c r="D304" s="2" t="s">
        <v>23</v>
      </c>
      <c r="E304" s="2" t="s">
        <v>29</v>
      </c>
      <c r="F304" s="1" t="s">
        <v>70</v>
      </c>
      <c r="G304" s="1" t="s">
        <v>65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1331.4851293016438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1449.551734175529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0.23808833192724979</v>
      </c>
      <c r="R304" s="1">
        <v>73</v>
      </c>
      <c r="S304" s="1">
        <v>79</v>
      </c>
      <c r="T304" s="1">
        <v>0</v>
      </c>
      <c r="U304" s="1">
        <f>Games[[#This Row],[PointsFor]]-Games[[#This Row],[PointsAgainst]]</f>
        <v>-6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0.31981457670686025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72.099999999999994</v>
      </c>
      <c r="Z304" s="4">
        <f>Games[[#This Row],[K]]*Games[[#This Row],[POMult]]</f>
        <v>72.099999999999994</v>
      </c>
      <c r="AA304" s="4">
        <f>(Games[[#This Row],[Keff]]*Games[[#This Row],[MOVMult]])*(Games[[#This Row],[Result]]-Games[[#This Row],[ExpectedWin%]])</f>
        <v>-5.4899909866886354</v>
      </c>
      <c r="AB304" s="4">
        <f>Games[[#This Row],[PreGmRate]]+Games[[#This Row],[RatingChange]]</f>
        <v>1325.9951383149553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41153</v>
      </c>
      <c r="B305" s="2">
        <v>2012</v>
      </c>
      <c r="C305" s="2">
        <f>COUNTIFS(Games[Team],Games[[#This Row],[Team]],Games[Season],Games[[#This Row],[Season]],Games[Date],"&lt;=" &amp; Games[[#This Row],[Date]])</f>
        <v>26</v>
      </c>
      <c r="D305" s="2" t="s">
        <v>23</v>
      </c>
      <c r="E305" s="2" t="s">
        <v>29</v>
      </c>
      <c r="F305" s="1" t="s">
        <v>65</v>
      </c>
      <c r="G305" s="1" t="s">
        <v>70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1449.551734175529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1331.4851293016438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0.76191166807275024</v>
      </c>
      <c r="R305" s="1">
        <v>79</v>
      </c>
      <c r="S305" s="1">
        <v>73</v>
      </c>
      <c r="T305" s="1">
        <v>0</v>
      </c>
      <c r="U305" s="1">
        <f>Games[[#This Row],[PointsFor]]-Games[[#This Row],[PointsAgainst]]</f>
        <v>6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0.31981457670686025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72.099999999999994</v>
      </c>
      <c r="Z305" s="4">
        <f>Games[[#This Row],[K]]*Games[[#This Row],[POMult]]</f>
        <v>72.099999999999994</v>
      </c>
      <c r="AA305" s="4">
        <f>(Games[[#This Row],[Keff]]*Games[[#This Row],[MOVMult]])*(Games[[#This Row],[Result]]-Games[[#This Row],[ExpectedWin%]])</f>
        <v>5.4899909866886345</v>
      </c>
      <c r="AB305" s="4">
        <f>Games[[#This Row],[PreGmRate]]+Games[[#This Row],[RatingChange]]</f>
        <v>1455.0417251622175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41153</v>
      </c>
      <c r="B306" s="2">
        <v>2012</v>
      </c>
      <c r="C306" s="2">
        <f>COUNTIFS(Games[Team],Games[[#This Row],[Team]],Games[Season],Games[[#This Row],[Season]],Games[Date],"&lt;=" &amp; Games[[#This Row],[Date]])</f>
        <v>26</v>
      </c>
      <c r="D306" s="2" t="s">
        <v>23</v>
      </c>
      <c r="E306" s="2" t="s">
        <v>29</v>
      </c>
      <c r="F306" s="1" t="s">
        <v>79</v>
      </c>
      <c r="G306" s="1" t="s">
        <v>44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1607.14711825367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1334.9547778461017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0.74712216273313259</v>
      </c>
      <c r="R306" s="1">
        <v>90</v>
      </c>
      <c r="S306" s="1">
        <v>94</v>
      </c>
      <c r="T306" s="1">
        <v>0</v>
      </c>
      <c r="U306" s="1">
        <f>Games[[#This Row],[PointsFor]]-Games[[#This Row],[PointsAgainst]]</f>
        <v>-4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0.25385221185242213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-13.674386035784886</v>
      </c>
      <c r="AB306" s="4">
        <f>Games[[#This Row],[PreGmRate]]+Games[[#This Row],[RatingChange]]</f>
        <v>1593.4727322178851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41153</v>
      </c>
      <c r="B307" s="2">
        <v>2012</v>
      </c>
      <c r="C307" s="2">
        <f>COUNTIFS(Games[Team],Games[[#This Row],[Team]],Games[Season],Games[[#This Row],[Season]],Games[Date],"&lt;=" &amp; Games[[#This Row],[Date]])</f>
        <v>25</v>
      </c>
      <c r="D307" s="2" t="s">
        <v>23</v>
      </c>
      <c r="E307" s="2" t="s">
        <v>29</v>
      </c>
      <c r="F307" s="1" t="s">
        <v>44</v>
      </c>
      <c r="G307" s="1" t="s">
        <v>79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1334.9547778461017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1607.14711825367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0.25287783726686736</v>
      </c>
      <c r="R307" s="1">
        <v>94</v>
      </c>
      <c r="S307" s="1">
        <v>90</v>
      </c>
      <c r="T307" s="1">
        <v>0</v>
      </c>
      <c r="U307" s="1">
        <f>Games[[#This Row],[PointsFor]]-Games[[#This Row],[PointsAgainst]]</f>
        <v>4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0.25385221185242213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72.25</v>
      </c>
      <c r="Z307" s="4">
        <f>Games[[#This Row],[K]]*Games[[#This Row],[POMult]]</f>
        <v>72.25</v>
      </c>
      <c r="AA307" s="4">
        <f>(Games[[#This Row],[Keff]]*Games[[#This Row],[MOVMult]])*(Games[[#This Row],[Result]]-Games[[#This Row],[ExpectedWin%]])</f>
        <v>13.702834827814954</v>
      </c>
      <c r="AB307" s="4">
        <f>Games[[#This Row],[PreGmRate]]+Games[[#This Row],[RatingChange]]</f>
        <v>1348.6576126739167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41154</v>
      </c>
      <c r="B308" s="2">
        <v>2012</v>
      </c>
      <c r="C308" s="2">
        <f>COUNTIFS(Games[Team],Games[[#This Row],[Team]],Games[Season],Games[[#This Row],[Season]],Games[Date],"&lt;=" &amp; Games[[#This Row],[Date]])</f>
        <v>26</v>
      </c>
      <c r="D308" s="2" t="s">
        <v>23</v>
      </c>
      <c r="E308" s="2" t="s">
        <v>29</v>
      </c>
      <c r="F308" s="1" t="s">
        <v>81</v>
      </c>
      <c r="G308" s="1" t="s">
        <v>84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1608.890089492435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1532.1680304718061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0.48952773270108008</v>
      </c>
      <c r="R308" s="1">
        <v>80</v>
      </c>
      <c r="S308" s="1">
        <v>87</v>
      </c>
      <c r="T308" s="1">
        <v>0</v>
      </c>
      <c r="U308" s="1">
        <f>Games[[#This Row],[PointsFor]]-Games[[#This Row],[PointsAgainst]]</f>
        <v>-7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0.34786632207582768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72.099999999999994</v>
      </c>
      <c r="Z308" s="4">
        <f>Games[[#This Row],[K]]*Games[[#This Row],[POMult]]</f>
        <v>72.099999999999994</v>
      </c>
      <c r="AA308" s="4">
        <f>(Games[[#This Row],[Keff]]*Games[[#This Row],[MOVMult]])*(Games[[#This Row],[Result]]-Games[[#This Row],[ExpectedWin%]])</f>
        <v>-12.277924280069623</v>
      </c>
      <c r="AB308" s="4">
        <f>Games[[#This Row],[PreGmRate]]+Games[[#This Row],[RatingChange]]</f>
        <v>1596.6121652123654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41154</v>
      </c>
      <c r="B309" s="2">
        <v>2012</v>
      </c>
      <c r="C309" s="2">
        <f>COUNTIFS(Games[Team],Games[[#This Row],[Team]],Games[Season],Games[[#This Row],[Season]],Games[Date],"&lt;=" &amp; Games[[#This Row],[Date]])</f>
        <v>27</v>
      </c>
      <c r="D309" s="2" t="s">
        <v>23</v>
      </c>
      <c r="E309" s="2" t="s">
        <v>29</v>
      </c>
      <c r="F309" s="1" t="s">
        <v>84</v>
      </c>
      <c r="G309" s="1" t="s">
        <v>81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1532.1680304718061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1608.890089492435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0.51047226729891992</v>
      </c>
      <c r="R309" s="1">
        <v>87</v>
      </c>
      <c r="S309" s="1">
        <v>80</v>
      </c>
      <c r="T309" s="1">
        <v>0</v>
      </c>
      <c r="U309" s="1">
        <f>Games[[#This Row],[PointsFor]]-Games[[#This Row],[PointsAgainst]]</f>
        <v>7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0.34786632207582768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71.95</v>
      </c>
      <c r="Z309" s="4">
        <f>Games[[#This Row],[K]]*Games[[#This Row],[POMult]]</f>
        <v>71.95</v>
      </c>
      <c r="AA309" s="4">
        <f>(Games[[#This Row],[Keff]]*Games[[#This Row],[MOVMult]])*(Games[[#This Row],[Result]]-Games[[#This Row],[ExpectedWin%]])</f>
        <v>12.252380748280299</v>
      </c>
      <c r="AB309" s="4">
        <f>Games[[#This Row],[PreGmRate]]+Games[[#This Row],[RatingChange]]</f>
        <v>1544.4204112200864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41154</v>
      </c>
      <c r="B310" s="2">
        <v>2012</v>
      </c>
      <c r="C310" s="2">
        <f>COUNTIFS(Games[Team],Games[[#This Row],[Team]],Games[Season],Games[[#This Row],[Season]],Games[Date],"&lt;=" &amp; Games[[#This Row],[Date]])</f>
        <v>27</v>
      </c>
      <c r="D310" s="2" t="s">
        <v>23</v>
      </c>
      <c r="E310" s="2" t="s">
        <v>29</v>
      </c>
      <c r="F310" s="1" t="s">
        <v>68</v>
      </c>
      <c r="G310" s="1" t="s">
        <v>82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0" s="2">
        <f>Games[[#This Row],[DaysOff]]-Games[[#This Row],[OppDaysOff]]</f>
        <v>2</v>
      </c>
      <c r="L310" s="2">
        <f>Games[[#This Row],[OppDaysOff]]-Games[[#This Row],[DaysOff]]</f>
        <v>-2</v>
      </c>
      <c r="M310" s="1">
        <f>MAX(-16, MIN(16, Games[[#This Row],[RestDiff]]*8))</f>
        <v>16</v>
      </c>
      <c r="N310" s="1">
        <f>MAX(-16, MIN(16, Games[[#This Row],[OppRestDiff]]*8))</f>
        <v>-16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1601.0895349370328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1411.5756962729631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0.68817333787399992</v>
      </c>
      <c r="R310" s="1">
        <v>74</v>
      </c>
      <c r="S310" s="1">
        <v>85</v>
      </c>
      <c r="T310" s="1">
        <v>0</v>
      </c>
      <c r="U310" s="1">
        <f>Games[[#This Row],[PointsFor]]-Games[[#This Row],[PointsAgainst]]</f>
        <v>-11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0.37984736072625752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71.95</v>
      </c>
      <c r="Z310" s="4">
        <f>Games[[#This Row],[K]]*Games[[#This Row],[POMult]]</f>
        <v>71.95</v>
      </c>
      <c r="AA310" s="4">
        <f>(Games[[#This Row],[Keff]]*Games[[#This Row],[MOVMult]])*(Games[[#This Row],[Result]]-Games[[#This Row],[ExpectedWin%]])</f>
        <v>-18.807789438874813</v>
      </c>
      <c r="AB310" s="4">
        <f>Games[[#This Row],[PreGmRate]]+Games[[#This Row],[RatingChange]]</f>
        <v>1582.281745498158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41154</v>
      </c>
      <c r="B311" s="2">
        <v>2012</v>
      </c>
      <c r="C311" s="2">
        <f>COUNTIFS(Games[Team],Games[[#This Row],[Team]],Games[Season],Games[[#This Row],[Season]],Games[Date],"&lt;=" &amp; Games[[#This Row],[Date]])</f>
        <v>26</v>
      </c>
      <c r="D311" s="2" t="s">
        <v>23</v>
      </c>
      <c r="E311" s="2" t="s">
        <v>29</v>
      </c>
      <c r="F311" s="1" t="s">
        <v>82</v>
      </c>
      <c r="G311" s="1" t="s">
        <v>68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1" s="2">
        <f>Games[[#This Row],[DaysOff]]-Games[[#This Row],[OppDaysOff]]</f>
        <v>-2</v>
      </c>
      <c r="L311" s="2">
        <f>Games[[#This Row],[OppDaysOff]]-Games[[#This Row],[DaysOff]]</f>
        <v>2</v>
      </c>
      <c r="M311" s="1">
        <f>MAX(-16, MIN(16, Games[[#This Row],[RestDiff]]*8))</f>
        <v>-16</v>
      </c>
      <c r="N311" s="1">
        <f>MAX(-16, MIN(16, Games[[#This Row],[OppRestDiff]]*8))</f>
        <v>16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1411.5756962729631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1601.0895349370328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0.31182666212600013</v>
      </c>
      <c r="R311" s="1">
        <v>85</v>
      </c>
      <c r="S311" s="1">
        <v>74</v>
      </c>
      <c r="T311" s="1">
        <v>0</v>
      </c>
      <c r="U311" s="1">
        <f>Games[[#This Row],[PointsFor]]-Games[[#This Row],[PointsAgainst]]</f>
        <v>11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0.37984736072625752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72.099999999999994</v>
      </c>
      <c r="Z311" s="4">
        <f>Games[[#This Row],[K]]*Games[[#This Row],[POMult]]</f>
        <v>72.099999999999994</v>
      </c>
      <c r="AA311" s="4">
        <f>(Games[[#This Row],[Keff]]*Games[[#This Row],[MOVMult]])*(Games[[#This Row],[Result]]-Games[[#This Row],[ExpectedWin%]])</f>
        <v>18.846999562791851</v>
      </c>
      <c r="AB311" s="4">
        <f>Games[[#This Row],[PreGmRate]]+Games[[#This Row],[RatingChange]]</f>
        <v>1430.4226958357549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41156</v>
      </c>
      <c r="B312" s="2">
        <v>2012</v>
      </c>
      <c r="C312" s="2">
        <f>COUNTIFS(Games[Team],Games[[#This Row],[Team]],Games[Season],Games[[#This Row],[Season]],Games[Date],"&lt;=" &amp; Games[[#This Row],[Date]])</f>
        <v>28</v>
      </c>
      <c r="D312" s="2" t="s">
        <v>23</v>
      </c>
      <c r="E312" s="2" t="s">
        <v>29</v>
      </c>
      <c r="F312" s="1" t="s">
        <v>68</v>
      </c>
      <c r="G312" s="1" t="s">
        <v>72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2" s="2">
        <f>Games[[#This Row],[DaysOff]]-Games[[#This Row],[OppDaysOff]]</f>
        <v>-2</v>
      </c>
      <c r="L312" s="2">
        <f>Games[[#This Row],[OppDaysOff]]-Games[[#This Row],[DaysOff]]</f>
        <v>2</v>
      </c>
      <c r="M312" s="1">
        <f>MAX(-16, MIN(16, Games[[#This Row],[RestDiff]]*8))</f>
        <v>-16</v>
      </c>
      <c r="N312" s="1">
        <f>MAX(-16, MIN(16, Games[[#This Row],[OppRestDiff]]*8))</f>
        <v>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1582.281745498158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1704.0531163458429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0.20282639935139998</v>
      </c>
      <c r="R312" s="1">
        <v>77</v>
      </c>
      <c r="S312" s="1">
        <v>88</v>
      </c>
      <c r="T312" s="1">
        <v>0</v>
      </c>
      <c r="U312" s="1">
        <f>Games[[#This Row],[PointsFor]]-Games[[#This Row],[PointsAgainst]]</f>
        <v>-11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0.39931502221194609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71.8</v>
      </c>
      <c r="Z312" s="4">
        <f>Games[[#This Row],[K]]*Games[[#This Row],[POMult]]</f>
        <v>71.8</v>
      </c>
      <c r="AA312" s="4">
        <f>(Games[[#This Row],[Keff]]*Games[[#This Row],[MOVMult]])*(Games[[#This Row],[Result]]-Games[[#This Row],[ExpectedWin%]])</f>
        <v>-5.8151989020440453</v>
      </c>
      <c r="AB312" s="4">
        <f>Games[[#This Row],[PreGmRate]]+Games[[#This Row],[RatingChange]]</f>
        <v>1576.4665465961139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41156</v>
      </c>
      <c r="B313" s="2">
        <v>2012</v>
      </c>
      <c r="C313" s="2">
        <f>COUNTIFS(Games[Team],Games[[#This Row],[Team]],Games[Season],Games[[#This Row],[Season]],Games[Date],"&lt;=" &amp; Games[[#This Row],[Date]])</f>
        <v>26</v>
      </c>
      <c r="D313" s="2" t="s">
        <v>23</v>
      </c>
      <c r="E313" s="2" t="s">
        <v>29</v>
      </c>
      <c r="F313" s="1" t="s">
        <v>72</v>
      </c>
      <c r="G313" s="1" t="s">
        <v>68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2</v>
      </c>
      <c r="L313" s="2">
        <f>Games[[#This Row],[OppDaysOff]]-Games[[#This Row],[DaysOff]]</f>
        <v>-2</v>
      </c>
      <c r="M313" s="1">
        <f>MAX(-16, MIN(16, Games[[#This Row],[RestDiff]]*8))</f>
        <v>16</v>
      </c>
      <c r="N313" s="1">
        <f>MAX(-16, MIN(16, Games[[#This Row],[OppRestDiff]]*8))</f>
        <v>-16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1704.0531163458429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1582.281745498158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0.79717360064859999</v>
      </c>
      <c r="R313" s="1">
        <v>88</v>
      </c>
      <c r="S313" s="1">
        <v>77</v>
      </c>
      <c r="T313" s="1">
        <v>0</v>
      </c>
      <c r="U313" s="1">
        <f>Games[[#This Row],[PointsFor]]-Games[[#This Row],[PointsAgainst]]</f>
        <v>11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0.39931502221194609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5.8394963904926973</v>
      </c>
      <c r="AB313" s="4">
        <f>Games[[#This Row],[PreGmRate]]+Games[[#This Row],[RatingChange]]</f>
        <v>1709.8926127363356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41156</v>
      </c>
      <c r="B314" s="2">
        <v>2012</v>
      </c>
      <c r="C314" s="2">
        <f>COUNTIFS(Games[Team],Games[[#This Row],[Team]],Games[Season],Games[[#This Row],[Season]],Games[Date],"&lt;=" &amp; Games[[#This Row],[Date]])</f>
        <v>27</v>
      </c>
      <c r="D314" s="2" t="s">
        <v>23</v>
      </c>
      <c r="E314" s="2" t="s">
        <v>29</v>
      </c>
      <c r="F314" s="1" t="s">
        <v>81</v>
      </c>
      <c r="G314" s="1" t="s">
        <v>70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4" s="2">
        <f>Games[[#This Row],[DaysOff]]-Games[[#This Row],[OppDaysOff]]</f>
        <v>-1</v>
      </c>
      <c r="L314" s="2">
        <f>Games[[#This Row],[OppDaysOff]]-Games[[#This Row],[DaysOff]]</f>
        <v>1</v>
      </c>
      <c r="M314" s="1">
        <f>MAX(-16, MIN(16, Games[[#This Row],[RestDiff]]*8))</f>
        <v>-8</v>
      </c>
      <c r="N314" s="1">
        <f>MAX(-16, MIN(16, Games[[#This Row],[OppRestDiff]]*8))</f>
        <v>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1596.6121652123654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1325.9951383149553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0.72753472535436592</v>
      </c>
      <c r="R314" s="1">
        <v>77</v>
      </c>
      <c r="S314" s="1">
        <v>70</v>
      </c>
      <c r="T314" s="1">
        <v>0</v>
      </c>
      <c r="U314" s="1">
        <f>Games[[#This Row],[PointsFor]]-Games[[#This Row],[PointsAgainst]]</f>
        <v>7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0.30200154007571289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71.95</v>
      </c>
      <c r="Z314" s="4">
        <f>Games[[#This Row],[K]]*Games[[#This Row],[POMult]]</f>
        <v>71.95</v>
      </c>
      <c r="AA314" s="4">
        <f>(Games[[#This Row],[Keff]]*Games[[#This Row],[MOVMult]])*(Games[[#This Row],[Result]]-Games[[#This Row],[ExpectedWin%]])</f>
        <v>5.9204008977016116</v>
      </c>
      <c r="AB314" s="4">
        <f>Games[[#This Row],[PreGmRate]]+Games[[#This Row],[RatingChange]]</f>
        <v>1602.5325661100671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41156</v>
      </c>
      <c r="B315" s="2">
        <v>2012</v>
      </c>
      <c r="C315" s="2">
        <f>COUNTIFS(Games[Team],Games[[#This Row],[Team]],Games[Season],Games[[#This Row],[Season]],Games[Date],"&lt;=" &amp; Games[[#This Row],[Date]])</f>
        <v>27</v>
      </c>
      <c r="D315" s="2" t="s">
        <v>23</v>
      </c>
      <c r="E315" s="2" t="s">
        <v>29</v>
      </c>
      <c r="F315" s="1" t="s">
        <v>70</v>
      </c>
      <c r="G315" s="1" t="s">
        <v>81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1</v>
      </c>
      <c r="L315" s="2">
        <f>Games[[#This Row],[OppDaysOff]]-Games[[#This Row],[DaysOff]]</f>
        <v>-1</v>
      </c>
      <c r="M315" s="1">
        <f>MAX(-16, MIN(16, Games[[#This Row],[RestDiff]]*8))</f>
        <v>8</v>
      </c>
      <c r="N315" s="1">
        <f>MAX(-16, MIN(16, Games[[#This Row],[OppRestDiff]]*8))</f>
        <v>-8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1325.9951383149553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1596.6121652123654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0.27246527464563403</v>
      </c>
      <c r="R315" s="1">
        <v>70</v>
      </c>
      <c r="S315" s="1">
        <v>77</v>
      </c>
      <c r="T315" s="1">
        <v>0</v>
      </c>
      <c r="U315" s="1">
        <f>Games[[#This Row],[PointsFor]]-Games[[#This Row],[PointsAgainst]]</f>
        <v>-7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0.30200154007571289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71.95</v>
      </c>
      <c r="Z315" s="4">
        <f>Games[[#This Row],[K]]*Games[[#This Row],[POMult]]</f>
        <v>71.95</v>
      </c>
      <c r="AA315" s="4">
        <f>(Games[[#This Row],[Keff]]*Games[[#This Row],[MOVMult]])*(Games[[#This Row],[Result]]-Games[[#This Row],[ExpectedWin%]])</f>
        <v>-5.9204008977016107</v>
      </c>
      <c r="AB315" s="4">
        <f>Games[[#This Row],[PreGmRate]]+Games[[#This Row],[RatingChange]]</f>
        <v>1320.0747374172536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41157</v>
      </c>
      <c r="B316" s="2">
        <v>2012</v>
      </c>
      <c r="C316" s="2">
        <f>COUNTIFS(Games[Team],Games[[#This Row],[Team]],Games[Season],Games[[#This Row],[Season]],Games[Date],"&lt;=" &amp; Games[[#This Row],[Date]])</f>
        <v>26</v>
      </c>
      <c r="D316" s="2" t="s">
        <v>23</v>
      </c>
      <c r="E316" s="2" t="s">
        <v>29</v>
      </c>
      <c r="F316" s="1" t="s">
        <v>74</v>
      </c>
      <c r="G316" s="1" t="s">
        <v>84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6" s="2">
        <f>Games[[#This Row],[DaysOff]]-Games[[#This Row],[OppDaysOff]]</f>
        <v>1</v>
      </c>
      <c r="L316" s="2">
        <f>Games[[#This Row],[OppDaysOff]]-Games[[#This Row],[DaysOff]]</f>
        <v>-1</v>
      </c>
      <c r="M316" s="1">
        <f>MAX(-16, MIN(16, Games[[#This Row],[RestDiff]]*8))</f>
        <v>8</v>
      </c>
      <c r="N316" s="1">
        <f>MAX(-16, MIN(16, Games[[#This Row],[OppRestDiff]]*8))</f>
        <v>-8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1602.2512103631393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1544.4204112200864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0.48536952126468991</v>
      </c>
      <c r="R316" s="1">
        <v>64</v>
      </c>
      <c r="S316" s="1">
        <v>71</v>
      </c>
      <c r="T316" s="1">
        <v>0</v>
      </c>
      <c r="U316" s="1">
        <f>Games[[#This Row],[PointsFor]]-Games[[#This Row],[PointsAgainst]]</f>
        <v>-7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0.35309089846358049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72.099999999999994</v>
      </c>
      <c r="Z316" s="4">
        <f>Games[[#This Row],[K]]*Games[[#This Row],[POMult]]</f>
        <v>72.099999999999994</v>
      </c>
      <c r="AA316" s="4">
        <f>(Games[[#This Row],[Keff]]*Games[[#This Row],[MOVMult]])*(Games[[#This Row],[Result]]-Games[[#This Row],[ExpectedWin%]])</f>
        <v>-12.356466301248503</v>
      </c>
      <c r="AB316" s="4">
        <f>Games[[#This Row],[PreGmRate]]+Games[[#This Row],[RatingChange]]</f>
        <v>1589.8947440618908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41157</v>
      </c>
      <c r="B317" s="2">
        <v>2012</v>
      </c>
      <c r="C317" s="2">
        <f>COUNTIFS(Games[Team],Games[[#This Row],[Team]],Games[Season],Games[[#This Row],[Season]],Games[Date],"&lt;=" &amp; Games[[#This Row],[Date]])</f>
        <v>28</v>
      </c>
      <c r="D317" s="2" t="s">
        <v>23</v>
      </c>
      <c r="E317" s="2" t="s">
        <v>29</v>
      </c>
      <c r="F317" s="1" t="s">
        <v>84</v>
      </c>
      <c r="G317" s="1" t="s">
        <v>74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7" s="2">
        <f>Games[[#This Row],[DaysOff]]-Games[[#This Row],[OppDaysOff]]</f>
        <v>-1</v>
      </c>
      <c r="L317" s="2">
        <f>Games[[#This Row],[OppDaysOff]]-Games[[#This Row],[DaysOff]]</f>
        <v>1</v>
      </c>
      <c r="M317" s="1">
        <f>MAX(-16, MIN(16, Games[[#This Row],[RestDiff]]*8))</f>
        <v>-8</v>
      </c>
      <c r="N317" s="1">
        <f>MAX(-16, MIN(16, Games[[#This Row],[OppRestDiff]]*8))</f>
        <v>8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1544.4204112200864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1602.2512103631393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0.51463047873531009</v>
      </c>
      <c r="R317" s="1">
        <v>71</v>
      </c>
      <c r="S317" s="1">
        <v>64</v>
      </c>
      <c r="T317" s="1">
        <v>0</v>
      </c>
      <c r="U317" s="1">
        <f>Games[[#This Row],[PointsFor]]-Games[[#This Row],[PointsAgainst]]</f>
        <v>7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0.35309089846358049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71.8</v>
      </c>
      <c r="Z317" s="4">
        <f>Games[[#This Row],[K]]*Games[[#This Row],[POMult]]</f>
        <v>71.8</v>
      </c>
      <c r="AA317" s="4">
        <f>(Games[[#This Row],[Keff]]*Games[[#This Row],[MOVMult]])*(Games[[#This Row],[Result]]-Games[[#This Row],[ExpectedWin%]])</f>
        <v>12.305052433143448</v>
      </c>
      <c r="AB317" s="4">
        <f>Games[[#This Row],[PreGmRate]]+Games[[#This Row],[RatingChange]]</f>
        <v>1556.7254636532298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41157</v>
      </c>
      <c r="B318" s="2">
        <v>2012</v>
      </c>
      <c r="C318" s="2">
        <f>COUNTIFS(Games[Team],Games[[#This Row],[Team]],Games[Season],Games[[#This Row],[Season]],Games[Date],"&lt;=" &amp; Games[[#This Row],[Date]])</f>
        <v>26</v>
      </c>
      <c r="D318" s="2" t="s">
        <v>23</v>
      </c>
      <c r="E318" s="2" t="s">
        <v>29</v>
      </c>
      <c r="F318" s="1" t="s">
        <v>44</v>
      </c>
      <c r="G318" s="1" t="s">
        <v>65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1348.6576126739167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1455.0417251622175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0.25050156745487856</v>
      </c>
      <c r="R318" s="1">
        <v>59</v>
      </c>
      <c r="S318" s="1">
        <v>87</v>
      </c>
      <c r="T318" s="1">
        <v>0</v>
      </c>
      <c r="U318" s="1">
        <f>Games[[#This Row],[PointsFor]]-Games[[#This Row],[PointsAgainst]]</f>
        <v>-28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0.62378865778848835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72.099999999999994</v>
      </c>
      <c r="Z318" s="4">
        <f>Games[[#This Row],[K]]*Games[[#This Row],[POMult]]</f>
        <v>72.099999999999994</v>
      </c>
      <c r="AA318" s="4">
        <f>(Games[[#This Row],[Keff]]*Games[[#This Row],[MOVMult]])*(Games[[#This Row],[Result]]-Games[[#This Row],[ExpectedWin%]])</f>
        <v>-11.266348634288223</v>
      </c>
      <c r="AB318" s="4">
        <f>Games[[#This Row],[PreGmRate]]+Games[[#This Row],[RatingChange]]</f>
        <v>1337.3912640396284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41157</v>
      </c>
      <c r="B319" s="2">
        <v>2012</v>
      </c>
      <c r="C319" s="2">
        <f>COUNTIFS(Games[Team],Games[[#This Row],[Team]],Games[Season],Games[[#This Row],[Season]],Games[Date],"&lt;=" &amp; Games[[#This Row],[Date]])</f>
        <v>27</v>
      </c>
      <c r="D319" s="2" t="s">
        <v>23</v>
      </c>
      <c r="E319" s="2" t="s">
        <v>29</v>
      </c>
      <c r="F319" s="1" t="s">
        <v>65</v>
      </c>
      <c r="G319" s="1" t="s">
        <v>44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1455.0417251622175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1348.6576126739167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0.74949843254512138</v>
      </c>
      <c r="R319" s="1">
        <v>87</v>
      </c>
      <c r="S319" s="1">
        <v>59</v>
      </c>
      <c r="T319" s="1">
        <v>0</v>
      </c>
      <c r="U319" s="1">
        <f>Games[[#This Row],[PointsFor]]-Games[[#This Row],[PointsAgainst]]</f>
        <v>28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0.62378865778848835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71.95</v>
      </c>
      <c r="Z319" s="4">
        <f>Games[[#This Row],[K]]*Games[[#This Row],[POMult]]</f>
        <v>71.95</v>
      </c>
      <c r="AA319" s="4">
        <f>(Games[[#This Row],[Keff]]*Games[[#This Row],[MOVMult]])*(Games[[#This Row],[Result]]-Games[[#This Row],[ExpectedWin%]])</f>
        <v>11.242909628807737</v>
      </c>
      <c r="AB319" s="4">
        <f>Games[[#This Row],[PreGmRate]]+Games[[#This Row],[RatingChange]]</f>
        <v>1466.2846347910252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41158</v>
      </c>
      <c r="B320" s="2">
        <v>2012</v>
      </c>
      <c r="C320" s="2">
        <f>COUNTIFS(Games[Team],Games[[#This Row],[Team]],Games[Season],Games[[#This Row],[Season]],Games[Date],"&lt;=" &amp; Games[[#This Row],[Date]])</f>
        <v>27</v>
      </c>
      <c r="D320" s="2" t="s">
        <v>23</v>
      </c>
      <c r="E320" s="2" t="s">
        <v>29</v>
      </c>
      <c r="F320" s="1" t="s">
        <v>86</v>
      </c>
      <c r="G320" s="1" t="s">
        <v>76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20" s="2">
        <f>Games[[#This Row],[DaysOff]]-Games[[#This Row],[OppDaysOff]]</f>
        <v>-1</v>
      </c>
      <c r="L320" s="2">
        <f>Games[[#This Row],[OppDaysOff]]-Games[[#This Row],[DaysOff]]</f>
        <v>1</v>
      </c>
      <c r="M320" s="1">
        <f>MAX(-16, MIN(16, Games[[#This Row],[RestDiff]]*8))</f>
        <v>-8</v>
      </c>
      <c r="N320" s="1">
        <f>MAX(-16, MIN(16, Games[[#This Row],[OppRestDiff]]*8))</f>
        <v>8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1355.4202316378264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1470.6250520742651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0.22464170486473325</v>
      </c>
      <c r="R320" s="1">
        <v>74</v>
      </c>
      <c r="S320" s="1">
        <v>101</v>
      </c>
      <c r="T320" s="1">
        <v>0</v>
      </c>
      <c r="U320" s="1">
        <f>Games[[#This Row],[PointsFor]]-Games[[#This Row],[PointsAgainst]]</f>
        <v>-27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0.60827027666650968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-9.83145463816291</v>
      </c>
      <c r="AB320" s="4">
        <f>Games[[#This Row],[PreGmRate]]+Games[[#This Row],[RatingChange]]</f>
        <v>1345.5887769996634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41158</v>
      </c>
      <c r="B321" s="2">
        <v>2012</v>
      </c>
      <c r="C321" s="2">
        <f>COUNTIFS(Games[Team],Games[[#This Row],[Team]],Games[Season],Games[[#This Row],[Season]],Games[Date],"&lt;=" &amp; Games[[#This Row],[Date]])</f>
        <v>26</v>
      </c>
      <c r="D321" s="2" t="s">
        <v>23</v>
      </c>
      <c r="E321" s="2" t="s">
        <v>29</v>
      </c>
      <c r="F321" s="1" t="s">
        <v>76</v>
      </c>
      <c r="G321" s="1" t="s">
        <v>86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6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1" s="2">
        <f>Games[[#This Row],[DaysOff]]-Games[[#This Row],[OppDaysOff]]</f>
        <v>1</v>
      </c>
      <c r="L321" s="2">
        <f>Games[[#This Row],[OppDaysOff]]-Games[[#This Row],[DaysOff]]</f>
        <v>-1</v>
      </c>
      <c r="M321" s="1">
        <f>MAX(-16, MIN(16, Games[[#This Row],[RestDiff]]*8))</f>
        <v>8</v>
      </c>
      <c r="N321" s="1">
        <f>MAX(-16, MIN(16, Games[[#This Row],[OppRestDiff]]*8))</f>
        <v>-8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1470.6250520742651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1355.4202316378264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0.77535829513526677</v>
      </c>
      <c r="R321" s="1">
        <v>101</v>
      </c>
      <c r="S321" s="1">
        <v>74</v>
      </c>
      <c r="T321" s="1">
        <v>0</v>
      </c>
      <c r="U321" s="1">
        <f>Games[[#This Row],[PointsFor]]-Games[[#This Row],[PointsAgainst]]</f>
        <v>27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0.60827027666650968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72.099999999999994</v>
      </c>
      <c r="Z321" s="4">
        <f>Games[[#This Row],[K]]*Games[[#This Row],[POMult]]</f>
        <v>72.099999999999994</v>
      </c>
      <c r="AA321" s="4">
        <f>(Games[[#This Row],[Keff]]*Games[[#This Row],[MOVMult]])*(Games[[#This Row],[Result]]-Games[[#This Row],[ExpectedWin%]])</f>
        <v>9.8519510689582432</v>
      </c>
      <c r="AB321" s="4">
        <f>Games[[#This Row],[PreGmRate]]+Games[[#This Row],[RatingChange]]</f>
        <v>1480.4770031432233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41159</v>
      </c>
      <c r="B322" s="2">
        <v>2012</v>
      </c>
      <c r="C322" s="2">
        <f>COUNTIFS(Games[Team],Games[[#This Row],[Team]],Games[Season],Games[[#This Row],[Season]],Games[Date],"&lt;=" &amp; Games[[#This Row],[Date]])</f>
        <v>27</v>
      </c>
      <c r="D322" s="2" t="s">
        <v>23</v>
      </c>
      <c r="E322" s="2" t="s">
        <v>29</v>
      </c>
      <c r="F322" s="1" t="s">
        <v>44</v>
      </c>
      <c r="G322" s="1" t="s">
        <v>81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2" s="2">
        <f>Games[[#This Row],[DaysOff]]-Games[[#This Row],[OppDaysOff]]</f>
        <v>-1</v>
      </c>
      <c r="L322" s="2">
        <f>Games[[#This Row],[OppDaysOff]]-Games[[#This Row],[DaysOff]]</f>
        <v>1</v>
      </c>
      <c r="M322" s="1">
        <f>MAX(-16, MIN(16, Games[[#This Row],[RestDiff]]*8))</f>
        <v>-8</v>
      </c>
      <c r="N322" s="1">
        <f>MAX(-16, MIN(16, Games[[#This Row],[OppRestDiff]]*8))</f>
        <v>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1337.3912640396284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1602.5325661100671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0.10891012440895637</v>
      </c>
      <c r="R322" s="1">
        <v>91</v>
      </c>
      <c r="S322" s="1">
        <v>82</v>
      </c>
      <c r="T322" s="1">
        <v>0</v>
      </c>
      <c r="U322" s="1">
        <f>Games[[#This Row],[PointsFor]]-Games[[#This Row],[PointsAgainst]]</f>
        <v>9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0.33250433380607147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71.95</v>
      </c>
      <c r="Z322" s="4">
        <f>Games[[#This Row],[K]]*Games[[#This Row],[POMult]]</f>
        <v>71.95</v>
      </c>
      <c r="AA322" s="4">
        <f>(Games[[#This Row],[Keff]]*Games[[#This Row],[MOVMult]])*(Games[[#This Row],[Result]]-Games[[#This Row],[ExpectedWin%]])</f>
        <v>21.318155109748691</v>
      </c>
      <c r="AB322" s="4">
        <f>Games[[#This Row],[PreGmRate]]+Games[[#This Row],[RatingChange]]</f>
        <v>1358.709419149377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41159</v>
      </c>
      <c r="B323" s="2">
        <v>2012</v>
      </c>
      <c r="C323" s="2">
        <f>COUNTIFS(Games[Team],Games[[#This Row],[Team]],Games[Season],Games[[#This Row],[Season]],Games[Date],"&lt;=" &amp; Games[[#This Row],[Date]])</f>
        <v>28</v>
      </c>
      <c r="D323" s="2" t="s">
        <v>23</v>
      </c>
      <c r="E323" s="2" t="s">
        <v>29</v>
      </c>
      <c r="F323" s="1" t="s">
        <v>81</v>
      </c>
      <c r="G323" s="1" t="s">
        <v>44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1</v>
      </c>
      <c r="L323" s="2">
        <f>Games[[#This Row],[OppDaysOff]]-Games[[#This Row],[DaysOff]]</f>
        <v>-1</v>
      </c>
      <c r="M323" s="1">
        <f>MAX(-16, MIN(16, Games[[#This Row],[RestDiff]]*8))</f>
        <v>8</v>
      </c>
      <c r="N323" s="1">
        <f>MAX(-16, MIN(16, Games[[#This Row],[OppRestDiff]]*8))</f>
        <v>-8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1602.5325661100671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1337.3912640396284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0.89108987559104358</v>
      </c>
      <c r="R323" s="1">
        <v>82</v>
      </c>
      <c r="S323" s="1">
        <v>91</v>
      </c>
      <c r="T323" s="1">
        <v>0</v>
      </c>
      <c r="U323" s="1">
        <f>Games[[#This Row],[PointsFor]]-Games[[#This Row],[PointsAgainst]]</f>
        <v>-9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0.33250433380607147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71.8</v>
      </c>
      <c r="Z323" s="4">
        <f>Games[[#This Row],[K]]*Games[[#This Row],[POMult]]</f>
        <v>71.8</v>
      </c>
      <c r="AA323" s="4">
        <f>(Games[[#This Row],[Keff]]*Games[[#This Row],[MOVMult]])*(Games[[#This Row],[Result]]-Games[[#This Row],[ExpectedWin%]])</f>
        <v>-21.273711422931978</v>
      </c>
      <c r="AB323" s="4">
        <f>Games[[#This Row],[PreGmRate]]+Games[[#This Row],[RatingChange]]</f>
        <v>1581.2588546871352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41159</v>
      </c>
      <c r="B324" s="2">
        <v>2012</v>
      </c>
      <c r="C324" s="2">
        <f>COUNTIFS(Games[Team],Games[[#This Row],[Team]],Games[Season],Games[[#This Row],[Season]],Games[Date],"&lt;=" &amp; Games[[#This Row],[Date]])</f>
        <v>29</v>
      </c>
      <c r="D324" s="2" t="s">
        <v>23</v>
      </c>
      <c r="E324" s="2" t="s">
        <v>29</v>
      </c>
      <c r="F324" s="1" t="s">
        <v>84</v>
      </c>
      <c r="G324" s="1" t="s">
        <v>72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-1</v>
      </c>
      <c r="L324" s="2">
        <f>Games[[#This Row],[OppDaysOff]]-Games[[#This Row],[DaysOff]]</f>
        <v>1</v>
      </c>
      <c r="M324" s="1">
        <f>MAX(-16, MIN(16, Games[[#This Row],[RestDiff]]*8))</f>
        <v>-8</v>
      </c>
      <c r="N324" s="1">
        <f>MAX(-16, MIN(16, Games[[#This Row],[OppRestDiff]]*8))</f>
        <v>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1556.7254636532298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1709.8926127363356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0.1888733904059951</v>
      </c>
      <c r="R324" s="1">
        <v>93</v>
      </c>
      <c r="S324" s="1">
        <v>97</v>
      </c>
      <c r="T324" s="1">
        <v>1</v>
      </c>
      <c r="U324" s="1">
        <f>Games[[#This Row],[PointsFor]]-Games[[#This Row],[PointsAgainst]]</f>
        <v>-4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0.24856304997065271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71.650000000000006</v>
      </c>
      <c r="Z324" s="4">
        <f>Games[[#This Row],[K]]*Games[[#This Row],[POMult]]</f>
        <v>71.650000000000006</v>
      </c>
      <c r="AA324" s="4">
        <f>(Games[[#This Row],[Keff]]*Games[[#This Row],[MOVMult]])*(Games[[#This Row],[Result]]-Games[[#This Row],[ExpectedWin%]])</f>
        <v>-3.3637486792958966</v>
      </c>
      <c r="AB324" s="4">
        <f>Games[[#This Row],[PreGmRate]]+Games[[#This Row],[RatingChange]]</f>
        <v>1553.3617149739339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41159</v>
      </c>
      <c r="B325" s="2">
        <v>2012</v>
      </c>
      <c r="C325" s="2">
        <f>COUNTIFS(Games[Team],Games[[#This Row],[Team]],Games[Season],Games[[#This Row],[Season]],Games[Date],"&lt;=" &amp; Games[[#This Row],[Date]])</f>
        <v>27</v>
      </c>
      <c r="D325" s="2" t="s">
        <v>23</v>
      </c>
      <c r="E325" s="2" t="s">
        <v>29</v>
      </c>
      <c r="F325" s="1" t="s">
        <v>72</v>
      </c>
      <c r="G325" s="1" t="s">
        <v>84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1</v>
      </c>
      <c r="L325" s="2">
        <f>Games[[#This Row],[OppDaysOff]]-Games[[#This Row],[DaysOff]]</f>
        <v>-1</v>
      </c>
      <c r="M325" s="1">
        <f>MAX(-16, MIN(16, Games[[#This Row],[RestDiff]]*8))</f>
        <v>8</v>
      </c>
      <c r="N325" s="1">
        <f>MAX(-16, MIN(16, Games[[#This Row],[OppRestDiff]]*8))</f>
        <v>-8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1709.8926127363356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1556.7254636532298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0.81112660959400484</v>
      </c>
      <c r="R325" s="1">
        <v>97</v>
      </c>
      <c r="S325" s="1">
        <v>93</v>
      </c>
      <c r="T325" s="1">
        <v>1</v>
      </c>
      <c r="U325" s="1">
        <f>Games[[#This Row],[PointsFor]]-Games[[#This Row],[PointsAgainst]]</f>
        <v>4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0.24856304997065271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71.95</v>
      </c>
      <c r="Z325" s="4">
        <f>Games[[#This Row],[K]]*Games[[#This Row],[POMult]]</f>
        <v>71.95</v>
      </c>
      <c r="AA325" s="4">
        <f>(Games[[#This Row],[Keff]]*Games[[#This Row],[MOVMult]])*(Games[[#This Row],[Result]]-Games[[#This Row],[ExpectedWin%]])</f>
        <v>3.3778327630891813</v>
      </c>
      <c r="AB325" s="4">
        <f>Games[[#This Row],[PreGmRate]]+Games[[#This Row],[RatingChange]]</f>
        <v>1713.2704454994248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41159</v>
      </c>
      <c r="B326" s="2">
        <v>2012</v>
      </c>
      <c r="C326" s="2">
        <f>COUNTIFS(Games[Team],Games[[#This Row],[Team]],Games[Season],Games[[#This Row],[Season]],Games[Date],"&lt;=" &amp; Games[[#This Row],[Date]])</f>
        <v>27</v>
      </c>
      <c r="D326" s="2" t="s">
        <v>23</v>
      </c>
      <c r="E326" s="2" t="s">
        <v>29</v>
      </c>
      <c r="F326" s="1" t="s">
        <v>82</v>
      </c>
      <c r="G326" s="1" t="s">
        <v>65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3</v>
      </c>
      <c r="L326" s="2">
        <f>Games[[#This Row],[OppDaysOff]]-Games[[#This Row],[DaysOff]]</f>
        <v>-3</v>
      </c>
      <c r="M326" s="1">
        <f>MAX(-16, MIN(16, Games[[#This Row],[RestDiff]]*8))</f>
        <v>16</v>
      </c>
      <c r="N326" s="1">
        <f>MAX(-16, MIN(16, Games[[#This Row],[OppRestDiff]]*8))</f>
        <v>-16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1430.4226958357549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1466.2846347910252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0.37618472524615221</v>
      </c>
      <c r="R326" s="1">
        <v>92</v>
      </c>
      <c r="S326" s="1">
        <v>83</v>
      </c>
      <c r="T326" s="1">
        <v>0</v>
      </c>
      <c r="U326" s="1">
        <f>Games[[#This Row],[PointsFor]]-Games[[#This Row],[PointsAgainst]]</f>
        <v>9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0.39419114483654594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17.692681804299461</v>
      </c>
      <c r="AB326" s="4">
        <f>Games[[#This Row],[PreGmRate]]+Games[[#This Row],[RatingChange]]</f>
        <v>1448.1153776400542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41159</v>
      </c>
      <c r="B327" s="2">
        <v>2012</v>
      </c>
      <c r="C327" s="2">
        <f>COUNTIFS(Games[Team],Games[[#This Row],[Team]],Games[Season],Games[[#This Row],[Season]],Games[Date],"&lt;=" &amp; Games[[#This Row],[Date]])</f>
        <v>28</v>
      </c>
      <c r="D327" s="2" t="s">
        <v>23</v>
      </c>
      <c r="E327" s="2" t="s">
        <v>29</v>
      </c>
      <c r="F327" s="1" t="s">
        <v>65</v>
      </c>
      <c r="G327" s="1" t="s">
        <v>82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7" s="2">
        <f>Games[[#This Row],[DaysOff]]-Games[[#This Row],[OppDaysOff]]</f>
        <v>-3</v>
      </c>
      <c r="L327" s="2">
        <f>Games[[#This Row],[OppDaysOff]]-Games[[#This Row],[DaysOff]]</f>
        <v>3</v>
      </c>
      <c r="M327" s="1">
        <f>MAX(-16, MIN(16, Games[[#This Row],[RestDiff]]*8))</f>
        <v>-16</v>
      </c>
      <c r="N327" s="1">
        <f>MAX(-16, MIN(16, Games[[#This Row],[OppRestDiff]]*8))</f>
        <v>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1466.2846347910252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1430.4226958357549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0.62381527475384779</v>
      </c>
      <c r="R327" s="1">
        <v>83</v>
      </c>
      <c r="S327" s="1">
        <v>92</v>
      </c>
      <c r="T327" s="1">
        <v>0</v>
      </c>
      <c r="U327" s="1">
        <f>Games[[#This Row],[PointsFor]]-Games[[#This Row],[PointsAgainst]]</f>
        <v>-9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0.39419114483654594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71.8</v>
      </c>
      <c r="Z327" s="4">
        <f>Games[[#This Row],[K]]*Games[[#This Row],[POMult]]</f>
        <v>71.8</v>
      </c>
      <c r="AA327" s="4">
        <f>(Games[[#This Row],[Keff]]*Games[[#This Row],[MOVMult]])*(Games[[#This Row],[Result]]-Games[[#This Row],[ExpectedWin%]])</f>
        <v>-17.655796435701198</v>
      </c>
      <c r="AB327" s="4">
        <f>Games[[#This Row],[PreGmRate]]+Games[[#This Row],[RatingChange]]</f>
        <v>1448.628838355324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41159</v>
      </c>
      <c r="B328" s="2">
        <v>2012</v>
      </c>
      <c r="C328" s="2">
        <f>COUNTIFS(Games[Team],Games[[#This Row],[Team]],Games[Season],Games[[#This Row],[Season]],Games[Date],"&lt;=" &amp; Games[[#This Row],[Date]])</f>
        <v>27</v>
      </c>
      <c r="D328" s="2" t="s">
        <v>23</v>
      </c>
      <c r="E328" s="2" t="s">
        <v>29</v>
      </c>
      <c r="F328" s="1" t="s">
        <v>74</v>
      </c>
      <c r="G328" s="1" t="s">
        <v>79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8" s="2">
        <f>Games[[#This Row],[DaysOff]]-Games[[#This Row],[OppDaysOff]]</f>
        <v>-4</v>
      </c>
      <c r="L328" s="2">
        <f>Games[[#This Row],[OppDaysOff]]-Games[[#This Row],[DaysOff]]</f>
        <v>4</v>
      </c>
      <c r="M328" s="1">
        <f>MAX(-16, MIN(16, Games[[#This Row],[RestDiff]]*8))</f>
        <v>-16</v>
      </c>
      <c r="N328" s="1">
        <f>MAX(-16, MIN(16, Games[[#This Row],[OppRestDiff]]*8))</f>
        <v>16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1589.8947440618908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1593.4727322178851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0.33440106299369271</v>
      </c>
      <c r="R328" s="1">
        <v>82</v>
      </c>
      <c r="S328" s="1">
        <v>78</v>
      </c>
      <c r="T328" s="1">
        <v>0</v>
      </c>
      <c r="U328" s="1">
        <f>Games[[#This Row],[PointsFor]]-Games[[#This Row],[PointsAgainst]]</f>
        <v>4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0.31050690986566787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71.95</v>
      </c>
      <c r="Z328" s="4">
        <f>Games[[#This Row],[K]]*Games[[#This Row],[POMult]]</f>
        <v>71.95</v>
      </c>
      <c r="AA328" s="4">
        <f>(Games[[#This Row],[Keff]]*Games[[#This Row],[MOVMult]])*(Games[[#This Row],[Result]]-Games[[#This Row],[ExpectedWin%]])</f>
        <v>14.870127324601546</v>
      </c>
      <c r="AB328" s="4">
        <f>Games[[#This Row],[PreGmRate]]+Games[[#This Row],[RatingChange]]</f>
        <v>1604.7648713864924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41159</v>
      </c>
      <c r="B329" s="2">
        <v>2012</v>
      </c>
      <c r="C329" s="2">
        <f>COUNTIFS(Games[Team],Games[[#This Row],[Team]],Games[Season],Games[[#This Row],[Season]],Games[Date],"&lt;=" &amp; Games[[#This Row],[Date]])</f>
        <v>27</v>
      </c>
      <c r="D329" s="2" t="s">
        <v>23</v>
      </c>
      <c r="E329" s="2" t="s">
        <v>29</v>
      </c>
      <c r="F329" s="1" t="s">
        <v>79</v>
      </c>
      <c r="G329" s="1" t="s">
        <v>74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9" s="2">
        <f>Games[[#This Row],[DaysOff]]-Games[[#This Row],[OppDaysOff]]</f>
        <v>4</v>
      </c>
      <c r="L329" s="2">
        <f>Games[[#This Row],[OppDaysOff]]-Games[[#This Row],[DaysOff]]</f>
        <v>-4</v>
      </c>
      <c r="M329" s="1">
        <f>MAX(-16, MIN(16, Games[[#This Row],[RestDiff]]*8))</f>
        <v>16</v>
      </c>
      <c r="N329" s="1">
        <f>MAX(-16, MIN(16, Games[[#This Row],[OppRestDiff]]*8))</f>
        <v>-16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1593.4727322178851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1589.8947440618908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0.66559893700630735</v>
      </c>
      <c r="R329" s="1">
        <v>78</v>
      </c>
      <c r="S329" s="1">
        <v>82</v>
      </c>
      <c r="T329" s="1">
        <v>0</v>
      </c>
      <c r="U329" s="1">
        <f>Games[[#This Row],[PointsFor]]-Games[[#This Row],[PointsAgainst]]</f>
        <v>-4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0.31050690986566787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71.95</v>
      </c>
      <c r="Z329" s="4">
        <f>Games[[#This Row],[K]]*Games[[#This Row],[POMult]]</f>
        <v>71.95</v>
      </c>
      <c r="AA329" s="4">
        <f>(Games[[#This Row],[Keff]]*Games[[#This Row],[MOVMult]])*(Games[[#This Row],[Result]]-Games[[#This Row],[ExpectedWin%]])</f>
        <v>-14.870127324601546</v>
      </c>
      <c r="AB329" s="4">
        <f>Games[[#This Row],[PreGmRate]]+Games[[#This Row],[RatingChange]]</f>
        <v>1578.6026048932836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41159</v>
      </c>
      <c r="B330" s="2">
        <v>2012</v>
      </c>
      <c r="C330" s="2">
        <f>COUNTIFS(Games[Team],Games[[#This Row],[Team]],Games[Season],Games[[#This Row],[Season]],Games[Date],"&lt;=" &amp; Games[[#This Row],[Date]])</f>
        <v>29</v>
      </c>
      <c r="D330" s="2" t="s">
        <v>23</v>
      </c>
      <c r="E330" s="2" t="s">
        <v>29</v>
      </c>
      <c r="F330" s="1" t="s">
        <v>68</v>
      </c>
      <c r="G330" s="1" t="s">
        <v>70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1576.4665465961139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1320.0747374172536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0.72955520048860578</v>
      </c>
      <c r="R330" s="1">
        <v>96</v>
      </c>
      <c r="S330" s="1">
        <v>68</v>
      </c>
      <c r="T330" s="1">
        <v>0</v>
      </c>
      <c r="U330" s="1">
        <f>Games[[#This Row],[PointsFor]]-Games[[#This Row],[PointsAgainst]]</f>
        <v>28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0.55953870857371979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71.650000000000006</v>
      </c>
      <c r="Z330" s="4">
        <f>Games[[#This Row],[K]]*Games[[#This Row],[POMult]]</f>
        <v>71.650000000000006</v>
      </c>
      <c r="AA330" s="4">
        <f>(Games[[#This Row],[Keff]]*Games[[#This Row],[MOVMult]])*(Games[[#This Row],[Result]]-Games[[#This Row],[ExpectedWin%]])</f>
        <v>10.842388521003375</v>
      </c>
      <c r="AB330" s="4">
        <f>Games[[#This Row],[PreGmRate]]+Games[[#This Row],[RatingChange]]</f>
        <v>1587.3089351171172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41159</v>
      </c>
      <c r="B331" s="2">
        <v>2012</v>
      </c>
      <c r="C331" s="2">
        <f>COUNTIFS(Games[Team],Games[[#This Row],[Team]],Games[Season],Games[[#This Row],[Season]],Games[Date],"&lt;=" &amp; Games[[#This Row],[Date]])</f>
        <v>28</v>
      </c>
      <c r="D331" s="2" t="s">
        <v>23</v>
      </c>
      <c r="E331" s="2" t="s">
        <v>29</v>
      </c>
      <c r="F331" s="1" t="s">
        <v>70</v>
      </c>
      <c r="G331" s="1" t="s">
        <v>68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1320.0747374172536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1576.4665465961139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0.27044479951139427</v>
      </c>
      <c r="R331" s="1">
        <v>68</v>
      </c>
      <c r="S331" s="1">
        <v>96</v>
      </c>
      <c r="T331" s="1">
        <v>0</v>
      </c>
      <c r="U331" s="1">
        <f>Games[[#This Row],[PointsFor]]-Games[[#This Row],[PointsAgainst]]</f>
        <v>-28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0.55953870857371979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-10.865087171082239</v>
      </c>
      <c r="AB331" s="4">
        <f>Games[[#This Row],[PreGmRate]]+Games[[#This Row],[RatingChange]]</f>
        <v>1309.2096502461713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41160</v>
      </c>
      <c r="B332" s="2">
        <v>2012</v>
      </c>
      <c r="C332" s="2">
        <f>COUNTIFS(Games[Team],Games[[#This Row],[Team]],Games[Season],Games[[#This Row],[Season]],Games[Date],"&lt;=" &amp; Games[[#This Row],[Date]])</f>
        <v>27</v>
      </c>
      <c r="D332" s="2" t="s">
        <v>23</v>
      </c>
      <c r="E332" s="2" t="s">
        <v>29</v>
      </c>
      <c r="F332" s="1" t="s">
        <v>76</v>
      </c>
      <c r="G332" s="1" t="s">
        <v>86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1480.4770031432233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1345.5887769996634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0.57271480531379093</v>
      </c>
      <c r="R332" s="1">
        <v>89</v>
      </c>
      <c r="S332" s="1">
        <v>66</v>
      </c>
      <c r="T332" s="1">
        <v>0</v>
      </c>
      <c r="U332" s="1">
        <f>Games[[#This Row],[PointsFor]]-Games[[#This Row],[PointsAgainst]]</f>
        <v>23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0.55315891519063465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71.95</v>
      </c>
      <c r="Z332" s="4">
        <f>Games[[#This Row],[K]]*Games[[#This Row],[POMult]]</f>
        <v>71.95</v>
      </c>
      <c r="AA332" s="4">
        <f>(Games[[#This Row],[Keff]]*Games[[#This Row],[MOVMult]])*(Games[[#This Row],[Result]]-Games[[#This Row],[ExpectedWin%]])</f>
        <v>17.00585843267578</v>
      </c>
      <c r="AB332" s="4">
        <f>Games[[#This Row],[PreGmRate]]+Games[[#This Row],[RatingChange]]</f>
        <v>1497.4828615758991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41160</v>
      </c>
      <c r="B333" s="2">
        <v>2012</v>
      </c>
      <c r="C333" s="2">
        <f>COUNTIFS(Games[Team],Games[[#This Row],[Team]],Games[Season],Games[[#This Row],[Season]],Games[Date],"&lt;=" &amp; Games[[#This Row],[Date]])</f>
        <v>28</v>
      </c>
      <c r="D333" s="2" t="s">
        <v>23</v>
      </c>
      <c r="E333" s="2" t="s">
        <v>29</v>
      </c>
      <c r="F333" s="1" t="s">
        <v>86</v>
      </c>
      <c r="G333" s="1" t="s">
        <v>76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1345.5887769996634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1480.4770031432233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0.42728519468620912</v>
      </c>
      <c r="R333" s="1">
        <v>66</v>
      </c>
      <c r="S333" s="1">
        <v>89</v>
      </c>
      <c r="T333" s="1">
        <v>0</v>
      </c>
      <c r="U333" s="1">
        <f>Games[[#This Row],[PointsFor]]-Games[[#This Row],[PointsAgainst]]</f>
        <v>-23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0.55315891519063465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71.8</v>
      </c>
      <c r="Z333" s="4">
        <f>Games[[#This Row],[K]]*Games[[#This Row],[POMult]]</f>
        <v>71.8</v>
      </c>
      <c r="AA333" s="4">
        <f>(Games[[#This Row],[Keff]]*Games[[#This Row],[MOVMult]])*(Games[[#This Row],[Result]]-Games[[#This Row],[ExpectedWin%]])</f>
        <v>-16.970404940460337</v>
      </c>
      <c r="AB333" s="4">
        <f>Games[[#This Row],[PreGmRate]]+Games[[#This Row],[RatingChange]]</f>
        <v>1328.618372059203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41161</v>
      </c>
      <c r="B334" s="2">
        <v>2012</v>
      </c>
      <c r="C334" s="2">
        <f>COUNTIFS(Games[Team],Games[[#This Row],[Team]],Games[Season],Games[[#This Row],[Season]],Games[Date],"&lt;=" &amp; Games[[#This Row],[Date]])</f>
        <v>29</v>
      </c>
      <c r="D334" s="2" t="s">
        <v>23</v>
      </c>
      <c r="E334" s="2" t="s">
        <v>29</v>
      </c>
      <c r="F334" s="1" t="s">
        <v>70</v>
      </c>
      <c r="G334" s="1" t="s">
        <v>84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0</v>
      </c>
      <c r="L334" s="2">
        <f>Games[[#This Row],[OppDaysOff]]-Games[[#This Row],[DaysOff]]</f>
        <v>0</v>
      </c>
      <c r="M334" s="1">
        <f>MAX(-16, MIN(16, Games[[#This Row],[RestDiff]]*8))</f>
        <v>0</v>
      </c>
      <c r="N334" s="1">
        <f>MAX(-16, MIN(16, Games[[#This Row],[OppRestDiff]]*8))</f>
        <v>0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1309.2096502461713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1553.3617149739339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0.13135908639718477</v>
      </c>
      <c r="R334" s="1">
        <v>68</v>
      </c>
      <c r="S334" s="1">
        <v>93</v>
      </c>
      <c r="T334" s="1">
        <v>0</v>
      </c>
      <c r="U334" s="1">
        <f>Games[[#This Row],[PointsFor]]-Games[[#This Row],[PointsAgainst]]</f>
        <v>-25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0.5329173103510314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71.650000000000006</v>
      </c>
      <c r="Z334" s="4">
        <f>Games[[#This Row],[K]]*Games[[#This Row],[POMult]]</f>
        <v>71.650000000000006</v>
      </c>
      <c r="AA334" s="4">
        <f>(Games[[#This Row],[Keff]]*Games[[#This Row],[MOVMult]])*(Games[[#This Row],[Result]]-Games[[#This Row],[ExpectedWin%]])</f>
        <v>-5.015752997078331</v>
      </c>
      <c r="AB334" s="4">
        <f>Games[[#This Row],[PreGmRate]]+Games[[#This Row],[RatingChange]]</f>
        <v>1304.193897249093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41161</v>
      </c>
      <c r="B335" s="2">
        <v>2012</v>
      </c>
      <c r="C335" s="2">
        <f>COUNTIFS(Games[Team],Games[[#This Row],[Team]],Games[Season],Games[[#This Row],[Season]],Games[Date],"&lt;=" &amp; Games[[#This Row],[Date]])</f>
        <v>30</v>
      </c>
      <c r="D335" s="2" t="s">
        <v>23</v>
      </c>
      <c r="E335" s="2" t="s">
        <v>29</v>
      </c>
      <c r="F335" s="1" t="s">
        <v>84</v>
      </c>
      <c r="G335" s="1" t="s">
        <v>70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0</v>
      </c>
      <c r="L335" s="2">
        <f>Games[[#This Row],[OppDaysOff]]-Games[[#This Row],[DaysOff]]</f>
        <v>0</v>
      </c>
      <c r="M335" s="1">
        <f>MAX(-16, MIN(16, Games[[#This Row],[RestDiff]]*8))</f>
        <v>0</v>
      </c>
      <c r="N335" s="1">
        <f>MAX(-16, MIN(16, Games[[#This Row],[OppRestDiff]]*8))</f>
        <v>0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1553.3617149739339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1309.2096502461713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0.86864091360281526</v>
      </c>
      <c r="R335" s="1">
        <v>93</v>
      </c>
      <c r="S335" s="1">
        <v>68</v>
      </c>
      <c r="T335" s="1">
        <v>0</v>
      </c>
      <c r="U335" s="1">
        <f>Games[[#This Row],[PointsFor]]-Games[[#This Row],[PointsAgainst]]</f>
        <v>25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0.5329173103510314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71.5</v>
      </c>
      <c r="Z335" s="4">
        <f>Games[[#This Row],[K]]*Games[[#This Row],[POMult]]</f>
        <v>71.5</v>
      </c>
      <c r="AA335" s="4">
        <f>(Games[[#This Row],[Keff]]*Games[[#This Row],[MOVMult]])*(Games[[#This Row],[Result]]-Games[[#This Row],[ExpectedWin%]])</f>
        <v>5.005252467426387</v>
      </c>
      <c r="AB335" s="4">
        <f>Games[[#This Row],[PreGmRate]]+Games[[#This Row],[RatingChange]]</f>
        <v>1558.3669674413602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41161</v>
      </c>
      <c r="B336" s="2">
        <v>2012</v>
      </c>
      <c r="C336" s="2">
        <f>COUNTIFS(Games[Team],Games[[#This Row],[Team]],Games[Season],Games[[#This Row],[Season]],Games[Date],"&lt;=" &amp; Games[[#This Row],[Date]])</f>
        <v>28</v>
      </c>
      <c r="D336" s="2" t="s">
        <v>23</v>
      </c>
      <c r="E336" s="2" t="s">
        <v>29</v>
      </c>
      <c r="F336" s="1" t="s">
        <v>82</v>
      </c>
      <c r="G336" s="1" t="s">
        <v>81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1448.1153776400542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1581.2588546871352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0.22270388947052938</v>
      </c>
      <c r="R336" s="1">
        <v>77</v>
      </c>
      <c r="S336" s="1">
        <v>82</v>
      </c>
      <c r="T336" s="1">
        <v>0</v>
      </c>
      <c r="U336" s="1">
        <f>Games[[#This Row],[PointsFor]]-Games[[#This Row],[PointsAgainst]]</f>
        <v>-5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0.2986228994911384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-4.7750217502780021</v>
      </c>
      <c r="AB336" s="4">
        <f>Games[[#This Row],[PreGmRate]]+Games[[#This Row],[RatingChange]]</f>
        <v>1443.3403558897762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41161</v>
      </c>
      <c r="B337" s="2">
        <v>2012</v>
      </c>
      <c r="C337" s="2">
        <f>COUNTIFS(Games[Team],Games[[#This Row],[Team]],Games[Season],Games[[#This Row],[Season]],Games[Date],"&lt;=" &amp; Games[[#This Row],[Date]])</f>
        <v>29</v>
      </c>
      <c r="D337" s="2" t="s">
        <v>23</v>
      </c>
      <c r="E337" s="2" t="s">
        <v>29</v>
      </c>
      <c r="F337" s="1" t="s">
        <v>81</v>
      </c>
      <c r="G337" s="1" t="s">
        <v>82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1581.2588546871352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1448.1153776400542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0.77729611052947067</v>
      </c>
      <c r="R337" s="1">
        <v>82</v>
      </c>
      <c r="S337" s="1">
        <v>77</v>
      </c>
      <c r="T337" s="1">
        <v>0</v>
      </c>
      <c r="U337" s="1">
        <f>Games[[#This Row],[PointsFor]]-Games[[#This Row],[PointsAgainst]]</f>
        <v>5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0.2986228994911384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71.650000000000006</v>
      </c>
      <c r="Z337" s="4">
        <f>Games[[#This Row],[K]]*Games[[#This Row],[POMult]]</f>
        <v>71.650000000000006</v>
      </c>
      <c r="AA337" s="4">
        <f>(Games[[#This Row],[Keff]]*Games[[#This Row],[MOVMult]])*(Games[[#This Row],[Result]]-Games[[#This Row],[ExpectedWin%]])</f>
        <v>4.7650460780977557</v>
      </c>
      <c r="AB337" s="4">
        <f>Games[[#This Row],[PreGmRate]]+Games[[#This Row],[RatingChange]]</f>
        <v>1586.0239007652331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41161</v>
      </c>
      <c r="B338" s="2">
        <v>2012</v>
      </c>
      <c r="C338" s="2">
        <f>COUNTIFS(Games[Team],Games[[#This Row],[Team]],Games[Season],Games[[#This Row],[Season]],Games[Date],"&lt;=" &amp; Games[[#This Row],[Date]])</f>
        <v>28</v>
      </c>
      <c r="D338" s="2" t="s">
        <v>23</v>
      </c>
      <c r="E338" s="2" t="s">
        <v>29</v>
      </c>
      <c r="F338" s="1" t="s">
        <v>44</v>
      </c>
      <c r="G338" s="1" t="s">
        <v>74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">
        <f>MAX(-16, MIN(16, Games[[#This Row],[RestDiff]]*8))</f>
        <v>0</v>
      </c>
      <c r="N338" s="1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1358.709419149377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1604.7648713864924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0.13011391724681828</v>
      </c>
      <c r="R338" s="1">
        <v>83</v>
      </c>
      <c r="S338" s="1">
        <v>89</v>
      </c>
      <c r="T338" s="1">
        <v>0</v>
      </c>
      <c r="U338" s="1">
        <f>Games[[#This Row],[PointsFor]]-Games[[#This Row],[PointsAgainst]]</f>
        <v>-6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0.29150812484891414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71.8</v>
      </c>
      <c r="Z338" s="4">
        <f>Games[[#This Row],[K]]*Games[[#This Row],[POMult]]</f>
        <v>71.8</v>
      </c>
      <c r="AA338" s="4">
        <f>(Games[[#This Row],[Keff]]*Games[[#This Row],[MOVMult]])*(Games[[#This Row],[Result]]-Games[[#This Row],[ExpectedWin%]])</f>
        <v>-2.7233211575957355</v>
      </c>
      <c r="AB338" s="4">
        <f>Games[[#This Row],[PreGmRate]]+Games[[#This Row],[RatingChange]]</f>
        <v>1355.9860979917812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41161</v>
      </c>
      <c r="B339" s="2">
        <v>2012</v>
      </c>
      <c r="C339" s="2">
        <f>COUNTIFS(Games[Team],Games[[#This Row],[Team]],Games[Season],Games[[#This Row],[Season]],Games[Date],"&lt;=" &amp; Games[[#This Row],[Date]])</f>
        <v>28</v>
      </c>
      <c r="D339" s="2" t="s">
        <v>23</v>
      </c>
      <c r="E339" s="2" t="s">
        <v>29</v>
      </c>
      <c r="F339" s="1" t="s">
        <v>74</v>
      </c>
      <c r="G339" s="1" t="s">
        <v>44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">
        <f>MAX(-16, MIN(16, Games[[#This Row],[RestDiff]]*8))</f>
        <v>0</v>
      </c>
      <c r="N339" s="1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1604.7648713864924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1358.709419149377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0.86988608275318169</v>
      </c>
      <c r="R339" s="1">
        <v>89</v>
      </c>
      <c r="S339" s="1">
        <v>83</v>
      </c>
      <c r="T339" s="1">
        <v>0</v>
      </c>
      <c r="U339" s="1">
        <f>Games[[#This Row],[PointsFor]]-Games[[#This Row],[PointsAgainst]]</f>
        <v>6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0.29150812484891414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71.8</v>
      </c>
      <c r="Z339" s="4">
        <f>Games[[#This Row],[K]]*Games[[#This Row],[POMult]]</f>
        <v>71.8</v>
      </c>
      <c r="AA339" s="4">
        <f>(Games[[#This Row],[Keff]]*Games[[#This Row],[MOVMult]])*(Games[[#This Row],[Result]]-Games[[#This Row],[ExpectedWin%]])</f>
        <v>2.7233211575957359</v>
      </c>
      <c r="AB339" s="4">
        <f>Games[[#This Row],[PreGmRate]]+Games[[#This Row],[RatingChange]]</f>
        <v>1607.4881925440882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41161</v>
      </c>
      <c r="B340" s="2">
        <v>2012</v>
      </c>
      <c r="C340" s="2">
        <f>COUNTIFS(Games[Team],Games[[#This Row],[Team]],Games[Season],Games[[#This Row],[Season]],Games[Date],"&lt;=" &amp; Games[[#This Row],[Date]])</f>
        <v>30</v>
      </c>
      <c r="D340" s="2" t="s">
        <v>23</v>
      </c>
      <c r="E340" s="2" t="s">
        <v>29</v>
      </c>
      <c r="F340" s="1" t="s">
        <v>68</v>
      </c>
      <c r="G340" s="1" t="s">
        <v>65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1587.3089351171172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1448.628838355324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0.57804765669916036</v>
      </c>
      <c r="R340" s="1">
        <v>71</v>
      </c>
      <c r="S340" s="1">
        <v>73</v>
      </c>
      <c r="T340" s="1">
        <v>0</v>
      </c>
      <c r="U340" s="1">
        <f>Games[[#This Row],[PointsFor]]-Games[[#This Row],[PointsAgainst]]</f>
        <v>-2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0.2400943927896434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71.5</v>
      </c>
      <c r="Z340" s="4">
        <f>Games[[#This Row],[K]]*Games[[#This Row],[POMult]]</f>
        <v>71.5</v>
      </c>
      <c r="AA340" s="4">
        <f>(Games[[#This Row],[Keff]]*Games[[#This Row],[MOVMult]])*(Games[[#This Row],[Result]]-Games[[#This Row],[ExpectedWin%]])</f>
        <v>-9.923199081414273</v>
      </c>
      <c r="AB340" s="4">
        <f>Games[[#This Row],[PreGmRate]]+Games[[#This Row],[RatingChange]]</f>
        <v>1577.3857360357031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41161</v>
      </c>
      <c r="B341" s="2">
        <v>2012</v>
      </c>
      <c r="C341" s="2">
        <f>COUNTIFS(Games[Team],Games[[#This Row],[Team]],Games[Season],Games[[#This Row],[Season]],Games[Date],"&lt;=" &amp; Games[[#This Row],[Date]])</f>
        <v>29</v>
      </c>
      <c r="D341" s="2" t="s">
        <v>23</v>
      </c>
      <c r="E341" s="2" t="s">
        <v>29</v>
      </c>
      <c r="F341" s="1" t="s">
        <v>65</v>
      </c>
      <c r="G341" s="1" t="s">
        <v>68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1448.628838355324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1587.3089351171172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0.42195234330083958</v>
      </c>
      <c r="R341" s="1">
        <v>73</v>
      </c>
      <c r="S341" s="1">
        <v>71</v>
      </c>
      <c r="T341" s="1">
        <v>0</v>
      </c>
      <c r="U341" s="1">
        <f>Games[[#This Row],[PointsFor]]-Games[[#This Row],[PointsAgainst]]</f>
        <v>2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0.2400943927896434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71.650000000000006</v>
      </c>
      <c r="Z341" s="4">
        <f>Games[[#This Row],[K]]*Games[[#This Row],[POMult]]</f>
        <v>71.650000000000006</v>
      </c>
      <c r="AA341" s="4">
        <f>(Games[[#This Row],[Keff]]*Games[[#This Row],[MOVMult]])*(Games[[#This Row],[Result]]-Games[[#This Row],[ExpectedWin%]])</f>
        <v>9.9440169815850723</v>
      </c>
      <c r="AB341" s="4">
        <f>Games[[#This Row],[PreGmRate]]+Games[[#This Row],[RatingChange]]</f>
        <v>1458.572855336909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41161</v>
      </c>
      <c r="B342" s="2">
        <v>2012</v>
      </c>
      <c r="C342" s="2">
        <f>COUNTIFS(Games[Team],Games[[#This Row],[Team]],Games[Season],Games[[#This Row],[Season]],Games[Date],"&lt;=" &amp; Games[[#This Row],[Date]])</f>
        <v>28</v>
      </c>
      <c r="D342" s="2" t="s">
        <v>23</v>
      </c>
      <c r="E342" s="2" t="s">
        <v>29</v>
      </c>
      <c r="F342" s="1" t="s">
        <v>72</v>
      </c>
      <c r="G342" s="1" t="s">
        <v>79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1713.2704454994248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1578.6026048932836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0.57240432429820554</v>
      </c>
      <c r="R342" s="1">
        <v>81</v>
      </c>
      <c r="S342" s="1">
        <v>62</v>
      </c>
      <c r="T342" s="1">
        <v>0</v>
      </c>
      <c r="U342" s="1">
        <f>Games[[#This Row],[PointsFor]]-Games[[#This Row],[PointsAgainst]]</f>
        <v>19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0.50437499637512595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71.8</v>
      </c>
      <c r="Z342" s="4">
        <f>Games[[#This Row],[K]]*Games[[#This Row],[POMult]]</f>
        <v>71.8</v>
      </c>
      <c r="AA342" s="4">
        <f>(Games[[#This Row],[Keff]]*Games[[#This Row],[MOVMult]])*(Games[[#This Row],[Result]]-Games[[#This Row],[ExpectedWin%]])</f>
        <v>15.485003138035648</v>
      </c>
      <c r="AB342" s="4">
        <f>Games[[#This Row],[PreGmRate]]+Games[[#This Row],[RatingChange]]</f>
        <v>1728.7554486374604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41161</v>
      </c>
      <c r="B343" s="2">
        <v>2012</v>
      </c>
      <c r="C343" s="2">
        <f>COUNTIFS(Games[Team],Games[[#This Row],[Team]],Games[Season],Games[[#This Row],[Season]],Games[Date],"&lt;=" &amp; Games[[#This Row],[Date]])</f>
        <v>28</v>
      </c>
      <c r="D343" s="2" t="s">
        <v>23</v>
      </c>
      <c r="E343" s="2" t="s">
        <v>29</v>
      </c>
      <c r="F343" s="1" t="s">
        <v>79</v>
      </c>
      <c r="G343" s="1" t="s">
        <v>72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1578.6026048932836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1713.2704454994248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0.42759567570179452</v>
      </c>
      <c r="R343" s="1">
        <v>62</v>
      </c>
      <c r="S343" s="1">
        <v>81</v>
      </c>
      <c r="T343" s="1">
        <v>0</v>
      </c>
      <c r="U343" s="1">
        <f>Games[[#This Row],[PointsFor]]-Games[[#This Row],[PointsAgainst]]</f>
        <v>-19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0.50437499637512595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71.8</v>
      </c>
      <c r="Z343" s="4">
        <f>Games[[#This Row],[K]]*Games[[#This Row],[POMult]]</f>
        <v>71.8</v>
      </c>
      <c r="AA343" s="4">
        <f>(Games[[#This Row],[Keff]]*Games[[#This Row],[MOVMult]])*(Games[[#This Row],[Result]]-Games[[#This Row],[ExpectedWin%]])</f>
        <v>-15.485003138035649</v>
      </c>
      <c r="AB343" s="4">
        <f>Games[[#This Row],[PreGmRate]]+Games[[#This Row],[RatingChange]]</f>
        <v>1563.117601755248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41163</v>
      </c>
      <c r="B344" s="2">
        <v>2012</v>
      </c>
      <c r="C344" s="2">
        <f>COUNTIFS(Games[Team],Games[[#This Row],[Team]],Games[Season],Games[[#This Row],[Season]],Games[Date],"&lt;=" &amp; Games[[#This Row],[Date]])</f>
        <v>28</v>
      </c>
      <c r="D344" s="2" t="s">
        <v>23</v>
      </c>
      <c r="E344" s="2" t="s">
        <v>29</v>
      </c>
      <c r="F344" s="1" t="s">
        <v>76</v>
      </c>
      <c r="G344" s="1" t="s">
        <v>84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1</v>
      </c>
      <c r="L344" s="2">
        <f>Games[[#This Row],[OppDaysOff]]-Games[[#This Row],[DaysOff]]</f>
        <v>-1</v>
      </c>
      <c r="M344" s="1">
        <f>MAX(-16, MIN(16, Games[[#This Row],[RestDiff]]*8))</f>
        <v>8</v>
      </c>
      <c r="N344" s="1">
        <f>MAX(-16, MIN(16, Games[[#This Row],[OppRestDiff]]*8))</f>
        <v>-8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1497.4828615758991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1558.3669674413602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0.32258518880561526</v>
      </c>
      <c r="R344" s="1">
        <v>61</v>
      </c>
      <c r="S344" s="1">
        <v>77</v>
      </c>
      <c r="T344" s="1">
        <v>0</v>
      </c>
      <c r="U344" s="1">
        <f>Games[[#This Row],[PointsFor]]-Games[[#This Row],[PointsAgainst]]</f>
        <v>-16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0.49278378230455133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71.8</v>
      </c>
      <c r="Z344" s="4">
        <f>Games[[#This Row],[K]]*Games[[#This Row],[POMult]]</f>
        <v>71.8</v>
      </c>
      <c r="AA344" s="4">
        <f>(Games[[#This Row],[Keff]]*Games[[#This Row],[MOVMult]])*(Games[[#This Row],[Result]]-Games[[#This Row],[ExpectedWin%]])</f>
        <v>-11.41366901087323</v>
      </c>
      <c r="AB344" s="4">
        <f>Games[[#This Row],[PreGmRate]]+Games[[#This Row],[RatingChange]]</f>
        <v>1486.0691925650258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41163</v>
      </c>
      <c r="B345" s="2">
        <v>2012</v>
      </c>
      <c r="C345" s="2">
        <f>COUNTIFS(Games[Team],Games[[#This Row],[Team]],Games[Season],Games[[#This Row],[Season]],Games[Date],"&lt;=" &amp; Games[[#This Row],[Date]])</f>
        <v>31</v>
      </c>
      <c r="D345" s="2" t="s">
        <v>23</v>
      </c>
      <c r="E345" s="2" t="s">
        <v>29</v>
      </c>
      <c r="F345" s="1" t="s">
        <v>84</v>
      </c>
      <c r="G345" s="1" t="s">
        <v>76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5" s="2">
        <f>Games[[#This Row],[DaysOff]]-Games[[#This Row],[OppDaysOff]]</f>
        <v>-1</v>
      </c>
      <c r="L345" s="2">
        <f>Games[[#This Row],[OppDaysOff]]-Games[[#This Row],[DaysOff]]</f>
        <v>1</v>
      </c>
      <c r="M345" s="1">
        <f>MAX(-16, MIN(16, Games[[#This Row],[RestDiff]]*8))</f>
        <v>-8</v>
      </c>
      <c r="N345" s="1">
        <f>MAX(-16, MIN(16, Games[[#This Row],[OppRestDiff]]*8))</f>
        <v>8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1558.3669674413602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1497.4828615758991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0.67741481119438474</v>
      </c>
      <c r="R345" s="1">
        <v>77</v>
      </c>
      <c r="S345" s="1">
        <v>61</v>
      </c>
      <c r="T345" s="1">
        <v>0</v>
      </c>
      <c r="U345" s="1">
        <f>Games[[#This Row],[PointsFor]]-Games[[#This Row],[PointsAgainst]]</f>
        <v>16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0.49278378230455133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71.349999999999994</v>
      </c>
      <c r="Z345" s="4">
        <f>Games[[#This Row],[K]]*Games[[#This Row],[POMult]]</f>
        <v>71.349999999999994</v>
      </c>
      <c r="AA345" s="4">
        <f>(Games[[#This Row],[Keff]]*Games[[#This Row],[MOVMult]])*(Games[[#This Row],[Result]]-Games[[#This Row],[ExpectedWin%]])</f>
        <v>11.342134873618452</v>
      </c>
      <c r="AB345" s="4">
        <f>Games[[#This Row],[PreGmRate]]+Games[[#This Row],[RatingChange]]</f>
        <v>1569.7091023149787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41163</v>
      </c>
      <c r="B346" s="2">
        <v>2012</v>
      </c>
      <c r="C346" s="2">
        <f>COUNTIFS(Games[Team],Games[[#This Row],[Team]],Games[Season],Games[[#This Row],[Season]],Games[Date],"&lt;=" &amp; Games[[#This Row],[Date]])</f>
        <v>29</v>
      </c>
      <c r="D346" s="2" t="s">
        <v>23</v>
      </c>
      <c r="E346" s="2" t="s">
        <v>29</v>
      </c>
      <c r="F346" s="1" t="s">
        <v>72</v>
      </c>
      <c r="G346" s="1" t="s">
        <v>82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1728.7554486374604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1443.3403558897762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0.76123066788092575</v>
      </c>
      <c r="R346" s="1">
        <v>70</v>
      </c>
      <c r="S346" s="1">
        <v>83</v>
      </c>
      <c r="T346" s="1">
        <v>0</v>
      </c>
      <c r="U346" s="1">
        <f>Games[[#This Row],[PointsFor]]-Games[[#This Row],[PointsAgainst]]</f>
        <v>-13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0.38134290511962637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71.650000000000006</v>
      </c>
      <c r="Z346" s="4">
        <f>Games[[#This Row],[K]]*Games[[#This Row],[POMult]]</f>
        <v>71.650000000000006</v>
      </c>
      <c r="AA346" s="4">
        <f>(Games[[#This Row],[Keff]]*Games[[#This Row],[MOVMult]])*(Games[[#This Row],[Result]]-Games[[#This Row],[ExpectedWin%]])</f>
        <v>-20.799272363597776</v>
      </c>
      <c r="AB346" s="4">
        <f>Games[[#This Row],[PreGmRate]]+Games[[#This Row],[RatingChange]]</f>
        <v>1707.9561762738626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41163</v>
      </c>
      <c r="B347" s="2">
        <v>2012</v>
      </c>
      <c r="C347" s="2">
        <f>COUNTIFS(Games[Team],Games[[#This Row],[Team]],Games[Season],Games[[#This Row],[Season]],Games[Date],"&lt;=" &amp; Games[[#This Row],[Date]])</f>
        <v>29</v>
      </c>
      <c r="D347" s="2" t="s">
        <v>23</v>
      </c>
      <c r="E347" s="2" t="s">
        <v>29</v>
      </c>
      <c r="F347" s="1" t="s">
        <v>82</v>
      </c>
      <c r="G347" s="1" t="s">
        <v>72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1443.3403558897762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1728.7554486374604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0.23876933211907422</v>
      </c>
      <c r="R347" s="1">
        <v>83</v>
      </c>
      <c r="S347" s="1">
        <v>70</v>
      </c>
      <c r="T347" s="1">
        <v>0</v>
      </c>
      <c r="U347" s="1">
        <f>Games[[#This Row],[PointsFor]]-Games[[#This Row],[PointsAgainst]]</f>
        <v>13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0.38134290511962637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20.799272363597776</v>
      </c>
      <c r="AB347" s="4">
        <f>Games[[#This Row],[PreGmRate]]+Games[[#This Row],[RatingChange]]</f>
        <v>1464.139628253374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41164</v>
      </c>
      <c r="B348" s="2">
        <v>2012</v>
      </c>
      <c r="C348" s="2">
        <f>COUNTIFS(Games[Team],Games[[#This Row],[Team]],Games[Season],Games[[#This Row],[Season]],Games[Date],"&lt;=" &amp; Games[[#This Row],[Date]])</f>
        <v>29</v>
      </c>
      <c r="D348" s="2" t="s">
        <v>23</v>
      </c>
      <c r="E348" s="2" t="s">
        <v>29</v>
      </c>
      <c r="F348" s="1" t="s">
        <v>76</v>
      </c>
      <c r="G348" s="1" t="s">
        <v>74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8" s="2">
        <f>Games[[#This Row],[DaysOff]]-Games[[#This Row],[OppDaysOff]]</f>
        <v>-2</v>
      </c>
      <c r="L348" s="2">
        <f>Games[[#This Row],[OppDaysOff]]-Games[[#This Row],[DaysOff]]</f>
        <v>2</v>
      </c>
      <c r="M348" s="1">
        <f>MAX(-16, MIN(16, Games[[#This Row],[RestDiff]]*8))</f>
        <v>-16</v>
      </c>
      <c r="N348" s="1">
        <f>MAX(-16, MIN(16, Games[[#This Row],[OppRestDiff]]*8))</f>
        <v>16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1486.0691925650258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1607.4881925440882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0.20315456627190506</v>
      </c>
      <c r="R348" s="1">
        <v>48</v>
      </c>
      <c r="S348" s="1">
        <v>72</v>
      </c>
      <c r="T348" s="1">
        <v>0</v>
      </c>
      <c r="U348" s="1">
        <f>Games[[#This Row],[PointsFor]]-Games[[#This Row],[PointsAgainst]]</f>
        <v>-24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0.57068735756766997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-8.3069392575421794</v>
      </c>
      <c r="AB348" s="4">
        <f>Games[[#This Row],[PreGmRate]]+Games[[#This Row],[RatingChange]]</f>
        <v>1477.7622533074837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41164</v>
      </c>
      <c r="B349" s="2">
        <v>2012</v>
      </c>
      <c r="C349" s="2">
        <f>COUNTIFS(Games[Team],Games[[#This Row],[Team]],Games[Season],Games[[#This Row],[Season]],Games[Date],"&lt;=" &amp; Games[[#This Row],[Date]])</f>
        <v>29</v>
      </c>
      <c r="D349" s="2" t="s">
        <v>23</v>
      </c>
      <c r="E349" s="2" t="s">
        <v>29</v>
      </c>
      <c r="F349" s="1" t="s">
        <v>74</v>
      </c>
      <c r="G349" s="1" t="s">
        <v>76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9" s="2">
        <f>Games[[#This Row],[DaysOff]]-Games[[#This Row],[OppDaysOff]]</f>
        <v>2</v>
      </c>
      <c r="L349" s="2">
        <f>Games[[#This Row],[OppDaysOff]]-Games[[#This Row],[DaysOff]]</f>
        <v>-2</v>
      </c>
      <c r="M349" s="1">
        <f>MAX(-16, MIN(16, Games[[#This Row],[RestDiff]]*8))</f>
        <v>16</v>
      </c>
      <c r="N349" s="1">
        <f>MAX(-16, MIN(16, Games[[#This Row],[OppRestDiff]]*8))</f>
        <v>-16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1607.4881925440882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1486.0691925650258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0.79684543372809502</v>
      </c>
      <c r="R349" s="1">
        <v>72</v>
      </c>
      <c r="S349" s="1">
        <v>48</v>
      </c>
      <c r="T349" s="1">
        <v>0</v>
      </c>
      <c r="U349" s="1">
        <f>Games[[#This Row],[PointsFor]]-Games[[#This Row],[PointsAgainst]]</f>
        <v>24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0.57068735756766997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8.3069392575421759</v>
      </c>
      <c r="AB349" s="4">
        <f>Games[[#This Row],[PreGmRate]]+Games[[#This Row],[RatingChange]]</f>
        <v>1615.7951318016303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41164</v>
      </c>
      <c r="B350" s="2">
        <v>2012</v>
      </c>
      <c r="C350" s="2">
        <f>COUNTIFS(Games[Team],Games[[#This Row],[Team]],Games[Season],Games[[#This Row],[Season]],Games[Date],"&lt;=" &amp; Games[[#This Row],[Date]])</f>
        <v>30</v>
      </c>
      <c r="D350" s="2" t="s">
        <v>23</v>
      </c>
      <c r="E350" s="2" t="s">
        <v>29</v>
      </c>
      <c r="F350" s="1" t="s">
        <v>70</v>
      </c>
      <c r="G350" s="1" t="s">
        <v>65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1304.193897249093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1458.572855336909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0.20226147522057628</v>
      </c>
      <c r="R350" s="1">
        <v>62</v>
      </c>
      <c r="S350" s="1">
        <v>75</v>
      </c>
      <c r="T350" s="1">
        <v>0</v>
      </c>
      <c r="U350" s="1">
        <f>Games[[#This Row],[PointsFor]]-Games[[#This Row],[PointsAgainst]]</f>
        <v>-13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0.41823782287395306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71.5</v>
      </c>
      <c r="Z350" s="4">
        <f>Games[[#This Row],[K]]*Games[[#This Row],[POMult]]</f>
        <v>71.5</v>
      </c>
      <c r="AA350" s="4">
        <f>(Games[[#This Row],[Keff]]*Games[[#This Row],[MOVMult]])*(Games[[#This Row],[Result]]-Games[[#This Row],[ExpectedWin%]])</f>
        <v>-6.04842803189824</v>
      </c>
      <c r="AB350" s="4">
        <f>Games[[#This Row],[PreGmRate]]+Games[[#This Row],[RatingChange]]</f>
        <v>1298.1454692171947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41164</v>
      </c>
      <c r="B351" s="2">
        <v>2012</v>
      </c>
      <c r="C351" s="2">
        <f>COUNTIFS(Games[Team],Games[[#This Row],[Team]],Games[Season],Games[[#This Row],[Season]],Games[Date],"&lt;=" &amp; Games[[#This Row],[Date]])</f>
        <v>30</v>
      </c>
      <c r="D351" s="2" t="s">
        <v>23</v>
      </c>
      <c r="E351" s="2" t="s">
        <v>29</v>
      </c>
      <c r="F351" s="1" t="s">
        <v>65</v>
      </c>
      <c r="G351" s="1" t="s">
        <v>70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1458.572855336909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1304.193897249093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0.79773852477942364</v>
      </c>
      <c r="R351" s="1">
        <v>75</v>
      </c>
      <c r="S351" s="1">
        <v>62</v>
      </c>
      <c r="T351" s="1">
        <v>0</v>
      </c>
      <c r="U351" s="1">
        <f>Games[[#This Row],[PointsFor]]-Games[[#This Row],[PointsAgainst]]</f>
        <v>13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0.41823782287395306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71.5</v>
      </c>
      <c r="Z351" s="4">
        <f>Games[[#This Row],[K]]*Games[[#This Row],[POMult]]</f>
        <v>71.5</v>
      </c>
      <c r="AA351" s="4">
        <f>(Games[[#This Row],[Keff]]*Games[[#This Row],[MOVMult]])*(Games[[#This Row],[Result]]-Games[[#This Row],[ExpectedWin%]])</f>
        <v>6.0484280318982426</v>
      </c>
      <c r="AB351" s="4">
        <f>Games[[#This Row],[PreGmRate]]+Games[[#This Row],[RatingChange]]</f>
        <v>1464.6212833688073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41164</v>
      </c>
      <c r="B352" s="2">
        <v>2012</v>
      </c>
      <c r="C352" s="2">
        <f>COUNTIFS(Games[Team],Games[[#This Row],[Team]],Games[Season],Games[[#This Row],[Season]],Games[Date],"&lt;=" &amp; Games[[#This Row],[Date]])</f>
        <v>30</v>
      </c>
      <c r="D352" s="2" t="s">
        <v>23</v>
      </c>
      <c r="E352" s="2" t="s">
        <v>29</v>
      </c>
      <c r="F352" s="1" t="s">
        <v>81</v>
      </c>
      <c r="G352" s="1" t="s">
        <v>44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1586.0239007652331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1355.9860979917812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0.69860444760283213</v>
      </c>
      <c r="R352" s="1">
        <v>100</v>
      </c>
      <c r="S352" s="1">
        <v>78</v>
      </c>
      <c r="T352" s="1">
        <v>0</v>
      </c>
      <c r="U352" s="1">
        <f>Games[[#This Row],[PointsFor]]-Games[[#This Row],[PointsAgainst]]</f>
        <v>22</v>
      </c>
      <c r="V352" s="1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0.50520860650189514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10.887135332819611</v>
      </c>
      <c r="AB352" s="4">
        <f>Games[[#This Row],[PreGmRate]]+Games[[#This Row],[RatingChange]]</f>
        <v>1596.9110360980526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41164</v>
      </c>
      <c r="B353" s="2">
        <v>2012</v>
      </c>
      <c r="C353" s="2">
        <f>COUNTIFS(Games[Team],Games[[#This Row],[Team]],Games[Season],Games[[#This Row],[Season]],Games[Date],"&lt;=" &amp; Games[[#This Row],[Date]])</f>
        <v>29</v>
      </c>
      <c r="D353" s="2" t="s">
        <v>23</v>
      </c>
      <c r="E353" s="2" t="s">
        <v>29</v>
      </c>
      <c r="F353" s="1" t="s">
        <v>44</v>
      </c>
      <c r="G353" s="1" t="s">
        <v>81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1355.9860979917812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1586.0239007652331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0.30139555239716787</v>
      </c>
      <c r="R353" s="1">
        <v>78</v>
      </c>
      <c r="S353" s="1">
        <v>100</v>
      </c>
      <c r="T353" s="1">
        <v>0</v>
      </c>
      <c r="U353" s="1">
        <f>Games[[#This Row],[PointsFor]]-Games[[#This Row],[PointsAgainst]]</f>
        <v>-22</v>
      </c>
      <c r="V353" s="1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0.50520860650189514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71.650000000000006</v>
      </c>
      <c r="Z353" s="4">
        <f>Games[[#This Row],[K]]*Games[[#This Row],[POMult]]</f>
        <v>71.650000000000006</v>
      </c>
      <c r="AA353" s="4">
        <f>(Games[[#This Row],[Keff]]*Games[[#This Row],[MOVMult]])*(Games[[#This Row],[Result]]-Games[[#This Row],[ExpectedWin%]])</f>
        <v>-10.909975476874477</v>
      </c>
      <c r="AB353" s="4">
        <f>Games[[#This Row],[PreGmRate]]+Games[[#This Row],[RatingChange]]</f>
        <v>1345.0761225149067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41164</v>
      </c>
      <c r="B354" s="2">
        <v>2012</v>
      </c>
      <c r="C354" s="2">
        <f>COUNTIFS(Games[Team],Games[[#This Row],[Team]],Games[Season],Games[[#This Row],[Season]],Games[Date],"&lt;=" &amp; Games[[#This Row],[Date]])</f>
        <v>29</v>
      </c>
      <c r="D354" s="2" t="s">
        <v>23</v>
      </c>
      <c r="E354" s="2" t="s">
        <v>29</v>
      </c>
      <c r="F354" s="1" t="s">
        <v>79</v>
      </c>
      <c r="G354" s="1" t="s">
        <v>86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">
        <f>MAX(-16, MIN(16, Games[[#This Row],[RestDiff]]*8))</f>
        <v>-8</v>
      </c>
      <c r="N354" s="1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1563.117601755248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1328.618372059203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0.68443733388249994</v>
      </c>
      <c r="R354" s="1">
        <v>78</v>
      </c>
      <c r="S354" s="1">
        <v>67</v>
      </c>
      <c r="T354" s="1">
        <v>0</v>
      </c>
      <c r="U354" s="1">
        <f>Games[[#This Row],[PointsFor]]-Games[[#This Row],[PointsAgainst]]</f>
        <v>11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0.36793548116508473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71.650000000000006</v>
      </c>
      <c r="Z354" s="4">
        <f>Games[[#This Row],[K]]*Games[[#This Row],[POMult]]</f>
        <v>71.650000000000006</v>
      </c>
      <c r="AA354" s="4">
        <f>(Games[[#This Row],[Keff]]*Games[[#This Row],[MOVMult]])*(Games[[#This Row],[Result]]-Games[[#This Row],[ExpectedWin%]])</f>
        <v>8.3190451550004276</v>
      </c>
      <c r="AB354" s="4">
        <f>Games[[#This Row],[PreGmRate]]+Games[[#This Row],[RatingChange]]</f>
        <v>1571.4366469102483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41164</v>
      </c>
      <c r="B355" s="2">
        <v>2012</v>
      </c>
      <c r="C355" s="2">
        <f>COUNTIFS(Games[Team],Games[[#This Row],[Team]],Games[Season],Games[[#This Row],[Season]],Games[Date],"&lt;=" &amp; Games[[#This Row],[Date]])</f>
        <v>29</v>
      </c>
      <c r="D355" s="2" t="s">
        <v>23</v>
      </c>
      <c r="E355" s="2" t="s">
        <v>29</v>
      </c>
      <c r="F355" s="1" t="s">
        <v>86</v>
      </c>
      <c r="G355" s="1" t="s">
        <v>79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">
        <f>MAX(-16, MIN(16, Games[[#This Row],[RestDiff]]*8))</f>
        <v>8</v>
      </c>
      <c r="N355" s="1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1328.618372059203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1563.117601755248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0.31556266611750006</v>
      </c>
      <c r="R355" s="1">
        <v>67</v>
      </c>
      <c r="S355" s="1">
        <v>78</v>
      </c>
      <c r="T355" s="1">
        <v>0</v>
      </c>
      <c r="U355" s="1">
        <f>Games[[#This Row],[PointsFor]]-Games[[#This Row],[PointsAgainst]]</f>
        <v>-11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0.36793548116508473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71.650000000000006</v>
      </c>
      <c r="Z355" s="4">
        <f>Games[[#This Row],[K]]*Games[[#This Row],[POMult]]</f>
        <v>71.650000000000006</v>
      </c>
      <c r="AA355" s="4">
        <f>(Games[[#This Row],[Keff]]*Games[[#This Row],[MOVMult]])*(Games[[#This Row],[Result]]-Games[[#This Row],[ExpectedWin%]])</f>
        <v>-8.3190451550004276</v>
      </c>
      <c r="AB355" s="4">
        <f>Games[[#This Row],[PreGmRate]]+Games[[#This Row],[RatingChange]]</f>
        <v>1320.2993269042026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41165</v>
      </c>
      <c r="B356" s="2">
        <v>2012</v>
      </c>
      <c r="C356" s="2">
        <f>COUNTIFS(Games[Team],Games[[#This Row],[Team]],Games[Season],Games[[#This Row],[Season]],Games[Date],"&lt;=" &amp; Games[[#This Row],[Date]])</f>
        <v>30</v>
      </c>
      <c r="D356" s="2" t="s">
        <v>23</v>
      </c>
      <c r="E356" s="2" t="s">
        <v>29</v>
      </c>
      <c r="F356" s="1" t="s">
        <v>82</v>
      </c>
      <c r="G356" s="1" t="s">
        <v>68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6" s="2">
        <f>Games[[#This Row],[DaysOff]]-Games[[#This Row],[OppDaysOff]]</f>
        <v>-2</v>
      </c>
      <c r="L356" s="2">
        <f>Games[[#This Row],[OppDaysOff]]-Games[[#This Row],[DaysOff]]</f>
        <v>2</v>
      </c>
      <c r="M356" s="1">
        <f>MAX(-16, MIN(16, Games[[#This Row],[RestDiff]]*8))</f>
        <v>-16</v>
      </c>
      <c r="N356" s="1">
        <f>MAX(-16, MIN(16, Games[[#This Row],[OppRestDiff]]*8))</f>
        <v>16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1464.139628253374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1577.3857360357031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0.21087708338747538</v>
      </c>
      <c r="R356" s="1">
        <v>77</v>
      </c>
      <c r="S356" s="1">
        <v>86</v>
      </c>
      <c r="T356" s="1">
        <v>0</v>
      </c>
      <c r="U356" s="1">
        <f>Games[[#This Row],[PointsFor]]-Games[[#This Row],[PointsAgainst]]</f>
        <v>-9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0.37096308886029405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-5.5932744169636379</v>
      </c>
      <c r="AB356" s="4">
        <f>Games[[#This Row],[PreGmRate]]+Games[[#This Row],[RatingChange]]</f>
        <v>1458.5463538364104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41165</v>
      </c>
      <c r="B357" s="2">
        <v>2012</v>
      </c>
      <c r="C357" s="2">
        <f>COUNTIFS(Games[Team],Games[[#This Row],[Team]],Games[Season],Games[[#This Row],[Season]],Games[Date],"&lt;=" &amp; Games[[#This Row],[Date]])</f>
        <v>31</v>
      </c>
      <c r="D357" s="2" t="s">
        <v>23</v>
      </c>
      <c r="E357" s="2" t="s">
        <v>29</v>
      </c>
      <c r="F357" s="1" t="s">
        <v>68</v>
      </c>
      <c r="G357" s="1" t="s">
        <v>82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2</v>
      </c>
      <c r="L357" s="2">
        <f>Games[[#This Row],[OppDaysOff]]-Games[[#This Row],[DaysOff]]</f>
        <v>-2</v>
      </c>
      <c r="M357" s="1">
        <f>MAX(-16, MIN(16, Games[[#This Row],[RestDiff]]*8))</f>
        <v>16</v>
      </c>
      <c r="N357" s="1">
        <f>MAX(-16, MIN(16, Games[[#This Row],[OppRestDiff]]*8))</f>
        <v>-16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1577.3857360357031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1464.139628253374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0.78912291661252465</v>
      </c>
      <c r="R357" s="1">
        <v>86</v>
      </c>
      <c r="S357" s="1">
        <v>77</v>
      </c>
      <c r="T357" s="1">
        <v>0</v>
      </c>
      <c r="U357" s="1">
        <f>Games[[#This Row],[PointsFor]]-Games[[#This Row],[PointsAgainst]]</f>
        <v>9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0.37096308886029405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71.349999999999994</v>
      </c>
      <c r="Z357" s="4">
        <f>Games[[#This Row],[K]]*Games[[#This Row],[POMult]]</f>
        <v>71.349999999999994</v>
      </c>
      <c r="AA357" s="4">
        <f>(Games[[#This Row],[Keff]]*Games[[#This Row],[MOVMult]])*(Games[[#This Row],[Result]]-Games[[#This Row],[ExpectedWin%]])</f>
        <v>5.5815402748301466</v>
      </c>
      <c r="AB357" s="4">
        <f>Games[[#This Row],[PreGmRate]]+Games[[#This Row],[RatingChange]]</f>
        <v>1582.9672763105332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41166</v>
      </c>
      <c r="B358" s="2">
        <v>2012</v>
      </c>
      <c r="C358" s="2">
        <f>COUNTIFS(Games[Team],Games[[#This Row],[Team]],Games[Season],Games[[#This Row],[Season]],Games[Date],"&lt;=" &amp; Games[[#This Row],[Date]])</f>
        <v>30</v>
      </c>
      <c r="D358" s="2" t="s">
        <v>23</v>
      </c>
      <c r="E358" s="2" t="s">
        <v>29</v>
      </c>
      <c r="F358" s="1" t="s">
        <v>72</v>
      </c>
      <c r="G358" s="1" t="s">
        <v>74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1</v>
      </c>
      <c r="L358" s="2">
        <f>Games[[#This Row],[OppDaysOff]]-Games[[#This Row],[DaysOff]]</f>
        <v>-1</v>
      </c>
      <c r="M358" s="1">
        <f>MAX(-16, MIN(16, Games[[#This Row],[RestDiff]]*8))</f>
        <v>8</v>
      </c>
      <c r="N358" s="1">
        <f>MAX(-16, MIN(16, Games[[#This Row],[OppRestDiff]]*8))</f>
        <v>-8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1707.9561762738626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1615.7951318016303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0.5347145965721094</v>
      </c>
      <c r="R358" s="1">
        <v>66</v>
      </c>
      <c r="S358" s="1">
        <v>64</v>
      </c>
      <c r="T358" s="1">
        <v>0</v>
      </c>
      <c r="U358" s="1">
        <f>Games[[#This Row],[PointsFor]]-Games[[#This Row],[PointsAgainst]]</f>
        <v>2</v>
      </c>
      <c r="V358" s="1">
        <f>IF(Games[[#This Row],[MOV]]&gt;0,1,IF(Games[[#This Row],[MOV]]=0,0.5,0))</f>
        <v>1</v>
      </c>
      <c r="W358" s="4">
        <f>((ABS(Games[[#This Row],[MOV]])+5)^0.6)/(12+0.01*(ABS(Games[[#This Row],[PreGmRate]]-Games[[#This Row],[OppPreGmRate]])))*IF(Games[[#This Row],[OT]]=1,0.9,1)</f>
        <v>0.24873802406176057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71.5</v>
      </c>
      <c r="Z358" s="4">
        <f>Games[[#This Row],[K]]*Games[[#This Row],[POMult]]</f>
        <v>71.5</v>
      </c>
      <c r="AA358" s="4">
        <f>(Games[[#This Row],[Keff]]*Games[[#This Row],[MOVMult]])*(Games[[#This Row],[Result]]-Games[[#This Row],[ExpectedWin%]])</f>
        <v>8.2749932889504318</v>
      </c>
      <c r="AB358" s="4">
        <f>Games[[#This Row],[PreGmRate]]+Games[[#This Row],[RatingChange]]</f>
        <v>1716.231169562813</v>
      </c>
      <c r="AC358" s="2">
        <f>IF(Games[[#This Row],[Type]]="R",IF(Games[[#This Row],[Result]]&gt;0.5,1,0),0)</f>
        <v>1</v>
      </c>
      <c r="AD358" s="2">
        <f>IF(Games[[#This Row],[Type]]="R",IF(Games[[#This Row],[Result]]&lt;0.5,1,0),0)</f>
        <v>0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41166</v>
      </c>
      <c r="B359" s="2">
        <v>2012</v>
      </c>
      <c r="C359" s="2">
        <f>COUNTIFS(Games[Team],Games[[#This Row],[Team]],Games[Season],Games[[#This Row],[Season]],Games[Date],"&lt;=" &amp; Games[[#This Row],[Date]])</f>
        <v>30</v>
      </c>
      <c r="D359" s="2" t="s">
        <v>23</v>
      </c>
      <c r="E359" s="2" t="s">
        <v>29</v>
      </c>
      <c r="F359" s="1" t="s">
        <v>74</v>
      </c>
      <c r="G359" s="1" t="s">
        <v>72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-1</v>
      </c>
      <c r="L359" s="2">
        <f>Games[[#This Row],[OppDaysOff]]-Games[[#This Row],[DaysOff]]</f>
        <v>1</v>
      </c>
      <c r="M359" s="1">
        <f>MAX(-16, MIN(16, Games[[#This Row],[RestDiff]]*8))</f>
        <v>-8</v>
      </c>
      <c r="N359" s="1">
        <f>MAX(-16, MIN(16, Games[[#This Row],[OppRestDiff]]*8))</f>
        <v>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1615.7951318016303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1707.9561762738626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0.46528540342789065</v>
      </c>
      <c r="R359" s="1">
        <v>64</v>
      </c>
      <c r="S359" s="1">
        <v>66</v>
      </c>
      <c r="T359" s="1">
        <v>0</v>
      </c>
      <c r="U359" s="1">
        <f>Games[[#This Row],[PointsFor]]-Games[[#This Row],[PointsAgainst]]</f>
        <v>-2</v>
      </c>
      <c r="V359" s="1">
        <f>IF(Games[[#This Row],[MOV]]&gt;0,1,IF(Games[[#This Row],[MOV]]=0,0.5,0))</f>
        <v>0</v>
      </c>
      <c r="W359" s="4">
        <f>((ABS(Games[[#This Row],[MOV]])+5)^0.6)/(12+0.01*(ABS(Games[[#This Row],[PreGmRate]]-Games[[#This Row],[OppPreGmRate]])))*IF(Games[[#This Row],[OT]]=1,0.9,1)</f>
        <v>0.24873802406176057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-8.2749932889504336</v>
      </c>
      <c r="AB359" s="4">
        <f>Games[[#This Row],[PreGmRate]]+Games[[#This Row],[RatingChange]]</f>
        <v>1607.52013851268</v>
      </c>
      <c r="AC359" s="2">
        <f>IF(Games[[#This Row],[Type]]="R",IF(Games[[#This Row],[Result]]&gt;0.5,1,0),0)</f>
        <v>0</v>
      </c>
      <c r="AD359" s="2">
        <f>IF(Games[[#This Row],[Type]]="R",IF(Games[[#This Row],[Result]]&lt;0.5,1,0),0)</f>
        <v>1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41166</v>
      </c>
      <c r="B360" s="2">
        <v>2012</v>
      </c>
      <c r="C360" s="2">
        <f>COUNTIFS(Games[Team],Games[[#This Row],[Team]],Games[Season],Games[[#This Row],[Season]],Games[Date],"&lt;=" &amp; Games[[#This Row],[Date]])</f>
        <v>31</v>
      </c>
      <c r="D360" s="2" t="s">
        <v>23</v>
      </c>
      <c r="E360" s="2" t="s">
        <v>29</v>
      </c>
      <c r="F360" s="1" t="s">
        <v>81</v>
      </c>
      <c r="G360" s="1" t="s">
        <v>68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0" s="2">
        <f>Games[[#This Row],[DaysOff]]-Games[[#This Row],[OppDaysOff]]</f>
        <v>1</v>
      </c>
      <c r="L360" s="2">
        <f>Games[[#This Row],[OppDaysOff]]-Games[[#This Row],[DaysOff]]</f>
        <v>-1</v>
      </c>
      <c r="M360" s="1">
        <f>MAX(-16, MIN(16, Games[[#This Row],[RestDiff]]*8))</f>
        <v>8</v>
      </c>
      <c r="N360" s="1">
        <f>MAX(-16, MIN(16, Games[[#This Row],[OppRestDiff]]*8))</f>
        <v>-8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1596.9110360980526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1582.9672763105332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0.42282851407107136</v>
      </c>
      <c r="R360" s="1">
        <v>82</v>
      </c>
      <c r="S360" s="1">
        <v>93</v>
      </c>
      <c r="T360" s="1">
        <v>0</v>
      </c>
      <c r="U360" s="1">
        <f>Games[[#This Row],[PointsFor]]-Games[[#This Row],[PointsAgainst]]</f>
        <v>-11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0.43478386873667096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71.349999999999994</v>
      </c>
      <c r="Z360" s="4">
        <f>Games[[#This Row],[K]]*Games[[#This Row],[POMult]]</f>
        <v>71.349999999999994</v>
      </c>
      <c r="AA360" s="4">
        <f>(Games[[#This Row],[Keff]]*Games[[#This Row],[MOVMult]])*(Games[[#This Row],[Result]]-Games[[#This Row],[ExpectedWin%]])</f>
        <v>-13.11691387436588</v>
      </c>
      <c r="AB360" s="4">
        <f>Games[[#This Row],[PreGmRate]]+Games[[#This Row],[RatingChange]]</f>
        <v>1583.7941222236866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41166</v>
      </c>
      <c r="B361" s="2">
        <v>2012</v>
      </c>
      <c r="C361" s="2">
        <f>COUNTIFS(Games[Team],Games[[#This Row],[Team]],Games[Season],Games[[#This Row],[Season]],Games[Date],"&lt;=" &amp; Games[[#This Row],[Date]])</f>
        <v>32</v>
      </c>
      <c r="D361" s="2" t="s">
        <v>23</v>
      </c>
      <c r="E361" s="2" t="s">
        <v>29</v>
      </c>
      <c r="F361" s="1" t="s">
        <v>68</v>
      </c>
      <c r="G361" s="1" t="s">
        <v>81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-1</v>
      </c>
      <c r="L361" s="2">
        <f>Games[[#This Row],[OppDaysOff]]-Games[[#This Row],[DaysOff]]</f>
        <v>1</v>
      </c>
      <c r="M361" s="1">
        <f>MAX(-16, MIN(16, Games[[#This Row],[RestDiff]]*8))</f>
        <v>-8</v>
      </c>
      <c r="N361" s="1">
        <f>MAX(-16, MIN(16, Games[[#This Row],[OppRestDiff]]*8))</f>
        <v>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1582.9672763105332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1596.9110360980526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0.57717148592892864</v>
      </c>
      <c r="R361" s="1">
        <v>93</v>
      </c>
      <c r="S361" s="1">
        <v>82</v>
      </c>
      <c r="T361" s="1">
        <v>0</v>
      </c>
      <c r="U361" s="1">
        <f>Games[[#This Row],[PointsFor]]-Games[[#This Row],[PointsAgainst]]</f>
        <v>11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0.43478386873667096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71.2</v>
      </c>
      <c r="Z361" s="4">
        <f>Games[[#This Row],[K]]*Games[[#This Row],[POMult]]</f>
        <v>71.2</v>
      </c>
      <c r="AA361" s="4">
        <f>(Games[[#This Row],[Keff]]*Games[[#This Row],[MOVMult]])*(Games[[#This Row],[Result]]-Games[[#This Row],[ExpectedWin%]])</f>
        <v>13.089338021791882</v>
      </c>
      <c r="AB361" s="4">
        <f>Games[[#This Row],[PreGmRate]]+Games[[#This Row],[RatingChange]]</f>
        <v>1596.0566143323251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41166</v>
      </c>
      <c r="B362" s="2">
        <v>2012</v>
      </c>
      <c r="C362" s="2">
        <f>COUNTIFS(Games[Team],Games[[#This Row],[Team]],Games[Season],Games[[#This Row],[Season]],Games[Date],"&lt;=" &amp; Games[[#This Row],[Date]])</f>
        <v>30</v>
      </c>
      <c r="D362" s="2" t="s">
        <v>23</v>
      </c>
      <c r="E362" s="2" t="s">
        <v>29</v>
      </c>
      <c r="F362" s="1" t="s">
        <v>86</v>
      </c>
      <c r="G362" s="1" t="s">
        <v>44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1320.2993269042026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1345.0761225149067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0.34837958270609565</v>
      </c>
      <c r="R362" s="1">
        <v>92</v>
      </c>
      <c r="S362" s="1">
        <v>84</v>
      </c>
      <c r="T362" s="1">
        <v>0</v>
      </c>
      <c r="U362" s="1">
        <f>Games[[#This Row],[PointsFor]]-Games[[#This Row],[PointsAgainst]]</f>
        <v>8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0.38046005090360818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71.5</v>
      </c>
      <c r="Z362" s="4">
        <f>Games[[#This Row],[K]]*Games[[#This Row],[POMult]]</f>
        <v>71.5</v>
      </c>
      <c r="AA362" s="4">
        <f>(Games[[#This Row],[Keff]]*Games[[#This Row],[MOVMult]])*(Games[[#This Row],[Result]]-Games[[#This Row],[ExpectedWin%]])</f>
        <v>17.725960905043053</v>
      </c>
      <c r="AB362" s="4">
        <f>Games[[#This Row],[PreGmRate]]+Games[[#This Row],[RatingChange]]</f>
        <v>1338.0252878092456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41166</v>
      </c>
      <c r="B363" s="2">
        <v>2012</v>
      </c>
      <c r="C363" s="2">
        <f>COUNTIFS(Games[Team],Games[[#This Row],[Team]],Games[Season],Games[[#This Row],[Season]],Games[Date],"&lt;=" &amp; Games[[#This Row],[Date]])</f>
        <v>30</v>
      </c>
      <c r="D363" s="2" t="s">
        <v>23</v>
      </c>
      <c r="E363" s="2" t="s">
        <v>29</v>
      </c>
      <c r="F363" s="1" t="s">
        <v>44</v>
      </c>
      <c r="G363" s="1" t="s">
        <v>86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1345.0761225149067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1320.2993269042026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0.65162041729390441</v>
      </c>
      <c r="R363" s="1">
        <v>84</v>
      </c>
      <c r="S363" s="1">
        <v>92</v>
      </c>
      <c r="T363" s="1">
        <v>0</v>
      </c>
      <c r="U363" s="1">
        <f>Games[[#This Row],[PointsFor]]-Games[[#This Row],[PointsAgainst]]</f>
        <v>-8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0.38046005090360818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71.5</v>
      </c>
      <c r="Z363" s="4">
        <f>Games[[#This Row],[K]]*Games[[#This Row],[POMult]]</f>
        <v>71.5</v>
      </c>
      <c r="AA363" s="4">
        <f>(Games[[#This Row],[Keff]]*Games[[#This Row],[MOVMult]])*(Games[[#This Row],[Result]]-Games[[#This Row],[ExpectedWin%]])</f>
        <v>-17.725960905043053</v>
      </c>
      <c r="AB363" s="4">
        <f>Games[[#This Row],[PreGmRate]]+Games[[#This Row],[RatingChange]]</f>
        <v>1327.3501616098638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41166</v>
      </c>
      <c r="B364" s="2">
        <v>2012</v>
      </c>
      <c r="C364" s="2">
        <f>COUNTIFS(Games[Team],Games[[#This Row],[Team]],Games[Season],Games[[#This Row],[Season]],Games[Date],"&lt;=" &amp; Games[[#This Row],[Date]])</f>
        <v>30</v>
      </c>
      <c r="D364" s="2" t="s">
        <v>23</v>
      </c>
      <c r="E364" s="2" t="s">
        <v>29</v>
      </c>
      <c r="F364" s="1" t="s">
        <v>76</v>
      </c>
      <c r="G364" s="1" t="s">
        <v>79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1477.7622533074837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1571.4366469102483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0.26448701729266988</v>
      </c>
      <c r="R364" s="1">
        <v>66</v>
      </c>
      <c r="S364" s="1">
        <v>90</v>
      </c>
      <c r="T364" s="1">
        <v>0</v>
      </c>
      <c r="U364" s="1">
        <f>Games[[#This Row],[PointsFor]]-Games[[#This Row],[PointsAgainst]]</f>
        <v>-24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0.58292652391272659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71.5</v>
      </c>
      <c r="Z364" s="4">
        <f>Games[[#This Row],[K]]*Games[[#This Row],[POMult]]</f>
        <v>71.5</v>
      </c>
      <c r="AA364" s="4">
        <f>(Games[[#This Row],[Keff]]*Games[[#This Row],[MOVMult]])*(Games[[#This Row],[Result]]-Games[[#This Row],[ExpectedWin%]])</f>
        <v>-11.023619579147979</v>
      </c>
      <c r="AB364" s="4">
        <f>Games[[#This Row],[PreGmRate]]+Games[[#This Row],[RatingChange]]</f>
        <v>1466.7386337283356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41166</v>
      </c>
      <c r="B365" s="2">
        <v>2012</v>
      </c>
      <c r="C365" s="2">
        <f>COUNTIFS(Games[Team],Games[[#This Row],[Team]],Games[Season],Games[[#This Row],[Season]],Games[Date],"&lt;=" &amp; Games[[#This Row],[Date]])</f>
        <v>30</v>
      </c>
      <c r="D365" s="2" t="s">
        <v>23</v>
      </c>
      <c r="E365" s="2" t="s">
        <v>29</v>
      </c>
      <c r="F365" s="1" t="s">
        <v>79</v>
      </c>
      <c r="G365" s="1" t="s">
        <v>76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1571.4366469102483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1477.7622533074837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0.73551298270733012</v>
      </c>
      <c r="R365" s="1">
        <v>90</v>
      </c>
      <c r="S365" s="1">
        <v>66</v>
      </c>
      <c r="T365" s="1">
        <v>0</v>
      </c>
      <c r="U365" s="1">
        <f>Games[[#This Row],[PointsFor]]-Games[[#This Row],[PointsAgainst]]</f>
        <v>24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0.58292652391272659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11.023619579147979</v>
      </c>
      <c r="AB365" s="4">
        <f>Games[[#This Row],[PreGmRate]]+Games[[#This Row],[RatingChange]]</f>
        <v>1582.4602664893964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41166</v>
      </c>
      <c r="B366" s="2">
        <v>2012</v>
      </c>
      <c r="C366" s="2">
        <f>COUNTIFS(Games[Team],Games[[#This Row],[Team]],Games[Season],Games[[#This Row],[Season]],Games[Date],"&lt;=" &amp; Games[[#This Row],[Date]])</f>
        <v>32</v>
      </c>
      <c r="D366" s="2" t="s">
        <v>23</v>
      </c>
      <c r="E366" s="2" t="s">
        <v>29</v>
      </c>
      <c r="F366" s="1" t="s">
        <v>84</v>
      </c>
      <c r="G366" s="1" t="s">
        <v>70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1</v>
      </c>
      <c r="L366" s="2">
        <f>Games[[#This Row],[OppDaysOff]]-Games[[#This Row],[DaysOff]]</f>
        <v>-1</v>
      </c>
      <c r="M366" s="1">
        <f>MAX(-16, MIN(16, Games[[#This Row],[RestDiff]]*8))</f>
        <v>8</v>
      </c>
      <c r="N366" s="1">
        <f>MAX(-16, MIN(16, Games[[#This Row],[OppRestDiff]]*8))</f>
        <v>-8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1569.7091023149787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1298.1454692171947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0.76347138800618275</v>
      </c>
      <c r="R366" s="1">
        <v>82</v>
      </c>
      <c r="S366" s="1">
        <v>74</v>
      </c>
      <c r="T366" s="1">
        <v>0</v>
      </c>
      <c r="U366" s="1">
        <f>Games[[#This Row],[PointsFor]]-Games[[#This Row],[PointsAgainst]]</f>
        <v>8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0.31665544834284631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71.2</v>
      </c>
      <c r="Z366" s="4">
        <f>Games[[#This Row],[K]]*Games[[#This Row],[POMult]]</f>
        <v>71.2</v>
      </c>
      <c r="AA366" s="4">
        <f>(Games[[#This Row],[Keff]]*Games[[#This Row],[MOVMult]])*(Games[[#This Row],[Result]]-Games[[#This Row],[ExpectedWin%]])</f>
        <v>5.3327428457891095</v>
      </c>
      <c r="AB366" s="4">
        <f>Games[[#This Row],[PreGmRate]]+Games[[#This Row],[RatingChange]]</f>
        <v>1575.0418451607679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41166</v>
      </c>
      <c r="B367" s="2">
        <v>2012</v>
      </c>
      <c r="C367" s="2">
        <f>COUNTIFS(Games[Team],Games[[#This Row],[Team]],Games[Season],Games[[#This Row],[Season]],Games[Date],"&lt;=" &amp; Games[[#This Row],[Date]])</f>
        <v>31</v>
      </c>
      <c r="D367" s="2" t="s">
        <v>23</v>
      </c>
      <c r="E367" s="2" t="s">
        <v>29</v>
      </c>
      <c r="F367" s="1" t="s">
        <v>70</v>
      </c>
      <c r="G367" s="1" t="s">
        <v>84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7" s="2">
        <f>Games[[#This Row],[DaysOff]]-Games[[#This Row],[OppDaysOff]]</f>
        <v>-1</v>
      </c>
      <c r="L367" s="2">
        <f>Games[[#This Row],[OppDaysOff]]-Games[[#This Row],[DaysOff]]</f>
        <v>1</v>
      </c>
      <c r="M367" s="1">
        <f>MAX(-16, MIN(16, Games[[#This Row],[RestDiff]]*8))</f>
        <v>-8</v>
      </c>
      <c r="N367" s="1">
        <f>MAX(-16, MIN(16, Games[[#This Row],[OppRestDiff]]*8))</f>
        <v>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1298.1454692171947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1569.7091023149787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0.23652861199381717</v>
      </c>
      <c r="R367" s="1">
        <v>74</v>
      </c>
      <c r="S367" s="1">
        <v>82</v>
      </c>
      <c r="T367" s="1">
        <v>0</v>
      </c>
      <c r="U367" s="1">
        <f>Games[[#This Row],[PointsFor]]-Games[[#This Row],[PointsAgainst]]</f>
        <v>-8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0.31665544834284631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-5.3439775568406294</v>
      </c>
      <c r="AB367" s="4">
        <f>Games[[#This Row],[PreGmRate]]+Games[[#This Row],[RatingChange]]</f>
        <v>1292.801491660354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41168</v>
      </c>
      <c r="B368" s="2">
        <v>2012</v>
      </c>
      <c r="C368" s="2">
        <f>COUNTIFS(Games[Team],Games[[#This Row],[Team]],Games[Season],Games[[#This Row],[Season]],Games[Date],"&lt;=" &amp; Games[[#This Row],[Date]])</f>
        <v>31</v>
      </c>
      <c r="D368" s="2" t="s">
        <v>23</v>
      </c>
      <c r="E368" s="2" t="s">
        <v>29</v>
      </c>
      <c r="F368" s="1" t="s">
        <v>82</v>
      </c>
      <c r="G368" s="1" t="s">
        <v>44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1</v>
      </c>
      <c r="L368" s="2">
        <f>Games[[#This Row],[OppDaysOff]]-Games[[#This Row],[DaysOff]]</f>
        <v>-1</v>
      </c>
      <c r="M368" s="1">
        <f>MAX(-16, MIN(16, Games[[#This Row],[RestDiff]]*8))</f>
        <v>8</v>
      </c>
      <c r="N368" s="1">
        <f>MAX(-16, MIN(16, Games[[#This Row],[OppRestDiff]]*8))</f>
        <v>-8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1458.5463538364104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1327.3501616098638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0.58995673504980739</v>
      </c>
      <c r="R368" s="1">
        <v>86</v>
      </c>
      <c r="S368" s="1">
        <v>55</v>
      </c>
      <c r="T368" s="1">
        <v>0</v>
      </c>
      <c r="U368" s="1">
        <f>Games[[#This Row],[PointsFor]]-Games[[#This Row],[PointsAgainst]]</f>
        <v>31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0.64496988023012414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18.869617383790164</v>
      </c>
      <c r="AB368" s="4">
        <f>Games[[#This Row],[PreGmRate]]+Games[[#This Row],[RatingChange]]</f>
        <v>1477.4159712202006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41168</v>
      </c>
      <c r="B369" s="2">
        <v>2012</v>
      </c>
      <c r="C369" s="2">
        <f>COUNTIFS(Games[Team],Games[[#This Row],[Team]],Games[Season],Games[[#This Row],[Season]],Games[Date],"&lt;=" &amp; Games[[#This Row],[Date]])</f>
        <v>31</v>
      </c>
      <c r="D369" s="2" t="s">
        <v>23</v>
      </c>
      <c r="E369" s="2" t="s">
        <v>29</v>
      </c>
      <c r="F369" s="1" t="s">
        <v>44</v>
      </c>
      <c r="G369" s="1" t="s">
        <v>82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9" s="2">
        <f>Games[[#This Row],[DaysOff]]-Games[[#This Row],[OppDaysOff]]</f>
        <v>-1</v>
      </c>
      <c r="L369" s="2">
        <f>Games[[#This Row],[OppDaysOff]]-Games[[#This Row],[DaysOff]]</f>
        <v>1</v>
      </c>
      <c r="M369" s="1">
        <f>MAX(-16, MIN(16, Games[[#This Row],[RestDiff]]*8))</f>
        <v>-8</v>
      </c>
      <c r="N369" s="1">
        <f>MAX(-16, MIN(16, Games[[#This Row],[OppRestDiff]]*8))</f>
        <v>8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1327.3501616098638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1458.5463538364104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0.41004326495019255</v>
      </c>
      <c r="R369" s="1">
        <v>55</v>
      </c>
      <c r="S369" s="1">
        <v>86</v>
      </c>
      <c r="T369" s="1">
        <v>0</v>
      </c>
      <c r="U369" s="1">
        <f>Games[[#This Row],[PointsFor]]-Games[[#This Row],[PointsAgainst]]</f>
        <v>-31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0.64496988023012414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-18.86961738379016</v>
      </c>
      <c r="AB369" s="4">
        <f>Games[[#This Row],[PreGmRate]]+Games[[#This Row],[RatingChange]]</f>
        <v>1308.4805442260736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41168</v>
      </c>
      <c r="B370" s="2">
        <v>2012</v>
      </c>
      <c r="C370" s="2">
        <f>COUNTIFS(Games[Team],Games[[#This Row],[Team]],Games[Season],Games[[#This Row],[Season]],Games[Date],"&lt;=" &amp; Games[[#This Row],[Date]])</f>
        <v>31</v>
      </c>
      <c r="D370" s="2" t="s">
        <v>23</v>
      </c>
      <c r="E370" s="2" t="s">
        <v>29</v>
      </c>
      <c r="F370" s="1" t="s">
        <v>86</v>
      </c>
      <c r="G370" s="1" t="s">
        <v>79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1338.0252878092456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1582.4602664893964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0.13117337023010994</v>
      </c>
      <c r="R370" s="1">
        <v>80</v>
      </c>
      <c r="S370" s="1">
        <v>70</v>
      </c>
      <c r="T370" s="1">
        <v>0</v>
      </c>
      <c r="U370" s="1">
        <f>Games[[#This Row],[PointsFor]]-Games[[#This Row],[PointsAgainst]]</f>
        <v>10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0.3515254384539353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21.79133613158201</v>
      </c>
      <c r="AB370" s="4">
        <f>Games[[#This Row],[PreGmRate]]+Games[[#This Row],[RatingChange]]</f>
        <v>1359.8166239408276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41168</v>
      </c>
      <c r="B371" s="2">
        <v>2012</v>
      </c>
      <c r="C371" s="2">
        <f>COUNTIFS(Games[Team],Games[[#This Row],[Team]],Games[Season],Games[[#This Row],[Season]],Games[Date],"&lt;=" &amp; Games[[#This Row],[Date]])</f>
        <v>31</v>
      </c>
      <c r="D371" s="2" t="s">
        <v>23</v>
      </c>
      <c r="E371" s="2" t="s">
        <v>29</v>
      </c>
      <c r="F371" s="1" t="s">
        <v>79</v>
      </c>
      <c r="G371" s="1" t="s">
        <v>86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1582.4602664893964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1338.0252878092456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0.86882662976989011</v>
      </c>
      <c r="R371" s="1">
        <v>70</v>
      </c>
      <c r="S371" s="1">
        <v>80</v>
      </c>
      <c r="T371" s="1">
        <v>0</v>
      </c>
      <c r="U371" s="1">
        <f>Games[[#This Row],[PointsFor]]-Games[[#This Row],[PointsAgainst]]</f>
        <v>-10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0.3515254384539353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71.349999999999994</v>
      </c>
      <c r="Z371" s="4">
        <f>Games[[#This Row],[K]]*Games[[#This Row],[POMult]]</f>
        <v>71.349999999999994</v>
      </c>
      <c r="AA371" s="4">
        <f>(Games[[#This Row],[Keff]]*Games[[#This Row],[MOVMult]])*(Games[[#This Row],[Result]]-Games[[#This Row],[ExpectedWin%]])</f>
        <v>-21.79133613158201</v>
      </c>
      <c r="AB371" s="4">
        <f>Games[[#This Row],[PreGmRate]]+Games[[#This Row],[RatingChange]]</f>
        <v>1560.6689303578144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41168</v>
      </c>
      <c r="B372" s="2">
        <v>2012</v>
      </c>
      <c r="C372" s="2">
        <f>COUNTIFS(Games[Team],Games[[#This Row],[Team]],Games[Season],Games[[#This Row],[Season]],Games[Date],"&lt;=" &amp; Games[[#This Row],[Date]])</f>
        <v>32</v>
      </c>
      <c r="D372" s="2" t="s">
        <v>23</v>
      </c>
      <c r="E372" s="2" t="s">
        <v>29</v>
      </c>
      <c r="F372" s="1" t="s">
        <v>81</v>
      </c>
      <c r="G372" s="1" t="s">
        <v>76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1583.7941222236866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1466.7386337283356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0.54742765511592406</v>
      </c>
      <c r="R372" s="1">
        <v>60</v>
      </c>
      <c r="S372" s="1">
        <v>58</v>
      </c>
      <c r="T372" s="1">
        <v>0</v>
      </c>
      <c r="U372" s="1">
        <f>Games[[#This Row],[PointsFor]]-Games[[#This Row],[PointsAgainst]]</f>
        <v>2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0.2440364796921298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71.2</v>
      </c>
      <c r="Z372" s="4">
        <f>Games[[#This Row],[K]]*Games[[#This Row],[POMult]]</f>
        <v>71.2</v>
      </c>
      <c r="AA372" s="4">
        <f>(Games[[#This Row],[Keff]]*Games[[#This Row],[MOVMult]])*(Games[[#This Row],[Result]]-Games[[#This Row],[ExpectedWin%]])</f>
        <v>7.8636243238283923</v>
      </c>
      <c r="AB372" s="4">
        <f>Games[[#This Row],[PreGmRate]]+Games[[#This Row],[RatingChange]]</f>
        <v>1591.657746547515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41168</v>
      </c>
      <c r="B373" s="2">
        <v>2012</v>
      </c>
      <c r="C373" s="2">
        <f>COUNTIFS(Games[Team],Games[[#This Row],[Team]],Games[Season],Games[[#This Row],[Season]],Games[Date],"&lt;=" &amp; Games[[#This Row],[Date]])</f>
        <v>31</v>
      </c>
      <c r="D373" s="2" t="s">
        <v>23</v>
      </c>
      <c r="E373" s="2" t="s">
        <v>29</v>
      </c>
      <c r="F373" s="1" t="s">
        <v>76</v>
      </c>
      <c r="G373" s="1" t="s">
        <v>81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1466.7386337283356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1583.7941222236866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0.45257234488407588</v>
      </c>
      <c r="R373" s="1">
        <v>58</v>
      </c>
      <c r="S373" s="1">
        <v>60</v>
      </c>
      <c r="T373" s="1">
        <v>0</v>
      </c>
      <c r="U373" s="1">
        <f>Games[[#This Row],[PointsFor]]-Games[[#This Row],[PointsAgainst]]</f>
        <v>-2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0.2440364796921298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71.349999999999994</v>
      </c>
      <c r="Z373" s="4">
        <f>Games[[#This Row],[K]]*Games[[#This Row],[POMult]]</f>
        <v>71.349999999999994</v>
      </c>
      <c r="AA373" s="4">
        <f>(Games[[#This Row],[Keff]]*Games[[#This Row],[MOVMult]])*(Games[[#This Row],[Result]]-Games[[#This Row],[ExpectedWin%]])</f>
        <v>-7.8801909481061196</v>
      </c>
      <c r="AB373" s="4">
        <f>Games[[#This Row],[PreGmRate]]+Games[[#This Row],[RatingChange]]</f>
        <v>1458.8584427802296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41168</v>
      </c>
      <c r="B374" s="2">
        <v>2012</v>
      </c>
      <c r="C374" s="2">
        <f>COUNTIFS(Games[Team],Games[[#This Row],[Team]],Games[Season],Games[[#This Row],[Season]],Games[Date],"&lt;=" &amp; Games[[#This Row],[Date]])</f>
        <v>31</v>
      </c>
      <c r="D374" s="2" t="s">
        <v>23</v>
      </c>
      <c r="E374" s="2" t="s">
        <v>29</v>
      </c>
      <c r="F374" s="1" t="s">
        <v>65</v>
      </c>
      <c r="G374" s="1" t="s">
        <v>70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4" s="2">
        <f>Games[[#This Row],[DaysOff]]-Games[[#This Row],[OppDaysOff]]</f>
        <v>2</v>
      </c>
      <c r="L374" s="2">
        <f>Games[[#This Row],[OppDaysOff]]-Games[[#This Row],[DaysOff]]</f>
        <v>-2</v>
      </c>
      <c r="M374" s="1">
        <f>MAX(-16, MIN(16, Games[[#This Row],[RestDiff]]*8))</f>
        <v>16</v>
      </c>
      <c r="N374" s="1">
        <f>MAX(-16, MIN(16, Games[[#This Row],[OppRestDiff]]*8))</f>
        <v>-16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1464.6212833688073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1292.801491660354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0.66590867785129038</v>
      </c>
      <c r="R374" s="1">
        <v>75</v>
      </c>
      <c r="S374" s="1">
        <v>68</v>
      </c>
      <c r="T374" s="1">
        <v>0</v>
      </c>
      <c r="U374" s="1">
        <f>Games[[#This Row],[PointsFor]]-Games[[#This Row],[PointsAgainst]]</f>
        <v>7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0.32375142104595955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7.7173972507452104</v>
      </c>
      <c r="AB374" s="4">
        <f>Games[[#This Row],[PreGmRate]]+Games[[#This Row],[RatingChange]]</f>
        <v>1472.3386806195526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41168</v>
      </c>
      <c r="B375" s="2">
        <v>2012</v>
      </c>
      <c r="C375" s="2">
        <f>COUNTIFS(Games[Team],Games[[#This Row],[Team]],Games[Season],Games[[#This Row],[Season]],Games[Date],"&lt;=" &amp; Games[[#This Row],[Date]])</f>
        <v>32</v>
      </c>
      <c r="D375" s="2" t="s">
        <v>23</v>
      </c>
      <c r="E375" s="2" t="s">
        <v>29</v>
      </c>
      <c r="F375" s="1" t="s">
        <v>70</v>
      </c>
      <c r="G375" s="1" t="s">
        <v>65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5" s="2">
        <f>Games[[#This Row],[DaysOff]]-Games[[#This Row],[OppDaysOff]]</f>
        <v>-2</v>
      </c>
      <c r="L375" s="2">
        <f>Games[[#This Row],[OppDaysOff]]-Games[[#This Row],[DaysOff]]</f>
        <v>2</v>
      </c>
      <c r="M375" s="1">
        <f>MAX(-16, MIN(16, Games[[#This Row],[RestDiff]]*8))</f>
        <v>-16</v>
      </c>
      <c r="N375" s="1">
        <f>MAX(-16, MIN(16, Games[[#This Row],[OppRestDiff]]*8))</f>
        <v>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1292.801491660354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1464.6212833688073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0.33409132214870968</v>
      </c>
      <c r="R375" s="1">
        <v>68</v>
      </c>
      <c r="S375" s="1">
        <v>75</v>
      </c>
      <c r="T375" s="1">
        <v>0</v>
      </c>
      <c r="U375" s="1">
        <f>Games[[#This Row],[PointsFor]]-Games[[#This Row],[PointsAgainst]]</f>
        <v>-7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0.32375142104595955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71.2</v>
      </c>
      <c r="Z375" s="4">
        <f>Games[[#This Row],[K]]*Games[[#This Row],[POMult]]</f>
        <v>71.2</v>
      </c>
      <c r="AA375" s="4">
        <f>(Games[[#This Row],[Keff]]*Games[[#This Row],[MOVMult]])*(Games[[#This Row],[Result]]-Games[[#This Row],[ExpectedWin%]])</f>
        <v>-7.7011728696994979</v>
      </c>
      <c r="AB375" s="4">
        <f>Games[[#This Row],[PreGmRate]]+Games[[#This Row],[RatingChange]]</f>
        <v>1285.1003187906545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41169</v>
      </c>
      <c r="B376" s="2">
        <v>2012</v>
      </c>
      <c r="C376" s="2">
        <f>COUNTIFS(Games[Team],Games[[#This Row],[Team]],Games[Season],Games[[#This Row],[Season]],Games[Date],"&lt;=" &amp; Games[[#This Row],[Date]])</f>
        <v>31</v>
      </c>
      <c r="D376" s="2" t="s">
        <v>23</v>
      </c>
      <c r="E376" s="2" t="s">
        <v>29</v>
      </c>
      <c r="F376" s="1" t="s">
        <v>74</v>
      </c>
      <c r="G376" s="1" t="s">
        <v>72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1607.52013851268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1716.231169562813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0.24799509694186281</v>
      </c>
      <c r="R376" s="1">
        <v>79</v>
      </c>
      <c r="S376" s="1">
        <v>86</v>
      </c>
      <c r="T376" s="1">
        <v>0</v>
      </c>
      <c r="U376" s="1">
        <f>Games[[#This Row],[PointsFor]]-Games[[#This Row],[PointsAgainst]]</f>
        <v>-7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0.33936338614660205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71.349999999999994</v>
      </c>
      <c r="Z376" s="4">
        <f>Games[[#This Row],[K]]*Games[[#This Row],[POMult]]</f>
        <v>71.349999999999994</v>
      </c>
      <c r="AA376" s="4">
        <f>(Games[[#This Row],[Keff]]*Games[[#This Row],[MOVMult]])*(Games[[#This Row],[Result]]-Games[[#This Row],[ExpectedWin%]])</f>
        <v>-6.004848524608204</v>
      </c>
      <c r="AB376" s="4">
        <f>Games[[#This Row],[PreGmRate]]+Games[[#This Row],[RatingChange]]</f>
        <v>1601.5152899880718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41169</v>
      </c>
      <c r="B377" s="2">
        <v>2012</v>
      </c>
      <c r="C377" s="2">
        <f>COUNTIFS(Games[Team],Games[[#This Row],[Team]],Games[Season],Games[[#This Row],[Season]],Games[Date],"&lt;=" &amp; Games[[#This Row],[Date]])</f>
        <v>31</v>
      </c>
      <c r="D377" s="2" t="s">
        <v>23</v>
      </c>
      <c r="E377" s="2" t="s">
        <v>29</v>
      </c>
      <c r="F377" s="1" t="s">
        <v>72</v>
      </c>
      <c r="G377" s="1" t="s">
        <v>74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1716.231169562813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1607.52013851268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0.75200490305813716</v>
      </c>
      <c r="R377" s="1">
        <v>86</v>
      </c>
      <c r="S377" s="1">
        <v>79</v>
      </c>
      <c r="T377" s="1">
        <v>0</v>
      </c>
      <c r="U377" s="1">
        <f>Games[[#This Row],[PointsFor]]-Games[[#This Row],[PointsAgainst]]</f>
        <v>7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0.33936338614660205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71.349999999999994</v>
      </c>
      <c r="Z377" s="4">
        <f>Games[[#This Row],[K]]*Games[[#This Row],[POMult]]</f>
        <v>71.349999999999994</v>
      </c>
      <c r="AA377" s="4">
        <f>(Games[[#This Row],[Keff]]*Games[[#This Row],[MOVMult]])*(Games[[#This Row],[Result]]-Games[[#This Row],[ExpectedWin%]])</f>
        <v>6.004848524608204</v>
      </c>
      <c r="AB377" s="4">
        <f>Games[[#This Row],[PreGmRate]]+Games[[#This Row],[RatingChange]]</f>
        <v>1722.2360180874211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41170</v>
      </c>
      <c r="B378" s="2">
        <v>2012</v>
      </c>
      <c r="C378" s="2">
        <f>COUNTIFS(Games[Team],Games[[#This Row],[Team]],Games[Season],Games[[#This Row],[Season]],Games[Date],"&lt;=" &amp; Games[[#This Row],[Date]])</f>
        <v>32</v>
      </c>
      <c r="D378" s="2" t="s">
        <v>23</v>
      </c>
      <c r="E378" s="2" t="s">
        <v>29</v>
      </c>
      <c r="F378" s="1" t="s">
        <v>44</v>
      </c>
      <c r="G378" s="1" t="s">
        <v>68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8" s="2">
        <f>Games[[#This Row],[DaysOff]]-Games[[#This Row],[OppDaysOff]]</f>
        <v>-2</v>
      </c>
      <c r="L378" s="2">
        <f>Games[[#This Row],[OppDaysOff]]-Games[[#This Row],[DaysOff]]</f>
        <v>2</v>
      </c>
      <c r="M378" s="1">
        <f>MAX(-16, MIN(16, Games[[#This Row],[RestDiff]]*8))</f>
        <v>-16</v>
      </c>
      <c r="N378" s="1">
        <f>MAX(-16, MIN(16, Games[[#This Row],[OppRestDiff]]*8))</f>
        <v>16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1308.4805442260736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1596.0566143323251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8.9222075253938174E-2</v>
      </c>
      <c r="R378" s="1">
        <v>76</v>
      </c>
      <c r="S378" s="1">
        <v>101</v>
      </c>
      <c r="T378" s="1">
        <v>0</v>
      </c>
      <c r="U378" s="1">
        <f>Games[[#This Row],[PointsFor]]-Games[[#This Row],[PointsAgainst]]</f>
        <v>-25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0.5173608594131508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71.2</v>
      </c>
      <c r="Z378" s="4">
        <f>Games[[#This Row],[K]]*Games[[#This Row],[POMult]]</f>
        <v>71.2</v>
      </c>
      <c r="AA378" s="4">
        <f>(Games[[#This Row],[Keff]]*Games[[#This Row],[MOVMult]])*(Games[[#This Row],[Result]]-Games[[#This Row],[ExpectedWin%]])</f>
        <v>-3.2865926786785615</v>
      </c>
      <c r="AB378" s="4">
        <f>Games[[#This Row],[PreGmRate]]+Games[[#This Row],[RatingChange]]</f>
        <v>1305.193951547395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41170</v>
      </c>
      <c r="B379" s="2">
        <v>2012</v>
      </c>
      <c r="C379" s="2">
        <f>COUNTIFS(Games[Team],Games[[#This Row],[Team]],Games[Season],Games[[#This Row],[Season]],Games[Date],"&lt;=" &amp; Games[[#This Row],[Date]])</f>
        <v>33</v>
      </c>
      <c r="D379" s="2" t="s">
        <v>23</v>
      </c>
      <c r="E379" s="2" t="s">
        <v>29</v>
      </c>
      <c r="F379" s="1" t="s">
        <v>68</v>
      </c>
      <c r="G379" s="1" t="s">
        <v>44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2</v>
      </c>
      <c r="L379" s="2">
        <f>Games[[#This Row],[OppDaysOff]]-Games[[#This Row],[DaysOff]]</f>
        <v>-2</v>
      </c>
      <c r="M379" s="1">
        <f>MAX(-16, MIN(16, Games[[#This Row],[RestDiff]]*8))</f>
        <v>16</v>
      </c>
      <c r="N379" s="1">
        <f>MAX(-16, MIN(16, Games[[#This Row],[OppRestDiff]]*8))</f>
        <v>-16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1596.0566143323251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1308.4805442260736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0.9107779247460619</v>
      </c>
      <c r="R379" s="1">
        <v>101</v>
      </c>
      <c r="S379" s="1">
        <v>76</v>
      </c>
      <c r="T379" s="1">
        <v>0</v>
      </c>
      <c r="U379" s="1">
        <f>Games[[#This Row],[PointsFor]]-Games[[#This Row],[PointsAgainst]]</f>
        <v>25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0.5173608594131508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71.05</v>
      </c>
      <c r="Z379" s="4">
        <f>Games[[#This Row],[K]]*Games[[#This Row],[POMult]]</f>
        <v>71.05</v>
      </c>
      <c r="AA379" s="4">
        <f>(Games[[#This Row],[Keff]]*Games[[#This Row],[MOVMult]])*(Games[[#This Row],[Result]]-Games[[#This Row],[ExpectedWin%]])</f>
        <v>3.2796686772487584</v>
      </c>
      <c r="AB379" s="4">
        <f>Games[[#This Row],[PreGmRate]]+Games[[#This Row],[RatingChange]]</f>
        <v>1599.3362830095739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41170</v>
      </c>
      <c r="B380" s="2">
        <v>2012</v>
      </c>
      <c r="C380" s="2">
        <f>COUNTIFS(Games[Team],Games[[#This Row],[Team]],Games[Season],Games[[#This Row],[Season]],Games[Date],"&lt;=" &amp; Games[[#This Row],[Date]])</f>
        <v>32</v>
      </c>
      <c r="D380" s="2" t="s">
        <v>23</v>
      </c>
      <c r="E380" s="2" t="s">
        <v>29</v>
      </c>
      <c r="F380" s="1" t="s">
        <v>65</v>
      </c>
      <c r="G380" s="1" t="s">
        <v>79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1472.3386806195526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1560.6689303578144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0.27051472290202883</v>
      </c>
      <c r="R380" s="1">
        <v>66</v>
      </c>
      <c r="S380" s="1">
        <v>77</v>
      </c>
      <c r="T380" s="1">
        <v>0</v>
      </c>
      <c r="U380" s="1">
        <f>Games[[#This Row],[PointsFor]]-Games[[#This Row],[PointsAgainst]]</f>
        <v>-11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0.40968002142027371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-7.8907027960777834</v>
      </c>
      <c r="AB380" s="4">
        <f>Games[[#This Row],[PreGmRate]]+Games[[#This Row],[RatingChange]]</f>
        <v>1464.447977823475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41170</v>
      </c>
      <c r="B381" s="2">
        <v>2012</v>
      </c>
      <c r="C381" s="2">
        <f>COUNTIFS(Games[Team],Games[[#This Row],[Team]],Games[Season],Games[[#This Row],[Season]],Games[Date],"&lt;=" &amp; Games[[#This Row],[Date]])</f>
        <v>32</v>
      </c>
      <c r="D381" s="2" t="s">
        <v>23</v>
      </c>
      <c r="E381" s="2" t="s">
        <v>29</v>
      </c>
      <c r="F381" s="1" t="s">
        <v>79</v>
      </c>
      <c r="G381" s="1" t="s">
        <v>65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1560.6689303578144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1472.3386806195526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0.72948527709797117</v>
      </c>
      <c r="R381" s="1">
        <v>77</v>
      </c>
      <c r="S381" s="1">
        <v>66</v>
      </c>
      <c r="T381" s="1">
        <v>0</v>
      </c>
      <c r="U381" s="1">
        <f>Games[[#This Row],[PointsFor]]-Games[[#This Row],[PointsAgainst]]</f>
        <v>11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0.40968002142027371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7.8907027960777834</v>
      </c>
      <c r="AB381" s="4">
        <f>Games[[#This Row],[PreGmRate]]+Games[[#This Row],[RatingChange]]</f>
        <v>1568.559633153892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41170</v>
      </c>
      <c r="B382" s="2">
        <v>2012</v>
      </c>
      <c r="C382" s="2">
        <f>COUNTIFS(Games[Team],Games[[#This Row],[Team]],Games[Season],Games[[#This Row],[Season]],Games[Date],"&lt;=" &amp; Games[[#This Row],[Date]])</f>
        <v>32</v>
      </c>
      <c r="D382" s="2" t="s">
        <v>23</v>
      </c>
      <c r="E382" s="2" t="s">
        <v>29</v>
      </c>
      <c r="F382" s="1" t="s">
        <v>82</v>
      </c>
      <c r="G382" s="1" t="s">
        <v>76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1477.4159712202006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1458.8584427802296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0.40691892426095083</v>
      </c>
      <c r="R382" s="1">
        <v>60</v>
      </c>
      <c r="S382" s="1">
        <v>75</v>
      </c>
      <c r="T382" s="1">
        <v>0</v>
      </c>
      <c r="U382" s="1">
        <f>Games[[#This Row],[PointsFor]]-Games[[#This Row],[PointsAgainst]]</f>
        <v>-15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0.49519010762423921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-14.346958484017335</v>
      </c>
      <c r="AB382" s="4">
        <f>Games[[#This Row],[PreGmRate]]+Games[[#This Row],[RatingChange]]</f>
        <v>1463.0690127361834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41170</v>
      </c>
      <c r="B383" s="2">
        <v>2012</v>
      </c>
      <c r="C383" s="2">
        <f>COUNTIFS(Games[Team],Games[[#This Row],[Team]],Games[Season],Games[[#This Row],[Season]],Games[Date],"&lt;=" &amp; Games[[#This Row],[Date]])</f>
        <v>32</v>
      </c>
      <c r="D383" s="2" t="s">
        <v>23</v>
      </c>
      <c r="E383" s="2" t="s">
        <v>29</v>
      </c>
      <c r="F383" s="1" t="s">
        <v>76</v>
      </c>
      <c r="G383" s="1" t="s">
        <v>82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1458.8584427802296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1477.4159712202006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0.59308107573904922</v>
      </c>
      <c r="R383" s="1">
        <v>75</v>
      </c>
      <c r="S383" s="1">
        <v>60</v>
      </c>
      <c r="T383" s="1">
        <v>0</v>
      </c>
      <c r="U383" s="1">
        <f>Games[[#This Row],[PointsFor]]-Games[[#This Row],[PointsAgainst]]</f>
        <v>15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0.49519010762423921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14.346958484017334</v>
      </c>
      <c r="AB383" s="4">
        <f>Games[[#This Row],[PreGmRate]]+Games[[#This Row],[RatingChange]]</f>
        <v>1473.2054012642468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41171</v>
      </c>
      <c r="B384" s="2">
        <v>2012</v>
      </c>
      <c r="C384" s="2">
        <f>COUNTIFS(Games[Team],Games[[#This Row],[Team]],Games[Season],Games[[#This Row],[Season]],Games[Date],"&lt;=" &amp; Games[[#This Row],[Date]])</f>
        <v>32</v>
      </c>
      <c r="D384" s="2" t="s">
        <v>23</v>
      </c>
      <c r="E384" s="2" t="s">
        <v>29</v>
      </c>
      <c r="F384" s="1" t="s">
        <v>74</v>
      </c>
      <c r="G384" s="1" t="s">
        <v>81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4" s="2">
        <f>Games[[#This Row],[DaysOff]]-Games[[#This Row],[OppDaysOff]]</f>
        <v>-1</v>
      </c>
      <c r="L384" s="2">
        <f>Games[[#This Row],[OppDaysOff]]-Games[[#This Row],[DaysOff]]</f>
        <v>1</v>
      </c>
      <c r="M384" s="1">
        <f>MAX(-16, MIN(16, Games[[#This Row],[RestDiff]]*8))</f>
        <v>-8</v>
      </c>
      <c r="N384" s="1">
        <f>MAX(-16, MIN(16, Games[[#This Row],[OppRestDiff]]*8))</f>
        <v>8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1601.5152899880718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1591.657746547515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0.3731090907212728</v>
      </c>
      <c r="R384" s="1">
        <v>67</v>
      </c>
      <c r="S384" s="1">
        <v>73</v>
      </c>
      <c r="T384" s="1">
        <v>0</v>
      </c>
      <c r="U384" s="1">
        <f>Games[[#This Row],[PointsFor]]-Games[[#This Row],[PointsAgainst]]</f>
        <v>-6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0.34841863456951794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-9.2558689873421152</v>
      </c>
      <c r="AB384" s="4">
        <f>Games[[#This Row],[PreGmRate]]+Games[[#This Row],[RatingChange]]</f>
        <v>1592.2594210007296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41171</v>
      </c>
      <c r="B385" s="2">
        <v>2012</v>
      </c>
      <c r="C385" s="2">
        <f>COUNTIFS(Games[Team],Games[[#This Row],[Team]],Games[Season],Games[[#This Row],[Season]],Games[Date],"&lt;=" &amp; Games[[#This Row],[Date]])</f>
        <v>33</v>
      </c>
      <c r="D385" s="2" t="s">
        <v>23</v>
      </c>
      <c r="E385" s="2" t="s">
        <v>29</v>
      </c>
      <c r="F385" s="1" t="s">
        <v>81</v>
      </c>
      <c r="G385" s="1" t="s">
        <v>74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1</v>
      </c>
      <c r="L385" s="2">
        <f>Games[[#This Row],[OppDaysOff]]-Games[[#This Row],[DaysOff]]</f>
        <v>-1</v>
      </c>
      <c r="M385" s="1">
        <f>MAX(-16, MIN(16, Games[[#This Row],[RestDiff]]*8))</f>
        <v>8</v>
      </c>
      <c r="N385" s="1">
        <f>MAX(-16, MIN(16, Games[[#This Row],[OppRestDiff]]*8))</f>
        <v>-8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1591.657746547515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1601.5152899880718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0.62689090927872726</v>
      </c>
      <c r="R385" s="1">
        <v>73</v>
      </c>
      <c r="S385" s="1">
        <v>67</v>
      </c>
      <c r="T385" s="1">
        <v>0</v>
      </c>
      <c r="U385" s="1">
        <f>Games[[#This Row],[PointsFor]]-Games[[#This Row],[PointsAgainst]]</f>
        <v>6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0.34841863456951794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71.05</v>
      </c>
      <c r="Z385" s="4">
        <f>Games[[#This Row],[K]]*Games[[#This Row],[POMult]]</f>
        <v>71.05</v>
      </c>
      <c r="AA385" s="4">
        <f>(Games[[#This Row],[Keff]]*Games[[#This Row],[MOVMult]])*(Games[[#This Row],[Result]]-Games[[#This Row],[ExpectedWin%]])</f>
        <v>9.2363692633519268</v>
      </c>
      <c r="AB385" s="4">
        <f>Games[[#This Row],[PreGmRate]]+Games[[#This Row],[RatingChange]]</f>
        <v>1600.8941158108669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41172</v>
      </c>
      <c r="B386" s="2">
        <v>2012</v>
      </c>
      <c r="C386" s="2">
        <f>COUNTIFS(Games[Team],Games[[#This Row],[Team]],Games[Season],Games[[#This Row],[Season]],Games[Date],"&lt;=" &amp; Games[[#This Row],[Date]])</f>
        <v>33</v>
      </c>
      <c r="D386" s="2" t="s">
        <v>23</v>
      </c>
      <c r="E386" s="2" t="s">
        <v>29</v>
      </c>
      <c r="F386" s="1" t="s">
        <v>84</v>
      </c>
      <c r="G386" s="1" t="s">
        <v>82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5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4</v>
      </c>
      <c r="L386" s="2">
        <f>Games[[#This Row],[OppDaysOff]]-Games[[#This Row],[DaysOff]]</f>
        <v>-4</v>
      </c>
      <c r="M386" s="1">
        <f>MAX(-16, MIN(16, Games[[#This Row],[RestDiff]]*8))</f>
        <v>16</v>
      </c>
      <c r="N386" s="1">
        <f>MAX(-16, MIN(16, Games[[#This Row],[OppRestDiff]]*8))</f>
        <v>-16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1575.0418451607679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1463.0690127361834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0.58546072408888261</v>
      </c>
      <c r="R386" s="1">
        <v>75</v>
      </c>
      <c r="S386" s="1">
        <v>66</v>
      </c>
      <c r="T386" s="1">
        <v>0</v>
      </c>
      <c r="U386" s="1">
        <f>Games[[#This Row],[PointsFor]]-Games[[#This Row],[PointsAgainst]]</f>
        <v>9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0.37132311015647107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71.05</v>
      </c>
      <c r="Z386" s="4">
        <f>Games[[#This Row],[K]]*Games[[#This Row],[POMult]]</f>
        <v>71.05</v>
      </c>
      <c r="AA386" s="4">
        <f>(Games[[#This Row],[Keff]]*Games[[#This Row],[MOVMult]])*(Games[[#This Row],[Result]]-Games[[#This Row],[ExpectedWin%]])</f>
        <v>10.936585338806925</v>
      </c>
      <c r="AB386" s="4">
        <f>Games[[#This Row],[PreGmRate]]+Games[[#This Row],[RatingChange]]</f>
        <v>1585.9784304995749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41172</v>
      </c>
      <c r="B387" s="2">
        <v>2012</v>
      </c>
      <c r="C387" s="2">
        <f>COUNTIFS(Games[Team],Games[[#This Row],[Team]],Games[Season],Games[[#This Row],[Season]],Games[Date],"&lt;=" &amp; Games[[#This Row],[Date]])</f>
        <v>33</v>
      </c>
      <c r="D387" s="2" t="s">
        <v>23</v>
      </c>
      <c r="E387" s="2" t="s">
        <v>29</v>
      </c>
      <c r="F387" s="1" t="s">
        <v>82</v>
      </c>
      <c r="G387" s="1" t="s">
        <v>84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7" s="2">
        <f>Games[[#This Row],[DaysOff]]-Games[[#This Row],[OppDaysOff]]</f>
        <v>-4</v>
      </c>
      <c r="L387" s="2">
        <f>Games[[#This Row],[OppDaysOff]]-Games[[#This Row],[DaysOff]]</f>
        <v>4</v>
      </c>
      <c r="M387" s="1">
        <f>MAX(-16, MIN(16, Games[[#This Row],[RestDiff]]*8))</f>
        <v>-16</v>
      </c>
      <c r="N387" s="1">
        <f>MAX(-16, MIN(16, Games[[#This Row],[OppRestDiff]]*8))</f>
        <v>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1463.0690127361834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1575.0418451607679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0.41453927591111733</v>
      </c>
      <c r="R387" s="1">
        <v>66</v>
      </c>
      <c r="S387" s="1">
        <v>75</v>
      </c>
      <c r="T387" s="1">
        <v>0</v>
      </c>
      <c r="U387" s="1">
        <f>Games[[#This Row],[PointsFor]]-Games[[#This Row],[PointsAgainst]]</f>
        <v>-9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0.37132311015647107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71.05</v>
      </c>
      <c r="Z387" s="4">
        <f>Games[[#This Row],[K]]*Games[[#This Row],[POMult]]</f>
        <v>71.05</v>
      </c>
      <c r="AA387" s="4">
        <f>(Games[[#This Row],[Keff]]*Games[[#This Row],[MOVMult]])*(Games[[#This Row],[Result]]-Games[[#This Row],[ExpectedWin%]])</f>
        <v>-10.936585338806923</v>
      </c>
      <c r="AB387" s="4">
        <f>Games[[#This Row],[PreGmRate]]+Games[[#This Row],[RatingChange]]</f>
        <v>1452.1324273973764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41172</v>
      </c>
      <c r="B388" s="2">
        <v>2012</v>
      </c>
      <c r="C388" s="2">
        <f>COUNTIFS(Games[Team],Games[[#This Row],[Team]],Games[Season],Games[[#This Row],[Season]],Games[Date],"&lt;=" &amp; Games[[#This Row],[Date]])</f>
        <v>32</v>
      </c>
      <c r="D388" s="2" t="s">
        <v>23</v>
      </c>
      <c r="E388" s="2" t="s">
        <v>29</v>
      </c>
      <c r="F388" s="1" t="s">
        <v>72</v>
      </c>
      <c r="G388" s="1" t="s">
        <v>68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1</v>
      </c>
      <c r="L388" s="2">
        <f>Games[[#This Row],[OppDaysOff]]-Games[[#This Row],[DaysOff]]</f>
        <v>-1</v>
      </c>
      <c r="M388" s="1">
        <f>MAX(-16, MIN(16, Games[[#This Row],[RestDiff]]*8))</f>
        <v>8</v>
      </c>
      <c r="N388" s="1">
        <f>MAX(-16, MIN(16, Games[[#This Row],[OppRestDiff]]*8))</f>
        <v>-8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1722.2360180874211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1599.3362830095739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0.57835600952969368</v>
      </c>
      <c r="R388" s="1">
        <v>76</v>
      </c>
      <c r="S388" s="1">
        <v>92</v>
      </c>
      <c r="T388" s="1">
        <v>0</v>
      </c>
      <c r="U388" s="1">
        <f>Games[[#This Row],[PointsFor]]-Games[[#This Row],[PointsAgainst]]</f>
        <v>-16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0.46968279020746101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71.2</v>
      </c>
      <c r="Z388" s="4">
        <f>Games[[#This Row],[K]]*Games[[#This Row],[POMult]]</f>
        <v>71.2</v>
      </c>
      <c r="AA388" s="4">
        <f>(Games[[#This Row],[Keff]]*Games[[#This Row],[MOVMult]])*(Games[[#This Row],[Result]]-Games[[#This Row],[ExpectedWin%]])</f>
        <v>-19.341043137388152</v>
      </c>
      <c r="AB388" s="4">
        <f>Games[[#This Row],[PreGmRate]]+Games[[#This Row],[RatingChange]]</f>
        <v>1702.894974950033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41172</v>
      </c>
      <c r="B389" s="2">
        <v>2012</v>
      </c>
      <c r="C389" s="2">
        <f>COUNTIFS(Games[Team],Games[[#This Row],[Team]],Games[Season],Games[[#This Row],[Season]],Games[Date],"&lt;=" &amp; Games[[#This Row],[Date]])</f>
        <v>34</v>
      </c>
      <c r="D389" s="2" t="s">
        <v>23</v>
      </c>
      <c r="E389" s="2" t="s">
        <v>29</v>
      </c>
      <c r="F389" s="1" t="s">
        <v>68</v>
      </c>
      <c r="G389" s="1" t="s">
        <v>72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9" s="2">
        <f>Games[[#This Row],[DaysOff]]-Games[[#This Row],[OppDaysOff]]</f>
        <v>-1</v>
      </c>
      <c r="L389" s="2">
        <f>Games[[#This Row],[OppDaysOff]]-Games[[#This Row],[DaysOff]]</f>
        <v>1</v>
      </c>
      <c r="M389" s="1">
        <f>MAX(-16, MIN(16, Games[[#This Row],[RestDiff]]*8))</f>
        <v>-8</v>
      </c>
      <c r="N389" s="1">
        <f>MAX(-16, MIN(16, Games[[#This Row],[OppRestDiff]]*8))</f>
        <v>8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1599.3362830095739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1722.2360180874211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0.42164399047030632</v>
      </c>
      <c r="R389" s="1">
        <v>92</v>
      </c>
      <c r="S389" s="1">
        <v>76</v>
      </c>
      <c r="T389" s="1">
        <v>0</v>
      </c>
      <c r="U389" s="1">
        <f>Games[[#This Row],[PointsFor]]-Games[[#This Row],[PointsAgainst]]</f>
        <v>16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0.46968279020746101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70.900000000000006</v>
      </c>
      <c r="Z389" s="4">
        <f>Games[[#This Row],[K]]*Games[[#This Row],[POMult]]</f>
        <v>70.900000000000006</v>
      </c>
      <c r="AA389" s="4">
        <f>(Games[[#This Row],[Keff]]*Games[[#This Row],[MOVMult]])*(Games[[#This Row],[Result]]-Games[[#This Row],[ExpectedWin%]])</f>
        <v>19.259549978101404</v>
      </c>
      <c r="AB389" s="4">
        <f>Games[[#This Row],[PreGmRate]]+Games[[#This Row],[RatingChange]]</f>
        <v>1618.5958329876753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41172</v>
      </c>
      <c r="B390" s="2">
        <v>2012</v>
      </c>
      <c r="C390" s="2">
        <f>COUNTIFS(Games[Team],Games[[#This Row],[Team]],Games[Season],Games[[#This Row],[Season]],Games[Date],"&lt;=" &amp; Games[[#This Row],[Date]])</f>
        <v>33</v>
      </c>
      <c r="D390" s="2" t="s">
        <v>23</v>
      </c>
      <c r="E390" s="2" t="s">
        <v>29</v>
      </c>
      <c r="F390" s="1" t="s">
        <v>65</v>
      </c>
      <c r="G390" s="1" t="s">
        <v>86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0" s="2">
        <f>Games[[#This Row],[DaysOff]]-Games[[#This Row],[OppDaysOff]]</f>
        <v>-2</v>
      </c>
      <c r="L390" s="2">
        <f>Games[[#This Row],[OppDaysOff]]-Games[[#This Row],[DaysOff]]</f>
        <v>2</v>
      </c>
      <c r="M390" s="1">
        <f>MAX(-16, MIN(16, Games[[#This Row],[RestDiff]]*8))</f>
        <v>-16</v>
      </c>
      <c r="N390" s="1">
        <f>MAX(-16, MIN(16, Games[[#This Row],[OppRestDiff]]*8))</f>
        <v>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1464.447977823475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1359.8166239408276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0.48364503976010131</v>
      </c>
      <c r="R390" s="1">
        <v>66</v>
      </c>
      <c r="S390" s="1">
        <v>78</v>
      </c>
      <c r="T390" s="1">
        <v>0</v>
      </c>
      <c r="U390" s="1">
        <f>Games[[#This Row],[PointsFor]]-Games[[#This Row],[PointsAgainst]]</f>
        <v>-12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0.4195478899559576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-14.416915783046067</v>
      </c>
      <c r="AB390" s="4">
        <f>Games[[#This Row],[PreGmRate]]+Games[[#This Row],[RatingChange]]</f>
        <v>1450.0310620404289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41172</v>
      </c>
      <c r="B391" s="2">
        <v>2012</v>
      </c>
      <c r="C391" s="2">
        <f>COUNTIFS(Games[Team],Games[[#This Row],[Team]],Games[Season],Games[[#This Row],[Season]],Games[Date],"&lt;=" &amp; Games[[#This Row],[Date]])</f>
        <v>32</v>
      </c>
      <c r="D391" s="2" t="s">
        <v>23</v>
      </c>
      <c r="E391" s="2" t="s">
        <v>29</v>
      </c>
      <c r="F391" s="1" t="s">
        <v>86</v>
      </c>
      <c r="G391" s="1" t="s">
        <v>65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2</v>
      </c>
      <c r="L391" s="2">
        <f>Games[[#This Row],[OppDaysOff]]-Games[[#This Row],[DaysOff]]</f>
        <v>-2</v>
      </c>
      <c r="M391" s="1">
        <f>MAX(-16, MIN(16, Games[[#This Row],[RestDiff]]*8))</f>
        <v>16</v>
      </c>
      <c r="N391" s="1">
        <f>MAX(-16, MIN(16, Games[[#This Row],[OppRestDiff]]*8))</f>
        <v>-16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1359.8166239408276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1464.447977823475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0.51635496023989869</v>
      </c>
      <c r="R391" s="1">
        <v>78</v>
      </c>
      <c r="S391" s="1">
        <v>66</v>
      </c>
      <c r="T391" s="1">
        <v>0</v>
      </c>
      <c r="U391" s="1">
        <f>Games[[#This Row],[PointsFor]]-Games[[#This Row],[PointsAgainst]]</f>
        <v>12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0.4195478899559576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71.2</v>
      </c>
      <c r="Z391" s="4">
        <f>Games[[#This Row],[K]]*Games[[#This Row],[POMult]]</f>
        <v>71.2</v>
      </c>
      <c r="AA391" s="4">
        <f>(Games[[#This Row],[Keff]]*Games[[#This Row],[MOVMult]])*(Games[[#This Row],[Result]]-Games[[#This Row],[ExpectedWin%]])</f>
        <v>14.44735262143392</v>
      </c>
      <c r="AB391" s="4">
        <f>Games[[#This Row],[PreGmRate]]+Games[[#This Row],[RatingChange]]</f>
        <v>1374.2639765622616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41173</v>
      </c>
      <c r="B392" s="2">
        <v>2012</v>
      </c>
      <c r="C392" s="2">
        <f>COUNTIFS(Games[Team],Games[[#This Row],[Team]],Games[Season],Games[[#This Row],[Season]],Games[Date],"&lt;=" &amp; Games[[#This Row],[Date]])</f>
        <v>33</v>
      </c>
      <c r="D392" s="2" t="s">
        <v>23</v>
      </c>
      <c r="E392" s="2" t="s">
        <v>29</v>
      </c>
      <c r="F392" s="1" t="s">
        <v>72</v>
      </c>
      <c r="G392" s="1" t="s">
        <v>44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2" s="2">
        <f>Games[[#This Row],[DaysOff]]-Games[[#This Row],[OppDaysOff]]</f>
        <v>-2</v>
      </c>
      <c r="L392" s="2">
        <f>Games[[#This Row],[OppDaysOff]]-Games[[#This Row],[DaysOff]]</f>
        <v>2</v>
      </c>
      <c r="M392" s="1">
        <f>MAX(-16, MIN(16, Games[[#This Row],[RestDiff]]*8))</f>
        <v>-16</v>
      </c>
      <c r="N392" s="1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1702.894974950033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1305.193951547395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0.83501586996122834</v>
      </c>
      <c r="R392" s="1">
        <v>89</v>
      </c>
      <c r="S392" s="1">
        <v>66</v>
      </c>
      <c r="T392" s="1">
        <v>0</v>
      </c>
      <c r="U392" s="1">
        <f>Games[[#This Row],[PointsFor]]-Games[[#This Row],[PointsAgainst]]</f>
        <v>23</v>
      </c>
      <c r="V392" s="1">
        <f>IF(Games[[#This Row],[MOV]]&gt;0,1,IF(Games[[#This Row],[MOV]]=0,0.5,0))</f>
        <v>1</v>
      </c>
      <c r="W392" s="4">
        <f>((ABS(Games[[#This Row],[MOV]])+5)^0.6)/(12+0.01*(ABS(Games[[#This Row],[PreGmRate]]-Games[[#This Row],[OppPreGmRate]])))*IF(Games[[#This Row],[OT]]=1,0.9,1)</f>
        <v>0.46216739693996922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5.4175828143619595</v>
      </c>
      <c r="AB392" s="4">
        <f>Games[[#This Row],[PreGmRate]]+Games[[#This Row],[RatingChange]]</f>
        <v>1708.312557764395</v>
      </c>
      <c r="AC392" s="2">
        <f>IF(Games[[#This Row],[Type]]="R",IF(Games[[#This Row],[Result]]&gt;0.5,1,0),0)</f>
        <v>1</v>
      </c>
      <c r="AD392" s="2">
        <f>IF(Games[[#This Row],[Type]]="R",IF(Games[[#This Row],[Result]]&lt;0.5,1,0),0)</f>
        <v>0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41173</v>
      </c>
      <c r="B393" s="2">
        <v>2012</v>
      </c>
      <c r="C393" s="2">
        <f>COUNTIFS(Games[Team],Games[[#This Row],[Team]],Games[Season],Games[[#This Row],[Season]],Games[Date],"&lt;=" &amp; Games[[#This Row],[Date]])</f>
        <v>33</v>
      </c>
      <c r="D393" s="2" t="s">
        <v>23</v>
      </c>
      <c r="E393" s="2" t="s">
        <v>29</v>
      </c>
      <c r="F393" s="1" t="s">
        <v>44</v>
      </c>
      <c r="G393" s="1" t="s">
        <v>72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3" s="2">
        <f>Games[[#This Row],[DaysOff]]-Games[[#This Row],[OppDaysOff]]</f>
        <v>2</v>
      </c>
      <c r="L393" s="2">
        <f>Games[[#This Row],[OppDaysOff]]-Games[[#This Row],[DaysOff]]</f>
        <v>-2</v>
      </c>
      <c r="M393" s="1">
        <f>MAX(-16, MIN(16, Games[[#This Row],[RestDiff]]*8))</f>
        <v>16</v>
      </c>
      <c r="N393" s="1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1305.193951547395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1702.894974950033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0.16498413003877163</v>
      </c>
      <c r="R393" s="1">
        <v>66</v>
      </c>
      <c r="S393" s="1">
        <v>89</v>
      </c>
      <c r="T393" s="1">
        <v>0</v>
      </c>
      <c r="U393" s="1">
        <f>Games[[#This Row],[PointsFor]]-Games[[#This Row],[PointsAgainst]]</f>
        <v>-23</v>
      </c>
      <c r="V393" s="1">
        <f>IF(Games[[#This Row],[MOV]]&gt;0,1,IF(Games[[#This Row],[MOV]]=0,0.5,0))</f>
        <v>0</v>
      </c>
      <c r="W393" s="4">
        <f>((ABS(Games[[#This Row],[MOV]])+5)^0.6)/(12+0.01*(ABS(Games[[#This Row],[PreGmRate]]-Games[[#This Row],[OppPreGmRate]])))*IF(Games[[#This Row],[OT]]=1,0.9,1)</f>
        <v>0.46216739693996922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-5.4175828143619587</v>
      </c>
      <c r="AB393" s="4">
        <f>Games[[#This Row],[PreGmRate]]+Games[[#This Row],[RatingChange]]</f>
        <v>1299.776368733033</v>
      </c>
      <c r="AC393" s="2">
        <f>IF(Games[[#This Row],[Type]]="R",IF(Games[[#This Row],[Result]]&gt;0.5,1,0),0)</f>
        <v>0</v>
      </c>
      <c r="AD393" s="2">
        <f>IF(Games[[#This Row],[Type]]="R",IF(Games[[#This Row],[Result]]&lt;0.5,1,0),0)</f>
        <v>1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41173</v>
      </c>
      <c r="B394" s="2">
        <v>2012</v>
      </c>
      <c r="C394" s="2">
        <f>COUNTIFS(Games[Team],Games[[#This Row],[Team]],Games[Season],Games[[#This Row],[Season]],Games[Date],"&lt;=" &amp; Games[[#This Row],[Date]])</f>
        <v>33</v>
      </c>
      <c r="D394" s="2" t="s">
        <v>23</v>
      </c>
      <c r="E394" s="2" t="s">
        <v>29</v>
      </c>
      <c r="F394" s="1" t="s">
        <v>79</v>
      </c>
      <c r="G394" s="1" t="s">
        <v>76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1568.559633153892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1473.2054012642468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0.51633423866517203</v>
      </c>
      <c r="R394" s="1">
        <v>75</v>
      </c>
      <c r="S394" s="1">
        <v>84</v>
      </c>
      <c r="T394" s="1">
        <v>0</v>
      </c>
      <c r="U394" s="1">
        <f>Games[[#This Row],[PointsFor]]-Games[[#This Row],[PointsAgainst]]</f>
        <v>-9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0.37608695797906988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-13.796956020177676</v>
      </c>
      <c r="AB394" s="4">
        <f>Games[[#This Row],[PreGmRate]]+Games[[#This Row],[RatingChange]]</f>
        <v>1554.7626771337143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41173</v>
      </c>
      <c r="B395" s="2">
        <v>2012</v>
      </c>
      <c r="C395" s="2">
        <f>COUNTIFS(Games[Team],Games[[#This Row],[Team]],Games[Season],Games[[#This Row],[Season]],Games[Date],"&lt;=" &amp; Games[[#This Row],[Date]])</f>
        <v>33</v>
      </c>
      <c r="D395" s="2" t="s">
        <v>23</v>
      </c>
      <c r="E395" s="2" t="s">
        <v>29</v>
      </c>
      <c r="F395" s="1" t="s">
        <v>76</v>
      </c>
      <c r="G395" s="1" t="s">
        <v>79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1473.2054012642468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1568.559633153892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0.48366576133482797</v>
      </c>
      <c r="R395" s="1">
        <v>84</v>
      </c>
      <c r="S395" s="1">
        <v>75</v>
      </c>
      <c r="T395" s="1">
        <v>0</v>
      </c>
      <c r="U395" s="1">
        <f>Games[[#This Row],[PointsFor]]-Games[[#This Row],[PointsAgainst]]</f>
        <v>9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0.37608695797906988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13.796956020177676</v>
      </c>
      <c r="AB395" s="4">
        <f>Games[[#This Row],[PreGmRate]]+Games[[#This Row],[RatingChange]]</f>
        <v>1487.0023572844245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41173</v>
      </c>
      <c r="B396" s="2">
        <v>2012</v>
      </c>
      <c r="C396" s="2">
        <f>COUNTIFS(Games[Team],Games[[#This Row],[Team]],Games[Season],Games[[#This Row],[Season]],Games[Date],"&lt;=" &amp; Games[[#This Row],[Date]])</f>
        <v>33</v>
      </c>
      <c r="D396" s="2" t="s">
        <v>23</v>
      </c>
      <c r="E396" s="2" t="s">
        <v>29</v>
      </c>
      <c r="F396" s="1" t="s">
        <v>74</v>
      </c>
      <c r="G396" s="1" t="s">
        <v>70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6" s="2">
        <f>Games[[#This Row],[DaysOff]]-Games[[#This Row],[OppDaysOff]]</f>
        <v>-3</v>
      </c>
      <c r="L396" s="2">
        <f>Games[[#This Row],[OppDaysOff]]-Games[[#This Row],[DaysOff]]</f>
        <v>3</v>
      </c>
      <c r="M396" s="1">
        <f>MAX(-16, MIN(16, Games[[#This Row],[RestDiff]]*8))</f>
        <v>-16</v>
      </c>
      <c r="N396" s="1">
        <f>MAX(-16, MIN(16, Games[[#This Row],[OppRestDiff]]*8))</f>
        <v>16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1592.2594210007296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1285.1003187906545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0.75033509247397168</v>
      </c>
      <c r="R396" s="1">
        <v>66</v>
      </c>
      <c r="S396" s="1">
        <v>53</v>
      </c>
      <c r="T396" s="1">
        <v>0</v>
      </c>
      <c r="U396" s="1">
        <f>Games[[#This Row],[PointsFor]]-Games[[#This Row],[PointsAgainst]]</f>
        <v>13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0.37584121407375226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6.6669314169875529</v>
      </c>
      <c r="AB396" s="4">
        <f>Games[[#This Row],[PreGmRate]]+Games[[#This Row],[RatingChange]]</f>
        <v>1598.9263524177172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41173</v>
      </c>
      <c r="B397" s="2">
        <v>2012</v>
      </c>
      <c r="C397" s="2">
        <f>COUNTIFS(Games[Team],Games[[#This Row],[Team]],Games[Season],Games[[#This Row],[Season]],Games[Date],"&lt;=" &amp; Games[[#This Row],[Date]])</f>
        <v>33</v>
      </c>
      <c r="D397" s="2" t="s">
        <v>23</v>
      </c>
      <c r="E397" s="2" t="s">
        <v>29</v>
      </c>
      <c r="F397" s="1" t="s">
        <v>70</v>
      </c>
      <c r="G397" s="1" t="s">
        <v>74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3</v>
      </c>
      <c r="L397" s="2">
        <f>Games[[#This Row],[OppDaysOff]]-Games[[#This Row],[DaysOff]]</f>
        <v>-3</v>
      </c>
      <c r="M397" s="1">
        <f>MAX(-16, MIN(16, Games[[#This Row],[RestDiff]]*8))</f>
        <v>16</v>
      </c>
      <c r="N397" s="1">
        <f>MAX(-16, MIN(16, Games[[#This Row],[OppRestDiff]]*8))</f>
        <v>-16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1285.1003187906545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1592.2594210007296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0.24966490752602832</v>
      </c>
      <c r="R397" s="1">
        <v>53</v>
      </c>
      <c r="S397" s="1">
        <v>66</v>
      </c>
      <c r="T397" s="1">
        <v>0</v>
      </c>
      <c r="U397" s="1">
        <f>Games[[#This Row],[PointsFor]]-Games[[#This Row],[PointsAgainst]]</f>
        <v>-13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0.37584121407375226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-6.6669314169875529</v>
      </c>
      <c r="AB397" s="4">
        <f>Games[[#This Row],[PreGmRate]]+Games[[#This Row],[RatingChange]]</f>
        <v>1278.4333873736668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41174</v>
      </c>
      <c r="B398" s="2">
        <v>2012</v>
      </c>
      <c r="C398" s="2">
        <f>COUNTIFS(Games[Team],Games[[#This Row],[Team]],Games[Season],Games[[#This Row],[Season]],Games[Date],"&lt;=" &amp; Games[[#This Row],[Date]])</f>
        <v>34</v>
      </c>
      <c r="D398" s="2" t="s">
        <v>23</v>
      </c>
      <c r="E398" s="2" t="s">
        <v>29</v>
      </c>
      <c r="F398" s="1" t="s">
        <v>70</v>
      </c>
      <c r="G398" s="1" t="s">
        <v>82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-1</v>
      </c>
      <c r="L398" s="2">
        <f>Games[[#This Row],[OppDaysOff]]-Games[[#This Row],[DaysOff]]</f>
        <v>1</v>
      </c>
      <c r="M398" s="1">
        <f>MAX(-16, MIN(16, Games[[#This Row],[RestDiff]]*8))</f>
        <v>-8</v>
      </c>
      <c r="N398" s="1">
        <f>MAX(-16, MIN(16, Games[[#This Row],[OppRestDiff]]*8))</f>
        <v>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1278.4333873736668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1452.1324273973764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0.17142829259481415</v>
      </c>
      <c r="R398" s="1">
        <v>58</v>
      </c>
      <c r="S398" s="1">
        <v>77</v>
      </c>
      <c r="T398" s="1">
        <v>0</v>
      </c>
      <c r="U398" s="1">
        <f>Games[[#This Row],[PointsFor]]-Games[[#This Row],[PointsAgainst]]</f>
        <v>-19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0.49004408364156749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-5.9561261173398732</v>
      </c>
      <c r="AB398" s="4">
        <f>Games[[#This Row],[PreGmRate]]+Games[[#This Row],[RatingChange]]</f>
        <v>1272.477261256327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41174</v>
      </c>
      <c r="B399" s="2">
        <v>2012</v>
      </c>
      <c r="C399" s="2">
        <f>COUNTIFS(Games[Team],Games[[#This Row],[Team]],Games[Season],Games[[#This Row],[Season]],Games[Date],"&lt;=" &amp; Games[[#This Row],[Date]])</f>
        <v>34</v>
      </c>
      <c r="D399" s="2" t="s">
        <v>23</v>
      </c>
      <c r="E399" s="2" t="s">
        <v>29</v>
      </c>
      <c r="F399" s="1" t="s">
        <v>82</v>
      </c>
      <c r="G399" s="1" t="s">
        <v>70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9" s="2">
        <f>Games[[#This Row],[DaysOff]]-Games[[#This Row],[OppDaysOff]]</f>
        <v>1</v>
      </c>
      <c r="L399" s="2">
        <f>Games[[#This Row],[OppDaysOff]]-Games[[#This Row],[DaysOff]]</f>
        <v>-1</v>
      </c>
      <c r="M399" s="1">
        <f>MAX(-16, MIN(16, Games[[#This Row],[RestDiff]]*8))</f>
        <v>8</v>
      </c>
      <c r="N399" s="1">
        <f>MAX(-16, MIN(16, Games[[#This Row],[OppRestDiff]]*8))</f>
        <v>-8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1452.1324273973764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1278.4333873736668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0.82857170740518582</v>
      </c>
      <c r="R399" s="1">
        <v>77</v>
      </c>
      <c r="S399" s="1">
        <v>58</v>
      </c>
      <c r="T399" s="1">
        <v>0</v>
      </c>
      <c r="U399" s="1">
        <f>Games[[#This Row],[PointsFor]]-Games[[#This Row],[PointsAgainst]]</f>
        <v>19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0.49004408364156749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5.956126117339875</v>
      </c>
      <c r="AB399" s="4">
        <f>Games[[#This Row],[PreGmRate]]+Games[[#This Row],[RatingChange]]</f>
        <v>1458.0885535147163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41174</v>
      </c>
      <c r="B400" s="2">
        <v>2012</v>
      </c>
      <c r="C400" s="2">
        <f>COUNTIFS(Games[Team],Games[[#This Row],[Team]],Games[Season],Games[[#This Row],[Season]],Games[Date],"&lt;=" &amp; Games[[#This Row],[Date]])</f>
        <v>33</v>
      </c>
      <c r="D400" s="2" t="s">
        <v>23</v>
      </c>
      <c r="E400" s="2" t="s">
        <v>29</v>
      </c>
      <c r="F400" s="1" t="s">
        <v>86</v>
      </c>
      <c r="G400" s="1" t="s">
        <v>65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1374.2639765622616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1450.0310620404289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0.28502039607334029</v>
      </c>
      <c r="R400" s="1">
        <v>74</v>
      </c>
      <c r="S400" s="1">
        <v>91</v>
      </c>
      <c r="T400" s="1">
        <v>0</v>
      </c>
      <c r="U400" s="1">
        <f>Games[[#This Row],[PointsFor]]-Games[[#This Row],[PointsAgainst]]</f>
        <v>-17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0.50082063581293979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71.05</v>
      </c>
      <c r="Z400" s="4">
        <f>Games[[#This Row],[K]]*Games[[#This Row],[POMult]]</f>
        <v>71.05</v>
      </c>
      <c r="AA400" s="4">
        <f>(Games[[#This Row],[Keff]]*Games[[#This Row],[MOVMult]])*(Games[[#This Row],[Result]]-Games[[#This Row],[ExpectedWin%]])</f>
        <v>-10.141968019457595</v>
      </c>
      <c r="AB400" s="4">
        <f>Games[[#This Row],[PreGmRate]]+Games[[#This Row],[RatingChange]]</f>
        <v>1364.122008542804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41174</v>
      </c>
      <c r="B401" s="2">
        <v>2012</v>
      </c>
      <c r="C401" s="2">
        <f>COUNTIFS(Games[Team],Games[[#This Row],[Team]],Games[Season],Games[[#This Row],[Season]],Games[Date],"&lt;=" &amp; Games[[#This Row],[Date]])</f>
        <v>34</v>
      </c>
      <c r="D401" s="2" t="s">
        <v>23</v>
      </c>
      <c r="E401" s="2" t="s">
        <v>29</v>
      </c>
      <c r="F401" s="1" t="s">
        <v>65</v>
      </c>
      <c r="G401" s="1" t="s">
        <v>86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1450.0310620404289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1374.2639765622616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0.71497960392665971</v>
      </c>
      <c r="R401" s="1">
        <v>91</v>
      </c>
      <c r="S401" s="1">
        <v>74</v>
      </c>
      <c r="T401" s="1">
        <v>0</v>
      </c>
      <c r="U401" s="1">
        <f>Games[[#This Row],[PointsFor]]-Games[[#This Row],[PointsAgainst]]</f>
        <v>17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0.50082063581293979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10.12055640506043</v>
      </c>
      <c r="AB401" s="4">
        <f>Games[[#This Row],[PreGmRate]]+Games[[#This Row],[RatingChange]]</f>
        <v>1460.1516184454892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41175</v>
      </c>
      <c r="B402" s="2">
        <v>2012</v>
      </c>
      <c r="C402" s="2">
        <f>COUNTIFS(Games[Team],Games[[#This Row],[Team]],Games[Season],Games[[#This Row],[Season]],Games[Date],"&lt;=" &amp; Games[[#This Row],[Date]])</f>
        <v>34</v>
      </c>
      <c r="D402" s="2" t="s">
        <v>23</v>
      </c>
      <c r="E402" s="2" t="s">
        <v>29</v>
      </c>
      <c r="F402" s="1" t="s">
        <v>84</v>
      </c>
      <c r="G402" s="1" t="s">
        <v>81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2" s="2">
        <f>Games[[#This Row],[DaysOff]]-Games[[#This Row],[OppDaysOff]]</f>
        <v>-1</v>
      </c>
      <c r="L402" s="2">
        <f>Games[[#This Row],[OppDaysOff]]-Games[[#This Row],[DaysOff]]</f>
        <v>1</v>
      </c>
      <c r="M402" s="1">
        <f>MAX(-16, MIN(16, Games[[#This Row],[RestDiff]]*8))</f>
        <v>-8</v>
      </c>
      <c r="N402" s="1">
        <f>MAX(-16, MIN(16, Games[[#This Row],[OppRestDiff]]*8))</f>
        <v>8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1585.9784304995749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1600.8941158108669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0.3404009731298796</v>
      </c>
      <c r="R402" s="1">
        <v>72</v>
      </c>
      <c r="S402" s="1">
        <v>92</v>
      </c>
      <c r="T402" s="1">
        <v>0</v>
      </c>
      <c r="U402" s="1">
        <f>Games[[#This Row],[PointsFor]]-Games[[#This Row],[PointsAgainst]]</f>
        <v>-20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0.5678293885504051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-13.704238059192042</v>
      </c>
      <c r="AB402" s="4">
        <f>Games[[#This Row],[PreGmRate]]+Games[[#This Row],[RatingChange]]</f>
        <v>1572.2741924403829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41175</v>
      </c>
      <c r="B403" s="2">
        <v>2012</v>
      </c>
      <c r="C403" s="2">
        <f>COUNTIFS(Games[Team],Games[[#This Row],[Team]],Games[Season],Games[[#This Row],[Season]],Games[Date],"&lt;=" &amp; Games[[#This Row],[Date]])</f>
        <v>34</v>
      </c>
      <c r="D403" s="2" t="s">
        <v>23</v>
      </c>
      <c r="E403" s="2" t="s">
        <v>29</v>
      </c>
      <c r="F403" s="1" t="s">
        <v>81</v>
      </c>
      <c r="G403" s="1" t="s">
        <v>84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3" s="2">
        <f>Games[[#This Row],[DaysOff]]-Games[[#This Row],[OppDaysOff]]</f>
        <v>1</v>
      </c>
      <c r="L403" s="2">
        <f>Games[[#This Row],[OppDaysOff]]-Games[[#This Row],[DaysOff]]</f>
        <v>-1</v>
      </c>
      <c r="M403" s="1">
        <f>MAX(-16, MIN(16, Games[[#This Row],[RestDiff]]*8))</f>
        <v>8</v>
      </c>
      <c r="N403" s="1">
        <f>MAX(-16, MIN(16, Games[[#This Row],[OppRestDiff]]*8))</f>
        <v>-8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1600.8941158108669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1585.9784304995749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0.6595990268701204</v>
      </c>
      <c r="R403" s="1">
        <v>92</v>
      </c>
      <c r="S403" s="1">
        <v>72</v>
      </c>
      <c r="T403" s="1">
        <v>0</v>
      </c>
      <c r="U403" s="1">
        <f>Games[[#This Row],[PointsFor]]-Games[[#This Row],[PointsAgainst]]</f>
        <v>20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0.5678293885504051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13.704238059192042</v>
      </c>
      <c r="AB403" s="4">
        <f>Games[[#This Row],[PreGmRate]]+Games[[#This Row],[RatingChange]]</f>
        <v>1614.5983538700589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41175</v>
      </c>
      <c r="B404" s="2">
        <v>2012</v>
      </c>
      <c r="C404" s="2">
        <f>COUNTIFS(Games[Team],Games[[#This Row],[Team]],Games[Season],Games[[#This Row],[Season]],Games[Date],"&lt;=" &amp; Games[[#This Row],[Date]])</f>
        <v>34</v>
      </c>
      <c r="D404" s="2" t="s">
        <v>23</v>
      </c>
      <c r="E404" s="2" t="s">
        <v>29</v>
      </c>
      <c r="F404" s="1" t="s">
        <v>86</v>
      </c>
      <c r="G404" s="1" t="s">
        <v>74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-1</v>
      </c>
      <c r="L404" s="2">
        <f>Games[[#This Row],[OppDaysOff]]-Games[[#This Row],[DaysOff]]</f>
        <v>1</v>
      </c>
      <c r="M404" s="1">
        <f>MAX(-16, MIN(16, Games[[#This Row],[RestDiff]]*8))</f>
        <v>-8</v>
      </c>
      <c r="N404" s="1">
        <f>MAX(-16, MIN(16, Games[[#This Row],[OppRestDiff]]*8))</f>
        <v>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1364.122008542804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1598.9263524177172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0.12705098070703122</v>
      </c>
      <c r="R404" s="1">
        <v>58</v>
      </c>
      <c r="S404" s="1">
        <v>91</v>
      </c>
      <c r="T404" s="1">
        <v>0</v>
      </c>
      <c r="U404" s="1">
        <f>Games[[#This Row],[PointsFor]]-Games[[#This Row],[PointsAgainst]]</f>
        <v>-33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0.61812665983045367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-5.5680321217828022</v>
      </c>
      <c r="AB404" s="4">
        <f>Games[[#This Row],[PreGmRate]]+Games[[#This Row],[RatingChange]]</f>
        <v>1358.5539764210212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41175</v>
      </c>
      <c r="B405" s="2">
        <v>2012</v>
      </c>
      <c r="C405" s="2">
        <f>COUNTIFS(Games[Team],Games[[#This Row],[Team]],Games[Season],Games[[#This Row],[Season]],Games[Date],"&lt;=" &amp; Games[[#This Row],[Date]])</f>
        <v>34</v>
      </c>
      <c r="D405" s="2" t="s">
        <v>23</v>
      </c>
      <c r="E405" s="2" t="s">
        <v>29</v>
      </c>
      <c r="F405" s="1" t="s">
        <v>74</v>
      </c>
      <c r="G405" s="1" t="s">
        <v>86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5" s="2">
        <f>Games[[#This Row],[DaysOff]]-Games[[#This Row],[OppDaysOff]]</f>
        <v>1</v>
      </c>
      <c r="L405" s="2">
        <f>Games[[#This Row],[OppDaysOff]]-Games[[#This Row],[DaysOff]]</f>
        <v>-1</v>
      </c>
      <c r="M405" s="1">
        <f>MAX(-16, MIN(16, Games[[#This Row],[RestDiff]]*8))</f>
        <v>8</v>
      </c>
      <c r="N405" s="1">
        <f>MAX(-16, MIN(16, Games[[#This Row],[OppRestDiff]]*8))</f>
        <v>-8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1598.9263524177172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1364.122008542804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0.87294901929296875</v>
      </c>
      <c r="R405" s="1">
        <v>91</v>
      </c>
      <c r="S405" s="1">
        <v>58</v>
      </c>
      <c r="T405" s="1">
        <v>0</v>
      </c>
      <c r="U405" s="1">
        <f>Games[[#This Row],[PointsFor]]-Games[[#This Row],[PointsAgainst]]</f>
        <v>33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0.61812665983045367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5.5680321217828039</v>
      </c>
      <c r="AB405" s="4">
        <f>Games[[#This Row],[PreGmRate]]+Games[[#This Row],[RatingChange]]</f>
        <v>1604.4943845395001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41175</v>
      </c>
      <c r="B406" s="2">
        <v>2012</v>
      </c>
      <c r="C406" s="2">
        <f>COUNTIFS(Games[Team],Games[[#This Row],[Team]],Games[Season],Games[[#This Row],[Season]],Games[Date],"&lt;=" &amp; Games[[#This Row],[Date]])</f>
        <v>34</v>
      </c>
      <c r="D406" s="2" t="s">
        <v>23</v>
      </c>
      <c r="E406" s="2" t="s">
        <v>29</v>
      </c>
      <c r="F406" s="1" t="s">
        <v>76</v>
      </c>
      <c r="G406" s="1" t="s">
        <v>44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1487.0023572844245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1299.776368733033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0.64433203354091784</v>
      </c>
      <c r="R406" s="1">
        <v>71</v>
      </c>
      <c r="S406" s="1">
        <v>57</v>
      </c>
      <c r="T406" s="1">
        <v>0</v>
      </c>
      <c r="U406" s="1">
        <f>Games[[#This Row],[PointsFor]]-Games[[#This Row],[PointsAgainst]]</f>
        <v>14</v>
      </c>
      <c r="V406" s="1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0.42179841573754123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10.636431100975297</v>
      </c>
      <c r="AB406" s="4">
        <f>Games[[#This Row],[PreGmRate]]+Games[[#This Row],[RatingChange]]</f>
        <v>1497.6387883853997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41175</v>
      </c>
      <c r="B407" s="2">
        <v>2012</v>
      </c>
      <c r="C407" s="2">
        <f>COUNTIFS(Games[Team],Games[[#This Row],[Team]],Games[Season],Games[[#This Row],[Season]],Games[Date],"&lt;=" &amp; Games[[#This Row],[Date]])</f>
        <v>34</v>
      </c>
      <c r="D407" s="2" t="s">
        <v>23</v>
      </c>
      <c r="E407" s="2" t="s">
        <v>29</v>
      </c>
      <c r="F407" s="1" t="s">
        <v>44</v>
      </c>
      <c r="G407" s="1" t="s">
        <v>76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1299.776368733033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1487.0023572844245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0.35566796645908222</v>
      </c>
      <c r="R407" s="1">
        <v>57</v>
      </c>
      <c r="S407" s="1">
        <v>71</v>
      </c>
      <c r="T407" s="1">
        <v>0</v>
      </c>
      <c r="U407" s="1">
        <f>Games[[#This Row],[PointsFor]]-Games[[#This Row],[PointsAgainst]]</f>
        <v>-14</v>
      </c>
      <c r="V407" s="1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0.42179841573754123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-10.636431100975299</v>
      </c>
      <c r="AB407" s="4">
        <f>Games[[#This Row],[PreGmRate]]+Games[[#This Row],[RatingChange]]</f>
        <v>1289.1399376320578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41175</v>
      </c>
      <c r="B408" s="2">
        <v>2012</v>
      </c>
      <c r="C408" s="2">
        <f>COUNTIFS(Games[Team],Games[[#This Row],[Team]],Games[Season],Games[[#This Row],[Season]],Games[Date],"&lt;=" &amp; Games[[#This Row],[Date]])</f>
        <v>34</v>
      </c>
      <c r="D408" s="2" t="s">
        <v>23</v>
      </c>
      <c r="E408" s="2" t="s">
        <v>29</v>
      </c>
      <c r="F408" s="1" t="s">
        <v>72</v>
      </c>
      <c r="G408" s="1" t="s">
        <v>79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1708.312557764395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1554.7626771337143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0.59877446223873876</v>
      </c>
      <c r="R408" s="1">
        <v>84</v>
      </c>
      <c r="S408" s="1">
        <v>99</v>
      </c>
      <c r="T408" s="1">
        <v>0</v>
      </c>
      <c r="U408" s="1">
        <f>Games[[#This Row],[PointsFor]]-Games[[#This Row],[PointsAgainst]]</f>
        <v>-15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0.44580376555709672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-18.925756017968787</v>
      </c>
      <c r="AB408" s="4">
        <f>Games[[#This Row],[PreGmRate]]+Games[[#This Row],[RatingChange]]</f>
        <v>1689.3868017464263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41175</v>
      </c>
      <c r="B409" s="2">
        <v>2012</v>
      </c>
      <c r="C409" s="2">
        <f>COUNTIFS(Games[Team],Games[[#This Row],[Team]],Games[Season],Games[[#This Row],[Season]],Games[Date],"&lt;=" &amp; Games[[#This Row],[Date]])</f>
        <v>34</v>
      </c>
      <c r="D409" s="2" t="s">
        <v>23</v>
      </c>
      <c r="E409" s="2" t="s">
        <v>29</v>
      </c>
      <c r="F409" s="1" t="s">
        <v>79</v>
      </c>
      <c r="G409" s="1" t="s">
        <v>72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1554.7626771337143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1708.312557764395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0.40122553776126124</v>
      </c>
      <c r="R409" s="1">
        <v>99</v>
      </c>
      <c r="S409" s="1">
        <v>84</v>
      </c>
      <c r="T409" s="1">
        <v>0</v>
      </c>
      <c r="U409" s="1">
        <f>Games[[#This Row],[PointsFor]]-Games[[#This Row],[PointsAgainst]]</f>
        <v>15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0.44580376555709672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18.925756017968787</v>
      </c>
      <c r="AB409" s="4">
        <f>Games[[#This Row],[PreGmRate]]+Games[[#This Row],[RatingChange]]</f>
        <v>1573.6884331516831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41179</v>
      </c>
      <c r="B410" s="2">
        <v>2012</v>
      </c>
      <c r="C410" s="2">
        <f>COUNTIFS(Games[Team],Games[[#This Row],[Team]],Games[Season],Games[[#This Row],[Season]],Games[Date],"&lt;=" &amp; Games[[#This Row],[Date]])</f>
        <v>35</v>
      </c>
      <c r="D410" s="2" t="s">
        <v>46</v>
      </c>
      <c r="E410" s="2">
        <v>1</v>
      </c>
      <c r="F410" s="1" t="s">
        <v>65</v>
      </c>
      <c r="G410" s="1" t="s">
        <v>81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0" s="2">
        <f>Games[[#This Row],[DaysOff]]-Games[[#This Row],[OppDaysOff]]</f>
        <v>1</v>
      </c>
      <c r="L410" s="2">
        <f>Games[[#This Row],[OppDaysOff]]-Games[[#This Row],[DaysOff]]</f>
        <v>-1</v>
      </c>
      <c r="M410" s="1">
        <f>MAX(-16, MIN(16, Games[[#This Row],[RestDiff]]*8))</f>
        <v>8</v>
      </c>
      <c r="N410" s="1">
        <f>MAX(-16, MIN(16, Games[[#This Row],[OppRestDiff]]*8))</f>
        <v>-8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1460.1516184454892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1614.5983538700589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0.2174640452190674</v>
      </c>
      <c r="R410" s="1">
        <v>60</v>
      </c>
      <c r="S410" s="1">
        <v>65</v>
      </c>
      <c r="T410" s="1">
        <v>0</v>
      </c>
      <c r="U410" s="1">
        <f>Games[[#This Row],[PointsFor]]-Games[[#This Row],[PointsAgainst]]</f>
        <v>-5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0.29392604385340054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0" s="9">
        <f>MAX(kmin, kmax - 0.15 * MIN(Games[[#This Row],[GamesPlayed]], 82))</f>
        <v>70.75</v>
      </c>
      <c r="Z410" s="4">
        <f>Games[[#This Row],[K]]*Games[[#This Row],[POMult]]</f>
        <v>77.825000000000003</v>
      </c>
      <c r="AA410" s="4">
        <f>(Games[[#This Row],[Keff]]*Games[[#This Row],[MOVMult]])*(Games[[#This Row],[Result]]-Games[[#This Row],[ExpectedWin%]])</f>
        <v>-4.9744453157085742</v>
      </c>
      <c r="AB410" s="4">
        <f>Games[[#This Row],[PreGmRate]]+Games[[#This Row],[RatingChange]]</f>
        <v>1455.1771731297806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1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41179</v>
      </c>
      <c r="B411" s="2">
        <v>2012</v>
      </c>
      <c r="C411" s="2">
        <f>COUNTIFS(Games[Team],Games[[#This Row],[Team]],Games[Season],Games[[#This Row],[Season]],Games[Date],"&lt;=" &amp; Games[[#This Row],[Date]])</f>
        <v>35</v>
      </c>
      <c r="D411" s="2" t="s">
        <v>46</v>
      </c>
      <c r="E411" s="2">
        <v>1</v>
      </c>
      <c r="F411" s="1" t="s">
        <v>81</v>
      </c>
      <c r="G411" s="1" t="s">
        <v>65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1" s="2">
        <f>Games[[#This Row],[DaysOff]]-Games[[#This Row],[OppDaysOff]]</f>
        <v>-1</v>
      </c>
      <c r="L411" s="2">
        <f>Games[[#This Row],[OppDaysOff]]-Games[[#This Row],[DaysOff]]</f>
        <v>1</v>
      </c>
      <c r="M411" s="1">
        <f>MAX(-16, MIN(16, Games[[#This Row],[RestDiff]]*8))</f>
        <v>-8</v>
      </c>
      <c r="N411" s="1">
        <f>MAX(-16, MIN(16, Games[[#This Row],[OppRestDiff]]*8))</f>
        <v>8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1614.5983538700589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1460.1516184454892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0.78253595478093263</v>
      </c>
      <c r="R411" s="1">
        <v>65</v>
      </c>
      <c r="S411" s="1">
        <v>60</v>
      </c>
      <c r="T411" s="1">
        <v>0</v>
      </c>
      <c r="U411" s="1">
        <f>Games[[#This Row],[PointsFor]]-Games[[#This Row],[PointsAgainst]]</f>
        <v>5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0.29392604385340054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1" s="9">
        <f>MAX(kmin, kmax - 0.15 * MIN(Games[[#This Row],[GamesPlayed]], 82))</f>
        <v>70.75</v>
      </c>
      <c r="Z411" s="4">
        <f>Games[[#This Row],[K]]*Games[[#This Row],[POMult]]</f>
        <v>77.825000000000003</v>
      </c>
      <c r="AA411" s="4">
        <f>(Games[[#This Row],[Keff]]*Games[[#This Row],[MOVMult]])*(Games[[#This Row],[Result]]-Games[[#This Row],[ExpectedWin%]])</f>
        <v>4.9744453157085742</v>
      </c>
      <c r="AB411" s="4">
        <f>Games[[#This Row],[PreGmRate]]+Games[[#This Row],[RatingChange]]</f>
        <v>1619.5727991857675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1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41179</v>
      </c>
      <c r="B412" s="2">
        <v>2012</v>
      </c>
      <c r="C412" s="2">
        <f>COUNTIFS(Games[Team],Games[[#This Row],[Team]],Games[Season],Games[[#This Row],[Season]],Games[Date],"&lt;=" &amp; Games[[#This Row],[Date]])</f>
        <v>35</v>
      </c>
      <c r="D412" s="2" t="s">
        <v>46</v>
      </c>
      <c r="E412" s="2">
        <v>1</v>
      </c>
      <c r="F412" s="1" t="s">
        <v>79</v>
      </c>
      <c r="G412" s="1" t="s">
        <v>68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2" s="2">
        <f>Games[[#This Row],[DaysOff]]-Games[[#This Row],[OppDaysOff]]</f>
        <v>-3</v>
      </c>
      <c r="L412" s="2">
        <f>Games[[#This Row],[OppDaysOff]]-Games[[#This Row],[DaysOff]]</f>
        <v>3</v>
      </c>
      <c r="M412" s="1">
        <f>MAX(-16, MIN(16, Games[[#This Row],[RestDiff]]*8))</f>
        <v>-16</v>
      </c>
      <c r="N412" s="1">
        <f>MAX(-16, MIN(16, Games[[#This Row],[OppRestDiff]]*8))</f>
        <v>16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1573.6884331516831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1618.5958329876753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0.28368461312226345</v>
      </c>
      <c r="R412" s="1">
        <v>86</v>
      </c>
      <c r="S412" s="1">
        <v>93</v>
      </c>
      <c r="T412" s="1">
        <v>0</v>
      </c>
      <c r="U412" s="1">
        <f>Games[[#This Row],[PointsFor]]-Games[[#This Row],[PointsAgainst]]</f>
        <v>-7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0.35675633950211461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2" s="9">
        <f>MAX(kmin, kmax - 0.15 * MIN(Games[[#This Row],[GamesPlayed]], 82))</f>
        <v>70.75</v>
      </c>
      <c r="Z412" s="4">
        <f>Games[[#This Row],[K]]*Games[[#This Row],[POMult]]</f>
        <v>77.825000000000003</v>
      </c>
      <c r="AA412" s="4">
        <f>(Games[[#This Row],[Keff]]*Games[[#This Row],[MOVMult]])*(Games[[#This Row],[Result]]-Games[[#This Row],[ExpectedWin%]])</f>
        <v>-7.8763790640182867</v>
      </c>
      <c r="AB412" s="4">
        <f>Games[[#This Row],[PreGmRate]]+Games[[#This Row],[RatingChange]]</f>
        <v>1565.8120540876648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1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41179</v>
      </c>
      <c r="B413" s="2">
        <v>2012</v>
      </c>
      <c r="C413" s="2">
        <f>COUNTIFS(Games[Team],Games[[#This Row],[Team]],Games[Season],Games[[#This Row],[Season]],Games[Date],"&lt;=" &amp; Games[[#This Row],[Date]])</f>
        <v>35</v>
      </c>
      <c r="D413" s="2" t="s">
        <v>46</v>
      </c>
      <c r="E413" s="2">
        <v>1</v>
      </c>
      <c r="F413" s="1" t="s">
        <v>68</v>
      </c>
      <c r="G413" s="1" t="s">
        <v>79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3" s="2">
        <f>Games[[#This Row],[DaysOff]]-Games[[#This Row],[OppDaysOff]]</f>
        <v>3</v>
      </c>
      <c r="L413" s="2">
        <f>Games[[#This Row],[OppDaysOff]]-Games[[#This Row],[DaysOff]]</f>
        <v>-3</v>
      </c>
      <c r="M413" s="1">
        <f>MAX(-16, MIN(16, Games[[#This Row],[RestDiff]]*8))</f>
        <v>16</v>
      </c>
      <c r="N413" s="1">
        <f>MAX(-16, MIN(16, Games[[#This Row],[OppRestDiff]]*8))</f>
        <v>-16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1618.5958329876753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1573.6884331516831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0.71631538687773666</v>
      </c>
      <c r="R413" s="1">
        <v>93</v>
      </c>
      <c r="S413" s="1">
        <v>86</v>
      </c>
      <c r="T413" s="1">
        <v>0</v>
      </c>
      <c r="U413" s="1">
        <f>Games[[#This Row],[PointsFor]]-Games[[#This Row],[PointsAgainst]]</f>
        <v>7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0.35675633950211461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3" s="9">
        <f>MAX(kmin, kmax - 0.15 * MIN(Games[[#This Row],[GamesPlayed]], 82))</f>
        <v>70.75</v>
      </c>
      <c r="Z413" s="4">
        <f>Games[[#This Row],[K]]*Games[[#This Row],[POMult]]</f>
        <v>77.825000000000003</v>
      </c>
      <c r="AA413" s="4">
        <f>(Games[[#This Row],[Keff]]*Games[[#This Row],[MOVMult]])*(Games[[#This Row],[Result]]-Games[[#This Row],[ExpectedWin%]])</f>
        <v>7.8763790640182831</v>
      </c>
      <c r="AB413" s="4">
        <f>Games[[#This Row],[PreGmRate]]+Games[[#This Row],[RatingChange]]</f>
        <v>1626.4722120516935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1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41180</v>
      </c>
      <c r="B414" s="2">
        <v>2012</v>
      </c>
      <c r="C414" s="2">
        <f>COUNTIFS(Games[Team],Games[[#This Row],[Team]],Games[Season],Games[[#This Row],[Season]],Games[Date],"&lt;=" &amp; Games[[#This Row],[Date]])</f>
        <v>35</v>
      </c>
      <c r="D414" s="2" t="s">
        <v>46</v>
      </c>
      <c r="E414" s="2">
        <v>1</v>
      </c>
      <c r="F414" s="1" t="s">
        <v>84</v>
      </c>
      <c r="G414" s="1" t="s">
        <v>74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1572.2741924403829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1604.4943845395001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0.33871694005058456</v>
      </c>
      <c r="R414" s="1">
        <v>75</v>
      </c>
      <c r="S414" s="1">
        <v>66</v>
      </c>
      <c r="T414" s="1">
        <v>0</v>
      </c>
      <c r="U414" s="1">
        <f>Games[[#This Row],[PointsFor]]-Games[[#This Row],[PointsAgainst]]</f>
        <v>9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0.39535615119793854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70.75</v>
      </c>
      <c r="Z414" s="4">
        <f>Games[[#This Row],[K]]*Games[[#This Row],[POMult]]</f>
        <v>77.825000000000003</v>
      </c>
      <c r="AA414" s="4">
        <f>(Games[[#This Row],[Keff]]*Games[[#This Row],[MOVMult]])*(Games[[#This Row],[Result]]-Games[[#This Row],[ExpectedWin%]])</f>
        <v>20.346748976900784</v>
      </c>
      <c r="AB414" s="4">
        <f>Games[[#This Row],[PreGmRate]]+Games[[#This Row],[RatingChange]]</f>
        <v>1592.6209414172836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1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41180</v>
      </c>
      <c r="B415" s="2">
        <v>2012</v>
      </c>
      <c r="C415" s="2">
        <f>COUNTIFS(Games[Team],Games[[#This Row],[Team]],Games[Season],Games[[#This Row],[Season]],Games[Date],"&lt;=" &amp; Games[[#This Row],[Date]])</f>
        <v>35</v>
      </c>
      <c r="D415" s="2" t="s">
        <v>46</v>
      </c>
      <c r="E415" s="2">
        <v>1</v>
      </c>
      <c r="F415" s="1" t="s">
        <v>74</v>
      </c>
      <c r="G415" s="1" t="s">
        <v>84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1604.4943845395001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1572.2741924403829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0.66128305994941539</v>
      </c>
      <c r="R415" s="1">
        <v>66</v>
      </c>
      <c r="S415" s="1">
        <v>75</v>
      </c>
      <c r="T415" s="1">
        <v>0</v>
      </c>
      <c r="U415" s="1">
        <f>Games[[#This Row],[PointsFor]]-Games[[#This Row],[PointsAgainst]]</f>
        <v>-9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0.39535615119793854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-20.346748976900781</v>
      </c>
      <c r="AB415" s="4">
        <f>Games[[#This Row],[PreGmRate]]+Games[[#This Row],[RatingChange]]</f>
        <v>1584.1476355625994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1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41180</v>
      </c>
      <c r="B416" s="2">
        <v>2012</v>
      </c>
      <c r="C416" s="2">
        <f>COUNTIFS(Games[Team],Games[[#This Row],[Team]],Games[Season],Games[[#This Row],[Season]],Games[Date],"&lt;=" &amp; Games[[#This Row],[Date]])</f>
        <v>35</v>
      </c>
      <c r="D416" s="2" t="s">
        <v>46</v>
      </c>
      <c r="E416" s="2">
        <v>1</v>
      </c>
      <c r="F416" s="1" t="s">
        <v>76</v>
      </c>
      <c r="G416" s="1" t="s">
        <v>72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1497.6387883853997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1689.3868017464263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0.16975943317392478</v>
      </c>
      <c r="R416" s="1">
        <v>70</v>
      </c>
      <c r="S416" s="1">
        <v>78</v>
      </c>
      <c r="T416" s="1">
        <v>0</v>
      </c>
      <c r="U416" s="1">
        <f>Games[[#This Row],[PointsFor]]-Games[[#This Row],[PointsAgainst]]</f>
        <v>-8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0.33481538147001427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70.75</v>
      </c>
      <c r="Z416" s="4">
        <f>Games[[#This Row],[K]]*Games[[#This Row],[POMult]]</f>
        <v>77.825000000000003</v>
      </c>
      <c r="AA416" s="4">
        <f>(Games[[#This Row],[Keff]]*Games[[#This Row],[MOVMult]])*(Games[[#This Row],[Result]]-Games[[#This Row],[ExpectedWin%]])</f>
        <v>-4.4234227492075142</v>
      </c>
      <c r="AB416" s="4">
        <f>Games[[#This Row],[PreGmRate]]+Games[[#This Row],[RatingChange]]</f>
        <v>1493.2153656361922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1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41180</v>
      </c>
      <c r="B417" s="2">
        <v>2012</v>
      </c>
      <c r="C417" s="2">
        <f>COUNTIFS(Games[Team],Games[[#This Row],[Team]],Games[Season],Games[[#This Row],[Season]],Games[Date],"&lt;=" &amp; Games[[#This Row],[Date]])</f>
        <v>35</v>
      </c>
      <c r="D417" s="2" t="s">
        <v>46</v>
      </c>
      <c r="E417" s="2">
        <v>1</v>
      </c>
      <c r="F417" s="1" t="s">
        <v>72</v>
      </c>
      <c r="G417" s="1" t="s">
        <v>76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1689.3868017464263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1497.6387883853997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0.83024056682607517</v>
      </c>
      <c r="R417" s="1">
        <v>78</v>
      </c>
      <c r="S417" s="1">
        <v>70</v>
      </c>
      <c r="T417" s="1">
        <v>0</v>
      </c>
      <c r="U417" s="1">
        <f>Games[[#This Row],[PointsFor]]-Games[[#This Row],[PointsAgainst]]</f>
        <v>8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0.33481538147001427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4.4234227492075151</v>
      </c>
      <c r="AB417" s="4">
        <f>Games[[#This Row],[PreGmRate]]+Games[[#This Row],[RatingChange]]</f>
        <v>1693.8102244956337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1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41181</v>
      </c>
      <c r="B418" s="2">
        <v>2012</v>
      </c>
      <c r="C418" s="2">
        <f>COUNTIFS(Games[Team],Games[[#This Row],[Team]],Games[Season],Games[[#This Row],[Season]],Games[Date],"&lt;=" &amp; Games[[#This Row],[Date]])</f>
        <v>36</v>
      </c>
      <c r="D418" s="2" t="s">
        <v>46</v>
      </c>
      <c r="E418" s="2">
        <v>1</v>
      </c>
      <c r="F418" s="1" t="s">
        <v>81</v>
      </c>
      <c r="G418" s="1" t="s">
        <v>65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1619.5727991857675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1455.1771731297806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0.6136768817614433</v>
      </c>
      <c r="R418" s="1">
        <v>75</v>
      </c>
      <c r="S418" s="1">
        <v>62</v>
      </c>
      <c r="T418" s="1">
        <v>0</v>
      </c>
      <c r="U418" s="1">
        <f>Games[[#This Row],[PointsFor]]-Games[[#This Row],[PointsAgainst]]</f>
        <v>13</v>
      </c>
      <c r="V418" s="1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0.41516734293143887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8" s="9">
        <f>MAX(kmin, kmax - 0.15 * MIN(Games[[#This Row],[GamesPlayed]], 82))</f>
        <v>70.599999999999994</v>
      </c>
      <c r="Z418" s="4">
        <f>Games[[#This Row],[K]]*Games[[#This Row],[POMult]]</f>
        <v>77.66</v>
      </c>
      <c r="AA418" s="4">
        <f>(Games[[#This Row],[Keff]]*Games[[#This Row],[MOVMult]])*(Games[[#This Row],[Result]]-Games[[#This Row],[ExpectedWin%]])</f>
        <v>12.455789743488884</v>
      </c>
      <c r="AB418" s="4">
        <f>Games[[#This Row],[PreGmRate]]+Games[[#This Row],[RatingChange]]</f>
        <v>1632.0285889292563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1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41181</v>
      </c>
      <c r="B419" s="2">
        <v>2012</v>
      </c>
      <c r="C419" s="2">
        <f>COUNTIFS(Games[Team],Games[[#This Row],[Team]],Games[Season],Games[[#This Row],[Season]],Games[Date],"&lt;=" &amp; Games[[#This Row],[Date]])</f>
        <v>36</v>
      </c>
      <c r="D419" s="2" t="s">
        <v>46</v>
      </c>
      <c r="E419" s="2">
        <v>1</v>
      </c>
      <c r="F419" s="1" t="s">
        <v>65</v>
      </c>
      <c r="G419" s="1" t="s">
        <v>81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1455.1771731297806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1619.5727991857675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0.3863231182385567</v>
      </c>
      <c r="R419" s="1">
        <v>62</v>
      </c>
      <c r="S419" s="1">
        <v>75</v>
      </c>
      <c r="T419" s="1">
        <v>0</v>
      </c>
      <c r="U419" s="1">
        <f>Games[[#This Row],[PointsFor]]-Games[[#This Row],[PointsAgainst]]</f>
        <v>-13</v>
      </c>
      <c r="V419" s="1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0.41516734293143887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9" s="9">
        <f>MAX(kmin, kmax - 0.15 * MIN(Games[[#This Row],[GamesPlayed]], 82))</f>
        <v>70.599999999999994</v>
      </c>
      <c r="Z419" s="4">
        <f>Games[[#This Row],[K]]*Games[[#This Row],[POMult]]</f>
        <v>77.66</v>
      </c>
      <c r="AA419" s="4">
        <f>(Games[[#This Row],[Keff]]*Games[[#This Row],[MOVMult]])*(Games[[#This Row],[Result]]-Games[[#This Row],[ExpectedWin%]])</f>
        <v>-12.455789743488884</v>
      </c>
      <c r="AB419" s="4">
        <f>Games[[#This Row],[PreGmRate]]+Games[[#This Row],[RatingChange]]</f>
        <v>1442.7213833862918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1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41181</v>
      </c>
      <c r="B420" s="2">
        <v>2012</v>
      </c>
      <c r="C420" s="2">
        <f>COUNTIFS(Games[Team],Games[[#This Row],[Team]],Games[Season],Games[[#This Row],[Season]],Games[Date],"&lt;=" &amp; Games[[#This Row],[Date]])</f>
        <v>36</v>
      </c>
      <c r="D420" s="2" t="s">
        <v>46</v>
      </c>
      <c r="E420" s="2">
        <v>1</v>
      </c>
      <c r="F420" s="1" t="s">
        <v>68</v>
      </c>
      <c r="G420" s="1" t="s">
        <v>79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1626.4722120516935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1565.8120540876648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0.46646170278784788</v>
      </c>
      <c r="R420" s="1">
        <v>101</v>
      </c>
      <c r="S420" s="1">
        <v>94</v>
      </c>
      <c r="T420" s="1">
        <v>0</v>
      </c>
      <c r="U420" s="1">
        <f>Games[[#This Row],[PointsFor]]-Games[[#This Row],[PointsAgainst]]</f>
        <v>7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0.35229843997120802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0" s="9">
        <f>MAX(kmin, kmax - 0.15 * MIN(Games[[#This Row],[GamesPlayed]], 82))</f>
        <v>70.599999999999994</v>
      </c>
      <c r="Z420" s="4">
        <f>Games[[#This Row],[K]]*Games[[#This Row],[POMult]]</f>
        <v>77.66</v>
      </c>
      <c r="AA420" s="4">
        <f>(Games[[#This Row],[Keff]]*Games[[#This Row],[MOVMult]])*(Games[[#This Row],[Result]]-Games[[#This Row],[ExpectedWin%]])</f>
        <v>14.59733936095067</v>
      </c>
      <c r="AB420" s="4">
        <f>Games[[#This Row],[PreGmRate]]+Games[[#This Row],[RatingChange]]</f>
        <v>1641.0695514126442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1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41181</v>
      </c>
      <c r="B421" s="2">
        <v>2012</v>
      </c>
      <c r="C421" s="2">
        <f>COUNTIFS(Games[Team],Games[[#This Row],[Team]],Games[Season],Games[[#This Row],[Season]],Games[Date],"&lt;=" &amp; Games[[#This Row],[Date]])</f>
        <v>36</v>
      </c>
      <c r="D421" s="2" t="s">
        <v>46</v>
      </c>
      <c r="E421" s="2">
        <v>1</v>
      </c>
      <c r="F421" s="1" t="s">
        <v>79</v>
      </c>
      <c r="G421" s="1" t="s">
        <v>68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1565.8120540876648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1626.4722120516935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0.53353829721215207</v>
      </c>
      <c r="R421" s="1">
        <v>94</v>
      </c>
      <c r="S421" s="1">
        <v>101</v>
      </c>
      <c r="T421" s="1">
        <v>0</v>
      </c>
      <c r="U421" s="1">
        <f>Games[[#This Row],[PointsFor]]-Games[[#This Row],[PointsAgainst]]</f>
        <v>-7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0.35229843997120802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1" s="9">
        <f>MAX(kmin, kmax - 0.15 * MIN(Games[[#This Row],[GamesPlayed]], 82))</f>
        <v>70.599999999999994</v>
      </c>
      <c r="Z421" s="4">
        <f>Games[[#This Row],[K]]*Games[[#This Row],[POMult]]</f>
        <v>77.66</v>
      </c>
      <c r="AA421" s="4">
        <f>(Games[[#This Row],[Keff]]*Games[[#This Row],[MOVMult]])*(Games[[#This Row],[Result]]-Games[[#This Row],[ExpectedWin%]])</f>
        <v>-14.59733936095067</v>
      </c>
      <c r="AB421" s="4">
        <f>Games[[#This Row],[PreGmRate]]+Games[[#This Row],[RatingChange]]</f>
        <v>1551.2147147267142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1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41182</v>
      </c>
      <c r="B422" s="2">
        <v>2012</v>
      </c>
      <c r="C422" s="2">
        <f>COUNTIFS(Games[Team],Games[[#This Row],[Team]],Games[Season],Games[[#This Row],[Season]],Games[Date],"&lt;=" &amp; Games[[#This Row],[Date]])</f>
        <v>36</v>
      </c>
      <c r="D422" s="2" t="s">
        <v>46</v>
      </c>
      <c r="E422" s="2">
        <v>1</v>
      </c>
      <c r="F422" s="1" t="s">
        <v>74</v>
      </c>
      <c r="G422" s="1" t="s">
        <v>84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1584.1476355625994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1592.6209414172836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0.36997614832369996</v>
      </c>
      <c r="R422" s="1">
        <v>103</v>
      </c>
      <c r="S422" s="1">
        <v>88</v>
      </c>
      <c r="T422" s="1">
        <v>0</v>
      </c>
      <c r="U422" s="1">
        <f>Games[[#This Row],[PointsFor]]-Games[[#This Row],[PointsAgainst]]</f>
        <v>15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0.49932226945447783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2" s="9">
        <f>MAX(kmin, kmax - 0.15 * MIN(Games[[#This Row],[GamesPlayed]], 82))</f>
        <v>70.599999999999994</v>
      </c>
      <c r="Z422" s="4">
        <f>Games[[#This Row],[K]]*Games[[#This Row],[POMult]]</f>
        <v>77.66</v>
      </c>
      <c r="AA422" s="4">
        <f>(Games[[#This Row],[Keff]]*Games[[#This Row],[MOVMult]])*(Games[[#This Row],[Result]]-Games[[#This Row],[ExpectedWin%]])</f>
        <v>24.430666396091976</v>
      </c>
      <c r="AB422" s="4">
        <f>Games[[#This Row],[PreGmRate]]+Games[[#This Row],[RatingChange]]</f>
        <v>1608.5783019586913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1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41182</v>
      </c>
      <c r="B423" s="2">
        <v>2012</v>
      </c>
      <c r="C423" s="2">
        <f>COUNTIFS(Games[Team],Games[[#This Row],[Team]],Games[Season],Games[[#This Row],[Season]],Games[Date],"&lt;=" &amp; Games[[#This Row],[Date]])</f>
        <v>36</v>
      </c>
      <c r="D423" s="2" t="s">
        <v>46</v>
      </c>
      <c r="E423" s="2">
        <v>1</v>
      </c>
      <c r="F423" s="1" t="s">
        <v>84</v>
      </c>
      <c r="G423" s="1" t="s">
        <v>74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1592.6209414172836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1584.1476355625994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0.63002385167630004</v>
      </c>
      <c r="R423" s="1">
        <v>88</v>
      </c>
      <c r="S423" s="1">
        <v>103</v>
      </c>
      <c r="T423" s="1">
        <v>0</v>
      </c>
      <c r="U423" s="1">
        <f>Games[[#This Row],[PointsFor]]-Games[[#This Row],[PointsAgainst]]</f>
        <v>-15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0.49932226945447783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3" s="9">
        <f>MAX(kmin, kmax - 0.15 * MIN(Games[[#This Row],[GamesPlayed]], 82))</f>
        <v>70.599999999999994</v>
      </c>
      <c r="Z423" s="4">
        <f>Games[[#This Row],[K]]*Games[[#This Row],[POMult]]</f>
        <v>77.66</v>
      </c>
      <c r="AA423" s="4">
        <f>(Games[[#This Row],[Keff]]*Games[[#This Row],[MOVMult]])*(Games[[#This Row],[Result]]-Games[[#This Row],[ExpectedWin%]])</f>
        <v>-24.430666396091976</v>
      </c>
      <c r="AB423" s="4">
        <f>Games[[#This Row],[PreGmRate]]+Games[[#This Row],[RatingChange]]</f>
        <v>1568.1902750211916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1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41182</v>
      </c>
      <c r="B424" s="2">
        <v>2012</v>
      </c>
      <c r="C424" s="2">
        <f>COUNTIFS(Games[Team],Games[[#This Row],[Team]],Games[Season],Games[[#This Row],[Season]],Games[Date],"&lt;=" &amp; Games[[#This Row],[Date]])</f>
        <v>36</v>
      </c>
      <c r="D424" s="2" t="s">
        <v>46</v>
      </c>
      <c r="E424" s="2">
        <v>1</v>
      </c>
      <c r="F424" s="1" t="s">
        <v>72</v>
      </c>
      <c r="G424" s="1" t="s">
        <v>76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1693.8102244956337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1493.2153656361922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0.66176597858705521</v>
      </c>
      <c r="R424" s="1">
        <v>79</v>
      </c>
      <c r="S424" s="1">
        <v>86</v>
      </c>
      <c r="T424" s="1">
        <v>1</v>
      </c>
      <c r="U424" s="1">
        <f>Games[[#This Row],[PointsFor]]-Games[[#This Row],[PointsAgainst]]</f>
        <v>-7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0.28538998537494964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4" s="9">
        <f>MAX(kmin, kmax - 0.15 * MIN(Games[[#This Row],[GamesPlayed]], 82))</f>
        <v>70.599999999999994</v>
      </c>
      <c r="Z424" s="4">
        <f>Games[[#This Row],[K]]*Games[[#This Row],[POMult]]</f>
        <v>77.66</v>
      </c>
      <c r="AA424" s="4">
        <f>(Games[[#This Row],[Keff]]*Games[[#This Row],[MOVMult]])*(Games[[#This Row],[Result]]-Games[[#This Row],[ExpectedWin%]])</f>
        <v>-14.666974999943511</v>
      </c>
      <c r="AB424" s="4">
        <f>Games[[#This Row],[PreGmRate]]+Games[[#This Row],[RatingChange]]</f>
        <v>1679.1432494956903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1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41182</v>
      </c>
      <c r="B425" s="2">
        <v>2012</v>
      </c>
      <c r="C425" s="2">
        <f>COUNTIFS(Games[Team],Games[[#This Row],[Team]],Games[Season],Games[[#This Row],[Season]],Games[Date],"&lt;=" &amp; Games[[#This Row],[Date]])</f>
        <v>36</v>
      </c>
      <c r="D425" s="2" t="s">
        <v>46</v>
      </c>
      <c r="E425" s="2">
        <v>1</v>
      </c>
      <c r="F425" s="1" t="s">
        <v>76</v>
      </c>
      <c r="G425" s="1" t="s">
        <v>72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1493.2153656361922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1693.8102244956337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0.33823402141294467</v>
      </c>
      <c r="R425" s="1">
        <v>86</v>
      </c>
      <c r="S425" s="1">
        <v>79</v>
      </c>
      <c r="T425" s="1">
        <v>1</v>
      </c>
      <c r="U425" s="1">
        <f>Games[[#This Row],[PointsFor]]-Games[[#This Row],[PointsAgainst]]</f>
        <v>7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0.28538998537494964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5" s="9">
        <f>MAX(kmin, kmax - 0.15 * MIN(Games[[#This Row],[GamesPlayed]], 82))</f>
        <v>70.599999999999994</v>
      </c>
      <c r="Z425" s="4">
        <f>Games[[#This Row],[K]]*Games[[#This Row],[POMult]]</f>
        <v>77.66</v>
      </c>
      <c r="AA425" s="4">
        <f>(Games[[#This Row],[Keff]]*Games[[#This Row],[MOVMult]])*(Games[[#This Row],[Result]]-Games[[#This Row],[ExpectedWin%]])</f>
        <v>14.666974999943514</v>
      </c>
      <c r="AB425" s="4">
        <f>Games[[#This Row],[PreGmRate]]+Games[[#This Row],[RatingChange]]</f>
        <v>1507.8823406361357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1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41184</v>
      </c>
      <c r="B426" s="2">
        <v>2012</v>
      </c>
      <c r="C426" s="2">
        <f>COUNTIFS(Games[Team],Games[[#This Row],[Team]],Games[Season],Games[[#This Row],[Season]],Games[Date],"&lt;=" &amp; Games[[#This Row],[Date]])</f>
        <v>37</v>
      </c>
      <c r="D426" s="2" t="s">
        <v>46</v>
      </c>
      <c r="E426" s="2">
        <v>1</v>
      </c>
      <c r="F426" s="1" t="s">
        <v>84</v>
      </c>
      <c r="G426" s="1" t="s">
        <v>74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1568.1902750211916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1608.5783019586913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0.32826669064358655</v>
      </c>
      <c r="R426" s="1">
        <v>64</v>
      </c>
      <c r="S426" s="1">
        <v>75</v>
      </c>
      <c r="T426" s="1">
        <v>0</v>
      </c>
      <c r="U426" s="1">
        <f>Games[[#This Row],[PointsFor]]-Games[[#This Row],[PointsAgainst]]</f>
        <v>-11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0.42551455903060925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6" s="9">
        <f>MAX(kmin, kmax - 0.15 * MIN(Games[[#This Row],[GamesPlayed]], 82))</f>
        <v>70.45</v>
      </c>
      <c r="Z426" s="4">
        <f>Games[[#This Row],[K]]*Games[[#This Row],[POMult]]</f>
        <v>77.495000000000005</v>
      </c>
      <c r="AA426" s="4">
        <f>(Games[[#This Row],[Keff]]*Games[[#This Row],[MOVMult]])*(Games[[#This Row],[Result]]-Games[[#This Row],[ExpectedWin%]])</f>
        <v>-10.824676437526778</v>
      </c>
      <c r="AB426" s="4">
        <f>Games[[#This Row],[PreGmRate]]+Games[[#This Row],[RatingChange]]</f>
        <v>1557.3655985836649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1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41184</v>
      </c>
      <c r="B427" s="2">
        <v>2012</v>
      </c>
      <c r="C427" s="2">
        <f>COUNTIFS(Games[Team],Games[[#This Row],[Team]],Games[Season],Games[[#This Row],[Season]],Games[Date],"&lt;=" &amp; Games[[#This Row],[Date]])</f>
        <v>37</v>
      </c>
      <c r="D427" s="2" t="s">
        <v>46</v>
      </c>
      <c r="E427" s="2">
        <v>1</v>
      </c>
      <c r="F427" s="1" t="s">
        <v>74</v>
      </c>
      <c r="G427" s="1" t="s">
        <v>84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1608.5783019586913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1568.1902750211916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0.67173330935641351</v>
      </c>
      <c r="R427" s="1">
        <v>75</v>
      </c>
      <c r="S427" s="1">
        <v>64</v>
      </c>
      <c r="T427" s="1">
        <v>0</v>
      </c>
      <c r="U427" s="1">
        <f>Games[[#This Row],[PointsFor]]-Games[[#This Row],[PointsAgainst]]</f>
        <v>11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0.42551455903060925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7" s="9">
        <f>MAX(kmin, kmax - 0.15 * MIN(Games[[#This Row],[GamesPlayed]], 82))</f>
        <v>70.45</v>
      </c>
      <c r="Z427" s="4">
        <f>Games[[#This Row],[K]]*Games[[#This Row],[POMult]]</f>
        <v>77.495000000000005</v>
      </c>
      <c r="AA427" s="4">
        <f>(Games[[#This Row],[Keff]]*Games[[#This Row],[MOVMult]])*(Games[[#This Row],[Result]]-Games[[#This Row],[ExpectedWin%]])</f>
        <v>10.824676437526776</v>
      </c>
      <c r="AB427" s="4">
        <f>Games[[#This Row],[PreGmRate]]+Games[[#This Row],[RatingChange]]</f>
        <v>1619.402978396218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1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41184</v>
      </c>
      <c r="B428" s="2">
        <v>2012</v>
      </c>
      <c r="C428" s="2">
        <f>COUNTIFS(Games[Team],Games[[#This Row],[Team]],Games[Season],Games[[#This Row],[Season]],Games[Date],"&lt;=" &amp; Games[[#This Row],[Date]])</f>
        <v>37</v>
      </c>
      <c r="D428" s="2" t="s">
        <v>46</v>
      </c>
      <c r="E428" s="2">
        <v>1</v>
      </c>
      <c r="F428" s="1" t="s">
        <v>76</v>
      </c>
      <c r="G428" s="1" t="s">
        <v>72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1507.8823406361357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1679.1432494956903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0.18703384199268966</v>
      </c>
      <c r="R428" s="1">
        <v>72</v>
      </c>
      <c r="S428" s="1">
        <v>73</v>
      </c>
      <c r="T428" s="1">
        <v>0</v>
      </c>
      <c r="U428" s="1">
        <f>Games[[#This Row],[PointsFor]]-Games[[#This Row],[PointsAgainst]]</f>
        <v>-1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0.21368333572787859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8" s="9">
        <f>MAX(kmin, kmax - 0.15 * MIN(Games[[#This Row],[GamesPlayed]], 82))</f>
        <v>70.45</v>
      </c>
      <c r="Z428" s="4">
        <f>Games[[#This Row],[K]]*Games[[#This Row],[POMult]]</f>
        <v>77.495000000000005</v>
      </c>
      <c r="AA428" s="4">
        <f>(Games[[#This Row],[Keff]]*Games[[#This Row],[MOVMult]])*(Games[[#This Row],[Result]]-Games[[#This Row],[ExpectedWin%]])</f>
        <v>-3.0971663518761599</v>
      </c>
      <c r="AB428" s="4">
        <f>Games[[#This Row],[PreGmRate]]+Games[[#This Row],[RatingChange]]</f>
        <v>1504.7851742842595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1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41184</v>
      </c>
      <c r="B429" s="2">
        <v>2012</v>
      </c>
      <c r="C429" s="2">
        <f>COUNTIFS(Games[Team],Games[[#This Row],[Team]],Games[Season],Games[[#This Row],[Season]],Games[Date],"&lt;=" &amp; Games[[#This Row],[Date]])</f>
        <v>37</v>
      </c>
      <c r="D429" s="2" t="s">
        <v>46</v>
      </c>
      <c r="E429" s="2">
        <v>1</v>
      </c>
      <c r="F429" s="1" t="s">
        <v>72</v>
      </c>
      <c r="G429" s="1" t="s">
        <v>76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1679.1432494956903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1507.8823406361357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0.81296615800731031</v>
      </c>
      <c r="R429" s="1">
        <v>73</v>
      </c>
      <c r="S429" s="1">
        <v>72</v>
      </c>
      <c r="T429" s="1">
        <v>0</v>
      </c>
      <c r="U429" s="1">
        <f>Games[[#This Row],[PointsFor]]-Games[[#This Row],[PointsAgainst]]</f>
        <v>1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0.21368333572787859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9" s="9">
        <f>MAX(kmin, kmax - 0.15 * MIN(Games[[#This Row],[GamesPlayed]], 82))</f>
        <v>70.45</v>
      </c>
      <c r="Z429" s="4">
        <f>Games[[#This Row],[K]]*Games[[#This Row],[POMult]]</f>
        <v>77.495000000000005</v>
      </c>
      <c r="AA429" s="4">
        <f>(Games[[#This Row],[Keff]]*Games[[#This Row],[MOVMult]])*(Games[[#This Row],[Result]]-Games[[#This Row],[ExpectedWin%]])</f>
        <v>3.0971663518761603</v>
      </c>
      <c r="AB429" s="4">
        <f>Games[[#This Row],[PreGmRate]]+Games[[#This Row],[RatingChange]]</f>
        <v>1682.2404158475665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1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41186</v>
      </c>
      <c r="B430" s="2">
        <v>2012</v>
      </c>
      <c r="C430" s="2">
        <f>COUNTIFS(Games[Team],Games[[#This Row],[Team]],Games[Season],Games[[#This Row],[Season]],Games[Date],"&lt;=" &amp; Games[[#This Row],[Date]])</f>
        <v>37</v>
      </c>
      <c r="D430" s="2" t="s">
        <v>46</v>
      </c>
      <c r="E430" s="2">
        <v>2</v>
      </c>
      <c r="F430" s="1" t="s">
        <v>68</v>
      </c>
      <c r="G430" s="1" t="s">
        <v>72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3</v>
      </c>
      <c r="L430" s="2">
        <f>Games[[#This Row],[OppDaysOff]]-Games[[#This Row],[DaysOff]]</f>
        <v>-3</v>
      </c>
      <c r="M430" s="1">
        <f>MAX(-16, MIN(16, Games[[#This Row],[RestDiff]]*8))</f>
        <v>16</v>
      </c>
      <c r="N430" s="1">
        <f>MAX(-16, MIN(16, Games[[#This Row],[OppRestDiff]]*8))</f>
        <v>-16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1641.0695514126442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1682.2404158475665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0.36904065686096449</v>
      </c>
      <c r="R430" s="1">
        <v>77</v>
      </c>
      <c r="S430" s="1">
        <v>94</v>
      </c>
      <c r="T430" s="1">
        <v>0</v>
      </c>
      <c r="U430" s="1">
        <f>Games[[#This Row],[PointsFor]]-Games[[#This Row],[PointsAgainst]]</f>
        <v>-17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0.51478043934691275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0" s="9">
        <f>MAX(kmin, kmax - 0.15 * MIN(Games[[#This Row],[GamesPlayed]], 82))</f>
        <v>70.45</v>
      </c>
      <c r="Z430" s="4">
        <f>Games[[#This Row],[K]]*Games[[#This Row],[POMult]]</f>
        <v>84.54</v>
      </c>
      <c r="AA430" s="4">
        <f>(Games[[#This Row],[Keff]]*Games[[#This Row],[MOVMult]])*(Games[[#This Row],[Result]]-Games[[#This Row],[ExpectedWin%]])</f>
        <v>-16.060479016160802</v>
      </c>
      <c r="AB430" s="4">
        <f>Games[[#This Row],[PreGmRate]]+Games[[#This Row],[RatingChange]]</f>
        <v>1625.0090723964834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1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41186</v>
      </c>
      <c r="B431" s="2">
        <v>2012</v>
      </c>
      <c r="C431" s="2">
        <f>COUNTIFS(Games[Team],Games[[#This Row],[Team]],Games[Season],Games[[#This Row],[Season]],Games[Date],"&lt;=" &amp; Games[[#This Row],[Date]])</f>
        <v>38</v>
      </c>
      <c r="D431" s="2" t="s">
        <v>46</v>
      </c>
      <c r="E431" s="2">
        <v>2</v>
      </c>
      <c r="F431" s="1" t="s">
        <v>72</v>
      </c>
      <c r="G431" s="1" t="s">
        <v>68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1" s="2">
        <f>Games[[#This Row],[DaysOff]]-Games[[#This Row],[OppDaysOff]]</f>
        <v>-3</v>
      </c>
      <c r="L431" s="2">
        <f>Games[[#This Row],[OppDaysOff]]-Games[[#This Row],[DaysOff]]</f>
        <v>3</v>
      </c>
      <c r="M431" s="1">
        <f>MAX(-16, MIN(16, Games[[#This Row],[RestDiff]]*8))</f>
        <v>-16</v>
      </c>
      <c r="N431" s="1">
        <f>MAX(-16, MIN(16, Games[[#This Row],[OppRestDiff]]*8))</f>
        <v>16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1682.2404158475665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1641.0695514126442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0.63095934313903557</v>
      </c>
      <c r="R431" s="1">
        <v>94</v>
      </c>
      <c r="S431" s="1">
        <v>77</v>
      </c>
      <c r="T431" s="1">
        <v>0</v>
      </c>
      <c r="U431" s="1">
        <f>Games[[#This Row],[PointsFor]]-Games[[#This Row],[PointsAgainst]]</f>
        <v>17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0.51478043934691275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1" s="9">
        <f>MAX(kmin, kmax - 0.15 * MIN(Games[[#This Row],[GamesPlayed]], 82))</f>
        <v>70.3</v>
      </c>
      <c r="Z431" s="4">
        <f>Games[[#This Row],[K]]*Games[[#This Row],[POMult]]</f>
        <v>84.36</v>
      </c>
      <c r="AA431" s="4">
        <f>(Games[[#This Row],[Keff]]*Games[[#This Row],[MOVMult]])*(Games[[#This Row],[Result]]-Games[[#This Row],[ExpectedWin%]])</f>
        <v>16.02628353209516</v>
      </c>
      <c r="AB431" s="4">
        <f>Games[[#This Row],[PreGmRate]]+Games[[#This Row],[RatingChange]]</f>
        <v>1698.2666993796618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1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41187</v>
      </c>
      <c r="B432" s="2">
        <v>2012</v>
      </c>
      <c r="C432" s="2">
        <f>COUNTIFS(Games[Team],Games[[#This Row],[Team]],Games[Season],Games[[#This Row],[Season]],Games[Date],"&lt;=" &amp; Games[[#This Row],[Date]])</f>
        <v>38</v>
      </c>
      <c r="D432" s="2" t="s">
        <v>46</v>
      </c>
      <c r="E432" s="2">
        <v>2</v>
      </c>
      <c r="F432" s="1" t="s">
        <v>74</v>
      </c>
      <c r="G432" s="1" t="s">
        <v>81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32" s="2">
        <f>Games[[#This Row],[DaysOff]]-Games[[#This Row],[OppDaysOff]]</f>
        <v>-3</v>
      </c>
      <c r="L432" s="2">
        <f>Games[[#This Row],[OppDaysOff]]-Games[[#This Row],[DaysOff]]</f>
        <v>3</v>
      </c>
      <c r="M432" s="1">
        <f>MAX(-16, MIN(16, Games[[#This Row],[RestDiff]]*8))</f>
        <v>-16</v>
      </c>
      <c r="N432" s="1">
        <f>MAX(-16, MIN(16, Games[[#This Row],[OppRestDiff]]*8))</f>
        <v>16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1619.402978396218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1632.0285889292563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0.32291044239757094</v>
      </c>
      <c r="R432" s="1">
        <v>64</v>
      </c>
      <c r="S432" s="1">
        <v>76</v>
      </c>
      <c r="T432" s="1">
        <v>0</v>
      </c>
      <c r="U432" s="1">
        <f>Games[[#This Row],[PointsFor]]-Games[[#This Row],[PointsAgainst]]</f>
        <v>-12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0.45138031634615228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2" s="9">
        <f>MAX(kmin, kmax - 0.15 * MIN(Games[[#This Row],[GamesPlayed]], 82))</f>
        <v>70.3</v>
      </c>
      <c r="Z432" s="4">
        <f>Games[[#This Row],[K]]*Games[[#This Row],[POMult]]</f>
        <v>84.36</v>
      </c>
      <c r="AA432" s="4">
        <f>(Games[[#This Row],[Keff]]*Games[[#This Row],[MOVMult]])*(Games[[#This Row],[Result]]-Games[[#This Row],[ExpectedWin%]])</f>
        <v>-12.295927032185611</v>
      </c>
      <c r="AB432" s="4">
        <f>Games[[#This Row],[PreGmRate]]+Games[[#This Row],[RatingChange]]</f>
        <v>1607.1070513640325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1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41187</v>
      </c>
      <c r="B433" s="2">
        <v>2012</v>
      </c>
      <c r="C433" s="2">
        <f>COUNTIFS(Games[Team],Games[[#This Row],[Team]],Games[Season],Games[[#This Row],[Season]],Games[Date],"&lt;=" &amp; Games[[#This Row],[Date]])</f>
        <v>37</v>
      </c>
      <c r="D433" s="2" t="s">
        <v>46</v>
      </c>
      <c r="E433" s="2">
        <v>2</v>
      </c>
      <c r="F433" s="1" t="s">
        <v>81</v>
      </c>
      <c r="G433" s="1" t="s">
        <v>74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3" s="2">
        <f>Games[[#This Row],[DaysOff]]-Games[[#This Row],[OppDaysOff]]</f>
        <v>3</v>
      </c>
      <c r="L433" s="2">
        <f>Games[[#This Row],[OppDaysOff]]-Games[[#This Row],[DaysOff]]</f>
        <v>-3</v>
      </c>
      <c r="M433" s="1">
        <f>MAX(-16, MIN(16, Games[[#This Row],[RestDiff]]*8))</f>
        <v>16</v>
      </c>
      <c r="N433" s="1">
        <f>MAX(-16, MIN(16, Games[[#This Row],[OppRestDiff]]*8))</f>
        <v>-16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1632.0285889292563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1619.402978396218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0.67708955760242906</v>
      </c>
      <c r="R433" s="1">
        <v>76</v>
      </c>
      <c r="S433" s="1">
        <v>64</v>
      </c>
      <c r="T433" s="1">
        <v>0</v>
      </c>
      <c r="U433" s="1">
        <f>Games[[#This Row],[PointsFor]]-Games[[#This Row],[PointsAgainst]]</f>
        <v>12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0.45138031634615228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3" s="9">
        <f>MAX(kmin, kmax - 0.15 * MIN(Games[[#This Row],[GamesPlayed]], 82))</f>
        <v>70.45</v>
      </c>
      <c r="Z433" s="4">
        <f>Games[[#This Row],[K]]*Games[[#This Row],[POMult]]</f>
        <v>84.54</v>
      </c>
      <c r="AA433" s="4">
        <f>(Games[[#This Row],[Keff]]*Games[[#This Row],[MOVMult]])*(Games[[#This Row],[Result]]-Games[[#This Row],[ExpectedWin%]])</f>
        <v>12.322163007360974</v>
      </c>
      <c r="AB433" s="4">
        <f>Games[[#This Row],[PreGmRate]]+Games[[#This Row],[RatingChange]]</f>
        <v>1644.3507519366174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1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41189</v>
      </c>
      <c r="B434" s="2">
        <v>2012</v>
      </c>
      <c r="C434" s="2">
        <f>COUNTIFS(Games[Team],Games[[#This Row],[Team]],Games[Season],Games[[#This Row],[Season]],Games[Date],"&lt;=" &amp; Games[[#This Row],[Date]])</f>
        <v>39</v>
      </c>
      <c r="D434" s="2" t="s">
        <v>46</v>
      </c>
      <c r="E434" s="2">
        <v>2</v>
      </c>
      <c r="F434" s="1" t="s">
        <v>72</v>
      </c>
      <c r="G434" s="1" t="s">
        <v>68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1698.2666993796618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1625.0090723964834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0.48454540699895282</v>
      </c>
      <c r="R434" s="1">
        <v>80</v>
      </c>
      <c r="S434" s="1">
        <v>79</v>
      </c>
      <c r="T434" s="1">
        <v>0</v>
      </c>
      <c r="U434" s="1">
        <f>Games[[#This Row],[PointsFor]]-Games[[#This Row],[PointsAgainst]]</f>
        <v>1</v>
      </c>
      <c r="V434" s="1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0.2301306498768951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4" s="9">
        <f>MAX(kmin, kmax - 0.15 * MIN(Games[[#This Row],[GamesPlayed]], 82))</f>
        <v>70.150000000000006</v>
      </c>
      <c r="Z434" s="4">
        <f>Games[[#This Row],[K]]*Games[[#This Row],[POMult]]</f>
        <v>84.18</v>
      </c>
      <c r="AA434" s="4">
        <f>(Games[[#This Row],[Keff]]*Games[[#This Row],[MOVMult]])*(Games[[#This Row],[Result]]-Games[[#This Row],[ExpectedWin%]])</f>
        <v>9.9855915815108496</v>
      </c>
      <c r="AB434" s="4">
        <f>Games[[#This Row],[PreGmRate]]+Games[[#This Row],[RatingChange]]</f>
        <v>1708.2522909611725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1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41189</v>
      </c>
      <c r="B435" s="2">
        <v>2012</v>
      </c>
      <c r="C435" s="2">
        <f>COUNTIFS(Games[Team],Games[[#This Row],[Team]],Games[Season],Games[[#This Row],[Season]],Games[Date],"&lt;=" &amp; Games[[#This Row],[Date]])</f>
        <v>38</v>
      </c>
      <c r="D435" s="2" t="s">
        <v>46</v>
      </c>
      <c r="E435" s="2">
        <v>2</v>
      </c>
      <c r="F435" s="1" t="s">
        <v>68</v>
      </c>
      <c r="G435" s="1" t="s">
        <v>72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1625.0090723964834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1698.2666993796618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0.51545459300104723</v>
      </c>
      <c r="R435" s="1">
        <v>79</v>
      </c>
      <c r="S435" s="1">
        <v>80</v>
      </c>
      <c r="T435" s="1">
        <v>0</v>
      </c>
      <c r="U435" s="1">
        <f>Games[[#This Row],[PointsFor]]-Games[[#This Row],[PointsAgainst]]</f>
        <v>-1</v>
      </c>
      <c r="V435" s="1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0.2301306498768951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5" s="9">
        <f>MAX(kmin, kmax - 0.15 * MIN(Games[[#This Row],[GamesPlayed]], 82))</f>
        <v>70.3</v>
      </c>
      <c r="Z435" s="4">
        <f>Games[[#This Row],[K]]*Games[[#This Row],[POMult]]</f>
        <v>84.36</v>
      </c>
      <c r="AA435" s="4">
        <f>(Games[[#This Row],[Keff]]*Games[[#This Row],[MOVMult]])*(Games[[#This Row],[Result]]-Games[[#This Row],[ExpectedWin%]])</f>
        <v>-10.006943523595334</v>
      </c>
      <c r="AB435" s="4">
        <f>Games[[#This Row],[PreGmRate]]+Games[[#This Row],[RatingChange]]</f>
        <v>1615.0021288728881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1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41190</v>
      </c>
      <c r="B436" s="2">
        <v>2012</v>
      </c>
      <c r="C436" s="2">
        <f>COUNTIFS(Games[Team],Games[[#This Row],[Team]],Games[Season],Games[[#This Row],[Season]],Games[Date],"&lt;=" &amp; Games[[#This Row],[Date]])</f>
        <v>38</v>
      </c>
      <c r="D436" s="2" t="s">
        <v>46</v>
      </c>
      <c r="E436" s="2">
        <v>2</v>
      </c>
      <c r="F436" s="1" t="s">
        <v>81</v>
      </c>
      <c r="G436" s="1" t="s">
        <v>74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1644.3507519366174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1607.1070513640325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0.4331155608977118</v>
      </c>
      <c r="R436" s="1">
        <v>76</v>
      </c>
      <c r="S436" s="1">
        <v>78</v>
      </c>
      <c r="T436" s="1">
        <v>0</v>
      </c>
      <c r="U436" s="1">
        <f>Games[[#This Row],[PointsFor]]-Games[[#This Row],[PointsAgainst]]</f>
        <v>-2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0.2597787200879329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6" s="9">
        <f>MAX(kmin, kmax - 0.15 * MIN(Games[[#This Row],[GamesPlayed]], 82))</f>
        <v>70.3</v>
      </c>
      <c r="Z436" s="4">
        <f>Games[[#This Row],[K]]*Games[[#This Row],[POMult]]</f>
        <v>84.36</v>
      </c>
      <c r="AA436" s="4">
        <f>(Games[[#This Row],[Keff]]*Games[[#This Row],[MOVMult]])*(Games[[#This Row],[Result]]-Games[[#This Row],[ExpectedWin%]])</f>
        <v>-9.4916984232363415</v>
      </c>
      <c r="AB436" s="4">
        <f>Games[[#This Row],[PreGmRate]]+Games[[#This Row],[RatingChange]]</f>
        <v>1634.859053513381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1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41190</v>
      </c>
      <c r="B437" s="2">
        <v>2012</v>
      </c>
      <c r="C437" s="2">
        <f>COUNTIFS(Games[Team],Games[[#This Row],[Team]],Games[Season],Games[[#This Row],[Season]],Games[Date],"&lt;=" &amp; Games[[#This Row],[Date]])</f>
        <v>39</v>
      </c>
      <c r="D437" s="2" t="s">
        <v>46</v>
      </c>
      <c r="E437" s="2">
        <v>2</v>
      </c>
      <c r="F437" s="1" t="s">
        <v>74</v>
      </c>
      <c r="G437" s="1" t="s">
        <v>81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1607.1070513640325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1644.3507519366174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0.56688443910228825</v>
      </c>
      <c r="R437" s="1">
        <v>78</v>
      </c>
      <c r="S437" s="1">
        <v>76</v>
      </c>
      <c r="T437" s="1">
        <v>0</v>
      </c>
      <c r="U437" s="1">
        <f>Games[[#This Row],[PointsFor]]-Games[[#This Row],[PointsAgainst]]</f>
        <v>2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0.2597787200879329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7" s="9">
        <f>MAX(kmin, kmax - 0.15 * MIN(Games[[#This Row],[GamesPlayed]], 82))</f>
        <v>70.150000000000006</v>
      </c>
      <c r="Z437" s="4">
        <f>Games[[#This Row],[K]]*Games[[#This Row],[POMult]]</f>
        <v>84.18</v>
      </c>
      <c r="AA437" s="4">
        <f>(Games[[#This Row],[Keff]]*Games[[#This Row],[MOVMult]])*(Games[[#This Row],[Result]]-Games[[#This Row],[ExpectedWin%]])</f>
        <v>9.4714458661455083</v>
      </c>
      <c r="AB437" s="4">
        <f>Games[[#This Row],[PreGmRate]]+Games[[#This Row],[RatingChange]]</f>
        <v>1616.5784972301781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1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41193</v>
      </c>
      <c r="B438" s="2">
        <v>2012</v>
      </c>
      <c r="C438" s="2">
        <f>COUNTIFS(Games[Team],Games[[#This Row],[Team]],Games[Season],Games[[#This Row],[Season]],Games[Date],"&lt;=" &amp; Games[[#This Row],[Date]])</f>
        <v>40</v>
      </c>
      <c r="D438" s="2" t="s">
        <v>46</v>
      </c>
      <c r="E438" s="2">
        <v>2</v>
      </c>
      <c r="F438" s="1" t="s">
        <v>74</v>
      </c>
      <c r="G438" s="1" t="s">
        <v>81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1616.5784972301781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1634.859053513381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0.3569161567355485</v>
      </c>
      <c r="R438" s="1">
        <v>87</v>
      </c>
      <c r="S438" s="1">
        <v>71</v>
      </c>
      <c r="T438" s="1">
        <v>0</v>
      </c>
      <c r="U438" s="1">
        <f>Games[[#This Row],[PointsFor]]-Games[[#This Row],[PointsAgainst]]</f>
        <v>16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0.51001654383428907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8" s="9">
        <f>MAX(kmin, kmax - 0.15 * MIN(Games[[#This Row],[GamesPlayed]], 82))</f>
        <v>70</v>
      </c>
      <c r="Z438" s="4">
        <f>Games[[#This Row],[K]]*Games[[#This Row],[POMult]]</f>
        <v>84</v>
      </c>
      <c r="AA438" s="4">
        <f>(Games[[#This Row],[Keff]]*Games[[#This Row],[MOVMult]])*(Games[[#This Row],[Result]]-Games[[#This Row],[ExpectedWin%]])</f>
        <v>27.550605527542203</v>
      </c>
      <c r="AB438" s="4">
        <f>Games[[#This Row],[PreGmRate]]+Games[[#This Row],[RatingChange]]</f>
        <v>1644.1291027577204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1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41193</v>
      </c>
      <c r="B439" s="2">
        <v>2012</v>
      </c>
      <c r="C439" s="2">
        <f>COUNTIFS(Games[Team],Games[[#This Row],[Team]],Games[Season],Games[[#This Row],[Season]],Games[Date],"&lt;=" &amp; Games[[#This Row],[Date]])</f>
        <v>39</v>
      </c>
      <c r="D439" s="2" t="s">
        <v>46</v>
      </c>
      <c r="E439" s="2">
        <v>2</v>
      </c>
      <c r="F439" s="1" t="s">
        <v>81</v>
      </c>
      <c r="G439" s="1" t="s">
        <v>74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1634.859053513381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1616.5784972301781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0.64308384326445156</v>
      </c>
      <c r="R439" s="1">
        <v>71</v>
      </c>
      <c r="S439" s="1">
        <v>87</v>
      </c>
      <c r="T439" s="1">
        <v>0</v>
      </c>
      <c r="U439" s="1">
        <f>Games[[#This Row],[PointsFor]]-Games[[#This Row],[PointsAgainst]]</f>
        <v>-16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0.51001654383428907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9" s="9">
        <f>MAX(kmin, kmax - 0.15 * MIN(Games[[#This Row],[GamesPlayed]], 82))</f>
        <v>70.150000000000006</v>
      </c>
      <c r="Z439" s="4">
        <f>Games[[#This Row],[K]]*Games[[#This Row],[POMult]]</f>
        <v>84.18</v>
      </c>
      <c r="AA439" s="4">
        <f>(Games[[#This Row],[Keff]]*Games[[#This Row],[MOVMult]])*(Games[[#This Row],[Result]]-Games[[#This Row],[ExpectedWin%]])</f>
        <v>-27.609642539386943</v>
      </c>
      <c r="AB439" s="4">
        <f>Games[[#This Row],[PreGmRate]]+Games[[#This Row],[RatingChange]]</f>
        <v>1607.2494109739941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1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41196</v>
      </c>
      <c r="B440" s="2">
        <v>2012</v>
      </c>
      <c r="C440" s="2">
        <f>COUNTIFS(Games[Team],Games[[#This Row],[Team]],Games[Season],Games[[#This Row],[Season]],Games[Date],"&lt;=" &amp; Games[[#This Row],[Date]])</f>
        <v>41</v>
      </c>
      <c r="D440" s="2" t="s">
        <v>46</v>
      </c>
      <c r="E440" s="2">
        <v>3</v>
      </c>
      <c r="F440" s="1" t="s">
        <v>74</v>
      </c>
      <c r="G440" s="1" t="s">
        <v>72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40" s="2">
        <f>Games[[#This Row],[DaysOff]]-Games[[#This Row],[OppDaysOff]]</f>
        <v>-4</v>
      </c>
      <c r="L440" s="2">
        <f>Games[[#This Row],[OppDaysOff]]-Games[[#This Row],[DaysOff]]</f>
        <v>4</v>
      </c>
      <c r="M440" s="1">
        <f>MAX(-16, MIN(16, Games[[#This Row],[RestDiff]]*8))</f>
        <v>-16</v>
      </c>
      <c r="N440" s="1">
        <f>MAX(-16, MIN(16, Games[[#This Row],[OppRestDiff]]*8))</f>
        <v>16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1644.1291027577204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1708.2522909611725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0.26175391320673141</v>
      </c>
      <c r="R440" s="1">
        <v>76</v>
      </c>
      <c r="S440" s="1">
        <v>70</v>
      </c>
      <c r="T440" s="1">
        <v>0</v>
      </c>
      <c r="U440" s="1">
        <f>Games[[#This Row],[PointsFor]]-Games[[#This Row],[PointsAgainst]]</f>
        <v>6</v>
      </c>
      <c r="V440" s="1">
        <f>IF(Games[[#This Row],[MOV]]&gt;0,1,IF(Games[[#This Row],[MOV]]=0,0.5,0))</f>
        <v>1</v>
      </c>
      <c r="W440" s="4">
        <f>((ABS(Games[[#This Row],[MOV]])+5)^0.6)/(12+0.01*(ABS(Games[[#This Row],[PreGmRate]]-Games[[#This Row],[OppPreGmRate]])))*IF(Games[[#This Row],[OT]]=1,0.9,1)</f>
        <v>0.33346189457078962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0" s="9">
        <f>MAX(kmin, kmax - 0.15 * MIN(Games[[#This Row],[GamesPlayed]], 82))</f>
        <v>69.849999999999994</v>
      </c>
      <c r="Z440" s="4">
        <f>Games[[#This Row],[K]]*Games[[#This Row],[POMult]]</f>
        <v>94.297499999999999</v>
      </c>
      <c r="AA440" s="4">
        <f>(Games[[#This Row],[Keff]]*Games[[#This Row],[MOVMult]])*(Games[[#This Row],[Result]]-Games[[#This Row],[ExpectedWin%]])</f>
        <v>23.213869882867726</v>
      </c>
      <c r="AB440" s="4">
        <f>Games[[#This Row],[PreGmRate]]+Games[[#This Row],[RatingChange]]</f>
        <v>1667.3429726405882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1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41196</v>
      </c>
      <c r="B441" s="2">
        <v>2012</v>
      </c>
      <c r="C441" s="2">
        <f>COUNTIFS(Games[Team],Games[[#This Row],[Team]],Games[Season],Games[[#This Row],[Season]],Games[Date],"&lt;=" &amp; Games[[#This Row],[Date]])</f>
        <v>40</v>
      </c>
      <c r="D441" s="2" t="s">
        <v>46</v>
      </c>
      <c r="E441" s="2">
        <v>3</v>
      </c>
      <c r="F441" s="1" t="s">
        <v>72</v>
      </c>
      <c r="G441" s="1" t="s">
        <v>74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6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1" s="2">
        <f>Games[[#This Row],[DaysOff]]-Games[[#This Row],[OppDaysOff]]</f>
        <v>4</v>
      </c>
      <c r="L441" s="2">
        <f>Games[[#This Row],[OppDaysOff]]-Games[[#This Row],[DaysOff]]</f>
        <v>-4</v>
      </c>
      <c r="M441" s="1">
        <f>MAX(-16, MIN(16, Games[[#This Row],[RestDiff]]*8))</f>
        <v>16</v>
      </c>
      <c r="N441" s="1">
        <f>MAX(-16, MIN(16, Games[[#This Row],[OppRestDiff]]*8))</f>
        <v>-16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1708.2522909611725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1644.1291027577204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0.73824608679326853</v>
      </c>
      <c r="R441" s="1">
        <v>70</v>
      </c>
      <c r="S441" s="1">
        <v>76</v>
      </c>
      <c r="T441" s="1">
        <v>0</v>
      </c>
      <c r="U441" s="1">
        <f>Games[[#This Row],[PointsFor]]-Games[[#This Row],[PointsAgainst]]</f>
        <v>-6</v>
      </c>
      <c r="V441" s="1">
        <f>IF(Games[[#This Row],[MOV]]&gt;0,1,IF(Games[[#This Row],[MOV]]=0,0.5,0))</f>
        <v>0</v>
      </c>
      <c r="W441" s="4">
        <f>((ABS(Games[[#This Row],[MOV]])+5)^0.6)/(12+0.01*(ABS(Games[[#This Row],[PreGmRate]]-Games[[#This Row],[OppPreGmRate]])))*IF(Games[[#This Row],[OT]]=1,0.9,1)</f>
        <v>0.33346189457078962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1" s="9">
        <f>MAX(kmin, kmax - 0.15 * MIN(Games[[#This Row],[GamesPlayed]], 82))</f>
        <v>70</v>
      </c>
      <c r="Z441" s="4">
        <f>Games[[#This Row],[K]]*Games[[#This Row],[POMult]]</f>
        <v>94.5</v>
      </c>
      <c r="AA441" s="4">
        <f>(Games[[#This Row],[Keff]]*Games[[#This Row],[MOVMult]])*(Games[[#This Row],[Result]]-Games[[#This Row],[ExpectedWin%]])</f>
        <v>-23.26372071296694</v>
      </c>
      <c r="AB441" s="4">
        <f>Games[[#This Row],[PreGmRate]]+Games[[#This Row],[RatingChange]]</f>
        <v>1684.9885702482056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1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41199</v>
      </c>
      <c r="B442" s="2">
        <v>2012</v>
      </c>
      <c r="C442" s="2">
        <f>COUNTIFS(Games[Team],Games[[#This Row],[Team]],Games[Season],Games[[#This Row],[Season]],Games[Date],"&lt;=" &amp; Games[[#This Row],[Date]])</f>
        <v>42</v>
      </c>
      <c r="D442" s="2" t="s">
        <v>46</v>
      </c>
      <c r="E442" s="2">
        <v>3</v>
      </c>
      <c r="F442" s="1" t="s">
        <v>74</v>
      </c>
      <c r="G442" s="1" t="s">
        <v>72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2" s="2">
        <f>Games[[#This Row],[DaysOff]]-Games[[#This Row],[OppDaysOff]]</f>
        <v>0</v>
      </c>
      <c r="L442" s="2">
        <f>Games[[#This Row],[OppDaysOff]]-Games[[#This Row],[DaysOff]]</f>
        <v>0</v>
      </c>
      <c r="M442" s="16">
        <f>MAX(-16, MIN(16, Games[[#This Row],[RestDiff]]*8))</f>
        <v>0</v>
      </c>
      <c r="N442" s="16">
        <f>MAX(-16, MIN(16, Games[[#This Row],[OppRestDiff]]*8))</f>
        <v>0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1667.3429726405882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1684.9885702482056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0.35775554263952675</v>
      </c>
      <c r="R442" s="1">
        <v>71</v>
      </c>
      <c r="S442" s="1">
        <v>83</v>
      </c>
      <c r="T442" s="1">
        <v>0</v>
      </c>
      <c r="U442" s="16">
        <f>Games[[#This Row],[PointsFor]]-Games[[#This Row],[PointsAgainst]]</f>
        <v>-12</v>
      </c>
      <c r="V442" s="16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0.44951941087560388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2" s="9">
        <f>MAX(kmin, kmax - 0.15 * MIN(Games[[#This Row],[GamesPlayed]], 82))</f>
        <v>69.7</v>
      </c>
      <c r="Z442" s="4">
        <f>Games[[#This Row],[K]]*Games[[#This Row],[POMult]]</f>
        <v>94.095000000000013</v>
      </c>
      <c r="AA442" s="4">
        <f>(Games[[#This Row],[Keff]]*Games[[#This Row],[MOVMult]])*(Games[[#This Row],[Result]]-Games[[#This Row],[ExpectedWin%]])</f>
        <v>-15.13217542766405</v>
      </c>
      <c r="AB442" s="4">
        <f>Games[[#This Row],[PreGmRate]]+Games[[#This Row],[RatingChange]]</f>
        <v>1652.210797212924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1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41199</v>
      </c>
      <c r="B443" s="2">
        <v>2012</v>
      </c>
      <c r="C443" s="2">
        <f>COUNTIFS(Games[Team],Games[[#This Row],[Team]],Games[Season],Games[[#This Row],[Season]],Games[Date],"&lt;=" &amp; Games[[#This Row],[Date]])</f>
        <v>41</v>
      </c>
      <c r="D443" s="2" t="s">
        <v>46</v>
      </c>
      <c r="E443" s="2">
        <v>3</v>
      </c>
      <c r="F443" s="1" t="s">
        <v>72</v>
      </c>
      <c r="G443" s="1" t="s">
        <v>74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3" s="2">
        <f>Games[[#This Row],[DaysOff]]-Games[[#This Row],[OppDaysOff]]</f>
        <v>0</v>
      </c>
      <c r="L443" s="2">
        <f>Games[[#This Row],[OppDaysOff]]-Games[[#This Row],[DaysOff]]</f>
        <v>0</v>
      </c>
      <c r="M443" s="16">
        <f>MAX(-16, MIN(16, Games[[#This Row],[RestDiff]]*8))</f>
        <v>0</v>
      </c>
      <c r="N443" s="16">
        <f>MAX(-16, MIN(16, Games[[#This Row],[OppRestDiff]]*8))</f>
        <v>0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1684.9885702482056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1667.3429726405882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0.6422444573604732</v>
      </c>
      <c r="R443" s="1">
        <v>83</v>
      </c>
      <c r="S443" s="1">
        <v>71</v>
      </c>
      <c r="T443" s="1">
        <v>0</v>
      </c>
      <c r="U443" s="16">
        <f>Games[[#This Row],[PointsFor]]-Games[[#This Row],[PointsAgainst]]</f>
        <v>12</v>
      </c>
      <c r="V443" s="16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0.44951941087560388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3" s="9">
        <f>MAX(kmin, kmax - 0.15 * MIN(Games[[#This Row],[GamesPlayed]], 82))</f>
        <v>69.849999999999994</v>
      </c>
      <c r="Z443" s="4">
        <f>Games[[#This Row],[K]]*Games[[#This Row],[POMult]]</f>
        <v>94.297499999999999</v>
      </c>
      <c r="AA443" s="4">
        <f>(Games[[#This Row],[Keff]]*Games[[#This Row],[MOVMult]])*(Games[[#This Row],[Result]]-Games[[#This Row],[ExpectedWin%]])</f>
        <v>15.164741084968924</v>
      </c>
      <c r="AB443" s="4">
        <f>Games[[#This Row],[PreGmRate]]+Games[[#This Row],[RatingChange]]</f>
        <v>1700.1533113331745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1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41201</v>
      </c>
      <c r="B444" s="2">
        <v>2012</v>
      </c>
      <c r="C444" s="2">
        <f>COUNTIFS(Games[Team],Games[[#This Row],[Team]],Games[Season],Games[[#This Row],[Season]],Games[Date],"&lt;=" &amp; Games[[#This Row],[Date]])</f>
        <v>42</v>
      </c>
      <c r="D444" s="2" t="s">
        <v>46</v>
      </c>
      <c r="E444" s="2">
        <v>3</v>
      </c>
      <c r="F444" s="1" t="s">
        <v>72</v>
      </c>
      <c r="G444" s="1" t="s">
        <v>74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6">
        <f>MAX(-16, MIN(16, Games[[#This Row],[RestDiff]]*8))</f>
        <v>0</v>
      </c>
      <c r="N444" s="16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1700.1533113331745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1652.210797212924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0.44829460714309138</v>
      </c>
      <c r="R444" s="1">
        <v>59</v>
      </c>
      <c r="S444" s="1">
        <v>76</v>
      </c>
      <c r="T444" s="1">
        <v>0</v>
      </c>
      <c r="U444" s="16">
        <f>Games[[#This Row],[PointsFor]]-Games[[#This Row],[PointsAgainst]]</f>
        <v>-17</v>
      </c>
      <c r="V444" s="16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0.51198711132044183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4" s="9">
        <f>MAX(kmin, kmax - 0.15 * MIN(Games[[#This Row],[GamesPlayed]], 82))</f>
        <v>69.7</v>
      </c>
      <c r="Z444" s="4">
        <f>Games[[#This Row],[K]]*Games[[#This Row],[POMult]]</f>
        <v>94.095000000000013</v>
      </c>
      <c r="AA444" s="4">
        <f>(Games[[#This Row],[Keff]]*Games[[#This Row],[MOVMult]])*(Games[[#This Row],[Result]]-Games[[#This Row],[ExpectedWin%]])</f>
        <v>-21.596784228370542</v>
      </c>
      <c r="AB444" s="4">
        <f>Games[[#This Row],[PreGmRate]]+Games[[#This Row],[RatingChange]]</f>
        <v>1678.556527104804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1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41201</v>
      </c>
      <c r="B445" s="2">
        <v>2012</v>
      </c>
      <c r="C445" s="2">
        <f>COUNTIFS(Games[Team],Games[[#This Row],[Team]],Games[Season],Games[[#This Row],[Season]],Games[Date],"&lt;=" &amp; Games[[#This Row],[Date]])</f>
        <v>43</v>
      </c>
      <c r="D445" s="2" t="s">
        <v>46</v>
      </c>
      <c r="E445" s="2">
        <v>3</v>
      </c>
      <c r="F445" s="1" t="s">
        <v>74</v>
      </c>
      <c r="G445" s="1" t="s">
        <v>72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6">
        <f>MAX(-16, MIN(16, Games[[#This Row],[RestDiff]]*8))</f>
        <v>0</v>
      </c>
      <c r="N445" s="16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1652.210797212924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1700.1533113331745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0.55170539285690856</v>
      </c>
      <c r="R445" s="1">
        <v>76</v>
      </c>
      <c r="S445" s="1">
        <v>59</v>
      </c>
      <c r="T445" s="1">
        <v>0</v>
      </c>
      <c r="U445" s="16">
        <f>Games[[#This Row],[PointsFor]]-Games[[#This Row],[PointsAgainst]]</f>
        <v>17</v>
      </c>
      <c r="V445" s="16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0.51198711132044183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5" s="9">
        <f>MAX(kmin, kmax - 0.15 * MIN(Games[[#This Row],[GamesPlayed]], 82))</f>
        <v>69.55</v>
      </c>
      <c r="Z445" s="4">
        <f>Games[[#This Row],[K]]*Games[[#This Row],[POMult]]</f>
        <v>93.892499999999998</v>
      </c>
      <c r="AA445" s="4">
        <f>(Games[[#This Row],[Keff]]*Games[[#This Row],[MOVMult]])*(Games[[#This Row],[Result]]-Games[[#This Row],[ExpectedWin%]])</f>
        <v>21.550306213531869</v>
      </c>
      <c r="AB445" s="4">
        <f>Games[[#This Row],[PreGmRate]]+Games[[#This Row],[RatingChange]]</f>
        <v>1673.761103426456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1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41203</v>
      </c>
      <c r="B446" s="2">
        <v>2012</v>
      </c>
      <c r="C446" s="2">
        <f>COUNTIFS(Games[Team],Games[[#This Row],[Team]],Games[Season],Games[[#This Row],[Season]],Games[Date],"&lt;=" &amp; Games[[#This Row],[Date]])</f>
        <v>43</v>
      </c>
      <c r="D446" s="2" t="s">
        <v>46</v>
      </c>
      <c r="E446" s="2">
        <v>3</v>
      </c>
      <c r="F446" s="1" t="s">
        <v>72</v>
      </c>
      <c r="G446" s="1" t="s">
        <v>74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6" s="2">
        <f>Games[[#This Row],[DaysOff]]-Games[[#This Row],[OppDaysOff]]</f>
        <v>0</v>
      </c>
      <c r="L446" s="2">
        <f>Games[[#This Row],[OppDaysOff]]-Games[[#This Row],[DaysOff]]</f>
        <v>0</v>
      </c>
      <c r="M446" s="16">
        <f>MAX(-16, MIN(16, Games[[#This Row],[RestDiff]]*8))</f>
        <v>0</v>
      </c>
      <c r="N446" s="16">
        <f>MAX(-16, MIN(16, Games[[#This Row],[OppRestDiff]]*8))</f>
        <v>0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1678.556527104804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1673.761103426456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0.38794983885660467</v>
      </c>
      <c r="R446" s="1">
        <v>78</v>
      </c>
      <c r="S446" s="1">
        <v>87</v>
      </c>
      <c r="T446" s="1">
        <v>0</v>
      </c>
      <c r="U446" s="16">
        <f>Games[[#This Row],[PointsFor]]-Games[[#This Row],[PointsAgainst]]</f>
        <v>-9</v>
      </c>
      <c r="V446" s="16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0.40435564661204521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6" s="9">
        <f>MAX(kmin, kmax - 0.15 * MIN(Games[[#This Row],[GamesPlayed]], 82))</f>
        <v>69.55</v>
      </c>
      <c r="Z446" s="4">
        <f>Games[[#This Row],[K]]*Games[[#This Row],[POMult]]</f>
        <v>93.892499999999998</v>
      </c>
      <c r="AA446" s="4">
        <f>(Games[[#This Row],[Keff]]*Games[[#This Row],[MOVMult]])*(Games[[#This Row],[Result]]-Games[[#This Row],[ExpectedWin%]])</f>
        <v>-14.728889053122737</v>
      </c>
      <c r="AB446" s="4">
        <f>Games[[#This Row],[PreGmRate]]+Games[[#This Row],[RatingChange]]</f>
        <v>1663.8276380516813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1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41203</v>
      </c>
      <c r="B447" s="2">
        <v>2012</v>
      </c>
      <c r="C447" s="2">
        <f>COUNTIFS(Games[Team],Games[[#This Row],[Team]],Games[Season],Games[[#This Row],[Season]],Games[Date],"&lt;=" &amp; Games[[#This Row],[Date]])</f>
        <v>44</v>
      </c>
      <c r="D447" s="2" t="s">
        <v>46</v>
      </c>
      <c r="E447" s="2">
        <v>3</v>
      </c>
      <c r="F447" s="1" t="s">
        <v>74</v>
      </c>
      <c r="G447" s="1" t="s">
        <v>72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7" s="2">
        <f>Games[[#This Row],[DaysOff]]-Games[[#This Row],[OppDaysOff]]</f>
        <v>0</v>
      </c>
      <c r="L447" s="2">
        <f>Games[[#This Row],[OppDaysOff]]-Games[[#This Row],[DaysOff]]</f>
        <v>0</v>
      </c>
      <c r="M447" s="16">
        <f>MAX(-16, MIN(16, Games[[#This Row],[RestDiff]]*8))</f>
        <v>0</v>
      </c>
      <c r="N447" s="16">
        <f>MAX(-16, MIN(16, Games[[#This Row],[OppRestDiff]]*8))</f>
        <v>0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1673.761103426456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1678.556527104804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0.61205016114339539</v>
      </c>
      <c r="R447" s="1">
        <v>87</v>
      </c>
      <c r="S447" s="1">
        <v>78</v>
      </c>
      <c r="T447" s="1">
        <v>0</v>
      </c>
      <c r="U447" s="16">
        <f>Games[[#This Row],[PointsFor]]-Games[[#This Row],[PointsAgainst]]</f>
        <v>9</v>
      </c>
      <c r="V447" s="16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0.40435564661204521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7" s="9">
        <f>MAX(kmin, kmax - 0.15 * MIN(Games[[#This Row],[GamesPlayed]], 82))</f>
        <v>69.400000000000006</v>
      </c>
      <c r="Z447" s="4">
        <f>Games[[#This Row],[K]]*Games[[#This Row],[POMult]]</f>
        <v>93.690000000000012</v>
      </c>
      <c r="AA447" s="4">
        <f>(Games[[#This Row],[Keff]]*Games[[#This Row],[MOVMult]])*(Games[[#This Row],[Result]]-Games[[#This Row],[ExpectedWin%]])</f>
        <v>14.697122937264094</v>
      </c>
      <c r="AB447" s="4">
        <f>Games[[#This Row],[PreGmRate]]+Games[[#This Row],[RatingChange]]</f>
        <v>1688.4582263637201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1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2026-07-27T10:30:42Z</dcterms:modified>
</cp:coreProperties>
</file>
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C1CAE625-009D-4024-BACD-3FD0A7BFCBE3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6" i="2" l="1"/>
  <c r="C547" i="2"/>
  <c r="I546" i="2" a="1"/>
  <c r="I547" i="2" a="1"/>
  <c r="J546" i="2" a="1"/>
  <c r="J547" i="2" a="1"/>
  <c r="K546" i="2"/>
  <c r="L546" i="2"/>
  <c r="M546" i="2"/>
  <c r="N546" i="2"/>
  <c r="U546" i="2"/>
  <c r="U547" i="2"/>
  <c r="V546" i="2"/>
  <c r="V547" i="2"/>
  <c r="X546" i="2" a="1"/>
  <c r="X547" i="2" a="1"/>
  <c r="Y546" i="2"/>
  <c r="Y547" i="2"/>
  <c r="Z546" i="2"/>
  <c r="Z547" i="2"/>
  <c r="AC546" i="2"/>
  <c r="AC547" i="2"/>
  <c r="AD546" i="2"/>
  <c r="AD547" i="2"/>
  <c r="AE546" i="2"/>
  <c r="AE547" i="2"/>
  <c r="AF546" i="2"/>
  <c r="AF547" i="2"/>
  <c r="AG546" i="2"/>
  <c r="AG547" i="2"/>
  <c r="AH546" i="2"/>
  <c r="AH547" i="2"/>
  <c r="AI546" i="2"/>
  <c r="AI547" i="2"/>
  <c r="AJ546" i="2"/>
  <c r="AJ547" i="2"/>
  <c r="AK546" i="2"/>
  <c r="AK547" i="2"/>
  <c r="AL546" i="2"/>
  <c r="AL547" i="2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C408" i="2"/>
  <c r="Y408" i="2" s="1"/>
  <c r="C409" i="2"/>
  <c r="Y409" i="2" s="1"/>
  <c r="C410" i="2"/>
  <c r="Y410" i="2" s="1"/>
  <c r="C411" i="2"/>
  <c r="Y411" i="2" s="1"/>
  <c r="C412" i="2"/>
  <c r="Y412" i="2" s="1"/>
  <c r="C413" i="2"/>
  <c r="Y413" i="2" s="1"/>
  <c r="C414" i="2"/>
  <c r="Y414" i="2" s="1"/>
  <c r="C415" i="2"/>
  <c r="Y415" i="2" s="1"/>
  <c r="C416" i="2"/>
  <c r="Y416" i="2" s="1"/>
  <c r="C417" i="2"/>
  <c r="Y417" i="2" s="1"/>
  <c r="C418" i="2"/>
  <c r="Y418" i="2" s="1"/>
  <c r="C419" i="2"/>
  <c r="Y419" i="2" s="1"/>
  <c r="C420" i="2"/>
  <c r="Y420" i="2" s="1"/>
  <c r="C421" i="2"/>
  <c r="Y421" i="2" s="1"/>
  <c r="C422" i="2"/>
  <c r="Y422" i="2" s="1"/>
  <c r="C423" i="2"/>
  <c r="Y423" i="2" s="1"/>
  <c r="C424" i="2"/>
  <c r="Y424" i="2" s="1"/>
  <c r="C425" i="2"/>
  <c r="Y425" i="2" s="1"/>
  <c r="C426" i="2"/>
  <c r="Y426" i="2" s="1"/>
  <c r="C427" i="2"/>
  <c r="Y427" i="2" s="1"/>
  <c r="C428" i="2"/>
  <c r="Y428" i="2" s="1"/>
  <c r="C429" i="2"/>
  <c r="Y429" i="2" s="1"/>
  <c r="C430" i="2"/>
  <c r="Y430" i="2" s="1"/>
  <c r="C431" i="2"/>
  <c r="Y431" i="2" s="1"/>
  <c r="C432" i="2"/>
  <c r="Y432" i="2" s="1"/>
  <c r="C433" i="2"/>
  <c r="Y433" i="2" s="1"/>
  <c r="C434" i="2"/>
  <c r="Y434" i="2" s="1"/>
  <c r="C435" i="2"/>
  <c r="Y435" i="2" s="1"/>
  <c r="C436" i="2"/>
  <c r="Y436" i="2" s="1"/>
  <c r="C437" i="2"/>
  <c r="Y437" i="2" s="1"/>
  <c r="C438" i="2"/>
  <c r="Y438" i="2" s="1"/>
  <c r="C439" i="2"/>
  <c r="Y439" i="2" s="1"/>
  <c r="C440" i="2"/>
  <c r="Y440" i="2" s="1"/>
  <c r="C441" i="2"/>
  <c r="Y441" i="2" s="1"/>
  <c r="C442" i="2"/>
  <c r="Y442" i="2" s="1"/>
  <c r="C443" i="2"/>
  <c r="Y443" i="2" s="1"/>
  <c r="C444" i="2"/>
  <c r="Y444" i="2" s="1"/>
  <c r="C445" i="2"/>
  <c r="Y445" i="2" s="1"/>
  <c r="C446" i="2"/>
  <c r="Y446" i="2" s="1"/>
  <c r="C447" i="2"/>
  <c r="Y447" i="2" s="1"/>
  <c r="C448" i="2"/>
  <c r="Y448" i="2" s="1"/>
  <c r="C449" i="2"/>
  <c r="Y449" i="2" s="1"/>
  <c r="C450" i="2"/>
  <c r="Y450" i="2" s="1"/>
  <c r="C451" i="2"/>
  <c r="Y451" i="2" s="1"/>
  <c r="C452" i="2"/>
  <c r="Y452" i="2" s="1"/>
  <c r="C453" i="2"/>
  <c r="Y453" i="2" s="1"/>
  <c r="C454" i="2"/>
  <c r="Y454" i="2" s="1"/>
  <c r="C455" i="2"/>
  <c r="Y455" i="2" s="1"/>
  <c r="C456" i="2"/>
  <c r="Y456" i="2" s="1"/>
  <c r="C457" i="2"/>
  <c r="Y457" i="2" s="1"/>
  <c r="C458" i="2"/>
  <c r="Y458" i="2" s="1"/>
  <c r="C459" i="2"/>
  <c r="Y459" i="2" s="1"/>
  <c r="C460" i="2"/>
  <c r="Y460" i="2" s="1"/>
  <c r="C461" i="2"/>
  <c r="Y461" i="2" s="1"/>
  <c r="C462" i="2"/>
  <c r="Y462" i="2" s="1"/>
  <c r="C463" i="2"/>
  <c r="Y463" i="2" s="1"/>
  <c r="C464" i="2"/>
  <c r="Y464" i="2" s="1"/>
  <c r="C465" i="2"/>
  <c r="Y465" i="2" s="1"/>
  <c r="C466" i="2"/>
  <c r="Y466" i="2" s="1"/>
  <c r="C467" i="2"/>
  <c r="Y467" i="2" s="1"/>
  <c r="C468" i="2"/>
  <c r="Y468" i="2" s="1"/>
  <c r="C469" i="2"/>
  <c r="Y469" i="2" s="1"/>
  <c r="C470" i="2"/>
  <c r="Y470" i="2" s="1"/>
  <c r="C471" i="2"/>
  <c r="Y471" i="2" s="1"/>
  <c r="C472" i="2"/>
  <c r="Y472" i="2" s="1"/>
  <c r="C473" i="2"/>
  <c r="Y473" i="2" s="1"/>
  <c r="C474" i="2"/>
  <c r="Y474" i="2" s="1"/>
  <c r="C475" i="2"/>
  <c r="Y475" i="2" s="1"/>
  <c r="C476" i="2"/>
  <c r="Y476" i="2" s="1"/>
  <c r="C477" i="2"/>
  <c r="Y477" i="2" s="1"/>
  <c r="C478" i="2"/>
  <c r="Y478" i="2" s="1"/>
  <c r="C479" i="2"/>
  <c r="Y479" i="2" s="1"/>
  <c r="C480" i="2"/>
  <c r="Y480" i="2" s="1"/>
  <c r="C481" i="2"/>
  <c r="Y481" i="2" s="1"/>
  <c r="C482" i="2"/>
  <c r="Y482" i="2" s="1"/>
  <c r="C483" i="2"/>
  <c r="Y483" i="2" s="1"/>
  <c r="C484" i="2"/>
  <c r="Y484" i="2" s="1"/>
  <c r="C485" i="2"/>
  <c r="Y485" i="2" s="1"/>
  <c r="C486" i="2"/>
  <c r="Y486" i="2" s="1"/>
  <c r="C487" i="2"/>
  <c r="Y487" i="2" s="1"/>
  <c r="C488" i="2"/>
  <c r="Y488" i="2" s="1"/>
  <c r="C489" i="2"/>
  <c r="Y489" i="2" s="1"/>
  <c r="C490" i="2"/>
  <c r="Y490" i="2" s="1"/>
  <c r="C491" i="2"/>
  <c r="Y491" i="2" s="1"/>
  <c r="C492" i="2"/>
  <c r="Y492" i="2" s="1"/>
  <c r="C493" i="2"/>
  <c r="Y493" i="2" s="1"/>
  <c r="C494" i="2"/>
  <c r="Y494" i="2" s="1"/>
  <c r="C495" i="2"/>
  <c r="Y495" i="2" s="1"/>
  <c r="C496" i="2"/>
  <c r="Y496" i="2" s="1"/>
  <c r="C497" i="2"/>
  <c r="Y497" i="2" s="1"/>
  <c r="C498" i="2"/>
  <c r="Y498" i="2" s="1"/>
  <c r="C499" i="2"/>
  <c r="Y499" i="2" s="1"/>
  <c r="C500" i="2"/>
  <c r="Y500" i="2" s="1"/>
  <c r="C501" i="2"/>
  <c r="Y501" i="2" s="1"/>
  <c r="C502" i="2"/>
  <c r="Y502" i="2" s="1"/>
  <c r="C503" i="2"/>
  <c r="Y503" i="2" s="1"/>
  <c r="C504" i="2"/>
  <c r="Y504" i="2" s="1"/>
  <c r="C505" i="2"/>
  <c r="Y505" i="2" s="1"/>
  <c r="C506" i="2"/>
  <c r="Y506" i="2" s="1"/>
  <c r="C507" i="2"/>
  <c r="Y507" i="2" s="1"/>
  <c r="C508" i="2"/>
  <c r="Y508" i="2" s="1"/>
  <c r="C509" i="2"/>
  <c r="Y509" i="2" s="1"/>
  <c r="C510" i="2"/>
  <c r="Y510" i="2" s="1"/>
  <c r="C511" i="2"/>
  <c r="Y511" i="2" s="1"/>
  <c r="C512" i="2"/>
  <c r="Y512" i="2" s="1"/>
  <c r="C513" i="2"/>
  <c r="Y513" i="2" s="1"/>
  <c r="C514" i="2"/>
  <c r="Y514" i="2" s="1"/>
  <c r="C515" i="2"/>
  <c r="Y515" i="2" s="1"/>
  <c r="C516" i="2"/>
  <c r="Y516" i="2" s="1"/>
  <c r="C517" i="2"/>
  <c r="Y517" i="2" s="1"/>
  <c r="C518" i="2"/>
  <c r="Y518" i="2" s="1"/>
  <c r="C519" i="2"/>
  <c r="Y519" i="2" s="1"/>
  <c r="C520" i="2"/>
  <c r="Y520" i="2" s="1"/>
  <c r="C521" i="2"/>
  <c r="Y521" i="2" s="1"/>
  <c r="C522" i="2"/>
  <c r="Y522" i="2" s="1"/>
  <c r="C523" i="2"/>
  <c r="Y523" i="2" s="1"/>
  <c r="C524" i="2"/>
  <c r="Y524" i="2" s="1"/>
  <c r="C525" i="2"/>
  <c r="Y525" i="2" s="1"/>
  <c r="C526" i="2"/>
  <c r="Y526" i="2" s="1"/>
  <c r="C527" i="2"/>
  <c r="Y527" i="2" s="1"/>
  <c r="C528" i="2"/>
  <c r="Y528" i="2" s="1"/>
  <c r="C529" i="2"/>
  <c r="Y529" i="2" s="1"/>
  <c r="C530" i="2"/>
  <c r="Y530" i="2" s="1"/>
  <c r="C531" i="2"/>
  <c r="Y531" i="2" s="1"/>
  <c r="C532" i="2"/>
  <c r="Y532" i="2" s="1"/>
  <c r="C533" i="2"/>
  <c r="Y533" i="2" s="1"/>
  <c r="C534" i="2"/>
  <c r="Y534" i="2" s="1"/>
  <c r="C535" i="2"/>
  <c r="Y535" i="2" s="1"/>
  <c r="C536" i="2"/>
  <c r="Y536" i="2" s="1"/>
  <c r="C537" i="2"/>
  <c r="Y537" i="2" s="1"/>
  <c r="C538" i="2"/>
  <c r="Y538" i="2" s="1"/>
  <c r="C539" i="2"/>
  <c r="Y539" i="2" s="1"/>
  <c r="C540" i="2"/>
  <c r="Y540" i="2" s="1"/>
  <c r="C541" i="2"/>
  <c r="Y541" i="2" s="1"/>
  <c r="C542" i="2"/>
  <c r="Y542" i="2" s="1"/>
  <c r="C543" i="2"/>
  <c r="Y543" i="2" s="1"/>
  <c r="C544" i="2"/>
  <c r="Y544" i="2" s="1"/>
  <c r="C545" i="2"/>
  <c r="Y545" i="2" s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I418" i="2" a="1"/>
  <c r="I419" i="2" a="1"/>
  <c r="I420" i="2" a="1"/>
  <c r="I421" i="2" a="1"/>
  <c r="I422" i="2" a="1"/>
  <c r="I423" i="2" a="1"/>
  <c r="I424" i="2" a="1"/>
  <c r="I425" i="2" a="1"/>
  <c r="I426" i="2" a="1"/>
  <c r="I427" i="2" a="1"/>
  <c r="I428" i="2" a="1"/>
  <c r="I429" i="2" a="1"/>
  <c r="I430" i="2" a="1"/>
  <c r="I431" i="2" a="1"/>
  <c r="I432" i="2" a="1"/>
  <c r="I433" i="2" a="1"/>
  <c r="I434" i="2" a="1"/>
  <c r="I435" i="2" a="1"/>
  <c r="I436" i="2" a="1"/>
  <c r="I437" i="2" a="1"/>
  <c r="I438" i="2" a="1"/>
  <c r="I439" i="2" a="1"/>
  <c r="I440" i="2" a="1"/>
  <c r="I441" i="2" a="1"/>
  <c r="I442" i="2" a="1"/>
  <c r="I443" i="2" a="1"/>
  <c r="I444" i="2" a="1"/>
  <c r="I445" i="2" a="1"/>
  <c r="I446" i="2" a="1"/>
  <c r="I447" i="2" a="1"/>
  <c r="I448" i="2" a="1"/>
  <c r="I449" i="2" a="1"/>
  <c r="I450" i="2" a="1"/>
  <c r="I451" i="2" a="1"/>
  <c r="I452" i="2" a="1"/>
  <c r="I453" i="2" a="1"/>
  <c r="I454" i="2" a="1"/>
  <c r="I455" i="2" a="1"/>
  <c r="I456" i="2" a="1"/>
  <c r="I457" i="2" a="1"/>
  <c r="I458" i="2" a="1"/>
  <c r="I459" i="2" a="1"/>
  <c r="I460" i="2" a="1"/>
  <c r="I461" i="2" a="1"/>
  <c r="I462" i="2" a="1"/>
  <c r="I463" i="2" a="1"/>
  <c r="I464" i="2" a="1"/>
  <c r="I465" i="2" a="1"/>
  <c r="I466" i="2" a="1"/>
  <c r="I467" i="2" a="1"/>
  <c r="I468" i="2" a="1"/>
  <c r="I469" i="2" a="1"/>
  <c r="I470" i="2" a="1"/>
  <c r="I471" i="2" a="1"/>
  <c r="I472" i="2" a="1"/>
  <c r="I473" i="2" a="1"/>
  <c r="I474" i="2" a="1"/>
  <c r="I475" i="2" a="1"/>
  <c r="I476" i="2" a="1"/>
  <c r="I477" i="2" a="1"/>
  <c r="I478" i="2" a="1"/>
  <c r="I479" i="2" a="1"/>
  <c r="I480" i="2" a="1"/>
  <c r="I481" i="2" a="1"/>
  <c r="I482" i="2" a="1"/>
  <c r="I483" i="2" a="1"/>
  <c r="I484" i="2" a="1"/>
  <c r="I485" i="2" a="1"/>
  <c r="I486" i="2" a="1"/>
  <c r="I487" i="2" a="1"/>
  <c r="I488" i="2" a="1"/>
  <c r="I489" i="2" a="1"/>
  <c r="I490" i="2" a="1"/>
  <c r="I491" i="2" a="1"/>
  <c r="I492" i="2" a="1"/>
  <c r="I493" i="2" a="1"/>
  <c r="I494" i="2" a="1"/>
  <c r="I495" i="2" a="1"/>
  <c r="I496" i="2" a="1"/>
  <c r="I497" i="2" a="1"/>
  <c r="I498" i="2" a="1"/>
  <c r="I499" i="2" a="1"/>
  <c r="I500" i="2" a="1"/>
  <c r="I501" i="2" a="1"/>
  <c r="I502" i="2" a="1"/>
  <c r="I503" i="2" a="1"/>
  <c r="I504" i="2" a="1"/>
  <c r="I505" i="2" a="1"/>
  <c r="I506" i="2" a="1"/>
  <c r="I507" i="2" a="1"/>
  <c r="I508" i="2" a="1"/>
  <c r="I509" i="2" a="1"/>
  <c r="I510" i="2" a="1"/>
  <c r="I511" i="2" a="1"/>
  <c r="I512" i="2" a="1"/>
  <c r="I513" i="2" a="1"/>
  <c r="I514" i="2" a="1"/>
  <c r="I515" i="2" a="1"/>
  <c r="I516" i="2" a="1"/>
  <c r="I517" i="2" a="1"/>
  <c r="I518" i="2" a="1"/>
  <c r="I519" i="2" a="1"/>
  <c r="I520" i="2" a="1"/>
  <c r="I521" i="2" a="1"/>
  <c r="I522" i="2" a="1"/>
  <c r="I523" i="2" a="1"/>
  <c r="I524" i="2" a="1"/>
  <c r="I525" i="2" a="1"/>
  <c r="I526" i="2" a="1"/>
  <c r="I527" i="2" a="1"/>
  <c r="I528" i="2" a="1"/>
  <c r="I529" i="2" a="1"/>
  <c r="I530" i="2" a="1"/>
  <c r="I531" i="2" a="1"/>
  <c r="I532" i="2" a="1"/>
  <c r="I533" i="2" a="1"/>
  <c r="I534" i="2" a="1"/>
  <c r="I535" i="2" a="1"/>
  <c r="I536" i="2" a="1"/>
  <c r="I537" i="2" a="1"/>
  <c r="I538" i="2" a="1"/>
  <c r="I539" i="2" a="1"/>
  <c r="I540" i="2" a="1"/>
  <c r="I541" i="2" a="1"/>
  <c r="I542" i="2" a="1"/>
  <c r="I543" i="2" a="1"/>
  <c r="I544" i="2" a="1"/>
  <c r="I545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J524" i="2" a="1"/>
  <c r="J525" i="2" a="1"/>
  <c r="J526" i="2" a="1"/>
  <c r="J527" i="2" a="1"/>
  <c r="J528" i="2" a="1"/>
  <c r="J529" i="2" a="1"/>
  <c r="J530" i="2" a="1"/>
  <c r="J531" i="2" a="1"/>
  <c r="J532" i="2" a="1"/>
  <c r="J533" i="2" a="1"/>
  <c r="J534" i="2" a="1"/>
  <c r="J535" i="2" a="1"/>
  <c r="J536" i="2" a="1"/>
  <c r="J537" i="2" a="1"/>
  <c r="J538" i="2" a="1"/>
  <c r="J539" i="2" a="1"/>
  <c r="J540" i="2" a="1"/>
  <c r="J541" i="2" a="1"/>
  <c r="J542" i="2" a="1"/>
  <c r="K542" i="2" s="1"/>
  <c r="M542" i="2" s="1"/>
  <c r="J543" i="2" a="1"/>
  <c r="K543" i="2" s="1"/>
  <c r="M543" i="2" s="1"/>
  <c r="J544" i="2" a="1"/>
  <c r="K544" i="2" s="1"/>
  <c r="M544" i="2" s="1"/>
  <c r="J545" i="2" a="1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AE514" i="2" s="1"/>
  <c r="V515" i="2"/>
  <c r="AE515" i="2" s="1"/>
  <c r="V516" i="2"/>
  <c r="AE516" i="2" s="1"/>
  <c r="V517" i="2"/>
  <c r="AE517" i="2" s="1"/>
  <c r="V518" i="2"/>
  <c r="AE518" i="2" s="1"/>
  <c r="V519" i="2"/>
  <c r="AE519" i="2" s="1"/>
  <c r="V520" i="2"/>
  <c r="AE520" i="2" s="1"/>
  <c r="V521" i="2"/>
  <c r="AE521" i="2" s="1"/>
  <c r="V522" i="2"/>
  <c r="AE522" i="2" s="1"/>
  <c r="V523" i="2"/>
  <c r="AE523" i="2" s="1"/>
  <c r="V524" i="2"/>
  <c r="AE524" i="2" s="1"/>
  <c r="V525" i="2"/>
  <c r="AE525" i="2" s="1"/>
  <c r="V526" i="2"/>
  <c r="AE526" i="2" s="1"/>
  <c r="V527" i="2"/>
  <c r="AE527" i="2" s="1"/>
  <c r="V528" i="2"/>
  <c r="AE528" i="2" s="1"/>
  <c r="V529" i="2"/>
  <c r="AE529" i="2" s="1"/>
  <c r="V530" i="2"/>
  <c r="AE530" i="2" s="1"/>
  <c r="V531" i="2"/>
  <c r="AE531" i="2" s="1"/>
  <c r="V532" i="2"/>
  <c r="AE532" i="2" s="1"/>
  <c r="V533" i="2"/>
  <c r="AE533" i="2" s="1"/>
  <c r="V534" i="2"/>
  <c r="V535" i="2"/>
  <c r="V536" i="2"/>
  <c r="V537" i="2"/>
  <c r="V538" i="2"/>
  <c r="V539" i="2"/>
  <c r="V540" i="2"/>
  <c r="V541" i="2"/>
  <c r="V542" i="2"/>
  <c r="V543" i="2"/>
  <c r="V544" i="2"/>
  <c r="V545" i="2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X422" i="2" a="1"/>
  <c r="X423" i="2" a="1"/>
  <c r="X424" i="2" a="1"/>
  <c r="X425" i="2" a="1"/>
  <c r="X426" i="2" a="1"/>
  <c r="X427" i="2" a="1"/>
  <c r="X428" i="2" a="1"/>
  <c r="X429" i="2" a="1"/>
  <c r="X430" i="2" a="1"/>
  <c r="X431" i="2" a="1"/>
  <c r="X432" i="2" a="1"/>
  <c r="X433" i="2" a="1"/>
  <c r="X434" i="2" a="1"/>
  <c r="X435" i="2" a="1"/>
  <c r="X436" i="2" a="1"/>
  <c r="X437" i="2" a="1"/>
  <c r="X438" i="2" a="1"/>
  <c r="X439" i="2" a="1"/>
  <c r="X440" i="2" a="1"/>
  <c r="X441" i="2" a="1"/>
  <c r="X442" i="2" a="1"/>
  <c r="X443" i="2" a="1"/>
  <c r="X444" i="2" a="1"/>
  <c r="X445" i="2" a="1"/>
  <c r="X446" i="2" a="1"/>
  <c r="X447" i="2" a="1"/>
  <c r="X448" i="2" a="1"/>
  <c r="X449" i="2" a="1"/>
  <c r="X450" i="2" a="1"/>
  <c r="X451" i="2" a="1"/>
  <c r="X452" i="2" a="1"/>
  <c r="X453" i="2" a="1"/>
  <c r="X454" i="2" a="1"/>
  <c r="X455" i="2" a="1"/>
  <c r="X456" i="2" a="1"/>
  <c r="X457" i="2" a="1"/>
  <c r="X458" i="2" a="1"/>
  <c r="X459" i="2" a="1"/>
  <c r="X460" i="2" a="1"/>
  <c r="X461" i="2" a="1"/>
  <c r="X462" i="2" a="1"/>
  <c r="X463" i="2" a="1"/>
  <c r="X464" i="2" a="1"/>
  <c r="X465" i="2" a="1"/>
  <c r="X466" i="2" a="1"/>
  <c r="X467" i="2" a="1"/>
  <c r="X468" i="2" a="1"/>
  <c r="X469" i="2" a="1"/>
  <c r="X470" i="2" a="1"/>
  <c r="X471" i="2" a="1"/>
  <c r="X472" i="2" a="1"/>
  <c r="X473" i="2" a="1"/>
  <c r="X474" i="2" a="1"/>
  <c r="X475" i="2" a="1"/>
  <c r="X476" i="2" a="1"/>
  <c r="X477" i="2" a="1"/>
  <c r="X478" i="2" a="1"/>
  <c r="X479" i="2" a="1"/>
  <c r="X480" i="2" a="1"/>
  <c r="X481" i="2" a="1"/>
  <c r="X482" i="2" a="1"/>
  <c r="X483" i="2" a="1"/>
  <c r="X484" i="2" a="1"/>
  <c r="X485" i="2" a="1"/>
  <c r="X486" i="2" a="1"/>
  <c r="X487" i="2" a="1"/>
  <c r="X488" i="2" a="1"/>
  <c r="X489" i="2" a="1"/>
  <c r="X490" i="2" a="1"/>
  <c r="X491" i="2" a="1"/>
  <c r="X492" i="2" a="1"/>
  <c r="X493" i="2" a="1"/>
  <c r="X494" i="2" a="1"/>
  <c r="X495" i="2" a="1"/>
  <c r="X496" i="2" a="1"/>
  <c r="X497" i="2" a="1"/>
  <c r="X498" i="2" a="1"/>
  <c r="X499" i="2" a="1"/>
  <c r="X500" i="2" a="1"/>
  <c r="X501" i="2" a="1"/>
  <c r="X502" i="2" a="1"/>
  <c r="X503" i="2" a="1"/>
  <c r="X504" i="2" a="1"/>
  <c r="X505" i="2" a="1"/>
  <c r="X506" i="2" a="1"/>
  <c r="X507" i="2" a="1"/>
  <c r="X508" i="2" a="1"/>
  <c r="X509" i="2" a="1"/>
  <c r="X510" i="2" a="1"/>
  <c r="X511" i="2" a="1"/>
  <c r="X512" i="2" a="1"/>
  <c r="X513" i="2" a="1"/>
  <c r="X514" i="2" a="1"/>
  <c r="X515" i="2" a="1"/>
  <c r="X516" i="2" a="1"/>
  <c r="X517" i="2" a="1"/>
  <c r="X518" i="2" a="1"/>
  <c r="X519" i="2" a="1"/>
  <c r="X520" i="2" a="1"/>
  <c r="X521" i="2" a="1"/>
  <c r="X522" i="2" a="1"/>
  <c r="X523" i="2" a="1"/>
  <c r="X524" i="2" a="1"/>
  <c r="X525" i="2" a="1"/>
  <c r="X526" i="2" a="1"/>
  <c r="X527" i="2" a="1"/>
  <c r="X528" i="2" a="1"/>
  <c r="X529" i="2" a="1"/>
  <c r="X530" i="2" a="1"/>
  <c r="X531" i="2" a="1"/>
  <c r="X532" i="2" a="1"/>
  <c r="X533" i="2" a="1"/>
  <c r="X534" i="2" a="1"/>
  <c r="X535" i="2" a="1"/>
  <c r="X536" i="2" a="1"/>
  <c r="X537" i="2" a="1"/>
  <c r="X538" i="2" a="1"/>
  <c r="X539" i="2" a="1"/>
  <c r="X540" i="2" a="1"/>
  <c r="X541" i="2" a="1"/>
  <c r="X542" i="2" a="1"/>
  <c r="X543" i="2" a="1"/>
  <c r="X544" i="2" a="1"/>
  <c r="X545" i="2" a="1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E29" i="3"/>
  <c r="D29" i="3"/>
  <c r="F29" i="3" s="1"/>
  <c r="C29" i="3"/>
  <c r="B29" i="3"/>
  <c r="E31" i="3"/>
  <c r="D31" i="3"/>
  <c r="F31" i="3" s="1"/>
  <c r="C31" i="3"/>
  <c r="B31" i="3"/>
  <c r="E36" i="3"/>
  <c r="D36" i="3"/>
  <c r="F36" i="3" s="1"/>
  <c r="C36" i="3"/>
  <c r="B36" i="3"/>
  <c r="E38" i="3"/>
  <c r="D38" i="3"/>
  <c r="F38" i="3" s="1"/>
  <c r="C38" i="3"/>
  <c r="B38" i="3"/>
  <c r="C318" i="2"/>
  <c r="Y318" i="2" s="1"/>
  <c r="C319" i="2"/>
  <c r="Y319" i="2" s="1"/>
  <c r="C320" i="2"/>
  <c r="Y320" i="2" s="1"/>
  <c r="C321" i="2"/>
  <c r="Y321" i="2" s="1"/>
  <c r="C322" i="2"/>
  <c r="Y322" i="2" s="1"/>
  <c r="C323" i="2"/>
  <c r="Y323" i="2" s="1"/>
  <c r="C324" i="2"/>
  <c r="Y324" i="2" s="1"/>
  <c r="C325" i="2"/>
  <c r="Y325" i="2" s="1"/>
  <c r="C326" i="2"/>
  <c r="Y326" i="2" s="1"/>
  <c r="C327" i="2"/>
  <c r="Y327" i="2" s="1"/>
  <c r="C328" i="2"/>
  <c r="Y328" i="2" s="1"/>
  <c r="C329" i="2"/>
  <c r="Y329" i="2" s="1"/>
  <c r="C330" i="2"/>
  <c r="Y330" i="2" s="1"/>
  <c r="C331" i="2"/>
  <c r="Y331" i="2" s="1"/>
  <c r="C332" i="2"/>
  <c r="Y332" i="2" s="1"/>
  <c r="C333" i="2"/>
  <c r="Y333" i="2" s="1"/>
  <c r="C334" i="2"/>
  <c r="Y334" i="2" s="1"/>
  <c r="C335" i="2"/>
  <c r="Y335" i="2" s="1"/>
  <c r="C336" i="2"/>
  <c r="Y336" i="2" s="1"/>
  <c r="C337" i="2"/>
  <c r="Y337" i="2" s="1"/>
  <c r="C338" i="2"/>
  <c r="Y338" i="2" s="1"/>
  <c r="C339" i="2"/>
  <c r="Y339" i="2" s="1"/>
  <c r="C340" i="2"/>
  <c r="Y340" i="2" s="1"/>
  <c r="C341" i="2"/>
  <c r="Y341" i="2" s="1"/>
  <c r="C342" i="2"/>
  <c r="Y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L344" i="2" s="1"/>
  <c r="N344" i="2" s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AE386" i="2" s="1"/>
  <c r="V387" i="2"/>
  <c r="AE387" i="2" s="1"/>
  <c r="V388" i="2"/>
  <c r="AE388" i="2" s="1"/>
  <c r="V389" i="2"/>
  <c r="AE389" i="2" s="1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E32" i="3"/>
  <c r="D32" i="3"/>
  <c r="C32" i="3"/>
  <c r="B32" i="3"/>
  <c r="E34" i="3"/>
  <c r="D34" i="3"/>
  <c r="C34" i="3"/>
  <c r="B34" i="3"/>
  <c r="E27" i="3"/>
  <c r="D27" i="3"/>
  <c r="F27" i="3" s="1"/>
  <c r="C27" i="3"/>
  <c r="B27" i="3"/>
  <c r="E40" i="3"/>
  <c r="D40" i="3"/>
  <c r="F40" i="3" s="1"/>
  <c r="C40" i="3"/>
  <c r="B40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L248" i="2" s="1"/>
  <c r="N248" i="2" s="1"/>
  <c r="J249" i="2" a="1"/>
  <c r="L249" i="2" s="1"/>
  <c r="N249" i="2" s="1"/>
  <c r="J250" i="2" a="1"/>
  <c r="J251" i="2" a="1"/>
  <c r="L251" i="2" s="1"/>
  <c r="N251" i="2" s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0" i="2"/>
  <c r="V240" i="2" s="1"/>
  <c r="U241" i="2"/>
  <c r="V241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AC503" i="2" l="1"/>
  <c r="AD503" i="2"/>
  <c r="AC504" i="2"/>
  <c r="AD504" i="2"/>
  <c r="AC505" i="2"/>
  <c r="AD505" i="2"/>
  <c r="AC506" i="2"/>
  <c r="AD506" i="2"/>
  <c r="AC507" i="2"/>
  <c r="AD507" i="2"/>
  <c r="AC508" i="2"/>
  <c r="AD508" i="2"/>
  <c r="AC509" i="2"/>
  <c r="AD509" i="2"/>
  <c r="AC510" i="2"/>
  <c r="AD510" i="2"/>
  <c r="AC511" i="2"/>
  <c r="AD511" i="2"/>
  <c r="AC512" i="2"/>
  <c r="AD512" i="2"/>
  <c r="AC513" i="2"/>
  <c r="AD513" i="2"/>
  <c r="K252" i="2"/>
  <c r="M252" i="2" s="1"/>
  <c r="K253" i="2"/>
  <c r="M253" i="2" s="1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547" i="2"/>
  <c r="M547" i="2" s="1"/>
  <c r="L547" i="2"/>
  <c r="N547" i="2" s="1"/>
  <c r="L345" i="2"/>
  <c r="N345" i="2" s="1"/>
  <c r="L346" i="2"/>
  <c r="N346" i="2" s="1"/>
  <c r="K248" i="2"/>
  <c r="M248" i="2" s="1"/>
  <c r="K249" i="2"/>
  <c r="M249" i="2" s="1"/>
  <c r="K251" i="2"/>
  <c r="M251" i="2" s="1"/>
  <c r="L252" i="2"/>
  <c r="N252" i="2" s="1"/>
  <c r="L253" i="2"/>
  <c r="N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347" i="2"/>
  <c r="N347" i="2" s="1"/>
  <c r="L348" i="2"/>
  <c r="N348" i="2" s="1"/>
  <c r="L349" i="2"/>
  <c r="N349" i="2" s="1"/>
  <c r="L350" i="2"/>
  <c r="N350" i="2" s="1"/>
  <c r="L351" i="2"/>
  <c r="N351" i="2" s="1"/>
  <c r="L352" i="2"/>
  <c r="N352" i="2" s="1"/>
  <c r="L353" i="2"/>
  <c r="N353" i="2" s="1"/>
  <c r="L354" i="2"/>
  <c r="N354" i="2" s="1"/>
  <c r="L355" i="2"/>
  <c r="N355" i="2" s="1"/>
  <c r="L356" i="2"/>
  <c r="N356" i="2" s="1"/>
  <c r="L357" i="2"/>
  <c r="N357" i="2" s="1"/>
  <c r="L358" i="2"/>
  <c r="N358" i="2" s="1"/>
  <c r="L359" i="2"/>
  <c r="N359" i="2" s="1"/>
  <c r="L360" i="2"/>
  <c r="N360" i="2" s="1"/>
  <c r="L361" i="2"/>
  <c r="N361" i="2" s="1"/>
  <c r="L362" i="2"/>
  <c r="N362" i="2" s="1"/>
  <c r="L363" i="2"/>
  <c r="N363" i="2" s="1"/>
  <c r="L364" i="2"/>
  <c r="N364" i="2" s="1"/>
  <c r="L365" i="2"/>
  <c r="N365" i="2" s="1"/>
  <c r="L366" i="2"/>
  <c r="N366" i="2" s="1"/>
  <c r="L367" i="2"/>
  <c r="N367" i="2" s="1"/>
  <c r="L368" i="2"/>
  <c r="N368" i="2" s="1"/>
  <c r="L369" i="2"/>
  <c r="N369" i="2" s="1"/>
  <c r="L370" i="2"/>
  <c r="N370" i="2" s="1"/>
  <c r="L371" i="2"/>
  <c r="N371" i="2" s="1"/>
  <c r="L372" i="2"/>
  <c r="N372" i="2" s="1"/>
  <c r="L373" i="2"/>
  <c r="N373" i="2" s="1"/>
  <c r="L374" i="2"/>
  <c r="N374" i="2" s="1"/>
  <c r="L375" i="2"/>
  <c r="N375" i="2" s="1"/>
  <c r="L376" i="2"/>
  <c r="N376" i="2" s="1"/>
  <c r="L377" i="2"/>
  <c r="N377" i="2" s="1"/>
  <c r="L378" i="2"/>
  <c r="N378" i="2" s="1"/>
  <c r="L379" i="2"/>
  <c r="N379" i="2" s="1"/>
  <c r="L380" i="2"/>
  <c r="N380" i="2" s="1"/>
  <c r="L381" i="2"/>
  <c r="N381" i="2" s="1"/>
  <c r="L382" i="2"/>
  <c r="N382" i="2" s="1"/>
  <c r="L383" i="2"/>
  <c r="N383" i="2" s="1"/>
  <c r="L384" i="2"/>
  <c r="N384" i="2" s="1"/>
  <c r="L385" i="2"/>
  <c r="N385" i="2" s="1"/>
  <c r="L386" i="2"/>
  <c r="N386" i="2" s="1"/>
  <c r="L387" i="2"/>
  <c r="N387" i="2" s="1"/>
  <c r="L388" i="2"/>
  <c r="N388" i="2" s="1"/>
  <c r="L389" i="2"/>
  <c r="N389" i="2" s="1"/>
  <c r="L390" i="2"/>
  <c r="N390" i="2" s="1"/>
  <c r="L391" i="2"/>
  <c r="N391" i="2" s="1"/>
  <c r="L392" i="2"/>
  <c r="N392" i="2" s="1"/>
  <c r="L393" i="2"/>
  <c r="N393" i="2" s="1"/>
  <c r="L394" i="2"/>
  <c r="N394" i="2" s="1"/>
  <c r="L395" i="2"/>
  <c r="N395" i="2" s="1"/>
  <c r="L396" i="2"/>
  <c r="N396" i="2" s="1"/>
  <c r="L397" i="2"/>
  <c r="N397" i="2" s="1"/>
  <c r="L398" i="2"/>
  <c r="N398" i="2" s="1"/>
  <c r="L399" i="2"/>
  <c r="N399" i="2" s="1"/>
  <c r="L400" i="2"/>
  <c r="N400" i="2" s="1"/>
  <c r="L401" i="2"/>
  <c r="N401" i="2" s="1"/>
  <c r="L402" i="2"/>
  <c r="N402" i="2" s="1"/>
  <c r="L403" i="2"/>
  <c r="N403" i="2" s="1"/>
  <c r="L404" i="2"/>
  <c r="N404" i="2" s="1"/>
  <c r="L405" i="2"/>
  <c r="N405" i="2" s="1"/>
  <c r="L318" i="2"/>
  <c r="N318" i="2" s="1"/>
  <c r="K318" i="2"/>
  <c r="M318" i="2" s="1"/>
  <c r="L319" i="2"/>
  <c r="N319" i="2" s="1"/>
  <c r="K319" i="2"/>
  <c r="M319" i="2" s="1"/>
  <c r="L320" i="2"/>
  <c r="N320" i="2" s="1"/>
  <c r="K320" i="2"/>
  <c r="M320" i="2" s="1"/>
  <c r="L321" i="2"/>
  <c r="N321" i="2" s="1"/>
  <c r="K321" i="2"/>
  <c r="M321" i="2" s="1"/>
  <c r="L322" i="2"/>
  <c r="N322" i="2" s="1"/>
  <c r="K322" i="2"/>
  <c r="M322" i="2" s="1"/>
  <c r="L323" i="2"/>
  <c r="N323" i="2" s="1"/>
  <c r="K323" i="2"/>
  <c r="M323" i="2" s="1"/>
  <c r="L324" i="2"/>
  <c r="N324" i="2" s="1"/>
  <c r="K324" i="2"/>
  <c r="M324" i="2" s="1"/>
  <c r="K268" i="2"/>
  <c r="M268" i="2" s="1"/>
  <c r="L268" i="2"/>
  <c r="N268" i="2" s="1"/>
  <c r="K269" i="2"/>
  <c r="M269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AD408" i="2"/>
  <c r="AC408" i="2"/>
  <c r="AD409" i="2"/>
  <c r="AC409" i="2"/>
  <c r="AD410" i="2"/>
  <c r="AC410" i="2"/>
  <c r="AD411" i="2"/>
  <c r="AC411" i="2"/>
  <c r="AD412" i="2"/>
  <c r="AC412" i="2"/>
  <c r="AD413" i="2"/>
  <c r="AC413" i="2"/>
  <c r="AD414" i="2"/>
  <c r="AC414" i="2"/>
  <c r="AD415" i="2"/>
  <c r="AC415" i="2"/>
  <c r="AD416" i="2"/>
  <c r="AC416" i="2"/>
  <c r="AD417" i="2"/>
  <c r="AC417" i="2"/>
  <c r="AD418" i="2"/>
  <c r="AC418" i="2"/>
  <c r="AD419" i="2"/>
  <c r="AC419" i="2"/>
  <c r="AD420" i="2"/>
  <c r="AC420" i="2"/>
  <c r="AD421" i="2"/>
  <c r="AC421" i="2"/>
  <c r="AD422" i="2"/>
  <c r="AC422" i="2"/>
  <c r="AD423" i="2"/>
  <c r="AC423" i="2"/>
  <c r="AD424" i="2"/>
  <c r="AC424" i="2"/>
  <c r="AD425" i="2"/>
  <c r="AC425" i="2"/>
  <c r="AD426" i="2"/>
  <c r="AC426" i="2"/>
  <c r="AD427" i="2"/>
  <c r="AC427" i="2"/>
  <c r="AD428" i="2"/>
  <c r="AC428" i="2"/>
  <c r="AD429" i="2"/>
  <c r="AC429" i="2"/>
  <c r="AD430" i="2"/>
  <c r="AC430" i="2"/>
  <c r="AD431" i="2"/>
  <c r="AC431" i="2"/>
  <c r="AD432" i="2"/>
  <c r="AC432" i="2"/>
  <c r="AD433" i="2"/>
  <c r="AC433" i="2"/>
  <c r="AD434" i="2"/>
  <c r="AC434" i="2"/>
  <c r="AD435" i="2"/>
  <c r="AC435" i="2"/>
  <c r="AD436" i="2"/>
  <c r="AC436" i="2"/>
  <c r="AD437" i="2"/>
  <c r="AC437" i="2"/>
  <c r="AD438" i="2"/>
  <c r="AC438" i="2"/>
  <c r="AD439" i="2"/>
  <c r="AC439" i="2"/>
  <c r="AD440" i="2"/>
  <c r="AC440" i="2"/>
  <c r="AD441" i="2"/>
  <c r="AC441" i="2"/>
  <c r="AD442" i="2"/>
  <c r="AC442" i="2"/>
  <c r="AD443" i="2"/>
  <c r="AC443" i="2"/>
  <c r="AD444" i="2"/>
  <c r="AC444" i="2"/>
  <c r="AD445" i="2"/>
  <c r="AC445" i="2"/>
  <c r="AD446" i="2"/>
  <c r="AC446" i="2"/>
  <c r="AD447" i="2"/>
  <c r="AC447" i="2"/>
  <c r="AD448" i="2"/>
  <c r="AC448" i="2"/>
  <c r="AD449" i="2"/>
  <c r="AC449" i="2"/>
  <c r="AD450" i="2"/>
  <c r="AC450" i="2"/>
  <c r="AD451" i="2"/>
  <c r="AC451" i="2"/>
  <c r="AD452" i="2"/>
  <c r="AC452" i="2"/>
  <c r="AD453" i="2"/>
  <c r="AC453" i="2"/>
  <c r="AD454" i="2"/>
  <c r="AC454" i="2"/>
  <c r="AD455" i="2"/>
  <c r="AC455" i="2"/>
  <c r="AD456" i="2"/>
  <c r="AC456" i="2"/>
  <c r="AD457" i="2"/>
  <c r="AC457" i="2"/>
  <c r="AD458" i="2"/>
  <c r="AC458" i="2"/>
  <c r="AD459" i="2"/>
  <c r="AC459" i="2"/>
  <c r="AD460" i="2"/>
  <c r="AC460" i="2"/>
  <c r="AD461" i="2"/>
  <c r="AC461" i="2"/>
  <c r="AD462" i="2"/>
  <c r="AC462" i="2"/>
  <c r="AD463" i="2"/>
  <c r="AC463" i="2"/>
  <c r="AD464" i="2"/>
  <c r="AC464" i="2"/>
  <c r="AD465" i="2"/>
  <c r="AC465" i="2"/>
  <c r="AD466" i="2"/>
  <c r="AC466" i="2"/>
  <c r="AD467" i="2"/>
  <c r="AC467" i="2"/>
  <c r="AD468" i="2"/>
  <c r="AC468" i="2"/>
  <c r="AD469" i="2"/>
  <c r="AC469" i="2"/>
  <c r="AD470" i="2"/>
  <c r="AC470" i="2"/>
  <c r="AD471" i="2"/>
  <c r="AC471" i="2"/>
  <c r="AD472" i="2"/>
  <c r="AC472" i="2"/>
  <c r="AD473" i="2"/>
  <c r="AC473" i="2"/>
  <c r="AD474" i="2"/>
  <c r="AC474" i="2"/>
  <c r="AD475" i="2"/>
  <c r="AC475" i="2"/>
  <c r="AD476" i="2"/>
  <c r="AC476" i="2"/>
  <c r="AD477" i="2"/>
  <c r="AC477" i="2"/>
  <c r="AD478" i="2"/>
  <c r="AC478" i="2"/>
  <c r="AD479" i="2"/>
  <c r="AC479" i="2"/>
  <c r="AD480" i="2"/>
  <c r="AC480" i="2"/>
  <c r="AD481" i="2"/>
  <c r="AC481" i="2"/>
  <c r="AD482" i="2"/>
  <c r="AC482" i="2"/>
  <c r="AD483" i="2"/>
  <c r="AC483" i="2"/>
  <c r="AD484" i="2"/>
  <c r="AC484" i="2"/>
  <c r="AD485" i="2"/>
  <c r="AC485" i="2"/>
  <c r="AD486" i="2"/>
  <c r="AC486" i="2"/>
  <c r="AD487" i="2"/>
  <c r="AC487" i="2"/>
  <c r="AD488" i="2"/>
  <c r="AC488" i="2"/>
  <c r="AD489" i="2"/>
  <c r="AC489" i="2"/>
  <c r="AD490" i="2"/>
  <c r="AC490" i="2"/>
  <c r="AD491" i="2"/>
  <c r="AC491" i="2"/>
  <c r="AD492" i="2"/>
  <c r="AC492" i="2"/>
  <c r="AD493" i="2"/>
  <c r="AC493" i="2"/>
  <c r="AD494" i="2"/>
  <c r="AC494" i="2"/>
  <c r="AD495" i="2"/>
  <c r="AC495" i="2"/>
  <c r="AD496" i="2"/>
  <c r="AC496" i="2"/>
  <c r="AD497" i="2"/>
  <c r="AC497" i="2"/>
  <c r="AD498" i="2"/>
  <c r="AC498" i="2"/>
  <c r="AD499" i="2"/>
  <c r="AC499" i="2"/>
  <c r="AD500" i="2"/>
  <c r="AC500" i="2"/>
  <c r="AD501" i="2"/>
  <c r="AC501" i="2"/>
  <c r="AD502" i="2"/>
  <c r="AC502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97" i="2"/>
  <c r="M397" i="2" s="1"/>
  <c r="K399" i="2"/>
  <c r="M399" i="2" s="1"/>
  <c r="K401" i="2"/>
  <c r="M401" i="2" s="1"/>
  <c r="K403" i="2"/>
  <c r="M403" i="2" s="1"/>
  <c r="K405" i="2"/>
  <c r="M405" i="2" s="1"/>
  <c r="K356" i="2"/>
  <c r="M356" i="2" s="1"/>
  <c r="K357" i="2"/>
  <c r="M357" i="2" s="1"/>
  <c r="K358" i="2"/>
  <c r="M358" i="2" s="1"/>
  <c r="K359" i="2"/>
  <c r="M359" i="2" s="1"/>
  <c r="K360" i="2"/>
  <c r="M360" i="2" s="1"/>
  <c r="K361" i="2"/>
  <c r="M361" i="2" s="1"/>
  <c r="K362" i="2"/>
  <c r="M362" i="2" s="1"/>
  <c r="K363" i="2"/>
  <c r="M363" i="2" s="1"/>
  <c r="K364" i="2"/>
  <c r="M364" i="2" s="1"/>
  <c r="K365" i="2"/>
  <c r="M365" i="2" s="1"/>
  <c r="K366" i="2"/>
  <c r="M366" i="2" s="1"/>
  <c r="K367" i="2"/>
  <c r="M367" i="2" s="1"/>
  <c r="K368" i="2"/>
  <c r="M368" i="2" s="1"/>
  <c r="K369" i="2"/>
  <c r="M369" i="2" s="1"/>
  <c r="K370" i="2"/>
  <c r="M370" i="2" s="1"/>
  <c r="K371" i="2"/>
  <c r="M371" i="2" s="1"/>
  <c r="K372" i="2"/>
  <c r="M372" i="2" s="1"/>
  <c r="K373" i="2"/>
  <c r="M373" i="2" s="1"/>
  <c r="K374" i="2"/>
  <c r="M374" i="2" s="1"/>
  <c r="K375" i="2"/>
  <c r="M375" i="2" s="1"/>
  <c r="K376" i="2"/>
  <c r="M376" i="2" s="1"/>
  <c r="K377" i="2"/>
  <c r="M377" i="2" s="1"/>
  <c r="K378" i="2"/>
  <c r="M378" i="2" s="1"/>
  <c r="K379" i="2"/>
  <c r="M379" i="2" s="1"/>
  <c r="K380" i="2"/>
  <c r="M380" i="2" s="1"/>
  <c r="K381" i="2"/>
  <c r="M381" i="2" s="1"/>
  <c r="K382" i="2"/>
  <c r="M382" i="2" s="1"/>
  <c r="K383" i="2"/>
  <c r="M383" i="2" s="1"/>
  <c r="K384" i="2"/>
  <c r="M384" i="2" s="1"/>
  <c r="K385" i="2"/>
  <c r="M385" i="2" s="1"/>
  <c r="K386" i="2"/>
  <c r="M386" i="2" s="1"/>
  <c r="K387" i="2"/>
  <c r="M387" i="2" s="1"/>
  <c r="K388" i="2"/>
  <c r="M388" i="2" s="1"/>
  <c r="K389" i="2"/>
  <c r="M389" i="2" s="1"/>
  <c r="K390" i="2"/>
  <c r="M390" i="2" s="1"/>
  <c r="K391" i="2"/>
  <c r="M391" i="2" s="1"/>
  <c r="K392" i="2"/>
  <c r="M392" i="2" s="1"/>
  <c r="K393" i="2"/>
  <c r="M393" i="2" s="1"/>
  <c r="K394" i="2"/>
  <c r="M394" i="2" s="1"/>
  <c r="K395" i="2"/>
  <c r="M395" i="2" s="1"/>
  <c r="K396" i="2"/>
  <c r="M396" i="2" s="1"/>
  <c r="K398" i="2"/>
  <c r="M398" i="2" s="1"/>
  <c r="K400" i="2"/>
  <c r="M400" i="2" s="1"/>
  <c r="K402" i="2"/>
  <c r="M402" i="2" s="1"/>
  <c r="K404" i="2"/>
  <c r="M404" i="2" s="1"/>
  <c r="Z408" i="2"/>
  <c r="Z412" i="2"/>
  <c r="Z414" i="2"/>
  <c r="Z416" i="2"/>
  <c r="Z410" i="2"/>
  <c r="Z411" i="2"/>
  <c r="Z413" i="2"/>
  <c r="Z415" i="2"/>
  <c r="Z417" i="2"/>
  <c r="Z409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L545" i="2"/>
  <c r="N545" i="2" s="1"/>
  <c r="K545" i="2"/>
  <c r="M545" i="2" s="1"/>
  <c r="K406" i="2"/>
  <c r="M406" i="2" s="1"/>
  <c r="L406" i="2"/>
  <c r="N40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0" i="2"/>
  <c r="M250" i="2" s="1"/>
  <c r="L250" i="2"/>
  <c r="N250" i="2" s="1"/>
  <c r="F34" i="3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AA8" i="2" s="1"/>
  <c r="AB8" i="2" s="1"/>
  <c r="Q9" i="2"/>
  <c r="AA9" i="2" l="1"/>
  <c r="AB9" i="2" s="1"/>
  <c r="P12" i="2" a="1"/>
  <c r="O10" i="2" a="1"/>
  <c r="P11" i="2" a="1"/>
  <c r="P13" i="2" a="1"/>
  <c r="Q13" i="2" s="1"/>
  <c r="O13" i="2" a="1"/>
  <c r="P10" i="2" a="1"/>
  <c r="O12" i="2" a="1"/>
  <c r="O11" i="2" a="1"/>
  <c r="Q12" i="2" l="1"/>
  <c r="W10" i="2"/>
  <c r="W11" i="2"/>
  <c r="Q11" i="2"/>
  <c r="W13" i="2"/>
  <c r="AA13" i="2" s="1"/>
  <c r="AB13" i="2" s="1"/>
  <c r="Q10" i="2"/>
  <c r="AA10" i="2" s="1"/>
  <c r="AB10" i="2" s="1"/>
  <c r="W12" i="2"/>
  <c r="AA12" i="2" s="1"/>
  <c r="AB12" i="2" s="1"/>
  <c r="AA11" i="2" l="1"/>
  <c r="AB11" i="2" s="1"/>
  <c r="O14" i="2" a="1"/>
  <c r="P15" i="2" a="1"/>
  <c r="P14" i="2" a="1"/>
  <c r="O15" i="2" a="1"/>
  <c r="O17" i="2" a="1"/>
  <c r="P16" i="2" a="1"/>
  <c r="P17" i="2" a="1"/>
  <c r="O16" i="2" a="1"/>
  <c r="P20" i="2" a="1"/>
  <c r="O19" i="2" a="1"/>
  <c r="O18" i="2" a="1"/>
  <c r="O21" i="2" a="1"/>
  <c r="O20" i="2" a="1"/>
  <c r="W20" i="2" s="1"/>
  <c r="P19" i="2" a="1"/>
  <c r="P21" i="2" a="1"/>
  <c r="P18" i="2" a="1"/>
  <c r="W18" i="2" l="1"/>
  <c r="Q14" i="2"/>
  <c r="Q19" i="2"/>
  <c r="W15" i="2"/>
  <c r="W17" i="2"/>
  <c r="Q16" i="2"/>
  <c r="W21" i="2"/>
  <c r="W14" i="2"/>
  <c r="Q17" i="2"/>
  <c r="AA17" i="2" s="1"/>
  <c r="AB17" i="2" s="1"/>
  <c r="W16" i="2"/>
  <c r="Q20" i="2"/>
  <c r="AA20" i="2" s="1"/>
  <c r="AB20" i="2" s="1"/>
  <c r="W19" i="2"/>
  <c r="Q21" i="2"/>
  <c r="Q18" i="2"/>
  <c r="AA18" i="2" s="1"/>
  <c r="AB18" i="2" s="1"/>
  <c r="Q15" i="2"/>
  <c r="P22" i="2" a="1"/>
  <c r="O23" i="2" a="1"/>
  <c r="AA14" i="2" l="1"/>
  <c r="AB14" i="2" s="1"/>
  <c r="AA16" i="2"/>
  <c r="AB16" i="2" s="1"/>
  <c r="AA19" i="2"/>
  <c r="AB19" i="2" s="1"/>
  <c r="AA21" i="2"/>
  <c r="AB21" i="2" s="1"/>
  <c r="AA15" i="2"/>
  <c r="AB15" i="2" s="1"/>
  <c r="AY9" i="3"/>
  <c r="AY8" i="3"/>
  <c r="AY7" i="3"/>
  <c r="AY6" i="3"/>
  <c r="AY5" i="3"/>
  <c r="AY4" i="3"/>
  <c r="AY3" i="3"/>
  <c r="AY2" i="3"/>
  <c r="O22" i="2" l="1" a="1"/>
  <c r="P23" i="2" a="1"/>
  <c r="O27" i="2" a="1"/>
  <c r="P26" i="2" a="1"/>
  <c r="O26" i="2" a="1"/>
  <c r="P27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Q22" i="2" l="1"/>
  <c r="W22" i="2"/>
  <c r="AA22" i="2" s="1"/>
  <c r="AB22" i="2" s="1"/>
  <c r="Q23" i="2"/>
  <c r="W23" i="2"/>
  <c r="AA23" i="2" s="1"/>
  <c r="AB23" i="2" s="1"/>
  <c r="O24" i="2" a="1"/>
  <c r="O25" i="2" a="1"/>
  <c r="P25" i="2" a="1"/>
  <c r="P24" i="2" a="1"/>
  <c r="W26" i="2"/>
  <c r="Q27" i="2"/>
  <c r="W27" i="2"/>
  <c r="Q26" i="2"/>
  <c r="AV7" i="3"/>
  <c r="AV8" i="3"/>
  <c r="AV5" i="3"/>
  <c r="AW7" i="3"/>
  <c r="AW5" i="3"/>
  <c r="AW9" i="3"/>
  <c r="AW8" i="3"/>
  <c r="AV9" i="3"/>
  <c r="Q25" i="2" l="1"/>
  <c r="W24" i="2"/>
  <c r="W25" i="2"/>
  <c r="Q24" i="2"/>
  <c r="AA27" i="2"/>
  <c r="AB27" i="2" s="1"/>
  <c r="AA26" i="2"/>
  <c r="AB26" i="2" s="1"/>
  <c r="P28" i="2" a="1"/>
  <c r="O28" i="2" a="1"/>
  <c r="O29" i="2" a="1"/>
  <c r="P29" i="2" a="1"/>
  <c r="AZ9" i="3"/>
  <c r="AZ7" i="3"/>
  <c r="AZ8" i="3"/>
  <c r="AZ5" i="3"/>
  <c r="AA25" i="2" l="1"/>
  <c r="AB25" i="2" s="1"/>
  <c r="AA24" i="2"/>
  <c r="AB24" i="2" s="1"/>
  <c r="Q29" i="2"/>
  <c r="W28" i="2"/>
  <c r="Q28" i="2"/>
  <c r="W29" i="2"/>
  <c r="AA28" i="2" l="1"/>
  <c r="AB28" i="2" s="1"/>
  <c r="AA29" i="2"/>
  <c r="AB29" i="2" s="1"/>
  <c r="C37" i="3"/>
  <c r="B37" i="3"/>
  <c r="C35" i="3"/>
  <c r="B35" i="3"/>
  <c r="C39" i="3"/>
  <c r="B39" i="3"/>
  <c r="C30" i="3"/>
  <c r="B30" i="3"/>
  <c r="C33" i="3"/>
  <c r="B33" i="3"/>
  <c r="C26" i="3"/>
  <c r="B26" i="3"/>
  <c r="C25" i="3"/>
  <c r="B25" i="3"/>
  <c r="C28" i="3"/>
  <c r="B28" i="3"/>
  <c r="P30" i="2" l="1" a="1"/>
  <c r="P31" i="2" a="1"/>
  <c r="O31" i="2" a="1"/>
  <c r="O30" i="2" a="1"/>
  <c r="W30" i="2" l="1"/>
  <c r="Q31" i="2"/>
  <c r="W31" i="2"/>
  <c r="Q30" i="2"/>
  <c r="E37" i="3"/>
  <c r="D37" i="3"/>
  <c r="E35" i="3"/>
  <c r="D35" i="3"/>
  <c r="E39" i="3"/>
  <c r="D39" i="3"/>
  <c r="E30" i="3"/>
  <c r="D30" i="3"/>
  <c r="E33" i="3"/>
  <c r="D33" i="3"/>
  <c r="E26" i="3"/>
  <c r="D26" i="3"/>
  <c r="E25" i="3"/>
  <c r="E28" i="3"/>
  <c r="D25" i="3"/>
  <c r="AA30" i="2" l="1"/>
  <c r="AB30" i="2" s="1"/>
  <c r="AA31" i="2"/>
  <c r="AB31" i="2" s="1"/>
  <c r="P33" i="2" a="1"/>
  <c r="P32" i="2" a="1"/>
  <c r="O32" i="2" a="1"/>
  <c r="O33" i="2" a="1"/>
  <c r="F30" i="3"/>
  <c r="F37" i="3"/>
  <c r="F26" i="3"/>
  <c r="F25" i="3"/>
  <c r="F35" i="3"/>
  <c r="F39" i="3"/>
  <c r="F28" i="3"/>
  <c r="F33" i="3"/>
  <c r="W33" i="2" l="1"/>
  <c r="W32" i="2"/>
  <c r="Q33" i="2"/>
  <c r="Q32" i="2"/>
  <c r="AA33" i="2" l="1"/>
  <c r="AB33" i="2" s="1"/>
  <c r="AA32" i="2"/>
  <c r="AB32" i="2" s="1"/>
  <c r="O38" i="2" a="1"/>
  <c r="P39" i="2" a="1"/>
  <c r="O39" i="2" a="1"/>
  <c r="P38" i="2" a="1"/>
  <c r="O35" i="2" l="1" a="1"/>
  <c r="O34" i="2" a="1"/>
  <c r="P34" i="2" a="1"/>
  <c r="Q34" i="2" s="1"/>
  <c r="P35" i="2" a="1"/>
  <c r="P36" i="2" a="1"/>
  <c r="Q36" i="2" s="1"/>
  <c r="O37" i="2" a="1"/>
  <c r="P37" i="2" a="1"/>
  <c r="Q37" i="2" s="1"/>
  <c r="O36" i="2" a="1"/>
  <c r="W39" i="2"/>
  <c r="Q38" i="2"/>
  <c r="W38" i="2"/>
  <c r="Q39" i="2"/>
  <c r="Q35" i="2" l="1"/>
  <c r="W36" i="2"/>
  <c r="AA36" i="2" s="1"/>
  <c r="AB36" i="2" s="1"/>
  <c r="W35" i="2"/>
  <c r="AA35" i="2" s="1"/>
  <c r="AB35" i="2" s="1"/>
  <c r="W34" i="2"/>
  <c r="AA34" i="2" s="1"/>
  <c r="AB34" i="2" s="1"/>
  <c r="W37" i="2"/>
  <c r="AA37" i="2" s="1"/>
  <c r="AB37" i="2" s="1"/>
  <c r="AA38" i="2"/>
  <c r="AB38" i="2" s="1"/>
  <c r="AA39" i="2"/>
  <c r="AB39" i="2" s="1"/>
  <c r="O41" i="2" l="1" a="1"/>
  <c r="P40" i="2" a="1"/>
  <c r="O40" i="2" a="1"/>
  <c r="P41" i="2" a="1"/>
  <c r="AW3" i="3"/>
  <c r="AV3" i="3"/>
  <c r="Q40" i="2" l="1"/>
  <c r="W41" i="2"/>
  <c r="Q41" i="2"/>
  <c r="W40" i="2"/>
  <c r="AZ3" i="3"/>
  <c r="AV2" i="3"/>
  <c r="AW2" i="3"/>
  <c r="AV4" i="3"/>
  <c r="AW4" i="3"/>
  <c r="AA41" i="2" l="1"/>
  <c r="AB41" i="2" s="1"/>
  <c r="AA40" i="2"/>
  <c r="AB40" i="2" s="1"/>
  <c r="P43" i="2" a="1"/>
  <c r="O43" i="2" a="1"/>
  <c r="P42" i="2" a="1"/>
  <c r="O42" i="2" a="1"/>
  <c r="P44" i="2" a="1"/>
  <c r="O44" i="2" a="1"/>
  <c r="O45" i="2" a="1"/>
  <c r="P45" i="2" a="1"/>
  <c r="AZ4" i="3"/>
  <c r="AZ2" i="3"/>
  <c r="AW6" i="3"/>
  <c r="AV6" i="3"/>
  <c r="W43" i="2" l="1"/>
  <c r="W45" i="2"/>
  <c r="Q44" i="2"/>
  <c r="W42" i="2"/>
  <c r="Q42" i="2"/>
  <c r="Q45" i="2"/>
  <c r="W44" i="2"/>
  <c r="Q43" i="2"/>
  <c r="AZ6" i="3"/>
  <c r="AA44" i="2" l="1"/>
  <c r="AB44" i="2" s="1"/>
  <c r="AA43" i="2"/>
  <c r="AB43" i="2" s="1"/>
  <c r="AA45" i="2"/>
  <c r="AB45" i="2" s="1"/>
  <c r="AA42" i="2"/>
  <c r="AB42" i="2" s="1"/>
  <c r="O50" i="2" a="1"/>
  <c r="P50" i="2" a="1"/>
  <c r="P51" i="2" a="1"/>
  <c r="O51" i="2" a="1"/>
  <c r="O49" i="2" l="1" a="1"/>
  <c r="P48" i="2" a="1"/>
  <c r="O47" i="2" a="1"/>
  <c r="W47" i="2" s="1"/>
  <c r="P49" i="2" a="1"/>
  <c r="O46" i="2" a="1"/>
  <c r="O48" i="2" a="1"/>
  <c r="W48" i="2" s="1"/>
  <c r="P47" i="2" a="1"/>
  <c r="P46" i="2" a="1"/>
  <c r="W51" i="2"/>
  <c r="Q50" i="2"/>
  <c r="W50" i="2"/>
  <c r="Q51" i="2"/>
  <c r="Q49" i="2" l="1"/>
  <c r="W46" i="2"/>
  <c r="W49" i="2"/>
  <c r="Q48" i="2"/>
  <c r="AA48" i="2" s="1"/>
  <c r="AB48" i="2" s="1"/>
  <c r="Q47" i="2"/>
  <c r="AA47" i="2" s="1"/>
  <c r="AB47" i="2" s="1"/>
  <c r="Q46" i="2"/>
  <c r="AA50" i="2"/>
  <c r="AB50" i="2" s="1"/>
  <c r="AA51" i="2"/>
  <c r="AB51" i="2" s="1"/>
  <c r="AA49" i="2" l="1"/>
  <c r="AB49" i="2" s="1"/>
  <c r="AA46" i="2"/>
  <c r="AB46" i="2" s="1"/>
  <c r="O52" i="2" a="1"/>
  <c r="P52" i="2" a="1"/>
  <c r="O53" i="2" a="1"/>
  <c r="P53" i="2" a="1"/>
  <c r="Q52" i="2" l="1"/>
  <c r="W52" i="2"/>
  <c r="W53" i="2"/>
  <c r="Q53" i="2"/>
  <c r="O54" i="2" a="1"/>
  <c r="O55" i="2" a="1"/>
  <c r="P54" i="2" a="1"/>
  <c r="P55" i="2" a="1"/>
  <c r="AA52" i="2" l="1"/>
  <c r="AB52" i="2" s="1"/>
  <c r="AA53" i="2"/>
  <c r="AB53" i="2" s="1"/>
  <c r="Q54" i="2"/>
  <c r="Q55" i="2"/>
  <c r="W54" i="2"/>
  <c r="W55" i="2"/>
  <c r="AA54" i="2" l="1"/>
  <c r="AB54" i="2" s="1"/>
  <c r="AA55" i="2"/>
  <c r="AB55" i="2" s="1"/>
  <c r="O56" i="2" a="1"/>
  <c r="P59" i="2" a="1"/>
  <c r="P58" i="2" a="1"/>
  <c r="O57" i="2" a="1"/>
  <c r="P56" i="2" a="1"/>
  <c r="O59" i="2" a="1"/>
  <c r="P57" i="2" a="1"/>
  <c r="O58" i="2" a="1"/>
  <c r="Q57" i="2" l="1"/>
  <c r="Q56" i="2"/>
  <c r="W59" i="2"/>
  <c r="W58" i="2"/>
  <c r="W56" i="2"/>
  <c r="W57" i="2"/>
  <c r="Q58" i="2"/>
  <c r="Q59" i="2"/>
  <c r="AA58" i="2" l="1"/>
  <c r="AB58" i="2" s="1"/>
  <c r="AA56" i="2"/>
  <c r="AB56" i="2" s="1"/>
  <c r="AA59" i="2"/>
  <c r="AB59" i="2" s="1"/>
  <c r="AA57" i="2"/>
  <c r="AB57" i="2" s="1"/>
  <c r="P60" i="2" l="1" a="1"/>
  <c r="O60" i="2" a="1"/>
  <c r="P61" i="2" a="1"/>
  <c r="O61" i="2" a="1"/>
  <c r="Q61" i="2" l="1"/>
  <c r="W60" i="2"/>
  <c r="Q60" i="2"/>
  <c r="AA60" i="2" s="1"/>
  <c r="AB60" i="2" s="1"/>
  <c r="W61" i="2"/>
  <c r="AA61" i="2" l="1"/>
  <c r="AB61" i="2" s="1"/>
  <c r="O63" i="2" l="1" a="1"/>
  <c r="O62" i="2" a="1"/>
  <c r="P62" i="2" a="1"/>
  <c r="P63" i="2" a="1"/>
  <c r="Q63" i="2" l="1"/>
  <c r="W62" i="2"/>
  <c r="W63" i="2"/>
  <c r="Q62" i="2"/>
  <c r="O66" i="2" a="1"/>
  <c r="P67" i="2" a="1"/>
  <c r="P66" i="2" a="1"/>
  <c r="Q66" i="2" s="1"/>
  <c r="O67" i="2" a="1"/>
  <c r="P68" i="2" a="1"/>
  <c r="O68" i="2" a="1"/>
  <c r="W68" i="2" s="1"/>
  <c r="P65" i="2" a="1"/>
  <c r="P69" i="2" a="1"/>
  <c r="O65" i="2" a="1"/>
  <c r="O64" i="2" a="1"/>
  <c r="O69" i="2" a="1"/>
  <c r="AA62" i="2"/>
  <c r="AB62" i="2" s="1"/>
  <c r="P64" i="2" s="1" a="1"/>
  <c r="Q64" i="2" s="1"/>
  <c r="AA63" i="2" l="1"/>
  <c r="AB63" i="2" s="1"/>
  <c r="W67" i="2"/>
  <c r="O71" i="2" a="1"/>
  <c r="P70" i="2" a="1"/>
  <c r="P71" i="2" a="1"/>
  <c r="Q71" i="2" s="1"/>
  <c r="O70" i="2" a="1"/>
  <c r="Q65" i="2"/>
  <c r="Q69" i="2"/>
  <c r="W66" i="2"/>
  <c r="AA66" i="2" s="1"/>
  <c r="AB66" i="2" s="1"/>
  <c r="W65" i="2"/>
  <c r="W69" i="2"/>
  <c r="W64" i="2"/>
  <c r="AA64" i="2" s="1"/>
  <c r="AB64" i="2" s="1"/>
  <c r="Q67" i="2"/>
  <c r="Q68" i="2"/>
  <c r="AA68" i="2" s="1"/>
  <c r="AB68" i="2" s="1"/>
  <c r="AA69" i="2" l="1"/>
  <c r="AB69" i="2" s="1"/>
  <c r="AA67" i="2"/>
  <c r="AB67" i="2" s="1"/>
  <c r="W70" i="2"/>
  <c r="W71" i="2"/>
  <c r="AA71" i="2" s="1"/>
  <c r="AB71" i="2" s="1"/>
  <c r="AA65" i="2"/>
  <c r="AB65" i="2" s="1"/>
  <c r="Q70" i="2"/>
  <c r="P72" i="2" a="1"/>
  <c r="Q72" i="2" s="1"/>
  <c r="O73" i="2" a="1"/>
  <c r="P73" i="2" a="1"/>
  <c r="O72" i="2" a="1"/>
  <c r="P74" i="2" a="1"/>
  <c r="P75" i="2" a="1"/>
  <c r="O74" i="2" a="1"/>
  <c r="O75" i="2" a="1"/>
  <c r="Q73" i="2" l="1"/>
  <c r="AA70" i="2"/>
  <c r="AB70" i="2" s="1"/>
  <c r="P76" i="2" a="1"/>
  <c r="O76" i="2" a="1"/>
  <c r="P77" i="2" a="1"/>
  <c r="O77" i="2" a="1"/>
  <c r="W72" i="2"/>
  <c r="AA72" i="2" s="1"/>
  <c r="AB72" i="2" s="1"/>
  <c r="W73" i="2"/>
  <c r="W74" i="2"/>
  <c r="Q75" i="2"/>
  <c r="Q74" i="2"/>
  <c r="W75" i="2"/>
  <c r="AA73" i="2" l="1"/>
  <c r="AB73" i="2" s="1"/>
  <c r="W77" i="2"/>
  <c r="Q76" i="2"/>
  <c r="W76" i="2"/>
  <c r="AA76" i="2" s="1"/>
  <c r="AB76" i="2" s="1"/>
  <c r="Q77" i="2"/>
  <c r="AA74" i="2"/>
  <c r="AB74" i="2" s="1"/>
  <c r="AA75" i="2"/>
  <c r="AB75" i="2" s="1"/>
  <c r="P78" i="2" a="1"/>
  <c r="O79" i="2" a="1"/>
  <c r="O81" i="2" a="1"/>
  <c r="P81" i="2" a="1"/>
  <c r="P79" i="2" a="1"/>
  <c r="P80" i="2" a="1"/>
  <c r="O80" i="2" a="1"/>
  <c r="O78" i="2" a="1"/>
  <c r="AA77" i="2" l="1"/>
  <c r="AB77" i="2" s="1"/>
  <c r="W79" i="2"/>
  <c r="Q80" i="2"/>
  <c r="Q78" i="2"/>
  <c r="W81" i="2"/>
  <c r="Q81" i="2"/>
  <c r="Q79" i="2"/>
  <c r="W80" i="2"/>
  <c r="W78" i="2"/>
  <c r="AA80" i="2" l="1"/>
  <c r="AB80" i="2" s="1"/>
  <c r="AA79" i="2"/>
  <c r="AB79" i="2" s="1"/>
  <c r="AA78" i="2"/>
  <c r="AB78" i="2" s="1"/>
  <c r="AA81" i="2"/>
  <c r="AB81" i="2" s="1"/>
  <c r="O84" i="2" l="1" a="1"/>
  <c r="W84" i="2" s="1"/>
  <c r="O85" i="2" a="1"/>
  <c r="P85" i="2" a="1"/>
  <c r="P84" i="2" a="1"/>
  <c r="O83" i="2" a="1"/>
  <c r="P82" i="2" a="1"/>
  <c r="O82" i="2" a="1"/>
  <c r="P83" i="2" a="1"/>
  <c r="O87" i="2" a="1"/>
  <c r="P87" i="2" a="1"/>
  <c r="O86" i="2" a="1"/>
  <c r="P86" i="2" a="1"/>
  <c r="Q85" i="2" l="1"/>
  <c r="W83" i="2"/>
  <c r="Q82" i="2"/>
  <c r="W85" i="2"/>
  <c r="AA85" i="2" s="1"/>
  <c r="AB85" i="2" s="1"/>
  <c r="Q84" i="2"/>
  <c r="AA84" i="2" s="1"/>
  <c r="AB84" i="2" s="1"/>
  <c r="W82" i="2"/>
  <c r="Q83" i="2"/>
  <c r="AA83" i="2" s="1"/>
  <c r="AB83" i="2" s="1"/>
  <c r="W86" i="2"/>
  <c r="Q87" i="2"/>
  <c r="Q86" i="2"/>
  <c r="W87" i="2"/>
  <c r="AA82" i="2" l="1"/>
  <c r="AB82" i="2" s="1"/>
  <c r="AA86" i="2"/>
  <c r="AB86" i="2" s="1"/>
  <c r="AA87" i="2"/>
  <c r="AB87" i="2" s="1"/>
  <c r="P89" i="2" a="1"/>
  <c r="P88" i="2" a="1"/>
  <c r="O88" i="2" a="1"/>
  <c r="O89" i="2" a="1"/>
  <c r="W89" i="2" l="1"/>
  <c r="W88" i="2"/>
  <c r="Q89" i="2"/>
  <c r="Q88" i="2"/>
  <c r="AA89" i="2" l="1"/>
  <c r="AB89" i="2" s="1"/>
  <c r="AA88" i="2"/>
  <c r="AB88" i="2" s="1"/>
  <c r="P92" i="2" l="1" a="1"/>
  <c r="O91" i="2" a="1"/>
  <c r="O93" i="2" a="1"/>
  <c r="P90" i="2" a="1"/>
  <c r="P93" i="2" a="1"/>
  <c r="O92" i="2" a="1"/>
  <c r="W92" i="2" s="1"/>
  <c r="O90" i="2" a="1"/>
  <c r="P91" i="2" a="1"/>
  <c r="P95" i="2" a="1"/>
  <c r="O94" i="2" a="1"/>
  <c r="O95" i="2" a="1"/>
  <c r="P94" i="2" a="1"/>
  <c r="W91" i="2" l="1"/>
  <c r="Q93" i="2"/>
  <c r="Q90" i="2"/>
  <c r="W95" i="2"/>
  <c r="Q94" i="2"/>
  <c r="Q92" i="2"/>
  <c r="AA92" i="2" s="1"/>
  <c r="AB92" i="2" s="1"/>
  <c r="W93" i="2"/>
  <c r="W90" i="2"/>
  <c r="Q91" i="2"/>
  <c r="Q95" i="2"/>
  <c r="W94" i="2"/>
  <c r="AA91" i="2" l="1"/>
  <c r="AB91" i="2" s="1"/>
  <c r="AA93" i="2"/>
  <c r="AB93" i="2" s="1"/>
  <c r="AA90" i="2"/>
  <c r="AB90" i="2" s="1"/>
  <c r="AA95" i="2"/>
  <c r="AB95" i="2" s="1"/>
  <c r="AA94" i="2"/>
  <c r="AB94" i="2" s="1"/>
  <c r="O97" i="2" l="1" a="1"/>
  <c r="P96" i="2" a="1"/>
  <c r="O96" i="2" a="1"/>
  <c r="P97" i="2" a="1"/>
  <c r="P99" i="2" a="1"/>
  <c r="O98" i="2" a="1"/>
  <c r="P98" i="2" a="1"/>
  <c r="O99" i="2" a="1"/>
  <c r="O100" i="2" a="1"/>
  <c r="O101" i="2" a="1"/>
  <c r="P100" i="2" a="1"/>
  <c r="P101" i="2" a="1"/>
  <c r="W96" i="2" l="1"/>
  <c r="Q96" i="2"/>
  <c r="W97" i="2"/>
  <c r="Q97" i="2"/>
  <c r="Q100" i="2"/>
  <c r="Q101" i="2"/>
  <c r="Q98" i="2"/>
  <c r="Q99" i="2"/>
  <c r="W100" i="2"/>
  <c r="W99" i="2"/>
  <c r="W101" i="2"/>
  <c r="W98" i="2"/>
  <c r="O105" i="2" a="1"/>
  <c r="P105" i="2" a="1"/>
  <c r="O104" i="2" a="1"/>
  <c r="P104" i="2" a="1"/>
  <c r="AA97" i="2" l="1"/>
  <c r="AB97" i="2" s="1"/>
  <c r="AA96" i="2"/>
  <c r="AB96" i="2" s="1"/>
  <c r="AA100" i="2"/>
  <c r="AB100" i="2" s="1"/>
  <c r="AA99" i="2"/>
  <c r="AB99" i="2" s="1"/>
  <c r="AA101" i="2"/>
  <c r="AB101" i="2" s="1"/>
  <c r="AA98" i="2"/>
  <c r="AB98" i="2" s="1"/>
  <c r="P103" i="2" a="1"/>
  <c r="P102" i="2" a="1"/>
  <c r="O102" i="2" a="1"/>
  <c r="O103" i="2" a="1"/>
  <c r="W105" i="2"/>
  <c r="W104" i="2"/>
  <c r="Q105" i="2"/>
  <c r="Q104" i="2"/>
  <c r="Q102" i="2" l="1"/>
  <c r="W103" i="2"/>
  <c r="W102" i="2"/>
  <c r="Q103" i="2"/>
  <c r="AA105" i="2"/>
  <c r="AB105" i="2" s="1"/>
  <c r="AA104" i="2"/>
  <c r="AB104" i="2" s="1"/>
  <c r="O106" i="2" l="1" a="1"/>
  <c r="O107" i="2" a="1"/>
  <c r="P107" i="2" a="1"/>
  <c r="P106" i="2" a="1"/>
  <c r="AA102" i="2"/>
  <c r="AB102" i="2" s="1"/>
  <c r="AA103" i="2"/>
  <c r="AB103" i="2" s="1"/>
  <c r="Q106" i="2" l="1"/>
  <c r="W107" i="2"/>
  <c r="W106" i="2"/>
  <c r="Q107" i="2"/>
  <c r="AA106" i="2" l="1"/>
  <c r="AB106" i="2" s="1"/>
  <c r="AA107" i="2"/>
  <c r="AB107" i="2" s="1"/>
  <c r="O108" i="2" a="1"/>
  <c r="O109" i="2" a="1"/>
  <c r="P109" i="2" a="1"/>
  <c r="P108" i="2" a="1"/>
  <c r="W108" i="2" l="1"/>
  <c r="Q109" i="2"/>
  <c r="W109" i="2"/>
  <c r="Q108" i="2"/>
  <c r="AA108" i="2" l="1"/>
  <c r="AB108" i="2" s="1"/>
  <c r="AA109" i="2"/>
  <c r="AB109" i="2" s="1"/>
  <c r="P114" i="2" a="1"/>
  <c r="O114" i="2" a="1"/>
  <c r="P115" i="2" a="1"/>
  <c r="O115" i="2" a="1"/>
  <c r="O111" i="2" l="1" a="1"/>
  <c r="P110" i="2" a="1"/>
  <c r="P111" i="2" a="1"/>
  <c r="O110" i="2" a="1"/>
  <c r="O112" i="2" a="1"/>
  <c r="P113" i="2" a="1"/>
  <c r="O113" i="2" a="1"/>
  <c r="P112" i="2" a="1"/>
  <c r="Q114" i="2"/>
  <c r="Q115" i="2"/>
  <c r="W114" i="2"/>
  <c r="W115" i="2"/>
  <c r="Q113" i="2" l="1"/>
  <c r="Q112" i="2"/>
  <c r="Q110" i="2"/>
  <c r="Q111" i="2"/>
  <c r="W111" i="2"/>
  <c r="W110" i="2"/>
  <c r="W112" i="2"/>
  <c r="W113" i="2"/>
  <c r="AA114" i="2"/>
  <c r="AB114" i="2" s="1"/>
  <c r="AA115" i="2"/>
  <c r="AB115" i="2" s="1"/>
  <c r="AA111" i="2" l="1"/>
  <c r="AB111" i="2" s="1"/>
  <c r="AA110" i="2"/>
  <c r="AB110" i="2" s="1"/>
  <c r="AA112" i="2"/>
  <c r="AB112" i="2" s="1"/>
  <c r="AA113" i="2"/>
  <c r="AB113" i="2" s="1"/>
  <c r="P116" i="2" a="1"/>
  <c r="P117" i="2" a="1"/>
  <c r="O116" i="2" a="1"/>
  <c r="O117" i="2" a="1"/>
  <c r="Q117" i="2" l="1"/>
  <c r="W117" i="2"/>
  <c r="Q116" i="2"/>
  <c r="O119" i="2" a="1"/>
  <c r="P119" i="2" a="1"/>
  <c r="P118" i="2" a="1"/>
  <c r="O118" i="2" a="1"/>
  <c r="W116" i="2"/>
  <c r="O120" i="2" a="1"/>
  <c r="O121" i="2" a="1"/>
  <c r="P121" i="2" a="1"/>
  <c r="P120" i="2" a="1"/>
  <c r="AA117" i="2" l="1"/>
  <c r="AB117" i="2" s="1"/>
  <c r="W118" i="2"/>
  <c r="Q120" i="2"/>
  <c r="Q121" i="2"/>
  <c r="Q119" i="2"/>
  <c r="AA116" i="2"/>
  <c r="AB116" i="2" s="1"/>
  <c r="W121" i="2"/>
  <c r="W120" i="2"/>
  <c r="W119" i="2"/>
  <c r="Q118" i="2"/>
  <c r="AA118" i="2" l="1"/>
  <c r="AB118" i="2" s="1"/>
  <c r="AA120" i="2"/>
  <c r="AB120" i="2" s="1"/>
  <c r="AA121" i="2"/>
  <c r="AB121" i="2" s="1"/>
  <c r="AA119" i="2"/>
  <c r="AB119" i="2" s="1"/>
  <c r="O122" i="2" l="1" a="1"/>
  <c r="P123" i="2" a="1"/>
  <c r="P122" i="2" a="1"/>
  <c r="O123" i="2" a="1"/>
  <c r="Q123" i="2" l="1"/>
  <c r="W122" i="2"/>
  <c r="Q122" i="2"/>
  <c r="W123" i="2"/>
  <c r="AA123" i="2" l="1"/>
  <c r="AB123" i="2" s="1"/>
  <c r="AA122" i="2"/>
  <c r="AB122" i="2" s="1"/>
  <c r="P124" i="2" l="1" a="1"/>
  <c r="O124" i="2" a="1"/>
  <c r="W124" i="2" s="1"/>
  <c r="O125" i="2" a="1"/>
  <c r="W125" i="2" s="1"/>
  <c r="P125" i="2" a="1"/>
  <c r="P126" i="2" a="1"/>
  <c r="O126" i="2" a="1"/>
  <c r="O127" i="2" a="1"/>
  <c r="W127" i="2" s="1"/>
  <c r="P127" i="2" a="1"/>
  <c r="P129" i="2" a="1"/>
  <c r="O128" i="2" a="1"/>
  <c r="P128" i="2" a="1"/>
  <c r="O129" i="2" a="1"/>
  <c r="Q126" i="2" l="1"/>
  <c r="Q124" i="2"/>
  <c r="AA124" i="2" s="1"/>
  <c r="AB124" i="2" s="1"/>
  <c r="Q125" i="2"/>
  <c r="AA125" i="2" s="1"/>
  <c r="AB125" i="2" s="1"/>
  <c r="W126" i="2"/>
  <c r="Q127" i="2"/>
  <c r="AA127" i="2" s="1"/>
  <c r="AB127" i="2" s="1"/>
  <c r="Q128" i="2"/>
  <c r="Q129" i="2"/>
  <c r="W128" i="2"/>
  <c r="W129" i="2"/>
  <c r="AA126" i="2" l="1"/>
  <c r="AB126" i="2" s="1"/>
  <c r="AA128" i="2"/>
  <c r="AB128" i="2" s="1"/>
  <c r="AA129" i="2"/>
  <c r="AB129" i="2" s="1"/>
  <c r="P135" i="2" a="1"/>
  <c r="P134" i="2" a="1"/>
  <c r="O134" i="2" a="1"/>
  <c r="O135" i="2" a="1"/>
  <c r="O131" i="2" l="1" a="1"/>
  <c r="P131" i="2" a="1"/>
  <c r="O130" i="2" a="1"/>
  <c r="P130" i="2" a="1"/>
  <c r="O132" i="2" a="1"/>
  <c r="O133" i="2" a="1"/>
  <c r="P133" i="2" a="1"/>
  <c r="P132" i="2" a="1"/>
  <c r="Q134" i="2"/>
  <c r="Q135" i="2"/>
  <c r="W134" i="2"/>
  <c r="W135" i="2"/>
  <c r="Q130" i="2" l="1"/>
  <c r="Q131" i="2"/>
  <c r="W131" i="2"/>
  <c r="W130" i="2"/>
  <c r="Q132" i="2"/>
  <c r="W133" i="2"/>
  <c r="Q133" i="2"/>
  <c r="W132" i="2"/>
  <c r="AA134" i="2"/>
  <c r="AB134" i="2" s="1"/>
  <c r="AA135" i="2"/>
  <c r="AB135" i="2" s="1"/>
  <c r="O136" i="2" a="1"/>
  <c r="P136" i="2" a="1"/>
  <c r="P137" i="2" a="1"/>
  <c r="O137" i="2" a="1"/>
  <c r="AA131" i="2" l="1"/>
  <c r="AB131" i="2" s="1"/>
  <c r="AA130" i="2"/>
  <c r="AB130" i="2" s="1"/>
  <c r="AA133" i="2"/>
  <c r="AB133" i="2" s="1"/>
  <c r="AA132" i="2"/>
  <c r="AB132" i="2" s="1"/>
  <c r="Q136" i="2"/>
  <c r="W137" i="2"/>
  <c r="W136" i="2"/>
  <c r="Q137" i="2"/>
  <c r="P139" i="2" l="1" a="1"/>
  <c r="O138" i="2" a="1"/>
  <c r="AA136" i="2"/>
  <c r="AB136" i="2" s="1"/>
  <c r="AA137" i="2"/>
  <c r="AB137" i="2" s="1"/>
  <c r="O139" i="2" l="1" a="1"/>
  <c r="P138" i="2" a="1"/>
  <c r="W139" i="2" l="1"/>
  <c r="Q139" i="2"/>
  <c r="Q138" i="2"/>
  <c r="W138" i="2"/>
  <c r="AA138" i="2" l="1"/>
  <c r="AB138" i="2" s="1"/>
  <c r="AA139" i="2"/>
  <c r="AB139" i="2" s="1"/>
  <c r="O140" i="2" l="1" a="1"/>
  <c r="P140" i="2" a="1"/>
  <c r="O141" i="2" a="1"/>
  <c r="P141" i="2" a="1"/>
  <c r="Q141" i="2" l="1"/>
  <c r="W140" i="2"/>
  <c r="W141" i="2"/>
  <c r="Q140" i="2"/>
  <c r="AA141" i="2" l="1"/>
  <c r="AB141" i="2" s="1"/>
  <c r="AA140" i="2"/>
  <c r="AB140" i="2" s="1"/>
  <c r="P144" i="2" a="1"/>
  <c r="O145" i="2" a="1"/>
  <c r="P145" i="2" a="1"/>
  <c r="O144" i="2" a="1"/>
  <c r="O143" i="2" l="1" a="1"/>
  <c r="O142" i="2" a="1"/>
  <c r="P143" i="2" a="1"/>
  <c r="P142" i="2" a="1"/>
  <c r="W144" i="2"/>
  <c r="W145" i="2"/>
  <c r="Q144" i="2"/>
  <c r="Q145" i="2"/>
  <c r="W142" i="2" l="1"/>
  <c r="Q142" i="2"/>
  <c r="Q143" i="2"/>
  <c r="W143" i="2"/>
  <c r="AA143" i="2" s="1"/>
  <c r="AB143" i="2" s="1"/>
  <c r="AA144" i="2"/>
  <c r="AB144" i="2" s="1"/>
  <c r="AA145" i="2"/>
  <c r="AB145" i="2" s="1"/>
  <c r="AA142" i="2" l="1"/>
  <c r="AB142" i="2" s="1"/>
  <c r="P149" i="2" a="1"/>
  <c r="P146" i="2" a="1"/>
  <c r="P148" i="2" a="1"/>
  <c r="O146" i="2" a="1"/>
  <c r="O147" i="2" a="1"/>
  <c r="P147" i="2" a="1"/>
  <c r="O148" i="2" a="1"/>
  <c r="O149" i="2" a="1"/>
  <c r="P150" i="2" a="1"/>
  <c r="O151" i="2" a="1"/>
  <c r="P151" i="2" a="1"/>
  <c r="O150" i="2" a="1"/>
  <c r="Q148" i="2" l="1"/>
  <c r="W147" i="2"/>
  <c r="W149" i="2"/>
  <c r="W146" i="2"/>
  <c r="Q147" i="2"/>
  <c r="Q149" i="2"/>
  <c r="Q146" i="2"/>
  <c r="W148" i="2"/>
  <c r="W151" i="2"/>
  <c r="W150" i="2"/>
  <c r="Q151" i="2"/>
  <c r="Q150" i="2"/>
  <c r="AA147" i="2" l="1"/>
  <c r="AB147" i="2" s="1"/>
  <c r="AA148" i="2"/>
  <c r="AB148" i="2" s="1"/>
  <c r="AA149" i="2"/>
  <c r="AB149" i="2" s="1"/>
  <c r="AA146" i="2"/>
  <c r="AB146" i="2" s="1"/>
  <c r="AA151" i="2"/>
  <c r="AB151" i="2" s="1"/>
  <c r="AA150" i="2"/>
  <c r="AB150" i="2" s="1"/>
  <c r="O152" i="2" l="1" a="1"/>
  <c r="P152" i="2" a="1"/>
  <c r="P153" i="2" a="1"/>
  <c r="O153" i="2" a="1"/>
  <c r="W152" i="2" l="1"/>
  <c r="W153" i="2"/>
  <c r="Q153" i="2"/>
  <c r="Q152" i="2"/>
  <c r="AA152" i="2" l="1"/>
  <c r="AB152" i="2" s="1"/>
  <c r="AA153" i="2"/>
  <c r="AB153" i="2" s="1"/>
  <c r="P155" i="2" l="1" a="1"/>
  <c r="O154" i="2" a="1"/>
  <c r="W154" i="2" s="1"/>
  <c r="P154" i="2" a="1"/>
  <c r="O155" i="2" a="1"/>
  <c r="O156" i="2" a="1"/>
  <c r="P156" i="2" a="1"/>
  <c r="O157" i="2" a="1"/>
  <c r="P157" i="2" a="1"/>
  <c r="Q157" i="2" l="1"/>
  <c r="Q156" i="2"/>
  <c r="Q155" i="2"/>
  <c r="W155" i="2"/>
  <c r="AA155" i="2" s="1"/>
  <c r="AB155" i="2" s="1"/>
  <c r="Q154" i="2"/>
  <c r="AA154" i="2" s="1"/>
  <c r="AB154" i="2" s="1"/>
  <c r="W156" i="2"/>
  <c r="W157" i="2"/>
  <c r="P161" i="2" a="1"/>
  <c r="P158" i="2" a="1"/>
  <c r="P159" i="2" a="1"/>
  <c r="O160" i="2" a="1"/>
  <c r="O158" i="2" a="1"/>
  <c r="O159" i="2" a="1"/>
  <c r="O161" i="2" a="1"/>
  <c r="P160" i="2" a="1"/>
  <c r="AA157" i="2" l="1"/>
  <c r="AB157" i="2" s="1"/>
  <c r="AA156" i="2"/>
  <c r="AB156" i="2" s="1"/>
  <c r="W159" i="2"/>
  <c r="W161" i="2"/>
  <c r="Q158" i="2"/>
  <c r="W160" i="2"/>
  <c r="Q161" i="2"/>
  <c r="Q159" i="2"/>
  <c r="W158" i="2"/>
  <c r="Q160" i="2"/>
  <c r="AA161" i="2" l="1"/>
  <c r="AB161" i="2" s="1"/>
  <c r="AA159" i="2"/>
  <c r="AB159" i="2" s="1"/>
  <c r="AA158" i="2"/>
  <c r="AB158" i="2" s="1"/>
  <c r="AA160" i="2"/>
  <c r="AB160" i="2" s="1"/>
  <c r="P163" i="2" l="1" a="1"/>
  <c r="O162" i="2" a="1"/>
  <c r="O163" i="2" a="1"/>
  <c r="P162" i="2" a="1"/>
  <c r="Q162" i="2" l="1"/>
  <c r="Q163" i="2"/>
  <c r="W162" i="2"/>
  <c r="W163" i="2"/>
  <c r="O167" i="2" a="1"/>
  <c r="P167" i="2" a="1"/>
  <c r="P166" i="2" a="1"/>
  <c r="O166" i="2" a="1"/>
  <c r="P165" i="2" a="1"/>
  <c r="P164" i="2" a="1"/>
  <c r="O164" i="2" a="1"/>
  <c r="O165" i="2" a="1"/>
  <c r="W164" i="2" l="1"/>
  <c r="AA162" i="2"/>
  <c r="AB162" i="2" s="1"/>
  <c r="AA163" i="2"/>
  <c r="AB163" i="2" s="1"/>
  <c r="Q166" i="2"/>
  <c r="W167" i="2"/>
  <c r="Q165" i="2"/>
  <c r="Q167" i="2"/>
  <c r="W166" i="2"/>
  <c r="Q164" i="2"/>
  <c r="W165" i="2"/>
  <c r="AA164" i="2" l="1"/>
  <c r="AB164" i="2" s="1"/>
  <c r="AA166" i="2"/>
  <c r="AB166" i="2" s="1"/>
  <c r="AA167" i="2"/>
  <c r="AB167" i="2" s="1"/>
  <c r="AA165" i="2"/>
  <c r="AB165" i="2" s="1"/>
  <c r="O168" i="2" l="1" a="1"/>
  <c r="P169" i="2" a="1"/>
  <c r="O169" i="2" a="1"/>
  <c r="P168" i="2" a="1"/>
  <c r="P170" i="2" a="1"/>
  <c r="P171" i="2" a="1"/>
  <c r="O170" i="2" a="1"/>
  <c r="O171" i="2" a="1"/>
  <c r="W169" i="2" l="1"/>
  <c r="W170" i="2"/>
  <c r="W171" i="2"/>
  <c r="Q168" i="2"/>
  <c r="Q169" i="2"/>
  <c r="Q170" i="2"/>
  <c r="Q171" i="2"/>
  <c r="W168" i="2"/>
  <c r="AA169" i="2" l="1"/>
  <c r="AB169" i="2" s="1"/>
  <c r="AA170" i="2"/>
  <c r="AB170" i="2" s="1"/>
  <c r="AA171" i="2"/>
  <c r="AB171" i="2" s="1"/>
  <c r="AA168" i="2"/>
  <c r="AB168" i="2" s="1"/>
  <c r="O174" i="2" a="1"/>
  <c r="P175" i="2" a="1"/>
  <c r="O175" i="2" a="1"/>
  <c r="P176" i="2" a="1"/>
  <c r="P174" i="2" a="1"/>
  <c r="P177" i="2" a="1"/>
  <c r="O177" i="2" a="1"/>
  <c r="P179" i="2" a="1"/>
  <c r="O179" i="2" a="1"/>
  <c r="P178" i="2" a="1"/>
  <c r="O178" i="2" a="1"/>
  <c r="O180" i="2" a="1"/>
  <c r="P181" i="2" a="1"/>
  <c r="O173" i="2" l="1" a="1"/>
  <c r="P172" i="2" a="1"/>
  <c r="O172" i="2" a="1"/>
  <c r="P173" i="2" a="1"/>
  <c r="Q174" i="2"/>
  <c r="W177" i="2"/>
  <c r="W175" i="2"/>
  <c r="W174" i="2"/>
  <c r="Q175" i="2"/>
  <c r="Q177" i="2"/>
  <c r="Q178" i="2"/>
  <c r="W179" i="2"/>
  <c r="Q179" i="2"/>
  <c r="W178" i="2"/>
  <c r="Q172" i="2" l="1"/>
  <c r="W172" i="2"/>
  <c r="W173" i="2"/>
  <c r="Q173" i="2"/>
  <c r="AA174" i="2"/>
  <c r="AB174" i="2" s="1"/>
  <c r="AA177" i="2"/>
  <c r="AB177" i="2" s="1"/>
  <c r="AA175" i="2"/>
  <c r="AB175" i="2" s="1"/>
  <c r="O176" i="2" s="1" a="1"/>
  <c r="AA178" i="2"/>
  <c r="AB178" i="2" s="1"/>
  <c r="P180" i="2" a="1"/>
  <c r="O181" i="2" a="1"/>
  <c r="AA179" i="2"/>
  <c r="AB179" i="2" s="1"/>
  <c r="AA173" i="2" l="1"/>
  <c r="AB173" i="2" s="1"/>
  <c r="AA172" i="2"/>
  <c r="AB172" i="2" s="1"/>
  <c r="Q176" i="2"/>
  <c r="W176" i="2"/>
  <c r="W180" i="2"/>
  <c r="Q180" i="2"/>
  <c r="W181" i="2"/>
  <c r="Q181" i="2"/>
  <c r="AA176" i="2" l="1"/>
  <c r="AB176" i="2" s="1"/>
  <c r="AA180" i="2"/>
  <c r="AB180" i="2" s="1"/>
  <c r="AA181" i="2"/>
  <c r="AB181" i="2" s="1"/>
  <c r="P182" i="2" l="1" a="1"/>
  <c r="O182" i="2" a="1"/>
  <c r="O183" i="2" a="1"/>
  <c r="P183" i="2" a="1"/>
  <c r="Q183" i="2" l="1"/>
  <c r="Q182" i="2"/>
  <c r="W183" i="2"/>
  <c r="W182" i="2"/>
  <c r="AA183" i="2" l="1"/>
  <c r="AB183" i="2" s="1"/>
  <c r="AA182" i="2"/>
  <c r="AB182" i="2" s="1"/>
  <c r="O186" i="2" a="1"/>
  <c r="P187" i="2" a="1"/>
  <c r="P186" i="2" a="1"/>
  <c r="O187" i="2" a="1"/>
  <c r="O189" i="2" a="1"/>
  <c r="O188" i="2" a="1"/>
  <c r="P188" i="2" a="1"/>
  <c r="P189" i="2" a="1"/>
  <c r="P185" i="2" l="1" a="1"/>
  <c r="O185" i="2" a="1"/>
  <c r="P184" i="2" a="1"/>
  <c r="O184" i="2" a="1"/>
  <c r="Q186" i="2"/>
  <c r="W187" i="2"/>
  <c r="W186" i="2"/>
  <c r="Q187" i="2"/>
  <c r="Q189" i="2"/>
  <c r="W188" i="2"/>
  <c r="Q188" i="2"/>
  <c r="W189" i="2"/>
  <c r="W185" i="2" l="1"/>
  <c r="W184" i="2"/>
  <c r="Q185" i="2"/>
  <c r="Q184" i="2"/>
  <c r="AA186" i="2"/>
  <c r="AB186" i="2" s="1"/>
  <c r="AA187" i="2"/>
  <c r="AB187" i="2" s="1"/>
  <c r="AA188" i="2"/>
  <c r="AB188" i="2" s="1"/>
  <c r="AA189" i="2"/>
  <c r="AB189" i="2" s="1"/>
  <c r="P192" i="2" a="1"/>
  <c r="O193" i="2" a="1"/>
  <c r="P193" i="2" a="1"/>
  <c r="O192" i="2" a="1"/>
  <c r="AA185" i="2" l="1"/>
  <c r="AB185" i="2" s="1"/>
  <c r="AA184" i="2"/>
  <c r="AB184" i="2" s="1"/>
  <c r="O191" i="2" a="1"/>
  <c r="O190" i="2" a="1"/>
  <c r="P190" i="2" a="1"/>
  <c r="P191" i="2" a="1"/>
  <c r="Q192" i="2"/>
  <c r="W193" i="2"/>
  <c r="Q193" i="2"/>
  <c r="W192" i="2"/>
  <c r="W190" i="2" l="1"/>
  <c r="Q191" i="2"/>
  <c r="Q190" i="2"/>
  <c r="W191" i="2"/>
  <c r="AA193" i="2"/>
  <c r="AB193" i="2" s="1"/>
  <c r="AA192" i="2"/>
  <c r="AB192" i="2" s="1"/>
  <c r="AA190" i="2" l="1"/>
  <c r="AB190" i="2" s="1"/>
  <c r="AA191" i="2"/>
  <c r="AB191" i="2" s="1"/>
  <c r="O195" i="2" a="1"/>
  <c r="P195" i="2" a="1"/>
  <c r="P194" i="2" a="1"/>
  <c r="O194" i="2" a="1"/>
  <c r="Q195" i="2" l="1"/>
  <c r="Q194" i="2"/>
  <c r="W195" i="2"/>
  <c r="W194" i="2"/>
  <c r="AA195" i="2" l="1"/>
  <c r="AB195" i="2" s="1"/>
  <c r="AA194" i="2"/>
  <c r="AB194" i="2" s="1"/>
  <c r="P197" i="2" l="1" a="1"/>
  <c r="O196" i="2" a="1"/>
  <c r="O197" i="2" a="1"/>
  <c r="P196" i="2" a="1"/>
  <c r="P201" i="2" a="1"/>
  <c r="P198" i="2" a="1"/>
  <c r="P200" i="2" a="1"/>
  <c r="O198" i="2" a="1"/>
  <c r="O201" i="2" a="1"/>
  <c r="P199" i="2" a="1"/>
  <c r="O199" i="2" a="1"/>
  <c r="O200" i="2" a="1"/>
  <c r="W196" i="2" l="1"/>
  <c r="W200" i="2"/>
  <c r="Q198" i="2"/>
  <c r="W199" i="2"/>
  <c r="W197" i="2"/>
  <c r="W201" i="2"/>
  <c r="Q197" i="2"/>
  <c r="Q200" i="2"/>
  <c r="AA200" i="2" s="1"/>
  <c r="AB200" i="2" s="1"/>
  <c r="Q196" i="2"/>
  <c r="AA196" i="2" s="1"/>
  <c r="AB196" i="2" s="1"/>
  <c r="Q201" i="2"/>
  <c r="W198" i="2"/>
  <c r="Q199" i="2"/>
  <c r="O204" i="2" a="1"/>
  <c r="P205" i="2" a="1"/>
  <c r="P204" i="2" a="1"/>
  <c r="O205" i="2" a="1"/>
  <c r="P203" i="2" a="1"/>
  <c r="P202" i="2" a="1"/>
  <c r="O202" i="2" a="1"/>
  <c r="O203" i="2" a="1"/>
  <c r="W203" i="2" s="1"/>
  <c r="O206" i="2" a="1"/>
  <c r="O207" i="2" a="1"/>
  <c r="P207" i="2" a="1"/>
  <c r="P206" i="2" a="1"/>
  <c r="AA197" i="2" l="1"/>
  <c r="AB197" i="2" s="1"/>
  <c r="AA198" i="2"/>
  <c r="AB198" i="2" s="1"/>
  <c r="AA199" i="2"/>
  <c r="AB199" i="2" s="1"/>
  <c r="AA201" i="2"/>
  <c r="AB201" i="2" s="1"/>
  <c r="W205" i="2"/>
  <c r="Q204" i="2"/>
  <c r="Q202" i="2"/>
  <c r="W204" i="2"/>
  <c r="Q205" i="2"/>
  <c r="Q203" i="2"/>
  <c r="AA203" i="2" s="1"/>
  <c r="AB203" i="2" s="1"/>
  <c r="W202" i="2"/>
  <c r="W207" i="2"/>
  <c r="W206" i="2"/>
  <c r="Q206" i="2"/>
  <c r="Q207" i="2"/>
  <c r="AA205" i="2" l="1"/>
  <c r="AB205" i="2" s="1"/>
  <c r="AA204" i="2"/>
  <c r="AB204" i="2" s="1"/>
  <c r="AA202" i="2"/>
  <c r="AB202" i="2" s="1"/>
  <c r="AA206" i="2"/>
  <c r="AB206" i="2" s="1"/>
  <c r="AA207" i="2"/>
  <c r="AB207" i="2" s="1"/>
  <c r="O208" i="2" l="1" a="1"/>
  <c r="P208" i="2" a="1"/>
  <c r="Q208" i="2" s="1"/>
  <c r="O209" i="2" a="1"/>
  <c r="P209" i="2" a="1"/>
  <c r="Q209" i="2" l="1"/>
  <c r="W208" i="2"/>
  <c r="AA208" i="2" s="1"/>
  <c r="AB208" i="2" s="1"/>
  <c r="W209" i="2"/>
  <c r="AA209" i="2" l="1"/>
  <c r="AB209" i="2" s="1"/>
  <c r="P211" i="2" a="1"/>
  <c r="O211" i="2" a="1"/>
  <c r="P210" i="2" a="1"/>
  <c r="O210" i="2" a="1"/>
  <c r="W211" i="2" l="1"/>
  <c r="W210" i="2"/>
  <c r="Q211" i="2"/>
  <c r="Q210" i="2"/>
  <c r="P213" i="2" a="1"/>
  <c r="O213" i="2" a="1"/>
  <c r="P212" i="2" a="1"/>
  <c r="O212" i="2" a="1"/>
  <c r="P215" i="2" a="1"/>
  <c r="O214" i="2" a="1"/>
  <c r="P214" i="2" a="1"/>
  <c r="O215" i="2" a="1"/>
  <c r="AA211" i="2" l="1"/>
  <c r="AB211" i="2" s="1"/>
  <c r="AA210" i="2"/>
  <c r="AB210" i="2" s="1"/>
  <c r="W212" i="2"/>
  <c r="Q213" i="2"/>
  <c r="Q212" i="2"/>
  <c r="W213" i="2"/>
  <c r="W215" i="2"/>
  <c r="Q215" i="2"/>
  <c r="W214" i="2"/>
  <c r="Q214" i="2"/>
  <c r="AA212" i="2" l="1"/>
  <c r="AB212" i="2" s="1"/>
  <c r="AA215" i="2"/>
  <c r="AB215" i="2" s="1"/>
  <c r="AA213" i="2"/>
  <c r="AB213" i="2" s="1"/>
  <c r="AA214" i="2"/>
  <c r="AB214" i="2" s="1"/>
  <c r="P216" i="2" l="1" a="1"/>
  <c r="O216" i="2" a="1"/>
  <c r="O217" i="2" a="1"/>
  <c r="P217" i="2" a="1"/>
  <c r="P219" i="2" a="1"/>
  <c r="O219" i="2" a="1"/>
  <c r="P218" i="2" a="1"/>
  <c r="O218" i="2" a="1"/>
  <c r="W216" i="2" l="1"/>
  <c r="W219" i="2"/>
  <c r="W218" i="2"/>
  <c r="Q217" i="2"/>
  <c r="Q218" i="2"/>
  <c r="W217" i="2"/>
  <c r="Q219" i="2"/>
  <c r="Q216" i="2"/>
  <c r="AA216" i="2" s="1"/>
  <c r="AB216" i="2" s="1"/>
  <c r="O221" i="2" a="1"/>
  <c r="O220" i="2" a="1"/>
  <c r="P220" i="2" a="1"/>
  <c r="P221" i="2" a="1"/>
  <c r="AA218" i="2" l="1"/>
  <c r="AB218" i="2" s="1"/>
  <c r="AA219" i="2"/>
  <c r="AB219" i="2" s="1"/>
  <c r="AA217" i="2"/>
  <c r="AB217" i="2" s="1"/>
  <c r="Q220" i="2"/>
  <c r="Q221" i="2"/>
  <c r="W221" i="2"/>
  <c r="W220" i="2"/>
  <c r="AA220" i="2" l="1"/>
  <c r="AB220" i="2" s="1"/>
  <c r="AA221" i="2"/>
  <c r="AB221" i="2" s="1"/>
  <c r="P223" i="2" l="1" a="1"/>
  <c r="O223" i="2" a="1"/>
  <c r="O222" i="2" a="1"/>
  <c r="P222" i="2" a="1"/>
  <c r="P225" i="2" a="1"/>
  <c r="O224" i="2" a="1"/>
  <c r="P224" i="2" a="1"/>
  <c r="O225" i="2" a="1"/>
  <c r="W223" i="2" l="1"/>
  <c r="Q222" i="2"/>
  <c r="Q223" i="2"/>
  <c r="AA223" i="2" s="1"/>
  <c r="AB223" i="2" s="1"/>
  <c r="W222" i="2"/>
  <c r="Q224" i="2"/>
  <c r="W224" i="2"/>
  <c r="W225" i="2"/>
  <c r="Q225" i="2"/>
  <c r="AA222" i="2" l="1"/>
  <c r="AB222" i="2" s="1"/>
  <c r="AA224" i="2"/>
  <c r="AB224" i="2" s="1"/>
  <c r="AA225" i="2"/>
  <c r="AB225" i="2" s="1"/>
  <c r="O226" i="2" l="1" a="1"/>
  <c r="P227" i="2" a="1"/>
  <c r="O227" i="2" a="1"/>
  <c r="P226" i="2" a="1"/>
  <c r="Q227" i="2" l="1"/>
  <c r="Q226" i="2"/>
  <c r="W226" i="2"/>
  <c r="W227" i="2"/>
  <c r="AA226" i="2" l="1"/>
  <c r="AB226" i="2" s="1"/>
  <c r="AA227" i="2"/>
  <c r="AB227" i="2" s="1"/>
  <c r="O229" i="2" l="1" a="1"/>
  <c r="O228" i="2" a="1"/>
  <c r="P228" i="2" a="1"/>
  <c r="P229" i="2" a="1"/>
  <c r="Q229" i="2" l="1"/>
  <c r="W228" i="2"/>
  <c r="Q228" i="2"/>
  <c r="W229" i="2"/>
  <c r="AA228" i="2" l="1"/>
  <c r="AB228" i="2" s="1"/>
  <c r="AA229" i="2"/>
  <c r="AB229" i="2" s="1"/>
  <c r="O231" i="2" a="1"/>
  <c r="O230" i="2" a="1"/>
  <c r="P231" i="2" a="1"/>
  <c r="P230" i="2" a="1"/>
  <c r="P232" i="2" a="1"/>
  <c r="O235" i="2" a="1"/>
  <c r="P234" i="2" a="1"/>
  <c r="O233" i="2" a="1"/>
  <c r="O232" i="2" a="1"/>
  <c r="P233" i="2" a="1"/>
  <c r="O234" i="2" a="1"/>
  <c r="P235" i="2" a="1"/>
  <c r="Q231" i="2" l="1"/>
  <c r="Q234" i="2"/>
  <c r="Q233" i="2"/>
  <c r="Q235" i="2"/>
  <c r="Q230" i="2"/>
  <c r="Q232" i="2"/>
  <c r="W231" i="2"/>
  <c r="W230" i="2"/>
  <c r="W235" i="2"/>
  <c r="W233" i="2"/>
  <c r="W232" i="2"/>
  <c r="W234" i="2"/>
  <c r="P238" i="2" a="1"/>
  <c r="P239" i="2" a="1"/>
  <c r="O238" i="2" a="1"/>
  <c r="P237" i="2" a="1"/>
  <c r="O239" i="2" a="1"/>
  <c r="P236" i="2" a="1"/>
  <c r="O236" i="2" a="1"/>
  <c r="O237" i="2" a="1"/>
  <c r="AA231" i="2" l="1"/>
  <c r="AB231" i="2" s="1"/>
  <c r="AA234" i="2"/>
  <c r="AB234" i="2" s="1"/>
  <c r="AA230" i="2"/>
  <c r="AB230" i="2" s="1"/>
  <c r="AA235" i="2"/>
  <c r="AB235" i="2" s="1"/>
  <c r="AA233" i="2"/>
  <c r="AB233" i="2" s="1"/>
  <c r="AA232" i="2"/>
  <c r="AB232" i="2" s="1"/>
  <c r="Q237" i="2"/>
  <c r="W236" i="2"/>
  <c r="Q239" i="2"/>
  <c r="W238" i="2"/>
  <c r="Q238" i="2"/>
  <c r="W239" i="2"/>
  <c r="AA239" i="2" s="1"/>
  <c r="AB239" i="2" s="1"/>
  <c r="Q236" i="2"/>
  <c r="W237" i="2"/>
  <c r="O241" i="2" l="1" a="1"/>
  <c r="P240" i="2" a="1"/>
  <c r="P241" i="2" a="1"/>
  <c r="O240" i="2" a="1"/>
  <c r="AA236" i="2"/>
  <c r="AB236" i="2" s="1"/>
  <c r="AA237" i="2"/>
  <c r="AB237" i="2" s="1"/>
  <c r="AA238" i="2"/>
  <c r="AB238" i="2" s="1"/>
  <c r="W240" i="2" l="1"/>
  <c r="W241" i="2"/>
  <c r="Q241" i="2"/>
  <c r="AA241" i="2" s="1"/>
  <c r="AB241" i="2" s="1"/>
  <c r="Q240" i="2"/>
  <c r="P243" i="2" a="1"/>
  <c r="O243" i="2" a="1"/>
  <c r="P242" i="2" a="1"/>
  <c r="O242" i="2" a="1"/>
  <c r="O245" i="2" a="1"/>
  <c r="O244" i="2" a="1"/>
  <c r="P245" i="2" a="1"/>
  <c r="P244" i="2" a="1"/>
  <c r="O246" i="2" a="1"/>
  <c r="P247" i="2" a="1"/>
  <c r="P246" i="2" a="1"/>
  <c r="O247" i="2" a="1"/>
  <c r="AA240" i="2" l="1"/>
  <c r="AB240" i="2" s="1"/>
  <c r="W243" i="2"/>
  <c r="Q244" i="2"/>
  <c r="W242" i="2"/>
  <c r="W245" i="2"/>
  <c r="W246" i="2"/>
  <c r="W247" i="2"/>
  <c r="Q243" i="2"/>
  <c r="Q242" i="2"/>
  <c r="W244" i="2"/>
  <c r="Q245" i="2"/>
  <c r="Q247" i="2"/>
  <c r="Q246" i="2"/>
  <c r="AA243" i="2" l="1"/>
  <c r="AB243" i="2" s="1"/>
  <c r="AA242" i="2"/>
  <c r="AB242" i="2" s="1"/>
  <c r="AA244" i="2"/>
  <c r="AB244" i="2" s="1"/>
  <c r="AA245" i="2"/>
  <c r="AB245" i="2" s="1"/>
  <c r="AA247" i="2"/>
  <c r="AB247" i="2" s="1"/>
  <c r="AA246" i="2"/>
  <c r="AB246" i="2" s="1"/>
  <c r="P251" i="2" l="1" a="1"/>
  <c r="O254" i="2" a="1"/>
  <c r="P250" i="2" a="1"/>
  <c r="O249" i="2" a="1"/>
  <c r="W249" i="2" s="1"/>
  <c r="P253" i="2" a="1"/>
  <c r="O253" i="2" a="1"/>
  <c r="P252" i="2" a="1"/>
  <c r="O250" i="2" a="1"/>
  <c r="O251" i="2" a="1"/>
  <c r="P249" i="2" a="1"/>
  <c r="P248" i="2" a="1"/>
  <c r="O255" i="2" a="1"/>
  <c r="O248" i="2" a="1"/>
  <c r="O252" i="2" a="1"/>
  <c r="P255" i="2" a="1"/>
  <c r="P254" i="2" a="1"/>
  <c r="W251" i="2" l="1"/>
  <c r="W253" i="2"/>
  <c r="Q252" i="2"/>
  <c r="W250" i="2"/>
  <c r="Q255" i="2"/>
  <c r="W254" i="2"/>
  <c r="Q248" i="2"/>
  <c r="Q251" i="2"/>
  <c r="Q253" i="2"/>
  <c r="Q249" i="2"/>
  <c r="AA249" i="2" s="1"/>
  <c r="AB249" i="2" s="1"/>
  <c r="W255" i="2"/>
  <c r="W248" i="2"/>
  <c r="W252" i="2"/>
  <c r="Q254" i="2"/>
  <c r="Q250" i="2"/>
  <c r="AA251" i="2" l="1"/>
  <c r="AB251" i="2" s="1"/>
  <c r="AA253" i="2"/>
  <c r="AB253" i="2" s="1"/>
  <c r="AA255" i="2"/>
  <c r="AB255" i="2" s="1"/>
  <c r="AA252" i="2"/>
  <c r="AB252" i="2" s="1"/>
  <c r="AA254" i="2"/>
  <c r="AB254" i="2" s="1"/>
  <c r="AA250" i="2"/>
  <c r="AB250" i="2" s="1"/>
  <c r="AA248" i="2"/>
  <c r="AB248" i="2" s="1"/>
  <c r="O258" i="2" a="1"/>
  <c r="P259" i="2" a="1"/>
  <c r="O259" i="2" a="1"/>
  <c r="P258" i="2" a="1"/>
  <c r="O257" i="2" l="1" a="1"/>
  <c r="P256" i="2" a="1"/>
  <c r="O256" i="2" a="1"/>
  <c r="W256" i="2" s="1"/>
  <c r="P257" i="2" a="1"/>
  <c r="Q258" i="2"/>
  <c r="W259" i="2"/>
  <c r="W258" i="2"/>
  <c r="Q259" i="2"/>
  <c r="O260" i="2" a="1"/>
  <c r="P260" i="2" a="1"/>
  <c r="O261" i="2" a="1"/>
  <c r="P261" i="2" a="1"/>
  <c r="W257" i="2" l="1"/>
  <c r="Q256" i="2"/>
  <c r="AA256" i="2" s="1"/>
  <c r="AB256" i="2" s="1"/>
  <c r="Q257" i="2"/>
  <c r="AA257" i="2" s="1"/>
  <c r="AB257" i="2" s="1"/>
  <c r="AA258" i="2"/>
  <c r="AB258" i="2" s="1"/>
  <c r="AA259" i="2"/>
  <c r="AB259" i="2" s="1"/>
  <c r="Q260" i="2"/>
  <c r="W261" i="2"/>
  <c r="W260" i="2"/>
  <c r="Q261" i="2"/>
  <c r="AA260" i="2" l="1"/>
  <c r="AB260" i="2" s="1"/>
  <c r="AA261" i="2"/>
  <c r="AB261" i="2" s="1"/>
  <c r="O265" i="2" l="1" a="1"/>
  <c r="O263" i="2" a="1"/>
  <c r="O266" i="2" a="1"/>
  <c r="P267" i="2" a="1"/>
  <c r="O267" i="2" a="1"/>
  <c r="P266" i="2" a="1"/>
  <c r="P265" i="2" a="1"/>
  <c r="Q265" i="2" s="1"/>
  <c r="P264" i="2" a="1"/>
  <c r="P262" i="2" a="1"/>
  <c r="O264" i="2" a="1"/>
  <c r="O262" i="2" a="1"/>
  <c r="P263" i="2" a="1"/>
  <c r="O269" i="2" a="1"/>
  <c r="P269" i="2" a="1"/>
  <c r="Q269" i="2" s="1"/>
  <c r="P268" i="2" a="1"/>
  <c r="O268" i="2" a="1"/>
  <c r="Q262" i="2" l="1"/>
  <c r="Q267" i="2"/>
  <c r="Q266" i="2"/>
  <c r="Q264" i="2"/>
  <c r="Q263" i="2"/>
  <c r="Q268" i="2"/>
  <c r="W265" i="2"/>
  <c r="AA265" i="2" s="1"/>
  <c r="AB265" i="2" s="1"/>
  <c r="W263" i="2"/>
  <c r="W266" i="2"/>
  <c r="W267" i="2"/>
  <c r="W264" i="2"/>
  <c r="W262" i="2"/>
  <c r="AA262" i="2" s="1"/>
  <c r="AB262" i="2" s="1"/>
  <c r="W269" i="2"/>
  <c r="AA269" i="2" s="1"/>
  <c r="AB269" i="2" s="1"/>
  <c r="W268" i="2"/>
  <c r="AA263" i="2" l="1"/>
  <c r="AB263" i="2" s="1"/>
  <c r="AA266" i="2"/>
  <c r="AB266" i="2" s="1"/>
  <c r="AA267" i="2"/>
  <c r="AB267" i="2" s="1"/>
  <c r="AA264" i="2"/>
  <c r="AB264" i="2" s="1"/>
  <c r="AA268" i="2"/>
  <c r="AB268" i="2" s="1"/>
  <c r="P273" i="2" a="1"/>
  <c r="P272" i="2" a="1"/>
  <c r="O272" i="2" a="1"/>
  <c r="W272" i="2" s="1"/>
  <c r="O270" i="2" a="1"/>
  <c r="P270" i="2" a="1"/>
  <c r="Q270" i="2" s="1"/>
  <c r="P271" i="2" a="1"/>
  <c r="O273" i="2" a="1"/>
  <c r="O271" i="2" a="1"/>
  <c r="W271" i="2" s="1"/>
  <c r="Q272" i="2" l="1"/>
  <c r="AA272" i="2" s="1"/>
  <c r="AB272" i="2" s="1"/>
  <c r="W273" i="2"/>
  <c r="Q271" i="2"/>
  <c r="AA271" i="2" s="1"/>
  <c r="AB271" i="2" s="1"/>
  <c r="Q273" i="2"/>
  <c r="AA273" i="2" s="1"/>
  <c r="AB273" i="2" s="1"/>
  <c r="W270" i="2"/>
  <c r="AA270" i="2" s="1"/>
  <c r="AB270" i="2" s="1"/>
  <c r="O275" i="2" a="1"/>
  <c r="P274" i="2" a="1"/>
  <c r="P275" i="2" a="1"/>
  <c r="O274" i="2" a="1"/>
  <c r="W274" i="2" l="1"/>
  <c r="W275" i="2"/>
  <c r="Q274" i="2"/>
  <c r="Q275" i="2"/>
  <c r="AA274" i="2" l="1"/>
  <c r="AB274" i="2" s="1"/>
  <c r="AA275" i="2"/>
  <c r="AB275" i="2" s="1"/>
  <c r="O281" i="2" a="1"/>
  <c r="P281" i="2" a="1"/>
  <c r="P280" i="2" a="1"/>
  <c r="O280" i="2" a="1"/>
  <c r="P277" i="2" l="1" a="1"/>
  <c r="O277" i="2" a="1"/>
  <c r="P276" i="2" a="1"/>
  <c r="O276" i="2" a="1"/>
  <c r="W276" i="2" s="1"/>
  <c r="O279" i="2" a="1"/>
  <c r="O278" i="2" a="1"/>
  <c r="P279" i="2" a="1"/>
  <c r="P278" i="2" a="1"/>
  <c r="W281" i="2"/>
  <c r="W280" i="2"/>
  <c r="Q281" i="2"/>
  <c r="Q280" i="2"/>
  <c r="Q277" i="2" l="1"/>
  <c r="W277" i="2"/>
  <c r="AA277" i="2" s="1"/>
  <c r="AB277" i="2" s="1"/>
  <c r="Q276" i="2"/>
  <c r="AA276" i="2" s="1"/>
  <c r="AB276" i="2" s="1"/>
  <c r="W278" i="2"/>
  <c r="W279" i="2"/>
  <c r="Q278" i="2"/>
  <c r="Q279" i="2"/>
  <c r="AA281" i="2"/>
  <c r="AB281" i="2" s="1"/>
  <c r="AA280" i="2"/>
  <c r="AB280" i="2" s="1"/>
  <c r="O287" i="2" a="1"/>
  <c r="P286" i="2" a="1"/>
  <c r="O286" i="2" a="1"/>
  <c r="P287" i="2" a="1"/>
  <c r="P283" i="2" l="1" a="1"/>
  <c r="O282" i="2" a="1"/>
  <c r="P282" i="2" a="1"/>
  <c r="O283" i="2" a="1"/>
  <c r="AA278" i="2"/>
  <c r="AB278" i="2" s="1"/>
  <c r="AA279" i="2"/>
  <c r="AB279" i="2" s="1"/>
  <c r="O285" i="2" a="1"/>
  <c r="O284" i="2" a="1"/>
  <c r="P285" i="2" a="1"/>
  <c r="P284" i="2" a="1"/>
  <c r="W286" i="2"/>
  <c r="W287" i="2"/>
  <c r="Q287" i="2"/>
  <c r="Q286" i="2"/>
  <c r="Q282" i="2" l="1"/>
  <c r="W283" i="2"/>
  <c r="Q283" i="2"/>
  <c r="W282" i="2"/>
  <c r="Q285" i="2"/>
  <c r="Q284" i="2"/>
  <c r="W285" i="2"/>
  <c r="W284" i="2"/>
  <c r="AA286" i="2"/>
  <c r="AB286" i="2" s="1"/>
  <c r="AA287" i="2"/>
  <c r="AB287" i="2" s="1"/>
  <c r="P290" i="2" a="1"/>
  <c r="O291" i="2" a="1"/>
  <c r="P291" i="2" a="1"/>
  <c r="O290" i="2" a="1"/>
  <c r="AA282" i="2" l="1"/>
  <c r="AB282" i="2" s="1"/>
  <c r="AA283" i="2"/>
  <c r="AB283" i="2" s="1"/>
  <c r="P289" i="2" a="1"/>
  <c r="O288" i="2" a="1"/>
  <c r="P288" i="2" a="1"/>
  <c r="O289" i="2" a="1"/>
  <c r="AA285" i="2"/>
  <c r="AB285" i="2" s="1"/>
  <c r="AA284" i="2"/>
  <c r="AB284" i="2" s="1"/>
  <c r="W290" i="2"/>
  <c r="W291" i="2"/>
  <c r="Q290" i="2"/>
  <c r="Q291" i="2"/>
  <c r="Q288" i="2" l="1"/>
  <c r="W289" i="2"/>
  <c r="W288" i="2"/>
  <c r="AA288" i="2" s="1"/>
  <c r="AB288" i="2" s="1"/>
  <c r="Q289" i="2"/>
  <c r="AA290" i="2"/>
  <c r="AB290" i="2" s="1"/>
  <c r="AA291" i="2"/>
  <c r="AB291" i="2" s="1"/>
  <c r="AA289" i="2" l="1"/>
  <c r="AB289" i="2" s="1"/>
  <c r="P292" i="2" a="1"/>
  <c r="O293" i="2" a="1"/>
  <c r="O292" i="2" a="1"/>
  <c r="P293" i="2" a="1"/>
  <c r="Q292" i="2" l="1"/>
  <c r="W293" i="2"/>
  <c r="W292" i="2"/>
  <c r="Q293" i="2"/>
  <c r="AA293" i="2" l="1"/>
  <c r="AB293" i="2" s="1"/>
  <c r="AA292" i="2"/>
  <c r="AB292" i="2" s="1"/>
  <c r="P298" i="2" a="1"/>
  <c r="O296" i="2" a="1"/>
  <c r="P297" i="2" a="1"/>
  <c r="P296" i="2" a="1"/>
  <c r="O297" i="2" a="1"/>
  <c r="O298" i="2" a="1"/>
  <c r="P299" i="2" a="1"/>
  <c r="O299" i="2" a="1"/>
  <c r="Q296" i="2" l="1"/>
  <c r="P294" i="2" a="1"/>
  <c r="O294" i="2" a="1"/>
  <c r="O295" i="2" a="1"/>
  <c r="P295" i="2" a="1"/>
  <c r="Q298" i="2"/>
  <c r="W299" i="2"/>
  <c r="W297" i="2"/>
  <c r="W296" i="2"/>
  <c r="Q297" i="2"/>
  <c r="W298" i="2"/>
  <c r="Q299" i="2"/>
  <c r="W294" i="2" l="1"/>
  <c r="AA296" i="2"/>
  <c r="AB296" i="2" s="1"/>
  <c r="Q295" i="2"/>
  <c r="W295" i="2"/>
  <c r="AA295" i="2" s="1"/>
  <c r="AB295" i="2" s="1"/>
  <c r="Q294" i="2"/>
  <c r="AA297" i="2"/>
  <c r="AB297" i="2" s="1"/>
  <c r="AA298" i="2"/>
  <c r="AB298" i="2" s="1"/>
  <c r="AA299" i="2"/>
  <c r="AB299" i="2" s="1"/>
  <c r="P302" i="2" a="1"/>
  <c r="P300" i="2" a="1"/>
  <c r="P301" i="2" a="1"/>
  <c r="O300" i="2" a="1"/>
  <c r="O301" i="2" a="1"/>
  <c r="O303" i="2" a="1"/>
  <c r="P303" i="2" a="1"/>
  <c r="O302" i="2" a="1"/>
  <c r="AA294" i="2" l="1"/>
  <c r="AB294" i="2" s="1"/>
  <c r="Q301" i="2"/>
  <c r="Q303" i="2"/>
  <c r="Q302" i="2"/>
  <c r="Q300" i="2"/>
  <c r="W300" i="2"/>
  <c r="W301" i="2"/>
  <c r="W303" i="2"/>
  <c r="W302" i="2"/>
  <c r="AA301" i="2" l="1"/>
  <c r="AB301" i="2" s="1"/>
  <c r="AA303" i="2"/>
  <c r="AB303" i="2" s="1"/>
  <c r="O306" i="2" a="1"/>
  <c r="P306" i="2" a="1"/>
  <c r="P304" i="2" a="1"/>
  <c r="O305" i="2" a="1"/>
  <c r="P305" i="2" a="1"/>
  <c r="O304" i="2" a="1"/>
  <c r="O307" i="2" a="1"/>
  <c r="P307" i="2" a="1"/>
  <c r="AA302" i="2"/>
  <c r="AB302" i="2" s="1"/>
  <c r="AA300" i="2"/>
  <c r="AB300" i="2" s="1"/>
  <c r="Q305" i="2" l="1"/>
  <c r="W304" i="2"/>
  <c r="W307" i="2"/>
  <c r="W306" i="2"/>
  <c r="Q306" i="2"/>
  <c r="W305" i="2"/>
  <c r="Q307" i="2"/>
  <c r="Q304" i="2"/>
  <c r="AA305" i="2" l="1"/>
  <c r="AB305" i="2" s="1"/>
  <c r="AA307" i="2"/>
  <c r="AB307" i="2" s="1"/>
  <c r="AA304" i="2"/>
  <c r="AB304" i="2" s="1"/>
  <c r="AA306" i="2"/>
  <c r="AB306" i="2" s="1"/>
  <c r="P312" i="2" l="1" a="1"/>
  <c r="O313" i="2" a="1"/>
  <c r="O312" i="2" a="1"/>
  <c r="P313" i="2" a="1"/>
  <c r="O310" i="2" a="1"/>
  <c r="W310" i="2" s="1"/>
  <c r="O311" i="2" a="1"/>
  <c r="P311" i="2" a="1"/>
  <c r="O308" i="2" a="1"/>
  <c r="P308" i="2" a="1"/>
  <c r="Q308" i="2" s="1"/>
  <c r="P310" i="2" a="1"/>
  <c r="P309" i="2" a="1"/>
  <c r="O309" i="2" a="1"/>
  <c r="O315" i="2" a="1"/>
  <c r="P314" i="2" a="1"/>
  <c r="P315" i="2" a="1"/>
  <c r="O314" i="2" a="1"/>
  <c r="O317" i="2" a="1"/>
  <c r="P316" i="2" a="1"/>
  <c r="O316" i="2" a="1"/>
  <c r="P317" i="2" a="1"/>
  <c r="Q313" i="2" l="1"/>
  <c r="Q311" i="2"/>
  <c r="W309" i="2"/>
  <c r="W312" i="2"/>
  <c r="Q312" i="2"/>
  <c r="AA312" i="2" s="1"/>
  <c r="AB312" i="2" s="1"/>
  <c r="W313" i="2"/>
  <c r="W311" i="2"/>
  <c r="AA311" i="2" s="1"/>
  <c r="AB311" i="2" s="1"/>
  <c r="W308" i="2"/>
  <c r="AA308" i="2" s="1"/>
  <c r="AB308" i="2" s="1"/>
  <c r="Q310" i="2"/>
  <c r="AA310" i="2" s="1"/>
  <c r="AB310" i="2" s="1"/>
  <c r="Q309" i="2"/>
  <c r="W315" i="2"/>
  <c r="Q315" i="2"/>
  <c r="Q314" i="2"/>
  <c r="W314" i="2"/>
  <c r="Q317" i="2"/>
  <c r="Q316" i="2"/>
  <c r="W317" i="2"/>
  <c r="W316" i="2"/>
  <c r="AA313" i="2" l="1"/>
  <c r="AB313" i="2" s="1"/>
  <c r="AA309" i="2"/>
  <c r="AB309" i="2" s="1"/>
  <c r="AA314" i="2"/>
  <c r="AB314" i="2" s="1"/>
  <c r="AA315" i="2"/>
  <c r="AB315" i="2" s="1"/>
  <c r="AA316" i="2"/>
  <c r="AB316" i="2" s="1"/>
  <c r="AA317" i="2"/>
  <c r="AB317" i="2" s="1"/>
  <c r="O319" i="2" l="1" a="1"/>
  <c r="P318" i="2" a="1"/>
  <c r="O318" i="2" a="1"/>
  <c r="P319" i="2" a="1"/>
  <c r="Q319" i="2" l="1"/>
  <c r="W319" i="2"/>
  <c r="W318" i="2"/>
  <c r="Q318" i="2"/>
  <c r="AA319" i="2" l="1"/>
  <c r="AB319" i="2" s="1"/>
  <c r="AA318" i="2"/>
  <c r="AB318" i="2" s="1"/>
  <c r="P320" i="2" a="1"/>
  <c r="O323" i="2" a="1"/>
  <c r="O321" i="2" a="1"/>
  <c r="O322" i="2" a="1"/>
  <c r="O320" i="2" a="1"/>
  <c r="P322" i="2" a="1"/>
  <c r="P321" i="2" a="1"/>
  <c r="P323" i="2" a="1"/>
  <c r="Q322" i="2" l="1"/>
  <c r="W323" i="2"/>
  <c r="W321" i="2"/>
  <c r="W322" i="2"/>
  <c r="W320" i="2"/>
  <c r="Q320" i="2"/>
  <c r="Q321" i="2"/>
  <c r="Q323" i="2"/>
  <c r="AA323" i="2" l="1"/>
  <c r="AB323" i="2" s="1"/>
  <c r="AA321" i="2"/>
  <c r="AB321" i="2" s="1"/>
  <c r="AA322" i="2"/>
  <c r="AB322" i="2" s="1"/>
  <c r="AA320" i="2"/>
  <c r="AB320" i="2" s="1"/>
  <c r="O327" i="2" a="1"/>
  <c r="P327" i="2" a="1"/>
  <c r="O326" i="2" a="1"/>
  <c r="P326" i="2" a="1"/>
  <c r="O325" i="2" l="1" a="1"/>
  <c r="O324" i="2" a="1"/>
  <c r="W324" i="2" s="1"/>
  <c r="P325" i="2" a="1"/>
  <c r="P324" i="2" a="1"/>
  <c r="Q327" i="2"/>
  <c r="W327" i="2"/>
  <c r="W326" i="2"/>
  <c r="Q326" i="2"/>
  <c r="Q325" i="2" l="1"/>
  <c r="W325" i="2"/>
  <c r="AA325" i="2" s="1"/>
  <c r="AB325" i="2" s="1"/>
  <c r="Q324" i="2"/>
  <c r="AA324" i="2" s="1"/>
  <c r="AB324" i="2" s="1"/>
  <c r="AA327" i="2"/>
  <c r="AB327" i="2" s="1"/>
  <c r="P335" i="2" a="1"/>
  <c r="O335" i="2" a="1"/>
  <c r="O333" i="2" a="1"/>
  <c r="O331" i="2" a="1"/>
  <c r="P334" i="2" a="1"/>
  <c r="O334" i="2" a="1"/>
  <c r="O332" i="2" a="1"/>
  <c r="O330" i="2" a="1"/>
  <c r="P333" i="2" a="1"/>
  <c r="P330" i="2" a="1"/>
  <c r="P332" i="2" a="1"/>
  <c r="P331" i="2" a="1"/>
  <c r="AA326" i="2"/>
  <c r="AB326" i="2" s="1"/>
  <c r="P329" i="2" l="1" a="1"/>
  <c r="P328" i="2" a="1"/>
  <c r="O329" i="2" a="1"/>
  <c r="O328" i="2" a="1"/>
  <c r="Q332" i="2"/>
  <c r="Q334" i="2"/>
  <c r="W335" i="2"/>
  <c r="W333" i="2"/>
  <c r="W331" i="2"/>
  <c r="W334" i="2"/>
  <c r="W332" i="2"/>
  <c r="W330" i="2"/>
  <c r="Q335" i="2"/>
  <c r="Q333" i="2"/>
  <c r="Q330" i="2"/>
  <c r="Q331" i="2"/>
  <c r="W328" i="2" l="1"/>
  <c r="W329" i="2"/>
  <c r="Q328" i="2"/>
  <c r="Q329" i="2"/>
  <c r="AA332" i="2"/>
  <c r="AB332" i="2" s="1"/>
  <c r="AA334" i="2"/>
  <c r="AB334" i="2" s="1"/>
  <c r="AA333" i="2"/>
  <c r="AB333" i="2" s="1"/>
  <c r="AA335" i="2"/>
  <c r="AB335" i="2" s="1"/>
  <c r="AA331" i="2"/>
  <c r="AB331" i="2" s="1"/>
  <c r="AA330" i="2"/>
  <c r="AB330" i="2" s="1"/>
  <c r="AA328" i="2" l="1"/>
  <c r="AB328" i="2" s="1"/>
  <c r="AA329" i="2"/>
  <c r="AB329" i="2" s="1"/>
  <c r="P337" i="2" a="1"/>
  <c r="P336" i="2" a="1"/>
  <c r="O336" i="2" a="1"/>
  <c r="O337" i="2" a="1"/>
  <c r="W336" i="2" l="1"/>
  <c r="W337" i="2"/>
  <c r="Q337" i="2"/>
  <c r="Q336" i="2"/>
  <c r="AA336" i="2" l="1"/>
  <c r="AB336" i="2" s="1"/>
  <c r="AA337" i="2"/>
  <c r="AB337" i="2" s="1"/>
  <c r="P339" i="2" l="1" a="1"/>
  <c r="P338" i="2" a="1"/>
  <c r="P340" i="2" a="1"/>
  <c r="P343" i="2" a="1"/>
  <c r="P341" i="2" a="1"/>
  <c r="O338" i="2" a="1"/>
  <c r="O340" i="2" a="1"/>
  <c r="O342" i="2" a="1"/>
  <c r="P342" i="2" a="1"/>
  <c r="O339" i="2" a="1"/>
  <c r="O341" i="2" a="1"/>
  <c r="W341" i="2" s="1"/>
  <c r="O343" i="2" a="1"/>
  <c r="Q343" i="2" l="1"/>
  <c r="W340" i="2"/>
  <c r="W338" i="2"/>
  <c r="Q342" i="2"/>
  <c r="W339" i="2"/>
  <c r="Q340" i="2"/>
  <c r="W342" i="2"/>
  <c r="W343" i="2"/>
  <c r="Q339" i="2"/>
  <c r="Q341" i="2"/>
  <c r="AA341" i="2" s="1"/>
  <c r="AB341" i="2" s="1"/>
  <c r="Q338" i="2"/>
  <c r="AA343" i="2" l="1"/>
  <c r="AB343" i="2" s="1"/>
  <c r="AA340" i="2"/>
  <c r="AB340" i="2" s="1"/>
  <c r="AA342" i="2"/>
  <c r="AB342" i="2" s="1"/>
  <c r="AA339" i="2"/>
  <c r="AB339" i="2" s="1"/>
  <c r="AA338" i="2"/>
  <c r="AB338" i="2" s="1"/>
  <c r="O345" i="2" a="1"/>
  <c r="P345" i="2" a="1"/>
  <c r="O344" i="2" a="1"/>
  <c r="P344" i="2" a="1"/>
  <c r="Q345" i="2" l="1"/>
  <c r="W344" i="2"/>
  <c r="Q344" i="2"/>
  <c r="AA344" i="2" s="1"/>
  <c r="AB344" i="2" s="1"/>
  <c r="W345" i="2"/>
  <c r="AA345" i="2" l="1"/>
  <c r="AB345" i="2" s="1"/>
  <c r="O347" i="2" a="1"/>
  <c r="O346" i="2" a="1"/>
  <c r="P346" i="2" a="1"/>
  <c r="P347" i="2" a="1"/>
  <c r="Q347" i="2" l="1"/>
  <c r="Q346" i="2"/>
  <c r="W347" i="2"/>
  <c r="W346" i="2"/>
  <c r="AA347" i="2" l="1"/>
  <c r="AB347" i="2" s="1"/>
  <c r="AA346" i="2"/>
  <c r="AB346" i="2" s="1"/>
  <c r="O350" i="2" l="1" a="1"/>
  <c r="O351" i="2" a="1"/>
  <c r="O348" i="2" a="1"/>
  <c r="P351" i="2" a="1"/>
  <c r="Q351" i="2" s="1"/>
  <c r="O349" i="2" a="1"/>
  <c r="P348" i="2" a="1"/>
  <c r="P349" i="2" a="1"/>
  <c r="P350" i="2" a="1"/>
  <c r="O352" i="2" a="1"/>
  <c r="O353" i="2" a="1"/>
  <c r="P353" i="2" a="1"/>
  <c r="P352" i="2" a="1"/>
  <c r="W350" i="2" l="1"/>
  <c r="W351" i="2"/>
  <c r="AA351" i="2" s="1"/>
  <c r="AB351" i="2" s="1"/>
  <c r="W348" i="2"/>
  <c r="Q349" i="2"/>
  <c r="W352" i="2"/>
  <c r="Q353" i="2"/>
  <c r="W349" i="2"/>
  <c r="AA349" i="2" s="1"/>
  <c r="AB349" i="2" s="1"/>
  <c r="Q348" i="2"/>
  <c r="AA348" i="2" s="1"/>
  <c r="AB348" i="2" s="1"/>
  <c r="Q350" i="2"/>
  <c r="W353" i="2"/>
  <c r="Q352" i="2"/>
  <c r="AA350" i="2" l="1"/>
  <c r="AB350" i="2" s="1"/>
  <c r="AA353" i="2"/>
  <c r="AB353" i="2" s="1"/>
  <c r="AA352" i="2"/>
  <c r="AB352" i="2" s="1"/>
  <c r="P354" i="2" a="1"/>
  <c r="O355" i="2" a="1"/>
  <c r="O354" i="2" a="1"/>
  <c r="W354" i="2" s="1"/>
  <c r="P355" i="2" a="1"/>
  <c r="Q355" i="2" s="1"/>
  <c r="O356" i="2" a="1"/>
  <c r="O357" i="2" a="1"/>
  <c r="O358" i="2" a="1"/>
  <c r="P359" i="2" a="1"/>
  <c r="O359" i="2" a="1"/>
  <c r="P357" i="2" a="1"/>
  <c r="Q357" i="2" s="1"/>
  <c r="P356" i="2" a="1"/>
  <c r="P358" i="2" a="1"/>
  <c r="W359" i="2" l="1"/>
  <c r="W356" i="2"/>
  <c r="W355" i="2"/>
  <c r="AA355" i="2" s="1"/>
  <c r="AB355" i="2" s="1"/>
  <c r="W358" i="2"/>
  <c r="Q354" i="2"/>
  <c r="AA354" i="2" s="1"/>
  <c r="AB354" i="2" s="1"/>
  <c r="W357" i="2"/>
  <c r="AA357" i="2" s="1"/>
  <c r="AB357" i="2" s="1"/>
  <c r="Q359" i="2"/>
  <c r="Q356" i="2"/>
  <c r="Q358" i="2"/>
  <c r="P362" i="2" a="1"/>
  <c r="O365" i="2" a="1"/>
  <c r="O364" i="2" a="1"/>
  <c r="P365" i="2" a="1"/>
  <c r="P364" i="2" a="1"/>
  <c r="O360" i="2" a="1"/>
  <c r="O362" i="2" a="1"/>
  <c r="P361" i="2" a="1"/>
  <c r="O363" i="2" a="1"/>
  <c r="P360" i="2" a="1"/>
  <c r="P363" i="2" a="1"/>
  <c r="O361" i="2" a="1"/>
  <c r="AA359" i="2" l="1"/>
  <c r="AB359" i="2" s="1"/>
  <c r="Q363" i="2"/>
  <c r="W360" i="2"/>
  <c r="AA360" i="2" s="1"/>
  <c r="AB360" i="2" s="1"/>
  <c r="Q362" i="2"/>
  <c r="Q365" i="2"/>
  <c r="Q361" i="2"/>
  <c r="AA356" i="2"/>
  <c r="AB356" i="2" s="1"/>
  <c r="W364" i="2"/>
  <c r="W363" i="2"/>
  <c r="AA363" i="2" s="1"/>
  <c r="AB363" i="2" s="1"/>
  <c r="AA358" i="2"/>
  <c r="AB358" i="2" s="1"/>
  <c r="W361" i="2"/>
  <c r="W365" i="2"/>
  <c r="W362" i="2"/>
  <c r="Q360" i="2"/>
  <c r="Q364" i="2"/>
  <c r="P368" i="2" a="1"/>
  <c r="P369" i="2" a="1"/>
  <c r="O368" i="2" a="1"/>
  <c r="O369" i="2" a="1"/>
  <c r="AA365" i="2" l="1"/>
  <c r="AB365" i="2" s="1"/>
  <c r="AA362" i="2"/>
  <c r="AB362" i="2" s="1"/>
  <c r="P366" i="2" a="1"/>
  <c r="O367" i="2" a="1"/>
  <c r="AA361" i="2"/>
  <c r="AB361" i="2" s="1"/>
  <c r="AA364" i="2"/>
  <c r="AB364" i="2" s="1"/>
  <c r="W368" i="2"/>
  <c r="W369" i="2"/>
  <c r="Q368" i="2"/>
  <c r="Q369" i="2"/>
  <c r="O373" i="2" a="1"/>
  <c r="O370" i="2" a="1"/>
  <c r="O375" i="2" a="1"/>
  <c r="P375" i="2" a="1"/>
  <c r="P372" i="2" a="1"/>
  <c r="P370" i="2" a="1"/>
  <c r="O371" i="2" a="1"/>
  <c r="P371" i="2" a="1"/>
  <c r="O374" i="2" a="1"/>
  <c r="O372" i="2" a="1"/>
  <c r="P373" i="2" a="1"/>
  <c r="P374" i="2" a="1"/>
  <c r="O366" i="2" l="1" a="1"/>
  <c r="P367" i="2" a="1"/>
  <c r="Q373" i="2"/>
  <c r="Q370" i="2"/>
  <c r="AA368" i="2"/>
  <c r="AB368" i="2" s="1"/>
  <c r="Q371" i="2"/>
  <c r="AA369" i="2"/>
  <c r="AB369" i="2" s="1"/>
  <c r="W375" i="2"/>
  <c r="Q375" i="2"/>
  <c r="Q372" i="2"/>
  <c r="W374" i="2"/>
  <c r="W373" i="2"/>
  <c r="W371" i="2"/>
  <c r="W372" i="2"/>
  <c r="Q374" i="2"/>
  <c r="W370" i="2"/>
  <c r="Q366" i="2" l="1"/>
  <c r="W366" i="2"/>
  <c r="AA366" i="2" s="1"/>
  <c r="AB366" i="2" s="1"/>
  <c r="Q367" i="2"/>
  <c r="W367" i="2"/>
  <c r="AA367" i="2" s="1"/>
  <c r="AB367" i="2" s="1"/>
  <c r="AA371" i="2"/>
  <c r="AB371" i="2" s="1"/>
  <c r="AA373" i="2"/>
  <c r="AB373" i="2" s="1"/>
  <c r="AA370" i="2"/>
  <c r="AB370" i="2" s="1"/>
  <c r="AA374" i="2"/>
  <c r="AB374" i="2" s="1"/>
  <c r="AA375" i="2"/>
  <c r="AB375" i="2" s="1"/>
  <c r="AA372" i="2"/>
  <c r="AB372" i="2" s="1"/>
  <c r="O379" i="2" a="1"/>
  <c r="P379" i="2" a="1"/>
  <c r="O378" i="2" a="1"/>
  <c r="P378" i="2" a="1"/>
  <c r="O376" i="2" l="1" a="1"/>
  <c r="O377" i="2" a="1"/>
  <c r="P377" i="2" a="1"/>
  <c r="P376" i="2" a="1"/>
  <c r="Q379" i="2"/>
  <c r="W378" i="2"/>
  <c r="W379" i="2"/>
  <c r="Q378" i="2"/>
  <c r="Q376" i="2" l="1"/>
  <c r="Q377" i="2"/>
  <c r="W376" i="2"/>
  <c r="W377" i="2"/>
  <c r="AA379" i="2"/>
  <c r="AB379" i="2" s="1"/>
  <c r="AA378" i="2"/>
  <c r="AB378" i="2" s="1"/>
  <c r="P386" i="2" a="1"/>
  <c r="P387" i="2" a="1"/>
  <c r="O386" i="2" a="1"/>
  <c r="O387" i="2" a="1"/>
  <c r="O385" i="2" l="1" a="1"/>
  <c r="P385" i="2" a="1"/>
  <c r="P383" i="2" a="1"/>
  <c r="P380" i="2" a="1"/>
  <c r="O384" i="2" a="1"/>
  <c r="W384" i="2" s="1"/>
  <c r="O381" i="2" a="1"/>
  <c r="P382" i="2" a="1"/>
  <c r="P384" i="2" a="1"/>
  <c r="O382" i="2" a="1"/>
  <c r="O383" i="2" a="1"/>
  <c r="W383" i="2" s="1"/>
  <c r="P381" i="2" a="1"/>
  <c r="O380" i="2" a="1"/>
  <c r="AA376" i="2"/>
  <c r="AB376" i="2" s="1"/>
  <c r="AA377" i="2"/>
  <c r="AB377" i="2" s="1"/>
  <c r="Q386" i="2"/>
  <c r="Q387" i="2"/>
  <c r="W386" i="2"/>
  <c r="W387" i="2"/>
  <c r="Q381" i="2" l="1"/>
  <c r="Q385" i="2"/>
  <c r="W382" i="2"/>
  <c r="W380" i="2"/>
  <c r="W385" i="2"/>
  <c r="Q383" i="2"/>
  <c r="AA383" i="2" s="1"/>
  <c r="AB383" i="2" s="1"/>
  <c r="Q380" i="2"/>
  <c r="AA380" i="2" s="1"/>
  <c r="AB380" i="2" s="1"/>
  <c r="W381" i="2"/>
  <c r="AA381" i="2" s="1"/>
  <c r="AB381" i="2" s="1"/>
  <c r="Q382" i="2"/>
  <c r="Q384" i="2"/>
  <c r="AA384" i="2" s="1"/>
  <c r="AB384" i="2" s="1"/>
  <c r="AA386" i="2"/>
  <c r="AB386" i="2" s="1"/>
  <c r="AA387" i="2"/>
  <c r="AB387" i="2" s="1"/>
  <c r="P391" i="2" a="1"/>
  <c r="O390" i="2" a="1"/>
  <c r="AA385" i="2" l="1"/>
  <c r="AB385" i="2" s="1"/>
  <c r="AA382" i="2"/>
  <c r="AB382" i="2" s="1"/>
  <c r="P389" i="2" a="1"/>
  <c r="O388" i="2" a="1"/>
  <c r="W388" i="2" s="1"/>
  <c r="P388" i="2" a="1"/>
  <c r="O389" i="2" a="1"/>
  <c r="P390" i="2" a="1"/>
  <c r="O391" i="2" a="1"/>
  <c r="Q389" i="2" l="1"/>
  <c r="Q388" i="2"/>
  <c r="AA388" i="2" s="1"/>
  <c r="AB388" i="2" s="1"/>
  <c r="W389" i="2"/>
  <c r="AA389" i="2" s="1"/>
  <c r="AB389" i="2" s="1"/>
  <c r="Q390" i="2"/>
  <c r="W390" i="2"/>
  <c r="Q391" i="2"/>
  <c r="W391" i="2"/>
  <c r="AA391" i="2" s="1"/>
  <c r="AB391" i="2" s="1"/>
  <c r="AA390" i="2" l="1"/>
  <c r="AB390" i="2" s="1"/>
  <c r="P393" i="2" a="1"/>
  <c r="O393" i="2" a="1"/>
  <c r="O392" i="2" a="1"/>
  <c r="W392" i="2" s="1"/>
  <c r="P392" i="2" a="1"/>
  <c r="O395" i="2" a="1"/>
  <c r="P397" i="2" a="1"/>
  <c r="O397" i="2" a="1"/>
  <c r="P396" i="2" a="1"/>
  <c r="O394" i="2" a="1"/>
  <c r="O396" i="2" a="1"/>
  <c r="P395" i="2" a="1"/>
  <c r="P394" i="2" a="1"/>
  <c r="W393" i="2" l="1"/>
  <c r="Q393" i="2"/>
  <c r="Q392" i="2"/>
  <c r="AA392" i="2" s="1"/>
  <c r="AB392" i="2" s="1"/>
  <c r="Q395" i="2"/>
  <c r="W395" i="2"/>
  <c r="W397" i="2"/>
  <c r="W394" i="2"/>
  <c r="W396" i="2"/>
  <c r="Q397" i="2"/>
  <c r="Q396" i="2"/>
  <c r="Q394" i="2"/>
  <c r="AA393" i="2" l="1"/>
  <c r="AB393" i="2" s="1"/>
  <c r="AA396" i="2"/>
  <c r="AB396" i="2" s="1"/>
  <c r="AA395" i="2"/>
  <c r="AB395" i="2" s="1"/>
  <c r="AA397" i="2"/>
  <c r="AB397" i="2" s="1"/>
  <c r="AA394" i="2"/>
  <c r="AB394" i="2" s="1"/>
  <c r="P399" i="2" l="1" a="1"/>
  <c r="O398" i="2" a="1"/>
  <c r="P398" i="2" a="1"/>
  <c r="O399" i="2" a="1"/>
  <c r="W398" i="2" l="1"/>
  <c r="W399" i="2"/>
  <c r="Q399" i="2"/>
  <c r="Q398" i="2"/>
  <c r="AA398" i="2" l="1"/>
  <c r="AB398" i="2" s="1"/>
  <c r="AA399" i="2"/>
  <c r="AB399" i="2" s="1"/>
  <c r="O401" i="2" l="1" a="1"/>
  <c r="P400" i="2" a="1"/>
  <c r="O400" i="2" a="1"/>
  <c r="P401" i="2" a="1"/>
  <c r="Q400" i="2" l="1"/>
  <c r="W401" i="2"/>
  <c r="W400" i="2"/>
  <c r="Q401" i="2"/>
  <c r="AA400" i="2" l="1"/>
  <c r="AB400" i="2" s="1"/>
  <c r="AA401" i="2"/>
  <c r="AB401" i="2" s="1"/>
  <c r="O402" i="2" l="1" a="1"/>
  <c r="P403" i="2" a="1"/>
  <c r="O403" i="2" a="1"/>
  <c r="P402" i="2" a="1"/>
  <c r="P404" i="2" a="1"/>
  <c r="O404" i="2" a="1"/>
  <c r="W404" i="2" s="1"/>
  <c r="O405" i="2" a="1"/>
  <c r="P405" i="2" a="1"/>
  <c r="O406" i="2" a="1"/>
  <c r="O407" i="2" a="1"/>
  <c r="P407" i="2" a="1"/>
  <c r="P406" i="2" a="1"/>
  <c r="Q402" i="2" l="1"/>
  <c r="Q403" i="2"/>
  <c r="Q404" i="2"/>
  <c r="AA404" i="2" s="1"/>
  <c r="AB404" i="2" s="1"/>
  <c r="Q405" i="2"/>
  <c r="W402" i="2"/>
  <c r="W403" i="2"/>
  <c r="W405" i="2"/>
  <c r="Q406" i="2"/>
  <c r="Q407" i="2"/>
  <c r="W406" i="2"/>
  <c r="W407" i="2"/>
  <c r="AA402" i="2" l="1"/>
  <c r="AB402" i="2" s="1"/>
  <c r="AA403" i="2"/>
  <c r="AB403" i="2" s="1"/>
  <c r="AA405" i="2"/>
  <c r="AB405" i="2" s="1"/>
  <c r="P413" i="2" a="1"/>
  <c r="O412" i="2" a="1"/>
  <c r="P412" i="2" a="1"/>
  <c r="O413" i="2" a="1"/>
  <c r="AA406" i="2"/>
  <c r="AB406" i="2" s="1"/>
  <c r="AA407" i="2"/>
  <c r="AB407" i="2" s="1"/>
  <c r="P409" i="2" l="1" a="1"/>
  <c r="O410" i="2" a="1"/>
  <c r="P411" i="2" a="1"/>
  <c r="O408" i="2" a="1"/>
  <c r="P408" i="2" a="1"/>
  <c r="O411" i="2" a="1"/>
  <c r="P410" i="2" a="1"/>
  <c r="O409" i="2" a="1"/>
  <c r="W409" i="2" s="1"/>
  <c r="Q413" i="2"/>
  <c r="Q412" i="2"/>
  <c r="W413" i="2"/>
  <c r="W412" i="2"/>
  <c r="O415" i="2" a="1"/>
  <c r="P414" i="2" a="1"/>
  <c r="O418" i="2" a="1"/>
  <c r="P419" i="2" a="1"/>
  <c r="AA413" i="2" l="1"/>
  <c r="AB413" i="2" s="1"/>
  <c r="W410" i="2"/>
  <c r="Q411" i="2"/>
  <c r="W408" i="2"/>
  <c r="Q409" i="2"/>
  <c r="AA409" i="2" s="1"/>
  <c r="AB409" i="2" s="1"/>
  <c r="Q408" i="2"/>
  <c r="AA408" i="2" s="1"/>
  <c r="AB408" i="2" s="1"/>
  <c r="Q410" i="2"/>
  <c r="W411" i="2"/>
  <c r="AA412" i="2"/>
  <c r="AB412" i="2" s="1"/>
  <c r="O419" i="2" a="1"/>
  <c r="P420" i="2" a="1"/>
  <c r="P421" i="2" a="1"/>
  <c r="P415" i="2" a="1"/>
  <c r="O417" i="2" a="1"/>
  <c r="O421" i="2" a="1"/>
  <c r="O414" i="2" a="1"/>
  <c r="P416" i="2" a="1"/>
  <c r="P418" i="2" a="1"/>
  <c r="O420" i="2" a="1"/>
  <c r="AA410" i="2" l="1"/>
  <c r="AB410" i="2" s="1"/>
  <c r="AA411" i="2"/>
  <c r="AB411" i="2" s="1"/>
  <c r="W420" i="2"/>
  <c r="W421" i="2"/>
  <c r="Q420" i="2"/>
  <c r="Q421" i="2"/>
  <c r="W419" i="2"/>
  <c r="Q419" i="2"/>
  <c r="W415" i="2"/>
  <c r="Q415" i="2"/>
  <c r="Q414" i="2"/>
  <c r="W414" i="2"/>
  <c r="AA414" i="2" s="1"/>
  <c r="AB414" i="2" s="1"/>
  <c r="Q418" i="2"/>
  <c r="W418" i="2"/>
  <c r="O416" i="2" l="1" a="1"/>
  <c r="P417" i="2" a="1"/>
  <c r="AA418" i="2"/>
  <c r="AB418" i="2" s="1"/>
  <c r="AA420" i="2"/>
  <c r="AB420" i="2" s="1"/>
  <c r="AA421" i="2"/>
  <c r="AB421" i="2" s="1"/>
  <c r="AA419" i="2"/>
  <c r="AB419" i="2" s="1"/>
  <c r="AA415" i="2"/>
  <c r="AB415" i="2" s="1"/>
  <c r="O426" i="2" a="1"/>
  <c r="O427" i="2" a="1"/>
  <c r="P427" i="2" a="1"/>
  <c r="P426" i="2" a="1"/>
  <c r="Q416" i="2" l="1"/>
  <c r="W416" i="2"/>
  <c r="AA416" i="2" s="1"/>
  <c r="AB416" i="2" s="1"/>
  <c r="Q417" i="2"/>
  <c r="W417" i="2"/>
  <c r="AA417" i="2" s="1"/>
  <c r="AB417" i="2" s="1"/>
  <c r="O425" i="2" a="1"/>
  <c r="P424" i="2" a="1"/>
  <c r="Q424" i="2" s="1"/>
  <c r="O424" i="2" a="1"/>
  <c r="W424" i="2" s="1"/>
  <c r="P425" i="2" a="1"/>
  <c r="O422" i="2" a="1"/>
  <c r="P422" i="2" a="1"/>
  <c r="O423" i="2" a="1"/>
  <c r="P423" i="2" a="1"/>
  <c r="W426" i="2"/>
  <c r="Q427" i="2"/>
  <c r="W427" i="2"/>
  <c r="Q426" i="2"/>
  <c r="W422" i="2" l="1"/>
  <c r="Q423" i="2"/>
  <c r="AA424" i="2"/>
  <c r="AB424" i="2" s="1"/>
  <c r="W425" i="2"/>
  <c r="W423" i="2"/>
  <c r="Q425" i="2"/>
  <c r="Q422" i="2"/>
  <c r="AA422" i="2" s="1"/>
  <c r="AB422" i="2" s="1"/>
  <c r="AA427" i="2"/>
  <c r="AB427" i="2" s="1"/>
  <c r="AA426" i="2"/>
  <c r="AB426" i="2" s="1"/>
  <c r="AA423" i="2" l="1"/>
  <c r="AB423" i="2" s="1"/>
  <c r="AA425" i="2"/>
  <c r="AB425" i="2" s="1"/>
  <c r="P435" i="2" a="1"/>
  <c r="O432" i="2" a="1"/>
  <c r="P429" i="2" a="1"/>
  <c r="P434" i="2" a="1"/>
  <c r="P428" i="2" a="1"/>
  <c r="O430" i="2" a="1"/>
  <c r="O429" i="2" a="1"/>
  <c r="O428" i="2" a="1"/>
  <c r="O433" i="2" a="1"/>
  <c r="P430" i="2" a="1"/>
  <c r="P431" i="2" a="1"/>
  <c r="P433" i="2" a="1"/>
  <c r="O435" i="2" a="1"/>
  <c r="O434" i="2" a="1"/>
  <c r="P432" i="2" a="1"/>
  <c r="O431" i="2" a="1"/>
  <c r="Q432" i="2" l="1"/>
  <c r="W429" i="2"/>
  <c r="Q430" i="2"/>
  <c r="W434" i="2"/>
  <c r="W431" i="2"/>
  <c r="Q429" i="2"/>
  <c r="AA429" i="2" s="1"/>
  <c r="AB429" i="2" s="1"/>
  <c r="Q428" i="2"/>
  <c r="Q433" i="2"/>
  <c r="W435" i="2"/>
  <c r="Q435" i="2"/>
  <c r="AA435" i="2" s="1"/>
  <c r="AB435" i="2" s="1"/>
  <c r="Q434" i="2"/>
  <c r="AA434" i="2" s="1"/>
  <c r="AB434" i="2" s="1"/>
  <c r="W430" i="2"/>
  <c r="W428" i="2"/>
  <c r="W433" i="2"/>
  <c r="Q431" i="2"/>
  <c r="W432" i="2"/>
  <c r="AA432" i="2" s="1"/>
  <c r="AB432" i="2" s="1"/>
  <c r="O445" i="2" a="1"/>
  <c r="P447" i="2" a="1"/>
  <c r="O446" i="2" a="1"/>
  <c r="O444" i="2" a="1"/>
  <c r="P444" i="2" a="1"/>
  <c r="P445" i="2" a="1"/>
  <c r="Q445" i="2" s="1"/>
  <c r="AA430" i="2" l="1"/>
  <c r="AB430" i="2" s="1"/>
  <c r="AA433" i="2"/>
  <c r="AB433" i="2" s="1"/>
  <c r="AA431" i="2"/>
  <c r="AB431" i="2" s="1"/>
  <c r="AA428" i="2"/>
  <c r="AB428" i="2" s="1"/>
  <c r="P436" i="2" a="1"/>
  <c r="P437" i="2" a="1"/>
  <c r="O439" i="2" a="1"/>
  <c r="P438" i="2" a="1"/>
  <c r="O437" i="2" a="1"/>
  <c r="W437" i="2" s="1"/>
  <c r="P441" i="2" a="1"/>
  <c r="O436" i="2" a="1"/>
  <c r="W436" i="2" s="1"/>
  <c r="O440" i="2" a="1"/>
  <c r="O441" i="2" a="1"/>
  <c r="O438" i="2" a="1"/>
  <c r="P439" i="2" a="1"/>
  <c r="P440" i="2" a="1"/>
  <c r="P443" i="2" a="1"/>
  <c r="O442" i="2" a="1"/>
  <c r="O443" i="2" a="1"/>
  <c r="P442" i="2" a="1"/>
  <c r="W445" i="2"/>
  <c r="AA445" i="2" s="1"/>
  <c r="AB445" i="2" s="1"/>
  <c r="W444" i="2"/>
  <c r="Q444" i="2"/>
  <c r="P446" i="2" l="1" a="1"/>
  <c r="O447" i="2" a="1"/>
  <c r="W441" i="2"/>
  <c r="Q438" i="2"/>
  <c r="W439" i="2"/>
  <c r="Q441" i="2"/>
  <c r="W438" i="2"/>
  <c r="Q440" i="2"/>
  <c r="Q436" i="2"/>
  <c r="AA436" i="2" s="1"/>
  <c r="AB436" i="2" s="1"/>
  <c r="W440" i="2"/>
  <c r="Q439" i="2"/>
  <c r="Q437" i="2"/>
  <c r="AA437" i="2" s="1"/>
  <c r="AB437" i="2" s="1"/>
  <c r="Q442" i="2"/>
  <c r="W443" i="2"/>
  <c r="Q443" i="2"/>
  <c r="W442" i="2"/>
  <c r="AA444" i="2"/>
  <c r="AB444" i="2" s="1"/>
  <c r="P450" i="2" a="1"/>
  <c r="O453" i="2" a="1"/>
  <c r="O451" i="2" a="1"/>
  <c r="O452" i="2" a="1"/>
  <c r="O450" i="2" a="1"/>
  <c r="P452" i="2" a="1"/>
  <c r="P453" i="2" a="1"/>
  <c r="P451" i="2" a="1"/>
  <c r="Q451" i="2" s="1"/>
  <c r="Q446" i="2" l="1"/>
  <c r="W446" i="2"/>
  <c r="AA446" i="2" s="1"/>
  <c r="AB446" i="2" s="1"/>
  <c r="W447" i="2"/>
  <c r="Q447" i="2"/>
  <c r="AA441" i="2"/>
  <c r="AB441" i="2" s="1"/>
  <c r="AA442" i="2"/>
  <c r="AB442" i="2" s="1"/>
  <c r="AA438" i="2"/>
  <c r="AB438" i="2" s="1"/>
  <c r="AA440" i="2"/>
  <c r="AB440" i="2" s="1"/>
  <c r="AA439" i="2"/>
  <c r="AB439" i="2" s="1"/>
  <c r="AA443" i="2"/>
  <c r="AB443" i="2" s="1"/>
  <c r="P448" i="2" a="1"/>
  <c r="O448" i="2" a="1"/>
  <c r="P449" i="2" a="1"/>
  <c r="O449" i="2" a="1"/>
  <c r="Q452" i="2"/>
  <c r="W453" i="2"/>
  <c r="W451" i="2"/>
  <c r="AA451" i="2" s="1"/>
  <c r="AB451" i="2" s="1"/>
  <c r="W452" i="2"/>
  <c r="W450" i="2"/>
  <c r="Q450" i="2"/>
  <c r="Q453" i="2"/>
  <c r="AA447" i="2" l="1"/>
  <c r="AB447" i="2" s="1"/>
  <c r="W449" i="2"/>
  <c r="Q448" i="2"/>
  <c r="Q449" i="2"/>
  <c r="W448" i="2"/>
  <c r="AA453" i="2"/>
  <c r="AB453" i="2" s="1"/>
  <c r="AA452" i="2"/>
  <c r="AB452" i="2" s="1"/>
  <c r="P458" i="2" a="1"/>
  <c r="O457" i="2" a="1"/>
  <c r="O456" i="2" a="1"/>
  <c r="P457" i="2" a="1"/>
  <c r="O459" i="2" a="1"/>
  <c r="P456" i="2" a="1"/>
  <c r="AA450" i="2"/>
  <c r="AB450" i="2" s="1"/>
  <c r="AA449" i="2" l="1"/>
  <c r="AB449" i="2" s="1"/>
  <c r="AA448" i="2"/>
  <c r="AB448" i="2" s="1"/>
  <c r="P454" i="2" a="1"/>
  <c r="O455" i="2" a="1"/>
  <c r="O454" i="2" a="1"/>
  <c r="P455" i="2" a="1"/>
  <c r="Q457" i="2"/>
  <c r="Q456" i="2"/>
  <c r="W457" i="2"/>
  <c r="W456" i="2"/>
  <c r="W454" i="2" l="1"/>
  <c r="P459" i="2" a="1"/>
  <c r="O458" i="2" a="1"/>
  <c r="Q455" i="2"/>
  <c r="Q454" i="2"/>
  <c r="W455" i="2"/>
  <c r="AA457" i="2"/>
  <c r="AB457" i="2" s="1"/>
  <c r="AA456" i="2"/>
  <c r="AB456" i="2" s="1"/>
  <c r="AA454" i="2" l="1"/>
  <c r="AB454" i="2" s="1"/>
  <c r="W459" i="2"/>
  <c r="Q459" i="2"/>
  <c r="W458" i="2"/>
  <c r="Q458" i="2"/>
  <c r="AA455" i="2"/>
  <c r="AB455" i="2" s="1"/>
  <c r="AA458" i="2" l="1"/>
  <c r="AB458" i="2" s="1"/>
  <c r="AA459" i="2"/>
  <c r="AB459" i="2" s="1"/>
  <c r="O462" i="2" l="1" a="1"/>
  <c r="O461" i="2" a="1"/>
  <c r="P461" i="2" a="1"/>
  <c r="O463" i="2" a="1"/>
  <c r="W463" i="2" s="1"/>
  <c r="P463" i="2" a="1"/>
  <c r="O460" i="2" a="1"/>
  <c r="P460" i="2" a="1"/>
  <c r="P462" i="2" a="1"/>
  <c r="Q462" i="2" s="1"/>
  <c r="W461" i="2" l="1"/>
  <c r="W460" i="2"/>
  <c r="W462" i="2"/>
  <c r="AA462" i="2" s="1"/>
  <c r="AB462" i="2" s="1"/>
  <c r="Q461" i="2"/>
  <c r="AA461" i="2" s="1"/>
  <c r="AB461" i="2" s="1"/>
  <c r="Q463" i="2"/>
  <c r="AA463" i="2" s="1"/>
  <c r="AB463" i="2" s="1"/>
  <c r="Q460" i="2"/>
  <c r="AA460" i="2" s="1"/>
  <c r="AB460" i="2" s="1"/>
  <c r="P465" i="2" l="1" a="1"/>
  <c r="O465" i="2" a="1"/>
  <c r="P464" i="2" a="1"/>
  <c r="O464" i="2" a="1"/>
  <c r="O466" i="2" a="1"/>
  <c r="W466" i="2" s="1"/>
  <c r="O467" i="2" a="1"/>
  <c r="P468" i="2" a="1"/>
  <c r="P467" i="2" a="1"/>
  <c r="Q467" i="2" s="1"/>
  <c r="P466" i="2" a="1"/>
  <c r="P469" i="2" a="1"/>
  <c r="O469" i="2" a="1"/>
  <c r="O468" i="2" a="1"/>
  <c r="W469" i="2" l="1"/>
  <c r="W468" i="2"/>
  <c r="Q465" i="2"/>
  <c r="W464" i="2"/>
  <c r="Q464" i="2"/>
  <c r="AA464" i="2" s="1"/>
  <c r="AB464" i="2" s="1"/>
  <c r="Q468" i="2"/>
  <c r="Q466" i="2"/>
  <c r="AA466" i="2" s="1"/>
  <c r="AB466" i="2" s="1"/>
  <c r="Q469" i="2"/>
  <c r="W465" i="2"/>
  <c r="W467" i="2"/>
  <c r="AA467" i="2" s="1"/>
  <c r="AB467" i="2" s="1"/>
  <c r="P480" i="2" a="1"/>
  <c r="O479" i="2" a="1"/>
  <c r="P481" i="2" a="1"/>
  <c r="O480" i="2" a="1"/>
  <c r="O481" i="2" a="1"/>
  <c r="P478" i="2" a="1"/>
  <c r="AA468" i="2" l="1"/>
  <c r="AB468" i="2" s="1"/>
  <c r="AA469" i="2"/>
  <c r="AB469" i="2" s="1"/>
  <c r="AA465" i="2"/>
  <c r="AB465" i="2" s="1"/>
  <c r="O472" i="2" a="1"/>
  <c r="O477" i="2" a="1"/>
  <c r="P472" i="2" a="1"/>
  <c r="Q472" i="2" s="1"/>
  <c r="O475" i="2" a="1"/>
  <c r="P473" i="2" a="1"/>
  <c r="P476" i="2" a="1"/>
  <c r="P474" i="2" a="1"/>
  <c r="P477" i="2" a="1"/>
  <c r="Q477" i="2" s="1"/>
  <c r="O476" i="2" a="1"/>
  <c r="P475" i="2" a="1"/>
  <c r="O474" i="2" a="1"/>
  <c r="O471" i="2" a="1"/>
  <c r="P471" i="2" a="1"/>
  <c r="P470" i="2" a="1"/>
  <c r="O470" i="2" a="1"/>
  <c r="W470" i="2" s="1"/>
  <c r="O473" i="2" a="1"/>
  <c r="W481" i="2"/>
  <c r="W480" i="2"/>
  <c r="Q480" i="2"/>
  <c r="Q481" i="2"/>
  <c r="W474" i="2" l="1"/>
  <c r="P479" i="2" a="1"/>
  <c r="O478" i="2" a="1"/>
  <c r="W475" i="2"/>
  <c r="Q473" i="2"/>
  <c r="W476" i="2"/>
  <c r="W471" i="2"/>
  <c r="W472" i="2"/>
  <c r="AA472" i="2" s="1"/>
  <c r="AB472" i="2" s="1"/>
  <c r="Q474" i="2"/>
  <c r="AA474" i="2" s="1"/>
  <c r="AB474" i="2" s="1"/>
  <c r="Q475" i="2"/>
  <c r="Q471" i="2"/>
  <c r="Q470" i="2"/>
  <c r="AA470" i="2" s="1"/>
  <c r="AB470" i="2" s="1"/>
  <c r="W473" i="2"/>
  <c r="W477" i="2"/>
  <c r="AA477" i="2" s="1"/>
  <c r="AB477" i="2" s="1"/>
  <c r="Q476" i="2"/>
  <c r="AA481" i="2"/>
  <c r="AB481" i="2" s="1"/>
  <c r="AA480" i="2"/>
  <c r="AB480" i="2" s="1"/>
  <c r="Q479" i="2" l="1"/>
  <c r="W479" i="2"/>
  <c r="AA479" i="2" s="1"/>
  <c r="AB479" i="2" s="1"/>
  <c r="Q478" i="2"/>
  <c r="W478" i="2"/>
  <c r="AA476" i="2"/>
  <c r="AB476" i="2" s="1"/>
  <c r="AA475" i="2"/>
  <c r="AB475" i="2" s="1"/>
  <c r="AA471" i="2"/>
  <c r="AB471" i="2" s="1"/>
  <c r="AA473" i="2"/>
  <c r="AB473" i="2" s="1"/>
  <c r="O482" i="2" a="1"/>
  <c r="P483" i="2" a="1"/>
  <c r="P482" i="2" a="1"/>
  <c r="O483" i="2" a="1"/>
  <c r="W483" i="2" l="1"/>
  <c r="AA478" i="2"/>
  <c r="AB478" i="2" s="1"/>
  <c r="Q482" i="2"/>
  <c r="Q483" i="2"/>
  <c r="W482" i="2"/>
  <c r="AA483" i="2" l="1"/>
  <c r="AB483" i="2" s="1"/>
  <c r="AA482" i="2"/>
  <c r="AB482" i="2" s="1"/>
  <c r="P491" i="2" a="1"/>
  <c r="O493" i="2" a="1"/>
  <c r="O488" i="2" a="1"/>
  <c r="W488" i="2" s="1"/>
  <c r="O489" i="2" a="1"/>
  <c r="O490" i="2" a="1"/>
  <c r="O495" i="2" a="1"/>
  <c r="P490" i="2" a="1"/>
  <c r="P495" i="2" a="1"/>
  <c r="P494" i="2" a="1"/>
  <c r="O492" i="2" a="1"/>
  <c r="P486" i="2" a="1"/>
  <c r="O486" i="2" a="1"/>
  <c r="W486" i="2" s="1"/>
  <c r="O485" i="2" a="1"/>
  <c r="P487" i="2" a="1"/>
  <c r="O484" i="2" a="1"/>
  <c r="P484" i="2" a="1"/>
  <c r="P485" i="2" a="1"/>
  <c r="O487" i="2" a="1"/>
  <c r="P489" i="2" a="1"/>
  <c r="P492" i="2" a="1"/>
  <c r="P488" i="2" a="1"/>
  <c r="P493" i="2" a="1"/>
  <c r="O491" i="2" a="1"/>
  <c r="O494" i="2" a="1"/>
  <c r="W494" i="2" s="1"/>
  <c r="P497" i="2" a="1"/>
  <c r="O497" i="2" a="1"/>
  <c r="O496" i="2" a="1"/>
  <c r="P496" i="2" a="1"/>
  <c r="Q495" i="2" l="1"/>
  <c r="W484" i="2"/>
  <c r="Q485" i="2"/>
  <c r="W487" i="2"/>
  <c r="Q492" i="2"/>
  <c r="W490" i="2"/>
  <c r="Q489" i="2"/>
  <c r="Q493" i="2"/>
  <c r="W491" i="2"/>
  <c r="Q491" i="2"/>
  <c r="AA491" i="2" s="1"/>
  <c r="AB491" i="2" s="1"/>
  <c r="W493" i="2"/>
  <c r="W489" i="2"/>
  <c r="W495" i="2"/>
  <c r="Q490" i="2"/>
  <c r="AA490" i="2" s="1"/>
  <c r="AB490" i="2" s="1"/>
  <c r="Q494" i="2"/>
  <c r="AA494" i="2" s="1"/>
  <c r="AB494" i="2" s="1"/>
  <c r="W492" i="2"/>
  <c r="Q486" i="2"/>
  <c r="AA486" i="2" s="1"/>
  <c r="AB486" i="2" s="1"/>
  <c r="W485" i="2"/>
  <c r="Q487" i="2"/>
  <c r="Q484" i="2"/>
  <c r="Q488" i="2"/>
  <c r="AA488" i="2" s="1"/>
  <c r="AB488" i="2" s="1"/>
  <c r="Q496" i="2"/>
  <c r="W497" i="2"/>
  <c r="W496" i="2"/>
  <c r="Q497" i="2"/>
  <c r="AA495" i="2" l="1"/>
  <c r="AB495" i="2" s="1"/>
  <c r="AA492" i="2"/>
  <c r="AB492" i="2" s="1"/>
  <c r="AA485" i="2"/>
  <c r="AB485" i="2" s="1"/>
  <c r="AA487" i="2"/>
  <c r="AB487" i="2" s="1"/>
  <c r="AA484" i="2"/>
  <c r="AB484" i="2" s="1"/>
  <c r="AA493" i="2"/>
  <c r="AB493" i="2" s="1"/>
  <c r="AA489" i="2"/>
  <c r="AB489" i="2" s="1"/>
  <c r="AA496" i="2"/>
  <c r="AB496" i="2" s="1"/>
  <c r="AA497" i="2"/>
  <c r="AB497" i="2" s="1"/>
  <c r="O498" i="2" l="1" a="1"/>
  <c r="P498" i="2" a="1"/>
  <c r="P499" i="2" a="1"/>
  <c r="O499" i="2" a="1"/>
  <c r="W498" i="2" l="1"/>
  <c r="W499" i="2"/>
  <c r="Q499" i="2"/>
  <c r="AA499" i="2" s="1"/>
  <c r="AB499" i="2" s="1"/>
  <c r="Q498" i="2"/>
  <c r="AA498" i="2" l="1"/>
  <c r="AB498" i="2" s="1"/>
  <c r="P509" i="2" a="1"/>
  <c r="O501" i="2" a="1"/>
  <c r="O505" i="2" a="1"/>
  <c r="P501" i="2" a="1"/>
  <c r="O502" i="2" a="1"/>
  <c r="P502" i="2" a="1"/>
  <c r="O508" i="2" a="1"/>
  <c r="P505" i="2" a="1"/>
  <c r="O511" i="2" a="1"/>
  <c r="O504" i="2" a="1"/>
  <c r="O500" i="2" a="1"/>
  <c r="P503" i="2" a="1"/>
  <c r="O503" i="2" a="1"/>
  <c r="W503" i="2" s="1"/>
  <c r="O512" i="2" a="1"/>
  <c r="P510" i="2" a="1"/>
  <c r="O509" i="2" a="1"/>
  <c r="P507" i="2" a="1"/>
  <c r="O513" i="2" a="1"/>
  <c r="O507" i="2" a="1"/>
  <c r="P511" i="2" a="1"/>
  <c r="P504" i="2" a="1"/>
  <c r="Q504" i="2" s="1"/>
  <c r="O510" i="2" a="1"/>
  <c r="P512" i="2" a="1"/>
  <c r="P506" i="2" a="1"/>
  <c r="P508" i="2" a="1"/>
  <c r="P500" i="2" a="1"/>
  <c r="O506" i="2" a="1"/>
  <c r="P513" i="2" a="1"/>
  <c r="Q513" i="2" s="1"/>
  <c r="W501" i="2" l="1"/>
  <c r="W505" i="2"/>
  <c r="Q502" i="2"/>
  <c r="W511" i="2"/>
  <c r="Q507" i="2"/>
  <c r="Q506" i="2"/>
  <c r="Q510" i="2"/>
  <c r="W509" i="2"/>
  <c r="Q512" i="2"/>
  <c r="Q508" i="2"/>
  <c r="Q500" i="2"/>
  <c r="Q509" i="2"/>
  <c r="Q501" i="2"/>
  <c r="W502" i="2"/>
  <c r="W504" i="2"/>
  <c r="AA504" i="2" s="1"/>
  <c r="AB504" i="2" s="1"/>
  <c r="Q505" i="2"/>
  <c r="W500" i="2"/>
  <c r="Q503" i="2"/>
  <c r="AA503" i="2" s="1"/>
  <c r="AB503" i="2" s="1"/>
  <c r="W512" i="2"/>
  <c r="W513" i="2"/>
  <c r="AA513" i="2" s="1"/>
  <c r="AB513" i="2" s="1"/>
  <c r="W507" i="2"/>
  <c r="Q511" i="2"/>
  <c r="AA511" i="2" s="1"/>
  <c r="AB511" i="2" s="1"/>
  <c r="G36" i="3" s="1" a="1"/>
  <c r="W510" i="2"/>
  <c r="W506" i="2"/>
  <c r="W508" i="2"/>
  <c r="AA501" i="2" l="1"/>
  <c r="AB501" i="2" s="1"/>
  <c r="AA502" i="2"/>
  <c r="AB502" i="2" s="1"/>
  <c r="AA505" i="2"/>
  <c r="AB505" i="2" s="1"/>
  <c r="AA507" i="2"/>
  <c r="AB507" i="2" s="1"/>
  <c r="AA509" i="2"/>
  <c r="AB509" i="2" s="1"/>
  <c r="AA500" i="2"/>
  <c r="AB500" i="2" s="1"/>
  <c r="G32" i="3" s="1" a="1"/>
  <c r="AA512" i="2"/>
  <c r="AB512" i="2" s="1"/>
  <c r="AA506" i="2"/>
  <c r="AB506" i="2" s="1"/>
  <c r="G27" i="3" s="1" a="1"/>
  <c r="AA510" i="2"/>
  <c r="AB510" i="2" s="1"/>
  <c r="AA508" i="2"/>
  <c r="AB508" i="2" s="1"/>
  <c r="P514" i="2" a="1"/>
  <c r="O515" i="2" a="1"/>
  <c r="O514" i="2" a="1"/>
  <c r="P515" i="2" a="1"/>
  <c r="Q515" i="2" s="1"/>
  <c r="O517" i="2" a="1"/>
  <c r="O516" i="2" a="1"/>
  <c r="P516" i="2" a="1"/>
  <c r="P517" i="2" a="1"/>
  <c r="G35" i="3" a="1"/>
  <c r="AX6" i="3" a="1"/>
  <c r="Q514" i="2" l="1"/>
  <c r="W515" i="2"/>
  <c r="AA515" i="2" s="1"/>
  <c r="AB515" i="2" s="1"/>
  <c r="W514" i="2"/>
  <c r="W517" i="2"/>
  <c r="W516" i="2"/>
  <c r="Q516" i="2"/>
  <c r="Q517" i="2"/>
  <c r="AA514" i="2" l="1"/>
  <c r="AB514" i="2" s="1"/>
  <c r="AA516" i="2"/>
  <c r="AB516" i="2" s="1"/>
  <c r="AA517" i="2"/>
  <c r="AB517" i="2" s="1"/>
  <c r="P521" i="2" a="1"/>
  <c r="P520" i="2" a="1"/>
  <c r="O521" i="2" a="1"/>
  <c r="O520" i="2" a="1"/>
  <c r="O518" i="2" l="1" a="1"/>
  <c r="P519" i="2" a="1"/>
  <c r="O519" i="2" a="1"/>
  <c r="P518" i="2" a="1"/>
  <c r="Q521" i="2"/>
  <c r="Q520" i="2"/>
  <c r="W521" i="2"/>
  <c r="W520" i="2"/>
  <c r="W518" i="2" l="1"/>
  <c r="W519" i="2"/>
  <c r="Q518" i="2"/>
  <c r="Q519" i="2"/>
  <c r="AA521" i="2"/>
  <c r="AB521" i="2" s="1"/>
  <c r="AA520" i="2"/>
  <c r="AB520" i="2" s="1"/>
  <c r="O524" i="2" a="1"/>
  <c r="P524" i="2" a="1"/>
  <c r="O525" i="2" a="1"/>
  <c r="P525" i="2" a="1"/>
  <c r="AA518" i="2" l="1"/>
  <c r="AB518" i="2" s="1"/>
  <c r="AA519" i="2"/>
  <c r="AB519" i="2" s="1"/>
  <c r="Q525" i="2"/>
  <c r="P523" i="2" a="1"/>
  <c r="O522" i="2" a="1"/>
  <c r="O523" i="2" a="1"/>
  <c r="P522" i="2" a="1"/>
  <c r="W524" i="2"/>
  <c r="Q524" i="2"/>
  <c r="W525" i="2"/>
  <c r="Q522" i="2" l="1"/>
  <c r="W523" i="2"/>
  <c r="AA525" i="2"/>
  <c r="AB525" i="2" s="1"/>
  <c r="W522" i="2"/>
  <c r="Q523" i="2"/>
  <c r="P526" i="2" a="1"/>
  <c r="P527" i="2" a="1"/>
  <c r="O527" i="2" a="1"/>
  <c r="O526" i="2" a="1"/>
  <c r="AA524" i="2"/>
  <c r="AB524" i="2" s="1"/>
  <c r="G38" i="3" s="1" a="1"/>
  <c r="O528" i="2" a="1"/>
  <c r="O529" i="2" a="1"/>
  <c r="P529" i="2" a="1"/>
  <c r="P528" i="2" a="1"/>
  <c r="AA522" i="2" l="1"/>
  <c r="AB522" i="2" s="1"/>
  <c r="AA523" i="2"/>
  <c r="AB523" i="2" s="1"/>
  <c r="Q526" i="2"/>
  <c r="W527" i="2"/>
  <c r="Q527" i="2"/>
  <c r="W526" i="2"/>
  <c r="W529" i="2"/>
  <c r="Q528" i="2"/>
  <c r="W528" i="2"/>
  <c r="Q529" i="2"/>
  <c r="AA526" i="2" l="1"/>
  <c r="AB526" i="2" s="1"/>
  <c r="AA527" i="2"/>
  <c r="AB527" i="2" s="1"/>
  <c r="AA529" i="2"/>
  <c r="AB529" i="2" s="1"/>
  <c r="AA528" i="2"/>
  <c r="AB528" i="2" s="1"/>
  <c r="O533" i="2" a="1"/>
  <c r="P532" i="2" a="1"/>
  <c r="O532" i="2" a="1"/>
  <c r="P533" i="2" a="1"/>
  <c r="P531" i="2" l="1" a="1"/>
  <c r="P530" i="2" a="1"/>
  <c r="O530" i="2" a="1"/>
  <c r="O531" i="2" a="1"/>
  <c r="W533" i="2"/>
  <c r="W532" i="2"/>
  <c r="Q532" i="2"/>
  <c r="Q533" i="2"/>
  <c r="Q531" i="2" l="1"/>
  <c r="Q530" i="2"/>
  <c r="W531" i="2"/>
  <c r="W530" i="2"/>
  <c r="AA532" i="2"/>
  <c r="AB532" i="2" s="1"/>
  <c r="AA533" i="2"/>
  <c r="AB533" i="2" s="1"/>
  <c r="O537" i="2" a="1"/>
  <c r="O536" i="2" a="1"/>
  <c r="P536" i="2" a="1"/>
  <c r="O534" i="2" a="1"/>
  <c r="P535" i="2" a="1"/>
  <c r="P537" i="2" a="1"/>
  <c r="AA531" i="2" l="1"/>
  <c r="AB531" i="2" s="1"/>
  <c r="AA530" i="2"/>
  <c r="AB530" i="2" s="1"/>
  <c r="G31" i="3" a="1"/>
  <c r="G29" i="3" a="1"/>
  <c r="Q537" i="2"/>
  <c r="Q536" i="2"/>
  <c r="W537" i="2"/>
  <c r="W536" i="2"/>
  <c r="O535" i="2" l="1" a="1"/>
  <c r="P534" i="2" a="1"/>
  <c r="G34" i="3" a="1"/>
  <c r="AA537" i="2"/>
  <c r="AB537" i="2" s="1"/>
  <c r="AA536" i="2"/>
  <c r="AB536" i="2" s="1"/>
  <c r="O540" i="2" a="1"/>
  <c r="P540" i="2" a="1"/>
  <c r="P541" i="2" a="1"/>
  <c r="O541" i="2" a="1"/>
  <c r="G26" i="3" a="1"/>
  <c r="AX5" i="3" a="1"/>
  <c r="Q535" i="2" l="1"/>
  <c r="W535" i="2"/>
  <c r="W534" i="2"/>
  <c r="Q534" i="2"/>
  <c r="Q540" i="2"/>
  <c r="Q541" i="2"/>
  <c r="W540" i="2"/>
  <c r="W541" i="2"/>
  <c r="AA535" i="2" l="1"/>
  <c r="AB535" i="2" s="1"/>
  <c r="O538" i="2" a="1"/>
  <c r="P539" i="2" a="1"/>
  <c r="AA534" i="2"/>
  <c r="AB534" i="2" s="1"/>
  <c r="AA540" i="2"/>
  <c r="AB540" i="2" s="1"/>
  <c r="AA541" i="2"/>
  <c r="AB541" i="2" s="1"/>
  <c r="P543" i="2" a="1"/>
  <c r="O543" i="2" a="1"/>
  <c r="O542" i="2" a="1"/>
  <c r="P542" i="2" a="1"/>
  <c r="O539" i="2" l="1" a="1"/>
  <c r="P538" i="2" a="1"/>
  <c r="W542" i="2"/>
  <c r="Q543" i="2"/>
  <c r="W543" i="2"/>
  <c r="Q542" i="2"/>
  <c r="Q539" i="2" l="1"/>
  <c r="W539" i="2"/>
  <c r="AA539" i="2" s="1"/>
  <c r="AB539" i="2" s="1"/>
  <c r="W538" i="2"/>
  <c r="Q538" i="2"/>
  <c r="AA542" i="2"/>
  <c r="AB542" i="2" s="1"/>
  <c r="G40" i="3" s="1" a="1"/>
  <c r="AA543" i="2"/>
  <c r="AB543" i="2" s="1"/>
  <c r="G37" i="3" a="1"/>
  <c r="AX8" i="3" a="1"/>
  <c r="AA538" i="2" l="1"/>
  <c r="AB538" i="2" s="1"/>
  <c r="P545" i="2" a="1"/>
  <c r="P544" i="2" a="1"/>
  <c r="O544" i="2" a="1"/>
  <c r="O545" i="2" a="1"/>
  <c r="G28" i="3" a="1"/>
  <c r="AX2" i="3" a="1"/>
  <c r="W545" i="2" l="1"/>
  <c r="AX9" i="3" a="1"/>
  <c r="G39" i="3" a="1"/>
  <c r="Q544" i="2"/>
  <c r="Q545" i="2"/>
  <c r="W544" i="2"/>
  <c r="AA545" i="2" l="1"/>
  <c r="AB545" i="2" s="1"/>
  <c r="AA544" i="2"/>
  <c r="AB544" i="2" s="1"/>
  <c r="P547" i="2" l="1" a="1"/>
  <c r="O546" i="2" a="1"/>
  <c r="P546" i="2" a="1"/>
  <c r="O547" i="2" a="1"/>
  <c r="Q546" i="2" l="1"/>
  <c r="W546" i="2"/>
  <c r="W547" i="2"/>
  <c r="AA547" i="2" s="1"/>
  <c r="AB547" i="2" s="1"/>
  <c r="Q547" i="2"/>
  <c r="AX4" i="3" a="1"/>
  <c r="G25" i="3" a="1"/>
  <c r="G30" i="3" a="1"/>
  <c r="AX7" i="3" a="1"/>
  <c r="AA546" i="2" l="1"/>
  <c r="AB546" i="2" s="1"/>
  <c r="G33" i="3" l="1" a="1"/>
  <c r="A2" i="3" s="1" a="1"/>
  <c r="AX3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<sst xmlns="http://schemas.openxmlformats.org/spreadsheetml/2006/main" count="2840" uniqueCount="91">
  <si>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</si>
  <si>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</si>
  <si>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</si>
  <si>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</si>
  <si>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</si>
  <si>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</si>
  <si>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</si>
  <si>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</si>
  <si>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</si>
  <si>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</si>
  <si>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</si>
  <si>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</si>
  <si>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</si>
  <si>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</si>
  <si>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</si>
  <si>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</si>
  <si>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</si>
  <si>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</si>
  <si>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</si>
  <si>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</si>
  <si>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</si>
  <si>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</si>
  <si>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</si>
  <si>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</si>
  <si>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</si>
  <si>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</si>
  <si>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</si>
  <si>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</si>
  <si>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</si>
  <si>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</si>
  <si>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</si>
  <si>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</si>
  <si>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</si>
  <si>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</si>
  <si>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</si>
  <si>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</si>
  <si>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</si>
  <si>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</si>
  <si>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</si>
  <si>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</si>
  <si>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</si>
  <si>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</si>
  <si>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</si>
  <si>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</si>
  <si>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</si>
  <si>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</si>
  <si>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</si>
  <si>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</si>
  <si>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</si>
  <si>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</si>
  <si>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</si>
  <si>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</si>
  <si>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</si>
  <si>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</si>
  <si>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</si>
  <si>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</si>
  <si>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</si>
  <si>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</si>
  <si>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</si>
  <si>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</si>
  <si>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</si>
  <si>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</si>
  <si>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</si>
  <si>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</si>
  <si>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</si>
  <si>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</si>
  <si>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</si>
  <si>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</si>
  <si>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</si>
  <si>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Cleveland Rockers</t>
  </si>
  <si>
    <t>Phoenix Mercury</t>
  </si>
  <si>
    <t>LAS</t>
  </si>
  <si>
    <t>Los Angeles Sparks</t>
  </si>
  <si>
    <t>Sacramento Monarchs</t>
  </si>
  <si>
    <t>Utah Starzz</t>
  </si>
  <si>
    <t>WAS</t>
  </si>
  <si>
    <t>Washington Mystics</t>
  </si>
  <si>
    <t>DET</t>
  </si>
  <si>
    <t>Detroit Shock</t>
  </si>
  <si>
    <t>ORL</t>
  </si>
  <si>
    <t>MIN</t>
  </si>
  <si>
    <t>Orlando Miracle</t>
  </si>
  <si>
    <t>Minnesota Lynx</t>
  </si>
  <si>
    <t>MIA</t>
  </si>
  <si>
    <t>Miami Sol</t>
  </si>
  <si>
    <t>IND</t>
  </si>
  <si>
    <t>Indiana Fever</t>
  </si>
  <si>
    <t>SEA</t>
  </si>
  <si>
    <t>Seattle Storm</t>
  </si>
  <si>
    <t>POR</t>
  </si>
  <si>
    <t>Portland 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</si>
</sst>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18922106485" createdVersion="8" refreshedVersion="8" minRefreshableVersion="3" recordCount="548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01-05-28T00:00:00" maxDate="2001-09-02T00:00:00"/>
    </cacheField>
    <cacheField name="Season" numFmtId="1">
      <sharedItems containsSemiMixedTypes="0" containsString="0" containsNumber="1" containsInteger="1" minValue="2001" maxValue="2001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5">
        <s v="LAS"/>
        <s v="HOU"/>
        <s v="UTA"/>
        <s v="PHX"/>
        <s v="WAS"/>
        <s v="CLE"/>
        <s v="IND"/>
        <s v="NYL"/>
        <s v="MIA"/>
        <s v="MIN"/>
        <s v="POR"/>
        <s v="SEA"/>
        <s v="ORL"/>
        <s v="CHA"/>
        <s v="DET"/>
        <s v="SAC"/>
        <s v="NO" u="1"/>
        <s v="TOR" u="1"/>
        <s v="LAL" u="1"/>
        <s v="LAC" u="1"/>
        <s v="CHI" u="1"/>
        <s v="BRK" u="1"/>
        <s v="MEM" u="1"/>
        <s v="BOS" u="1"/>
        <s v="PHI" u="1"/>
        <s v="DAL" u="1"/>
        <s v="NY" u="1"/>
        <s v="SA" u="1"/>
        <s v="OKC" u="1"/>
        <s v="DEN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10"/>
    </cacheField>
    <cacheField name="OppDaysOff" numFmtId="1">
      <sharedItems containsSemiMixedTypes="0" containsString="0" containsNumber="1" containsInteger="1" minValue="0" maxValue="10"/>
    </cacheField>
    <cacheField name="RestDiff" numFmtId="1">
      <sharedItems containsSemiMixedTypes="0" containsString="0" containsNumber="1" containsInteger="1" minValue="-9" maxValue="9"/>
    </cacheField>
    <cacheField name="OppRestDiff" numFmtId="1">
      <sharedItems containsSemiMixedTypes="0" containsString="0" containsNumber="1" containsInteger="1" minValue="-9" maxValue="9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54.7104657161663" maxValue="1760.3408998547186"/>
    </cacheField>
    <cacheField name="OppPreGmRate" numFmtId="165">
      <sharedItems containsSemiMixedTypes="0" containsString="0" containsNumber="1" minValue="1354.7104657161663" maxValue="1760.3408998547186"/>
    </cacheField>
    <cacheField name="ExpectedWin%" numFmtId="165">
      <sharedItems containsSemiMixedTypes="0" containsString="0" containsNumber="1" minValue="6.6368993954251401E-2" maxValue="0.93363100604574856"/>
    </cacheField>
    <cacheField name="PointsFor" numFmtId="0">
      <sharedItems containsSemiMixedTypes="0" containsString="0" containsNumber="1" containsInteger="1" minValue="34" maxValue="100"/>
    </cacheField>
    <cacheField name="PointsAgainst" numFmtId="0">
      <sharedItems containsSemiMixedTypes="0" containsString="0" containsNumber="1" containsInteger="1" minValue="34" maxValue="100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9" maxValue="39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422205977073724" maxValue="0.75230105122069035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70" maxValue="75.849999999999994"/>
    </cacheField>
    <cacheField name="Keff" numFmtId="165">
      <sharedItems containsSemiMixedTypes="0" containsString="0" containsNumber="1" minValue="71.2" maxValue="94.905000000000001"/>
    </cacheField>
    <cacheField name="RatingChange" numFmtId="165">
      <sharedItems containsSemiMixedTypes="0" containsString="0" containsNumber="1" minValue="-33.983214295538559" maxValue="33.983214295538559"/>
    </cacheField>
    <cacheField name="PostGmRate" numFmtId="165">
      <sharedItems containsSemiMixedTypes="0" containsString="0" containsNumber="1" minValue="1354.7104657161663" maxValue="1767.751573356926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d v="2001-05-28T00:00:00"/>
    <n v="2001"/>
    <x v="0"/>
    <s v="R"/>
    <s v="RS"/>
    <x v="0"/>
    <s v="HOU"/>
    <s v="A"/>
    <n v="0"/>
    <n v="0"/>
    <n v="0"/>
    <n v="0"/>
    <n v="0"/>
    <n v="0"/>
    <n v="1611.5481899372164"/>
    <n v="1656.8254921214952"/>
    <n v="0.32209077600723091"/>
    <n v="66"/>
    <n v="63"/>
    <n v="0"/>
    <n v="3"/>
    <n v="1"/>
    <n v="0.2796326767601513"/>
    <n v="1"/>
    <n v="75.849999999999994"/>
    <n v="75.849999999999994"/>
    <n v="14.378548553181794"/>
    <n v="1625.9267384903983"/>
    <n v="1"/>
    <n v="0"/>
    <n v="0"/>
    <n v="0"/>
    <n v="0"/>
    <n v="0"/>
    <n v="0"/>
    <n v="0"/>
    <n v="0"/>
    <n v="0"/>
  </r>
  <r>
    <d v="2001-05-28T00:00:00"/>
    <n v="2001"/>
    <x v="0"/>
    <s v="R"/>
    <s v="RS"/>
    <x v="1"/>
    <s v="LAS"/>
    <s v="H"/>
    <n v="0"/>
    <n v="0"/>
    <n v="0"/>
    <n v="0"/>
    <n v="0"/>
    <n v="0"/>
    <n v="1656.8254921214952"/>
    <n v="1611.5481899372164"/>
    <n v="0.67790922399276921"/>
    <n v="63"/>
    <n v="66"/>
    <n v="0"/>
    <n v="-3"/>
    <n v="0"/>
    <n v="0.2796326767601513"/>
    <n v="1"/>
    <n v="75.849999999999994"/>
    <n v="75.849999999999994"/>
    <n v="-14.378548553181798"/>
    <n v="1642.4469435683134"/>
    <n v="0"/>
    <n v="1"/>
    <n v="0"/>
    <n v="0"/>
    <n v="0"/>
    <n v="0"/>
    <n v="0"/>
    <n v="0"/>
    <n v="0"/>
    <n v="0"/>
  </r>
  <r>
    <d v="2001-05-30T00:00:00"/>
    <n v="2001"/>
    <x v="0"/>
    <s v="R"/>
    <s v="RS"/>
    <x v="2"/>
    <s v="PHX"/>
    <s v="A"/>
    <n v="2"/>
    <n v="2"/>
    <n v="0"/>
    <n v="0"/>
    <n v="0"/>
    <n v="0"/>
    <n v="1526.3792497257671"/>
    <n v="1530.4305803336413"/>
    <n v="0.37592891671145129"/>
    <n v="81"/>
    <n v="62"/>
    <n v="0"/>
    <n v="19"/>
    <n v="1"/>
    <n v="0.55909002395094176"/>
    <n v="1"/>
    <n v="75.849999999999994"/>
    <n v="75.849999999999994"/>
    <n v="26.464968897083818"/>
    <n v="1552.8442186228508"/>
    <n v="1"/>
    <n v="0"/>
    <n v="0"/>
    <n v="0"/>
    <n v="0"/>
    <n v="0"/>
    <n v="0"/>
    <n v="0"/>
    <n v="0"/>
    <n v="0"/>
  </r>
  <r>
    <d v="2001-05-30T00:00:00"/>
    <n v="2001"/>
    <x v="0"/>
    <s v="R"/>
    <s v="RS"/>
    <x v="3"/>
    <s v="UTA"/>
    <s v="H"/>
    <n v="2"/>
    <n v="2"/>
    <n v="0"/>
    <n v="0"/>
    <n v="0"/>
    <n v="0"/>
    <n v="1530.4305803336413"/>
    <n v="1526.3792497257671"/>
    <n v="0.62407108328854866"/>
    <n v="62"/>
    <n v="81"/>
    <n v="0"/>
    <n v="-19"/>
    <n v="0"/>
    <n v="0.55909002395094176"/>
    <n v="1"/>
    <n v="75.849999999999994"/>
    <n v="75.849999999999994"/>
    <n v="-26.464968897083814"/>
    <n v="1503.9656114365575"/>
    <n v="0"/>
    <n v="1"/>
    <n v="0"/>
    <n v="0"/>
    <n v="0"/>
    <n v="0"/>
    <n v="0"/>
    <n v="0"/>
    <n v="0"/>
    <n v="0"/>
  </r>
  <r>
    <d v="2001-05-31T00:00:00"/>
    <n v="2001"/>
    <x v="0"/>
    <s v="R"/>
    <s v="RS"/>
    <x v="4"/>
    <s v="CLE"/>
    <s v="A"/>
    <n v="3"/>
    <n v="3"/>
    <n v="0"/>
    <n v="0"/>
    <n v="0"/>
    <n v="0"/>
    <n v="1456.5654882654603"/>
    <n v="1503.0349734958961"/>
    <n v="0.320594137758974"/>
    <n v="34"/>
    <n v="69"/>
    <n v="0"/>
    <n v="-35"/>
    <n v="0"/>
    <n v="0.73376052498033495"/>
    <n v="1"/>
    <n v="75.849999999999994"/>
    <n v="75.849999999999994"/>
    <n v="-17.842902636476691"/>
    <n v="1438.7225856289836"/>
    <n v="0"/>
    <n v="1"/>
    <n v="0"/>
    <n v="0"/>
    <n v="0"/>
    <n v="0"/>
    <n v="0"/>
    <n v="0"/>
    <n v="0"/>
    <n v="0"/>
  </r>
  <r>
    <d v="2001-05-31T00:00:00"/>
    <n v="2001"/>
    <x v="0"/>
    <s v="R"/>
    <s v="RS"/>
    <x v="5"/>
    <s v="WAS"/>
    <s v="H"/>
    <n v="3"/>
    <n v="3"/>
    <n v="0"/>
    <n v="0"/>
    <n v="0"/>
    <n v="0"/>
    <n v="1503.0349734958961"/>
    <n v="1456.5654882654603"/>
    <n v="0.67940586224102606"/>
    <n v="69"/>
    <n v="34"/>
    <n v="0"/>
    <n v="35"/>
    <n v="1"/>
    <n v="0.73376052498033495"/>
    <n v="1"/>
    <n v="75.849999999999994"/>
    <n v="75.849999999999994"/>
    <n v="17.842902636476687"/>
    <n v="1520.8778761323729"/>
    <n v="1"/>
    <n v="0"/>
    <n v="0"/>
    <n v="0"/>
    <n v="0"/>
    <n v="0"/>
    <n v="0"/>
    <n v="0"/>
    <n v="0"/>
    <n v="0"/>
  </r>
  <r>
    <d v="2001-05-31T00:00:00"/>
    <n v="2001"/>
    <x v="1"/>
    <s v="R"/>
    <s v="RS"/>
    <x v="1"/>
    <s v="IND"/>
    <s v="A"/>
    <n v="2"/>
    <n v="3"/>
    <n v="-1"/>
    <n v="1"/>
    <n v="-8"/>
    <n v="8"/>
    <n v="1642.4469435683134"/>
    <n v="1444.4365125162255"/>
    <n v="0.63742225438908673"/>
    <n v="82"/>
    <n v="78"/>
    <n v="0"/>
    <n v="4"/>
    <n v="1"/>
    <n v="0.26732224136797655"/>
    <n v="1"/>
    <n v="75.7"/>
    <n v="75.7"/>
    <n v="7.337229738953102"/>
    <n v="1649.7841733072664"/>
    <n v="1"/>
    <n v="0"/>
    <n v="0"/>
    <n v="0"/>
    <n v="0"/>
    <n v="0"/>
    <n v="0"/>
    <n v="0"/>
    <n v="0"/>
    <n v="0"/>
  </r>
  <r>
    <d v="2001-05-31T00:00:00"/>
    <n v="2001"/>
    <x v="0"/>
    <s v="R"/>
    <s v="RS"/>
    <x v="6"/>
    <s v="HOU"/>
    <s v="H"/>
    <n v="3"/>
    <n v="2"/>
    <n v="1"/>
    <n v="-1"/>
    <n v="8"/>
    <n v="-8"/>
    <n v="1444.4365125162255"/>
    <n v="1642.4469435683134"/>
    <n v="0.36257774561091333"/>
    <n v="78"/>
    <n v="82"/>
    <n v="0"/>
    <n v="-4"/>
    <n v="0"/>
    <n v="0.26732224136797655"/>
    <n v="1"/>
    <n v="75.849999999999994"/>
    <n v="75.849999999999994"/>
    <n v="-7.3517685032971318"/>
    <n v="1437.0847440129285"/>
    <n v="0"/>
    <n v="1"/>
    <n v="0"/>
    <n v="0"/>
    <n v="0"/>
    <n v="0"/>
    <n v="0"/>
    <n v="0"/>
    <n v="0"/>
    <n v="0"/>
  </r>
  <r>
    <d v="2001-05-31T00:00:00"/>
    <n v="2001"/>
    <x v="0"/>
    <s v="R"/>
    <s v="RS"/>
    <x v="7"/>
    <s v="MIA"/>
    <s v="A"/>
    <n v="3"/>
    <n v="3"/>
    <n v="0"/>
    <n v="0"/>
    <n v="0"/>
    <n v="0"/>
    <n v="1544.9196307767356"/>
    <n v="1464.4365234862485"/>
    <n v="0.49493895740226518"/>
    <n v="59"/>
    <n v="68"/>
    <n v="0"/>
    <n v="-9"/>
    <n v="0"/>
    <n v="0.38045471260260383"/>
    <n v="1"/>
    <n v="75.849999999999994"/>
    <n v="75.849999999999994"/>
    <n v="-14.282695989548502"/>
    <n v="1530.6369347871871"/>
    <n v="0"/>
    <n v="1"/>
    <n v="0"/>
    <n v="0"/>
    <n v="0"/>
    <n v="0"/>
    <n v="0"/>
    <n v="0"/>
    <n v="0"/>
    <n v="0"/>
  </r>
  <r>
    <d v="2001-05-31T00:00:00"/>
    <n v="2001"/>
    <x v="0"/>
    <s v="R"/>
    <s v="RS"/>
    <x v="8"/>
    <s v="NYL"/>
    <s v="H"/>
    <n v="3"/>
    <n v="3"/>
    <n v="0"/>
    <n v="0"/>
    <n v="0"/>
    <n v="0"/>
    <n v="1464.4365234862485"/>
    <n v="1544.9196307767356"/>
    <n v="0.50506104259773477"/>
    <n v="68"/>
    <n v="59"/>
    <n v="0"/>
    <n v="9"/>
    <n v="1"/>
    <n v="0.38045471260260383"/>
    <n v="1"/>
    <n v="75.849999999999994"/>
    <n v="75.849999999999994"/>
    <n v="14.282695989548504"/>
    <n v="1478.719219475797"/>
    <n v="1"/>
    <n v="0"/>
    <n v="0"/>
    <n v="0"/>
    <n v="0"/>
    <n v="0"/>
    <n v="0"/>
    <n v="0"/>
    <n v="0"/>
    <n v="0"/>
  </r>
  <r>
    <d v="2001-05-31T00:00:00"/>
    <n v="2001"/>
    <x v="0"/>
    <s v="R"/>
    <s v="RS"/>
    <x v="9"/>
    <s v="POR"/>
    <s v="A"/>
    <n v="3"/>
    <n v="3"/>
    <n v="0"/>
    <n v="0"/>
    <n v="0"/>
    <n v="0"/>
    <n v="1489.0931979180309"/>
    <n v="1451.264190212253"/>
    <n v="0.43394299860314955"/>
    <n v="82"/>
    <n v="65"/>
    <n v="0"/>
    <n v="17"/>
    <n v="1"/>
    <n v="0.51617022942660384"/>
    <n v="1"/>
    <n v="75.849999999999994"/>
    <n v="75.849999999999994"/>
    <n v="22.161987427403691"/>
    <n v="1511.2551853454347"/>
    <n v="1"/>
    <n v="0"/>
    <n v="0"/>
    <n v="0"/>
    <n v="0"/>
    <n v="0"/>
    <n v="0"/>
    <n v="0"/>
    <n v="0"/>
    <n v="0"/>
  </r>
  <r>
    <d v="2001-05-31T00:00:00"/>
    <n v="2001"/>
    <x v="0"/>
    <s v="R"/>
    <s v="RS"/>
    <x v="10"/>
    <s v="MIN"/>
    <s v="H"/>
    <n v="3"/>
    <n v="3"/>
    <n v="0"/>
    <n v="0"/>
    <n v="0"/>
    <n v="0"/>
    <n v="1451.264190212253"/>
    <n v="1489.0931979180309"/>
    <n v="0.56605700139685045"/>
    <n v="65"/>
    <n v="82"/>
    <n v="0"/>
    <n v="-17"/>
    <n v="0"/>
    <n v="0.51617022942660384"/>
    <n v="1"/>
    <n v="75.849999999999994"/>
    <n v="75.849999999999994"/>
    <n v="-22.161987427403691"/>
    <n v="1429.1022027848492"/>
    <n v="0"/>
    <n v="1"/>
    <n v="0"/>
    <n v="0"/>
    <n v="0"/>
    <n v="0"/>
    <n v="0"/>
    <n v="0"/>
    <n v="0"/>
    <n v="0"/>
  </r>
  <r>
    <d v="2001-05-31T00:00:00"/>
    <n v="2001"/>
    <x v="1"/>
    <s v="R"/>
    <s v="RS"/>
    <x v="3"/>
    <s v="SEA"/>
    <s v="A"/>
    <n v="0"/>
    <n v="3"/>
    <n v="-3"/>
    <n v="3"/>
    <n v="-16"/>
    <n v="16"/>
    <n v="1503.9656114365575"/>
    <n v="1413.340744812107"/>
    <n v="0.4635470401704731"/>
    <n v="70"/>
    <n v="83"/>
    <n v="0"/>
    <n v="-13"/>
    <n v="0"/>
    <n v="0.43889787143065251"/>
    <n v="1"/>
    <n v="75.7"/>
    <n v="75.7"/>
    <n v="-15.401150559377148"/>
    <n v="1488.5644608771804"/>
    <n v="0"/>
    <n v="1"/>
    <n v="0"/>
    <n v="0"/>
    <n v="0"/>
    <n v="0"/>
    <n v="0"/>
    <n v="0"/>
    <n v="0"/>
    <n v="0"/>
  </r>
  <r>
    <d v="2001-05-31T00:00:00"/>
    <n v="2001"/>
    <x v="0"/>
    <s v="R"/>
    <s v="RS"/>
    <x v="11"/>
    <s v="PHX"/>
    <s v="H"/>
    <n v="3"/>
    <n v="0"/>
    <n v="3"/>
    <n v="-3"/>
    <n v="16"/>
    <n v="-16"/>
    <n v="1413.340744812107"/>
    <n v="1503.9656114365575"/>
    <n v="0.5364529598295269"/>
    <n v="83"/>
    <n v="70"/>
    <n v="0"/>
    <n v="13"/>
    <n v="1"/>
    <n v="0.43889787143065251"/>
    <n v="1"/>
    <n v="75.849999999999994"/>
    <n v="75.849999999999994"/>
    <n v="15.431668030762966"/>
    <n v="1428.7724128428699"/>
    <n v="1"/>
    <n v="0"/>
    <n v="0"/>
    <n v="0"/>
    <n v="0"/>
    <n v="0"/>
    <n v="0"/>
    <n v="0"/>
    <n v="0"/>
    <n v="0"/>
  </r>
  <r>
    <d v="2001-06-01T00:00:00"/>
    <n v="2001"/>
    <x v="1"/>
    <s v="R"/>
    <s v="RS"/>
    <x v="0"/>
    <s v="ORL"/>
    <s v="A"/>
    <n v="3"/>
    <n v="4"/>
    <n v="-1"/>
    <n v="1"/>
    <n v="-8"/>
    <n v="8"/>
    <n v="1625.9267384903983"/>
    <n v="1476.0953971033637"/>
    <n v="0.57122533992135005"/>
    <n v="68"/>
    <n v="62"/>
    <n v="0"/>
    <n v="6"/>
    <n v="1"/>
    <n v="0.31228858034666385"/>
    <n v="1"/>
    <n v="75.7"/>
    <n v="75.7"/>
    <n v="10.136338242263081"/>
    <n v="1636.0630767326613"/>
    <n v="1"/>
    <n v="0"/>
    <n v="0"/>
    <n v="0"/>
    <n v="0"/>
    <n v="0"/>
    <n v="0"/>
    <n v="0"/>
    <n v="0"/>
    <n v="0"/>
  </r>
  <r>
    <d v="2001-06-01T00:00:00"/>
    <n v="2001"/>
    <x v="0"/>
    <s v="R"/>
    <s v="RS"/>
    <x v="12"/>
    <s v="LAS"/>
    <s v="H"/>
    <n v="4"/>
    <n v="3"/>
    <n v="1"/>
    <n v="-1"/>
    <n v="8"/>
    <n v="-8"/>
    <n v="1476.0953971033637"/>
    <n v="1625.9267384903983"/>
    <n v="0.42877466007865001"/>
    <n v="62"/>
    <n v="68"/>
    <n v="0"/>
    <n v="-6"/>
    <n v="0"/>
    <n v="0.31228858034666385"/>
    <n v="1"/>
    <n v="75.849999999999994"/>
    <n v="75.849999999999994"/>
    <n v="-10.15642345674577"/>
    <n v="1465.9389736466178"/>
    <n v="0"/>
    <n v="1"/>
    <n v="0"/>
    <n v="0"/>
    <n v="0"/>
    <n v="0"/>
    <n v="0"/>
    <n v="0"/>
    <n v="0"/>
    <n v="0"/>
  </r>
  <r>
    <d v="2001-06-02T00:00:00"/>
    <n v="2001"/>
    <x v="2"/>
    <s v="R"/>
    <s v="RS"/>
    <x v="0"/>
    <s v="CHA"/>
    <s v="A"/>
    <n v="0"/>
    <n v="5"/>
    <n v="-5"/>
    <n v="5"/>
    <n v="-16"/>
    <n v="16"/>
    <n v="1636.0630767326613"/>
    <n v="1416.9250041337284"/>
    <n v="0.64421604647228814"/>
    <n v="76"/>
    <n v="67"/>
    <n v="0"/>
    <n v="9"/>
    <n v="1"/>
    <n v="0.34328289965790443"/>
    <n v="1"/>
    <n v="75.55"/>
    <n v="75.55"/>
    <n v="9.2272650423762634"/>
    <n v="1645.2903417750376"/>
    <n v="1"/>
    <n v="0"/>
    <n v="0"/>
    <n v="0"/>
    <n v="0"/>
    <n v="0"/>
    <n v="0"/>
    <n v="0"/>
    <n v="0"/>
    <n v="0"/>
  </r>
  <r>
    <d v="2001-06-02T00:00:00"/>
    <n v="2001"/>
    <x v="0"/>
    <s v="R"/>
    <s v="RS"/>
    <x v="13"/>
    <s v="LAS"/>
    <s v="H"/>
    <n v="5"/>
    <n v="0"/>
    <n v="5"/>
    <n v="-5"/>
    <n v="16"/>
    <n v="-16"/>
    <n v="1416.9250041337284"/>
    <n v="1636.0630767326613"/>
    <n v="0.35578395352771186"/>
    <n v="67"/>
    <n v="76"/>
    <n v="0"/>
    <n v="-9"/>
    <n v="0"/>
    <n v="0.34328289965790443"/>
    <n v="1"/>
    <n v="75.849999999999994"/>
    <n v="75.849999999999994"/>
    <n v="-9.2639054065418858"/>
    <n v="1407.6610987271865"/>
    <n v="0"/>
    <n v="1"/>
    <n v="0"/>
    <n v="0"/>
    <n v="0"/>
    <n v="0"/>
    <n v="0"/>
    <n v="0"/>
    <n v="0"/>
    <n v="0"/>
  </r>
  <r>
    <d v="2001-06-02T00:00:00"/>
    <n v="2001"/>
    <x v="2"/>
    <s v="R"/>
    <s v="RS"/>
    <x v="1"/>
    <s v="DET"/>
    <s v="A"/>
    <n v="1"/>
    <n v="5"/>
    <n v="-4"/>
    <n v="4"/>
    <n v="-16"/>
    <n v="16"/>
    <n v="1649.7841733072664"/>
    <n v="1465.2809890382894"/>
    <n v="0.59732607236913482"/>
    <n v="74"/>
    <n v="73"/>
    <n v="0"/>
    <n v="1"/>
    <n v="1"/>
    <n v="0.21163953141289846"/>
    <n v="1"/>
    <n v="75.55"/>
    <n v="75.55"/>
    <n v="6.4385010484448699"/>
    <n v="1656.2226743557112"/>
    <n v="1"/>
    <n v="0"/>
    <n v="0"/>
    <n v="0"/>
    <n v="0"/>
    <n v="0"/>
    <n v="0"/>
    <n v="0"/>
    <n v="0"/>
    <n v="0"/>
  </r>
  <r>
    <d v="2001-06-02T00:00:00"/>
    <n v="2001"/>
    <x v="0"/>
    <s v="R"/>
    <s v="RS"/>
    <x v="14"/>
    <s v="HOU"/>
    <s v="H"/>
    <n v="5"/>
    <n v="1"/>
    <n v="4"/>
    <n v="-4"/>
    <n v="16"/>
    <n v="-16"/>
    <n v="1465.2809890382894"/>
    <n v="1649.7841733072664"/>
    <n v="0.40267392763086524"/>
    <n v="73"/>
    <n v="74"/>
    <n v="0"/>
    <n v="-1"/>
    <n v="0"/>
    <n v="0.21163953141289846"/>
    <n v="1"/>
    <n v="75.849999999999994"/>
    <n v="75.849999999999994"/>
    <n v="-6.4640675648516668"/>
    <n v="1458.8169214734378"/>
    <n v="0"/>
    <n v="1"/>
    <n v="0"/>
    <n v="0"/>
    <n v="0"/>
    <n v="0"/>
    <n v="0"/>
    <n v="0"/>
    <n v="0"/>
    <n v="0"/>
  </r>
  <r>
    <d v="2001-06-02T00:00:00"/>
    <n v="2001"/>
    <x v="2"/>
    <s v="R"/>
    <s v="RS"/>
    <x v="3"/>
    <s v="MIN"/>
    <s v="A"/>
    <n v="1"/>
    <n v="1"/>
    <n v="0"/>
    <n v="0"/>
    <n v="0"/>
    <n v="0"/>
    <n v="1488.5644608771804"/>
    <n v="1511.2551853454347"/>
    <n v="0.35111056202181806"/>
    <n v="89"/>
    <n v="80"/>
    <n v="0"/>
    <n v="9"/>
    <n v="1"/>
    <n v="0.39843749758432068"/>
    <n v="1"/>
    <n v="75.55"/>
    <n v="75.55"/>
    <n v="19.532839326901538"/>
    <n v="1508.0973002040819"/>
    <n v="1"/>
    <n v="0"/>
    <n v="0"/>
    <n v="0"/>
    <n v="0"/>
    <n v="0"/>
    <n v="0"/>
    <n v="0"/>
    <n v="0"/>
    <n v="0"/>
  </r>
  <r>
    <d v="2001-06-02T00:00:00"/>
    <n v="2001"/>
    <x v="1"/>
    <s v="R"/>
    <s v="RS"/>
    <x v="9"/>
    <s v="PHX"/>
    <s v="H"/>
    <n v="1"/>
    <n v="1"/>
    <n v="0"/>
    <n v="0"/>
    <n v="0"/>
    <n v="0"/>
    <n v="1511.2551853454347"/>
    <n v="1488.5644608771804"/>
    <n v="0.6488894379781821"/>
    <n v="80"/>
    <n v="89"/>
    <n v="0"/>
    <n v="-9"/>
    <n v="0"/>
    <n v="0.39843749758432068"/>
    <n v="1"/>
    <n v="75.7"/>
    <n v="75.7"/>
    <n v="-19.57162060948308"/>
    <n v="1491.6835647359517"/>
    <n v="0"/>
    <n v="1"/>
    <n v="0"/>
    <n v="0"/>
    <n v="0"/>
    <n v="0"/>
    <n v="0"/>
    <n v="0"/>
    <n v="0"/>
    <n v="0"/>
  </r>
  <r>
    <d v="2001-06-02T00:00:00"/>
    <n v="2001"/>
    <x v="1"/>
    <s v="R"/>
    <s v="RS"/>
    <x v="6"/>
    <s v="NYL"/>
    <s v="A"/>
    <n v="1"/>
    <n v="1"/>
    <n v="0"/>
    <n v="0"/>
    <n v="0"/>
    <n v="0"/>
    <n v="1437.0847440129285"/>
    <n v="1530.6369347871871"/>
    <n v="0.26462388582064128"/>
    <n v="58"/>
    <n v="75"/>
    <n v="0"/>
    <n v="-17"/>
    <n v="0"/>
    <n v="0.49393483112263409"/>
    <n v="1"/>
    <n v="75.7"/>
    <n v="75.7"/>
    <n v="-9.8945164445852072"/>
    <n v="1427.1902275683433"/>
    <n v="0"/>
    <n v="1"/>
    <n v="0"/>
    <n v="0"/>
    <n v="0"/>
    <n v="0"/>
    <n v="0"/>
    <n v="0"/>
    <n v="0"/>
    <n v="0"/>
  </r>
  <r>
    <d v="2001-06-02T00:00:00"/>
    <n v="2001"/>
    <x v="1"/>
    <s v="R"/>
    <s v="RS"/>
    <x v="7"/>
    <s v="IND"/>
    <s v="H"/>
    <n v="1"/>
    <n v="1"/>
    <n v="0"/>
    <n v="0"/>
    <n v="0"/>
    <n v="0"/>
    <n v="1530.6369347871871"/>
    <n v="1437.0847440129285"/>
    <n v="0.73537611417935866"/>
    <n v="75"/>
    <n v="58"/>
    <n v="0"/>
    <n v="17"/>
    <n v="1"/>
    <n v="0.49393483112263409"/>
    <n v="1"/>
    <n v="75.7"/>
    <n v="75.7"/>
    <n v="9.894516444585209"/>
    <n v="1540.5314512317723"/>
    <n v="1"/>
    <n v="0"/>
    <n v="0"/>
    <n v="0"/>
    <n v="0"/>
    <n v="0"/>
    <n v="0"/>
    <n v="0"/>
    <n v="0"/>
    <n v="0"/>
  </r>
  <r>
    <d v="2001-06-02T00:00:00"/>
    <n v="2001"/>
    <x v="1"/>
    <s v="R"/>
    <s v="RS"/>
    <x v="5"/>
    <s v="SAC"/>
    <s v="A"/>
    <n v="1"/>
    <n v="5"/>
    <n v="-4"/>
    <n v="4"/>
    <n v="-16"/>
    <n v="16"/>
    <n v="1520.8778761323729"/>
    <n v="1548.9492946962955"/>
    <n v="0.30378427128777474"/>
    <n v="65"/>
    <n v="70"/>
    <n v="0"/>
    <n v="-5"/>
    <n v="0"/>
    <n v="0.32417265358967012"/>
    <n v="1"/>
    <n v="75.7"/>
    <n v="75.7"/>
    <n v="-7.454826488001677"/>
    <n v="1513.4230496443713"/>
    <n v="0"/>
    <n v="1"/>
    <n v="0"/>
    <n v="0"/>
    <n v="0"/>
    <n v="0"/>
    <n v="0"/>
    <n v="0"/>
    <n v="0"/>
    <n v="0"/>
  </r>
  <r>
    <d v="2001-06-02T00:00:00"/>
    <n v="2001"/>
    <x v="0"/>
    <s v="R"/>
    <s v="RS"/>
    <x v="15"/>
    <s v="CLE"/>
    <s v="H"/>
    <n v="5"/>
    <n v="1"/>
    <n v="4"/>
    <n v="-4"/>
    <n v="16"/>
    <n v="-16"/>
    <n v="1548.9492946962955"/>
    <n v="1520.8778761323729"/>
    <n v="0.69621572871222526"/>
    <n v="70"/>
    <n v="65"/>
    <n v="0"/>
    <n v="5"/>
    <n v="1"/>
    <n v="0.32417265358967012"/>
    <n v="1"/>
    <n v="75.849999999999994"/>
    <n v="75.849999999999994"/>
    <n v="7.469598271003"/>
    <n v="1556.4188929672985"/>
    <n v="1"/>
    <n v="0"/>
    <n v="0"/>
    <n v="0"/>
    <n v="0"/>
    <n v="0"/>
    <n v="0"/>
    <n v="0"/>
    <n v="0"/>
    <n v="0"/>
  </r>
  <r>
    <d v="2001-06-02T00:00:00"/>
    <n v="2001"/>
    <x v="1"/>
    <s v="R"/>
    <s v="RS"/>
    <x v="10"/>
    <s v="UTA"/>
    <s v="A"/>
    <n v="1"/>
    <n v="2"/>
    <n v="-1"/>
    <n v="1"/>
    <n v="-8"/>
    <n v="8"/>
    <n v="1429.1022027848492"/>
    <n v="1552.8442186228508"/>
    <n v="0.21619786563846338"/>
    <n v="76"/>
    <n v="71"/>
    <n v="0"/>
    <n v="5"/>
    <n v="1"/>
    <n v="0.30074377468594093"/>
    <n v="1"/>
    <n v="75.7"/>
    <n v="75.7"/>
    <n v="17.844277465855271"/>
    <n v="1446.9464802507046"/>
    <n v="1"/>
    <n v="0"/>
    <n v="0"/>
    <n v="0"/>
    <n v="0"/>
    <n v="0"/>
    <n v="0"/>
    <n v="0"/>
    <n v="0"/>
    <n v="0"/>
  </r>
  <r>
    <d v="2001-06-02T00:00:00"/>
    <n v="2001"/>
    <x v="1"/>
    <s v="R"/>
    <s v="RS"/>
    <x v="2"/>
    <s v="POR"/>
    <s v="H"/>
    <n v="2"/>
    <n v="1"/>
    <n v="1"/>
    <n v="-1"/>
    <n v="8"/>
    <n v="-8"/>
    <n v="1552.8442186228508"/>
    <n v="1429.1022027848492"/>
    <n v="0.78380213436153656"/>
    <n v="71"/>
    <n v="76"/>
    <n v="0"/>
    <n v="-5"/>
    <n v="0"/>
    <n v="0.30074377468594093"/>
    <n v="1"/>
    <n v="75.7"/>
    <n v="75.7"/>
    <n v="-17.844277465855267"/>
    <n v="1534.9999411569956"/>
    <n v="0"/>
    <n v="1"/>
    <n v="0"/>
    <n v="0"/>
    <n v="0"/>
    <n v="0"/>
    <n v="0"/>
    <n v="0"/>
    <n v="0"/>
    <n v="0"/>
  </r>
  <r>
    <d v="2001-06-03T00:00:00"/>
    <n v="2001"/>
    <x v="1"/>
    <s v="R"/>
    <s v="RS"/>
    <x v="11"/>
    <s v="WAS"/>
    <s v="A"/>
    <n v="2"/>
    <n v="2"/>
    <n v="0"/>
    <n v="0"/>
    <n v="0"/>
    <n v="0"/>
    <n v="1428.7724128428699"/>
    <n v="1438.7225856289836"/>
    <n v="0.36799669454866996"/>
    <n v="63"/>
    <n v="68"/>
    <n v="0"/>
    <n v="-5"/>
    <n v="0"/>
    <n v="0.32902773974302479"/>
    <n v="1"/>
    <n v="75.7"/>
    <n v="75.7"/>
    <n v="-9.1658408324671647"/>
    <n v="1419.6065720104027"/>
    <n v="0"/>
    <n v="1"/>
    <n v="0"/>
    <n v="0"/>
    <n v="0"/>
    <n v="0"/>
    <n v="0"/>
    <n v="0"/>
    <n v="0"/>
    <n v="0"/>
  </r>
  <r>
    <d v="2001-06-03T00:00:00"/>
    <n v="2001"/>
    <x v="1"/>
    <s v="R"/>
    <s v="RS"/>
    <x v="4"/>
    <s v="SEA"/>
    <s v="H"/>
    <n v="2"/>
    <n v="2"/>
    <n v="0"/>
    <n v="0"/>
    <n v="0"/>
    <n v="0"/>
    <n v="1438.7225856289836"/>
    <n v="1428.7724128428699"/>
    <n v="0.63200330545132999"/>
    <n v="68"/>
    <n v="63"/>
    <n v="0"/>
    <n v="5"/>
    <n v="1"/>
    <n v="0.32902773974302479"/>
    <n v="1"/>
    <n v="75.7"/>
    <n v="75.7"/>
    <n v="9.1658408324671665"/>
    <n v="1447.8884264614508"/>
    <n v="1"/>
    <n v="0"/>
    <n v="0"/>
    <n v="0"/>
    <n v="0"/>
    <n v="0"/>
    <n v="0"/>
    <n v="0"/>
    <n v="0"/>
    <n v="0"/>
  </r>
  <r>
    <d v="2001-06-04T00:00:00"/>
    <n v="2001"/>
    <x v="2"/>
    <s v="R"/>
    <s v="RS"/>
    <x v="11"/>
    <s v="IND"/>
    <s v="A"/>
    <n v="0"/>
    <n v="1"/>
    <n v="-1"/>
    <n v="1"/>
    <n v="-8"/>
    <n v="8"/>
    <n v="1419.6065720104027"/>
    <n v="1427.1902275683433"/>
    <n v="0.34994037563238389"/>
    <n v="74"/>
    <n v="71"/>
    <n v="1"/>
    <n v="3"/>
    <n v="1"/>
    <n v="0.25952504519598285"/>
    <n v="1"/>
    <n v="75.55"/>
    <n v="75.55"/>
    <n v="12.745795218923439"/>
    <n v="1432.3523672293261"/>
    <n v="1"/>
    <n v="0"/>
    <n v="0"/>
    <n v="0"/>
    <n v="0"/>
    <n v="0"/>
    <n v="0"/>
    <n v="0"/>
    <n v="0"/>
    <n v="0"/>
  </r>
  <r>
    <d v="2001-06-04T00:00:00"/>
    <n v="2001"/>
    <x v="2"/>
    <s v="R"/>
    <s v="RS"/>
    <x v="6"/>
    <s v="SEA"/>
    <s v="H"/>
    <n v="1"/>
    <n v="0"/>
    <n v="1"/>
    <n v="-1"/>
    <n v="8"/>
    <n v="-8"/>
    <n v="1427.1902275683433"/>
    <n v="1419.6065720104027"/>
    <n v="0.65005962436761611"/>
    <n v="71"/>
    <n v="74"/>
    <n v="1"/>
    <n v="-3"/>
    <n v="0"/>
    <n v="0.25952504519598285"/>
    <n v="1"/>
    <n v="75.55"/>
    <n v="75.55"/>
    <n v="-12.745795218923439"/>
    <n v="1414.4444323494199"/>
    <n v="0"/>
    <n v="1"/>
    <n v="0"/>
    <n v="0"/>
    <n v="0"/>
    <n v="0"/>
    <n v="0"/>
    <n v="0"/>
    <n v="0"/>
    <n v="0"/>
  </r>
  <r>
    <d v="2001-06-04T00:00:00"/>
    <n v="2001"/>
    <x v="1"/>
    <s v="R"/>
    <s v="RS"/>
    <x v="15"/>
    <s v="NYL"/>
    <s v="A"/>
    <n v="1"/>
    <n v="1"/>
    <n v="0"/>
    <n v="0"/>
    <n v="0"/>
    <n v="0"/>
    <n v="1556.4188929672985"/>
    <n v="1540.5314512317723"/>
    <n v="0.40321490201814758"/>
    <n v="80"/>
    <n v="63"/>
    <n v="0"/>
    <n v="17"/>
    <n v="1"/>
    <n v="0.52548489355758454"/>
    <n v="1"/>
    <n v="75.7"/>
    <n v="75.7"/>
    <n v="23.739637614313803"/>
    <n v="1580.1585305816122"/>
    <n v="1"/>
    <n v="0"/>
    <n v="0"/>
    <n v="0"/>
    <n v="0"/>
    <n v="0"/>
    <n v="0"/>
    <n v="0"/>
    <n v="0"/>
    <n v="0"/>
  </r>
  <r>
    <d v="2001-06-04T00:00:00"/>
    <n v="2001"/>
    <x v="2"/>
    <s v="R"/>
    <s v="RS"/>
    <x v="7"/>
    <s v="SAC"/>
    <s v="H"/>
    <n v="1"/>
    <n v="1"/>
    <n v="0"/>
    <n v="0"/>
    <n v="0"/>
    <n v="0"/>
    <n v="1540.5314512317723"/>
    <n v="1556.4188929672985"/>
    <n v="0.59678509798185242"/>
    <n v="63"/>
    <n v="80"/>
    <n v="0"/>
    <n v="-17"/>
    <n v="0"/>
    <n v="0.52548489355758454"/>
    <n v="1"/>
    <n v="75.55"/>
    <n v="75.55"/>
    <n v="-23.692597381260338"/>
    <n v="1516.8388538505119"/>
    <n v="0"/>
    <n v="1"/>
    <n v="0"/>
    <n v="0"/>
    <n v="0"/>
    <n v="0"/>
    <n v="0"/>
    <n v="0"/>
    <n v="0"/>
    <n v="0"/>
  </r>
  <r>
    <d v="2001-06-04T00:00:00"/>
    <n v="2001"/>
    <x v="3"/>
    <s v="R"/>
    <s v="RS"/>
    <x v="3"/>
    <s v="POR"/>
    <s v="A"/>
    <n v="1"/>
    <n v="1"/>
    <n v="0"/>
    <n v="0"/>
    <n v="0"/>
    <n v="0"/>
    <n v="1508.0973002040819"/>
    <n v="1446.9464802507046"/>
    <n v="0.46716471125783704"/>
    <n v="69"/>
    <n v="71"/>
    <n v="1"/>
    <n v="-2"/>
    <n v="0"/>
    <n v="0.22936878119393939"/>
    <n v="1"/>
    <n v="75.400000000000006"/>
    <n v="75.400000000000006"/>
    <n v="-8.0793362330273641"/>
    <n v="1500.0179639710545"/>
    <n v="0"/>
    <n v="1"/>
    <n v="0"/>
    <n v="0"/>
    <n v="0"/>
    <n v="0"/>
    <n v="0"/>
    <n v="0"/>
    <n v="0"/>
    <n v="0"/>
  </r>
  <r>
    <d v="2001-06-04T00:00:00"/>
    <n v="2001"/>
    <x v="2"/>
    <s v="R"/>
    <s v="RS"/>
    <x v="10"/>
    <s v="PHX"/>
    <s v="H"/>
    <n v="1"/>
    <n v="1"/>
    <n v="0"/>
    <n v="0"/>
    <n v="0"/>
    <n v="0"/>
    <n v="1446.9464802507046"/>
    <n v="1508.0973002040819"/>
    <n v="0.5328352887421629"/>
    <n v="71"/>
    <n v="69"/>
    <n v="1"/>
    <n v="2"/>
    <n v="1"/>
    <n v="0.22936878119393939"/>
    <n v="1"/>
    <n v="75.55"/>
    <n v="75.55"/>
    <n v="8.0954091830930679"/>
    <n v="1455.0418894337977"/>
    <n v="1"/>
    <n v="0"/>
    <n v="0"/>
    <n v="0"/>
    <n v="0"/>
    <n v="0"/>
    <n v="0"/>
    <n v="0"/>
    <n v="0"/>
    <n v="0"/>
  </r>
  <r>
    <d v="2001-06-05T00:00:00"/>
    <n v="2001"/>
    <x v="1"/>
    <s v="R"/>
    <s v="RS"/>
    <x v="12"/>
    <s v="DET"/>
    <s v="A"/>
    <n v="3"/>
    <n v="2"/>
    <n v="1"/>
    <n v="-1"/>
    <n v="8"/>
    <n v="-8"/>
    <n v="1465.9389736466178"/>
    <n v="1458.8169214734378"/>
    <n v="0.41327532914191906"/>
    <n v="92"/>
    <n v="71"/>
    <n v="0"/>
    <n v="21"/>
    <n v="1"/>
    <n v="0.58510367369509075"/>
    <n v="1"/>
    <n v="75.7"/>
    <n v="75.7"/>
    <n v="25.987413359752082"/>
    <n v="1491.9263870063699"/>
    <n v="1"/>
    <n v="0"/>
    <n v="0"/>
    <n v="0"/>
    <n v="0"/>
    <n v="0"/>
    <n v="0"/>
    <n v="0"/>
    <n v="0"/>
    <n v="0"/>
  </r>
  <r>
    <d v="2001-06-05T00:00:00"/>
    <n v="2001"/>
    <x v="1"/>
    <s v="R"/>
    <s v="RS"/>
    <x v="14"/>
    <s v="ORL"/>
    <s v="H"/>
    <n v="2"/>
    <n v="3"/>
    <n v="-1"/>
    <n v="1"/>
    <n v="-8"/>
    <n v="8"/>
    <n v="1458.8169214734378"/>
    <n v="1465.9389736466178"/>
    <n v="0.586724670858081"/>
    <n v="71"/>
    <n v="92"/>
    <n v="0"/>
    <n v="-21"/>
    <n v="0"/>
    <n v="0.58510367369509075"/>
    <n v="1"/>
    <n v="75.7"/>
    <n v="75.7"/>
    <n v="-25.987413359752086"/>
    <n v="1432.8295081136857"/>
    <n v="0"/>
    <n v="1"/>
    <n v="0"/>
    <n v="0"/>
    <n v="0"/>
    <n v="0"/>
    <n v="0"/>
    <n v="0"/>
    <n v="0"/>
    <n v="0"/>
  </r>
  <r>
    <d v="2001-06-05T00:00:00"/>
    <n v="2001"/>
    <x v="2"/>
    <s v="R"/>
    <s v="RS"/>
    <x v="5"/>
    <s v="LAS"/>
    <s v="A"/>
    <n v="2"/>
    <n v="2"/>
    <n v="0"/>
    <n v="0"/>
    <n v="0"/>
    <n v="0"/>
    <n v="1513.4230496443713"/>
    <n v="1645.2903417750376"/>
    <n v="0.22397817646047952"/>
    <n v="50"/>
    <n v="58"/>
    <n v="0"/>
    <n v="-8"/>
    <n v="0"/>
    <n v="0.3498686729202225"/>
    <n v="1"/>
    <n v="75.55"/>
    <n v="75.55"/>
    <n v="-5.9203206731476792"/>
    <n v="1507.5027289712236"/>
    <n v="0"/>
    <n v="1"/>
    <n v="0"/>
    <n v="0"/>
    <n v="0"/>
    <n v="0"/>
    <n v="0"/>
    <n v="0"/>
    <n v="0"/>
    <n v="0"/>
  </r>
  <r>
    <d v="2001-06-05T00:00:00"/>
    <n v="2001"/>
    <x v="3"/>
    <s v="R"/>
    <s v="RS"/>
    <x v="0"/>
    <s v="CLE"/>
    <s v="H"/>
    <n v="2"/>
    <n v="2"/>
    <n v="0"/>
    <n v="0"/>
    <n v="0"/>
    <n v="0"/>
    <n v="1645.2903417750376"/>
    <n v="1513.4230496443713"/>
    <n v="0.77602182353952043"/>
    <n v="58"/>
    <n v="50"/>
    <n v="0"/>
    <n v="8"/>
    <n v="1"/>
    <n v="0.3498686729202225"/>
    <n v="1"/>
    <n v="75.400000000000006"/>
    <n v="75.400000000000006"/>
    <n v="5.9085662310434834"/>
    <n v="1651.1989080060812"/>
    <n v="1"/>
    <n v="0"/>
    <n v="0"/>
    <n v="0"/>
    <n v="0"/>
    <n v="0"/>
    <n v="0"/>
    <n v="0"/>
    <n v="0"/>
    <n v="0"/>
  </r>
  <r>
    <d v="2001-06-05T00:00:00"/>
    <n v="2001"/>
    <x v="3"/>
    <s v="R"/>
    <s v="RS"/>
    <x v="6"/>
    <s v="MIA"/>
    <s v="A"/>
    <n v="0"/>
    <n v="4"/>
    <n v="-4"/>
    <n v="4"/>
    <n v="-16"/>
    <n v="16"/>
    <n v="1414.4444323494199"/>
    <n v="1478.719219475797"/>
    <n v="0.26158531387962558"/>
    <n v="61"/>
    <n v="63"/>
    <n v="0"/>
    <n v="-2"/>
    <n v="0"/>
    <n v="0.25422446784859887"/>
    <n v="1"/>
    <n v="75.400000000000006"/>
    <n v="75.400000000000006"/>
    <n v="-5.0142045962414619"/>
    <n v="1409.4302277531785"/>
    <n v="0"/>
    <n v="1"/>
    <n v="0"/>
    <n v="0"/>
    <n v="0"/>
    <n v="0"/>
    <n v="0"/>
    <n v="0"/>
    <n v="0"/>
    <n v="0"/>
  </r>
  <r>
    <d v="2001-06-05T00:00:00"/>
    <n v="2001"/>
    <x v="1"/>
    <s v="R"/>
    <s v="RS"/>
    <x v="8"/>
    <s v="IND"/>
    <s v="H"/>
    <n v="4"/>
    <n v="0"/>
    <n v="4"/>
    <n v="-4"/>
    <n v="16"/>
    <n v="-16"/>
    <n v="1478.719219475797"/>
    <n v="1414.4444323494199"/>
    <n v="0.73841468612037442"/>
    <n v="63"/>
    <n v="61"/>
    <n v="0"/>
    <n v="2"/>
    <n v="1"/>
    <n v="0.25422446784859887"/>
    <n v="1"/>
    <n v="75.7"/>
    <n v="75.7"/>
    <n v="5.0341550124068792"/>
    <n v="1483.7533744882039"/>
    <n v="1"/>
    <n v="0"/>
    <n v="0"/>
    <n v="0"/>
    <n v="0"/>
    <n v="0"/>
    <n v="0"/>
    <n v="0"/>
    <n v="0"/>
    <n v="0"/>
  </r>
  <r>
    <d v="2001-06-05T00:00:00"/>
    <n v="2001"/>
    <x v="1"/>
    <s v="R"/>
    <s v="RS"/>
    <x v="13"/>
    <s v="PHX"/>
    <s v="A"/>
    <n v="2"/>
    <n v="0"/>
    <n v="2"/>
    <n v="-2"/>
    <n v="16"/>
    <n v="-16"/>
    <n v="1407.6610987271865"/>
    <n v="1500.0179639710545"/>
    <n v="0.30343685537223397"/>
    <n v="69"/>
    <n v="76"/>
    <n v="0"/>
    <n v="-7"/>
    <n v="0"/>
    <n v="0.3436578695318625"/>
    <n v="1"/>
    <n v="75.7"/>
    <n v="75.7"/>
    <n v="-7.8938796683785055"/>
    <n v="1399.767219058808"/>
    <n v="0"/>
    <n v="1"/>
    <n v="0"/>
    <n v="0"/>
    <n v="0"/>
    <n v="0"/>
    <n v="0"/>
    <n v="0"/>
    <n v="0"/>
    <n v="0"/>
  </r>
  <r>
    <d v="2001-06-05T00:00:00"/>
    <n v="2001"/>
    <x v="4"/>
    <s v="R"/>
    <s v="RS"/>
    <x v="3"/>
    <s v="CHA"/>
    <s v="H"/>
    <n v="0"/>
    <n v="2"/>
    <n v="-2"/>
    <n v="2"/>
    <n v="-16"/>
    <n v="16"/>
    <n v="1500.0179639710545"/>
    <n v="1407.6610987271865"/>
    <n v="0.69656314462776603"/>
    <n v="76"/>
    <n v="69"/>
    <n v="0"/>
    <n v="7"/>
    <n v="1"/>
    <n v="0.3436578695318625"/>
    <n v="1"/>
    <n v="75.25"/>
    <n v="75.25"/>
    <n v="7.8469543599139033"/>
    <n v="1507.8649183309685"/>
    <n v="1"/>
    <n v="0"/>
    <n v="0"/>
    <n v="0"/>
    <n v="0"/>
    <n v="0"/>
    <n v="0"/>
    <n v="0"/>
    <n v="0"/>
    <n v="0"/>
  </r>
  <r>
    <d v="2001-06-05T00:00:00"/>
    <n v="2001"/>
    <x v="3"/>
    <s v="R"/>
    <s v="RS"/>
    <x v="1"/>
    <s v="UTA"/>
    <s v="A"/>
    <n v="2"/>
    <n v="2"/>
    <n v="0"/>
    <n v="0"/>
    <n v="0"/>
    <n v="0"/>
    <n v="1656.2226743557112"/>
    <n v="1534.9999411569956"/>
    <n v="0.55336380446041844"/>
    <n v="72"/>
    <n v="68"/>
    <n v="0"/>
    <n v="4"/>
    <n v="1"/>
    <n v="0.28285865243922259"/>
    <n v="1"/>
    <n v="75.400000000000006"/>
    <n v="75.400000000000006"/>
    <n v="9.5256523950284002"/>
    <n v="1665.7483267507396"/>
    <n v="1"/>
    <n v="0"/>
    <n v="0"/>
    <n v="0"/>
    <n v="0"/>
    <n v="0"/>
    <n v="0"/>
    <n v="0"/>
    <n v="0"/>
    <n v="0"/>
  </r>
  <r>
    <d v="2001-06-05T00:00:00"/>
    <n v="2001"/>
    <x v="2"/>
    <s v="R"/>
    <s v="RS"/>
    <x v="2"/>
    <s v="HOU"/>
    <s v="H"/>
    <n v="2"/>
    <n v="2"/>
    <n v="0"/>
    <n v="0"/>
    <n v="0"/>
    <n v="0"/>
    <n v="1534.9999411569956"/>
    <n v="1656.2226743557112"/>
    <n v="0.44663619553958156"/>
    <n v="68"/>
    <n v="72"/>
    <n v="0"/>
    <n v="-4"/>
    <n v="0"/>
    <n v="0.28285865243922259"/>
    <n v="1"/>
    <n v="75.55"/>
    <n v="75.55"/>
    <n v="-9.5446026318885355"/>
    <n v="1525.4553385251072"/>
    <n v="0"/>
    <n v="1"/>
    <n v="0"/>
    <n v="0"/>
    <n v="0"/>
    <n v="0"/>
    <n v="0"/>
    <n v="0"/>
    <n v="0"/>
    <n v="0"/>
  </r>
  <r>
    <d v="2001-06-05T00:00:00"/>
    <n v="2001"/>
    <x v="2"/>
    <s v="R"/>
    <s v="RS"/>
    <x v="15"/>
    <s v="WAS"/>
    <s v="A"/>
    <n v="0"/>
    <n v="1"/>
    <n v="-1"/>
    <n v="1"/>
    <n v="-8"/>
    <n v="8"/>
    <n v="1580.1585305816122"/>
    <n v="1447.8884264614508"/>
    <n v="0.54630732736838494"/>
    <n v="72"/>
    <n v="75"/>
    <n v="0"/>
    <n v="-3"/>
    <n v="0"/>
    <n v="0.26137359401937205"/>
    <n v="1"/>
    <n v="75.55"/>
    <n v="75.55"/>
    <n v="-10.787807889780797"/>
    <n v="1569.3707226918314"/>
    <n v="0"/>
    <n v="1"/>
    <n v="0"/>
    <n v="0"/>
    <n v="0"/>
    <n v="0"/>
    <n v="0"/>
    <n v="0"/>
    <n v="0"/>
    <n v="0"/>
  </r>
  <r>
    <d v="2001-06-05T00:00:00"/>
    <n v="2001"/>
    <x v="2"/>
    <s v="R"/>
    <s v="RS"/>
    <x v="4"/>
    <s v="SAC"/>
    <s v="H"/>
    <n v="1"/>
    <n v="0"/>
    <n v="1"/>
    <n v="-1"/>
    <n v="8"/>
    <n v="-8"/>
    <n v="1447.8884264614508"/>
    <n v="1580.1585305816122"/>
    <n v="0.453692672631615"/>
    <n v="75"/>
    <n v="72"/>
    <n v="0"/>
    <n v="3"/>
    <n v="1"/>
    <n v="0.26137359401937205"/>
    <n v="1"/>
    <n v="75.55"/>
    <n v="75.55"/>
    <n v="10.787807889780797"/>
    <n v="1458.6762343512316"/>
    <n v="1"/>
    <n v="0"/>
    <n v="0"/>
    <n v="0"/>
    <n v="0"/>
    <n v="0"/>
    <n v="0"/>
    <n v="0"/>
    <n v="0"/>
    <n v="0"/>
  </r>
  <r>
    <d v="2001-06-07T00:00:00"/>
    <n v="2001"/>
    <x v="3"/>
    <s v="R"/>
    <s v="RS"/>
    <x v="7"/>
    <s v="CLE"/>
    <s v="A"/>
    <n v="2"/>
    <n v="1"/>
    <n v="1"/>
    <n v="-1"/>
    <n v="8"/>
    <n v="-8"/>
    <n v="1516.8388538505119"/>
    <n v="1507.5027289712236"/>
    <n v="0.41636915470088004"/>
    <n v="49"/>
    <n v="67"/>
    <n v="0"/>
    <n v="-18"/>
    <n v="0"/>
    <n v="0.54261235156361931"/>
    <n v="1"/>
    <n v="75.400000000000006"/>
    <n v="75.400000000000006"/>
    <n v="-17.034899279770389"/>
    <n v="1499.8039545707416"/>
    <n v="0"/>
    <n v="1"/>
    <n v="0"/>
    <n v="0"/>
    <n v="0"/>
    <n v="0"/>
    <n v="0"/>
    <n v="0"/>
    <n v="0"/>
    <n v="0"/>
  </r>
  <r>
    <d v="2001-06-07T00:00:00"/>
    <n v="2001"/>
    <x v="3"/>
    <s v="R"/>
    <s v="RS"/>
    <x v="5"/>
    <s v="NYL"/>
    <s v="H"/>
    <n v="1"/>
    <n v="2"/>
    <n v="-1"/>
    <n v="1"/>
    <n v="-8"/>
    <n v="8"/>
    <n v="1507.5027289712236"/>
    <n v="1516.8388538505119"/>
    <n v="0.58363084529912002"/>
    <n v="67"/>
    <n v="49"/>
    <n v="0"/>
    <n v="18"/>
    <n v="1"/>
    <n v="0.54261235156361931"/>
    <n v="1"/>
    <n v="75.400000000000006"/>
    <n v="75.400000000000006"/>
    <n v="17.034899279770386"/>
    <n v="1524.537628250994"/>
    <n v="1"/>
    <n v="0"/>
    <n v="0"/>
    <n v="0"/>
    <n v="0"/>
    <n v="0"/>
    <n v="0"/>
    <n v="0"/>
    <n v="0"/>
    <n v="0"/>
  </r>
  <r>
    <d v="2001-06-07T00:00:00"/>
    <n v="2001"/>
    <x v="2"/>
    <s v="R"/>
    <s v="RS"/>
    <x v="14"/>
    <s v="HOU"/>
    <s v="A"/>
    <n v="1"/>
    <n v="1"/>
    <n v="0"/>
    <n v="0"/>
    <n v="0"/>
    <n v="0"/>
    <n v="1432.8295081136857"/>
    <n v="1665.7483267507396"/>
    <n v="0.13891495430284925"/>
    <n v="66"/>
    <n v="87"/>
    <n v="0"/>
    <n v="-21"/>
    <n v="0"/>
    <n v="0.49290409068441593"/>
    <n v="1"/>
    <n v="75.55"/>
    <n v="75.55"/>
    <n v="-5.173040654561694"/>
    <n v="1427.6564674591241"/>
    <n v="0"/>
    <n v="1"/>
    <n v="0"/>
    <n v="0"/>
    <n v="0"/>
    <n v="0"/>
    <n v="0"/>
    <n v="0"/>
    <n v="0"/>
    <n v="0"/>
  </r>
  <r>
    <d v="2001-06-07T00:00:00"/>
    <n v="2001"/>
    <x v="4"/>
    <s v="R"/>
    <s v="RS"/>
    <x v="1"/>
    <s v="DET"/>
    <s v="H"/>
    <n v="1"/>
    <n v="1"/>
    <n v="0"/>
    <n v="0"/>
    <n v="0"/>
    <n v="0"/>
    <n v="1665.7483267507396"/>
    <n v="1432.8295081136857"/>
    <n v="0.86108504569715072"/>
    <n v="87"/>
    <n v="66"/>
    <n v="0"/>
    <n v="21"/>
    <n v="1"/>
    <n v="0.49290409068441593"/>
    <n v="1"/>
    <n v="75.25"/>
    <n v="75.25"/>
    <n v="5.1524991297917619"/>
    <n v="1670.9008258805313"/>
    <n v="1"/>
    <n v="0"/>
    <n v="0"/>
    <n v="0"/>
    <n v="0"/>
    <n v="0"/>
    <n v="0"/>
    <n v="0"/>
    <n v="0"/>
    <n v="0"/>
  </r>
  <r>
    <d v="2001-06-07T00:00:00"/>
    <n v="2001"/>
    <x v="2"/>
    <s v="R"/>
    <s v="RS"/>
    <x v="13"/>
    <s v="SAC"/>
    <s v="A"/>
    <n v="1"/>
    <n v="1"/>
    <n v="0"/>
    <n v="0"/>
    <n v="0"/>
    <n v="0"/>
    <n v="1399.767219058808"/>
    <n v="1569.3707226918314"/>
    <n v="0.18848887377192217"/>
    <n v="65"/>
    <n v="77"/>
    <n v="0"/>
    <n v="-12"/>
    <n v="0"/>
    <n v="0.39964510184146645"/>
    <n v="1"/>
    <n v="75.55"/>
    <n v="75.55"/>
    <n v="-5.6910798969272456"/>
    <n v="1394.0761391618807"/>
    <n v="0"/>
    <n v="1"/>
    <n v="0"/>
    <n v="0"/>
    <n v="0"/>
    <n v="0"/>
    <n v="0"/>
    <n v="0"/>
    <n v="0"/>
    <n v="0"/>
  </r>
  <r>
    <d v="2001-06-07T00:00:00"/>
    <n v="2001"/>
    <x v="3"/>
    <s v="R"/>
    <s v="RS"/>
    <x v="15"/>
    <s v="CHA"/>
    <s v="H"/>
    <n v="1"/>
    <n v="1"/>
    <n v="0"/>
    <n v="0"/>
    <n v="0"/>
    <n v="0"/>
    <n v="1569.3707226918314"/>
    <n v="1399.767219058808"/>
    <n v="0.81151112622807786"/>
    <n v="77"/>
    <n v="65"/>
    <n v="0"/>
    <n v="12"/>
    <n v="1"/>
    <n v="0.39964510184146645"/>
    <n v="1"/>
    <n v="75.400000000000006"/>
    <n v="75.400000000000006"/>
    <n v="5.6797805986540606"/>
    <n v="1575.0505032904855"/>
    <n v="1"/>
    <n v="0"/>
    <n v="0"/>
    <n v="0"/>
    <n v="0"/>
    <n v="0"/>
    <n v="0"/>
    <n v="0"/>
    <n v="0"/>
    <n v="0"/>
  </r>
  <r>
    <d v="2001-06-07T00:00:00"/>
    <n v="2001"/>
    <x v="2"/>
    <s v="R"/>
    <s v="RS"/>
    <x v="8"/>
    <s v="SEA"/>
    <s v="A"/>
    <n v="1"/>
    <n v="2"/>
    <n v="-1"/>
    <n v="1"/>
    <n v="-8"/>
    <n v="8"/>
    <n v="1483.7533744882039"/>
    <n v="1432.3523672293261"/>
    <n v="0.43051303534838525"/>
    <n v="70"/>
    <n v="57"/>
    <n v="0"/>
    <n v="13"/>
    <n v="1"/>
    <n v="0.45265466744167226"/>
    <n v="1"/>
    <n v="75.55"/>
    <n v="75.55"/>
    <n v="19.475349457684011"/>
    <n v="1503.2287239458879"/>
    <n v="1"/>
    <n v="0"/>
    <n v="0"/>
    <n v="0"/>
    <n v="0"/>
    <n v="0"/>
    <n v="0"/>
    <n v="0"/>
    <n v="0"/>
    <n v="0"/>
  </r>
  <r>
    <d v="2001-06-07T00:00:00"/>
    <n v="2001"/>
    <x v="3"/>
    <s v="R"/>
    <s v="RS"/>
    <x v="11"/>
    <s v="MIA"/>
    <s v="H"/>
    <n v="2"/>
    <n v="1"/>
    <n v="1"/>
    <n v="-1"/>
    <n v="8"/>
    <n v="-8"/>
    <n v="1432.3523672293261"/>
    <n v="1483.7533744882039"/>
    <n v="0.56948696465161475"/>
    <n v="57"/>
    <n v="70"/>
    <n v="0"/>
    <n v="-13"/>
    <n v="0"/>
    <n v="0.45265466744167226"/>
    <n v="1"/>
    <n v="75.400000000000006"/>
    <n v="75.400000000000006"/>
    <n v="-19.436682317794503"/>
    <n v="1412.9156849115316"/>
    <n v="0"/>
    <n v="1"/>
    <n v="0"/>
    <n v="0"/>
    <n v="0"/>
    <n v="0"/>
    <n v="0"/>
    <n v="0"/>
    <n v="0"/>
    <n v="0"/>
  </r>
  <r>
    <d v="2001-06-07T00:00:00"/>
    <n v="2001"/>
    <x v="2"/>
    <s v="R"/>
    <s v="RS"/>
    <x v="12"/>
    <s v="UTA"/>
    <s v="A"/>
    <n v="1"/>
    <n v="1"/>
    <n v="0"/>
    <n v="0"/>
    <n v="0"/>
    <n v="0"/>
    <n v="1491.9263870063699"/>
    <n v="1525.4553385251072"/>
    <n v="0.33703151129385067"/>
    <n v="79"/>
    <n v="82"/>
    <n v="0"/>
    <n v="-3"/>
    <n v="0"/>
    <n v="0.28229594845724232"/>
    <n v="1"/>
    <n v="75.55"/>
    <n v="75.55"/>
    <n v="-7.1880257071280225"/>
    <n v="1484.7383612992419"/>
    <n v="0"/>
    <n v="1"/>
    <n v="0"/>
    <n v="0"/>
    <n v="0"/>
    <n v="0"/>
    <n v="0"/>
    <n v="0"/>
    <n v="0"/>
    <n v="0"/>
  </r>
  <r>
    <d v="2001-06-07T00:00:00"/>
    <n v="2001"/>
    <x v="3"/>
    <s v="R"/>
    <s v="RS"/>
    <x v="2"/>
    <s v="ORL"/>
    <s v="H"/>
    <n v="1"/>
    <n v="1"/>
    <n v="0"/>
    <n v="0"/>
    <n v="0"/>
    <n v="0"/>
    <n v="1525.4553385251072"/>
    <n v="1491.9263870063699"/>
    <n v="0.66296848870614933"/>
    <n v="82"/>
    <n v="79"/>
    <n v="0"/>
    <n v="3"/>
    <n v="1"/>
    <n v="0.28229594845724232"/>
    <n v="1"/>
    <n v="75.400000000000006"/>
    <n v="75.400000000000006"/>
    <n v="7.1737543126069214"/>
    <n v="1532.6290928377141"/>
    <n v="1"/>
    <n v="0"/>
    <n v="0"/>
    <n v="0"/>
    <n v="0"/>
    <n v="0"/>
    <n v="0"/>
    <n v="0"/>
    <n v="0"/>
    <n v="0"/>
  </r>
  <r>
    <d v="2001-06-09T00:00:00"/>
    <n v="2001"/>
    <x v="4"/>
    <s v="R"/>
    <s v="RS"/>
    <x v="6"/>
    <s v="CLE"/>
    <s v="A"/>
    <n v="3"/>
    <n v="1"/>
    <n v="2"/>
    <n v="-2"/>
    <n v="16"/>
    <n v="-16"/>
    <n v="1409.4302277531785"/>
    <n v="1524.537628250994"/>
    <n v="0.27648843775370208"/>
    <n v="76"/>
    <n v="86"/>
    <n v="0"/>
    <n v="-10"/>
    <n v="0"/>
    <n v="0.3860944277300371"/>
    <n v="1"/>
    <n v="75.25"/>
    <n v="75.25"/>
    <n v="-8.0329860474236909"/>
    <n v="1401.3972417057548"/>
    <n v="0"/>
    <n v="1"/>
    <n v="0"/>
    <n v="0"/>
    <n v="0"/>
    <n v="0"/>
    <n v="0"/>
    <n v="0"/>
    <n v="0"/>
    <n v="0"/>
  </r>
  <r>
    <d v="2001-06-09T00:00:00"/>
    <n v="2001"/>
    <x v="4"/>
    <s v="R"/>
    <s v="RS"/>
    <x v="5"/>
    <s v="IND"/>
    <s v="H"/>
    <n v="1"/>
    <n v="3"/>
    <n v="-2"/>
    <n v="2"/>
    <n v="-16"/>
    <n v="16"/>
    <n v="1524.537628250994"/>
    <n v="1409.4302277531785"/>
    <n v="0.72351156224629798"/>
    <n v="86"/>
    <n v="76"/>
    <n v="0"/>
    <n v="10"/>
    <n v="1"/>
    <n v="0.3860944277300371"/>
    <n v="1"/>
    <n v="75.25"/>
    <n v="75.25"/>
    <n v="8.0329860474236892"/>
    <n v="1532.5706142984177"/>
    <n v="1"/>
    <n v="0"/>
    <n v="0"/>
    <n v="0"/>
    <n v="0"/>
    <n v="0"/>
    <n v="0"/>
    <n v="0"/>
    <n v="0"/>
    <n v="0"/>
  </r>
  <r>
    <d v="2001-06-09T00:00:00"/>
    <n v="2001"/>
    <x v="4"/>
    <s v="R"/>
    <s v="RS"/>
    <x v="0"/>
    <s v="MIN"/>
    <s v="A"/>
    <n v="3"/>
    <n v="6"/>
    <n v="-3"/>
    <n v="3"/>
    <n v="-16"/>
    <n v="16"/>
    <n v="1651.1989080060812"/>
    <n v="1491.6835647359517"/>
    <n v="0.56229819858853214"/>
    <n v="62"/>
    <n v="60"/>
    <n v="0"/>
    <n v="2"/>
    <n v="1"/>
    <n v="0.23641482721224516"/>
    <n v="1"/>
    <n v="75.25"/>
    <n v="75.25"/>
    <n v="7.7868094802763412"/>
    <n v="1658.9857174863575"/>
    <n v="1"/>
    <n v="0"/>
    <n v="0"/>
    <n v="0"/>
    <n v="0"/>
    <n v="0"/>
    <n v="0"/>
    <n v="0"/>
    <n v="0"/>
    <n v="0"/>
  </r>
  <r>
    <d v="2001-06-09T00:00:00"/>
    <n v="2001"/>
    <x v="2"/>
    <s v="R"/>
    <s v="RS"/>
    <x v="9"/>
    <s v="LAS"/>
    <s v="H"/>
    <n v="6"/>
    <n v="3"/>
    <n v="3"/>
    <n v="-3"/>
    <n v="16"/>
    <n v="-16"/>
    <n v="1491.6835647359517"/>
    <n v="1651.1989080060812"/>
    <n v="0.43770180141146786"/>
    <n v="60"/>
    <n v="62"/>
    <n v="0"/>
    <n v="-2"/>
    <n v="0"/>
    <n v="0.23641482721224516"/>
    <n v="1"/>
    <n v="75.55"/>
    <n v="75.55"/>
    <n v="-7.8178532390016953"/>
    <n v="1483.8657114969499"/>
    <n v="0"/>
    <n v="1"/>
    <n v="0"/>
    <n v="0"/>
    <n v="0"/>
    <n v="0"/>
    <n v="0"/>
    <n v="0"/>
    <n v="0"/>
    <n v="0"/>
  </r>
  <r>
    <d v="2001-06-09T00:00:00"/>
    <n v="2001"/>
    <x v="3"/>
    <s v="R"/>
    <s v="RS"/>
    <x v="13"/>
    <s v="ORL"/>
    <s v="A"/>
    <n v="1"/>
    <n v="1"/>
    <n v="0"/>
    <n v="0"/>
    <n v="0"/>
    <n v="0"/>
    <n v="1394.0761391618807"/>
    <n v="1484.7383612992419"/>
    <n v="0.26787386999115037"/>
    <n v="86"/>
    <n v="79"/>
    <n v="0"/>
    <n v="7"/>
    <n v="1"/>
    <n v="0.34410909327546491"/>
    <n v="1"/>
    <n v="75.400000000000006"/>
    <n v="75.400000000000006"/>
    <n v="18.99561691055078"/>
    <n v="1413.0717560724315"/>
    <n v="1"/>
    <n v="0"/>
    <n v="0"/>
    <n v="0"/>
    <n v="0"/>
    <n v="0"/>
    <n v="0"/>
    <n v="0"/>
    <n v="0"/>
    <n v="0"/>
  </r>
  <r>
    <d v="2001-06-09T00:00:00"/>
    <n v="2001"/>
    <x v="3"/>
    <s v="R"/>
    <s v="RS"/>
    <x v="12"/>
    <s v="CHA"/>
    <s v="H"/>
    <n v="1"/>
    <n v="1"/>
    <n v="0"/>
    <n v="0"/>
    <n v="0"/>
    <n v="0"/>
    <n v="1484.7383612992419"/>
    <n v="1394.0761391618807"/>
    <n v="0.73212613000884963"/>
    <n v="79"/>
    <n v="86"/>
    <n v="0"/>
    <n v="-7"/>
    <n v="0"/>
    <n v="0.34410909327546491"/>
    <n v="1"/>
    <n v="75.400000000000006"/>
    <n v="75.400000000000006"/>
    <n v="-18.99561691055078"/>
    <n v="1465.7427443886911"/>
    <n v="0"/>
    <n v="1"/>
    <n v="0"/>
    <n v="0"/>
    <n v="0"/>
    <n v="0"/>
    <n v="0"/>
    <n v="0"/>
    <n v="0"/>
    <n v="0"/>
  </r>
  <r>
    <d v="2001-06-09T00:00:00"/>
    <n v="2001"/>
    <x v="3"/>
    <s v="R"/>
    <s v="RS"/>
    <x v="8"/>
    <s v="SAC"/>
    <s v="A"/>
    <n v="1"/>
    <n v="1"/>
    <n v="0"/>
    <n v="0"/>
    <n v="0"/>
    <n v="0"/>
    <n v="1503.2287239458879"/>
    <n v="1575.0505032904855"/>
    <n v="0.28967103725802779"/>
    <n v="71"/>
    <n v="67"/>
    <n v="0"/>
    <n v="4"/>
    <n v="1"/>
    <n v="0.29384563777264638"/>
    <n v="1"/>
    <n v="75.400000000000006"/>
    <n v="75.400000000000006"/>
    <n v="15.738020858231408"/>
    <n v="1518.9667448041193"/>
    <n v="1"/>
    <n v="0"/>
    <n v="0"/>
    <n v="0"/>
    <n v="0"/>
    <n v="0"/>
    <n v="0"/>
    <n v="0"/>
    <n v="0"/>
    <n v="0"/>
  </r>
  <r>
    <d v="2001-06-09T00:00:00"/>
    <n v="2001"/>
    <x v="4"/>
    <s v="R"/>
    <s v="RS"/>
    <x v="15"/>
    <s v="MIA"/>
    <s v="H"/>
    <n v="1"/>
    <n v="1"/>
    <n v="0"/>
    <n v="0"/>
    <n v="0"/>
    <n v="0"/>
    <n v="1575.0505032904855"/>
    <n v="1503.2287239458879"/>
    <n v="0.71032896274197221"/>
    <n v="67"/>
    <n v="71"/>
    <n v="0"/>
    <n v="-4"/>
    <n v="0"/>
    <n v="0.29384563777264638"/>
    <n v="1"/>
    <n v="75.25"/>
    <n v="75.25"/>
    <n v="-15.706711798168612"/>
    <n v="1559.343791492317"/>
    <n v="0"/>
    <n v="1"/>
    <n v="0"/>
    <n v="0"/>
    <n v="0"/>
    <n v="0"/>
    <n v="0"/>
    <n v="0"/>
    <n v="0"/>
    <n v="0"/>
  </r>
  <r>
    <d v="2001-06-09T00:00:00"/>
    <n v="2001"/>
    <x v="4"/>
    <s v="R"/>
    <s v="RS"/>
    <x v="11"/>
    <s v="UTA"/>
    <s v="A"/>
    <n v="1"/>
    <n v="1"/>
    <n v="0"/>
    <n v="0"/>
    <n v="0"/>
    <n v="0"/>
    <n v="1412.9156849115316"/>
    <n v="1532.6290928377141"/>
    <n v="0.23637295368482106"/>
    <n v="73"/>
    <n v="65"/>
    <n v="0"/>
    <n v="8"/>
    <n v="1"/>
    <n v="0.35309078410884104"/>
    <n v="1"/>
    <n v="75.25"/>
    <n v="75.25"/>
    <n v="20.289632859398399"/>
    <n v="1433.2053177709299"/>
    <n v="1"/>
    <n v="0"/>
    <n v="0"/>
    <n v="0"/>
    <n v="0"/>
    <n v="0"/>
    <n v="0"/>
    <n v="0"/>
    <n v="0"/>
    <n v="0"/>
  </r>
  <r>
    <d v="2001-06-09T00:00:00"/>
    <n v="2001"/>
    <x v="4"/>
    <s v="R"/>
    <s v="RS"/>
    <x v="2"/>
    <s v="SEA"/>
    <s v="H"/>
    <n v="1"/>
    <n v="1"/>
    <n v="0"/>
    <n v="0"/>
    <n v="0"/>
    <n v="0"/>
    <n v="1532.6290928377141"/>
    <n v="1412.9156849115316"/>
    <n v="0.76362704631517897"/>
    <n v="65"/>
    <n v="73"/>
    <n v="0"/>
    <n v="-8"/>
    <n v="0"/>
    <n v="0.35309078410884104"/>
    <n v="1"/>
    <n v="75.25"/>
    <n v="75.25"/>
    <n v="-20.289632859398399"/>
    <n v="1512.3394599783157"/>
    <n v="0"/>
    <n v="1"/>
    <n v="0"/>
    <n v="0"/>
    <n v="0"/>
    <n v="0"/>
    <n v="0"/>
    <n v="0"/>
    <n v="0"/>
    <n v="0"/>
  </r>
  <r>
    <d v="2001-06-10T00:00:00"/>
    <n v="2001"/>
    <x v="5"/>
    <s v="R"/>
    <s v="RS"/>
    <x v="1"/>
    <s v="PHX"/>
    <s v="A"/>
    <n v="2"/>
    <n v="4"/>
    <n v="-2"/>
    <n v="2"/>
    <n v="-16"/>
    <n v="16"/>
    <n v="1670.9008258805313"/>
    <n v="1507.8649183309685"/>
    <n v="0.56727958452765437"/>
    <n v="60"/>
    <n v="58"/>
    <n v="0"/>
    <n v="2"/>
    <n v="1"/>
    <n v="0.23580419502625372"/>
    <n v="1"/>
    <n v="75.099999999999994"/>
    <n v="75.099999999999994"/>
    <n v="7.6630004220653776"/>
    <n v="1678.5638263025967"/>
    <n v="1"/>
    <n v="0"/>
    <n v="0"/>
    <n v="0"/>
    <n v="0"/>
    <n v="0"/>
    <n v="0"/>
    <n v="0"/>
    <n v="0"/>
    <n v="0"/>
  </r>
  <r>
    <d v="2001-06-10T00:00:00"/>
    <n v="2001"/>
    <x v="5"/>
    <s v="R"/>
    <s v="RS"/>
    <x v="3"/>
    <s v="HOU"/>
    <s v="H"/>
    <n v="4"/>
    <n v="2"/>
    <n v="2"/>
    <n v="-2"/>
    <n v="16"/>
    <n v="-16"/>
    <n v="1507.8649183309685"/>
    <n v="1670.9008258805313"/>
    <n v="0.43272041547234558"/>
    <n v="58"/>
    <n v="60"/>
    <n v="0"/>
    <n v="-2"/>
    <n v="0"/>
    <n v="0.23580419502625372"/>
    <n v="1"/>
    <n v="75.099999999999994"/>
    <n v="75.099999999999994"/>
    <n v="-7.6630004220653767"/>
    <n v="1500.2019179089032"/>
    <n v="0"/>
    <n v="1"/>
    <n v="0"/>
    <n v="0"/>
    <n v="0"/>
    <n v="0"/>
    <n v="0"/>
    <n v="0"/>
    <n v="0"/>
    <n v="0"/>
  </r>
  <r>
    <d v="2001-06-10T00:00:00"/>
    <n v="2001"/>
    <x v="4"/>
    <s v="R"/>
    <s v="RS"/>
    <x v="7"/>
    <s v="WAS"/>
    <s v="A"/>
    <n v="2"/>
    <n v="4"/>
    <n v="-2"/>
    <n v="2"/>
    <n v="-16"/>
    <n v="16"/>
    <n v="1499.8039545707416"/>
    <n v="1458.6762343512316"/>
    <n v="0.39388768827544046"/>
    <n v="81"/>
    <n v="80"/>
    <n v="0"/>
    <n v="1"/>
    <n v="1"/>
    <n v="0.23608819655283214"/>
    <n v="1"/>
    <n v="75.25"/>
    <n v="75.25"/>
    <n v="10.767971184409825"/>
    <n v="1510.5719257551514"/>
    <n v="1"/>
    <n v="0"/>
    <n v="0"/>
    <n v="0"/>
    <n v="0"/>
    <n v="0"/>
    <n v="0"/>
    <n v="0"/>
    <n v="0"/>
    <n v="0"/>
  </r>
  <r>
    <d v="2001-06-10T00:00:00"/>
    <n v="2001"/>
    <x v="3"/>
    <s v="R"/>
    <s v="RS"/>
    <x v="4"/>
    <s v="NYL"/>
    <s v="H"/>
    <n v="4"/>
    <n v="2"/>
    <n v="2"/>
    <n v="-2"/>
    <n v="16"/>
    <n v="-16"/>
    <n v="1458.6762343512316"/>
    <n v="1499.8039545707416"/>
    <n v="0.60611231172455948"/>
    <n v="80"/>
    <n v="81"/>
    <n v="0"/>
    <n v="-1"/>
    <n v="0"/>
    <n v="0.23608819655283214"/>
    <n v="1"/>
    <n v="75.400000000000006"/>
    <n v="75.400000000000006"/>
    <n v="-10.789435578797352"/>
    <n v="1447.8867987724343"/>
    <n v="0"/>
    <n v="1"/>
    <n v="0"/>
    <n v="0"/>
    <n v="0"/>
    <n v="0"/>
    <n v="0"/>
    <n v="0"/>
    <n v="0"/>
    <n v="0"/>
  </r>
  <r>
    <d v="2001-06-12T00:00:00"/>
    <n v="2001"/>
    <x v="3"/>
    <s v="R"/>
    <s v="RS"/>
    <x v="14"/>
    <s v="MIA"/>
    <s v="A"/>
    <n v="4"/>
    <n v="2"/>
    <n v="2"/>
    <n v="-2"/>
    <n v="16"/>
    <n v="-16"/>
    <n v="1427.6564674591241"/>
    <n v="1518.9667448041193"/>
    <n v="0.30471174773195642"/>
    <n v="68"/>
    <n v="67"/>
    <n v="1"/>
    <n v="1"/>
    <n v="1"/>
    <n v="0.20422205977073724"/>
    <n v="1"/>
    <n v="75.400000000000006"/>
    <n v="75.400000000000006"/>
    <n v="10.706287205548218"/>
    <n v="1438.3627546646724"/>
    <n v="1"/>
    <n v="0"/>
    <n v="0"/>
    <n v="0"/>
    <n v="0"/>
    <n v="0"/>
    <n v="0"/>
    <n v="0"/>
    <n v="0"/>
    <n v="0"/>
  </r>
  <r>
    <d v="2001-06-12T00:00:00"/>
    <n v="2001"/>
    <x v="4"/>
    <s v="R"/>
    <s v="RS"/>
    <x v="8"/>
    <s v="DET"/>
    <s v="H"/>
    <n v="2"/>
    <n v="4"/>
    <n v="-2"/>
    <n v="2"/>
    <n v="-16"/>
    <n v="16"/>
    <n v="1518.9667448041193"/>
    <n v="1427.6564674591241"/>
    <n v="0.69528825226804358"/>
    <n v="67"/>
    <n v="68"/>
    <n v="1"/>
    <n v="-1"/>
    <n v="0"/>
    <n v="0.20422205977073724"/>
    <n v="1"/>
    <n v="75.25"/>
    <n v="75.25"/>
    <n v="-10.68498822569633"/>
    <n v="1508.281756578423"/>
    <n v="0"/>
    <n v="1"/>
    <n v="0"/>
    <n v="0"/>
    <n v="0"/>
    <n v="0"/>
    <n v="0"/>
    <n v="0"/>
    <n v="0"/>
    <n v="0"/>
  </r>
  <r>
    <d v="2001-06-12T00:00:00"/>
    <n v="2001"/>
    <x v="5"/>
    <s v="R"/>
    <s v="RS"/>
    <x v="6"/>
    <s v="MIN"/>
    <s v="A"/>
    <n v="2"/>
    <n v="2"/>
    <n v="0"/>
    <n v="0"/>
    <n v="0"/>
    <n v="0"/>
    <n v="1401.3972417057548"/>
    <n v="1483.8657114969499"/>
    <n v="0.27722479503610548"/>
    <n v="65"/>
    <n v="60"/>
    <n v="0"/>
    <n v="5"/>
    <n v="1"/>
    <n v="0.3104225795261189"/>
    <n v="1"/>
    <n v="75.099999999999994"/>
    <n v="75.099999999999994"/>
    <n v="16.849867340035097"/>
    <n v="1418.24710904579"/>
    <n v="1"/>
    <n v="0"/>
    <n v="0"/>
    <n v="0"/>
    <n v="0"/>
    <n v="0"/>
    <n v="0"/>
    <n v="0"/>
    <n v="0"/>
    <n v="0"/>
  </r>
  <r>
    <d v="2001-06-12T00:00:00"/>
    <n v="2001"/>
    <x v="3"/>
    <s v="R"/>
    <s v="RS"/>
    <x v="9"/>
    <s v="IND"/>
    <s v="H"/>
    <n v="2"/>
    <n v="2"/>
    <n v="0"/>
    <n v="0"/>
    <n v="0"/>
    <n v="0"/>
    <n v="1483.8657114969499"/>
    <n v="1401.3972417057548"/>
    <n v="0.72277520496389458"/>
    <n v="60"/>
    <n v="65"/>
    <n v="0"/>
    <n v="-5"/>
    <n v="0"/>
    <n v="0.3104225795261189"/>
    <n v="1"/>
    <n v="75.400000000000006"/>
    <n v="75.400000000000006"/>
    <n v="-16.917177063097824"/>
    <n v="1466.948534433852"/>
    <n v="0"/>
    <n v="1"/>
    <n v="0"/>
    <n v="0"/>
    <n v="0"/>
    <n v="0"/>
    <n v="0"/>
    <n v="0"/>
    <n v="0"/>
    <n v="0"/>
  </r>
  <r>
    <d v="2001-06-12T00:00:00"/>
    <n v="2001"/>
    <x v="4"/>
    <s v="R"/>
    <s v="RS"/>
    <x v="13"/>
    <s v="NYL"/>
    <s v="A"/>
    <n v="2"/>
    <n v="1"/>
    <n v="1"/>
    <n v="-1"/>
    <n v="8"/>
    <n v="-8"/>
    <n v="1413.0717560724315"/>
    <n v="1510.5719257551514"/>
    <n v="0.27834304652960501"/>
    <n v="70"/>
    <n v="79"/>
    <n v="0"/>
    <n v="-9"/>
    <n v="0"/>
    <n v="0.37546494710348971"/>
    <n v="1"/>
    <n v="75.25"/>
    <n v="75.25"/>
    <n v="-7.8642313074501402"/>
    <n v="1405.2075247649814"/>
    <n v="0"/>
    <n v="1"/>
    <n v="0"/>
    <n v="0"/>
    <n v="0"/>
    <n v="0"/>
    <n v="0"/>
    <n v="0"/>
    <n v="0"/>
    <n v="0"/>
  </r>
  <r>
    <d v="2001-06-12T00:00:00"/>
    <n v="2001"/>
    <x v="5"/>
    <s v="R"/>
    <s v="RS"/>
    <x v="7"/>
    <s v="CHA"/>
    <s v="H"/>
    <n v="1"/>
    <n v="2"/>
    <n v="-1"/>
    <n v="1"/>
    <n v="-8"/>
    <n v="8"/>
    <n v="1510.5719257551514"/>
    <n v="1413.0717560724315"/>
    <n v="0.72165695347039494"/>
    <n v="79"/>
    <n v="70"/>
    <n v="0"/>
    <n v="9"/>
    <n v="1"/>
    <n v="0.37546494710348971"/>
    <n v="1"/>
    <n v="75.099999999999994"/>
    <n v="75.099999999999994"/>
    <n v="7.8485550988638613"/>
    <n v="1518.4204808540153"/>
    <n v="1"/>
    <n v="0"/>
    <n v="0"/>
    <n v="0"/>
    <n v="0"/>
    <n v="0"/>
    <n v="0"/>
    <n v="0"/>
    <n v="0"/>
    <n v="0"/>
  </r>
  <r>
    <d v="2001-06-12T00:00:00"/>
    <n v="2001"/>
    <x v="5"/>
    <s v="R"/>
    <s v="RS"/>
    <x v="15"/>
    <s v="PHX"/>
    <s v="A"/>
    <n v="2"/>
    <n v="1"/>
    <n v="1"/>
    <n v="-1"/>
    <n v="8"/>
    <n v="-8"/>
    <n v="1559.343791492317"/>
    <n v="1500.2019179089032"/>
    <n v="0.48725489280962764"/>
    <n v="64"/>
    <n v="78"/>
    <n v="0"/>
    <n v="-14"/>
    <n v="0"/>
    <n v="0.46470515874092144"/>
    <n v="1"/>
    <n v="75.099999999999994"/>
    <n v="75.099999999999994"/>
    <n v="-17.004882659510187"/>
    <n v="1542.3389088328067"/>
    <n v="0"/>
    <n v="1"/>
    <n v="0"/>
    <n v="0"/>
    <n v="0"/>
    <n v="0"/>
    <n v="0"/>
    <n v="0"/>
    <n v="0"/>
    <n v="0"/>
  </r>
  <r>
    <d v="2001-06-12T00:00:00"/>
    <n v="2001"/>
    <x v="6"/>
    <s v="R"/>
    <s v="RS"/>
    <x v="3"/>
    <s v="SAC"/>
    <s v="H"/>
    <n v="1"/>
    <n v="2"/>
    <n v="-1"/>
    <n v="1"/>
    <n v="-8"/>
    <n v="8"/>
    <n v="1500.2019179089032"/>
    <n v="1559.343791492317"/>
    <n v="0.51274510719037236"/>
    <n v="78"/>
    <n v="64"/>
    <n v="0"/>
    <n v="14"/>
    <n v="1"/>
    <n v="0.46470515874092144"/>
    <n v="1"/>
    <n v="74.95"/>
    <n v="74.95"/>
    <n v="16.970918180163633"/>
    <n v="1517.1728360890668"/>
    <n v="1"/>
    <n v="0"/>
    <n v="0"/>
    <n v="0"/>
    <n v="0"/>
    <n v="0"/>
    <n v="0"/>
    <n v="0"/>
    <n v="0"/>
    <n v="0"/>
  </r>
  <r>
    <d v="2001-06-12T00:00:00"/>
    <n v="2001"/>
    <x v="5"/>
    <s v="R"/>
    <s v="RS"/>
    <x v="5"/>
    <s v="POR"/>
    <s v="A"/>
    <n v="2"/>
    <n v="7"/>
    <n v="-5"/>
    <n v="5"/>
    <n v="-16"/>
    <n v="16"/>
    <n v="1532.5706142984177"/>
    <n v="1455.0418894337977"/>
    <n v="0.44486055483794862"/>
    <n v="62"/>
    <n v="67"/>
    <n v="0"/>
    <n v="-5"/>
    <n v="0"/>
    <n v="0.31162287219466217"/>
    <n v="1"/>
    <n v="75.099999999999994"/>
    <n v="75.099999999999994"/>
    <n v="-10.411017159235913"/>
    <n v="1522.1595971391819"/>
    <n v="0"/>
    <n v="1"/>
    <n v="0"/>
    <n v="0"/>
    <n v="0"/>
    <n v="0"/>
    <n v="0"/>
    <n v="0"/>
    <n v="0"/>
    <n v="0"/>
  </r>
  <r>
    <d v="2001-06-12T00:00:00"/>
    <n v="2001"/>
    <x v="3"/>
    <s v="R"/>
    <s v="RS"/>
    <x v="10"/>
    <s v="CLE"/>
    <s v="H"/>
    <n v="7"/>
    <n v="2"/>
    <n v="5"/>
    <n v="-5"/>
    <n v="16"/>
    <n v="-16"/>
    <n v="1455.0418894337977"/>
    <n v="1532.5706142984177"/>
    <n v="0.55513944516205149"/>
    <n v="67"/>
    <n v="62"/>
    <n v="0"/>
    <n v="5"/>
    <n v="1"/>
    <n v="0.31162287219466217"/>
    <n v="1"/>
    <n v="75.400000000000006"/>
    <n v="75.400000000000006"/>
    <n v="10.452605776383326"/>
    <n v="1465.494495210181"/>
    <n v="1"/>
    <n v="0"/>
    <n v="0"/>
    <n v="0"/>
    <n v="0"/>
    <n v="0"/>
    <n v="0"/>
    <n v="0"/>
    <n v="0"/>
    <n v="0"/>
  </r>
  <r>
    <d v="2001-06-12T00:00:00"/>
    <n v="2001"/>
    <x v="4"/>
    <s v="R"/>
    <s v="RS"/>
    <x v="12"/>
    <s v="SEA"/>
    <s v="A"/>
    <n v="2"/>
    <n v="2"/>
    <n v="0"/>
    <n v="0"/>
    <n v="0"/>
    <n v="0"/>
    <n v="1465.7427443886911"/>
    <n v="1433.2053177709299"/>
    <n v="0.4264763191548675"/>
    <n v="63"/>
    <n v="70"/>
    <n v="0"/>
    <n v="-7"/>
    <n v="0"/>
    <n v="0.36033681200523798"/>
    <n v="1"/>
    <n v="75.25"/>
    <n v="75.25"/>
    <n v="-11.564052572309501"/>
    <n v="1454.1786918163816"/>
    <n v="0"/>
    <n v="1"/>
    <n v="0"/>
    <n v="0"/>
    <n v="0"/>
    <n v="0"/>
    <n v="0"/>
    <n v="0"/>
    <n v="0"/>
    <n v="0"/>
  </r>
  <r>
    <d v="2001-06-12T00:00:00"/>
    <n v="2001"/>
    <x v="5"/>
    <s v="R"/>
    <s v="RS"/>
    <x v="11"/>
    <s v="ORL"/>
    <s v="H"/>
    <n v="2"/>
    <n v="2"/>
    <n v="0"/>
    <n v="0"/>
    <n v="0"/>
    <n v="0"/>
    <n v="1433.2053177709299"/>
    <n v="1465.7427443886911"/>
    <n v="0.5735236808451325"/>
    <n v="70"/>
    <n v="63"/>
    <n v="0"/>
    <n v="7"/>
    <n v="1"/>
    <n v="0.36033681200523798"/>
    <n v="1"/>
    <n v="75.099999999999994"/>
    <n v="75.099999999999994"/>
    <n v="11.541001304723501"/>
    <n v="1444.7463190756534"/>
    <n v="1"/>
    <n v="0"/>
    <n v="0"/>
    <n v="0"/>
    <n v="0"/>
    <n v="0"/>
    <n v="0"/>
    <n v="0"/>
    <n v="0"/>
    <n v="0"/>
  </r>
  <r>
    <d v="2001-06-14T00:00:00"/>
    <n v="2001"/>
    <x v="5"/>
    <s v="R"/>
    <s v="RS"/>
    <x v="2"/>
    <s v="CHA"/>
    <s v="A"/>
    <n v="4"/>
    <n v="1"/>
    <n v="3"/>
    <n v="-3"/>
    <n v="16"/>
    <n v="-16"/>
    <n v="1512.3394599783157"/>
    <n v="1405.2075247649814"/>
    <n v="0.57868193161147841"/>
    <n v="73"/>
    <n v="59"/>
    <n v="0"/>
    <n v="14"/>
    <n v="1"/>
    <n v="0.44764396651775146"/>
    <n v="1"/>
    <n v="75.099999999999994"/>
    <n v="75.099999999999994"/>
    <n v="14.163896896557532"/>
    <n v="1526.5033568748734"/>
    <n v="1"/>
    <n v="0"/>
    <n v="0"/>
    <n v="0"/>
    <n v="0"/>
    <n v="0"/>
    <n v="0"/>
    <n v="0"/>
    <n v="0"/>
    <n v="0"/>
  </r>
  <r>
    <d v="2001-06-14T00:00:00"/>
    <n v="2001"/>
    <x v="5"/>
    <s v="R"/>
    <s v="RS"/>
    <x v="13"/>
    <s v="UTA"/>
    <s v="H"/>
    <n v="1"/>
    <n v="4"/>
    <n v="-3"/>
    <n v="3"/>
    <n v="-16"/>
    <n v="16"/>
    <n v="1405.2075247649814"/>
    <n v="1512.3394599783157"/>
    <n v="0.42131806838852148"/>
    <n v="59"/>
    <n v="73"/>
    <n v="0"/>
    <n v="-14"/>
    <n v="0"/>
    <n v="0.44764396651775146"/>
    <n v="1"/>
    <n v="75.099999999999994"/>
    <n v="75.099999999999994"/>
    <n v="-14.163896896557528"/>
    <n v="1391.0436278684238"/>
    <n v="0"/>
    <n v="1"/>
    <n v="0"/>
    <n v="0"/>
    <n v="0"/>
    <n v="0"/>
    <n v="0"/>
    <n v="0"/>
    <n v="0"/>
    <n v="0"/>
  </r>
  <r>
    <d v="2001-06-14T00:00:00"/>
    <n v="2001"/>
    <x v="4"/>
    <s v="R"/>
    <s v="RS"/>
    <x v="4"/>
    <s v="DET"/>
    <s v="A"/>
    <n v="3"/>
    <n v="1"/>
    <n v="2"/>
    <n v="-2"/>
    <n v="16"/>
    <n v="-16"/>
    <n v="1447.8867987724343"/>
    <n v="1438.3627546646724"/>
    <n v="0.43917492361724109"/>
    <n v="65"/>
    <n v="80"/>
    <n v="0"/>
    <n v="-15"/>
    <n v="0"/>
    <n v="0.49888849799562562"/>
    <n v="1"/>
    <n v="75.25"/>
    <n v="75.25"/>
    <n v="-16.487223679556362"/>
    <n v="1431.399575092878"/>
    <n v="0"/>
    <n v="1"/>
    <n v="0"/>
    <n v="0"/>
    <n v="0"/>
    <n v="0"/>
    <n v="0"/>
    <n v="0"/>
    <n v="0"/>
    <n v="0"/>
  </r>
  <r>
    <d v="2001-06-14T00:00:00"/>
    <n v="2001"/>
    <x v="4"/>
    <s v="R"/>
    <s v="RS"/>
    <x v="14"/>
    <s v="WAS"/>
    <s v="H"/>
    <n v="1"/>
    <n v="3"/>
    <n v="-2"/>
    <n v="2"/>
    <n v="-16"/>
    <n v="16"/>
    <n v="1438.3627546646724"/>
    <n v="1447.8867987724343"/>
    <n v="0.56082507638275891"/>
    <n v="80"/>
    <n v="65"/>
    <n v="0"/>
    <n v="15"/>
    <n v="1"/>
    <n v="0.49888849799562562"/>
    <n v="1"/>
    <n v="75.25"/>
    <n v="75.25"/>
    <n v="16.487223679556362"/>
    <n v="1454.8499783442287"/>
    <n v="1"/>
    <n v="0"/>
    <n v="0"/>
    <n v="0"/>
    <n v="0"/>
    <n v="0"/>
    <n v="0"/>
    <n v="0"/>
    <n v="0"/>
    <n v="0"/>
  </r>
  <r>
    <d v="2001-06-14T00:00:00"/>
    <n v="2001"/>
    <x v="5"/>
    <s v="R"/>
    <s v="RS"/>
    <x v="12"/>
    <s v="LAS"/>
    <s v="A"/>
    <n v="1"/>
    <n v="4"/>
    <n v="-3"/>
    <n v="3"/>
    <n v="-16"/>
    <n v="16"/>
    <n v="1454.1786918163816"/>
    <n v="1658.9857174863575"/>
    <n v="0.1362592096516056"/>
    <n v="68"/>
    <n v="84"/>
    <n v="0"/>
    <n v="-16"/>
    <n v="0"/>
    <n v="0.44229792945386592"/>
    <n v="1"/>
    <n v="75.099999999999994"/>
    <n v="75.099999999999994"/>
    <n v="-4.5260641889741953"/>
    <n v="1449.6526276274074"/>
    <n v="0"/>
    <n v="1"/>
    <n v="0"/>
    <n v="0"/>
    <n v="0"/>
    <n v="0"/>
    <n v="0"/>
    <n v="0"/>
    <n v="0"/>
    <n v="0"/>
  </r>
  <r>
    <d v="2001-06-14T00:00:00"/>
    <n v="2001"/>
    <x v="5"/>
    <s v="R"/>
    <s v="RS"/>
    <x v="0"/>
    <s v="ORL"/>
    <s v="H"/>
    <n v="4"/>
    <n v="1"/>
    <n v="3"/>
    <n v="-3"/>
    <n v="16"/>
    <n v="-16"/>
    <n v="1658.9857174863575"/>
    <n v="1454.1786918163816"/>
    <n v="0.86374079034839446"/>
    <n v="84"/>
    <n v="68"/>
    <n v="0"/>
    <n v="16"/>
    <n v="1"/>
    <n v="0.44229792945386592"/>
    <n v="1"/>
    <n v="75.099999999999994"/>
    <n v="75.099999999999994"/>
    <n v="4.5260641889741935"/>
    <n v="1663.5117816753318"/>
    <n v="1"/>
    <n v="0"/>
    <n v="0"/>
    <n v="0"/>
    <n v="0"/>
    <n v="0"/>
    <n v="0"/>
    <n v="0"/>
    <n v="0"/>
    <n v="0"/>
  </r>
  <r>
    <d v="2001-06-14T00:00:00"/>
    <n v="2001"/>
    <x v="7"/>
    <s v="R"/>
    <s v="RS"/>
    <x v="3"/>
    <s v="SAC"/>
    <s v="A"/>
    <n v="1"/>
    <n v="1"/>
    <n v="0"/>
    <n v="0"/>
    <n v="0"/>
    <n v="0"/>
    <n v="1517.1728360890668"/>
    <n v="1542.3389088328067"/>
    <n v="0.34787105542544489"/>
    <n v="59"/>
    <n v="81"/>
    <n v="0"/>
    <n v="-22"/>
    <n v="0"/>
    <n v="0.58968936673724015"/>
    <n v="1"/>
    <n v="74.8"/>
    <n v="74.8"/>
    <n v="-15.344162506027438"/>
    <n v="1501.8286735830393"/>
    <n v="0"/>
    <n v="1"/>
    <n v="0"/>
    <n v="0"/>
    <n v="0"/>
    <n v="0"/>
    <n v="0"/>
    <n v="0"/>
    <n v="0"/>
    <n v="0"/>
  </r>
  <r>
    <d v="2001-06-14T00:00:00"/>
    <n v="2001"/>
    <x v="6"/>
    <s v="R"/>
    <s v="RS"/>
    <x v="15"/>
    <s v="PHX"/>
    <s v="H"/>
    <n v="1"/>
    <n v="1"/>
    <n v="0"/>
    <n v="0"/>
    <n v="0"/>
    <n v="0"/>
    <n v="1542.3389088328067"/>
    <n v="1517.1728360890668"/>
    <n v="0.65212894457455517"/>
    <n v="81"/>
    <n v="59"/>
    <n v="0"/>
    <n v="22"/>
    <n v="1"/>
    <n v="0.58968936673724015"/>
    <n v="1"/>
    <n v="74.95"/>
    <n v="74.95"/>
    <n v="15.374932885384442"/>
    <n v="1557.7138417181911"/>
    <n v="1"/>
    <n v="0"/>
    <n v="0"/>
    <n v="0"/>
    <n v="0"/>
    <n v="0"/>
    <n v="0"/>
    <n v="0"/>
    <n v="0"/>
    <n v="0"/>
  </r>
  <r>
    <d v="2001-06-14T00:00:00"/>
    <n v="2001"/>
    <x v="6"/>
    <s v="R"/>
    <s v="RS"/>
    <x v="5"/>
    <s v="SEA"/>
    <s v="A"/>
    <n v="1"/>
    <n v="1"/>
    <n v="0"/>
    <n v="0"/>
    <n v="0"/>
    <n v="0"/>
    <n v="1522.1595971391819"/>
    <n v="1444.7463190756534"/>
    <n v="0.490522080619749"/>
    <n v="58"/>
    <n v="36"/>
    <n v="0"/>
    <n v="22"/>
    <n v="1"/>
    <n v="0.56557060897270384"/>
    <n v="1"/>
    <n v="74.95"/>
    <n v="74.95"/>
    <n v="21.5965229972965"/>
    <n v="1543.7561201364783"/>
    <n v="1"/>
    <n v="0"/>
    <n v="0"/>
    <n v="0"/>
    <n v="0"/>
    <n v="0"/>
    <n v="0"/>
    <n v="0"/>
    <n v="0"/>
    <n v="0"/>
  </r>
  <r>
    <d v="2001-06-14T00:00:00"/>
    <n v="2001"/>
    <x v="6"/>
    <s v="R"/>
    <s v="RS"/>
    <x v="11"/>
    <s v="CLE"/>
    <s v="H"/>
    <n v="1"/>
    <n v="1"/>
    <n v="0"/>
    <n v="0"/>
    <n v="0"/>
    <n v="0"/>
    <n v="1444.7463190756534"/>
    <n v="1522.1595971391819"/>
    <n v="0.509477919380251"/>
    <n v="36"/>
    <n v="58"/>
    <n v="0"/>
    <n v="-22"/>
    <n v="0"/>
    <n v="0.56557060897270384"/>
    <n v="1"/>
    <n v="74.95"/>
    <n v="74.95"/>
    <n v="-21.5965229972965"/>
    <n v="1423.149796078357"/>
    <n v="0"/>
    <n v="1"/>
    <n v="0"/>
    <n v="0"/>
    <n v="0"/>
    <n v="0"/>
    <n v="0"/>
    <n v="0"/>
    <n v="0"/>
    <n v="0"/>
  </r>
  <r>
    <d v="2001-06-16T00:00:00"/>
    <n v="2001"/>
    <x v="5"/>
    <s v="R"/>
    <s v="RS"/>
    <x v="14"/>
    <s v="CHA"/>
    <s v="A"/>
    <n v="1"/>
    <n v="1"/>
    <n v="0"/>
    <n v="0"/>
    <n v="0"/>
    <n v="0"/>
    <n v="1454.8499783442287"/>
    <n v="1391.0436278684238"/>
    <n v="0.47097168240634801"/>
    <n v="72"/>
    <n v="69"/>
    <n v="1"/>
    <n v="3"/>
    <n v="1"/>
    <n v="0.24797960753133955"/>
    <n v="1"/>
    <n v="75.099999999999994"/>
    <n v="75.099999999999994"/>
    <n v="9.8522364161948843"/>
    <n v="1464.7022147604237"/>
    <n v="1"/>
    <n v="0"/>
    <n v="0"/>
    <n v="0"/>
    <n v="0"/>
    <n v="0"/>
    <n v="0"/>
    <n v="0"/>
    <n v="0"/>
    <n v="0"/>
  </r>
  <r>
    <d v="2001-06-16T00:00:00"/>
    <n v="2001"/>
    <x v="6"/>
    <s v="R"/>
    <s v="RS"/>
    <x v="13"/>
    <s v="DET"/>
    <s v="H"/>
    <n v="1"/>
    <n v="1"/>
    <n v="0"/>
    <n v="0"/>
    <n v="0"/>
    <n v="0"/>
    <n v="1391.0436278684238"/>
    <n v="1454.8499783442287"/>
    <n v="0.52902831759365188"/>
    <n v="69"/>
    <n v="72"/>
    <n v="1"/>
    <n v="-3"/>
    <n v="0"/>
    <n v="0.24797960753133955"/>
    <n v="1"/>
    <n v="74.95"/>
    <n v="74.95"/>
    <n v="-9.8325581810094071"/>
    <n v="1381.2110696874142"/>
    <n v="0"/>
    <n v="1"/>
    <n v="0"/>
    <n v="0"/>
    <n v="0"/>
    <n v="0"/>
    <n v="0"/>
    <n v="0"/>
    <n v="0"/>
    <n v="0"/>
  </r>
  <r>
    <d v="2001-06-16T00:00:00"/>
    <n v="2001"/>
    <x v="5"/>
    <s v="R"/>
    <s v="RS"/>
    <x v="8"/>
    <s v="CLE"/>
    <s v="A"/>
    <n v="3"/>
    <n v="1"/>
    <n v="2"/>
    <n v="-2"/>
    <n v="16"/>
    <n v="-16"/>
    <n v="1508.281756578423"/>
    <n v="1543.7561201364783"/>
    <n v="0.3767084328335456"/>
    <n v="53"/>
    <n v="70"/>
    <n v="0"/>
    <n v="-17"/>
    <n v="0"/>
    <n v="0.51715397886390324"/>
    <n v="1"/>
    <n v="75.099999999999994"/>
    <n v="75.099999999999994"/>
    <n v="-14.630701494850161"/>
    <n v="1493.6510550835728"/>
    <n v="0"/>
    <n v="1"/>
    <n v="0"/>
    <n v="0"/>
    <n v="0"/>
    <n v="0"/>
    <n v="0"/>
    <n v="0"/>
    <n v="0"/>
    <n v="0"/>
  </r>
  <r>
    <d v="2001-06-16T00:00:00"/>
    <n v="2001"/>
    <x v="7"/>
    <s v="R"/>
    <s v="RS"/>
    <x v="5"/>
    <s v="MIA"/>
    <s v="H"/>
    <n v="1"/>
    <n v="3"/>
    <n v="-2"/>
    <n v="2"/>
    <n v="-16"/>
    <n v="16"/>
    <n v="1543.7561201364783"/>
    <n v="1508.281756578423"/>
    <n v="0.6232915671664544"/>
    <n v="70"/>
    <n v="53"/>
    <n v="0"/>
    <n v="17"/>
    <n v="1"/>
    <n v="0.51715397886390324"/>
    <n v="1"/>
    <n v="74.8"/>
    <n v="74.8"/>
    <n v="14.572256615376725"/>
    <n v="1558.3283767518551"/>
    <n v="1"/>
    <n v="0"/>
    <n v="0"/>
    <n v="0"/>
    <n v="0"/>
    <n v="0"/>
    <n v="0"/>
    <n v="0"/>
    <n v="0"/>
    <n v="0"/>
  </r>
  <r>
    <d v="2001-06-16T00:00:00"/>
    <n v="2001"/>
    <x v="4"/>
    <s v="R"/>
    <s v="RS"/>
    <x v="9"/>
    <s v="IND"/>
    <s v="A"/>
    <n v="3"/>
    <n v="3"/>
    <n v="0"/>
    <n v="0"/>
    <n v="0"/>
    <n v="0"/>
    <n v="1466.948534433852"/>
    <n v="1418.24710904579"/>
    <n v="0.44937533130635243"/>
    <n v="65"/>
    <n v="67"/>
    <n v="0"/>
    <n v="-2"/>
    <n v="0"/>
    <n v="0.25739506533494871"/>
    <n v="1"/>
    <n v="75.25"/>
    <n v="75.25"/>
    <n v="-8.7039412053038383"/>
    <n v="1458.2445932285482"/>
    <n v="0"/>
    <n v="1"/>
    <n v="0"/>
    <n v="0"/>
    <n v="0"/>
    <n v="0"/>
    <n v="0"/>
    <n v="0"/>
    <n v="0"/>
    <n v="0"/>
  </r>
  <r>
    <d v="2001-06-16T00:00:00"/>
    <n v="2001"/>
    <x v="6"/>
    <s v="R"/>
    <s v="RS"/>
    <x v="6"/>
    <s v="MIN"/>
    <s v="H"/>
    <n v="3"/>
    <n v="3"/>
    <n v="0"/>
    <n v="0"/>
    <n v="0"/>
    <n v="0"/>
    <n v="1418.24710904579"/>
    <n v="1466.948534433852"/>
    <n v="0.55062466869364757"/>
    <n v="67"/>
    <n v="65"/>
    <n v="0"/>
    <n v="2"/>
    <n v="1"/>
    <n v="0.25739506533494871"/>
    <n v="1"/>
    <n v="74.95"/>
    <n v="74.95"/>
    <n v="8.6692411074753863"/>
    <n v="1426.9163501532653"/>
    <n v="1"/>
    <n v="0"/>
    <n v="0"/>
    <n v="0"/>
    <n v="0"/>
    <n v="0"/>
    <n v="0"/>
    <n v="0"/>
    <n v="0"/>
    <n v="0"/>
  </r>
  <r>
    <d v="2001-06-16T00:00:00"/>
    <n v="2001"/>
    <x v="5"/>
    <s v="R"/>
    <s v="RS"/>
    <x v="4"/>
    <s v="NYL"/>
    <s v="A"/>
    <n v="1"/>
    <n v="3"/>
    <n v="-2"/>
    <n v="2"/>
    <n v="-16"/>
    <n v="16"/>
    <n v="1431.399575092878"/>
    <n v="1518.4204808540153"/>
    <n v="0.2370932513167221"/>
    <n v="63"/>
    <n v="86"/>
    <n v="0"/>
    <n v="-23"/>
    <n v="0"/>
    <n v="0.5737321901835255"/>
    <n v="1"/>
    <n v="75.099999999999994"/>
    <n v="75.099999999999994"/>
    <n v="-10.215705079711269"/>
    <n v="1421.1838700131666"/>
    <n v="0"/>
    <n v="1"/>
    <n v="0"/>
    <n v="0"/>
    <n v="0"/>
    <n v="0"/>
    <n v="0"/>
    <n v="0"/>
    <n v="0"/>
    <n v="0"/>
  </r>
  <r>
    <d v="2001-06-16T00:00:00"/>
    <n v="2001"/>
    <x v="6"/>
    <s v="R"/>
    <s v="RS"/>
    <x v="7"/>
    <s v="WAS"/>
    <s v="H"/>
    <n v="3"/>
    <n v="1"/>
    <n v="2"/>
    <n v="-2"/>
    <n v="16"/>
    <n v="-16"/>
    <n v="1518.4204808540153"/>
    <n v="1431.399575092878"/>
    <n v="0.7629067486832779"/>
    <n v="86"/>
    <n v="63"/>
    <n v="0"/>
    <n v="23"/>
    <n v="1"/>
    <n v="0.5737321901835255"/>
    <n v="1"/>
    <n v="74.95"/>
    <n v="74.95"/>
    <n v="10.195300875157917"/>
    <n v="1528.6157817291732"/>
    <n v="1"/>
    <n v="0"/>
    <n v="0"/>
    <n v="0"/>
    <n v="0"/>
    <n v="0"/>
    <n v="0"/>
    <n v="0"/>
    <n v="0"/>
    <n v="0"/>
  </r>
  <r>
    <d v="2001-06-16T00:00:00"/>
    <n v="2001"/>
    <x v="6"/>
    <s v="R"/>
    <s v="RS"/>
    <x v="12"/>
    <s v="PHX"/>
    <s v="A"/>
    <n v="1"/>
    <n v="1"/>
    <n v="0"/>
    <n v="0"/>
    <n v="0"/>
    <n v="0"/>
    <n v="1449.6526276274074"/>
    <n v="1501.8286735830393"/>
    <n v="0.31348160596232044"/>
    <n v="68"/>
    <n v="72"/>
    <n v="0"/>
    <n v="-4"/>
    <n v="0"/>
    <n v="0.29845586256958084"/>
    <n v="1"/>
    <n v="74.95"/>
    <n v="74.95"/>
    <n v="-7.0123537118832759"/>
    <n v="1442.6402739155242"/>
    <n v="0"/>
    <n v="1"/>
    <n v="0"/>
    <n v="0"/>
    <n v="0"/>
    <n v="0"/>
    <n v="0"/>
    <n v="0"/>
    <n v="0"/>
    <n v="0"/>
  </r>
  <r>
    <d v="2001-06-16T00:00:00"/>
    <n v="2001"/>
    <x v="8"/>
    <s v="R"/>
    <s v="RS"/>
    <x v="3"/>
    <s v="ORL"/>
    <s v="H"/>
    <n v="1"/>
    <n v="1"/>
    <n v="0"/>
    <n v="0"/>
    <n v="0"/>
    <n v="0"/>
    <n v="1501.8286735830393"/>
    <n v="1449.6526276274074"/>
    <n v="0.68651839403767956"/>
    <n v="72"/>
    <n v="68"/>
    <n v="0"/>
    <n v="4"/>
    <n v="1"/>
    <n v="0.29845586256958084"/>
    <n v="1"/>
    <n v="74.650000000000006"/>
    <n v="74.650000000000006"/>
    <n v="6.9842855849511221"/>
    <n v="1508.8129591679904"/>
    <n v="1"/>
    <n v="0"/>
    <n v="0"/>
    <n v="0"/>
    <n v="0"/>
    <n v="0"/>
    <n v="0"/>
    <n v="0"/>
    <n v="0"/>
    <n v="0"/>
  </r>
  <r>
    <d v="2001-06-16T00:00:00"/>
    <n v="2001"/>
    <x v="4"/>
    <s v="R"/>
    <s v="RS"/>
    <x v="10"/>
    <s v="SAC"/>
    <s v="A"/>
    <n v="3"/>
    <n v="1"/>
    <n v="2"/>
    <n v="-2"/>
    <n v="16"/>
    <n v="-16"/>
    <n v="1465.494495210181"/>
    <n v="1557.7138417181911"/>
    <n v="0.30360420083822837"/>
    <n v="81"/>
    <n v="74"/>
    <n v="1"/>
    <n v="7"/>
    <n v="1"/>
    <n v="0.30932499762233506"/>
    <n v="1"/>
    <n v="75.25"/>
    <n v="75.25"/>
    <n v="16.209800326223917"/>
    <n v="1481.704295536405"/>
    <n v="1"/>
    <n v="0"/>
    <n v="0"/>
    <n v="0"/>
    <n v="0"/>
    <n v="0"/>
    <n v="0"/>
    <n v="0"/>
    <n v="0"/>
    <n v="0"/>
  </r>
  <r>
    <d v="2001-06-16T00:00:00"/>
    <n v="2001"/>
    <x v="7"/>
    <s v="R"/>
    <s v="RS"/>
    <x v="15"/>
    <s v="POR"/>
    <s v="H"/>
    <n v="1"/>
    <n v="3"/>
    <n v="-2"/>
    <n v="2"/>
    <n v="-16"/>
    <n v="16"/>
    <n v="1557.7138417181911"/>
    <n v="1465.494495210181"/>
    <n v="0.69639579916177163"/>
    <n v="74"/>
    <n v="81"/>
    <n v="1"/>
    <n v="-7"/>
    <n v="0"/>
    <n v="0.30932499762233506"/>
    <n v="1"/>
    <n v="74.8"/>
    <n v="74.8"/>
    <n v="-16.112864643209949"/>
    <n v="1541.6009770749811"/>
    <n v="0"/>
    <n v="1"/>
    <n v="0"/>
    <n v="0"/>
    <n v="0"/>
    <n v="0"/>
    <n v="0"/>
    <n v="0"/>
    <n v="0"/>
    <n v="0"/>
  </r>
  <r>
    <d v="2001-06-16T00:00:00"/>
    <n v="2001"/>
    <x v="6"/>
    <s v="R"/>
    <s v="RS"/>
    <x v="0"/>
    <s v="SEA"/>
    <s v="A"/>
    <n v="1"/>
    <n v="1"/>
    <n v="0"/>
    <n v="0"/>
    <n v="0"/>
    <n v="0"/>
    <n v="1663.5117816753318"/>
    <n v="1423.149796078357"/>
    <n v="0.71096839654583222"/>
    <n v="73"/>
    <n v="60"/>
    <n v="0"/>
    <n v="13"/>
    <n v="1"/>
    <n v="0.39327093636268684"/>
    <n v="1"/>
    <n v="74.95"/>
    <n v="74.95"/>
    <n v="8.5193963131957613"/>
    <n v="1672.0311779885276"/>
    <n v="1"/>
    <n v="0"/>
    <n v="0"/>
    <n v="0"/>
    <n v="0"/>
    <n v="0"/>
    <n v="0"/>
    <n v="0"/>
    <n v="0"/>
    <n v="0"/>
  </r>
  <r>
    <d v="2001-06-16T00:00:00"/>
    <n v="2001"/>
    <x v="7"/>
    <s v="R"/>
    <s v="RS"/>
    <x v="11"/>
    <s v="LAS"/>
    <s v="H"/>
    <n v="1"/>
    <n v="1"/>
    <n v="0"/>
    <n v="0"/>
    <n v="0"/>
    <n v="0"/>
    <n v="1423.149796078357"/>
    <n v="1663.5117816753318"/>
    <n v="0.28903160345416778"/>
    <n v="60"/>
    <n v="73"/>
    <n v="0"/>
    <n v="-13"/>
    <n v="0"/>
    <n v="0.39327093636268684"/>
    <n v="1"/>
    <n v="74.8"/>
    <n v="74.8"/>
    <n v="-8.5023461537964344"/>
    <n v="1414.6474499245605"/>
    <n v="0"/>
    <n v="1"/>
    <n v="0"/>
    <n v="0"/>
    <n v="0"/>
    <n v="0"/>
    <n v="0"/>
    <n v="0"/>
    <n v="0"/>
    <n v="0"/>
  </r>
  <r>
    <d v="2001-06-17T00:00:00"/>
    <n v="2001"/>
    <x v="5"/>
    <s v="R"/>
    <s v="RS"/>
    <x v="9"/>
    <s v="DET"/>
    <s v="A"/>
    <n v="0"/>
    <n v="0"/>
    <n v="0"/>
    <n v="0"/>
    <n v="0"/>
    <n v="0"/>
    <n v="1458.2445932285482"/>
    <n v="1464.7022147604237"/>
    <n v="0.37268484120344164"/>
    <n v="71"/>
    <n v="63"/>
    <n v="0"/>
    <n v="8"/>
    <n v="1"/>
    <n v="0.38623705771939132"/>
    <n v="1"/>
    <n v="75.099999999999994"/>
    <n v="75.099999999999994"/>
    <n v="18.196156325846296"/>
    <n v="1476.4407495543944"/>
    <n v="1"/>
    <n v="0"/>
    <n v="0"/>
    <n v="0"/>
    <n v="0"/>
    <n v="0"/>
    <n v="0"/>
    <n v="0"/>
    <n v="0"/>
    <n v="0"/>
  </r>
  <r>
    <d v="2001-06-17T00:00:00"/>
    <n v="2001"/>
    <x v="6"/>
    <s v="R"/>
    <s v="RS"/>
    <x v="14"/>
    <s v="MIN"/>
    <s v="H"/>
    <n v="0"/>
    <n v="0"/>
    <n v="0"/>
    <n v="0"/>
    <n v="0"/>
    <n v="0"/>
    <n v="1464.7022147604237"/>
    <n v="1458.2445932285482"/>
    <n v="0.62731515879655841"/>
    <n v="63"/>
    <n v="71"/>
    <n v="0"/>
    <n v="-8"/>
    <n v="0"/>
    <n v="0.38623705771939132"/>
    <n v="1"/>
    <n v="74.95"/>
    <n v="74.95"/>
    <n v="-18.159812471666843"/>
    <n v="1446.5424022887569"/>
    <n v="0"/>
    <n v="1"/>
    <n v="0"/>
    <n v="0"/>
    <n v="0"/>
    <n v="0"/>
    <n v="0"/>
    <n v="0"/>
    <n v="0"/>
    <n v="0"/>
  </r>
  <r>
    <d v="2001-06-17T00:00:00"/>
    <n v="2001"/>
    <x v="5"/>
    <s v="R"/>
    <s v="RS"/>
    <x v="10"/>
    <s v="LAS"/>
    <s v="A"/>
    <n v="0"/>
    <n v="0"/>
    <n v="0"/>
    <n v="0"/>
    <n v="0"/>
    <n v="0"/>
    <n v="1481.704295536405"/>
    <n v="1672.0311779885276"/>
    <n v="0.17091554567100586"/>
    <n v="75"/>
    <n v="90"/>
    <n v="0"/>
    <n v="-15"/>
    <n v="0"/>
    <n v="0.43401134026141186"/>
    <n v="1"/>
    <n v="75.099999999999994"/>
    <n v="75.099999999999994"/>
    <n v="-5.5708643071186037"/>
    <n v="1476.1334312292863"/>
    <n v="0"/>
    <n v="1"/>
    <n v="0"/>
    <n v="0"/>
    <n v="0"/>
    <n v="0"/>
    <n v="0"/>
    <n v="0"/>
    <n v="0"/>
    <n v="0"/>
  </r>
  <r>
    <d v="2001-06-17T00:00:00"/>
    <n v="2001"/>
    <x v="7"/>
    <s v="R"/>
    <s v="RS"/>
    <x v="0"/>
    <s v="POR"/>
    <s v="H"/>
    <n v="0"/>
    <n v="0"/>
    <n v="0"/>
    <n v="0"/>
    <n v="0"/>
    <n v="0"/>
    <n v="1672.0311779885276"/>
    <n v="1481.704295536405"/>
    <n v="0.82908445432899414"/>
    <n v="90"/>
    <n v="75"/>
    <n v="0"/>
    <n v="15"/>
    <n v="1"/>
    <n v="0.43401134026141186"/>
    <n v="1"/>
    <n v="74.8"/>
    <n v="74.8"/>
    <n v="5.5486105216041484"/>
    <n v="1677.5797885101317"/>
    <n v="1"/>
    <n v="0"/>
    <n v="0"/>
    <n v="0"/>
    <n v="0"/>
    <n v="0"/>
    <n v="0"/>
    <n v="0"/>
    <n v="0"/>
    <n v="0"/>
  </r>
  <r>
    <d v="2001-06-17T00:00:00"/>
    <n v="2001"/>
    <x v="7"/>
    <s v="R"/>
    <s v="RS"/>
    <x v="7"/>
    <s v="MIA"/>
    <s v="A"/>
    <n v="0"/>
    <n v="0"/>
    <n v="0"/>
    <n v="0"/>
    <n v="0"/>
    <n v="0"/>
    <n v="1528.6157817291732"/>
    <n v="1493.6510550835728"/>
    <n v="0.42989741113249785"/>
    <n v="55"/>
    <n v="48"/>
    <n v="0"/>
    <n v="7"/>
    <n v="1"/>
    <n v="0.35962857675370369"/>
    <n v="1"/>
    <n v="74.8"/>
    <n v="74.8"/>
    <n v="15.335883661324022"/>
    <n v="1543.9516653904973"/>
    <n v="1"/>
    <n v="0"/>
    <n v="0"/>
    <n v="0"/>
    <n v="0"/>
    <n v="0"/>
    <n v="0"/>
    <n v="0"/>
    <n v="0"/>
    <n v="0"/>
  </r>
  <r>
    <d v="2001-06-17T00:00:00"/>
    <n v="2001"/>
    <x v="6"/>
    <s v="R"/>
    <s v="RS"/>
    <x v="8"/>
    <s v="NYL"/>
    <s v="H"/>
    <n v="0"/>
    <n v="0"/>
    <n v="0"/>
    <n v="0"/>
    <n v="0"/>
    <n v="0"/>
    <n v="1493.6510550835728"/>
    <n v="1528.6157817291732"/>
    <n v="0.5701025888675022"/>
    <n v="48"/>
    <n v="55"/>
    <n v="0"/>
    <n v="-7"/>
    <n v="0"/>
    <n v="0.35962857675370369"/>
    <n v="1"/>
    <n v="74.95"/>
    <n v="74.95"/>
    <n v="-15.366637438719726"/>
    <n v="1478.2844176448532"/>
    <n v="0"/>
    <n v="1"/>
    <n v="0"/>
    <n v="0"/>
    <n v="0"/>
    <n v="0"/>
    <n v="0"/>
    <n v="0"/>
    <n v="0"/>
    <n v="0"/>
  </r>
  <r>
    <d v="2001-06-17T00:00:00"/>
    <n v="2001"/>
    <x v="8"/>
    <s v="R"/>
    <s v="RS"/>
    <x v="5"/>
    <s v="WAS"/>
    <s v="A"/>
    <n v="0"/>
    <n v="0"/>
    <n v="0"/>
    <n v="0"/>
    <n v="0"/>
    <n v="0"/>
    <n v="1558.3283767518551"/>
    <n v="1421.1838700131666"/>
    <n v="0.57589013623464336"/>
    <n v="57"/>
    <n v="55"/>
    <n v="0"/>
    <n v="2"/>
    <n v="1"/>
    <n v="0.24037011957333293"/>
    <n v="1"/>
    <n v="74.650000000000006"/>
    <n v="74.650000000000006"/>
    <n v="7.6100702313802255"/>
    <n v="1565.9384469832353"/>
    <n v="1"/>
    <n v="0"/>
    <n v="0"/>
    <n v="0"/>
    <n v="0"/>
    <n v="0"/>
    <n v="0"/>
    <n v="0"/>
    <n v="0"/>
    <n v="0"/>
  </r>
  <r>
    <d v="2001-06-17T00:00:00"/>
    <n v="2001"/>
    <x v="6"/>
    <s v="R"/>
    <s v="RS"/>
    <x v="4"/>
    <s v="CLE"/>
    <s v="H"/>
    <n v="0"/>
    <n v="0"/>
    <n v="0"/>
    <n v="0"/>
    <n v="0"/>
    <n v="0"/>
    <n v="1421.1838700131666"/>
    <n v="1558.3283767518551"/>
    <n v="0.4241098637653567"/>
    <n v="55"/>
    <n v="57"/>
    <n v="0"/>
    <n v="-2"/>
    <n v="0"/>
    <n v="0.24037011957333293"/>
    <n v="1"/>
    <n v="74.95"/>
    <n v="74.95"/>
    <n v="-7.6406532329798784"/>
    <n v="1413.5432167801866"/>
    <n v="0"/>
    <n v="1"/>
    <n v="0"/>
    <n v="0"/>
    <n v="0"/>
    <n v="0"/>
    <n v="0"/>
    <n v="0"/>
    <n v="0"/>
    <n v="0"/>
  </r>
  <r>
    <d v="2001-06-18T00:00:00"/>
    <n v="2001"/>
    <x v="7"/>
    <s v="R"/>
    <s v="RS"/>
    <x v="12"/>
    <s v="IND"/>
    <s v="A"/>
    <n v="1"/>
    <n v="1"/>
    <n v="0"/>
    <n v="0"/>
    <n v="0"/>
    <n v="0"/>
    <n v="1442.6402739155242"/>
    <n v="1426.9163501532653"/>
    <n v="0.40298841874028063"/>
    <n v="72"/>
    <n v="65"/>
    <n v="0"/>
    <n v="7"/>
    <n v="1"/>
    <n v="0.36532028226454122"/>
    <n v="1"/>
    <n v="74.8"/>
    <n v="74.8"/>
    <n v="16.313912865698857"/>
    <n v="1458.9541867812231"/>
    <n v="1"/>
    <n v="0"/>
    <n v="0"/>
    <n v="0"/>
    <n v="0"/>
    <n v="0"/>
    <n v="0"/>
    <n v="0"/>
    <n v="0"/>
    <n v="0"/>
  </r>
  <r>
    <d v="2001-06-18T00:00:00"/>
    <n v="2001"/>
    <x v="7"/>
    <s v="R"/>
    <s v="RS"/>
    <x v="6"/>
    <s v="ORL"/>
    <s v="H"/>
    <n v="1"/>
    <n v="1"/>
    <n v="0"/>
    <n v="0"/>
    <n v="0"/>
    <n v="0"/>
    <n v="1426.9163501532653"/>
    <n v="1442.6402739155242"/>
    <n v="0.59701158125971932"/>
    <n v="65"/>
    <n v="72"/>
    <n v="0"/>
    <n v="-7"/>
    <n v="0"/>
    <n v="0.36532028226454122"/>
    <n v="1"/>
    <n v="74.8"/>
    <n v="74.8"/>
    <n v="-16.313912865698853"/>
    <n v="1410.6024372875663"/>
    <n v="0"/>
    <n v="1"/>
    <n v="0"/>
    <n v="0"/>
    <n v="0"/>
    <n v="0"/>
    <n v="0"/>
    <n v="0"/>
    <n v="0"/>
    <n v="0"/>
  </r>
  <r>
    <d v="2001-06-18T00:00:00"/>
    <n v="2001"/>
    <x v="7"/>
    <s v="R"/>
    <s v="RS"/>
    <x v="13"/>
    <s v="SEA"/>
    <s v="A"/>
    <n v="1"/>
    <n v="1"/>
    <n v="0"/>
    <n v="0"/>
    <n v="0"/>
    <n v="0"/>
    <n v="1381.2110696874142"/>
    <n v="1414.6474499245605"/>
    <n v="0.33715058971698386"/>
    <n v="52"/>
    <n v="60"/>
    <n v="0"/>
    <n v="-8"/>
    <n v="0"/>
    <n v="0.37778895569304949"/>
    <n v="1"/>
    <n v="74.8"/>
    <n v="74.8"/>
    <n v="-9.5274083361955402"/>
    <n v="1371.6836613512187"/>
    <n v="0"/>
    <n v="1"/>
    <n v="0"/>
    <n v="0"/>
    <n v="0"/>
    <n v="0"/>
    <n v="0"/>
    <n v="0"/>
    <n v="0"/>
    <n v="0"/>
  </r>
  <r>
    <d v="2001-06-18T00:00:00"/>
    <n v="2001"/>
    <x v="8"/>
    <s v="R"/>
    <s v="RS"/>
    <x v="11"/>
    <s v="CHA"/>
    <s v="H"/>
    <n v="1"/>
    <n v="1"/>
    <n v="0"/>
    <n v="0"/>
    <n v="0"/>
    <n v="0"/>
    <n v="1414.6474499245605"/>
    <n v="1381.2110696874142"/>
    <n v="0.66284941028301614"/>
    <n v="60"/>
    <n v="52"/>
    <n v="0"/>
    <n v="8"/>
    <n v="1"/>
    <n v="0.37778895569304949"/>
    <n v="1"/>
    <n v="74.650000000000006"/>
    <n v="74.650000000000006"/>
    <n v="9.5083025708154683"/>
    <n v="1424.155752495376"/>
    <n v="1"/>
    <n v="0"/>
    <n v="0"/>
    <n v="0"/>
    <n v="0"/>
    <n v="0"/>
    <n v="0"/>
    <n v="0"/>
    <n v="0"/>
    <n v="0"/>
  </r>
  <r>
    <d v="2001-06-19T00:00:00"/>
    <n v="2001"/>
    <x v="8"/>
    <s v="R"/>
    <s v="RS"/>
    <x v="13"/>
    <s v="LAS"/>
    <s v="A"/>
    <n v="0"/>
    <n v="1"/>
    <n v="-1"/>
    <n v="1"/>
    <n v="-8"/>
    <n v="8"/>
    <n v="1371.6836613512187"/>
    <n v="1677.5797885101317"/>
    <n v="8.8142739162411152E-2"/>
    <n v="69"/>
    <n v="73"/>
    <n v="0"/>
    <n v="-4"/>
    <n v="0"/>
    <n v="0.24817069062374822"/>
    <n v="1"/>
    <n v="74.650000000000006"/>
    <n v="74.650000000000006"/>
    <n v="-1.6329272782973441"/>
    <n v="1370.0507340729214"/>
    <n v="0"/>
    <n v="1"/>
    <n v="0"/>
    <n v="0"/>
    <n v="0"/>
    <n v="0"/>
    <n v="0"/>
    <n v="0"/>
    <n v="0"/>
    <n v="0"/>
  </r>
  <r>
    <d v="2001-06-19T00:00:00"/>
    <n v="2001"/>
    <x v="8"/>
    <s v="R"/>
    <s v="RS"/>
    <x v="0"/>
    <s v="CHA"/>
    <s v="H"/>
    <n v="1"/>
    <n v="0"/>
    <n v="1"/>
    <n v="-1"/>
    <n v="8"/>
    <n v="-8"/>
    <n v="1677.5797885101317"/>
    <n v="1371.6836613512187"/>
    <n v="0.91185726083758889"/>
    <n v="73"/>
    <n v="69"/>
    <n v="0"/>
    <n v="4"/>
    <n v="1"/>
    <n v="0.24817069062374822"/>
    <n v="1"/>
    <n v="74.650000000000006"/>
    <n v="74.650000000000006"/>
    <n v="1.6329272782973434"/>
    <n v="1679.212715788429"/>
    <n v="1"/>
    <n v="0"/>
    <n v="0"/>
    <n v="0"/>
    <n v="0"/>
    <n v="0"/>
    <n v="0"/>
    <n v="0"/>
    <n v="0"/>
    <n v="0"/>
  </r>
  <r>
    <d v="2001-06-19T00:00:00"/>
    <n v="2001"/>
    <x v="9"/>
    <s v="R"/>
    <s v="RS"/>
    <x v="11"/>
    <s v="POR"/>
    <s v="A"/>
    <n v="0"/>
    <n v="1"/>
    <n v="-1"/>
    <n v="1"/>
    <n v="-8"/>
    <n v="8"/>
    <n v="1424.155752495376"/>
    <n v="1476.1334312292863"/>
    <n v="0.29424532277908488"/>
    <n v="43"/>
    <n v="58"/>
    <n v="0"/>
    <n v="-15"/>
    <n v="0"/>
    <n v="0.48197155900154337"/>
    <n v="1"/>
    <n v="74.5"/>
    <n v="74.5"/>
    <n v="-10.565431832681718"/>
    <n v="1413.5903206626942"/>
    <n v="0"/>
    <n v="1"/>
    <n v="0"/>
    <n v="0"/>
    <n v="0"/>
    <n v="0"/>
    <n v="0"/>
    <n v="0"/>
    <n v="0"/>
    <n v="0"/>
  </r>
  <r>
    <d v="2001-06-19T00:00:00"/>
    <n v="2001"/>
    <x v="6"/>
    <s v="R"/>
    <s v="RS"/>
    <x v="10"/>
    <s v="SEA"/>
    <s v="H"/>
    <n v="1"/>
    <n v="0"/>
    <n v="1"/>
    <n v="-1"/>
    <n v="8"/>
    <n v="-8"/>
    <n v="1476.1334312292863"/>
    <n v="1424.155752495376"/>
    <n v="0.70575467722091512"/>
    <n v="58"/>
    <n v="43"/>
    <n v="0"/>
    <n v="15"/>
    <n v="1"/>
    <n v="0.48197155900154337"/>
    <n v="1"/>
    <n v="74.95"/>
    <n v="74.95"/>
    <n v="10.629249877308656"/>
    <n v="1486.762681106595"/>
    <n v="1"/>
    <n v="0"/>
    <n v="0"/>
    <n v="0"/>
    <n v="0"/>
    <n v="0"/>
    <n v="0"/>
    <n v="0"/>
    <n v="0"/>
    <n v="0"/>
  </r>
  <r>
    <d v="2001-06-19T00:00:00"/>
    <n v="2001"/>
    <x v="8"/>
    <s v="R"/>
    <s v="RS"/>
    <x v="7"/>
    <s v="SAC"/>
    <s v="A"/>
    <n v="1"/>
    <n v="2"/>
    <n v="-1"/>
    <n v="1"/>
    <n v="-8"/>
    <n v="8"/>
    <n v="1543.9516653904973"/>
    <n v="1541.6009770749811"/>
    <n v="0.36305831795089544"/>
    <n v="65"/>
    <n v="56"/>
    <n v="0"/>
    <n v="9"/>
    <n v="1"/>
    <n v="0.40517782150497778"/>
    <n v="1"/>
    <n v="74.650000000000006"/>
    <n v="74.650000000000006"/>
    <n v="19.265272111772497"/>
    <n v="1563.2169375022697"/>
    <n v="1"/>
    <n v="0"/>
    <n v="0"/>
    <n v="0"/>
    <n v="0"/>
    <n v="0"/>
    <n v="0"/>
    <n v="0"/>
    <n v="0"/>
    <n v="0"/>
  </r>
  <r>
    <d v="2001-06-19T00:00:00"/>
    <n v="2001"/>
    <x v="8"/>
    <s v="R"/>
    <s v="RS"/>
    <x v="15"/>
    <s v="NYL"/>
    <s v="H"/>
    <n v="2"/>
    <n v="1"/>
    <n v="1"/>
    <n v="-1"/>
    <n v="8"/>
    <n v="-8"/>
    <n v="1541.6009770749811"/>
    <n v="1543.9516653904973"/>
    <n v="0.63694168204910451"/>
    <n v="56"/>
    <n v="65"/>
    <n v="0"/>
    <n v="-9"/>
    <n v="0"/>
    <n v="0.40517782150497778"/>
    <n v="1"/>
    <n v="74.650000000000006"/>
    <n v="74.650000000000006"/>
    <n v="-19.265272111772497"/>
    <n v="1522.3357049632086"/>
    <n v="0"/>
    <n v="1"/>
    <n v="0"/>
    <n v="0"/>
    <n v="0"/>
    <n v="0"/>
    <n v="0"/>
    <n v="0"/>
    <n v="0"/>
    <n v="0"/>
  </r>
  <r>
    <d v="2001-06-21T00:00:00"/>
    <n v="2001"/>
    <x v="9"/>
    <s v="R"/>
    <s v="RS"/>
    <x v="0"/>
    <s v="HOU"/>
    <s v="A"/>
    <n v="1"/>
    <n v="10"/>
    <n v="-9"/>
    <n v="9"/>
    <n v="-16"/>
    <n v="16"/>
    <n v="1679.212715788429"/>
    <n v="1678.5638263025967"/>
    <n v="0.3398384166477037"/>
    <n v="65"/>
    <n v="69"/>
    <n v="0"/>
    <n v="-4"/>
    <n v="0"/>
    <n v="0.31126442139524846"/>
    <n v="1"/>
    <n v="74.5"/>
    <n v="74.5"/>
    <n v="-7.8805808053665016"/>
    <n v="1671.3321349830626"/>
    <n v="0"/>
    <n v="1"/>
    <n v="0"/>
    <n v="0"/>
    <n v="0"/>
    <n v="0"/>
    <n v="0"/>
    <n v="0"/>
    <n v="0"/>
    <n v="0"/>
  </r>
  <r>
    <d v="2001-06-21T00:00:00"/>
    <n v="2001"/>
    <x v="6"/>
    <s v="R"/>
    <s v="RS"/>
    <x v="1"/>
    <s v="LAS"/>
    <s v="H"/>
    <n v="10"/>
    <n v="1"/>
    <n v="9"/>
    <n v="-9"/>
    <n v="16"/>
    <n v="-16"/>
    <n v="1678.5638263025967"/>
    <n v="1679.212715788429"/>
    <n v="0.66016158335229636"/>
    <n v="69"/>
    <n v="65"/>
    <n v="0"/>
    <n v="4"/>
    <n v="1"/>
    <n v="0.31126442139524846"/>
    <n v="1"/>
    <n v="74.95"/>
    <n v="74.95"/>
    <n v="7.9281816290230775"/>
    <n v="1686.4920079316198"/>
    <n v="1"/>
    <n v="0"/>
    <n v="0"/>
    <n v="0"/>
    <n v="0"/>
    <n v="0"/>
    <n v="0"/>
    <n v="0"/>
    <n v="0"/>
    <n v="0"/>
  </r>
  <r>
    <d v="2001-06-21T00:00:00"/>
    <n v="2001"/>
    <x v="9"/>
    <s v="R"/>
    <s v="RS"/>
    <x v="7"/>
    <s v="PHX"/>
    <s v="A"/>
    <n v="1"/>
    <n v="4"/>
    <n v="-3"/>
    <n v="3"/>
    <n v="-16"/>
    <n v="16"/>
    <n v="1563.2169375022697"/>
    <n v="1508.8129591679904"/>
    <n v="0.41227338766463928"/>
    <n v="95"/>
    <n v="70"/>
    <n v="0"/>
    <n v="25"/>
    <n v="1"/>
    <n v="0.61352933135191134"/>
    <n v="1"/>
    <n v="74.5"/>
    <n v="74.5"/>
    <n v="26.863769903545922"/>
    <n v="1590.0807074058157"/>
    <n v="1"/>
    <n v="0"/>
    <n v="0"/>
    <n v="0"/>
    <n v="0"/>
    <n v="0"/>
    <n v="0"/>
    <n v="0"/>
    <n v="0"/>
    <n v="0"/>
  </r>
  <r>
    <d v="2001-06-21T00:00:00"/>
    <n v="2001"/>
    <x v="9"/>
    <s v="R"/>
    <s v="RS"/>
    <x v="3"/>
    <s v="NYL"/>
    <s v="H"/>
    <n v="4"/>
    <n v="1"/>
    <n v="3"/>
    <n v="-3"/>
    <n v="16"/>
    <n v="-16"/>
    <n v="1508.8129591679904"/>
    <n v="1563.2169375022697"/>
    <n v="0.58772661233536072"/>
    <n v="70"/>
    <n v="95"/>
    <n v="0"/>
    <n v="-25"/>
    <n v="0"/>
    <n v="0.61352933135191134"/>
    <n v="1"/>
    <n v="74.5"/>
    <n v="74.5"/>
    <n v="-26.863769903545922"/>
    <n v="1481.9491892644444"/>
    <n v="0"/>
    <n v="1"/>
    <n v="0"/>
    <n v="0"/>
    <n v="0"/>
    <n v="0"/>
    <n v="0"/>
    <n v="0"/>
    <n v="0"/>
    <n v="0"/>
  </r>
  <r>
    <d v="2001-06-21T00:00:00"/>
    <n v="2001"/>
    <x v="9"/>
    <s v="R"/>
    <s v="RS"/>
    <x v="15"/>
    <s v="UTA"/>
    <s v="A"/>
    <n v="1"/>
    <n v="6"/>
    <n v="-5"/>
    <n v="5"/>
    <n v="-16"/>
    <n v="16"/>
    <n v="1522.3357049632086"/>
    <n v="1526.5033568748734"/>
    <n v="0.33364597783682043"/>
    <n v="87"/>
    <n v="75"/>
    <n v="0"/>
    <n v="12"/>
    <n v="1"/>
    <n v="0.45455076859347632"/>
    <n v="1"/>
    <n v="74.5"/>
    <n v="74.5"/>
    <n v="22.565434103257264"/>
    <n v="1544.9011390664659"/>
    <n v="1"/>
    <n v="0"/>
    <n v="0"/>
    <n v="0"/>
    <n v="0"/>
    <n v="0"/>
    <n v="0"/>
    <n v="0"/>
    <n v="0"/>
    <n v="0"/>
  </r>
  <r>
    <d v="2001-06-21T00:00:00"/>
    <n v="2001"/>
    <x v="6"/>
    <s v="R"/>
    <s v="RS"/>
    <x v="2"/>
    <s v="SAC"/>
    <s v="H"/>
    <n v="6"/>
    <n v="1"/>
    <n v="5"/>
    <n v="-5"/>
    <n v="16"/>
    <n v="-16"/>
    <n v="1526.5033568748734"/>
    <n v="1522.3357049632086"/>
    <n v="0.66635402216317963"/>
    <n v="75"/>
    <n v="87"/>
    <n v="0"/>
    <n v="-12"/>
    <n v="0"/>
    <n v="0.45455076859347632"/>
    <n v="1"/>
    <n v="74.95"/>
    <n v="74.95"/>
    <n v="-22.701735383075594"/>
    <n v="1503.8016214917977"/>
    <n v="0"/>
    <n v="1"/>
    <n v="0"/>
    <n v="0"/>
    <n v="0"/>
    <n v="0"/>
    <n v="0"/>
    <n v="0"/>
    <n v="0"/>
    <n v="0"/>
  </r>
  <r>
    <d v="2001-06-21T00:00:00"/>
    <n v="2001"/>
    <x v="7"/>
    <s v="R"/>
    <s v="RS"/>
    <x v="8"/>
    <s v="WAS"/>
    <s v="A"/>
    <n v="3"/>
    <n v="3"/>
    <n v="0"/>
    <n v="0"/>
    <n v="0"/>
    <n v="0"/>
    <n v="1478.2844176448532"/>
    <n v="1413.5432167801866"/>
    <n v="0.47231271188673318"/>
    <n v="74"/>
    <n v="63"/>
    <n v="0"/>
    <n v="11"/>
    <n v="1"/>
    <n v="0.41732108035091614"/>
    <n v="1"/>
    <n v="74.8"/>
    <n v="74.8"/>
    <n v="16.47208418138295"/>
    <n v="1494.7565018262362"/>
    <n v="1"/>
    <n v="0"/>
    <n v="0"/>
    <n v="0"/>
    <n v="0"/>
    <n v="0"/>
    <n v="0"/>
    <n v="0"/>
    <n v="0"/>
    <n v="0"/>
  </r>
  <r>
    <d v="2001-06-21T00:00:00"/>
    <n v="2001"/>
    <x v="7"/>
    <s v="R"/>
    <s v="RS"/>
    <x v="4"/>
    <s v="MIA"/>
    <s v="H"/>
    <n v="3"/>
    <n v="3"/>
    <n v="0"/>
    <n v="0"/>
    <n v="0"/>
    <n v="0"/>
    <n v="1413.5432167801866"/>
    <n v="1478.2844176448532"/>
    <n v="0.52768728811326682"/>
    <n v="63"/>
    <n v="74"/>
    <n v="0"/>
    <n v="-11"/>
    <n v="0"/>
    <n v="0.41732108035091614"/>
    <n v="1"/>
    <n v="74.8"/>
    <n v="74.8"/>
    <n v="-16.47208418138295"/>
    <n v="1397.0711325988036"/>
    <n v="0"/>
    <n v="1"/>
    <n v="0"/>
    <n v="0"/>
    <n v="0"/>
    <n v="0"/>
    <n v="0"/>
    <n v="0"/>
    <n v="0"/>
    <n v="0"/>
  </r>
  <r>
    <d v="2001-06-22T00:00:00"/>
    <n v="2001"/>
    <x v="10"/>
    <s v="R"/>
    <s v="RS"/>
    <x v="0"/>
    <s v="CLE"/>
    <s v="A"/>
    <n v="0"/>
    <n v="4"/>
    <n v="-4"/>
    <n v="4"/>
    <n v="-16"/>
    <n v="16"/>
    <n v="1671.3321349830626"/>
    <n v="1565.9384469832353"/>
    <n v="0.48474102982961503"/>
    <n v="70"/>
    <n v="74"/>
    <n v="0"/>
    <n v="-4"/>
    <n v="0"/>
    <n v="0.28628856207913933"/>
    <n v="1"/>
    <n v="74.349999999999994"/>
    <n v="74.349999999999994"/>
    <n v="-10.317981652734181"/>
    <n v="1661.0141533303283"/>
    <n v="0"/>
    <n v="1"/>
    <n v="0"/>
    <n v="0"/>
    <n v="0"/>
    <n v="0"/>
    <n v="0"/>
    <n v="0"/>
    <n v="0"/>
    <n v="0"/>
  </r>
  <r>
    <d v="2001-06-22T00:00:00"/>
    <n v="2001"/>
    <x v="9"/>
    <s v="R"/>
    <s v="RS"/>
    <x v="5"/>
    <s v="LAS"/>
    <s v="H"/>
    <n v="4"/>
    <n v="0"/>
    <n v="4"/>
    <n v="-4"/>
    <n v="16"/>
    <n v="-16"/>
    <n v="1565.9384469832353"/>
    <n v="1671.3321349830626"/>
    <n v="0.51525897017038502"/>
    <n v="74"/>
    <n v="70"/>
    <n v="0"/>
    <n v="4"/>
    <n v="1"/>
    <n v="0.28628856207913933"/>
    <n v="1"/>
    <n v="74.5"/>
    <n v="74.5"/>
    <n v="10.338798024595784"/>
    <n v="1576.277245007831"/>
    <n v="1"/>
    <n v="0"/>
    <n v="0"/>
    <n v="0"/>
    <n v="0"/>
    <n v="0"/>
    <n v="0"/>
    <n v="0"/>
    <n v="0"/>
    <n v="0"/>
  </r>
  <r>
    <d v="2001-06-22T00:00:00"/>
    <n v="2001"/>
    <x v="7"/>
    <s v="R"/>
    <s v="RS"/>
    <x v="14"/>
    <s v="IND"/>
    <s v="A"/>
    <n v="4"/>
    <n v="3"/>
    <n v="1"/>
    <n v="-1"/>
    <n v="8"/>
    <n v="-8"/>
    <n v="1446.5424022887569"/>
    <n v="1410.6024372875663"/>
    <n v="0.45399241005811525"/>
    <n v="56"/>
    <n v="77"/>
    <n v="0"/>
    <n v="-21"/>
    <n v="0"/>
    <n v="0.57146104772508444"/>
    <n v="1"/>
    <n v="74.8"/>
    <n v="74.8"/>
    <n v="-19.406035577666291"/>
    <n v="1427.1363667110907"/>
    <n v="0"/>
    <n v="1"/>
    <n v="0"/>
    <n v="0"/>
    <n v="0"/>
    <n v="0"/>
    <n v="0"/>
    <n v="0"/>
    <n v="0"/>
    <n v="0"/>
  </r>
  <r>
    <d v="2001-06-22T00:00:00"/>
    <n v="2001"/>
    <x v="8"/>
    <s v="R"/>
    <s v="RS"/>
    <x v="6"/>
    <s v="DET"/>
    <s v="H"/>
    <n v="3"/>
    <n v="4"/>
    <n v="-1"/>
    <n v="1"/>
    <n v="-8"/>
    <n v="8"/>
    <n v="1410.6024372875663"/>
    <n v="1446.5424022887569"/>
    <n v="0.5460075899418847"/>
    <n v="77"/>
    <n v="56"/>
    <n v="0"/>
    <n v="21"/>
    <n v="1"/>
    <n v="0.57146104772508444"/>
    <n v="1"/>
    <n v="74.650000000000006"/>
    <n v="74.650000000000006"/>
    <n v="19.36711973091964"/>
    <n v="1429.9695570184861"/>
    <n v="1"/>
    <n v="0"/>
    <n v="0"/>
    <n v="0"/>
    <n v="0"/>
    <n v="0"/>
    <n v="0"/>
    <n v="0"/>
    <n v="0"/>
    <n v="0"/>
  </r>
  <r>
    <d v="2001-06-22T00:00:00"/>
    <n v="2001"/>
    <x v="8"/>
    <s v="R"/>
    <s v="RS"/>
    <x v="8"/>
    <s v="MIN"/>
    <s v="A"/>
    <n v="0"/>
    <n v="4"/>
    <n v="-4"/>
    <n v="4"/>
    <n v="-16"/>
    <n v="16"/>
    <n v="1494.7565018262362"/>
    <n v="1476.4407495543944"/>
    <n v="0.36301181360726148"/>
    <n v="57"/>
    <n v="63"/>
    <n v="0"/>
    <n v="-6"/>
    <n v="0"/>
    <n v="0.34599972340760876"/>
    <n v="1"/>
    <n v="74.650000000000006"/>
    <n v="74.650000000000006"/>
    <n v="-9.3761883371498858"/>
    <n v="1485.3803134890863"/>
    <n v="0"/>
    <n v="1"/>
    <n v="0"/>
    <n v="0"/>
    <n v="0"/>
    <n v="0"/>
    <n v="0"/>
    <n v="0"/>
    <n v="0"/>
    <n v="0"/>
  </r>
  <r>
    <d v="2001-06-22T00:00:00"/>
    <n v="2001"/>
    <x v="6"/>
    <s v="R"/>
    <s v="RS"/>
    <x v="9"/>
    <s v="MIA"/>
    <s v="H"/>
    <n v="4"/>
    <n v="0"/>
    <n v="4"/>
    <n v="-4"/>
    <n v="16"/>
    <n v="-16"/>
    <n v="1476.4407495543944"/>
    <n v="1494.7565018262362"/>
    <n v="0.63698818639273858"/>
    <n v="63"/>
    <n v="57"/>
    <n v="0"/>
    <n v="6"/>
    <n v="1"/>
    <n v="0.34599972340760876"/>
    <n v="1"/>
    <n v="74.95"/>
    <n v="74.95"/>
    <n v="9.4138689332804262"/>
    <n v="1485.8546184876748"/>
    <n v="1"/>
    <n v="0"/>
    <n v="0"/>
    <n v="0"/>
    <n v="0"/>
    <n v="0"/>
    <n v="0"/>
    <n v="0"/>
    <n v="0"/>
    <n v="0"/>
  </r>
  <r>
    <d v="2001-06-22T00:00:00"/>
    <n v="2001"/>
    <x v="10"/>
    <s v="R"/>
    <s v="RS"/>
    <x v="11"/>
    <s v="PHX"/>
    <s v="A"/>
    <n v="2"/>
    <n v="0"/>
    <n v="2"/>
    <n v="-2"/>
    <n v="16"/>
    <n v="-16"/>
    <n v="1413.5903206626942"/>
    <n v="1481.9491892644444"/>
    <n v="0.33340130100397414"/>
    <n v="58"/>
    <n v="55"/>
    <n v="0"/>
    <n v="3"/>
    <n v="1"/>
    <n v="0.27454392754184048"/>
    <n v="1"/>
    <n v="74.349999999999994"/>
    <n v="74.349999999999994"/>
    <n v="13.606839962552931"/>
    <n v="1427.1971606252471"/>
    <n v="1"/>
    <n v="0"/>
    <n v="0"/>
    <n v="0"/>
    <n v="0"/>
    <n v="0"/>
    <n v="0"/>
    <n v="0"/>
    <n v="0"/>
    <n v="0"/>
  </r>
  <r>
    <d v="2001-06-22T00:00:00"/>
    <n v="2001"/>
    <x v="10"/>
    <s v="R"/>
    <s v="RS"/>
    <x v="3"/>
    <s v="SEA"/>
    <s v="H"/>
    <n v="0"/>
    <n v="2"/>
    <n v="-2"/>
    <n v="2"/>
    <n v="-16"/>
    <n v="16"/>
    <n v="1481.9491892644444"/>
    <n v="1413.5903206626942"/>
    <n v="0.66659869899602586"/>
    <n v="55"/>
    <n v="58"/>
    <n v="0"/>
    <n v="-3"/>
    <n v="0"/>
    <n v="0.27454392754184048"/>
    <n v="1"/>
    <n v="74.349999999999994"/>
    <n v="74.349999999999994"/>
    <n v="-13.606839962552931"/>
    <n v="1468.3423493018915"/>
    <n v="0"/>
    <n v="1"/>
    <n v="0"/>
    <n v="0"/>
    <n v="0"/>
    <n v="0"/>
    <n v="0"/>
    <n v="0"/>
    <n v="0"/>
    <n v="0"/>
  </r>
  <r>
    <d v="2001-06-22T00:00:00"/>
    <n v="2001"/>
    <x v="9"/>
    <s v="R"/>
    <s v="RS"/>
    <x v="13"/>
    <s v="POR"/>
    <s v="A"/>
    <n v="2"/>
    <n v="2"/>
    <n v="0"/>
    <n v="0"/>
    <n v="0"/>
    <n v="0"/>
    <n v="1370.0507340729214"/>
    <n v="1486.762681106595"/>
    <n v="0.23950580152420459"/>
    <n v="62"/>
    <n v="66"/>
    <n v="1"/>
    <n v="-4"/>
    <n v="0"/>
    <n v="0.25544490156250399"/>
    <n v="1"/>
    <n v="74.5"/>
    <n v="74.5"/>
    <n v="-4.55794992410293"/>
    <n v="1365.4927841488184"/>
    <n v="0"/>
    <n v="1"/>
    <n v="0"/>
    <n v="0"/>
    <n v="0"/>
    <n v="0"/>
    <n v="0"/>
    <n v="0"/>
    <n v="0"/>
    <n v="0"/>
  </r>
  <r>
    <d v="2001-06-22T00:00:00"/>
    <n v="2001"/>
    <x v="7"/>
    <s v="R"/>
    <s v="RS"/>
    <x v="10"/>
    <s v="CHA"/>
    <s v="H"/>
    <n v="2"/>
    <n v="2"/>
    <n v="0"/>
    <n v="0"/>
    <n v="0"/>
    <n v="0"/>
    <n v="1486.762681106595"/>
    <n v="1370.0507340729214"/>
    <n v="0.76049419847579547"/>
    <n v="66"/>
    <n v="62"/>
    <n v="1"/>
    <n v="4"/>
    <n v="1"/>
    <n v="0.25544490156250399"/>
    <n v="1"/>
    <n v="74.8"/>
    <n v="74.8"/>
    <n v="4.5763040848711283"/>
    <n v="1491.338985191466"/>
    <n v="1"/>
    <n v="0"/>
    <n v="0"/>
    <n v="0"/>
    <n v="0"/>
    <n v="0"/>
    <n v="0"/>
    <n v="0"/>
    <n v="0"/>
    <n v="0"/>
  </r>
  <r>
    <d v="2001-06-23T00:00:00"/>
    <n v="2001"/>
    <x v="9"/>
    <s v="R"/>
    <s v="RS"/>
    <x v="6"/>
    <s v="DET"/>
    <s v="A"/>
    <n v="0"/>
    <n v="0"/>
    <n v="0"/>
    <n v="0"/>
    <n v="0"/>
    <n v="0"/>
    <n v="1429.9695570184861"/>
    <n v="1427.1363667110907"/>
    <n v="0.38527119477542671"/>
    <n v="74"/>
    <n v="70"/>
    <n v="0"/>
    <n v="4"/>
    <n v="1"/>
    <n v="0.31069917665736152"/>
    <n v="1"/>
    <n v="74.5"/>
    <n v="74.5"/>
    <n v="14.229182156987468"/>
    <n v="1444.1987391754735"/>
    <n v="1"/>
    <n v="0"/>
    <n v="0"/>
    <n v="0"/>
    <n v="0"/>
    <n v="0"/>
    <n v="0"/>
    <n v="0"/>
    <n v="0"/>
    <n v="0"/>
  </r>
  <r>
    <d v="2001-06-23T00:00:00"/>
    <n v="2001"/>
    <x v="8"/>
    <s v="R"/>
    <s v="RS"/>
    <x v="14"/>
    <s v="IND"/>
    <s v="H"/>
    <n v="0"/>
    <n v="0"/>
    <n v="0"/>
    <n v="0"/>
    <n v="0"/>
    <n v="0"/>
    <n v="1427.1363667110907"/>
    <n v="1429.9695570184861"/>
    <n v="0.6147288052245734"/>
    <n v="70"/>
    <n v="74"/>
    <n v="0"/>
    <n v="-4"/>
    <n v="0"/>
    <n v="0.31069917665736152"/>
    <n v="1"/>
    <n v="74.650000000000006"/>
    <n v="74.650000000000006"/>
    <n v="-14.257831517035097"/>
    <n v="1412.8785351940555"/>
    <n v="0"/>
    <n v="1"/>
    <n v="0"/>
    <n v="0"/>
    <n v="0"/>
    <n v="0"/>
    <n v="0"/>
    <n v="0"/>
    <n v="0"/>
    <n v="0"/>
  </r>
  <r>
    <d v="2001-06-23T00:00:00"/>
    <n v="2001"/>
    <x v="10"/>
    <s v="R"/>
    <s v="RS"/>
    <x v="15"/>
    <s v="HOU"/>
    <s v="A"/>
    <n v="1"/>
    <n v="1"/>
    <n v="0"/>
    <n v="0"/>
    <n v="0"/>
    <n v="0"/>
    <n v="1544.9011390664659"/>
    <n v="1686.4920079316198"/>
    <n v="0.2143998144601218"/>
    <n v="56"/>
    <n v="70"/>
    <n v="0"/>
    <n v="-14"/>
    <n v="0"/>
    <n v="0.43614617378536596"/>
    <n v="1"/>
    <n v="74.349999999999994"/>
    <n v="74.349999999999994"/>
    <n v="-6.952443127101489"/>
    <n v="1537.9486959393644"/>
    <n v="0"/>
    <n v="1"/>
    <n v="0"/>
    <n v="0"/>
    <n v="0"/>
    <n v="0"/>
    <n v="0"/>
    <n v="0"/>
    <n v="0"/>
    <n v="0"/>
  </r>
  <r>
    <d v="2001-06-23T00:00:00"/>
    <n v="2001"/>
    <x v="7"/>
    <s v="R"/>
    <s v="RS"/>
    <x v="1"/>
    <s v="SAC"/>
    <s v="H"/>
    <n v="1"/>
    <n v="1"/>
    <n v="0"/>
    <n v="0"/>
    <n v="0"/>
    <n v="0"/>
    <n v="1686.4920079316198"/>
    <n v="1544.9011390664659"/>
    <n v="0.7856001855398782"/>
    <n v="70"/>
    <n v="56"/>
    <n v="0"/>
    <n v="14"/>
    <n v="1"/>
    <n v="0.43614617378536596"/>
    <n v="1"/>
    <n v="74.8"/>
    <n v="74.8"/>
    <n v="6.9945224735331717"/>
    <n v="1693.486530405153"/>
    <n v="1"/>
    <n v="0"/>
    <n v="0"/>
    <n v="0"/>
    <n v="0"/>
    <n v="0"/>
    <n v="0"/>
    <n v="0"/>
    <n v="0"/>
    <n v="0"/>
  </r>
  <r>
    <d v="2001-06-23T00:00:00"/>
    <n v="2001"/>
    <x v="8"/>
    <s v="R"/>
    <s v="RS"/>
    <x v="4"/>
    <s v="ORL"/>
    <s v="A"/>
    <n v="1"/>
    <n v="4"/>
    <n v="-3"/>
    <n v="3"/>
    <n v="-16"/>
    <n v="16"/>
    <n v="1397.0711325988036"/>
    <n v="1458.9541867812231"/>
    <n v="0.26425341993912843"/>
    <n v="59"/>
    <n v="67"/>
    <n v="0"/>
    <n v="-8"/>
    <n v="0"/>
    <n v="0.3692724460156227"/>
    <n v="1"/>
    <n v="74.650000000000006"/>
    <n v="74.650000000000006"/>
    <n v="-7.2844594788065411"/>
    <n v="1389.786673119997"/>
    <n v="0"/>
    <n v="1"/>
    <n v="0"/>
    <n v="0"/>
    <n v="0"/>
    <n v="0"/>
    <n v="0"/>
    <n v="0"/>
    <n v="0"/>
    <n v="0"/>
  </r>
  <r>
    <d v="2001-06-23T00:00:00"/>
    <n v="2001"/>
    <x v="8"/>
    <s v="R"/>
    <s v="RS"/>
    <x v="12"/>
    <s v="WAS"/>
    <s v="H"/>
    <n v="4"/>
    <n v="1"/>
    <n v="3"/>
    <n v="-3"/>
    <n v="16"/>
    <n v="-16"/>
    <n v="1458.9541867812231"/>
    <n v="1397.0711325988036"/>
    <n v="0.73574658006087157"/>
    <n v="67"/>
    <n v="59"/>
    <n v="0"/>
    <n v="8"/>
    <n v="1"/>
    <n v="0.3692724460156227"/>
    <n v="1"/>
    <n v="74.650000000000006"/>
    <n v="74.650000000000006"/>
    <n v="7.2844594788065411"/>
    <n v="1466.2386462600298"/>
    <n v="1"/>
    <n v="0"/>
    <n v="0"/>
    <n v="0"/>
    <n v="0"/>
    <n v="0"/>
    <n v="0"/>
    <n v="0"/>
    <n v="0"/>
    <n v="0"/>
  </r>
  <r>
    <d v="2001-06-23T00:00:00"/>
    <n v="2001"/>
    <x v="7"/>
    <s v="R"/>
    <s v="RS"/>
    <x v="9"/>
    <s v="UTA"/>
    <s v="A"/>
    <n v="0"/>
    <n v="1"/>
    <n v="-1"/>
    <n v="1"/>
    <n v="-8"/>
    <n v="8"/>
    <n v="1485.8546184876748"/>
    <n v="1503.8016214917977"/>
    <n v="0.33649401142389873"/>
    <n v="80"/>
    <n v="87"/>
    <n v="0"/>
    <n v="-7"/>
    <n v="0"/>
    <n v="0.36465347497807382"/>
    <n v="1"/>
    <n v="74.8"/>
    <n v="74.8"/>
    <n v="-9.1782375510127174"/>
    <n v="1476.6763809366621"/>
    <n v="0"/>
    <n v="1"/>
    <n v="0"/>
    <n v="0"/>
    <n v="0"/>
    <n v="0"/>
    <n v="0"/>
    <n v="0"/>
    <n v="0"/>
    <n v="0"/>
  </r>
  <r>
    <d v="2001-06-23T00:00:00"/>
    <n v="2001"/>
    <x v="7"/>
    <s v="R"/>
    <s v="RS"/>
    <x v="2"/>
    <s v="MIN"/>
    <s v="H"/>
    <n v="1"/>
    <n v="0"/>
    <n v="1"/>
    <n v="-1"/>
    <n v="8"/>
    <n v="-8"/>
    <n v="1503.8016214917977"/>
    <n v="1485.8546184876748"/>
    <n v="0.66350598857610132"/>
    <n v="87"/>
    <n v="80"/>
    <n v="0"/>
    <n v="7"/>
    <n v="1"/>
    <n v="0.36465347497807382"/>
    <n v="1"/>
    <n v="74.8"/>
    <n v="74.8"/>
    <n v="9.1782375510127157"/>
    <n v="1512.9798590428104"/>
    <n v="1"/>
    <n v="0"/>
    <n v="0"/>
    <n v="0"/>
    <n v="0"/>
    <n v="0"/>
    <n v="0"/>
    <n v="0"/>
    <n v="0"/>
    <n v="0"/>
  </r>
  <r>
    <d v="2001-06-24T00:00:00"/>
    <n v="2001"/>
    <x v="11"/>
    <s v="R"/>
    <s v="RS"/>
    <x v="15"/>
    <s v="CHA"/>
    <s v="A"/>
    <n v="0"/>
    <n v="1"/>
    <n v="-1"/>
    <n v="1"/>
    <n v="-8"/>
    <n v="8"/>
    <n v="1537.9486959393644"/>
    <n v="1365.4927841488184"/>
    <n v="0.60278664473015431"/>
    <n v="85"/>
    <n v="82"/>
    <n v="1"/>
    <n v="3"/>
    <n v="1"/>
    <n v="0.22834846649298646"/>
    <n v="1"/>
    <n v="74.2"/>
    <n v="74.2"/>
    <n v="6.730167092543109"/>
    <n v="1544.6788630319074"/>
    <n v="1"/>
    <n v="0"/>
    <n v="0"/>
    <n v="0"/>
    <n v="0"/>
    <n v="0"/>
    <n v="0"/>
    <n v="0"/>
    <n v="0"/>
    <n v="0"/>
  </r>
  <r>
    <d v="2001-06-24T00:00:00"/>
    <n v="2001"/>
    <x v="10"/>
    <s v="R"/>
    <s v="RS"/>
    <x v="13"/>
    <s v="SAC"/>
    <s v="H"/>
    <n v="1"/>
    <n v="0"/>
    <n v="1"/>
    <n v="-1"/>
    <n v="8"/>
    <n v="-8"/>
    <n v="1365.4927841488184"/>
    <n v="1537.9486959393644"/>
    <n v="0.39721335526984564"/>
    <n v="82"/>
    <n v="85"/>
    <n v="1"/>
    <n v="-3"/>
    <n v="0"/>
    <n v="0.22834846649298646"/>
    <n v="1"/>
    <n v="74.349999999999994"/>
    <n v="74.349999999999994"/>
    <n v="-6.7437725516250682"/>
    <n v="1358.7490115971932"/>
    <n v="0"/>
    <n v="1"/>
    <n v="0"/>
    <n v="0"/>
    <n v="0"/>
    <n v="0"/>
    <n v="0"/>
    <n v="0"/>
    <n v="0"/>
    <n v="0"/>
  </r>
  <r>
    <d v="2001-06-24T00:00:00"/>
    <n v="2001"/>
    <x v="8"/>
    <s v="R"/>
    <s v="RS"/>
    <x v="10"/>
    <s v="HOU"/>
    <s v="A"/>
    <n v="1"/>
    <n v="0"/>
    <n v="1"/>
    <n v="-1"/>
    <n v="8"/>
    <n v="-8"/>
    <n v="1491.338985191466"/>
    <n v="1693.486530405153"/>
    <n v="0.1743517138270107"/>
    <n v="57"/>
    <n v="67"/>
    <n v="0"/>
    <n v="-10"/>
    <n v="0"/>
    <n v="0.36212711061114394"/>
    <n v="1"/>
    <n v="74.650000000000006"/>
    <n v="74.650000000000006"/>
    <n v="-4.7132130580453353"/>
    <n v="1486.6257721334207"/>
    <n v="0"/>
    <n v="1"/>
    <n v="0"/>
    <n v="0"/>
    <n v="0"/>
    <n v="0"/>
    <n v="0"/>
    <n v="0"/>
    <n v="0"/>
    <n v="0"/>
  </r>
  <r>
    <d v="2001-06-24T00:00:00"/>
    <n v="2001"/>
    <x v="8"/>
    <s v="R"/>
    <s v="RS"/>
    <x v="1"/>
    <s v="POR"/>
    <s v="H"/>
    <n v="0"/>
    <n v="1"/>
    <n v="-1"/>
    <n v="1"/>
    <n v="-8"/>
    <n v="8"/>
    <n v="1693.486530405153"/>
    <n v="1491.338985191466"/>
    <n v="0.82564828617298924"/>
    <n v="67"/>
    <n v="57"/>
    <n v="0"/>
    <n v="10"/>
    <n v="1"/>
    <n v="0.36212711061114394"/>
    <n v="1"/>
    <n v="74.650000000000006"/>
    <n v="74.650000000000006"/>
    <n v="4.7132130580453362"/>
    <n v="1698.1997434631983"/>
    <n v="1"/>
    <n v="0"/>
    <n v="0"/>
    <n v="0"/>
    <n v="0"/>
    <n v="0"/>
    <n v="0"/>
    <n v="0"/>
    <n v="0"/>
    <n v="0"/>
  </r>
  <r>
    <d v="2001-06-24T00:00:00"/>
    <n v="2001"/>
    <x v="10"/>
    <s v="R"/>
    <s v="RS"/>
    <x v="5"/>
    <s v="MIA"/>
    <s v="A"/>
    <n v="1"/>
    <n v="1"/>
    <n v="0"/>
    <n v="0"/>
    <n v="0"/>
    <n v="0"/>
    <n v="1576.277245007831"/>
    <n v="1485.3803134890863"/>
    <n v="0.50992417877168572"/>
    <n v="54"/>
    <n v="35"/>
    <n v="0"/>
    <n v="19"/>
    <n v="1"/>
    <n v="0.52147702177564959"/>
    <n v="1"/>
    <n v="74.349999999999994"/>
    <n v="74.349999999999994"/>
    <n v="19.001129845575814"/>
    <n v="1595.2783748534068"/>
    <n v="1"/>
    <n v="0"/>
    <n v="0"/>
    <n v="0"/>
    <n v="0"/>
    <n v="0"/>
    <n v="0"/>
    <n v="0"/>
    <n v="0"/>
    <n v="0"/>
  </r>
  <r>
    <d v="2001-06-24T00:00:00"/>
    <n v="2001"/>
    <x v="9"/>
    <s v="R"/>
    <s v="RS"/>
    <x v="8"/>
    <s v="CLE"/>
    <s v="H"/>
    <n v="1"/>
    <n v="1"/>
    <n v="0"/>
    <n v="0"/>
    <n v="0"/>
    <n v="0"/>
    <n v="1485.3803134890863"/>
    <n v="1576.277245007831"/>
    <n v="0.49007582122831428"/>
    <n v="35"/>
    <n v="54"/>
    <n v="0"/>
    <n v="-19"/>
    <n v="0"/>
    <n v="0.52147702177564959"/>
    <n v="1"/>
    <n v="74.5"/>
    <n v="74.5"/>
    <n v="-19.039464337530578"/>
    <n v="1466.3408491515559"/>
    <n v="0"/>
    <n v="1"/>
    <n v="0"/>
    <n v="0"/>
    <n v="0"/>
    <n v="0"/>
    <n v="0"/>
    <n v="0"/>
    <n v="0"/>
    <n v="0"/>
  </r>
  <r>
    <d v="2001-06-24T00:00:00"/>
    <n v="2001"/>
    <x v="11"/>
    <s v="R"/>
    <s v="RS"/>
    <x v="0"/>
    <s v="NYL"/>
    <s v="A"/>
    <n v="1"/>
    <n v="2"/>
    <n v="-1"/>
    <n v="1"/>
    <n v="-8"/>
    <n v="8"/>
    <n v="1661.0141533303283"/>
    <n v="1590.0807074058157"/>
    <n v="0.45826718399749333"/>
    <n v="69"/>
    <n v="82"/>
    <n v="0"/>
    <n v="-13"/>
    <n v="0"/>
    <n v="0.44569800928079883"/>
    <n v="1"/>
    <n v="74.2"/>
    <n v="74.2"/>
    <n v="-15.155258854678905"/>
    <n v="1645.8588944756493"/>
    <n v="0"/>
    <n v="1"/>
    <n v="0"/>
    <n v="0"/>
    <n v="0"/>
    <n v="0"/>
    <n v="0"/>
    <n v="0"/>
    <n v="0"/>
    <n v="0"/>
  </r>
  <r>
    <d v="2001-06-24T00:00:00"/>
    <n v="2001"/>
    <x v="10"/>
    <s v="R"/>
    <s v="RS"/>
    <x v="7"/>
    <s v="LAS"/>
    <s v="H"/>
    <n v="2"/>
    <n v="1"/>
    <n v="1"/>
    <n v="-1"/>
    <n v="8"/>
    <n v="-8"/>
    <n v="1590.0807074058157"/>
    <n v="1661.0141533303283"/>
    <n v="0.54173281600250667"/>
    <n v="82"/>
    <n v="69"/>
    <n v="0"/>
    <n v="13"/>
    <n v="1"/>
    <n v="0.44569800928079883"/>
    <n v="1"/>
    <n v="74.349999999999994"/>
    <n v="74.349999999999994"/>
    <n v="15.185896170422863"/>
    <n v="1605.2666035762386"/>
    <n v="1"/>
    <n v="0"/>
    <n v="0"/>
    <n v="0"/>
    <n v="0"/>
    <n v="0"/>
    <n v="0"/>
    <n v="0"/>
    <n v="0"/>
    <n v="0"/>
  </r>
  <r>
    <d v="2001-06-25T00:00:00"/>
    <n v="2001"/>
    <x v="11"/>
    <s v="R"/>
    <s v="RS"/>
    <x v="7"/>
    <s v="ORL"/>
    <s v="A"/>
    <n v="0"/>
    <n v="1"/>
    <n v="-1"/>
    <n v="1"/>
    <n v="-8"/>
    <n v="8"/>
    <n v="1605.2666035762386"/>
    <n v="1466.2386462600298"/>
    <n v="0.55593069184215504"/>
    <n v="54"/>
    <n v="67"/>
    <n v="0"/>
    <n v="-13"/>
    <n v="0"/>
    <n v="0.42303262129961222"/>
    <n v="1"/>
    <n v="74.2"/>
    <n v="74.2"/>
    <n v="-17.45011988305232"/>
    <n v="1587.8164836931862"/>
    <n v="0"/>
    <n v="1"/>
    <n v="0"/>
    <n v="0"/>
    <n v="0"/>
    <n v="0"/>
    <n v="0"/>
    <n v="0"/>
    <n v="0"/>
    <n v="0"/>
  </r>
  <r>
    <d v="2001-06-25T00:00:00"/>
    <n v="2001"/>
    <x v="9"/>
    <s v="R"/>
    <s v="RS"/>
    <x v="12"/>
    <s v="NYL"/>
    <s v="H"/>
    <n v="1"/>
    <n v="0"/>
    <n v="1"/>
    <n v="-1"/>
    <n v="8"/>
    <n v="-8"/>
    <n v="1466.2386462600298"/>
    <n v="1605.2666035762386"/>
    <n v="0.44406930815784507"/>
    <n v="67"/>
    <n v="54"/>
    <n v="0"/>
    <n v="13"/>
    <n v="1"/>
    <n v="0.42303262129961222"/>
    <n v="1"/>
    <n v="74.5"/>
    <n v="74.5"/>
    <n v="17.520672928401584"/>
    <n v="1483.7593191884314"/>
    <n v="1"/>
    <n v="0"/>
    <n v="0"/>
    <n v="0"/>
    <n v="0"/>
    <n v="0"/>
    <n v="0"/>
    <n v="0"/>
    <n v="0"/>
    <n v="0"/>
  </r>
  <r>
    <d v="2001-06-25T00:00:00"/>
    <n v="2001"/>
    <x v="11"/>
    <s v="R"/>
    <s v="RS"/>
    <x v="11"/>
    <s v="UTA"/>
    <s v="A"/>
    <n v="2"/>
    <n v="1"/>
    <n v="1"/>
    <n v="-1"/>
    <n v="8"/>
    <n v="-8"/>
    <n v="1427.1971606252471"/>
    <n v="1512.9798590428104"/>
    <n v="0.29209219607746179"/>
    <n v="65"/>
    <n v="47"/>
    <n v="0"/>
    <n v="18"/>
    <n v="1"/>
    <n v="0.51035118092597132"/>
    <n v="1"/>
    <n v="74.2"/>
    <n v="74.2"/>
    <n v="26.807093511918509"/>
    <n v="1454.0042541371656"/>
    <n v="1"/>
    <n v="0"/>
    <n v="0"/>
    <n v="0"/>
    <n v="0"/>
    <n v="0"/>
    <n v="0"/>
    <n v="0"/>
    <n v="0"/>
    <n v="0"/>
  </r>
  <r>
    <d v="2001-06-25T00:00:00"/>
    <n v="2001"/>
    <x v="8"/>
    <s v="R"/>
    <s v="RS"/>
    <x v="2"/>
    <s v="SEA"/>
    <s v="H"/>
    <n v="1"/>
    <n v="2"/>
    <n v="-1"/>
    <n v="1"/>
    <n v="-8"/>
    <n v="8"/>
    <n v="1512.9798590428104"/>
    <n v="1427.1971606252471"/>
    <n v="0.70790780392253827"/>
    <n v="47"/>
    <n v="65"/>
    <n v="0"/>
    <n v="-18"/>
    <n v="0"/>
    <n v="0.51035118092597132"/>
    <n v="1"/>
    <n v="74.650000000000006"/>
    <n v="74.650000000000006"/>
    <n v="-26.969670224591876"/>
    <n v="1486.0101888182185"/>
    <n v="0"/>
    <n v="1"/>
    <n v="0"/>
    <n v="0"/>
    <n v="0"/>
    <n v="0"/>
    <n v="0"/>
    <n v="0"/>
    <n v="0"/>
    <n v="0"/>
  </r>
  <r>
    <d v="2001-06-25T00:00:00"/>
    <n v="2001"/>
    <x v="8"/>
    <s v="R"/>
    <s v="RS"/>
    <x v="9"/>
    <s v="WAS"/>
    <s v="A"/>
    <n v="1"/>
    <n v="1"/>
    <n v="0"/>
    <n v="0"/>
    <n v="0"/>
    <n v="0"/>
    <n v="1476.6763809366621"/>
    <n v="1389.786673119997"/>
    <n v="0.50415852794808935"/>
    <n v="55"/>
    <n v="51"/>
    <n v="0"/>
    <n v="4"/>
    <n v="1"/>
    <n v="0.29040505927948301"/>
    <n v="1"/>
    <n v="74.650000000000006"/>
    <n v="74.650000000000006"/>
    <n v="10.749217201105031"/>
    <n v="1487.4255981377671"/>
    <n v="1"/>
    <n v="0"/>
    <n v="0"/>
    <n v="0"/>
    <n v="0"/>
    <n v="0"/>
    <n v="0"/>
    <n v="0"/>
    <n v="0"/>
    <n v="0"/>
  </r>
  <r>
    <d v="2001-06-25T00:00:00"/>
    <n v="2001"/>
    <x v="9"/>
    <s v="R"/>
    <s v="RS"/>
    <x v="4"/>
    <s v="MIN"/>
    <s v="H"/>
    <n v="1"/>
    <n v="1"/>
    <n v="0"/>
    <n v="0"/>
    <n v="0"/>
    <n v="0"/>
    <n v="1389.786673119997"/>
    <n v="1476.6763809366621"/>
    <n v="0.49584147205191076"/>
    <n v="51"/>
    <n v="55"/>
    <n v="0"/>
    <n v="-4"/>
    <n v="0"/>
    <n v="0.29040505927948301"/>
    <n v="1"/>
    <n v="74.5"/>
    <n v="74.5"/>
    <n v="-10.727617970292364"/>
    <n v="1379.0590551497046"/>
    <n v="0"/>
    <n v="1"/>
    <n v="0"/>
    <n v="0"/>
    <n v="0"/>
    <n v="0"/>
    <n v="0"/>
    <n v="0"/>
    <n v="0"/>
    <n v="0"/>
  </r>
  <r>
    <d v="2001-06-26T00:00:00"/>
    <n v="2001"/>
    <x v="9"/>
    <s v="R"/>
    <s v="RS"/>
    <x v="10"/>
    <s v="CLE"/>
    <s v="A"/>
    <n v="1"/>
    <n v="1"/>
    <n v="0"/>
    <n v="0"/>
    <n v="0"/>
    <n v="0"/>
    <n v="1486.6257721334207"/>
    <n v="1595.2783748534068"/>
    <n v="0.2480578275859564"/>
    <n v="57"/>
    <n v="61"/>
    <n v="0"/>
    <n v="-4"/>
    <n v="0"/>
    <n v="0.28557562267319342"/>
    <n v="1"/>
    <n v="74.5"/>
    <n v="74.5"/>
    <n v="-5.2775255086005268"/>
    <n v="1481.3482466248201"/>
    <n v="0"/>
    <n v="1"/>
    <n v="0"/>
    <n v="0"/>
    <n v="0"/>
    <n v="0"/>
    <n v="0"/>
    <n v="0"/>
    <n v="0"/>
    <n v="0"/>
  </r>
  <r>
    <d v="2001-06-26T00:00:00"/>
    <n v="2001"/>
    <x v="11"/>
    <s v="R"/>
    <s v="RS"/>
    <x v="5"/>
    <s v="POR"/>
    <s v="H"/>
    <n v="1"/>
    <n v="1"/>
    <n v="0"/>
    <n v="0"/>
    <n v="0"/>
    <n v="0"/>
    <n v="1595.2783748534068"/>
    <n v="1486.6257721334207"/>
    <n v="0.75194217241404349"/>
    <n v="61"/>
    <n v="57"/>
    <n v="0"/>
    <n v="4"/>
    <n v="1"/>
    <n v="0.28557562267319342"/>
    <n v="1"/>
    <n v="74.2"/>
    <n v="74.2"/>
    <n v="5.256273728028984"/>
    <n v="1600.5346485814357"/>
    <n v="1"/>
    <n v="0"/>
    <n v="0"/>
    <n v="0"/>
    <n v="0"/>
    <n v="0"/>
    <n v="0"/>
    <n v="0"/>
    <n v="0"/>
    <n v="0"/>
  </r>
  <r>
    <d v="2001-06-26T00:00:00"/>
    <n v="2001"/>
    <x v="12"/>
    <s v="R"/>
    <s v="RS"/>
    <x v="0"/>
    <s v="DET"/>
    <s v="A"/>
    <n v="1"/>
    <n v="2"/>
    <n v="-1"/>
    <n v="1"/>
    <n v="-8"/>
    <n v="8"/>
    <n v="1645.8588944756493"/>
    <n v="1412.8785351940555"/>
    <n v="0.68254588824847529"/>
    <n v="98"/>
    <n v="89"/>
    <n v="1"/>
    <n v="9"/>
    <n v="1"/>
    <n v="0.30597017361691764"/>
    <n v="1"/>
    <n v="74.05"/>
    <n v="74.05"/>
    <n v="7.1925868113977609"/>
    <n v="1653.0514812870472"/>
    <n v="1"/>
    <n v="0"/>
    <n v="0"/>
    <n v="0"/>
    <n v="0"/>
    <n v="0"/>
    <n v="0"/>
    <n v="0"/>
    <n v="0"/>
    <n v="0"/>
  </r>
  <r>
    <d v="2001-06-26T00:00:00"/>
    <n v="2001"/>
    <x v="9"/>
    <s v="R"/>
    <s v="RS"/>
    <x v="14"/>
    <s v="LAS"/>
    <s v="H"/>
    <n v="2"/>
    <n v="1"/>
    <n v="1"/>
    <n v="-1"/>
    <n v="8"/>
    <n v="-8"/>
    <n v="1412.8785351940555"/>
    <n v="1645.8588944756493"/>
    <n v="0.31745411175152466"/>
    <n v="89"/>
    <n v="98"/>
    <n v="1"/>
    <n v="-9"/>
    <n v="0"/>
    <n v="0.30597017361691764"/>
    <n v="1"/>
    <n v="74.5"/>
    <n v="74.5"/>
    <n v="-7.2362959817573689"/>
    <n v="1405.6422392122981"/>
    <n v="0"/>
    <n v="1"/>
    <n v="0"/>
    <n v="0"/>
    <n v="0"/>
    <n v="0"/>
    <n v="0"/>
    <n v="0"/>
    <n v="0"/>
    <n v="0"/>
  </r>
  <r>
    <d v="2001-06-27T00:00:00"/>
    <n v="2001"/>
    <x v="10"/>
    <s v="R"/>
    <s v="RS"/>
    <x v="14"/>
    <s v="CHA"/>
    <s v="A"/>
    <n v="0"/>
    <n v="2"/>
    <n v="-2"/>
    <n v="2"/>
    <n v="-16"/>
    <n v="16"/>
    <n v="1405.6422392122981"/>
    <n v="1358.7490115971932"/>
    <n v="0.40183848989915832"/>
    <n v="50"/>
    <n v="74"/>
    <n v="0"/>
    <n v="-24"/>
    <n v="0"/>
    <n v="0.60479686683369127"/>
    <n v="1"/>
    <n v="74.349999999999994"/>
    <n v="74.349999999999994"/>
    <n v="-18.069329546032737"/>
    <n v="1387.5729096662653"/>
    <n v="0"/>
    <n v="1"/>
    <n v="0"/>
    <n v="0"/>
    <n v="0"/>
    <n v="0"/>
    <n v="0"/>
    <n v="0"/>
    <n v="0"/>
    <n v="0"/>
  </r>
  <r>
    <d v="2001-06-27T00:00:00"/>
    <n v="2001"/>
    <x v="11"/>
    <s v="R"/>
    <s v="RS"/>
    <x v="13"/>
    <s v="DET"/>
    <s v="H"/>
    <n v="2"/>
    <n v="0"/>
    <n v="2"/>
    <n v="-2"/>
    <n v="16"/>
    <n v="-16"/>
    <n v="1358.7490115971932"/>
    <n v="1405.6422392122981"/>
    <n v="0.59816151010084173"/>
    <n v="74"/>
    <n v="50"/>
    <n v="0"/>
    <n v="24"/>
    <n v="1"/>
    <n v="0.60479686683369127"/>
    <n v="1"/>
    <n v="74.2"/>
    <n v="74.2"/>
    <n v="18.032874947083108"/>
    <n v="1376.7818865442764"/>
    <n v="1"/>
    <n v="0"/>
    <n v="0"/>
    <n v="0"/>
    <n v="0"/>
    <n v="0"/>
    <n v="0"/>
    <n v="0"/>
    <n v="0"/>
    <n v="0"/>
  </r>
  <r>
    <d v="2001-06-27T00:00:00"/>
    <n v="2001"/>
    <x v="10"/>
    <s v="R"/>
    <s v="RS"/>
    <x v="4"/>
    <s v="HOU"/>
    <s v="A"/>
    <n v="1"/>
    <n v="2"/>
    <n v="-1"/>
    <n v="1"/>
    <n v="-8"/>
    <n v="8"/>
    <n v="1379.0590551497046"/>
    <n v="1698.1997434631983"/>
    <n v="8.2204258712447353E-2"/>
    <n v="63"/>
    <n v="76"/>
    <n v="0"/>
    <n v="-13"/>
    <n v="0"/>
    <n v="0.37287692386529414"/>
    <n v="1"/>
    <n v="74.349999999999994"/>
    <n v="74.349999999999994"/>
    <n v="-2.2789814875730521"/>
    <n v="1376.7800736621316"/>
    <n v="0"/>
    <n v="1"/>
    <n v="0"/>
    <n v="0"/>
    <n v="0"/>
    <n v="0"/>
    <n v="0"/>
    <n v="0"/>
    <n v="0"/>
    <n v="0"/>
  </r>
  <r>
    <d v="2001-06-27T00:00:00"/>
    <n v="2001"/>
    <x v="9"/>
    <s v="R"/>
    <s v="RS"/>
    <x v="1"/>
    <s v="WAS"/>
    <s v="H"/>
    <n v="2"/>
    <n v="1"/>
    <n v="1"/>
    <n v="-1"/>
    <n v="8"/>
    <n v="-8"/>
    <n v="1698.1997434631983"/>
    <n v="1379.0590551497046"/>
    <n v="0.91779574128755259"/>
    <n v="76"/>
    <n v="63"/>
    <n v="0"/>
    <n v="13"/>
    <n v="1"/>
    <n v="0.37287692386529414"/>
    <n v="1"/>
    <n v="74.5"/>
    <n v="74.5"/>
    <n v="2.2835792982406526"/>
    <n v="1700.483322761439"/>
    <n v="1"/>
    <n v="0"/>
    <n v="0"/>
    <n v="0"/>
    <n v="0"/>
    <n v="0"/>
    <n v="0"/>
    <n v="0"/>
    <n v="0"/>
    <n v="0"/>
  </r>
  <r>
    <d v="2001-06-27T00:00:00"/>
    <n v="2001"/>
    <x v="10"/>
    <s v="R"/>
    <s v="RS"/>
    <x v="10"/>
    <s v="IND"/>
    <s v="A"/>
    <n v="0"/>
    <n v="3"/>
    <n v="-3"/>
    <n v="3"/>
    <n v="-16"/>
    <n v="16"/>
    <n v="1481.3482466248201"/>
    <n v="1444.1987391754735"/>
    <n v="0.38843392579026531"/>
    <n v="68"/>
    <n v="65"/>
    <n v="0"/>
    <n v="3"/>
    <n v="1"/>
    <n v="0.28146980071663408"/>
    <n v="1"/>
    <n v="74.349999999999994"/>
    <n v="74.349999999999994"/>
    <n v="12.798414279793754"/>
    <n v="1494.146660904614"/>
    <n v="1"/>
    <n v="0"/>
    <n v="0"/>
    <n v="0"/>
    <n v="0"/>
    <n v="0"/>
    <n v="0"/>
    <n v="0"/>
    <n v="0"/>
    <n v="0"/>
  </r>
  <r>
    <d v="2001-06-27T00:00:00"/>
    <n v="2001"/>
    <x v="10"/>
    <s v="R"/>
    <s v="RS"/>
    <x v="6"/>
    <s v="POR"/>
    <s v="H"/>
    <n v="3"/>
    <n v="0"/>
    <n v="3"/>
    <n v="-3"/>
    <n v="16"/>
    <n v="-16"/>
    <n v="1444.1987391754735"/>
    <n v="1481.3482466248201"/>
    <n v="0.61156607420973474"/>
    <n v="65"/>
    <n v="68"/>
    <n v="0"/>
    <n v="-3"/>
    <n v="0"/>
    <n v="0.28146980071663408"/>
    <n v="1"/>
    <n v="74.349999999999994"/>
    <n v="74.349999999999994"/>
    <n v="-12.798414279793757"/>
    <n v="1431.4003248956797"/>
    <n v="0"/>
    <n v="1"/>
    <n v="0"/>
    <n v="0"/>
    <n v="0"/>
    <n v="0"/>
    <n v="0"/>
    <n v="0"/>
    <n v="0"/>
    <n v="0"/>
  </r>
  <r>
    <d v="2001-06-27T00:00:00"/>
    <n v="2001"/>
    <x v="9"/>
    <s v="R"/>
    <s v="RS"/>
    <x v="2"/>
    <s v="MIA"/>
    <s v="A"/>
    <n v="1"/>
    <n v="2"/>
    <n v="-1"/>
    <n v="1"/>
    <n v="-8"/>
    <n v="8"/>
    <n v="1486.0101888182185"/>
    <n v="1466.3408491515559"/>
    <n v="0.38641178255903713"/>
    <n v="68"/>
    <n v="63"/>
    <n v="1"/>
    <n v="5"/>
    <n v="1"/>
    <n v="0.29376523771276442"/>
    <n v="1"/>
    <n v="74.5"/>
    <n v="74.5"/>
    <n v="13.428691197295038"/>
    <n v="1499.4388800155134"/>
    <n v="1"/>
    <n v="0"/>
    <n v="0"/>
    <n v="0"/>
    <n v="0"/>
    <n v="0"/>
    <n v="0"/>
    <n v="0"/>
    <n v="0"/>
    <n v="0"/>
  </r>
  <r>
    <d v="2001-06-27T00:00:00"/>
    <n v="2001"/>
    <x v="10"/>
    <s v="R"/>
    <s v="RS"/>
    <x v="8"/>
    <s v="UTA"/>
    <s v="H"/>
    <n v="2"/>
    <n v="1"/>
    <n v="1"/>
    <n v="-1"/>
    <n v="8"/>
    <n v="-8"/>
    <n v="1466.3408491515559"/>
    <n v="1486.0101888182185"/>
    <n v="0.61358821744096292"/>
    <n v="63"/>
    <n v="68"/>
    <n v="1"/>
    <n v="-5"/>
    <n v="0"/>
    <n v="0.29376523771276442"/>
    <n v="1"/>
    <n v="74.349999999999994"/>
    <n v="74.349999999999994"/>
    <n v="-13.401653564011896"/>
    <n v="1452.939195587544"/>
    <n v="0"/>
    <n v="1"/>
    <n v="0"/>
    <n v="0"/>
    <n v="0"/>
    <n v="0"/>
    <n v="0"/>
    <n v="0"/>
    <n v="0"/>
    <n v="0"/>
  </r>
  <r>
    <d v="2001-06-27T00:00:00"/>
    <n v="2001"/>
    <x v="12"/>
    <s v="R"/>
    <s v="RS"/>
    <x v="5"/>
    <s v="ORL"/>
    <s v="A"/>
    <n v="0"/>
    <n v="1"/>
    <n v="-1"/>
    <n v="1"/>
    <n v="-8"/>
    <n v="8"/>
    <n v="1600.5346485814357"/>
    <n v="1483.7593191884314"/>
    <n v="0.52412289682924118"/>
    <n v="65"/>
    <n v="41"/>
    <n v="0"/>
    <n v="24"/>
    <n v="1"/>
    <n v="0.57269991357249261"/>
    <n v="1"/>
    <n v="74.05"/>
    <n v="74.05"/>
    <n v="20.181200152212458"/>
    <n v="1620.7158487336483"/>
    <n v="1"/>
    <n v="0"/>
    <n v="0"/>
    <n v="0"/>
    <n v="0"/>
    <n v="0"/>
    <n v="0"/>
    <n v="0"/>
    <n v="0"/>
    <n v="0"/>
  </r>
  <r>
    <d v="2001-06-27T00:00:00"/>
    <n v="2001"/>
    <x v="10"/>
    <s v="R"/>
    <s v="RS"/>
    <x v="12"/>
    <s v="CLE"/>
    <s v="H"/>
    <n v="1"/>
    <n v="0"/>
    <n v="1"/>
    <n v="-1"/>
    <n v="8"/>
    <n v="-8"/>
    <n v="1483.7593191884314"/>
    <n v="1600.5346485814357"/>
    <n v="0.47587710317075876"/>
    <n v="41"/>
    <n v="65"/>
    <n v="0"/>
    <n v="-24"/>
    <n v="0"/>
    <n v="0.57269991357249261"/>
    <n v="1"/>
    <n v="74.349999999999994"/>
    <n v="74.349999999999994"/>
    <n v="-20.262960584969562"/>
    <n v="1463.4963586034619"/>
    <n v="0"/>
    <n v="1"/>
    <n v="0"/>
    <n v="0"/>
    <n v="0"/>
    <n v="0"/>
    <n v="0"/>
    <n v="0"/>
    <n v="0"/>
    <n v="0"/>
  </r>
  <r>
    <d v="2001-06-28T00:00:00"/>
    <n v="2001"/>
    <x v="12"/>
    <s v="R"/>
    <s v="RS"/>
    <x v="11"/>
    <s v="MIN"/>
    <s v="A"/>
    <n v="2"/>
    <n v="2"/>
    <n v="0"/>
    <n v="0"/>
    <n v="0"/>
    <n v="0"/>
    <n v="1454.0042541371656"/>
    <n v="1487.4255981377671"/>
    <n v="0.33716993342668355"/>
    <n v="59"/>
    <n v="68"/>
    <n v="0"/>
    <n v="-9"/>
    <n v="0"/>
    <n v="0.39497113857018984"/>
    <n v="1"/>
    <n v="74.05"/>
    <n v="74.05"/>
    <n v="-9.8614156644156097"/>
    <n v="1444.1428384727501"/>
    <n v="0"/>
    <n v="1"/>
    <n v="0"/>
    <n v="0"/>
    <n v="0"/>
    <n v="0"/>
    <n v="0"/>
    <n v="0"/>
    <n v="0"/>
    <n v="0"/>
  </r>
  <r>
    <d v="2001-06-28T00:00:00"/>
    <n v="2001"/>
    <x v="9"/>
    <s v="R"/>
    <s v="RS"/>
    <x v="9"/>
    <s v="SEA"/>
    <s v="H"/>
    <n v="2"/>
    <n v="2"/>
    <n v="0"/>
    <n v="0"/>
    <n v="0"/>
    <n v="0"/>
    <n v="1487.4255981377671"/>
    <n v="1454.0042541371656"/>
    <n v="0.66283006657331656"/>
    <n v="68"/>
    <n v="59"/>
    <n v="0"/>
    <n v="9"/>
    <n v="1"/>
    <n v="0.39497113857018984"/>
    <n v="1"/>
    <n v="74.5"/>
    <n v="74.5"/>
    <n v="9.9213432410393327"/>
    <n v="1497.3469413788064"/>
    <n v="1"/>
    <n v="0"/>
    <n v="0"/>
    <n v="0"/>
    <n v="0"/>
    <n v="0"/>
    <n v="0"/>
    <n v="0"/>
    <n v="0"/>
    <n v="0"/>
  </r>
  <r>
    <d v="2001-06-28T00:00:00"/>
    <n v="2001"/>
    <x v="10"/>
    <s v="R"/>
    <s v="RS"/>
    <x v="1"/>
    <s v="SAC"/>
    <s v="A"/>
    <n v="0"/>
    <n v="3"/>
    <n v="-3"/>
    <n v="3"/>
    <n v="-16"/>
    <n v="16"/>
    <n v="1700.483322761439"/>
    <n v="1544.6788630319074"/>
    <n v="0.55703390804397168"/>
    <n v="54"/>
    <n v="64"/>
    <n v="0"/>
    <n v="-10"/>
    <n v="0"/>
    <n v="0.37450506638695708"/>
    <n v="1"/>
    <n v="74.349999999999994"/>
    <n v="74.349999999999994"/>
    <n v="-15.510303739921865"/>
    <n v="1684.9730190215171"/>
    <n v="0"/>
    <n v="1"/>
    <n v="0"/>
    <n v="0"/>
    <n v="0"/>
    <n v="0"/>
    <n v="0"/>
    <n v="0"/>
    <n v="0"/>
    <n v="0"/>
  </r>
  <r>
    <d v="2001-06-28T00:00:00"/>
    <n v="2001"/>
    <x v="12"/>
    <s v="R"/>
    <s v="RS"/>
    <x v="15"/>
    <s v="HOU"/>
    <s v="H"/>
    <n v="3"/>
    <n v="0"/>
    <n v="3"/>
    <n v="-3"/>
    <n v="16"/>
    <n v="-16"/>
    <n v="1544.6788630319074"/>
    <n v="1700.483322761439"/>
    <n v="0.44296609195602832"/>
    <n v="64"/>
    <n v="54"/>
    <n v="0"/>
    <n v="10"/>
    <n v="1"/>
    <n v="0.37450506638695708"/>
    <n v="1"/>
    <n v="74.05"/>
    <n v="74.05"/>
    <n v="15.447720133708327"/>
    <n v="1560.1265831656158"/>
    <n v="1"/>
    <n v="0"/>
    <n v="0"/>
    <n v="0"/>
    <n v="0"/>
    <n v="0"/>
    <n v="0"/>
    <n v="0"/>
    <n v="0"/>
    <n v="0"/>
  </r>
  <r>
    <d v="2001-06-29T00:00:00"/>
    <n v="2001"/>
    <x v="11"/>
    <s v="R"/>
    <s v="RS"/>
    <x v="3"/>
    <s v="DET"/>
    <s v="A"/>
    <n v="6"/>
    <n v="1"/>
    <n v="5"/>
    <n v="-5"/>
    <n v="16"/>
    <n v="-16"/>
    <n v="1468.3423493018915"/>
    <n v="1387.5729096662653"/>
    <n v="0.54130818250231316"/>
    <n v="71"/>
    <n v="75"/>
    <n v="0"/>
    <n v="-4"/>
    <n v="0"/>
    <n v="0.29179278511749696"/>
    <n v="1"/>
    <n v="74.2"/>
    <n v="74.2"/>
    <n v="-11.719876805699629"/>
    <n v="1456.6224724961919"/>
    <n v="0"/>
    <n v="1"/>
    <n v="0"/>
    <n v="0"/>
    <n v="0"/>
    <n v="0"/>
    <n v="0"/>
    <n v="0"/>
    <n v="0"/>
    <n v="0"/>
  </r>
  <r>
    <d v="2001-06-29T00:00:00"/>
    <n v="2001"/>
    <x v="11"/>
    <s v="R"/>
    <s v="RS"/>
    <x v="14"/>
    <s v="PHX"/>
    <s v="H"/>
    <n v="1"/>
    <n v="6"/>
    <n v="-5"/>
    <n v="5"/>
    <n v="-16"/>
    <n v="16"/>
    <n v="1387.5729096662653"/>
    <n v="1468.3423493018915"/>
    <n v="0.45869181749768684"/>
    <n v="75"/>
    <n v="71"/>
    <n v="0"/>
    <n v="4"/>
    <n v="1"/>
    <n v="0.29179278511749696"/>
    <n v="1"/>
    <n v="74.2"/>
    <n v="74.2"/>
    <n v="11.719876805699629"/>
    <n v="1399.292786471965"/>
    <n v="1"/>
    <n v="0"/>
    <n v="0"/>
    <n v="0"/>
    <n v="0"/>
    <n v="0"/>
    <n v="0"/>
    <n v="0"/>
    <n v="0"/>
    <n v="0"/>
  </r>
  <r>
    <d v="2001-06-29T00:00:00"/>
    <n v="2001"/>
    <x v="12"/>
    <s v="R"/>
    <s v="RS"/>
    <x v="13"/>
    <s v="IND"/>
    <s v="A"/>
    <n v="1"/>
    <n v="1"/>
    <n v="0"/>
    <n v="0"/>
    <n v="0"/>
    <n v="0"/>
    <n v="1376.7818865442764"/>
    <n v="1431.4003248956797"/>
    <n v="0.31046380317634947"/>
    <n v="75"/>
    <n v="67"/>
    <n v="0"/>
    <n v="8"/>
    <n v="1"/>
    <n v="0.37141064387345762"/>
    <n v="1"/>
    <n v="74.05"/>
    <n v="74.05"/>
    <n v="18.964285184030032"/>
    <n v="1395.7461717283065"/>
    <n v="1"/>
    <n v="0"/>
    <n v="0"/>
    <n v="0"/>
    <n v="0"/>
    <n v="0"/>
    <n v="0"/>
    <n v="0"/>
    <n v="0"/>
    <n v="0"/>
  </r>
  <r>
    <d v="2001-06-29T00:00:00"/>
    <n v="2001"/>
    <x v="11"/>
    <s v="R"/>
    <s v="RS"/>
    <x v="6"/>
    <s v="CHA"/>
    <s v="H"/>
    <n v="1"/>
    <n v="1"/>
    <n v="0"/>
    <n v="0"/>
    <n v="0"/>
    <n v="0"/>
    <n v="1431.4003248956797"/>
    <n v="1376.7818865442764"/>
    <n v="0.68953619682365053"/>
    <n v="67"/>
    <n v="75"/>
    <n v="0"/>
    <n v="-8"/>
    <n v="0"/>
    <n v="0.37141064387345762"/>
    <n v="1"/>
    <n v="74.2"/>
    <n v="74.2"/>
    <n v="-19.002700346455484"/>
    <n v="1412.3976245492242"/>
    <n v="0"/>
    <n v="1"/>
    <n v="0"/>
    <n v="0"/>
    <n v="0"/>
    <n v="0"/>
    <n v="0"/>
    <n v="0"/>
    <n v="0"/>
    <n v="0"/>
  </r>
  <r>
    <d v="2001-06-29T00:00:00"/>
    <n v="2001"/>
    <x v="11"/>
    <s v="R"/>
    <s v="RS"/>
    <x v="10"/>
    <s v="MIA"/>
    <s v="A"/>
    <n v="1"/>
    <n v="1"/>
    <n v="0"/>
    <n v="0"/>
    <n v="0"/>
    <n v="0"/>
    <n v="1494.146660904614"/>
    <n v="1452.939195587544"/>
    <n v="0.43872612220543061"/>
    <n v="74"/>
    <n v="72"/>
    <n v="1"/>
    <n v="2"/>
    <n v="1"/>
    <n v="0.23305421096589116"/>
    <n v="1"/>
    <n v="74.2"/>
    <n v="74.2"/>
    <n v="9.7058972618083104"/>
    <n v="1503.8525581664223"/>
    <n v="1"/>
    <n v="0"/>
    <n v="0"/>
    <n v="0"/>
    <n v="0"/>
    <n v="0"/>
    <n v="0"/>
    <n v="0"/>
    <n v="0"/>
    <n v="0"/>
  </r>
  <r>
    <d v="2001-06-29T00:00:00"/>
    <n v="2001"/>
    <x v="11"/>
    <s v="R"/>
    <s v="RS"/>
    <x v="8"/>
    <s v="POR"/>
    <s v="H"/>
    <n v="1"/>
    <n v="1"/>
    <n v="0"/>
    <n v="0"/>
    <n v="0"/>
    <n v="0"/>
    <n v="1452.939195587544"/>
    <n v="1494.146660904614"/>
    <n v="0.5612738777945695"/>
    <n v="72"/>
    <n v="74"/>
    <n v="1"/>
    <n v="-2"/>
    <n v="0"/>
    <n v="0.23305421096589116"/>
    <n v="1"/>
    <n v="74.2"/>
    <n v="74.2"/>
    <n v="-9.7058972618083139"/>
    <n v="1443.2332983257356"/>
    <n v="0"/>
    <n v="1"/>
    <n v="0"/>
    <n v="0"/>
    <n v="0"/>
    <n v="0"/>
    <n v="0"/>
    <n v="0"/>
    <n v="0"/>
    <n v="0"/>
  </r>
  <r>
    <d v="2001-06-29T00:00:00"/>
    <n v="2001"/>
    <x v="10"/>
    <s v="R"/>
    <s v="RS"/>
    <x v="2"/>
    <s v="WAS"/>
    <s v="A"/>
    <n v="1"/>
    <n v="1"/>
    <n v="0"/>
    <n v="0"/>
    <n v="0"/>
    <n v="0"/>
    <n v="1499.4388800155134"/>
    <n v="1376.7800736621316"/>
    <n v="0.55540602626813274"/>
    <n v="64"/>
    <n v="74"/>
    <n v="0"/>
    <n v="-10"/>
    <n v="0"/>
    <n v="0.38389011342890567"/>
    <n v="1"/>
    <n v="74.349999999999994"/>
    <n v="74.349999999999994"/>
    <n v="-15.85252650816278"/>
    <n v="1483.5863535073506"/>
    <n v="0"/>
    <n v="1"/>
    <n v="0"/>
    <n v="0"/>
    <n v="0"/>
    <n v="0"/>
    <n v="0"/>
    <n v="0"/>
    <n v="0"/>
    <n v="0"/>
  </r>
  <r>
    <d v="2001-06-29T00:00:00"/>
    <n v="2001"/>
    <x v="11"/>
    <s v="R"/>
    <s v="RS"/>
    <x v="4"/>
    <s v="UTA"/>
    <s v="H"/>
    <n v="1"/>
    <n v="1"/>
    <n v="0"/>
    <n v="0"/>
    <n v="0"/>
    <n v="0"/>
    <n v="1376.7800736621316"/>
    <n v="1499.4388800155134"/>
    <n v="0.44459397373186738"/>
    <n v="74"/>
    <n v="64"/>
    <n v="0"/>
    <n v="10"/>
    <n v="1"/>
    <n v="0.38389011342890567"/>
    <n v="1"/>
    <n v="74.2"/>
    <n v="74.2"/>
    <n v="15.820544275799303"/>
    <n v="1392.6006179379308"/>
    <n v="1"/>
    <n v="0"/>
    <n v="0"/>
    <n v="0"/>
    <n v="0"/>
    <n v="0"/>
    <n v="0"/>
    <n v="0"/>
    <n v="0"/>
    <n v="0"/>
  </r>
  <r>
    <d v="2001-06-30T00:00:00"/>
    <n v="2001"/>
    <x v="13"/>
    <s v="R"/>
    <s v="RS"/>
    <x v="5"/>
    <s v="CHA"/>
    <s v="A"/>
    <n v="2"/>
    <n v="0"/>
    <n v="2"/>
    <n v="-2"/>
    <n v="16"/>
    <n v="-16"/>
    <n v="1620.7158487336483"/>
    <n v="1395.7461717283065"/>
    <n v="0.730211027197884"/>
    <n v="55"/>
    <n v="58"/>
    <n v="0"/>
    <n v="-3"/>
    <n v="0"/>
    <n v="0.24437027042586273"/>
    <n v="1"/>
    <n v="73.900000000000006"/>
    <n v="73.900000000000006"/>
    <n v="-13.186853911019321"/>
    <n v="1607.5289948226289"/>
    <n v="0"/>
    <n v="1"/>
    <n v="0"/>
    <n v="0"/>
    <n v="0"/>
    <n v="0"/>
    <n v="0"/>
    <n v="0"/>
    <n v="0"/>
    <n v="0"/>
  </r>
  <r>
    <d v="2001-06-30T00:00:00"/>
    <n v="2001"/>
    <x v="13"/>
    <s v="R"/>
    <s v="RS"/>
    <x v="13"/>
    <s v="CLE"/>
    <s v="H"/>
    <n v="0"/>
    <n v="2"/>
    <n v="-2"/>
    <n v="2"/>
    <n v="-16"/>
    <n v="16"/>
    <n v="1395.7461717283065"/>
    <n v="1620.7158487336483"/>
    <n v="0.269788972802116"/>
    <n v="58"/>
    <n v="55"/>
    <n v="0"/>
    <n v="3"/>
    <n v="1"/>
    <n v="0.24437027042586273"/>
    <n v="1"/>
    <n v="73.900000000000006"/>
    <n v="73.900000000000006"/>
    <n v="13.186853911019321"/>
    <n v="1408.9330256393259"/>
    <n v="1"/>
    <n v="0"/>
    <n v="0"/>
    <n v="0"/>
    <n v="0"/>
    <n v="0"/>
    <n v="0"/>
    <n v="0"/>
    <n v="0"/>
    <n v="0"/>
  </r>
  <r>
    <d v="2001-06-30T00:00:00"/>
    <n v="2001"/>
    <x v="11"/>
    <s v="R"/>
    <s v="RS"/>
    <x v="1"/>
    <s v="MIN"/>
    <s v="A"/>
    <n v="1"/>
    <n v="1"/>
    <n v="0"/>
    <n v="0"/>
    <n v="0"/>
    <n v="0"/>
    <n v="1684.9730190215171"/>
    <n v="1497.3469413788064"/>
    <n v="0.64485965487849273"/>
    <n v="59"/>
    <n v="52"/>
    <n v="0"/>
    <n v="7"/>
    <n v="1"/>
    <n v="0.32006360657264854"/>
    <n v="1"/>
    <n v="74.2"/>
    <n v="74.2"/>
    <n v="8.4341284776691179"/>
    <n v="1693.4071474991863"/>
    <n v="1"/>
    <n v="0"/>
    <n v="0"/>
    <n v="0"/>
    <n v="0"/>
    <n v="0"/>
    <n v="0"/>
    <n v="0"/>
    <n v="0"/>
    <n v="0"/>
  </r>
  <r>
    <d v="2001-06-30T00:00:00"/>
    <n v="2001"/>
    <x v="10"/>
    <s v="R"/>
    <s v="RS"/>
    <x v="9"/>
    <s v="HOU"/>
    <s v="H"/>
    <n v="1"/>
    <n v="1"/>
    <n v="0"/>
    <n v="0"/>
    <n v="0"/>
    <n v="0"/>
    <n v="1497.3469413788064"/>
    <n v="1684.9730190215171"/>
    <n v="0.35514034512150727"/>
    <n v="52"/>
    <n v="59"/>
    <n v="0"/>
    <n v="-7"/>
    <n v="0"/>
    <n v="0.32006360657264854"/>
    <n v="1"/>
    <n v="74.349999999999994"/>
    <n v="74.349999999999994"/>
    <n v="-8.4511786026239744"/>
    <n v="1488.8957627761824"/>
    <n v="0"/>
    <n v="1"/>
    <n v="0"/>
    <n v="0"/>
    <n v="0"/>
    <n v="0"/>
    <n v="0"/>
    <n v="0"/>
    <n v="0"/>
    <n v="0"/>
  </r>
  <r>
    <d v="2001-06-30T00:00:00"/>
    <n v="2001"/>
    <x v="11"/>
    <s v="R"/>
    <s v="RS"/>
    <x v="12"/>
    <s v="NYL"/>
    <s v="A"/>
    <n v="2"/>
    <n v="4"/>
    <n v="-2"/>
    <n v="2"/>
    <n v="-16"/>
    <n v="16"/>
    <n v="1463.4963586034619"/>
    <n v="1587.8164836931862"/>
    <n v="0.20046448659771951"/>
    <n v="60"/>
    <n v="72"/>
    <n v="0"/>
    <n v="-12"/>
    <n v="0"/>
    <n v="0.41331043855787125"/>
    <n v="1"/>
    <n v="74.2"/>
    <n v="74.2"/>
    <n v="-6.147771613426861"/>
    <n v="1457.3485869900351"/>
    <n v="0"/>
    <n v="1"/>
    <n v="0"/>
    <n v="0"/>
    <n v="0"/>
    <n v="0"/>
    <n v="0"/>
    <n v="0"/>
    <n v="0"/>
    <n v="0"/>
  </r>
  <r>
    <d v="2001-06-30T00:00:00"/>
    <n v="2001"/>
    <x v="12"/>
    <s v="R"/>
    <s v="RS"/>
    <x v="7"/>
    <s v="ORL"/>
    <s v="H"/>
    <n v="4"/>
    <n v="2"/>
    <n v="2"/>
    <n v="-2"/>
    <n v="16"/>
    <n v="-16"/>
    <n v="1587.8164836931862"/>
    <n v="1463.4963586034619"/>
    <n v="0.79953551340228057"/>
    <n v="72"/>
    <n v="60"/>
    <n v="0"/>
    <n v="12"/>
    <n v="1"/>
    <n v="0.41331043855787125"/>
    <n v="1"/>
    <n v="74.05"/>
    <n v="74.05"/>
    <n v="6.1353435036962107"/>
    <n v="1593.9518271968825"/>
    <n v="1"/>
    <n v="0"/>
    <n v="0"/>
    <n v="0"/>
    <n v="0"/>
    <n v="0"/>
    <n v="0"/>
    <n v="0"/>
    <n v="0"/>
    <n v="0"/>
  </r>
  <r>
    <d v="2001-06-30T00:00:00"/>
    <n v="2001"/>
    <x v="13"/>
    <s v="R"/>
    <s v="RS"/>
    <x v="15"/>
    <s v="SEA"/>
    <s v="A"/>
    <n v="1"/>
    <n v="1"/>
    <n v="0"/>
    <n v="0"/>
    <n v="0"/>
    <n v="0"/>
    <n v="1560.1265831656158"/>
    <n v="1444.1428384727501"/>
    <n v="0.54589872674243589"/>
    <n v="65"/>
    <n v="59"/>
    <n v="0"/>
    <n v="6"/>
    <n v="1"/>
    <n v="0.32032076004675231"/>
    <n v="1"/>
    <n v="73.900000000000006"/>
    <n v="73.900000000000006"/>
    <n v="10.749351002617701"/>
    <n v="1570.8759341682335"/>
    <n v="1"/>
    <n v="0"/>
    <n v="0"/>
    <n v="0"/>
    <n v="0"/>
    <n v="0"/>
    <n v="0"/>
    <n v="0"/>
    <n v="0"/>
    <n v="0"/>
  </r>
  <r>
    <d v="2001-06-30T00:00:00"/>
    <n v="2001"/>
    <x v="13"/>
    <s v="R"/>
    <s v="RS"/>
    <x v="11"/>
    <s v="SAC"/>
    <s v="H"/>
    <n v="1"/>
    <n v="1"/>
    <n v="0"/>
    <n v="0"/>
    <n v="0"/>
    <n v="0"/>
    <n v="1444.1428384727501"/>
    <n v="1560.1265831656158"/>
    <n v="0.45410127325756411"/>
    <n v="59"/>
    <n v="65"/>
    <n v="0"/>
    <n v="-6"/>
    <n v="0"/>
    <n v="0.32032076004675231"/>
    <n v="1"/>
    <n v="73.900000000000006"/>
    <n v="73.900000000000006"/>
    <n v="-10.749351002617701"/>
    <n v="1433.3934874701324"/>
    <n v="0"/>
    <n v="1"/>
    <n v="0"/>
    <n v="0"/>
    <n v="0"/>
    <n v="0"/>
    <n v="0"/>
    <n v="0"/>
    <n v="0"/>
    <n v="0"/>
  </r>
  <r>
    <d v="2001-07-01T00:00:00"/>
    <n v="2001"/>
    <x v="11"/>
    <s v="R"/>
    <s v="RS"/>
    <x v="9"/>
    <s v="CLE"/>
    <s v="A"/>
    <n v="0"/>
    <n v="0"/>
    <n v="0"/>
    <n v="0"/>
    <n v="0"/>
    <n v="0"/>
    <n v="1488.8957627761824"/>
    <n v="1607.5289948226289"/>
    <n v="0.23749714531666946"/>
    <n v="47"/>
    <n v="52"/>
    <n v="0"/>
    <n v="-5"/>
    <n v="0"/>
    <n v="0.30190894699025356"/>
    <n v="1"/>
    <n v="74.2"/>
    <n v="74.2"/>
    <n v="-5.32032646873642"/>
    <n v="1483.5754363074461"/>
    <n v="0"/>
    <n v="1"/>
    <n v="0"/>
    <n v="0"/>
    <n v="0"/>
    <n v="0"/>
    <n v="0"/>
    <n v="0"/>
    <n v="0"/>
    <n v="0"/>
  </r>
  <r>
    <d v="2001-07-01T00:00:00"/>
    <n v="2001"/>
    <x v="14"/>
    <s v="R"/>
    <s v="RS"/>
    <x v="5"/>
    <s v="MIN"/>
    <s v="H"/>
    <n v="0"/>
    <n v="0"/>
    <n v="0"/>
    <n v="0"/>
    <n v="0"/>
    <n v="0"/>
    <n v="1607.5289948226289"/>
    <n v="1488.8957627761824"/>
    <n v="0.76250285468333057"/>
    <n v="52"/>
    <n v="47"/>
    <n v="0"/>
    <n v="5"/>
    <n v="1"/>
    <n v="0.30190894699025356"/>
    <n v="1"/>
    <n v="73.75"/>
    <n v="73.75"/>
    <n v="5.2880603378613342"/>
    <n v="1612.8170551604901"/>
    <n v="1"/>
    <n v="0"/>
    <n v="0"/>
    <n v="0"/>
    <n v="0"/>
    <n v="0"/>
    <n v="0"/>
    <n v="0"/>
    <n v="0"/>
    <n v="0"/>
  </r>
  <r>
    <d v="2001-07-01T00:00:00"/>
    <n v="2001"/>
    <x v="12"/>
    <s v="R"/>
    <s v="RS"/>
    <x v="3"/>
    <s v="IND"/>
    <s v="A"/>
    <n v="1"/>
    <n v="1"/>
    <n v="0"/>
    <n v="0"/>
    <n v="0"/>
    <n v="0"/>
    <n v="1456.6224724961919"/>
    <n v="1412.3976245492242"/>
    <n v="0.44300772070696109"/>
    <n v="78"/>
    <n v="86"/>
    <n v="1"/>
    <n v="-8"/>
    <n v="0"/>
    <n v="0.33706188917159541"/>
    <n v="1"/>
    <n v="74.05"/>
    <n v="74.05"/>
    <n v="-11.057221476135673"/>
    <n v="1445.5652510200562"/>
    <n v="0"/>
    <n v="1"/>
    <n v="0"/>
    <n v="0"/>
    <n v="0"/>
    <n v="0"/>
    <n v="0"/>
    <n v="0"/>
    <n v="0"/>
    <n v="0"/>
  </r>
  <r>
    <d v="2001-07-01T00:00:00"/>
    <n v="2001"/>
    <x v="12"/>
    <s v="R"/>
    <s v="RS"/>
    <x v="6"/>
    <s v="PHX"/>
    <s v="H"/>
    <n v="1"/>
    <n v="1"/>
    <n v="0"/>
    <n v="0"/>
    <n v="0"/>
    <n v="0"/>
    <n v="1412.3976245492242"/>
    <n v="1456.6224724961919"/>
    <n v="0.55699227929303896"/>
    <n v="86"/>
    <n v="78"/>
    <n v="1"/>
    <n v="8"/>
    <n v="1"/>
    <n v="0.33706188917159541"/>
    <n v="1"/>
    <n v="74.05"/>
    <n v="74.05"/>
    <n v="11.057221476135673"/>
    <n v="1423.45484602536"/>
    <n v="1"/>
    <n v="0"/>
    <n v="0"/>
    <n v="0"/>
    <n v="0"/>
    <n v="0"/>
    <n v="0"/>
    <n v="0"/>
    <n v="0"/>
    <n v="0"/>
  </r>
  <r>
    <d v="2001-07-01T00:00:00"/>
    <n v="2001"/>
    <x v="12"/>
    <s v="R"/>
    <s v="RS"/>
    <x v="8"/>
    <s v="LAS"/>
    <s v="A"/>
    <n v="1"/>
    <n v="4"/>
    <n v="-3"/>
    <n v="3"/>
    <n v="-16"/>
    <n v="16"/>
    <n v="1443.2332983257356"/>
    <n v="1653.0514812870472"/>
    <n v="0.13289966775667891"/>
    <n v="60"/>
    <n v="86"/>
    <n v="0"/>
    <n v="-26"/>
    <n v="0"/>
    <n v="0.5567419019745633"/>
    <n v="1"/>
    <n v="74.05"/>
    <n v="74.05"/>
    <n v="-5.4790197617893632"/>
    <n v="1437.7542785639462"/>
    <n v="0"/>
    <n v="1"/>
    <n v="0"/>
    <n v="0"/>
    <n v="0"/>
    <n v="0"/>
    <n v="0"/>
    <n v="0"/>
    <n v="0"/>
    <n v="0"/>
  </r>
  <r>
    <d v="2001-07-01T00:00:00"/>
    <n v="2001"/>
    <x v="13"/>
    <s v="R"/>
    <s v="RS"/>
    <x v="0"/>
    <s v="MIA"/>
    <s v="H"/>
    <n v="4"/>
    <n v="1"/>
    <n v="3"/>
    <n v="-3"/>
    <n v="16"/>
    <n v="-16"/>
    <n v="1653.0514812870472"/>
    <n v="1443.2332983257356"/>
    <n v="0.86710033224332106"/>
    <n v="86"/>
    <n v="60"/>
    <n v="0"/>
    <n v="26"/>
    <n v="1"/>
    <n v="0.5567419019745633"/>
    <n v="1"/>
    <n v="73.900000000000006"/>
    <n v="73.900000000000006"/>
    <n v="5.4679211397195688"/>
    <n v="1658.5194024267666"/>
    <n v="1"/>
    <n v="0"/>
    <n v="0"/>
    <n v="0"/>
    <n v="0"/>
    <n v="0"/>
    <n v="0"/>
    <n v="0"/>
    <n v="0"/>
    <n v="0"/>
  </r>
  <r>
    <d v="2001-07-01T00:00:00"/>
    <n v="2001"/>
    <x v="12"/>
    <s v="R"/>
    <s v="RS"/>
    <x v="12"/>
    <s v="WAS"/>
    <s v="A"/>
    <n v="0"/>
    <n v="1"/>
    <n v="-1"/>
    <n v="1"/>
    <n v="-8"/>
    <n v="8"/>
    <n v="1457.3485869900351"/>
    <n v="1392.6006179379308"/>
    <n v="0.44944162726377868"/>
    <n v="64"/>
    <n v="76"/>
    <n v="0"/>
    <n v="-12"/>
    <n v="0"/>
    <n v="0.43277818591958478"/>
    <n v="1"/>
    <n v="74.05"/>
    <n v="74.05"/>
    <n v="-14.403356803779559"/>
    <n v="1442.9452301862555"/>
    <n v="0"/>
    <n v="1"/>
    <n v="0"/>
    <n v="0"/>
    <n v="0"/>
    <n v="0"/>
    <n v="0"/>
    <n v="0"/>
    <n v="0"/>
    <n v="0"/>
  </r>
  <r>
    <d v="2001-07-01T00:00:00"/>
    <n v="2001"/>
    <x v="12"/>
    <s v="R"/>
    <s v="RS"/>
    <x v="4"/>
    <s v="ORL"/>
    <s v="H"/>
    <n v="1"/>
    <n v="0"/>
    <n v="1"/>
    <n v="-1"/>
    <n v="8"/>
    <n v="-8"/>
    <n v="1392.6006179379308"/>
    <n v="1457.3485869900351"/>
    <n v="0.55055837273622132"/>
    <n v="76"/>
    <n v="64"/>
    <n v="0"/>
    <n v="12"/>
    <n v="1"/>
    <n v="0.43277818591958478"/>
    <n v="1"/>
    <n v="74.05"/>
    <n v="74.05"/>
    <n v="14.403356803779559"/>
    <n v="1407.0039747417104"/>
    <n v="1"/>
    <n v="0"/>
    <n v="0"/>
    <n v="0"/>
    <n v="0"/>
    <n v="0"/>
    <n v="0"/>
    <n v="0"/>
    <n v="0"/>
    <n v="0"/>
  </r>
  <r>
    <d v="2001-07-02T00:00:00"/>
    <n v="2001"/>
    <x v="12"/>
    <s v="R"/>
    <s v="RS"/>
    <x v="10"/>
    <s v="HOU"/>
    <s v="A"/>
    <n v="2"/>
    <n v="1"/>
    <n v="1"/>
    <n v="-1"/>
    <n v="8"/>
    <n v="-8"/>
    <n v="1503.8525581664223"/>
    <n v="1693.4071474991863"/>
    <n v="0.18503451384368239"/>
    <n v="67"/>
    <n v="74"/>
    <n v="0"/>
    <n v="-7"/>
    <n v="0"/>
    <n v="0.31961940206886408"/>
    <n v="1"/>
    <n v="74.05"/>
    <n v="74.05"/>
    <n v="-4.3793629611185736"/>
    <n v="1499.4731952053037"/>
    <n v="0"/>
    <n v="1"/>
    <n v="0"/>
    <n v="0"/>
    <n v="0"/>
    <n v="0"/>
    <n v="0"/>
    <n v="0"/>
    <n v="0"/>
    <n v="0"/>
  </r>
  <r>
    <d v="2001-07-02T00:00:00"/>
    <n v="2001"/>
    <x v="12"/>
    <s v="R"/>
    <s v="RS"/>
    <x v="1"/>
    <s v="POR"/>
    <s v="H"/>
    <n v="1"/>
    <n v="2"/>
    <n v="-1"/>
    <n v="1"/>
    <n v="-8"/>
    <n v="8"/>
    <n v="1693.4071474991863"/>
    <n v="1503.8525581664223"/>
    <n v="0.81496548615631759"/>
    <n v="74"/>
    <n v="67"/>
    <n v="0"/>
    <n v="7"/>
    <n v="1"/>
    <n v="0.31961940206886408"/>
    <n v="1"/>
    <n v="74.05"/>
    <n v="74.05"/>
    <n v="4.3793629611185745"/>
    <n v="1697.786510460305"/>
    <n v="1"/>
    <n v="0"/>
    <n v="0"/>
    <n v="0"/>
    <n v="0"/>
    <n v="0"/>
    <n v="0"/>
    <n v="0"/>
    <n v="0"/>
    <n v="0"/>
  </r>
  <r>
    <d v="2001-07-02T00:00:00"/>
    <n v="2001"/>
    <x v="12"/>
    <s v="R"/>
    <s v="RS"/>
    <x v="14"/>
    <s v="NYL"/>
    <s v="A"/>
    <n v="2"/>
    <n v="1"/>
    <n v="1"/>
    <n v="-1"/>
    <n v="8"/>
    <n v="-8"/>
    <n v="1399.292786471965"/>
    <n v="1593.9518271968825"/>
    <n v="0.18064450959227493"/>
    <n v="60"/>
    <n v="66"/>
    <n v="0"/>
    <n v="-6"/>
    <n v="0"/>
    <n v="0.30225087351105046"/>
    <n v="1"/>
    <n v="74.05"/>
    <n v="74.05"/>
    <n v="-4.0431270986647538"/>
    <n v="1395.2496593733001"/>
    <n v="0"/>
    <n v="1"/>
    <n v="0"/>
    <n v="0"/>
    <n v="0"/>
    <n v="0"/>
    <n v="0"/>
    <n v="0"/>
    <n v="0"/>
    <n v="0"/>
  </r>
  <r>
    <d v="2001-07-02T00:00:00"/>
    <n v="2001"/>
    <x v="13"/>
    <s v="R"/>
    <s v="RS"/>
    <x v="7"/>
    <s v="DET"/>
    <s v="H"/>
    <n v="1"/>
    <n v="2"/>
    <n v="-1"/>
    <n v="1"/>
    <n v="-8"/>
    <n v="8"/>
    <n v="1593.9518271968825"/>
    <n v="1399.292786471965"/>
    <n v="0.81935549040772504"/>
    <n v="66"/>
    <n v="60"/>
    <n v="0"/>
    <n v="6"/>
    <n v="1"/>
    <n v="0.30225087351105046"/>
    <n v="1"/>
    <n v="73.900000000000006"/>
    <n v="73.900000000000006"/>
    <n v="4.0349371045418687"/>
    <n v="1597.9867643014243"/>
    <n v="1"/>
    <n v="0"/>
    <n v="0"/>
    <n v="0"/>
    <n v="0"/>
    <n v="0"/>
    <n v="0"/>
    <n v="0"/>
    <n v="0"/>
    <n v="0"/>
  </r>
  <r>
    <d v="2001-07-02T00:00:00"/>
    <n v="2001"/>
    <x v="13"/>
    <s v="R"/>
    <s v="RS"/>
    <x v="8"/>
    <s v="UTA"/>
    <s v="A"/>
    <n v="0"/>
    <n v="2"/>
    <n v="-2"/>
    <n v="2"/>
    <n v="-16"/>
    <n v="16"/>
    <n v="1437.7542785639462"/>
    <n v="1483.5863535073506"/>
    <n v="0.28260421421978688"/>
    <n v="69"/>
    <n v="59"/>
    <n v="0"/>
    <n v="10"/>
    <n v="1"/>
    <n v="0.40756346654649023"/>
    <n v="1"/>
    <n v="73.900000000000006"/>
    <n v="73.900000000000006"/>
    <n v="21.607200755709755"/>
    <n v="1459.3614793196559"/>
    <n v="1"/>
    <n v="0"/>
    <n v="0"/>
    <n v="0"/>
    <n v="0"/>
    <n v="0"/>
    <n v="0"/>
    <n v="0"/>
    <n v="0"/>
    <n v="0"/>
  </r>
  <r>
    <d v="2001-07-02T00:00:00"/>
    <n v="2001"/>
    <x v="11"/>
    <s v="R"/>
    <s v="RS"/>
    <x v="2"/>
    <s v="MIA"/>
    <s v="H"/>
    <n v="2"/>
    <n v="0"/>
    <n v="2"/>
    <n v="-2"/>
    <n v="16"/>
    <n v="-16"/>
    <n v="1483.5863535073506"/>
    <n v="1437.7542785639462"/>
    <n v="0.71739578578021312"/>
    <n v="59"/>
    <n v="69"/>
    <n v="0"/>
    <n v="-10"/>
    <n v="0"/>
    <n v="0.40756346654649023"/>
    <n v="1"/>
    <n v="74.2"/>
    <n v="74.2"/>
    <n v="-21.694916049711281"/>
    <n v="1461.8914374576393"/>
    <n v="0"/>
    <n v="1"/>
    <n v="0"/>
    <n v="0"/>
    <n v="0"/>
    <n v="0"/>
    <n v="0"/>
    <n v="0"/>
    <n v="0"/>
    <n v="0"/>
  </r>
  <r>
    <d v="2001-07-03T00:00:00"/>
    <n v="2001"/>
    <x v="14"/>
    <s v="R"/>
    <s v="RS"/>
    <x v="7"/>
    <s v="CHA"/>
    <s v="A"/>
    <n v="0"/>
    <n v="2"/>
    <n v="-2"/>
    <n v="2"/>
    <n v="-16"/>
    <n v="16"/>
    <n v="1597.9867643014243"/>
    <n v="1408.9330256393259"/>
    <n v="0.60361033620354299"/>
    <n v="61"/>
    <n v="66"/>
    <n v="0"/>
    <n v="-5"/>
    <n v="0"/>
    <n v="0.28660314534478992"/>
    <n v="1"/>
    <n v="73.75"/>
    <n v="73.75"/>
    <n v="-12.758500792743915"/>
    <n v="1585.2282635086804"/>
    <n v="0"/>
    <n v="1"/>
    <n v="0"/>
    <n v="0"/>
    <n v="0"/>
    <n v="0"/>
    <n v="0"/>
    <n v="0"/>
    <n v="0"/>
    <n v="0"/>
  </r>
  <r>
    <d v="2001-07-03T00:00:00"/>
    <n v="2001"/>
    <x v="14"/>
    <s v="R"/>
    <s v="RS"/>
    <x v="13"/>
    <s v="NYL"/>
    <s v="H"/>
    <n v="2"/>
    <n v="0"/>
    <n v="2"/>
    <n v="-2"/>
    <n v="16"/>
    <n v="-16"/>
    <n v="1408.9330256393259"/>
    <n v="1597.9867643014243"/>
    <n v="0.39638966379645701"/>
    <n v="66"/>
    <n v="61"/>
    <n v="0"/>
    <n v="5"/>
    <n v="1"/>
    <n v="0.28660314534478992"/>
    <n v="1"/>
    <n v="73.75"/>
    <n v="73.75"/>
    <n v="12.758500792743915"/>
    <n v="1421.6915264320698"/>
    <n v="1"/>
    <n v="0"/>
    <n v="0"/>
    <n v="0"/>
    <n v="0"/>
    <n v="0"/>
    <n v="0"/>
    <n v="0"/>
    <n v="0"/>
    <n v="0"/>
  </r>
  <r>
    <d v="2001-07-03T00:00:00"/>
    <n v="2001"/>
    <x v="12"/>
    <s v="R"/>
    <s v="RS"/>
    <x v="2"/>
    <s v="LAS"/>
    <s v="A"/>
    <n v="0"/>
    <n v="1"/>
    <n v="-1"/>
    <n v="1"/>
    <n v="-8"/>
    <n v="8"/>
    <n v="1461.8914374576393"/>
    <n v="1658.5194024267666"/>
    <n v="0.15348464312880802"/>
    <n v="71"/>
    <n v="84"/>
    <n v="0"/>
    <n v="-13"/>
    <n v="0"/>
    <n v="0.40558582599301068"/>
    <n v="1"/>
    <n v="74.05"/>
    <n v="74.05"/>
    <n v="-4.6097010460753971"/>
    <n v="1457.281736411564"/>
    <n v="0"/>
    <n v="1"/>
    <n v="0"/>
    <n v="0"/>
    <n v="0"/>
    <n v="0"/>
    <n v="0"/>
    <n v="0"/>
    <n v="0"/>
    <n v="0"/>
  </r>
  <r>
    <d v="2001-07-03T00:00:00"/>
    <n v="2001"/>
    <x v="14"/>
    <s v="R"/>
    <s v="RS"/>
    <x v="0"/>
    <s v="UTA"/>
    <s v="H"/>
    <n v="1"/>
    <n v="0"/>
    <n v="1"/>
    <n v="-1"/>
    <n v="8"/>
    <n v="-8"/>
    <n v="1658.5194024267666"/>
    <n v="1461.8914374576393"/>
    <n v="0.84651535687119184"/>
    <n v="84"/>
    <n v="71"/>
    <n v="0"/>
    <n v="13"/>
    <n v="1"/>
    <n v="0.40558582599301068"/>
    <n v="1"/>
    <n v="73.75"/>
    <n v="73.75"/>
    <n v="4.5910256873472095"/>
    <n v="1663.1104281141138"/>
    <n v="1"/>
    <n v="0"/>
    <n v="0"/>
    <n v="0"/>
    <n v="0"/>
    <n v="0"/>
    <n v="0"/>
    <n v="0"/>
    <n v="0"/>
    <n v="0"/>
  </r>
  <r>
    <d v="2001-07-03T00:00:00"/>
    <n v="2001"/>
    <x v="14"/>
    <s v="R"/>
    <s v="RS"/>
    <x v="15"/>
    <s v="MIN"/>
    <s v="A"/>
    <n v="2"/>
    <n v="1"/>
    <n v="1"/>
    <n v="-1"/>
    <n v="8"/>
    <n v="-8"/>
    <n v="1570.8759341682335"/>
    <n v="1483.5754363074461"/>
    <n v="0.52774711299604438"/>
    <n v="91"/>
    <n v="52"/>
    <n v="0"/>
    <n v="39"/>
    <n v="1"/>
    <n v="0.75230105122069035"/>
    <n v="1"/>
    <n v="73.75"/>
    <n v="73.75"/>
    <n v="26.201630320962277"/>
    <n v="1597.0775644891958"/>
    <n v="1"/>
    <n v="0"/>
    <n v="0"/>
    <n v="0"/>
    <n v="0"/>
    <n v="0"/>
    <n v="0"/>
    <n v="0"/>
    <n v="0"/>
    <n v="0"/>
  </r>
  <r>
    <d v="2001-07-03T00:00:00"/>
    <n v="2001"/>
    <x v="12"/>
    <s v="R"/>
    <s v="RS"/>
    <x v="9"/>
    <s v="SAC"/>
    <s v="H"/>
    <n v="1"/>
    <n v="2"/>
    <n v="-1"/>
    <n v="1"/>
    <n v="-8"/>
    <n v="8"/>
    <n v="1483.5754363074461"/>
    <n v="1570.8759341682335"/>
    <n v="0.47225288700395557"/>
    <n v="52"/>
    <n v="91"/>
    <n v="0"/>
    <n v="-39"/>
    <n v="0"/>
    <n v="0.75230105122069035"/>
    <n v="1"/>
    <n v="74.05"/>
    <n v="74.05"/>
    <n v="-26.308213223962799"/>
    <n v="1457.2672230834833"/>
    <n v="0"/>
    <n v="1"/>
    <n v="0"/>
    <n v="0"/>
    <n v="0"/>
    <n v="0"/>
    <n v="0"/>
    <n v="0"/>
    <n v="0"/>
    <n v="0"/>
  </r>
  <r>
    <d v="2001-07-03T00:00:00"/>
    <n v="2001"/>
    <x v="13"/>
    <s v="R"/>
    <s v="RS"/>
    <x v="4"/>
    <s v="SEA"/>
    <s v="A"/>
    <n v="1"/>
    <n v="2"/>
    <n v="-1"/>
    <n v="1"/>
    <n v="-8"/>
    <n v="8"/>
    <n v="1407.0039747417104"/>
    <n v="1433.3934874701324"/>
    <n v="0.32573116119051165"/>
    <n v="72"/>
    <n v="69"/>
    <n v="1"/>
    <n v="3"/>
    <n v="1"/>
    <n v="0.25554540342518828"/>
    <n v="1"/>
    <n v="73.900000000000006"/>
    <n v="73.900000000000006"/>
    <n v="12.733435749621634"/>
    <n v="1419.737410491332"/>
    <n v="1"/>
    <n v="0"/>
    <n v="0"/>
    <n v="0"/>
    <n v="0"/>
    <n v="0"/>
    <n v="0"/>
    <n v="0"/>
    <n v="0"/>
    <n v="0"/>
  </r>
  <r>
    <d v="2001-07-03T00:00:00"/>
    <n v="2001"/>
    <x v="14"/>
    <s v="R"/>
    <s v="RS"/>
    <x v="11"/>
    <s v="WAS"/>
    <s v="H"/>
    <n v="2"/>
    <n v="1"/>
    <n v="1"/>
    <n v="-1"/>
    <n v="8"/>
    <n v="-8"/>
    <n v="1433.3934874701324"/>
    <n v="1407.0039747417104"/>
    <n v="0.6742688388094884"/>
    <n v="69"/>
    <n v="72"/>
    <n v="1"/>
    <n v="-3"/>
    <n v="0"/>
    <n v="0.25554540342518828"/>
    <n v="1"/>
    <n v="73.75"/>
    <n v="73.75"/>
    <n v="-12.707589804257044"/>
    <n v="1420.6858976658755"/>
    <n v="0"/>
    <n v="1"/>
    <n v="0"/>
    <n v="0"/>
    <n v="0"/>
    <n v="0"/>
    <n v="0"/>
    <n v="0"/>
    <n v="0"/>
    <n v="0"/>
  </r>
  <r>
    <d v="2001-07-04T00:00:00"/>
    <n v="2001"/>
    <x v="14"/>
    <s v="R"/>
    <s v="RS"/>
    <x v="8"/>
    <s v="PHX"/>
    <s v="A"/>
    <n v="1"/>
    <n v="2"/>
    <n v="-1"/>
    <n v="1"/>
    <n v="-8"/>
    <n v="8"/>
    <n v="1459.3614793196559"/>
    <n v="1445.5652510200562"/>
    <n v="0.3784273234101217"/>
    <n v="47"/>
    <n v="60"/>
    <n v="0"/>
    <n v="-13"/>
    <n v="0"/>
    <n v="0.46667842061964648"/>
    <n v="1"/>
    <n v="73.75"/>
    <n v="73.75"/>
    <n v="-13.02453508861624"/>
    <n v="1446.3369442310398"/>
    <n v="0"/>
    <n v="1"/>
    <n v="0"/>
    <n v="0"/>
    <n v="0"/>
    <n v="0"/>
    <n v="0"/>
    <n v="0"/>
    <n v="0"/>
    <n v="0"/>
  </r>
  <r>
    <d v="2001-07-04T00:00:00"/>
    <n v="2001"/>
    <x v="13"/>
    <s v="R"/>
    <s v="RS"/>
    <x v="3"/>
    <s v="MIA"/>
    <s v="H"/>
    <n v="2"/>
    <n v="1"/>
    <n v="1"/>
    <n v="-1"/>
    <n v="8"/>
    <n v="-8"/>
    <n v="1445.5652510200562"/>
    <n v="1459.3614793196559"/>
    <n v="0.62157267658987825"/>
    <n v="60"/>
    <n v="47"/>
    <n v="0"/>
    <n v="13"/>
    <n v="1"/>
    <n v="0.46667842061964648"/>
    <n v="1"/>
    <n v="73.900000000000006"/>
    <n v="73.900000000000006"/>
    <n v="13.051025668457495"/>
    <n v="1458.6162766885136"/>
    <n v="1"/>
    <n v="0"/>
    <n v="0"/>
    <n v="0"/>
    <n v="0"/>
    <n v="0"/>
    <n v="0"/>
    <n v="0"/>
    <n v="0"/>
    <n v="0"/>
  </r>
  <r>
    <d v="2001-07-04T00:00:00"/>
    <n v="2001"/>
    <x v="15"/>
    <s v="R"/>
    <s v="RS"/>
    <x v="11"/>
    <s v="POR"/>
    <s v="A"/>
    <n v="0"/>
    <n v="1"/>
    <n v="-1"/>
    <n v="1"/>
    <n v="-8"/>
    <n v="8"/>
    <n v="1420.6858976658755"/>
    <n v="1499.4731952053037"/>
    <n v="0.26324264070828951"/>
    <n v="61"/>
    <n v="56"/>
    <n v="0"/>
    <n v="5"/>
    <n v="1"/>
    <n v="0.31131617534793554"/>
    <n v="1"/>
    <n v="73.599999999999994"/>
    <n v="73.599999999999994"/>
    <n v="16.881225967504712"/>
    <n v="1437.5671236333801"/>
    <n v="1"/>
    <n v="0"/>
    <n v="0"/>
    <n v="0"/>
    <n v="0"/>
    <n v="0"/>
    <n v="0"/>
    <n v="0"/>
    <n v="0"/>
    <n v="0"/>
  </r>
  <r>
    <d v="2001-07-04T00:00:00"/>
    <n v="2001"/>
    <x v="13"/>
    <s v="R"/>
    <s v="RS"/>
    <x v="10"/>
    <s v="SEA"/>
    <s v="H"/>
    <n v="1"/>
    <n v="0"/>
    <n v="1"/>
    <n v="-1"/>
    <n v="8"/>
    <n v="-8"/>
    <n v="1499.4731952053037"/>
    <n v="1420.6858976658755"/>
    <n v="0.7367573592917106"/>
    <n v="56"/>
    <n v="61"/>
    <n v="0"/>
    <n v="-5"/>
    <n v="0"/>
    <n v="0.31131617534793554"/>
    <n v="1"/>
    <n v="73.900000000000006"/>
    <n v="73.900000000000006"/>
    <n v="-16.950035312480956"/>
    <n v="1482.5231598928228"/>
    <n v="0"/>
    <n v="1"/>
    <n v="0"/>
    <n v="0"/>
    <n v="0"/>
    <n v="0"/>
    <n v="0"/>
    <n v="0"/>
    <n v="0"/>
    <n v="0"/>
  </r>
  <r>
    <d v="2001-07-05T00:00:00"/>
    <n v="2001"/>
    <x v="14"/>
    <s v="R"/>
    <s v="RS"/>
    <x v="3"/>
    <s v="LAS"/>
    <s v="A"/>
    <n v="0"/>
    <n v="1"/>
    <n v="-1"/>
    <n v="1"/>
    <n v="-8"/>
    <n v="8"/>
    <n v="1458.6162766885136"/>
    <n v="1663.1104281141138"/>
    <n v="0.14769322162087542"/>
    <n v="50"/>
    <n v="73"/>
    <n v="0"/>
    <n v="-23"/>
    <n v="0"/>
    <n v="0.52574467634829258"/>
    <n v="1"/>
    <n v="73.75"/>
    <n v="73.75"/>
    <n v="-5.7266082187429044"/>
    <n v="1452.8896684697706"/>
    <n v="0"/>
    <n v="1"/>
    <n v="0"/>
    <n v="0"/>
    <n v="0"/>
    <n v="0"/>
    <n v="0"/>
    <n v="0"/>
    <n v="0"/>
    <n v="0"/>
  </r>
  <r>
    <d v="2001-07-05T00:00:00"/>
    <n v="2001"/>
    <x v="15"/>
    <s v="R"/>
    <s v="RS"/>
    <x v="0"/>
    <s v="PHX"/>
    <s v="H"/>
    <n v="1"/>
    <n v="0"/>
    <n v="1"/>
    <n v="-1"/>
    <n v="8"/>
    <n v="-8"/>
    <n v="1663.1104281141138"/>
    <n v="1458.6162766885136"/>
    <n v="0.8523067783791245"/>
    <n v="73"/>
    <n v="50"/>
    <n v="0"/>
    <n v="23"/>
    <n v="1"/>
    <n v="0.52574467634829258"/>
    <n v="1"/>
    <n v="73.599999999999994"/>
    <n v="73.599999999999994"/>
    <n v="5.7149608799929217"/>
    <n v="1668.8253889941068"/>
    <n v="1"/>
    <n v="0"/>
    <n v="0"/>
    <n v="0"/>
    <n v="0"/>
    <n v="0"/>
    <n v="0"/>
    <n v="0"/>
    <n v="0"/>
    <n v="0"/>
  </r>
  <r>
    <d v="2001-07-06T00:00:00"/>
    <n v="2001"/>
    <x v="15"/>
    <s v="R"/>
    <s v="RS"/>
    <x v="13"/>
    <s v="DET"/>
    <s v="A"/>
    <n v="2"/>
    <n v="3"/>
    <n v="-1"/>
    <n v="1"/>
    <n v="-8"/>
    <n v="8"/>
    <n v="1421.6915264320698"/>
    <n v="1395.2496593733001"/>
    <n v="0.39569516115421305"/>
    <n v="67"/>
    <n v="50"/>
    <n v="0"/>
    <n v="17"/>
    <n v="1"/>
    <n v="0.52096271340660294"/>
    <n v="1"/>
    <n v="73.599999999999994"/>
    <n v="73.599999999999994"/>
    <n v="23.170773238740303"/>
    <n v="1444.8622996708102"/>
    <n v="1"/>
    <n v="0"/>
    <n v="0"/>
    <n v="0"/>
    <n v="0"/>
    <n v="0"/>
    <n v="0"/>
    <n v="0"/>
    <n v="0"/>
    <n v="0"/>
  </r>
  <r>
    <d v="2001-07-06T00:00:00"/>
    <n v="2001"/>
    <x v="13"/>
    <s v="R"/>
    <s v="RS"/>
    <x v="14"/>
    <s v="CHA"/>
    <s v="H"/>
    <n v="3"/>
    <n v="2"/>
    <n v="1"/>
    <n v="-1"/>
    <n v="8"/>
    <n v="-8"/>
    <n v="1395.2496593733001"/>
    <n v="1421.6915264320698"/>
    <n v="0.6043048388457869"/>
    <n v="50"/>
    <n v="67"/>
    <n v="0"/>
    <n v="-17"/>
    <n v="0"/>
    <n v="0.52096271340660294"/>
    <n v="1"/>
    <n v="73.900000000000006"/>
    <n v="73.900000000000006"/>
    <n v="-23.265219325311257"/>
    <n v="1371.9844400479888"/>
    <n v="0"/>
    <n v="1"/>
    <n v="0"/>
    <n v="0"/>
    <n v="0"/>
    <n v="0"/>
    <n v="0"/>
    <n v="0"/>
    <n v="0"/>
    <n v="0"/>
  </r>
  <r>
    <d v="2001-07-06T00:00:00"/>
    <n v="2001"/>
    <x v="13"/>
    <s v="R"/>
    <s v="RS"/>
    <x v="6"/>
    <s v="HOU"/>
    <s v="A"/>
    <n v="4"/>
    <n v="3"/>
    <n v="1"/>
    <n v="-1"/>
    <n v="8"/>
    <n v="-8"/>
    <n v="1423.45484602536"/>
    <n v="1697.786510460305"/>
    <n v="0.12232236537211025"/>
    <n v="64"/>
    <n v="79"/>
    <n v="0"/>
    <n v="-15"/>
    <n v="0"/>
    <n v="0.40928215015023983"/>
    <n v="1"/>
    <n v="73.900000000000006"/>
    <n v="73.900000000000006"/>
    <n v="-3.6997562565399833"/>
    <n v="1419.75508976882"/>
    <n v="0"/>
    <n v="1"/>
    <n v="0"/>
    <n v="0"/>
    <n v="0"/>
    <n v="0"/>
    <n v="0"/>
    <n v="0"/>
    <n v="0"/>
    <n v="0"/>
  </r>
  <r>
    <d v="2001-07-06T00:00:00"/>
    <n v="2001"/>
    <x v="13"/>
    <s v="R"/>
    <s v="RS"/>
    <x v="1"/>
    <s v="IND"/>
    <s v="H"/>
    <n v="3"/>
    <n v="4"/>
    <n v="-1"/>
    <n v="1"/>
    <n v="-8"/>
    <n v="8"/>
    <n v="1697.786510460305"/>
    <n v="1423.45484602536"/>
    <n v="0.87767763462788972"/>
    <n v="79"/>
    <n v="64"/>
    <n v="0"/>
    <n v="15"/>
    <n v="1"/>
    <n v="0.40928215015023983"/>
    <n v="1"/>
    <n v="73.900000000000006"/>
    <n v="73.900000000000006"/>
    <n v="3.6997562565399837"/>
    <n v="1701.486266716845"/>
    <n v="1"/>
    <n v="0"/>
    <n v="0"/>
    <n v="0"/>
    <n v="0"/>
    <n v="0"/>
    <n v="0"/>
    <n v="0"/>
    <n v="0"/>
    <n v="0"/>
  </r>
  <r>
    <d v="2001-07-06T00:00:00"/>
    <n v="2001"/>
    <x v="15"/>
    <s v="R"/>
    <s v="RS"/>
    <x v="7"/>
    <s v="MIN"/>
    <s v="A"/>
    <n v="2"/>
    <n v="2"/>
    <n v="0"/>
    <n v="0"/>
    <n v="0"/>
    <n v="0"/>
    <n v="1585.2282635086804"/>
    <n v="1457.2672230834833"/>
    <n v="0.56292954968280751"/>
    <n v="70"/>
    <n v="57"/>
    <n v="0"/>
    <n v="13"/>
    <n v="1"/>
    <n v="0.4265580762787814"/>
    <n v="1"/>
    <n v="73.599999999999994"/>
    <n v="73.599999999999994"/>
    <n v="13.721684483740331"/>
    <n v="1598.9499479924207"/>
    <n v="1"/>
    <n v="0"/>
    <n v="0"/>
    <n v="0"/>
    <n v="0"/>
    <n v="0"/>
    <n v="0"/>
    <n v="0"/>
    <n v="0"/>
    <n v="0"/>
  </r>
  <r>
    <d v="2001-07-06T00:00:00"/>
    <n v="2001"/>
    <x v="13"/>
    <s v="R"/>
    <s v="RS"/>
    <x v="9"/>
    <s v="NYL"/>
    <s v="H"/>
    <n v="2"/>
    <n v="2"/>
    <n v="0"/>
    <n v="0"/>
    <n v="0"/>
    <n v="0"/>
    <n v="1457.2672230834833"/>
    <n v="1585.2282635086804"/>
    <n v="0.4370704503171926"/>
    <n v="57"/>
    <n v="70"/>
    <n v="0"/>
    <n v="-13"/>
    <n v="0"/>
    <n v="0.4265580762787814"/>
    <n v="1"/>
    <n v="73.900000000000006"/>
    <n v="73.900000000000006"/>
    <n v="-13.777615262886018"/>
    <n v="1443.4896078205973"/>
    <n v="0"/>
    <n v="1"/>
    <n v="0"/>
    <n v="0"/>
    <n v="0"/>
    <n v="0"/>
    <n v="0"/>
    <n v="0"/>
    <n v="0"/>
    <n v="0"/>
  </r>
  <r>
    <d v="2001-07-06T00:00:00"/>
    <n v="2001"/>
    <x v="15"/>
    <s v="R"/>
    <s v="RS"/>
    <x v="15"/>
    <s v="ORL"/>
    <s v="A"/>
    <n v="2"/>
    <n v="4"/>
    <n v="-2"/>
    <n v="2"/>
    <n v="-16"/>
    <n v="16"/>
    <n v="1597.0775644891958"/>
    <n v="1442.9452301862555"/>
    <n v="0.55465755044795184"/>
    <n v="75"/>
    <n v="68"/>
    <n v="0"/>
    <n v="7"/>
    <n v="1"/>
    <n v="0.3279802097135549"/>
    <n v="1"/>
    <n v="73.599999999999994"/>
    <n v="73.599999999999994"/>
    <n v="10.750274335884374"/>
    <n v="1607.8278388250801"/>
    <n v="1"/>
    <n v="0"/>
    <n v="0"/>
    <n v="0"/>
    <n v="0"/>
    <n v="0"/>
    <n v="0"/>
    <n v="0"/>
    <n v="0"/>
    <n v="0"/>
  </r>
  <r>
    <d v="2001-07-06T00:00:00"/>
    <n v="2001"/>
    <x v="13"/>
    <s v="R"/>
    <s v="RS"/>
    <x v="12"/>
    <s v="SAC"/>
    <s v="H"/>
    <n v="4"/>
    <n v="2"/>
    <n v="2"/>
    <n v="-2"/>
    <n v="16"/>
    <n v="-16"/>
    <n v="1442.9452301862555"/>
    <n v="1597.0775644891958"/>
    <n v="0.44534244955204821"/>
    <n v="68"/>
    <n v="75"/>
    <n v="0"/>
    <n v="-7"/>
    <n v="0"/>
    <n v="0.3279802097135549"/>
    <n v="1"/>
    <n v="73.900000000000006"/>
    <n v="73.900000000000006"/>
    <n v="-10.794093388883905"/>
    <n v="1432.1511367973715"/>
    <n v="0"/>
    <n v="1"/>
    <n v="0"/>
    <n v="0"/>
    <n v="0"/>
    <n v="0"/>
    <n v="0"/>
    <n v="0"/>
    <n v="0"/>
    <n v="0"/>
  </r>
  <r>
    <d v="2001-07-06T00:00:00"/>
    <n v="2001"/>
    <x v="14"/>
    <s v="R"/>
    <s v="RS"/>
    <x v="4"/>
    <s v="POR"/>
    <s v="A"/>
    <n v="2"/>
    <n v="1"/>
    <n v="1"/>
    <n v="-1"/>
    <n v="8"/>
    <n v="-8"/>
    <n v="1419.737410491332"/>
    <n v="1482.5231598928228"/>
    <n v="0.32019772409800545"/>
    <n v="58"/>
    <n v="69"/>
    <n v="0"/>
    <n v="-11"/>
    <n v="0"/>
    <n v="0.41796731120802949"/>
    <n v="1"/>
    <n v="73.75"/>
    <n v="73.75"/>
    <n v="-9.870123407467819"/>
    <n v="1409.8672870838641"/>
    <n v="0"/>
    <n v="1"/>
    <n v="0"/>
    <n v="0"/>
    <n v="0"/>
    <n v="0"/>
    <n v="0"/>
    <n v="0"/>
    <n v="0"/>
    <n v="0"/>
  </r>
  <r>
    <d v="2001-07-06T00:00:00"/>
    <n v="2001"/>
    <x v="14"/>
    <s v="R"/>
    <s v="RS"/>
    <x v="10"/>
    <s v="WAS"/>
    <s v="H"/>
    <n v="1"/>
    <n v="2"/>
    <n v="-1"/>
    <n v="1"/>
    <n v="-8"/>
    <n v="8"/>
    <n v="1482.5231598928228"/>
    <n v="1419.737410491332"/>
    <n v="0.67980227590199449"/>
    <n v="69"/>
    <n v="58"/>
    <n v="0"/>
    <n v="11"/>
    <n v="1"/>
    <n v="0.41796731120802949"/>
    <n v="1"/>
    <n v="73.75"/>
    <n v="73.75"/>
    <n v="9.8701234074678208"/>
    <n v="1492.3932833002907"/>
    <n v="1"/>
    <n v="0"/>
    <n v="0"/>
    <n v="0"/>
    <n v="0"/>
    <n v="0"/>
    <n v="0"/>
    <n v="0"/>
    <n v="0"/>
    <n v="0"/>
  </r>
  <r>
    <d v="2001-07-06T00:00:00"/>
    <n v="2001"/>
    <x v="15"/>
    <s v="R"/>
    <s v="RS"/>
    <x v="5"/>
    <s v="UTA"/>
    <s v="A"/>
    <n v="4"/>
    <n v="2"/>
    <n v="2"/>
    <n v="-2"/>
    <n v="16"/>
    <n v="-16"/>
    <n v="1612.8170551604901"/>
    <n v="1457.281736411564"/>
    <n v="0.64473999653957148"/>
    <n v="69"/>
    <n v="73"/>
    <n v="0"/>
    <n v="-4"/>
    <n v="0"/>
    <n v="0.27569866805799986"/>
    <n v="1"/>
    <n v="73.599999999999994"/>
    <n v="73.599999999999994"/>
    <n v="-13.082691330120396"/>
    <n v="1599.7343638303696"/>
    <n v="0"/>
    <n v="1"/>
    <n v="0"/>
    <n v="0"/>
    <n v="0"/>
    <n v="0"/>
    <n v="0"/>
    <n v="0"/>
    <n v="0"/>
    <n v="0"/>
  </r>
  <r>
    <d v="2001-07-06T00:00:00"/>
    <n v="2001"/>
    <x v="13"/>
    <s v="R"/>
    <s v="RS"/>
    <x v="2"/>
    <s v="CLE"/>
    <s v="H"/>
    <n v="2"/>
    <n v="4"/>
    <n v="-2"/>
    <n v="2"/>
    <n v="-16"/>
    <n v="16"/>
    <n v="1457.281736411564"/>
    <n v="1612.8170551604901"/>
    <n v="0.35526000346042858"/>
    <n v="73"/>
    <n v="69"/>
    <n v="0"/>
    <n v="4"/>
    <n v="1"/>
    <n v="0.27569866805799986"/>
    <n v="1"/>
    <n v="73.900000000000006"/>
    <n v="73.900000000000006"/>
    <n v="13.136017517607302"/>
    <n v="1470.4177539291713"/>
    <n v="1"/>
    <n v="0"/>
    <n v="0"/>
    <n v="0"/>
    <n v="0"/>
    <n v="0"/>
    <n v="0"/>
    <n v="0"/>
    <n v="0"/>
    <n v="0"/>
  </r>
  <r>
    <d v="2001-07-07T00:00:00"/>
    <n v="2001"/>
    <x v="16"/>
    <s v="R"/>
    <s v="RS"/>
    <x v="11"/>
    <s v="CHA"/>
    <s v="A"/>
    <n v="2"/>
    <n v="0"/>
    <n v="2"/>
    <n v="-2"/>
    <n v="16"/>
    <n v="-16"/>
    <n v="1437.5671236333801"/>
    <n v="1444.8622996708102"/>
    <n v="0.41548632597822654"/>
    <n v="38"/>
    <n v="48"/>
    <n v="0"/>
    <n v="-10"/>
    <n v="0"/>
    <n v="0.42057290485106569"/>
    <n v="1"/>
    <n v="73.45"/>
    <n v="73.45"/>
    <n v="-12.834821277075998"/>
    <n v="1424.7323023563042"/>
    <n v="0"/>
    <n v="1"/>
    <n v="0"/>
    <n v="0"/>
    <n v="0"/>
    <n v="0"/>
    <n v="0"/>
    <n v="0"/>
    <n v="0"/>
    <n v="0"/>
  </r>
  <r>
    <d v="2001-07-07T00:00:00"/>
    <n v="2001"/>
    <x v="16"/>
    <s v="R"/>
    <s v="RS"/>
    <x v="13"/>
    <s v="SEA"/>
    <s v="H"/>
    <n v="0"/>
    <n v="2"/>
    <n v="-2"/>
    <n v="2"/>
    <n v="-16"/>
    <n v="16"/>
    <n v="1444.8622996708102"/>
    <n v="1437.5671236333801"/>
    <n v="0.58451367402177346"/>
    <n v="48"/>
    <n v="38"/>
    <n v="0"/>
    <n v="10"/>
    <n v="1"/>
    <n v="0.42057290485106569"/>
    <n v="1"/>
    <n v="73.45"/>
    <n v="73.45"/>
    <n v="12.834821277075998"/>
    <n v="1457.6971209478861"/>
    <n v="1"/>
    <n v="0"/>
    <n v="0"/>
    <n v="0"/>
    <n v="0"/>
    <n v="0"/>
    <n v="0"/>
    <n v="0"/>
    <n v="0"/>
    <n v="0"/>
  </r>
  <r>
    <d v="2001-07-07T00:00:00"/>
    <n v="2001"/>
    <x v="16"/>
    <s v="R"/>
    <s v="RS"/>
    <x v="15"/>
    <s v="MIA"/>
    <s v="A"/>
    <n v="0"/>
    <n v="2"/>
    <n v="-2"/>
    <n v="2"/>
    <n v="-16"/>
    <n v="16"/>
    <n v="1607.8278388250801"/>
    <n v="1446.3369442310398"/>
    <n v="0.56509509762335641"/>
    <n v="54"/>
    <n v="66"/>
    <n v="0"/>
    <n v="-12"/>
    <n v="0"/>
    <n v="0.40202643577359759"/>
    <n v="1"/>
    <n v="73.45"/>
    <n v="73.45"/>
    <n v="-16.686603687444329"/>
    <n v="1591.1412351376357"/>
    <n v="0"/>
    <n v="1"/>
    <n v="0"/>
    <n v="0"/>
    <n v="0"/>
    <n v="0"/>
    <n v="0"/>
    <n v="0"/>
    <n v="0"/>
    <n v="0"/>
  </r>
  <r>
    <d v="2001-07-07T00:00:00"/>
    <n v="2001"/>
    <x v="15"/>
    <s v="R"/>
    <s v="RS"/>
    <x v="8"/>
    <s v="SAC"/>
    <s v="H"/>
    <n v="2"/>
    <n v="0"/>
    <n v="2"/>
    <n v="-2"/>
    <n v="16"/>
    <n v="-16"/>
    <n v="1446.3369442310398"/>
    <n v="1607.8278388250801"/>
    <n v="0.43490490237664359"/>
    <n v="66"/>
    <n v="54"/>
    <n v="0"/>
    <n v="12"/>
    <n v="1"/>
    <n v="0.40202643577359759"/>
    <n v="1"/>
    <n v="73.599999999999994"/>
    <n v="73.599999999999994"/>
    <n v="16.720681162639924"/>
    <n v="1463.0576253936797"/>
    <n v="1"/>
    <n v="0"/>
    <n v="0"/>
    <n v="0"/>
    <n v="0"/>
    <n v="0"/>
    <n v="0"/>
    <n v="0"/>
    <n v="0"/>
    <n v="0"/>
  </r>
  <r>
    <d v="2001-07-07T00:00:00"/>
    <n v="2001"/>
    <x v="15"/>
    <s v="R"/>
    <s v="RS"/>
    <x v="4"/>
    <s v="PHX"/>
    <s v="A"/>
    <n v="0"/>
    <n v="1"/>
    <n v="-1"/>
    <n v="1"/>
    <n v="-8"/>
    <n v="8"/>
    <n v="1409.8672870838641"/>
    <n v="1452.8896684697706"/>
    <n v="0.30506297306765628"/>
    <n v="52"/>
    <n v="66"/>
    <n v="0"/>
    <n v="-14"/>
    <n v="0"/>
    <n v="0.4707314469981882"/>
    <n v="1"/>
    <n v="73.599999999999994"/>
    <n v="73.599999999999994"/>
    <n v="-10.569161276695247"/>
    <n v="1399.2981258071688"/>
    <n v="0"/>
    <n v="1"/>
    <n v="0"/>
    <n v="0"/>
    <n v="0"/>
    <n v="0"/>
    <n v="0"/>
    <n v="0"/>
    <n v="0"/>
    <n v="0"/>
  </r>
  <r>
    <d v="2001-07-07T00:00:00"/>
    <n v="2001"/>
    <x v="15"/>
    <s v="R"/>
    <s v="RS"/>
    <x v="3"/>
    <s v="WAS"/>
    <s v="H"/>
    <n v="1"/>
    <n v="0"/>
    <n v="1"/>
    <n v="-1"/>
    <n v="8"/>
    <n v="-8"/>
    <n v="1452.8896684697706"/>
    <n v="1409.8672870838641"/>
    <n v="0.69493702693234372"/>
    <n v="66"/>
    <n v="52"/>
    <n v="0"/>
    <n v="14"/>
    <n v="1"/>
    <n v="0.4707314469981882"/>
    <n v="1"/>
    <n v="73.599999999999994"/>
    <n v="73.599999999999994"/>
    <n v="10.569161276695247"/>
    <n v="1463.4588297464659"/>
    <n v="1"/>
    <n v="0"/>
    <n v="0"/>
    <n v="0"/>
    <n v="0"/>
    <n v="0"/>
    <n v="0"/>
    <n v="0"/>
    <n v="0"/>
    <n v="0"/>
  </r>
  <r>
    <d v="2001-07-08T00:00:00"/>
    <n v="2001"/>
    <x v="16"/>
    <s v="R"/>
    <s v="RS"/>
    <x v="5"/>
    <s v="HOU"/>
    <s v="A"/>
    <n v="1"/>
    <n v="1"/>
    <n v="0"/>
    <n v="0"/>
    <n v="0"/>
    <n v="0"/>
    <n v="1599.7343638303696"/>
    <n v="1701.486266716845"/>
    <n v="0.25554119160940242"/>
    <n v="63"/>
    <n v="53"/>
    <n v="0"/>
    <n v="10"/>
    <n v="1"/>
    <n v="0.39005561510826664"/>
    <n v="1"/>
    <n v="73.45"/>
    <n v="73.45"/>
    <n v="21.328435857651314"/>
    <n v="1621.062799688021"/>
    <n v="1"/>
    <n v="0"/>
    <n v="0"/>
    <n v="0"/>
    <n v="0"/>
    <n v="0"/>
    <n v="0"/>
    <n v="0"/>
    <n v="0"/>
    <n v="0"/>
  </r>
  <r>
    <d v="2001-07-08T00:00:00"/>
    <n v="2001"/>
    <x v="14"/>
    <s v="R"/>
    <s v="RS"/>
    <x v="1"/>
    <s v="CLE"/>
    <s v="H"/>
    <n v="1"/>
    <n v="1"/>
    <n v="0"/>
    <n v="0"/>
    <n v="0"/>
    <n v="0"/>
    <n v="1701.486266716845"/>
    <n v="1599.7343638303696"/>
    <n v="0.74445880839059753"/>
    <n v="53"/>
    <n v="63"/>
    <n v="0"/>
    <n v="-10"/>
    <n v="0"/>
    <n v="0.39005561510826664"/>
    <n v="1"/>
    <n v="73.75"/>
    <n v="73.75"/>
    <n v="-21.415549959180179"/>
    <n v="1680.0707167576647"/>
    <n v="0"/>
    <n v="1"/>
    <n v="0"/>
    <n v="0"/>
    <n v="0"/>
    <n v="0"/>
    <n v="0"/>
    <n v="0"/>
    <n v="0"/>
    <n v="0"/>
  </r>
  <r>
    <d v="2001-07-08T00:00:00"/>
    <n v="2001"/>
    <x v="16"/>
    <s v="R"/>
    <s v="RS"/>
    <x v="7"/>
    <s v="IND"/>
    <s v="A"/>
    <n v="1"/>
    <n v="1"/>
    <n v="0"/>
    <n v="0"/>
    <n v="0"/>
    <n v="0"/>
    <n v="1598.9499479924207"/>
    <n v="1419.75508976882"/>
    <n v="0.63366812112019066"/>
    <n v="58"/>
    <n v="56"/>
    <n v="0"/>
    <n v="2"/>
    <n v="1"/>
    <n v="0.23304146115044144"/>
    <n v="1"/>
    <n v="73.45"/>
    <n v="73.45"/>
    <n v="6.2704644237140856"/>
    <n v="1605.2204124161346"/>
    <n v="1"/>
    <n v="0"/>
    <n v="0"/>
    <n v="0"/>
    <n v="0"/>
    <n v="0"/>
    <n v="0"/>
    <n v="0"/>
    <n v="0"/>
    <n v="0"/>
  </r>
  <r>
    <d v="2001-07-08T00:00:00"/>
    <n v="2001"/>
    <x v="14"/>
    <s v="R"/>
    <s v="RS"/>
    <x v="6"/>
    <s v="NYL"/>
    <s v="H"/>
    <n v="1"/>
    <n v="1"/>
    <n v="0"/>
    <n v="0"/>
    <n v="0"/>
    <n v="0"/>
    <n v="1419.75508976882"/>
    <n v="1598.9499479924207"/>
    <n v="0.36633187887980939"/>
    <n v="56"/>
    <n v="58"/>
    <n v="0"/>
    <n v="-2"/>
    <n v="0"/>
    <n v="0.23304146115044144"/>
    <n v="1"/>
    <n v="73.75"/>
    <n v="73.75"/>
    <n v="-6.296075578610127"/>
    <n v="1413.4590141902099"/>
    <n v="0"/>
    <n v="1"/>
    <n v="0"/>
    <n v="0"/>
    <n v="0"/>
    <n v="0"/>
    <n v="0"/>
    <n v="0"/>
    <n v="0"/>
    <n v="0"/>
  </r>
  <r>
    <d v="2001-07-08T00:00:00"/>
    <n v="2001"/>
    <x v="14"/>
    <s v="R"/>
    <s v="RS"/>
    <x v="9"/>
    <s v="LAS"/>
    <s v="A"/>
    <n v="1"/>
    <n v="2"/>
    <n v="-1"/>
    <n v="1"/>
    <n v="-8"/>
    <n v="8"/>
    <n v="1443.4896078205973"/>
    <n v="1668.8253889941068"/>
    <n v="0.13321999990397415"/>
    <n v="95"/>
    <n v="100"/>
    <n v="1"/>
    <n v="-5"/>
    <n v="0"/>
    <n v="0.25137687429915945"/>
    <n v="1"/>
    <n v="73.75"/>
    <n v="73.75"/>
    <n v="-2.4697715037871566"/>
    <n v="1441.0198363168101"/>
    <n v="0"/>
    <n v="1"/>
    <n v="0"/>
    <n v="0"/>
    <n v="0"/>
    <n v="0"/>
    <n v="0"/>
    <n v="0"/>
    <n v="0"/>
    <n v="0"/>
  </r>
  <r>
    <d v="2001-07-08T00:00:00"/>
    <n v="2001"/>
    <x v="16"/>
    <s v="R"/>
    <s v="RS"/>
    <x v="0"/>
    <s v="MIN"/>
    <s v="H"/>
    <n v="2"/>
    <n v="1"/>
    <n v="1"/>
    <n v="-1"/>
    <n v="8"/>
    <n v="-8"/>
    <n v="1668.8253889941068"/>
    <n v="1443.4896078205973"/>
    <n v="0.86678000009602574"/>
    <n v="100"/>
    <n v="95"/>
    <n v="1"/>
    <n v="5"/>
    <n v="1"/>
    <n v="0.25137687429915945"/>
    <n v="1"/>
    <n v="73.45"/>
    <n v="73.45"/>
    <n v="2.4597249756361603"/>
    <n v="1671.285113969743"/>
    <n v="1"/>
    <n v="0"/>
    <n v="0"/>
    <n v="0"/>
    <n v="0"/>
    <n v="0"/>
    <n v="0"/>
    <n v="0"/>
    <n v="0"/>
    <n v="0"/>
  </r>
  <r>
    <d v="2001-07-08T00:00:00"/>
    <n v="2001"/>
    <x v="14"/>
    <s v="R"/>
    <s v="RS"/>
    <x v="14"/>
    <s v="ORL"/>
    <s v="A"/>
    <n v="1"/>
    <n v="1"/>
    <n v="0"/>
    <n v="0"/>
    <n v="0"/>
    <n v="0"/>
    <n v="1371.9844400479888"/>
    <n v="1432.1511367973715"/>
    <n v="0.30366828369275933"/>
    <n v="67"/>
    <n v="73"/>
    <n v="0"/>
    <n v="-6"/>
    <n v="0"/>
    <n v="0.3345088506120264"/>
    <n v="1"/>
    <n v="73.75"/>
    <n v="73.75"/>
    <n v="-7.4915049802226363"/>
    <n v="1364.4929350677662"/>
    <n v="0"/>
    <n v="1"/>
    <n v="0"/>
    <n v="0"/>
    <n v="0"/>
    <n v="0"/>
    <n v="0"/>
    <n v="0"/>
    <n v="0"/>
    <n v="0"/>
  </r>
  <r>
    <d v="2001-07-08T00:00:00"/>
    <n v="2001"/>
    <x v="14"/>
    <s v="R"/>
    <s v="RS"/>
    <x v="12"/>
    <s v="DET"/>
    <s v="H"/>
    <n v="1"/>
    <n v="1"/>
    <n v="0"/>
    <n v="0"/>
    <n v="0"/>
    <n v="0"/>
    <n v="1432.1511367973715"/>
    <n v="1371.9844400479888"/>
    <n v="0.69633171630724067"/>
    <n v="73"/>
    <n v="67"/>
    <n v="0"/>
    <n v="6"/>
    <n v="1"/>
    <n v="0.3345088506120264"/>
    <n v="1"/>
    <n v="73.75"/>
    <n v="73.75"/>
    <n v="7.4915049802226363"/>
    <n v="1439.642641777594"/>
    <n v="1"/>
    <n v="0"/>
    <n v="0"/>
    <n v="0"/>
    <n v="0"/>
    <n v="0"/>
    <n v="0"/>
    <n v="0"/>
    <n v="0"/>
    <n v="0"/>
  </r>
  <r>
    <d v="2001-07-08T00:00:00"/>
    <n v="2001"/>
    <x v="14"/>
    <s v="R"/>
    <s v="RS"/>
    <x v="2"/>
    <s v="POR"/>
    <s v="A"/>
    <n v="1"/>
    <n v="1"/>
    <n v="0"/>
    <n v="0"/>
    <n v="0"/>
    <n v="0"/>
    <n v="1470.4177539291713"/>
    <n v="1492.3932833002907"/>
    <n v="0.3520491187026612"/>
    <n v="65"/>
    <n v="63"/>
    <n v="0"/>
    <n v="2"/>
    <n v="1"/>
    <n v="0.26302456738803509"/>
    <n v="1"/>
    <n v="73.75"/>
    <n v="73.75"/>
    <n v="12.568991267842236"/>
    <n v="1482.9867451970135"/>
    <n v="1"/>
    <n v="0"/>
    <n v="0"/>
    <n v="0"/>
    <n v="0"/>
    <n v="0"/>
    <n v="0"/>
    <n v="0"/>
    <n v="0"/>
    <n v="0"/>
  </r>
  <r>
    <d v="2001-07-08T00:00:00"/>
    <n v="2001"/>
    <x v="15"/>
    <s v="R"/>
    <s v="RS"/>
    <x v="10"/>
    <s v="UTA"/>
    <s v="H"/>
    <n v="1"/>
    <n v="1"/>
    <n v="0"/>
    <n v="0"/>
    <n v="0"/>
    <n v="0"/>
    <n v="1492.3932833002907"/>
    <n v="1470.4177539291713"/>
    <n v="0.64795088129733869"/>
    <n v="63"/>
    <n v="65"/>
    <n v="0"/>
    <n v="-2"/>
    <n v="0"/>
    <n v="0.26302456738803509"/>
    <n v="1"/>
    <n v="73.599999999999994"/>
    <n v="73.599999999999994"/>
    <n v="-12.543427217805943"/>
    <n v="1479.8498560824848"/>
    <n v="0"/>
    <n v="1"/>
    <n v="0"/>
    <n v="0"/>
    <n v="0"/>
    <n v="0"/>
    <n v="0"/>
    <n v="0"/>
    <n v="0"/>
    <n v="0"/>
  </r>
  <r>
    <d v="2001-07-09T00:00:00"/>
    <n v="2001"/>
    <x v="15"/>
    <s v="R"/>
    <s v="RS"/>
    <x v="6"/>
    <s v="NYL"/>
    <s v="A"/>
    <n v="0"/>
    <n v="0"/>
    <n v="0"/>
    <n v="0"/>
    <n v="0"/>
    <n v="0"/>
    <n v="1413.4590141902099"/>
    <n v="1605.2204124161346"/>
    <n v="0.16974857400710205"/>
    <n v="65"/>
    <n v="72"/>
    <n v="0"/>
    <n v="-7"/>
    <n v="0"/>
    <n v="0.31911260619148785"/>
    <n v="1"/>
    <n v="73.599999999999994"/>
    <n v="73.599999999999994"/>
    <n v="-3.9868317648639509"/>
    <n v="1409.4721824253459"/>
    <n v="0"/>
    <n v="1"/>
    <n v="0"/>
    <n v="0"/>
    <n v="0"/>
    <n v="0"/>
    <n v="0"/>
    <n v="0"/>
    <n v="0"/>
    <n v="0"/>
  </r>
  <r>
    <d v="2001-07-09T00:00:00"/>
    <n v="2001"/>
    <x v="17"/>
    <s v="R"/>
    <s v="RS"/>
    <x v="7"/>
    <s v="IND"/>
    <s v="H"/>
    <n v="0"/>
    <n v="0"/>
    <n v="0"/>
    <n v="0"/>
    <n v="0"/>
    <n v="0"/>
    <n v="1605.2204124161346"/>
    <n v="1413.4590141902099"/>
    <n v="0.83025142599289803"/>
    <n v="72"/>
    <n v="65"/>
    <n v="0"/>
    <n v="7"/>
    <n v="1"/>
    <n v="0.31911260619148785"/>
    <n v="1"/>
    <n v="73.3"/>
    <n v="73.3"/>
    <n v="3.9705810919093407"/>
    <n v="1609.1909935080439"/>
    <n v="1"/>
    <n v="0"/>
    <n v="0"/>
    <n v="0"/>
    <n v="0"/>
    <n v="0"/>
    <n v="0"/>
    <n v="0"/>
    <n v="0"/>
    <n v="0"/>
  </r>
  <r>
    <d v="2001-07-10T00:00:00"/>
    <n v="2001"/>
    <x v="17"/>
    <s v="R"/>
    <s v="RS"/>
    <x v="11"/>
    <s v="CLE"/>
    <s v="A"/>
    <n v="2"/>
    <n v="1"/>
    <n v="1"/>
    <n v="-1"/>
    <n v="8"/>
    <n v="-8"/>
    <n v="1424.7323023563042"/>
    <n v="1621.062799688021"/>
    <n v="0.17922475862915646"/>
    <n v="53"/>
    <n v="59"/>
    <n v="0"/>
    <n v="-6"/>
    <n v="0"/>
    <n v="0.3018890686085533"/>
    <n v="1"/>
    <n v="73.3"/>
    <n v="73.3"/>
    <n v="-3.9659694667891086"/>
    <n v="1420.7663328895151"/>
    <n v="0"/>
    <n v="1"/>
    <n v="0"/>
    <n v="0"/>
    <n v="0"/>
    <n v="0"/>
    <n v="0"/>
    <n v="0"/>
    <n v="0"/>
    <n v="0"/>
  </r>
  <r>
    <d v="2001-07-10T00:00:00"/>
    <n v="2001"/>
    <x v="17"/>
    <s v="R"/>
    <s v="RS"/>
    <x v="5"/>
    <s v="SEA"/>
    <s v="H"/>
    <n v="1"/>
    <n v="2"/>
    <n v="-1"/>
    <n v="1"/>
    <n v="-8"/>
    <n v="8"/>
    <n v="1621.062799688021"/>
    <n v="1424.7323023563042"/>
    <n v="0.82077524137084357"/>
    <n v="59"/>
    <n v="53"/>
    <n v="0"/>
    <n v="6"/>
    <n v="1"/>
    <n v="0.3018890686085533"/>
    <n v="1"/>
    <n v="73.3"/>
    <n v="73.3"/>
    <n v="3.9659694667891081"/>
    <n v="1625.0287691548101"/>
    <n v="1"/>
    <n v="0"/>
    <n v="0"/>
    <n v="0"/>
    <n v="0"/>
    <n v="0"/>
    <n v="0"/>
    <n v="0"/>
    <n v="0"/>
    <n v="0"/>
  </r>
  <r>
    <d v="2001-07-10T00:00:00"/>
    <n v="2001"/>
    <x v="16"/>
    <s v="R"/>
    <s v="RS"/>
    <x v="10"/>
    <s v="MIN"/>
    <s v="A"/>
    <n v="1"/>
    <n v="1"/>
    <n v="0"/>
    <n v="0"/>
    <n v="0"/>
    <n v="0"/>
    <n v="1479.8498560824848"/>
    <n v="1441.0198363168101"/>
    <n v="0.4353589619066871"/>
    <n v="52"/>
    <n v="73"/>
    <n v="0"/>
    <n v="-21"/>
    <n v="0"/>
    <n v="0.57012789168483335"/>
    <n v="1"/>
    <n v="73.45"/>
    <n v="73.45"/>
    <n v="-18.231045585875957"/>
    <n v="1461.6188104966088"/>
    <n v="0"/>
    <n v="1"/>
    <n v="0"/>
    <n v="0"/>
    <n v="0"/>
    <n v="0"/>
    <n v="0"/>
    <n v="0"/>
    <n v="0"/>
    <n v="0"/>
  </r>
  <r>
    <d v="2001-07-10T00:00:00"/>
    <n v="2001"/>
    <x v="15"/>
    <s v="R"/>
    <s v="RS"/>
    <x v="9"/>
    <s v="POR"/>
    <s v="H"/>
    <n v="1"/>
    <n v="1"/>
    <n v="0"/>
    <n v="0"/>
    <n v="0"/>
    <n v="0"/>
    <n v="1441.0198363168101"/>
    <n v="1479.8498560824848"/>
    <n v="0.5646410380933129"/>
    <n v="73"/>
    <n v="52"/>
    <n v="0"/>
    <n v="21"/>
    <n v="1"/>
    <n v="0.57012789168483335"/>
    <n v="1"/>
    <n v="73.599999999999994"/>
    <n v="73.599999999999994"/>
    <n v="18.268277128937648"/>
    <n v="1459.2881134457477"/>
    <n v="1"/>
    <n v="0"/>
    <n v="0"/>
    <n v="0"/>
    <n v="0"/>
    <n v="0"/>
    <n v="0"/>
    <n v="0"/>
    <n v="0"/>
    <n v="0"/>
  </r>
  <r>
    <d v="2001-07-10T00:00:00"/>
    <n v="2001"/>
    <x v="16"/>
    <s v="R"/>
    <s v="RS"/>
    <x v="8"/>
    <s v="ORL"/>
    <s v="A"/>
    <n v="2"/>
    <n v="1"/>
    <n v="1"/>
    <n v="-1"/>
    <n v="8"/>
    <n v="-8"/>
    <n v="1463.0576253936797"/>
    <n v="1439.642641777594"/>
    <n v="0.43618690175529429"/>
    <n v="65"/>
    <n v="63"/>
    <n v="1"/>
    <n v="2"/>
    <n v="1"/>
    <n v="0.2364435864758197"/>
    <n v="1"/>
    <n v="73.45"/>
    <n v="73.45"/>
    <n v="9.7916188426975594"/>
    <n v="1472.8492442363772"/>
    <n v="1"/>
    <n v="0"/>
    <n v="0"/>
    <n v="0"/>
    <n v="0"/>
    <n v="0"/>
    <n v="0"/>
    <n v="0"/>
    <n v="0"/>
    <n v="0"/>
  </r>
  <r>
    <d v="2001-07-10T00:00:00"/>
    <n v="2001"/>
    <x v="15"/>
    <s v="R"/>
    <s v="RS"/>
    <x v="12"/>
    <s v="MIA"/>
    <s v="H"/>
    <n v="1"/>
    <n v="2"/>
    <n v="-1"/>
    <n v="1"/>
    <n v="-8"/>
    <n v="8"/>
    <n v="1439.642641777594"/>
    <n v="1463.0576253936797"/>
    <n v="0.56381309824470571"/>
    <n v="63"/>
    <n v="65"/>
    <n v="1"/>
    <n v="-2"/>
    <n v="0"/>
    <n v="0.2364435864758197"/>
    <n v="1"/>
    <n v="73.599999999999994"/>
    <n v="73.599999999999994"/>
    <n v="-9.8116153413552123"/>
    <n v="1429.8310264362387"/>
    <n v="0"/>
    <n v="1"/>
    <n v="0"/>
    <n v="0"/>
    <n v="0"/>
    <n v="0"/>
    <n v="0"/>
    <n v="0"/>
    <n v="0"/>
    <n v="0"/>
  </r>
  <r>
    <d v="2001-07-10T00:00:00"/>
    <n v="2001"/>
    <x v="15"/>
    <s v="R"/>
    <s v="RS"/>
    <x v="1"/>
    <s v="SAC"/>
    <s v="A"/>
    <n v="1"/>
    <n v="2"/>
    <n v="-1"/>
    <n v="1"/>
    <n v="-8"/>
    <n v="8"/>
    <n v="1680.0707167576647"/>
    <n v="1591.1412351376357"/>
    <n v="0.48407363294008665"/>
    <n v="76"/>
    <n v="78"/>
    <n v="1"/>
    <n v="-2"/>
    <n v="0"/>
    <n v="0.22442548688611549"/>
    <n v="1"/>
    <n v="73.599999999999994"/>
    <n v="73.599999999999994"/>
    <n v="-7.9957907120323926"/>
    <n v="1672.0749260456323"/>
    <n v="0"/>
    <n v="1"/>
    <n v="0"/>
    <n v="0"/>
    <n v="0"/>
    <n v="0"/>
    <n v="0"/>
    <n v="0"/>
    <n v="0"/>
    <n v="0"/>
  </r>
  <r>
    <d v="2001-07-10T00:00:00"/>
    <n v="2001"/>
    <x v="17"/>
    <s v="R"/>
    <s v="RS"/>
    <x v="15"/>
    <s v="HOU"/>
    <s v="H"/>
    <n v="2"/>
    <n v="1"/>
    <n v="1"/>
    <n v="-1"/>
    <n v="8"/>
    <n v="-8"/>
    <n v="1591.1412351376357"/>
    <n v="1680.0707167576647"/>
    <n v="0.51592636705991335"/>
    <n v="78"/>
    <n v="76"/>
    <n v="1"/>
    <n v="2"/>
    <n v="1"/>
    <n v="0.22442548688611549"/>
    <n v="1"/>
    <n v="73.3"/>
    <n v="73.3"/>
    <n v="7.963199173804"/>
    <n v="1599.1044343114397"/>
    <n v="1"/>
    <n v="0"/>
    <n v="0"/>
    <n v="0"/>
    <n v="0"/>
    <n v="0"/>
    <n v="0"/>
    <n v="0"/>
    <n v="0"/>
    <n v="0"/>
  </r>
  <r>
    <d v="2001-07-10T00:00:00"/>
    <n v="2001"/>
    <x v="17"/>
    <s v="R"/>
    <s v="RS"/>
    <x v="0"/>
    <s v="UTA"/>
    <s v="A"/>
    <n v="1"/>
    <n v="1"/>
    <n v="0"/>
    <n v="0"/>
    <n v="0"/>
    <n v="0"/>
    <n v="1671.285113969743"/>
    <n v="1482.9867451970135"/>
    <n v="0.64574545218316448"/>
    <n v="79"/>
    <n v="67"/>
    <n v="0"/>
    <n v="12"/>
    <n v="1"/>
    <n v="0.39426346958522812"/>
    <n v="1"/>
    <n v="73.3"/>
    <n v="73.3"/>
    <n v="10.237783669260235"/>
    <n v="1681.5228976390031"/>
    <n v="1"/>
    <n v="0"/>
    <n v="0"/>
    <n v="0"/>
    <n v="0"/>
    <n v="0"/>
    <n v="0"/>
    <n v="0"/>
    <n v="0"/>
    <n v="0"/>
  </r>
  <r>
    <d v="2001-07-10T00:00:00"/>
    <n v="2001"/>
    <x v="15"/>
    <s v="R"/>
    <s v="RS"/>
    <x v="2"/>
    <s v="LAS"/>
    <s v="H"/>
    <n v="1"/>
    <n v="1"/>
    <n v="0"/>
    <n v="0"/>
    <n v="0"/>
    <n v="0"/>
    <n v="1482.9867451970135"/>
    <n v="1671.285113969743"/>
    <n v="0.35425454781683546"/>
    <n v="67"/>
    <n v="79"/>
    <n v="0"/>
    <n v="-12"/>
    <n v="0"/>
    <n v="0.39426346958522812"/>
    <n v="1"/>
    <n v="73.599999999999994"/>
    <n v="73.599999999999994"/>
    <n v="-10.279684557401817"/>
    <n v="1472.7070606396117"/>
    <n v="0"/>
    <n v="1"/>
    <n v="0"/>
    <n v="0"/>
    <n v="0"/>
    <n v="0"/>
    <n v="0"/>
    <n v="0"/>
    <n v="0"/>
    <n v="0"/>
  </r>
  <r>
    <d v="2001-07-11T00:00:00"/>
    <n v="2001"/>
    <x v="18"/>
    <s v="R"/>
    <s v="RS"/>
    <x v="5"/>
    <s v="IND"/>
    <s v="A"/>
    <n v="0"/>
    <n v="1"/>
    <n v="-1"/>
    <n v="1"/>
    <n v="-8"/>
    <n v="8"/>
    <n v="1625.0287691548101"/>
    <n v="1409.4721824253459"/>
    <n v="0.66042689581958702"/>
    <n v="76"/>
    <n v="58"/>
    <n v="0"/>
    <n v="18"/>
    <n v="1"/>
    <n v="0.46356374920178023"/>
    <n v="1"/>
    <n v="73.150000000000006"/>
    <n v="73.150000000000006"/>
    <n v="11.5148181022383"/>
    <n v="1636.5435872570483"/>
    <n v="1"/>
    <n v="0"/>
    <n v="0"/>
    <n v="0"/>
    <n v="0"/>
    <n v="0"/>
    <n v="0"/>
    <n v="0"/>
    <n v="0"/>
    <n v="0"/>
  </r>
  <r>
    <d v="2001-07-11T00:00:00"/>
    <n v="2001"/>
    <x v="16"/>
    <s v="R"/>
    <s v="RS"/>
    <x v="6"/>
    <s v="CLE"/>
    <s v="H"/>
    <n v="1"/>
    <n v="0"/>
    <n v="1"/>
    <n v="-1"/>
    <n v="8"/>
    <n v="-8"/>
    <n v="1409.4721824253459"/>
    <n v="1625.0287691548101"/>
    <n v="0.33957310418041292"/>
    <n v="58"/>
    <n v="76"/>
    <n v="0"/>
    <n v="-18"/>
    <n v="0"/>
    <n v="0.46356374920178023"/>
    <n v="1"/>
    <n v="73.45"/>
    <n v="73.45"/>
    <n v="-11.562042236628884"/>
    <n v="1397.9101401887169"/>
    <n v="0"/>
    <n v="1"/>
    <n v="0"/>
    <n v="0"/>
    <n v="0"/>
    <n v="0"/>
    <n v="0"/>
    <n v="0"/>
    <n v="0"/>
    <n v="0"/>
  </r>
  <r>
    <d v="2001-07-11T00:00:00"/>
    <n v="2001"/>
    <x v="18"/>
    <s v="R"/>
    <s v="RS"/>
    <x v="11"/>
    <s v="NYL"/>
    <s v="A"/>
    <n v="0"/>
    <n v="1"/>
    <n v="-1"/>
    <n v="1"/>
    <n v="-8"/>
    <n v="8"/>
    <n v="1420.7663328895151"/>
    <n v="1609.1909935080439"/>
    <n v="0.15972094986376562"/>
    <n v="53"/>
    <n v="67"/>
    <n v="0"/>
    <n v="-14"/>
    <n v="0"/>
    <n v="0.42143426347689061"/>
    <n v="1"/>
    <n v="73.150000000000006"/>
    <n v="73.150000000000006"/>
    <n v="-4.9238640854697264"/>
    <n v="1415.8424688040454"/>
    <n v="0"/>
    <n v="1"/>
    <n v="0"/>
    <n v="0"/>
    <n v="0"/>
    <n v="0"/>
    <n v="0"/>
    <n v="0"/>
    <n v="0"/>
    <n v="0"/>
  </r>
  <r>
    <d v="2001-07-11T00:00:00"/>
    <n v="2001"/>
    <x v="18"/>
    <s v="R"/>
    <s v="RS"/>
    <x v="7"/>
    <s v="SEA"/>
    <s v="H"/>
    <n v="1"/>
    <n v="0"/>
    <n v="1"/>
    <n v="-1"/>
    <n v="8"/>
    <n v="-8"/>
    <n v="1609.1909935080439"/>
    <n v="1420.7663328895151"/>
    <n v="0.84027905013623438"/>
    <n v="67"/>
    <n v="53"/>
    <n v="0"/>
    <n v="14"/>
    <n v="1"/>
    <n v="0.42143426347689061"/>
    <n v="1"/>
    <n v="73.150000000000006"/>
    <n v="73.150000000000006"/>
    <n v="4.9238640854697264"/>
    <n v="1614.1148575935135"/>
    <n v="1"/>
    <n v="0"/>
    <n v="0"/>
    <n v="0"/>
    <n v="0"/>
    <n v="0"/>
    <n v="0"/>
    <n v="0"/>
    <n v="0"/>
    <n v="0"/>
  </r>
  <r>
    <d v="2001-07-11T00:00:00"/>
    <n v="2001"/>
    <x v="18"/>
    <s v="R"/>
    <s v="RS"/>
    <x v="0"/>
    <s v="PHX"/>
    <s v="A"/>
    <n v="0"/>
    <n v="3"/>
    <n v="-3"/>
    <n v="3"/>
    <n v="-16"/>
    <n v="16"/>
    <n v="1681.5228976390031"/>
    <n v="1463.4588297464659"/>
    <n v="0.64279775403601647"/>
    <n v="75"/>
    <n v="61"/>
    <n v="0"/>
    <n v="14"/>
    <n v="1"/>
    <n v="0.41262573214376336"/>
    <n v="1"/>
    <n v="73.150000000000006"/>
    <n v="73.150000000000006"/>
    <n v="10.781639819032474"/>
    <n v="1692.3045374580356"/>
    <n v="1"/>
    <n v="0"/>
    <n v="0"/>
    <n v="0"/>
    <n v="0"/>
    <n v="0"/>
    <n v="0"/>
    <n v="0"/>
    <n v="0"/>
    <n v="0"/>
  </r>
  <r>
    <d v="2001-07-11T00:00:00"/>
    <n v="2001"/>
    <x v="16"/>
    <s v="R"/>
    <s v="RS"/>
    <x v="3"/>
    <s v="LAS"/>
    <s v="H"/>
    <n v="3"/>
    <n v="0"/>
    <n v="3"/>
    <n v="-3"/>
    <n v="16"/>
    <n v="-16"/>
    <n v="1463.4588297464659"/>
    <n v="1681.5228976390031"/>
    <n v="0.35720224596398353"/>
    <n v="61"/>
    <n v="75"/>
    <n v="0"/>
    <n v="-14"/>
    <n v="0"/>
    <n v="0.41262573214376336"/>
    <n v="1"/>
    <n v="73.45"/>
    <n v="73.45"/>
    <n v="-10.825857070511759"/>
    <n v="1452.6329726759541"/>
    <n v="0"/>
    <n v="1"/>
    <n v="0"/>
    <n v="0"/>
    <n v="0"/>
    <n v="0"/>
    <n v="0"/>
    <n v="0"/>
    <n v="0"/>
    <n v="0"/>
  </r>
  <r>
    <d v="2001-07-11T00:00:00"/>
    <n v="2001"/>
    <x v="15"/>
    <s v="R"/>
    <s v="RS"/>
    <x v="14"/>
    <s v="WAS"/>
    <s v="A"/>
    <n v="2"/>
    <n v="3"/>
    <n v="-1"/>
    <n v="1"/>
    <n v="-8"/>
    <n v="8"/>
    <n v="1364.4929350677662"/>
    <n v="1399.2981258071688"/>
    <n v="0.31518238919355235"/>
    <n v="64"/>
    <n v="52"/>
    <n v="0"/>
    <n v="12"/>
    <n v="1"/>
    <n v="0.443272619678649"/>
    <n v="1"/>
    <n v="73.599999999999994"/>
    <n v="73.599999999999994"/>
    <n v="22.342081970936615"/>
    <n v="1386.8350170387027"/>
    <n v="1"/>
    <n v="0"/>
    <n v="0"/>
    <n v="0"/>
    <n v="0"/>
    <n v="0"/>
    <n v="0"/>
    <n v="0"/>
    <n v="0"/>
    <n v="0"/>
  </r>
  <r>
    <d v="2001-07-11T00:00:00"/>
    <n v="2001"/>
    <x v="16"/>
    <s v="R"/>
    <s v="RS"/>
    <x v="4"/>
    <s v="DET"/>
    <s v="H"/>
    <n v="3"/>
    <n v="2"/>
    <n v="1"/>
    <n v="-1"/>
    <n v="8"/>
    <n v="-8"/>
    <n v="1399.2981258071688"/>
    <n v="1364.4929350677662"/>
    <n v="0.68481761080644765"/>
    <n v="52"/>
    <n v="64"/>
    <n v="0"/>
    <n v="-12"/>
    <n v="0"/>
    <n v="0.443272619678649"/>
    <n v="1"/>
    <n v="73.45"/>
    <n v="73.45"/>
    <n v="-22.296547836484983"/>
    <n v="1377.0015779706839"/>
    <n v="0"/>
    <n v="1"/>
    <n v="0"/>
    <n v="0"/>
    <n v="0"/>
    <n v="0"/>
    <n v="0"/>
    <n v="0"/>
    <n v="0"/>
    <n v="0"/>
  </r>
  <r>
    <d v="2001-07-12T00:00:00"/>
    <n v="2001"/>
    <x v="16"/>
    <s v="R"/>
    <s v="RS"/>
    <x v="12"/>
    <s v="CHA"/>
    <s v="A"/>
    <n v="1"/>
    <n v="4"/>
    <n v="-3"/>
    <n v="3"/>
    <n v="-16"/>
    <n v="16"/>
    <n v="1429.8310264362387"/>
    <n v="1457.6971209478861"/>
    <n v="0.30403430888656019"/>
    <n v="72"/>
    <n v="69"/>
    <n v="0"/>
    <n v="3"/>
    <n v="1"/>
    <n v="0.28359788325040886"/>
    <n v="1"/>
    <n v="73.45"/>
    <n v="73.45"/>
    <n v="14.497149446038202"/>
    <n v="1444.328175882277"/>
    <n v="1"/>
    <n v="0"/>
    <n v="0"/>
    <n v="0"/>
    <n v="0"/>
    <n v="0"/>
    <n v="0"/>
    <n v="0"/>
    <n v="0"/>
    <n v="0"/>
  </r>
  <r>
    <d v="2001-07-12T00:00:00"/>
    <n v="2001"/>
    <x v="17"/>
    <s v="R"/>
    <s v="RS"/>
    <x v="13"/>
    <s v="ORL"/>
    <s v="H"/>
    <n v="4"/>
    <n v="1"/>
    <n v="3"/>
    <n v="-3"/>
    <n v="16"/>
    <n v="-16"/>
    <n v="1457.6971209478861"/>
    <n v="1429.8310264362387"/>
    <n v="0.69596569111343976"/>
    <n v="69"/>
    <n v="72"/>
    <n v="0"/>
    <n v="-3"/>
    <n v="0"/>
    <n v="0.28359788325040886"/>
    <n v="1"/>
    <n v="73.3"/>
    <n v="73.3"/>
    <n v="-14.467543286515998"/>
    <n v="1443.2295776613701"/>
    <n v="0"/>
    <n v="1"/>
    <n v="0"/>
    <n v="0"/>
    <n v="0"/>
    <n v="0"/>
    <n v="0"/>
    <n v="0"/>
    <n v="0"/>
    <n v="0"/>
  </r>
  <r>
    <d v="2001-07-12T00:00:00"/>
    <n v="2001"/>
    <x v="16"/>
    <s v="R"/>
    <s v="RS"/>
    <x v="1"/>
    <s v="POR"/>
    <s v="A"/>
    <n v="1"/>
    <n v="1"/>
    <n v="0"/>
    <n v="0"/>
    <n v="0"/>
    <n v="0"/>
    <n v="1672.0749260456323"/>
    <n v="1461.6188104966088"/>
    <n v="0.6743530387325356"/>
    <n v="71"/>
    <n v="57"/>
    <n v="0"/>
    <n v="14"/>
    <n v="1"/>
    <n v="0.41485142131710945"/>
    <n v="1"/>
    <n v="73.45"/>
    <n v="73.45"/>
    <n v="9.9227354423748189"/>
    <n v="1681.9976614880072"/>
    <n v="1"/>
    <n v="0"/>
    <n v="0"/>
    <n v="0"/>
    <n v="0"/>
    <n v="0"/>
    <n v="0"/>
    <n v="0"/>
    <n v="0"/>
    <n v="0"/>
  </r>
  <r>
    <d v="2001-07-12T00:00:00"/>
    <n v="2001"/>
    <x v="17"/>
    <s v="R"/>
    <s v="RS"/>
    <x v="10"/>
    <s v="HOU"/>
    <s v="H"/>
    <n v="1"/>
    <n v="1"/>
    <n v="0"/>
    <n v="0"/>
    <n v="0"/>
    <n v="0"/>
    <n v="1461.6188104966088"/>
    <n v="1672.0749260456323"/>
    <n v="0.3256469612674644"/>
    <n v="57"/>
    <n v="71"/>
    <n v="0"/>
    <n v="-14"/>
    <n v="0"/>
    <n v="0.41485142131710945"/>
    <n v="1"/>
    <n v="73.3"/>
    <n v="73.3"/>
    <n v="-9.9024711766654079"/>
    <n v="1451.7163393199435"/>
    <n v="0"/>
    <n v="1"/>
    <n v="0"/>
    <n v="0"/>
    <n v="0"/>
    <n v="0"/>
    <n v="0"/>
    <n v="0"/>
    <n v="0"/>
    <n v="0"/>
  </r>
  <r>
    <d v="2001-07-12T00:00:00"/>
    <n v="2001"/>
    <x v="16"/>
    <s v="R"/>
    <s v="RS"/>
    <x v="2"/>
    <s v="SAC"/>
    <s v="A"/>
    <n v="1"/>
    <n v="1"/>
    <n v="0"/>
    <n v="0"/>
    <n v="0"/>
    <n v="0"/>
    <n v="1472.7070606396117"/>
    <n v="1599.1044343114397"/>
    <n v="0.2294985826604527"/>
    <n v="67"/>
    <n v="69"/>
    <n v="0"/>
    <n v="-2"/>
    <n v="0"/>
    <n v="0.24231771816756154"/>
    <n v="1"/>
    <n v="73.45"/>
    <n v="73.45"/>
    <n v="-4.0846700275196763"/>
    <n v="1468.622390612092"/>
    <n v="0"/>
    <n v="1"/>
    <n v="0"/>
    <n v="0"/>
    <n v="0"/>
    <n v="0"/>
    <n v="0"/>
    <n v="0"/>
    <n v="0"/>
    <n v="0"/>
  </r>
  <r>
    <d v="2001-07-12T00:00:00"/>
    <n v="2001"/>
    <x v="18"/>
    <s v="R"/>
    <s v="RS"/>
    <x v="15"/>
    <s v="UTA"/>
    <s v="H"/>
    <n v="1"/>
    <n v="1"/>
    <n v="0"/>
    <n v="0"/>
    <n v="0"/>
    <n v="0"/>
    <n v="1599.1044343114397"/>
    <n v="1472.7070606396117"/>
    <n v="0.77050141733954736"/>
    <n v="69"/>
    <n v="67"/>
    <n v="0"/>
    <n v="2"/>
    <n v="1"/>
    <n v="0.24231771816756154"/>
    <n v="1"/>
    <n v="73.150000000000006"/>
    <n v="73.150000000000006"/>
    <n v="4.0679865556577841"/>
    <n v="1603.1724208670976"/>
    <n v="1"/>
    <n v="0"/>
    <n v="0"/>
    <n v="0"/>
    <n v="0"/>
    <n v="0"/>
    <n v="0"/>
    <n v="0"/>
    <n v="0"/>
    <n v="0"/>
  </r>
  <r>
    <d v="2001-07-13T00:00:00"/>
    <n v="2001"/>
    <x v="17"/>
    <s v="R"/>
    <s v="RS"/>
    <x v="3"/>
    <s v="CLE"/>
    <s v="A"/>
    <n v="1"/>
    <n v="1"/>
    <n v="0"/>
    <n v="0"/>
    <n v="0"/>
    <n v="0"/>
    <n v="1452.6329726759541"/>
    <n v="1636.5435872570483"/>
    <n v="0.17621315130220563"/>
    <n v="61"/>
    <n v="69"/>
    <n v="0"/>
    <n v="-8"/>
    <n v="0"/>
    <n v="0.33671151669333571"/>
    <n v="1"/>
    <n v="73.3"/>
    <n v="73.3"/>
    <n v="-4.34910871207917"/>
    <n v="1448.2838639638749"/>
    <n v="0"/>
    <n v="1"/>
    <n v="0"/>
    <n v="0"/>
    <n v="0"/>
    <n v="0"/>
    <n v="0"/>
    <n v="0"/>
    <n v="0"/>
    <n v="0"/>
  </r>
  <r>
    <d v="2001-07-13T00:00:00"/>
    <n v="2001"/>
    <x v="19"/>
    <s v="R"/>
    <s v="RS"/>
    <x v="5"/>
    <s v="PHX"/>
    <s v="H"/>
    <n v="1"/>
    <n v="1"/>
    <n v="0"/>
    <n v="0"/>
    <n v="0"/>
    <n v="0"/>
    <n v="1636.5435872570483"/>
    <n v="1452.6329726759541"/>
    <n v="0.82378684869779428"/>
    <n v="69"/>
    <n v="61"/>
    <n v="0"/>
    <n v="8"/>
    <n v="1"/>
    <n v="0.33671151669333571"/>
    <n v="1"/>
    <n v="73"/>
    <n v="73"/>
    <n v="4.3313088128482891"/>
    <n v="1640.8748960698965"/>
    <n v="1"/>
    <n v="0"/>
    <n v="0"/>
    <n v="0"/>
    <n v="0"/>
    <n v="0"/>
    <n v="0"/>
    <n v="0"/>
    <n v="0"/>
    <n v="0"/>
  </r>
  <r>
    <d v="2001-07-13T00:00:00"/>
    <n v="2001"/>
    <x v="17"/>
    <s v="R"/>
    <s v="RS"/>
    <x v="8"/>
    <s v="DET"/>
    <s v="A"/>
    <n v="2"/>
    <n v="1"/>
    <n v="1"/>
    <n v="-1"/>
    <n v="8"/>
    <n v="-8"/>
    <n v="1472.8492442363772"/>
    <n v="1386.8350170387027"/>
    <n v="0.52590135057382303"/>
    <n v="56"/>
    <n v="55"/>
    <n v="0"/>
    <n v="1"/>
    <n v="1"/>
    <n v="0.22784787210080562"/>
    <n v="1"/>
    <n v="73.3"/>
    <n v="73.3"/>
    <n v="7.9180396064775636"/>
    <n v="1480.7672838428548"/>
    <n v="1"/>
    <n v="0"/>
    <n v="0"/>
    <n v="0"/>
    <n v="0"/>
    <n v="0"/>
    <n v="0"/>
    <n v="0"/>
    <n v="0"/>
    <n v="0"/>
  </r>
  <r>
    <d v="2001-07-13T00:00:00"/>
    <n v="2001"/>
    <x v="16"/>
    <s v="R"/>
    <s v="RS"/>
    <x v="14"/>
    <s v="MIA"/>
    <s v="H"/>
    <n v="1"/>
    <n v="2"/>
    <n v="-1"/>
    <n v="1"/>
    <n v="-8"/>
    <n v="8"/>
    <n v="1386.8350170387027"/>
    <n v="1472.8492442363772"/>
    <n v="0.47409864942617697"/>
    <n v="55"/>
    <n v="56"/>
    <n v="0"/>
    <n v="-1"/>
    <n v="0"/>
    <n v="0.22784787210080562"/>
    <n v="1"/>
    <n v="73.45"/>
    <n v="73.45"/>
    <n v="-7.934242961743208"/>
    <n v="1378.9007740769596"/>
    <n v="0"/>
    <n v="1"/>
    <n v="0"/>
    <n v="0"/>
    <n v="0"/>
    <n v="0"/>
    <n v="0"/>
    <n v="0"/>
    <n v="0"/>
    <n v="0"/>
  </r>
  <r>
    <d v="2001-07-13T00:00:00"/>
    <n v="2001"/>
    <x v="17"/>
    <s v="R"/>
    <s v="RS"/>
    <x v="12"/>
    <s v="IND"/>
    <s v="A"/>
    <n v="0"/>
    <n v="1"/>
    <n v="-1"/>
    <n v="1"/>
    <n v="-8"/>
    <n v="8"/>
    <n v="1444.328175882277"/>
    <n v="1397.9101401887169"/>
    <n v="0.42349493271017485"/>
    <n v="60"/>
    <n v="74"/>
    <n v="0"/>
    <n v="-14"/>
    <n v="0"/>
    <n v="0.46944901909681558"/>
    <n v="1"/>
    <n v="73.3"/>
    <n v="73.3"/>
    <n v="-14.572720279214213"/>
    <n v="1429.7554556030627"/>
    <n v="0"/>
    <n v="1"/>
    <n v="0"/>
    <n v="0"/>
    <n v="0"/>
    <n v="0"/>
    <n v="0"/>
    <n v="0"/>
    <n v="0"/>
    <n v="0"/>
  </r>
  <r>
    <d v="2001-07-13T00:00:00"/>
    <n v="2001"/>
    <x v="17"/>
    <s v="R"/>
    <s v="RS"/>
    <x v="6"/>
    <s v="ORL"/>
    <s v="H"/>
    <n v="1"/>
    <n v="0"/>
    <n v="1"/>
    <n v="-1"/>
    <n v="8"/>
    <n v="-8"/>
    <n v="1397.9101401887169"/>
    <n v="1444.328175882277"/>
    <n v="0.57650506728982509"/>
    <n v="74"/>
    <n v="60"/>
    <n v="0"/>
    <n v="14"/>
    <n v="1"/>
    <n v="0.46944901909681558"/>
    <n v="1"/>
    <n v="73.3"/>
    <n v="73.3"/>
    <n v="14.572720279214215"/>
    <n v="1412.4828604679312"/>
    <n v="1"/>
    <n v="0"/>
    <n v="0"/>
    <n v="0"/>
    <n v="0"/>
    <n v="0"/>
    <n v="0"/>
    <n v="0"/>
    <n v="0"/>
    <n v="0"/>
  </r>
  <r>
    <d v="2001-07-13T00:00:00"/>
    <n v="2001"/>
    <x v="16"/>
    <s v="R"/>
    <s v="RS"/>
    <x v="9"/>
    <s v="NYL"/>
    <s v="A"/>
    <n v="2"/>
    <n v="1"/>
    <n v="1"/>
    <n v="-1"/>
    <n v="8"/>
    <n v="-8"/>
    <n v="1459.2881134457477"/>
    <n v="1614.1148575935135"/>
    <n v="0.21709201987983689"/>
    <n v="64"/>
    <n v="67"/>
    <n v="0"/>
    <n v="-3"/>
    <n v="0"/>
    <n v="0.25702196005696104"/>
    <n v="1"/>
    <n v="73.45"/>
    <n v="73.45"/>
    <n v="-4.0983202391515601"/>
    <n v="1455.1897932065963"/>
    <n v="0"/>
    <n v="1"/>
    <n v="0"/>
    <n v="0"/>
    <n v="0"/>
    <n v="0"/>
    <n v="0"/>
    <n v="0"/>
    <n v="0"/>
    <n v="0"/>
  </r>
  <r>
    <d v="2001-07-13T00:00:00"/>
    <n v="2001"/>
    <x v="19"/>
    <s v="R"/>
    <s v="RS"/>
    <x v="7"/>
    <s v="MIN"/>
    <s v="H"/>
    <n v="1"/>
    <n v="2"/>
    <n v="-1"/>
    <n v="1"/>
    <n v="-8"/>
    <n v="8"/>
    <n v="1614.1148575935135"/>
    <n v="1459.2881134457477"/>
    <n v="0.78290798012016316"/>
    <n v="67"/>
    <n v="64"/>
    <n v="0"/>
    <n v="3"/>
    <n v="1"/>
    <n v="0.25702196005696104"/>
    <n v="1"/>
    <n v="73"/>
    <n v="73"/>
    <n v="4.0732114017435501"/>
    <n v="1618.188068995257"/>
    <n v="1"/>
    <n v="0"/>
    <n v="0"/>
    <n v="0"/>
    <n v="0"/>
    <n v="0"/>
    <n v="0"/>
    <n v="0"/>
    <n v="0"/>
    <n v="0"/>
  </r>
  <r>
    <d v="2001-07-13T00:00:00"/>
    <n v="2001"/>
    <x v="17"/>
    <s v="R"/>
    <s v="RS"/>
    <x v="1"/>
    <s v="SEA"/>
    <s v="A"/>
    <n v="0"/>
    <n v="1"/>
    <n v="-1"/>
    <n v="1"/>
    <n v="-8"/>
    <n v="8"/>
    <n v="1681.9976614880072"/>
    <n v="1415.8424688040454"/>
    <n v="0.72241371681229294"/>
    <n v="58"/>
    <n v="55"/>
    <n v="0"/>
    <n v="3"/>
    <n v="1"/>
    <n v="0.23750570680106067"/>
    <n v="1"/>
    <n v="73.3"/>
    <n v="73.3"/>
    <n v="4.8325463241506625"/>
    <n v="1686.8302078121578"/>
    <n v="1"/>
    <n v="0"/>
    <n v="0"/>
    <n v="0"/>
    <n v="0"/>
    <n v="0"/>
    <n v="0"/>
    <n v="0"/>
    <n v="0"/>
    <n v="0"/>
  </r>
  <r>
    <d v="2001-07-13T00:00:00"/>
    <n v="2001"/>
    <x v="19"/>
    <s v="R"/>
    <s v="RS"/>
    <x v="11"/>
    <s v="HOU"/>
    <s v="H"/>
    <n v="1"/>
    <n v="0"/>
    <n v="1"/>
    <n v="-1"/>
    <n v="8"/>
    <n v="-8"/>
    <n v="1415.8424688040454"/>
    <n v="1681.9976614880072"/>
    <n v="0.27758628318770701"/>
    <n v="55"/>
    <n v="58"/>
    <n v="0"/>
    <n v="-3"/>
    <n v="0"/>
    <n v="0.23750570680106067"/>
    <n v="1"/>
    <n v="73"/>
    <n v="73"/>
    <n v="-4.8127678262346292"/>
    <n v="1411.0297009778108"/>
    <n v="0"/>
    <n v="1"/>
    <n v="0"/>
    <n v="0"/>
    <n v="0"/>
    <n v="0"/>
    <n v="0"/>
    <n v="0"/>
    <n v="0"/>
    <n v="0"/>
  </r>
  <r>
    <d v="2001-07-14T00:00:00"/>
    <n v="2001"/>
    <x v="18"/>
    <s v="R"/>
    <s v="RS"/>
    <x v="6"/>
    <s v="CHA"/>
    <s v="A"/>
    <n v="0"/>
    <n v="1"/>
    <n v="-1"/>
    <n v="1"/>
    <n v="-8"/>
    <n v="8"/>
    <n v="1412.4828604679312"/>
    <n v="1443.2295776613701"/>
    <n v="0.32024663404769016"/>
    <n v="58"/>
    <n v="71"/>
    <n v="0"/>
    <n v="-13"/>
    <n v="0"/>
    <n v="0.46025108079805721"/>
    <n v="1"/>
    <n v="73.150000000000006"/>
    <n v="73.150000000000006"/>
    <n v="-10.781860818210777"/>
    <n v="1401.7009996497204"/>
    <n v="0"/>
    <n v="1"/>
    <n v="0"/>
    <n v="0"/>
    <n v="0"/>
    <n v="0"/>
    <n v="0"/>
    <n v="0"/>
    <n v="0"/>
    <n v="0"/>
  </r>
  <r>
    <d v="2001-07-14T00:00:00"/>
    <n v="2001"/>
    <x v="18"/>
    <s v="R"/>
    <s v="RS"/>
    <x v="13"/>
    <s v="IND"/>
    <s v="H"/>
    <n v="1"/>
    <n v="0"/>
    <n v="1"/>
    <n v="-1"/>
    <n v="8"/>
    <n v="-8"/>
    <n v="1443.2295776613701"/>
    <n v="1412.4828604679312"/>
    <n v="0.67975336595230984"/>
    <n v="71"/>
    <n v="58"/>
    <n v="0"/>
    <n v="13"/>
    <n v="1"/>
    <n v="0.46025108079805721"/>
    <n v="1"/>
    <n v="73.150000000000006"/>
    <n v="73.150000000000006"/>
    <n v="10.781860818210777"/>
    <n v="1454.0114384795809"/>
    <n v="1"/>
    <n v="0"/>
    <n v="0"/>
    <n v="0"/>
    <n v="0"/>
    <n v="0"/>
    <n v="0"/>
    <n v="0"/>
    <n v="0"/>
    <n v="0"/>
  </r>
  <r>
    <d v="2001-07-14T00:00:00"/>
    <n v="2001"/>
    <x v="17"/>
    <s v="R"/>
    <s v="RS"/>
    <x v="14"/>
    <s v="MIA"/>
    <s v="A"/>
    <n v="0"/>
    <n v="0"/>
    <n v="0"/>
    <n v="0"/>
    <n v="0"/>
    <n v="0"/>
    <n v="1378.9007740769596"/>
    <n v="1480.7672838428548"/>
    <n v="0.25541570484497039"/>
    <n v="51"/>
    <n v="66"/>
    <n v="0"/>
    <n v="-15"/>
    <n v="0"/>
    <n v="0.4635019252189107"/>
    <n v="1"/>
    <n v="73.3"/>
    <n v="73.3"/>
    <n v="-8.6776696789336221"/>
    <n v="1370.223104398026"/>
    <n v="0"/>
    <n v="1"/>
    <n v="0"/>
    <n v="0"/>
    <n v="0"/>
    <n v="0"/>
    <n v="0"/>
    <n v="0"/>
    <n v="0"/>
    <n v="0"/>
  </r>
  <r>
    <d v="2001-07-14T00:00:00"/>
    <n v="2001"/>
    <x v="18"/>
    <s v="R"/>
    <s v="RS"/>
    <x v="8"/>
    <s v="DET"/>
    <s v="H"/>
    <n v="0"/>
    <n v="0"/>
    <n v="0"/>
    <n v="0"/>
    <n v="0"/>
    <n v="0"/>
    <n v="1480.7672838428548"/>
    <n v="1378.9007740769596"/>
    <n v="0.74458429515502966"/>
    <n v="66"/>
    <n v="51"/>
    <n v="0"/>
    <n v="15"/>
    <n v="1"/>
    <n v="0.4635019252189107"/>
    <n v="1"/>
    <n v="73.150000000000006"/>
    <n v="73.150000000000006"/>
    <n v="8.6599118282946019"/>
    <n v="1489.4271956711493"/>
    <n v="1"/>
    <n v="0"/>
    <n v="0"/>
    <n v="0"/>
    <n v="0"/>
    <n v="0"/>
    <n v="0"/>
    <n v="0"/>
    <n v="0"/>
    <n v="0"/>
  </r>
  <r>
    <d v="2001-07-14T00:00:00"/>
    <n v="2001"/>
    <x v="18"/>
    <s v="R"/>
    <s v="RS"/>
    <x v="3"/>
    <s v="MIN"/>
    <s v="A"/>
    <n v="0"/>
    <n v="0"/>
    <n v="0"/>
    <n v="0"/>
    <n v="0"/>
    <n v="0"/>
    <n v="1448.2838639638749"/>
    <n v="1455.1897932065963"/>
    <n v="0.37208170345798225"/>
    <n v="80"/>
    <n v="67"/>
    <n v="0"/>
    <n v="13"/>
    <n v="1"/>
    <n v="0.46934271599143129"/>
    <n v="1"/>
    <n v="73.150000000000006"/>
    <n v="73.150000000000006"/>
    <n v="21.557954478349245"/>
    <n v="1469.8418184422242"/>
    <n v="1"/>
    <n v="0"/>
    <n v="0"/>
    <n v="0"/>
    <n v="0"/>
    <n v="0"/>
    <n v="0"/>
    <n v="0"/>
    <n v="0"/>
    <n v="0"/>
  </r>
  <r>
    <d v="2001-07-14T00:00:00"/>
    <n v="2001"/>
    <x v="17"/>
    <s v="R"/>
    <s v="RS"/>
    <x v="9"/>
    <s v="PHX"/>
    <s v="H"/>
    <n v="0"/>
    <n v="0"/>
    <n v="0"/>
    <n v="0"/>
    <n v="0"/>
    <n v="0"/>
    <n v="1455.1897932065963"/>
    <n v="1448.2838639638749"/>
    <n v="0.6279182965420177"/>
    <n v="67"/>
    <n v="80"/>
    <n v="0"/>
    <n v="-13"/>
    <n v="0"/>
    <n v="0.46934271599143129"/>
    <n v="1"/>
    <n v="73.3"/>
    <n v="73.3"/>
    <n v="-21.602160810157201"/>
    <n v="1433.5876323964392"/>
    <n v="0"/>
    <n v="1"/>
    <n v="0"/>
    <n v="0"/>
    <n v="0"/>
    <n v="0"/>
    <n v="0"/>
    <n v="0"/>
    <n v="0"/>
    <n v="0"/>
  </r>
  <r>
    <d v="2001-07-14T00:00:00"/>
    <n v="2001"/>
    <x v="19"/>
    <s v="R"/>
    <s v="RS"/>
    <x v="15"/>
    <s v="UTA"/>
    <s v="A"/>
    <n v="1"/>
    <n v="1"/>
    <n v="0"/>
    <n v="0"/>
    <n v="0"/>
    <n v="0"/>
    <n v="1603.1724208670976"/>
    <n v="1468.622390612092"/>
    <n v="0.57223832866354252"/>
    <n v="57"/>
    <n v="69"/>
    <n v="0"/>
    <n v="-12"/>
    <n v="0"/>
    <n v="0.41014223467310573"/>
    <n v="1"/>
    <n v="73"/>
    <n v="73"/>
    <n v="-17.133034802507797"/>
    <n v="1586.0393860645897"/>
    <n v="0"/>
    <n v="1"/>
    <n v="0"/>
    <n v="0"/>
    <n v="0"/>
    <n v="0"/>
    <n v="0"/>
    <n v="0"/>
    <n v="0"/>
    <n v="0"/>
  </r>
  <r>
    <d v="2001-07-14T00:00:00"/>
    <n v="2001"/>
    <x v="17"/>
    <s v="R"/>
    <s v="RS"/>
    <x v="2"/>
    <s v="SAC"/>
    <s v="H"/>
    <n v="1"/>
    <n v="1"/>
    <n v="0"/>
    <n v="0"/>
    <n v="0"/>
    <n v="0"/>
    <n v="1468.622390612092"/>
    <n v="1603.1724208670976"/>
    <n v="0.42776167133645748"/>
    <n v="69"/>
    <n v="57"/>
    <n v="0"/>
    <n v="12"/>
    <n v="1"/>
    <n v="0.41014223467310573"/>
    <n v="1"/>
    <n v="73.3"/>
    <n v="73.3"/>
    <n v="17.203444534572899"/>
    <n v="1485.825835146665"/>
    <n v="1"/>
    <n v="0"/>
    <n v="0"/>
    <n v="0"/>
    <n v="0"/>
    <n v="0"/>
    <n v="0"/>
    <n v="0"/>
    <n v="0"/>
    <n v="0"/>
  </r>
  <r>
    <d v="2001-07-14T00:00:00"/>
    <n v="2001"/>
    <x v="19"/>
    <s v="R"/>
    <s v="RS"/>
    <x v="0"/>
    <s v="WAS"/>
    <s v="A"/>
    <n v="2"/>
    <n v="2"/>
    <n v="0"/>
    <n v="0"/>
    <n v="0"/>
    <n v="0"/>
    <n v="1692.3045374580356"/>
    <n v="1377.0015779706839"/>
    <n v="0.79108647353448991"/>
    <n v="62"/>
    <n v="50"/>
    <n v="0"/>
    <n v="12"/>
    <n v="1"/>
    <n v="0.36121841395797633"/>
    <n v="1"/>
    <n v="73"/>
    <n v="73"/>
    <n v="5.5088291259494664"/>
    <n v="1697.813366583985"/>
    <n v="1"/>
    <n v="0"/>
    <n v="0"/>
    <n v="0"/>
    <n v="0"/>
    <n v="0"/>
    <n v="0"/>
    <n v="0"/>
    <n v="0"/>
    <n v="0"/>
  </r>
  <r>
    <d v="2001-07-14T00:00:00"/>
    <n v="2001"/>
    <x v="17"/>
    <s v="R"/>
    <s v="RS"/>
    <x v="4"/>
    <s v="LAS"/>
    <s v="H"/>
    <n v="2"/>
    <n v="2"/>
    <n v="0"/>
    <n v="0"/>
    <n v="0"/>
    <n v="0"/>
    <n v="1377.0015779706839"/>
    <n v="1692.3045374580356"/>
    <n v="0.20891352646551009"/>
    <n v="50"/>
    <n v="62"/>
    <n v="0"/>
    <n v="-12"/>
    <n v="0"/>
    <n v="0.36121841395797633"/>
    <n v="1"/>
    <n v="73.3"/>
    <n v="73.3"/>
    <n v="-5.5314681497547387"/>
    <n v="1371.4701098209291"/>
    <n v="0"/>
    <n v="1"/>
    <n v="0"/>
    <n v="0"/>
    <n v="0"/>
    <n v="0"/>
    <n v="0"/>
    <n v="0"/>
    <n v="0"/>
    <n v="0"/>
  </r>
  <r>
    <d v="2001-07-18T00:00:00"/>
    <n v="2001"/>
    <x v="20"/>
    <s v="R"/>
    <s v="RS"/>
    <x v="7"/>
    <s v="DET"/>
    <s v="A"/>
    <n v="4"/>
    <n v="3"/>
    <n v="1"/>
    <n v="-1"/>
    <n v="8"/>
    <n v="-8"/>
    <n v="1618.188068995257"/>
    <n v="1370.223104398026"/>
    <n v="0.73807004510157337"/>
    <n v="80"/>
    <n v="67"/>
    <n v="0"/>
    <n v="13"/>
    <n v="1"/>
    <n v="0.39120594809039921"/>
    <n v="1"/>
    <n v="72.849999999999994"/>
    <n v="72.849999999999994"/>
    <n v="7.4648343293190607"/>
    <n v="1625.6529033245761"/>
    <n v="1"/>
    <n v="0"/>
    <n v="0"/>
    <n v="0"/>
    <n v="0"/>
    <n v="0"/>
    <n v="0"/>
    <n v="0"/>
    <n v="0"/>
    <n v="0"/>
  </r>
  <r>
    <d v="2001-07-18T00:00:00"/>
    <n v="2001"/>
    <x v="18"/>
    <s v="R"/>
    <s v="RS"/>
    <x v="14"/>
    <s v="NYL"/>
    <s v="H"/>
    <n v="3"/>
    <n v="4"/>
    <n v="-1"/>
    <n v="1"/>
    <n v="-8"/>
    <n v="8"/>
    <n v="1370.223104398026"/>
    <n v="1618.188068995257"/>
    <n v="0.26192995489842663"/>
    <n v="67"/>
    <n v="80"/>
    <n v="0"/>
    <n v="-13"/>
    <n v="0"/>
    <n v="0.39120594809039921"/>
    <n v="1"/>
    <n v="73.150000000000006"/>
    <n v="73.150000000000006"/>
    <n v="-7.4955748962208562"/>
    <n v="1362.7275295018051"/>
    <n v="0"/>
    <n v="1"/>
    <n v="0"/>
    <n v="0"/>
    <n v="0"/>
    <n v="0"/>
    <n v="0"/>
    <n v="0"/>
    <n v="0"/>
    <n v="0"/>
  </r>
  <r>
    <d v="2001-07-18T00:00:00"/>
    <n v="2001"/>
    <x v="18"/>
    <s v="R"/>
    <s v="RS"/>
    <x v="2"/>
    <s v="IND"/>
    <s v="A"/>
    <n v="3"/>
    <n v="3"/>
    <n v="0"/>
    <n v="0"/>
    <n v="0"/>
    <n v="0"/>
    <n v="1485.825835146665"/>
    <n v="1401.7009996497204"/>
    <n v="0.5001796527137321"/>
    <n v="61"/>
    <n v="57"/>
    <n v="0"/>
    <n v="4"/>
    <n v="1"/>
    <n v="0.29103033564492137"/>
    <n v="1"/>
    <n v="73.150000000000006"/>
    <n v="73.150000000000006"/>
    <n v="10.640609923115445"/>
    <n v="1496.4664450697803"/>
    <n v="1"/>
    <n v="0"/>
    <n v="0"/>
    <n v="0"/>
    <n v="0"/>
    <n v="0"/>
    <n v="0"/>
    <n v="0"/>
    <n v="0"/>
    <n v="0"/>
  </r>
  <r>
    <d v="2001-07-18T00:00:00"/>
    <n v="2001"/>
    <x v="19"/>
    <s v="R"/>
    <s v="RS"/>
    <x v="6"/>
    <s v="UTA"/>
    <s v="H"/>
    <n v="3"/>
    <n v="3"/>
    <n v="0"/>
    <n v="0"/>
    <n v="0"/>
    <n v="0"/>
    <n v="1401.7009996497204"/>
    <n v="1485.825835146665"/>
    <n v="0.49982034728626795"/>
    <n v="57"/>
    <n v="61"/>
    <n v="0"/>
    <n v="-4"/>
    <n v="0"/>
    <n v="0.29103033564492137"/>
    <n v="1"/>
    <n v="73"/>
    <n v="73"/>
    <n v="-10.618790490600512"/>
    <n v="1391.0822091591199"/>
    <n v="0"/>
    <n v="1"/>
    <n v="0"/>
    <n v="0"/>
    <n v="0"/>
    <n v="0"/>
    <n v="0"/>
    <n v="0"/>
    <n v="0"/>
    <n v="0"/>
  </r>
  <r>
    <d v="2001-07-18T00:00:00"/>
    <n v="2001"/>
    <x v="19"/>
    <s v="R"/>
    <s v="RS"/>
    <x v="13"/>
    <s v="MIA"/>
    <s v="A"/>
    <n v="3"/>
    <n v="3"/>
    <n v="0"/>
    <n v="0"/>
    <n v="0"/>
    <n v="0"/>
    <n v="1454.0114384795809"/>
    <n v="1489.4271956711493"/>
    <n v="0.33460895455129569"/>
    <n v="48"/>
    <n v="68"/>
    <n v="0"/>
    <n v="-20"/>
    <n v="0"/>
    <n v="0.55840701943032933"/>
    <n v="1"/>
    <n v="73"/>
    <n v="73"/>
    <n v="-13.639903195955192"/>
    <n v="1440.3715352836257"/>
    <n v="0"/>
    <n v="1"/>
    <n v="0"/>
    <n v="0"/>
    <n v="0"/>
    <n v="0"/>
    <n v="0"/>
    <n v="0"/>
    <n v="0"/>
    <n v="0"/>
  </r>
  <r>
    <d v="2001-07-18T00:00:00"/>
    <n v="2001"/>
    <x v="19"/>
    <s v="R"/>
    <s v="RS"/>
    <x v="8"/>
    <s v="CHA"/>
    <s v="H"/>
    <n v="3"/>
    <n v="3"/>
    <n v="0"/>
    <n v="0"/>
    <n v="0"/>
    <n v="0"/>
    <n v="1489.4271956711493"/>
    <n v="1454.0114384795809"/>
    <n v="0.66539104544870431"/>
    <n v="68"/>
    <n v="48"/>
    <n v="0"/>
    <n v="20"/>
    <n v="1"/>
    <n v="0.55840701943032933"/>
    <n v="1"/>
    <n v="73"/>
    <n v="73"/>
    <n v="13.639903195955192"/>
    <n v="1503.0670988671045"/>
    <n v="1"/>
    <n v="0"/>
    <n v="0"/>
    <n v="0"/>
    <n v="0"/>
    <n v="0"/>
    <n v="0"/>
    <n v="0"/>
    <n v="0"/>
    <n v="0"/>
  </r>
  <r>
    <d v="2001-07-18T00:00:00"/>
    <n v="2001"/>
    <x v="20"/>
    <s v="R"/>
    <s v="RS"/>
    <x v="11"/>
    <s v="MIN"/>
    <s v="A"/>
    <n v="4"/>
    <n v="3"/>
    <n v="1"/>
    <n v="-1"/>
    <n v="8"/>
    <n v="-8"/>
    <n v="1411.0297009778108"/>
    <n v="1433.5876323964392"/>
    <n v="0.37254985325102608"/>
    <n v="58"/>
    <n v="68"/>
    <n v="0"/>
    <n v="-10"/>
    <n v="0"/>
    <n v="0.4153223549983866"/>
    <n v="1"/>
    <n v="72.849999999999994"/>
    <n v="72.849999999999994"/>
    <n v="-11.271955373314944"/>
    <n v="1399.7577456044958"/>
    <n v="0"/>
    <n v="1"/>
    <n v="0"/>
    <n v="0"/>
    <n v="0"/>
    <n v="0"/>
    <n v="0"/>
    <n v="0"/>
    <n v="0"/>
    <n v="0"/>
  </r>
  <r>
    <d v="2001-07-18T00:00:00"/>
    <n v="2001"/>
    <x v="18"/>
    <s v="R"/>
    <s v="RS"/>
    <x v="9"/>
    <s v="SEA"/>
    <s v="H"/>
    <n v="3"/>
    <n v="4"/>
    <n v="-1"/>
    <n v="1"/>
    <n v="-8"/>
    <n v="8"/>
    <n v="1433.5876323964392"/>
    <n v="1411.0297009778108"/>
    <n v="0.62745014674897392"/>
    <n v="68"/>
    <n v="58"/>
    <n v="0"/>
    <n v="10"/>
    <n v="1"/>
    <n v="0.4153223549983866"/>
    <n v="1"/>
    <n v="73.150000000000006"/>
    <n v="73.150000000000006"/>
    <n v="11.318373858036901"/>
    <n v="1444.9060062544761"/>
    <n v="1"/>
    <n v="0"/>
    <n v="0"/>
    <n v="0"/>
    <n v="0"/>
    <n v="0"/>
    <n v="0"/>
    <n v="0"/>
    <n v="0"/>
    <n v="0"/>
  </r>
  <r>
    <d v="2001-07-18T00:00:00"/>
    <n v="2001"/>
    <x v="18"/>
    <s v="R"/>
    <s v="RS"/>
    <x v="1"/>
    <s v="ORL"/>
    <s v="A"/>
    <n v="4"/>
    <n v="4"/>
    <n v="0"/>
    <n v="0"/>
    <n v="0"/>
    <n v="0"/>
    <n v="1686.8302078121578"/>
    <n v="1429.7554556030627"/>
    <n v="0.73033017006231848"/>
    <n v="52"/>
    <n v="57"/>
    <n v="0"/>
    <n v="-5"/>
    <n v="0"/>
    <n v="0.27322357343020348"/>
    <n v="1"/>
    <n v="73.150000000000006"/>
    <n v="73.150000000000006"/>
    <n v="-14.596601088754232"/>
    <n v="1672.2336067234037"/>
    <n v="0"/>
    <n v="1"/>
    <n v="0"/>
    <n v="0"/>
    <n v="0"/>
    <n v="0"/>
    <n v="0"/>
    <n v="0"/>
    <n v="0"/>
    <n v="0"/>
  </r>
  <r>
    <d v="2001-07-18T00:00:00"/>
    <n v="2001"/>
    <x v="18"/>
    <s v="R"/>
    <s v="RS"/>
    <x v="12"/>
    <s v="HOU"/>
    <s v="H"/>
    <n v="4"/>
    <n v="4"/>
    <n v="0"/>
    <n v="0"/>
    <n v="0"/>
    <n v="0"/>
    <n v="1429.7554556030627"/>
    <n v="1686.8302078121578"/>
    <n v="0.26966982993768152"/>
    <n v="57"/>
    <n v="52"/>
    <n v="0"/>
    <n v="5"/>
    <n v="1"/>
    <n v="0.27322357343020348"/>
    <n v="1"/>
    <n v="73.150000000000006"/>
    <n v="73.150000000000006"/>
    <n v="14.596601088754232"/>
    <n v="1444.3520566918169"/>
    <n v="1"/>
    <n v="0"/>
    <n v="0"/>
    <n v="0"/>
    <n v="0"/>
    <n v="0"/>
    <n v="0"/>
    <n v="0"/>
    <n v="0"/>
    <n v="0"/>
  </r>
  <r>
    <d v="2001-07-19T00:00:00"/>
    <n v="2001"/>
    <x v="21"/>
    <s v="R"/>
    <s v="RS"/>
    <x v="7"/>
    <s v="CLE"/>
    <s v="A"/>
    <n v="0"/>
    <n v="5"/>
    <n v="-5"/>
    <n v="5"/>
    <n v="-16"/>
    <n v="16"/>
    <n v="1625.6529033245761"/>
    <n v="1640.8748960698965"/>
    <n v="0.31965135127616157"/>
    <n v="60"/>
    <n v="65"/>
    <n v="0"/>
    <n v="-5"/>
    <n v="0"/>
    <n v="0.32760036678905824"/>
    <n v="1"/>
    <n v="72.7"/>
    <n v="72.7"/>
    <n v="-7.6129913243794629"/>
    <n v="1618.0399120001966"/>
    <n v="0"/>
    <n v="1"/>
    <n v="0"/>
    <n v="0"/>
    <n v="0"/>
    <n v="0"/>
    <n v="0"/>
    <n v="0"/>
    <n v="0"/>
    <n v="0"/>
  </r>
  <r>
    <d v="2001-07-19T00:00:00"/>
    <n v="2001"/>
    <x v="20"/>
    <s v="R"/>
    <s v="RS"/>
    <x v="5"/>
    <s v="NYL"/>
    <s v="H"/>
    <n v="5"/>
    <n v="0"/>
    <n v="5"/>
    <n v="-5"/>
    <n v="16"/>
    <n v="-16"/>
    <n v="1640.8748960698965"/>
    <n v="1625.6529033245761"/>
    <n v="0.68034864872383838"/>
    <n v="65"/>
    <n v="60"/>
    <n v="0"/>
    <n v="5"/>
    <n v="1"/>
    <n v="0.32760036678905824"/>
    <n v="1"/>
    <n v="72.849999999999994"/>
    <n v="72.849999999999994"/>
    <n v="7.6286990093678666"/>
    <n v="1648.5035950792644"/>
    <n v="1"/>
    <n v="0"/>
    <n v="0"/>
    <n v="0"/>
    <n v="0"/>
    <n v="0"/>
    <n v="0"/>
    <n v="0"/>
    <n v="0"/>
    <n v="0"/>
  </r>
  <r>
    <d v="2001-07-19T00:00:00"/>
    <n v="2001"/>
    <x v="18"/>
    <s v="R"/>
    <s v="RS"/>
    <x v="10"/>
    <s v="PHX"/>
    <s v="A"/>
    <n v="6"/>
    <n v="4"/>
    <n v="2"/>
    <n v="-2"/>
    <n v="16"/>
    <n v="-16"/>
    <n v="1451.7163393199435"/>
    <n v="1469.8418184422242"/>
    <n v="0.4004297730581467"/>
    <n v="58"/>
    <n v="60"/>
    <n v="0"/>
    <n v="-2"/>
    <n v="0"/>
    <n v="0.26385589209019356"/>
    <n v="1"/>
    <n v="73.150000000000006"/>
    <n v="73.150000000000006"/>
    <n v="-7.7287184774988269"/>
    <n v="1443.9876208424446"/>
    <n v="0"/>
    <n v="1"/>
    <n v="0"/>
    <n v="0"/>
    <n v="0"/>
    <n v="0"/>
    <n v="0"/>
    <n v="0"/>
    <n v="0"/>
    <n v="0"/>
  </r>
  <r>
    <d v="2001-07-19T00:00:00"/>
    <n v="2001"/>
    <x v="19"/>
    <s v="R"/>
    <s v="RS"/>
    <x v="3"/>
    <s v="POR"/>
    <s v="H"/>
    <n v="4"/>
    <n v="6"/>
    <n v="-2"/>
    <n v="2"/>
    <n v="-16"/>
    <n v="16"/>
    <n v="1469.8418184422242"/>
    <n v="1451.7163393199435"/>
    <n v="0.59957022694185336"/>
    <n v="60"/>
    <n v="58"/>
    <n v="0"/>
    <n v="2"/>
    <n v="1"/>
    <n v="0.26385589209019356"/>
    <n v="1"/>
    <n v="73"/>
    <n v="73"/>
    <n v="7.7128701142503653"/>
    <n v="1477.5546885564745"/>
    <n v="1"/>
    <n v="0"/>
    <n v="0"/>
    <n v="0"/>
    <n v="0"/>
    <n v="0"/>
    <n v="0"/>
    <n v="0"/>
    <n v="0"/>
    <n v="0"/>
  </r>
  <r>
    <d v="2001-07-19T00:00:00"/>
    <n v="2001"/>
    <x v="20"/>
    <s v="R"/>
    <s v="RS"/>
    <x v="0"/>
    <s v="SAC"/>
    <s v="A"/>
    <n v="4"/>
    <n v="4"/>
    <n v="0"/>
    <n v="0"/>
    <n v="0"/>
    <n v="0"/>
    <n v="1697.813366583985"/>
    <n v="1586.0393860645897"/>
    <n v="0.53988504672961535"/>
    <n v="83"/>
    <n v="68"/>
    <n v="0"/>
    <n v="15"/>
    <n v="1"/>
    <n v="0.46000122171625463"/>
    <n v="1"/>
    <n v="72.849999999999994"/>
    <n v="72.849999999999994"/>
    <n v="15.418953150208342"/>
    <n v="1713.2323197341934"/>
    <n v="1"/>
    <n v="0"/>
    <n v="0"/>
    <n v="0"/>
    <n v="0"/>
    <n v="0"/>
    <n v="0"/>
    <n v="0"/>
    <n v="0"/>
    <n v="0"/>
  </r>
  <r>
    <d v="2001-07-19T00:00:00"/>
    <n v="2001"/>
    <x v="20"/>
    <s v="R"/>
    <s v="RS"/>
    <x v="15"/>
    <s v="LAS"/>
    <s v="H"/>
    <n v="4"/>
    <n v="4"/>
    <n v="0"/>
    <n v="0"/>
    <n v="0"/>
    <n v="0"/>
    <n v="1586.0393860645897"/>
    <n v="1697.813366583985"/>
    <n v="0.4601149532703846"/>
    <n v="68"/>
    <n v="83"/>
    <n v="0"/>
    <n v="-15"/>
    <n v="0"/>
    <n v="0.46000122171625463"/>
    <n v="1"/>
    <n v="72.849999999999994"/>
    <n v="72.849999999999994"/>
    <n v="-15.41895315020834"/>
    <n v="1570.6204329143814"/>
    <n v="0"/>
    <n v="1"/>
    <n v="0"/>
    <n v="0"/>
    <n v="0"/>
    <n v="0"/>
    <n v="0"/>
    <n v="0"/>
    <n v="0"/>
    <n v="0"/>
  </r>
  <r>
    <d v="2001-07-20T00:00:00"/>
    <n v="2001"/>
    <x v="19"/>
    <s v="R"/>
    <s v="RS"/>
    <x v="12"/>
    <s v="CHA"/>
    <s v="A"/>
    <n v="1"/>
    <n v="1"/>
    <n v="0"/>
    <n v="0"/>
    <n v="0"/>
    <n v="0"/>
    <n v="1444.3520566918169"/>
    <n v="1440.3715352836257"/>
    <n v="0.38683658346628835"/>
    <n v="65"/>
    <n v="72"/>
    <n v="0"/>
    <n v="-7"/>
    <n v="0"/>
    <n v="0.36888354843575494"/>
    <n v="1"/>
    <n v="73"/>
    <n v="73"/>
    <n v="-10.416928564888023"/>
    <n v="1433.9351281269289"/>
    <n v="0"/>
    <n v="1"/>
    <n v="0"/>
    <n v="0"/>
    <n v="0"/>
    <n v="0"/>
    <n v="0"/>
    <n v="0"/>
    <n v="0"/>
    <n v="0"/>
  </r>
  <r>
    <d v="2001-07-20T00:00:00"/>
    <n v="2001"/>
    <x v="20"/>
    <s v="R"/>
    <s v="RS"/>
    <x v="13"/>
    <s v="ORL"/>
    <s v="H"/>
    <n v="1"/>
    <n v="1"/>
    <n v="0"/>
    <n v="0"/>
    <n v="0"/>
    <n v="0"/>
    <n v="1440.3715352836257"/>
    <n v="1444.3520566918169"/>
    <n v="0.61316341653371165"/>
    <n v="72"/>
    <n v="65"/>
    <n v="0"/>
    <n v="7"/>
    <n v="1"/>
    <n v="0.36888354843575494"/>
    <n v="1"/>
    <n v="72.849999999999994"/>
    <n v="72.849999999999994"/>
    <n v="10.395523917151952"/>
    <n v="1450.7670592007776"/>
    <n v="1"/>
    <n v="0"/>
    <n v="0"/>
    <n v="0"/>
    <n v="0"/>
    <n v="0"/>
    <n v="0"/>
    <n v="0"/>
    <n v="0"/>
    <n v="0"/>
  </r>
  <r>
    <d v="2001-07-20T00:00:00"/>
    <n v="2001"/>
    <x v="18"/>
    <s v="R"/>
    <s v="RS"/>
    <x v="4"/>
    <s v="IND"/>
    <s v="A"/>
    <n v="5"/>
    <n v="1"/>
    <n v="4"/>
    <n v="-4"/>
    <n v="16"/>
    <n v="-16"/>
    <n v="1371.4701098209291"/>
    <n v="1391.0822091591199"/>
    <n v="0.39837695904765125"/>
    <n v="65"/>
    <n v="73"/>
    <n v="0"/>
    <n v="-8"/>
    <n v="0"/>
    <n v="0.38207118661455136"/>
    <n v="1"/>
    <n v="73.150000000000006"/>
    <n v="73.150000000000006"/>
    <n v="-11.134041348435469"/>
    <n v="1360.3360684724937"/>
    <n v="0"/>
    <n v="1"/>
    <n v="0"/>
    <n v="0"/>
    <n v="0"/>
    <n v="0"/>
    <n v="0"/>
    <n v="0"/>
    <n v="0"/>
    <n v="0"/>
  </r>
  <r>
    <d v="2001-07-20T00:00:00"/>
    <n v="2001"/>
    <x v="20"/>
    <s v="R"/>
    <s v="RS"/>
    <x v="6"/>
    <s v="WAS"/>
    <s v="H"/>
    <n v="1"/>
    <n v="5"/>
    <n v="-4"/>
    <n v="4"/>
    <n v="-16"/>
    <n v="16"/>
    <n v="1391.0822091591199"/>
    <n v="1371.4701098209291"/>
    <n v="0.60162304095234875"/>
    <n v="73"/>
    <n v="65"/>
    <n v="0"/>
    <n v="8"/>
    <n v="1"/>
    <n v="0.38207118661455136"/>
    <n v="1"/>
    <n v="72.849999999999994"/>
    <n v="72.849999999999994"/>
    <n v="11.088378841196498"/>
    <n v="1402.1705880003165"/>
    <n v="1"/>
    <n v="0"/>
    <n v="0"/>
    <n v="0"/>
    <n v="0"/>
    <n v="0"/>
    <n v="0"/>
    <n v="0"/>
    <n v="0"/>
    <n v="0"/>
  </r>
  <r>
    <d v="2001-07-20T00:00:00"/>
    <n v="2001"/>
    <x v="19"/>
    <s v="R"/>
    <s v="RS"/>
    <x v="1"/>
    <s v="MIA"/>
    <s v="A"/>
    <n v="1"/>
    <n v="1"/>
    <n v="0"/>
    <n v="0"/>
    <n v="0"/>
    <n v="0"/>
    <n v="1672.2336067234037"/>
    <n v="1503.0670988671045"/>
    <n v="0.62016716827495078"/>
    <n v="50"/>
    <n v="64"/>
    <n v="0"/>
    <n v="-14"/>
    <n v="0"/>
    <n v="0.42736199058583296"/>
    <n v="1"/>
    <n v="73"/>
    <n v="73"/>
    <n v="-19.347618913687239"/>
    <n v="1652.8859878097164"/>
    <n v="0"/>
    <n v="1"/>
    <n v="0"/>
    <n v="0"/>
    <n v="0"/>
    <n v="0"/>
    <n v="0"/>
    <n v="0"/>
    <n v="0"/>
    <n v="0"/>
  </r>
  <r>
    <d v="2001-07-20T00:00:00"/>
    <n v="2001"/>
    <x v="20"/>
    <s v="R"/>
    <s v="RS"/>
    <x v="8"/>
    <s v="HOU"/>
    <s v="H"/>
    <n v="1"/>
    <n v="1"/>
    <n v="0"/>
    <n v="0"/>
    <n v="0"/>
    <n v="0"/>
    <n v="1503.0670988671045"/>
    <n v="1672.2336067234037"/>
    <n v="0.37983283172504917"/>
    <n v="64"/>
    <n v="50"/>
    <n v="0"/>
    <n v="14"/>
    <n v="1"/>
    <n v="0.42736199058583296"/>
    <n v="1"/>
    <n v="72.849999999999994"/>
    <n v="72.849999999999994"/>
    <n v="19.307863532357747"/>
    <n v="1522.3749623994622"/>
    <n v="1"/>
    <n v="0"/>
    <n v="0"/>
    <n v="0"/>
    <n v="0"/>
    <n v="0"/>
    <n v="0"/>
    <n v="0"/>
    <n v="0"/>
    <n v="0"/>
  </r>
  <r>
    <d v="2001-07-20T00:00:00"/>
    <n v="2001"/>
    <x v="19"/>
    <s v="R"/>
    <s v="RS"/>
    <x v="10"/>
    <s v="SEA"/>
    <s v="A"/>
    <n v="0"/>
    <n v="1"/>
    <n v="-1"/>
    <n v="1"/>
    <n v="-8"/>
    <n v="8"/>
    <n v="1443.9876208424446"/>
    <n v="1399.7577456044958"/>
    <n v="0.4204226430354906"/>
    <n v="56"/>
    <n v="49"/>
    <n v="0"/>
    <n v="7"/>
    <n v="1"/>
    <n v="0.35695060520842103"/>
    <n v="1"/>
    <n v="73"/>
    <n v="73"/>
    <n v="15.102275648351245"/>
    <n v="1459.0898964907958"/>
    <n v="1"/>
    <n v="0"/>
    <n v="0"/>
    <n v="0"/>
    <n v="0"/>
    <n v="0"/>
    <n v="0"/>
    <n v="0"/>
    <n v="0"/>
    <n v="0"/>
  </r>
  <r>
    <d v="2001-07-20T00:00:00"/>
    <n v="2001"/>
    <x v="21"/>
    <s v="R"/>
    <s v="RS"/>
    <x v="11"/>
    <s v="POR"/>
    <s v="H"/>
    <n v="1"/>
    <n v="0"/>
    <n v="1"/>
    <n v="-1"/>
    <n v="8"/>
    <n v="-8"/>
    <n v="1399.7577456044958"/>
    <n v="1443.9876208424446"/>
    <n v="0.5795773569645094"/>
    <n v="49"/>
    <n v="56"/>
    <n v="0"/>
    <n v="-7"/>
    <n v="0"/>
    <n v="0.35695060520842103"/>
    <n v="1"/>
    <n v="72.7"/>
    <n v="72.7"/>
    <n v="-15.040211501851173"/>
    <n v="1384.7175341026445"/>
    <n v="0"/>
    <n v="1"/>
    <n v="0"/>
    <n v="0"/>
    <n v="0"/>
    <n v="0"/>
    <n v="0"/>
    <n v="0"/>
    <n v="0"/>
    <n v="0"/>
  </r>
  <r>
    <d v="2001-07-21T00:00:00"/>
    <n v="2001"/>
    <x v="21"/>
    <s v="R"/>
    <s v="RS"/>
    <x v="13"/>
    <s v="CLE"/>
    <s v="A"/>
    <n v="0"/>
    <n v="1"/>
    <n v="-1"/>
    <n v="1"/>
    <n v="-8"/>
    <n v="8"/>
    <n v="1450.7670592007776"/>
    <n v="1648.5035950792644"/>
    <n v="0.15265735233267533"/>
    <n v="41"/>
    <n v="56"/>
    <n v="0"/>
    <n v="-15"/>
    <n v="0"/>
    <n v="0.43171056788271195"/>
    <n v="1"/>
    <n v="72.7"/>
    <n v="72.7"/>
    <n v="-4.7912056978116642"/>
    <n v="1445.9758535029659"/>
    <n v="0"/>
    <n v="1"/>
    <n v="0"/>
    <n v="0"/>
    <n v="0"/>
    <n v="0"/>
    <n v="0"/>
    <n v="0"/>
    <n v="0"/>
    <n v="0"/>
  </r>
  <r>
    <d v="2001-07-21T00:00:00"/>
    <n v="2001"/>
    <x v="21"/>
    <s v="R"/>
    <s v="RS"/>
    <x v="5"/>
    <s v="CHA"/>
    <s v="H"/>
    <n v="1"/>
    <n v="0"/>
    <n v="1"/>
    <n v="-1"/>
    <n v="8"/>
    <n v="-8"/>
    <n v="1648.5035950792644"/>
    <n v="1450.7670592007776"/>
    <n v="0.8473426476673247"/>
    <n v="56"/>
    <n v="41"/>
    <n v="0"/>
    <n v="15"/>
    <n v="1"/>
    <n v="0.43171056788271195"/>
    <n v="1"/>
    <n v="72.7"/>
    <n v="72.7"/>
    <n v="4.7912056978116633"/>
    <n v="1653.294800777076"/>
    <n v="1"/>
    <n v="0"/>
    <n v="0"/>
    <n v="0"/>
    <n v="0"/>
    <n v="0"/>
    <n v="0"/>
    <n v="0"/>
    <n v="0"/>
    <n v="0"/>
  </r>
  <r>
    <d v="2001-07-21T00:00:00"/>
    <n v="2001"/>
    <x v="22"/>
    <s v="R"/>
    <s v="RS"/>
    <x v="11"/>
    <s v="LAS"/>
    <s v="A"/>
    <n v="0"/>
    <n v="1"/>
    <n v="-1"/>
    <n v="1"/>
    <n v="-8"/>
    <n v="8"/>
    <n v="1384.7175341026445"/>
    <n v="1713.2323197341934"/>
    <n v="7.8223736405258884E-2"/>
    <n v="79"/>
    <n v="85"/>
    <n v="0"/>
    <n v="-6"/>
    <n v="0"/>
    <n v="0.27578203185978351"/>
    <n v="1"/>
    <n v="72.55"/>
    <n v="72.55"/>
    <n v="-1.5650994550474902"/>
    <n v="1383.1524346475971"/>
    <n v="0"/>
    <n v="1"/>
    <n v="0"/>
    <n v="0"/>
    <n v="0"/>
    <n v="0"/>
    <n v="0"/>
    <n v="0"/>
    <n v="0"/>
    <n v="0"/>
  </r>
  <r>
    <d v="2001-07-21T00:00:00"/>
    <n v="2001"/>
    <x v="21"/>
    <s v="R"/>
    <s v="RS"/>
    <x v="0"/>
    <s v="SEA"/>
    <s v="H"/>
    <n v="1"/>
    <n v="0"/>
    <n v="1"/>
    <n v="-1"/>
    <n v="8"/>
    <n v="-8"/>
    <n v="1713.2323197341934"/>
    <n v="1384.7175341026445"/>
    <n v="0.92177626359474107"/>
    <n v="85"/>
    <n v="79"/>
    <n v="0"/>
    <n v="6"/>
    <n v="1"/>
    <n v="0.27578203185978351"/>
    <n v="1"/>
    <n v="72.7"/>
    <n v="72.7"/>
    <n v="1.5683353601923171"/>
    <n v="1714.8006550943858"/>
    <n v="1"/>
    <n v="0"/>
    <n v="0"/>
    <n v="0"/>
    <n v="0"/>
    <n v="0"/>
    <n v="0"/>
    <n v="0"/>
    <n v="0"/>
    <n v="0"/>
  </r>
  <r>
    <d v="2001-07-21T00:00:00"/>
    <n v="2001"/>
    <x v="19"/>
    <s v="R"/>
    <s v="RS"/>
    <x v="9"/>
    <s v="ORL"/>
    <s v="A"/>
    <n v="2"/>
    <n v="0"/>
    <n v="2"/>
    <n v="-2"/>
    <n v="16"/>
    <n v="-16"/>
    <n v="1444.9060062544761"/>
    <n v="1433.9351281269289"/>
    <n v="0.44122729958837259"/>
    <n v="49"/>
    <n v="71"/>
    <n v="0"/>
    <n v="-22"/>
    <n v="0"/>
    <n v="0.59660179995518658"/>
    <n v="1"/>
    <n v="73"/>
    <n v="73"/>
    <n v="-19.21630108203663"/>
    <n v="1425.6897051724395"/>
    <n v="0"/>
    <n v="1"/>
    <n v="0"/>
    <n v="0"/>
    <n v="0"/>
    <n v="0"/>
    <n v="0"/>
    <n v="0"/>
    <n v="0"/>
    <n v="0"/>
  </r>
  <r>
    <d v="2001-07-21T00:00:00"/>
    <n v="2001"/>
    <x v="20"/>
    <s v="R"/>
    <s v="RS"/>
    <x v="12"/>
    <s v="MIN"/>
    <s v="H"/>
    <n v="0"/>
    <n v="2"/>
    <n v="-2"/>
    <n v="2"/>
    <n v="-16"/>
    <n v="16"/>
    <n v="1433.9351281269289"/>
    <n v="1444.9060062544761"/>
    <n v="0.55877270041162752"/>
    <n v="71"/>
    <n v="49"/>
    <n v="0"/>
    <n v="22"/>
    <n v="1"/>
    <n v="0.59660179995518658"/>
    <n v="1"/>
    <n v="72.849999999999994"/>
    <n v="72.849999999999994"/>
    <n v="19.176815531868055"/>
    <n v="1453.1119436587969"/>
    <n v="1"/>
    <n v="0"/>
    <n v="0"/>
    <n v="0"/>
    <n v="0"/>
    <n v="0"/>
    <n v="0"/>
    <n v="0"/>
    <n v="0"/>
    <n v="0"/>
  </r>
  <r>
    <d v="2001-07-21T00:00:00"/>
    <n v="2001"/>
    <x v="19"/>
    <s v="R"/>
    <s v="RS"/>
    <x v="2"/>
    <s v="PHX"/>
    <s v="A"/>
    <n v="2"/>
    <n v="1"/>
    <n v="1"/>
    <n v="-1"/>
    <n v="8"/>
    <n v="-8"/>
    <n v="1496.4664450697803"/>
    <n v="1477.5546885564745"/>
    <n v="0.42982268107588001"/>
    <n v="50"/>
    <n v="59"/>
    <n v="0"/>
    <n v="-9"/>
    <n v="0"/>
    <n v="0.39967276545943581"/>
    <n v="1"/>
    <n v="73"/>
    <n v="73"/>
    <n v="-12.540554631003383"/>
    <n v="1483.9258904387768"/>
    <n v="0"/>
    <n v="1"/>
    <n v="0"/>
    <n v="0"/>
    <n v="0"/>
    <n v="0"/>
    <n v="0"/>
    <n v="0"/>
    <n v="0"/>
    <n v="0"/>
  </r>
  <r>
    <d v="2001-07-21T00:00:00"/>
    <n v="2001"/>
    <x v="20"/>
    <s v="R"/>
    <s v="RS"/>
    <x v="3"/>
    <s v="UTA"/>
    <s v="H"/>
    <n v="1"/>
    <n v="2"/>
    <n v="-1"/>
    <n v="1"/>
    <n v="-8"/>
    <n v="8"/>
    <n v="1477.5546885564745"/>
    <n v="1496.4664450697803"/>
    <n v="0.57017731892411994"/>
    <n v="59"/>
    <n v="50"/>
    <n v="0"/>
    <n v="9"/>
    <n v="1"/>
    <n v="0.39967276545943581"/>
    <n v="1"/>
    <n v="72.849999999999994"/>
    <n v="72.849999999999994"/>
    <n v="12.514786368062966"/>
    <n v="1490.0694749245374"/>
    <n v="1"/>
    <n v="0"/>
    <n v="0"/>
    <n v="0"/>
    <n v="0"/>
    <n v="0"/>
    <n v="0"/>
    <n v="0"/>
    <n v="0"/>
    <n v="0"/>
  </r>
  <r>
    <d v="2001-07-21T00:00:00"/>
    <n v="2001"/>
    <x v="19"/>
    <s v="R"/>
    <s v="RS"/>
    <x v="14"/>
    <s v="SAC"/>
    <s v="A"/>
    <n v="2"/>
    <n v="1"/>
    <n v="1"/>
    <n v="-1"/>
    <n v="8"/>
    <n v="-8"/>
    <n v="1362.7275295018051"/>
    <n v="1570.6204329143814"/>
    <n v="0.16964191297971395"/>
    <n v="52"/>
    <n v="66"/>
    <n v="0"/>
    <n v="-14"/>
    <n v="0"/>
    <n v="0.41560670049734033"/>
    <n v="1"/>
    <n v="73"/>
    <n v="73"/>
    <n v="-5.1468150475275767"/>
    <n v="1357.5807144542775"/>
    <n v="0"/>
    <n v="1"/>
    <n v="0"/>
    <n v="0"/>
    <n v="0"/>
    <n v="0"/>
    <n v="0"/>
    <n v="0"/>
    <n v="0"/>
    <n v="0"/>
  </r>
  <r>
    <d v="2001-07-21T00:00:00"/>
    <n v="2001"/>
    <x v="21"/>
    <s v="R"/>
    <s v="RS"/>
    <x v="15"/>
    <s v="DET"/>
    <s v="H"/>
    <n v="1"/>
    <n v="2"/>
    <n v="-1"/>
    <n v="1"/>
    <n v="-8"/>
    <n v="8"/>
    <n v="1570.6204329143814"/>
    <n v="1362.7275295018051"/>
    <n v="0.83035808702028613"/>
    <n v="66"/>
    <n v="52"/>
    <n v="0"/>
    <n v="14"/>
    <n v="1"/>
    <n v="0.41560670049734033"/>
    <n v="1"/>
    <n v="72.7"/>
    <n v="72.7"/>
    <n v="5.1256637528117075"/>
    <n v="1575.7460966671931"/>
    <n v="1"/>
    <n v="0"/>
    <n v="0"/>
    <n v="0"/>
    <n v="0"/>
    <n v="0"/>
    <n v="0"/>
    <n v="0"/>
    <n v="0"/>
    <n v="0"/>
  </r>
  <r>
    <d v="2001-07-22T00:00:00"/>
    <n v="2001"/>
    <x v="21"/>
    <s v="R"/>
    <s v="RS"/>
    <x v="8"/>
    <s v="NYL"/>
    <s v="A"/>
    <n v="1"/>
    <n v="2"/>
    <n v="-1"/>
    <n v="1"/>
    <n v="-8"/>
    <n v="8"/>
    <n v="1522.3749623994622"/>
    <n v="1618.0399120001966"/>
    <n v="0.24483754479325651"/>
    <n v="68"/>
    <n v="52"/>
    <n v="0"/>
    <n v="16"/>
    <n v="1"/>
    <n v="0.4795554891930543"/>
    <n v="1"/>
    <n v="72.7"/>
    <n v="72.7"/>
    <n v="26.327745255575472"/>
    <n v="1548.7027076550378"/>
    <n v="1"/>
    <n v="0"/>
    <n v="0"/>
    <n v="0"/>
    <n v="0"/>
    <n v="0"/>
    <n v="0"/>
    <n v="0"/>
    <n v="0"/>
    <n v="0"/>
  </r>
  <r>
    <d v="2001-07-22T00:00:00"/>
    <n v="2001"/>
    <x v="22"/>
    <s v="R"/>
    <s v="RS"/>
    <x v="7"/>
    <s v="MIA"/>
    <s v="H"/>
    <n v="2"/>
    <n v="1"/>
    <n v="1"/>
    <n v="-1"/>
    <n v="8"/>
    <n v="-8"/>
    <n v="1618.0399120001966"/>
    <n v="1522.3749623994622"/>
    <n v="0.75516245520674352"/>
    <n v="52"/>
    <n v="68"/>
    <n v="0"/>
    <n v="-16"/>
    <n v="0"/>
    <n v="0.4795554891930543"/>
    <n v="1"/>
    <n v="72.55"/>
    <n v="72.55"/>
    <n v="-26.273423910481437"/>
    <n v="1591.7664880897153"/>
    <n v="0"/>
    <n v="1"/>
    <n v="0"/>
    <n v="0"/>
    <n v="0"/>
    <n v="0"/>
    <n v="0"/>
    <n v="0"/>
    <n v="0"/>
    <n v="0"/>
  </r>
  <r>
    <d v="2001-07-22T00:00:00"/>
    <n v="2001"/>
    <x v="20"/>
    <s v="R"/>
    <s v="RS"/>
    <x v="14"/>
    <s v="POR"/>
    <s v="A"/>
    <n v="0"/>
    <n v="1"/>
    <n v="-1"/>
    <n v="1"/>
    <n v="-8"/>
    <n v="8"/>
    <n v="1357.5807144542775"/>
    <n v="1459.0898964907958"/>
    <n v="0.23867090171892066"/>
    <n v="80"/>
    <n v="77"/>
    <n v="1"/>
    <n v="3"/>
    <n v="1"/>
    <n v="0.24079599830115625"/>
    <n v="1"/>
    <n v="72.849999999999994"/>
    <n v="72.849999999999994"/>
    <n v="13.3552262686723"/>
    <n v="1370.9359407229499"/>
    <n v="1"/>
    <n v="0"/>
    <n v="0"/>
    <n v="0"/>
    <n v="0"/>
    <n v="0"/>
    <n v="0"/>
    <n v="0"/>
    <n v="0"/>
    <n v="0"/>
  </r>
  <r>
    <d v="2001-07-22T00:00:00"/>
    <n v="2001"/>
    <x v="20"/>
    <s v="R"/>
    <s v="RS"/>
    <x v="10"/>
    <s v="DET"/>
    <s v="H"/>
    <n v="1"/>
    <n v="0"/>
    <n v="1"/>
    <n v="-1"/>
    <n v="8"/>
    <n v="-8"/>
    <n v="1459.0898964907958"/>
    <n v="1357.5807144542775"/>
    <n v="0.76132909828107931"/>
    <n v="77"/>
    <n v="80"/>
    <n v="1"/>
    <n v="-3"/>
    <n v="0"/>
    <n v="0.24079599830115625"/>
    <n v="1"/>
    <n v="72.849999999999994"/>
    <n v="72.849999999999994"/>
    <n v="-13.3552262686723"/>
    <n v="1445.7346702221234"/>
    <n v="0"/>
    <n v="1"/>
    <n v="0"/>
    <n v="0"/>
    <n v="0"/>
    <n v="0"/>
    <n v="0"/>
    <n v="0"/>
    <n v="0"/>
    <n v="0"/>
  </r>
  <r>
    <d v="2001-07-22T00:00:00"/>
    <n v="2001"/>
    <x v="21"/>
    <s v="R"/>
    <s v="RS"/>
    <x v="6"/>
    <s v="WAS"/>
    <s v="A"/>
    <n v="1"/>
    <n v="1"/>
    <n v="0"/>
    <n v="0"/>
    <n v="0"/>
    <n v="0"/>
    <n v="1402.1705880003165"/>
    <n v="1360.3360684724937"/>
    <n v="0.4396151691704589"/>
    <n v="61"/>
    <n v="69"/>
    <n v="0"/>
    <n v="-8"/>
    <n v="0"/>
    <n v="0.37523408689008225"/>
    <n v="1"/>
    <n v="72.7"/>
    <n v="72.7"/>
    <n v="-11.992489971853541"/>
    <n v="1390.178098028463"/>
    <n v="0"/>
    <n v="1"/>
    <n v="0"/>
    <n v="0"/>
    <n v="0"/>
    <n v="0"/>
    <n v="0"/>
    <n v="0"/>
    <n v="0"/>
    <n v="0"/>
  </r>
  <r>
    <d v="2001-07-22T00:00:00"/>
    <n v="2001"/>
    <x v="19"/>
    <s v="R"/>
    <s v="RS"/>
    <x v="4"/>
    <s v="IND"/>
    <s v="H"/>
    <n v="1"/>
    <n v="1"/>
    <n v="0"/>
    <n v="0"/>
    <n v="0"/>
    <n v="0"/>
    <n v="1360.3360684724937"/>
    <n v="1402.1705880003165"/>
    <n v="0.56038483082954116"/>
    <n v="69"/>
    <n v="61"/>
    <n v="0"/>
    <n v="8"/>
    <n v="1"/>
    <n v="0.37523408689008225"/>
    <n v="1"/>
    <n v="73"/>
    <n v="73"/>
    <n v="12.04197755082955"/>
    <n v="1372.3780460233233"/>
    <n v="1"/>
    <n v="0"/>
    <n v="0"/>
    <n v="0"/>
    <n v="0"/>
    <n v="0"/>
    <n v="0"/>
    <n v="0"/>
    <n v="0"/>
    <n v="0"/>
  </r>
  <r>
    <d v="2001-07-23T00:00:00"/>
    <n v="2001"/>
    <x v="20"/>
    <s v="R"/>
    <s v="RS"/>
    <x v="1"/>
    <s v="MIN"/>
    <s v="A"/>
    <n v="2"/>
    <n v="1"/>
    <n v="1"/>
    <n v="-1"/>
    <n v="8"/>
    <n v="-8"/>
    <n v="1652.8859878097164"/>
    <n v="1425.6897051724395"/>
    <n v="0.71430953741985492"/>
    <n v="51"/>
    <n v="46"/>
    <n v="0"/>
    <n v="5"/>
    <n v="1"/>
    <n v="0.27894353103123692"/>
    <n v="1"/>
    <n v="72.849999999999994"/>
    <n v="72.849999999999994"/>
    <n v="5.8055262422637703"/>
    <n v="1658.6915140519802"/>
    <n v="1"/>
    <n v="0"/>
    <n v="0"/>
    <n v="0"/>
    <n v="0"/>
    <n v="0"/>
    <n v="0"/>
    <n v="0"/>
    <n v="0"/>
    <n v="0"/>
  </r>
  <r>
    <d v="2001-07-23T00:00:00"/>
    <n v="2001"/>
    <x v="20"/>
    <s v="R"/>
    <s v="RS"/>
    <x v="9"/>
    <s v="HOU"/>
    <s v="H"/>
    <n v="1"/>
    <n v="2"/>
    <n v="-1"/>
    <n v="1"/>
    <n v="-8"/>
    <n v="8"/>
    <n v="1425.6897051724395"/>
    <n v="1652.8859878097164"/>
    <n v="0.28569046258014513"/>
    <n v="46"/>
    <n v="51"/>
    <n v="0"/>
    <n v="-5"/>
    <n v="0"/>
    <n v="0.27894353103123692"/>
    <n v="1"/>
    <n v="72.849999999999994"/>
    <n v="72.849999999999994"/>
    <n v="-5.8055262422637712"/>
    <n v="1419.8841789301757"/>
    <n v="0"/>
    <n v="1"/>
    <n v="0"/>
    <n v="0"/>
    <n v="0"/>
    <n v="0"/>
    <n v="0"/>
    <n v="0"/>
    <n v="0"/>
    <n v="0"/>
  </r>
  <r>
    <d v="2001-07-24T00:00:00"/>
    <n v="2001"/>
    <x v="22"/>
    <s v="R"/>
    <s v="RS"/>
    <x v="6"/>
    <s v="CHA"/>
    <s v="A"/>
    <n v="1"/>
    <n v="2"/>
    <n v="-1"/>
    <n v="1"/>
    <n v="-8"/>
    <n v="8"/>
    <n v="1390.178098028463"/>
    <n v="1445.9758535029659"/>
    <n v="0.28969949339202683"/>
    <n v="66"/>
    <n v="75"/>
    <n v="0"/>
    <n v="-9"/>
    <n v="0"/>
    <n v="0.38793335188962486"/>
    <n v="1"/>
    <n v="72.55"/>
    <n v="72.55"/>
    <n v="-8.1534661294170157"/>
    <n v="1382.024631899046"/>
    <n v="0"/>
    <n v="1"/>
    <n v="0"/>
    <n v="0"/>
    <n v="0"/>
    <n v="0"/>
    <n v="0"/>
    <n v="0"/>
    <n v="0"/>
    <n v="0"/>
  </r>
  <r>
    <d v="2001-07-24T00:00:00"/>
    <n v="2001"/>
    <x v="22"/>
    <s v="R"/>
    <s v="RS"/>
    <x v="13"/>
    <s v="IND"/>
    <s v="H"/>
    <n v="2"/>
    <n v="1"/>
    <n v="1"/>
    <n v="-1"/>
    <n v="8"/>
    <n v="-8"/>
    <n v="1445.9758535029659"/>
    <n v="1390.178098028463"/>
    <n v="0.71030050660797317"/>
    <n v="75"/>
    <n v="66"/>
    <n v="0"/>
    <n v="9"/>
    <n v="1"/>
    <n v="0.38793335188962486"/>
    <n v="1"/>
    <n v="72.55"/>
    <n v="72.55"/>
    <n v="8.1534661294170157"/>
    <n v="1454.1293196323829"/>
    <n v="1"/>
    <n v="0"/>
    <n v="0"/>
    <n v="0"/>
    <n v="0"/>
    <n v="0"/>
    <n v="0"/>
    <n v="0"/>
    <n v="0"/>
    <n v="0"/>
  </r>
  <r>
    <d v="2001-07-24T00:00:00"/>
    <n v="2001"/>
    <x v="20"/>
    <s v="R"/>
    <s v="RS"/>
    <x v="2"/>
    <s v="HOU"/>
    <s v="A"/>
    <n v="2"/>
    <n v="0"/>
    <n v="2"/>
    <n v="-2"/>
    <n v="16"/>
    <n v="-16"/>
    <n v="1483.9258904387768"/>
    <n v="1658.6915140519802"/>
    <n v="0.21326300083383765"/>
    <n v="76"/>
    <n v="67"/>
    <n v="0"/>
    <n v="9"/>
    <n v="1"/>
    <n v="0.35436282680411113"/>
    <n v="1"/>
    <n v="72.849999999999994"/>
    <n v="72.849999999999994"/>
    <n v="20.309876777194674"/>
    <n v="1504.2357672159715"/>
    <n v="1"/>
    <n v="0"/>
    <n v="0"/>
    <n v="0"/>
    <n v="0"/>
    <n v="0"/>
    <n v="0"/>
    <n v="0"/>
    <n v="0"/>
    <n v="0"/>
  </r>
  <r>
    <d v="2001-07-24T00:00:00"/>
    <n v="2001"/>
    <x v="21"/>
    <s v="R"/>
    <s v="RS"/>
    <x v="1"/>
    <s v="UTA"/>
    <s v="H"/>
    <n v="0"/>
    <n v="2"/>
    <n v="-2"/>
    <n v="2"/>
    <n v="-16"/>
    <n v="16"/>
    <n v="1658.6915140519802"/>
    <n v="1483.9258904387768"/>
    <n v="0.78673699916616235"/>
    <n v="67"/>
    <n v="76"/>
    <n v="0"/>
    <n v="-9"/>
    <n v="0"/>
    <n v="0.35436282680411113"/>
    <n v="1"/>
    <n v="72.7"/>
    <n v="72.7"/>
    <n v="-20.268058225148287"/>
    <n v="1638.423455826832"/>
    <n v="0"/>
    <n v="1"/>
    <n v="0"/>
    <n v="0"/>
    <n v="0"/>
    <n v="0"/>
    <n v="0"/>
    <n v="0"/>
    <n v="0"/>
    <n v="0"/>
  </r>
  <r>
    <d v="2001-07-24T00:00:00"/>
    <n v="2001"/>
    <x v="20"/>
    <s v="R"/>
    <s v="RS"/>
    <x v="4"/>
    <s v="ORL"/>
    <s v="A"/>
    <n v="1"/>
    <n v="2"/>
    <n v="-1"/>
    <n v="1"/>
    <n v="-8"/>
    <n v="8"/>
    <n v="1372.3780460233233"/>
    <n v="1453.1119436587969"/>
    <n v="0.26107514636431256"/>
    <n v="63"/>
    <n v="71"/>
    <n v="0"/>
    <n v="-8"/>
    <n v="0"/>
    <n v="0.36383720526481678"/>
    <n v="1"/>
    <n v="72.849999999999994"/>
    <n v="72.849999999999994"/>
    <n v="-6.9199378403199017"/>
    <n v="1365.4581081830036"/>
    <n v="0"/>
    <n v="1"/>
    <n v="0"/>
    <n v="0"/>
    <n v="0"/>
    <n v="0"/>
    <n v="0"/>
    <n v="0"/>
    <n v="0"/>
    <n v="0"/>
  </r>
  <r>
    <d v="2001-07-24T00:00:00"/>
    <n v="2001"/>
    <x v="21"/>
    <s v="R"/>
    <s v="RS"/>
    <x v="12"/>
    <s v="WAS"/>
    <s v="H"/>
    <n v="2"/>
    <n v="1"/>
    <n v="1"/>
    <n v="-1"/>
    <n v="8"/>
    <n v="-8"/>
    <n v="1453.1119436587969"/>
    <n v="1372.3780460233233"/>
    <n v="0.7389248536356875"/>
    <n v="71"/>
    <n v="63"/>
    <n v="0"/>
    <n v="8"/>
    <n v="1"/>
    <n v="0.36383720526481678"/>
    <n v="1"/>
    <n v="72.7"/>
    <n v="72.7"/>
    <n v="6.9056895125773066"/>
    <n v="1460.0176331713742"/>
    <n v="1"/>
    <n v="0"/>
    <n v="0"/>
    <n v="0"/>
    <n v="0"/>
    <n v="0"/>
    <n v="0"/>
    <n v="0"/>
    <n v="0"/>
    <n v="0"/>
  </r>
  <r>
    <d v="2001-07-24T00:00:00"/>
    <n v="2001"/>
    <x v="23"/>
    <s v="R"/>
    <s v="RS"/>
    <x v="7"/>
    <s v="POR"/>
    <s v="A"/>
    <n v="1"/>
    <n v="1"/>
    <n v="0"/>
    <n v="0"/>
    <n v="0"/>
    <n v="0"/>
    <n v="1591.7664880897153"/>
    <n v="1445.7346702221234"/>
    <n v="0.5883343329966213"/>
    <n v="68"/>
    <n v="86"/>
    <n v="0"/>
    <n v="-18"/>
    <n v="0"/>
    <n v="0.48750758328369281"/>
    <n v="1"/>
    <n v="72.400000000000006"/>
    <n v="72.400000000000006"/>
    <n v="-20.765583296161253"/>
    <n v="1571.0009047935541"/>
    <n v="0"/>
    <n v="1"/>
    <n v="0"/>
    <n v="0"/>
    <n v="0"/>
    <n v="0"/>
    <n v="0"/>
    <n v="0"/>
    <n v="0"/>
    <n v="0"/>
  </r>
  <r>
    <d v="2001-07-24T00:00:00"/>
    <n v="2001"/>
    <x v="21"/>
    <s v="R"/>
    <s v="RS"/>
    <x v="10"/>
    <s v="NYL"/>
    <s v="H"/>
    <n v="1"/>
    <n v="1"/>
    <n v="0"/>
    <n v="0"/>
    <n v="0"/>
    <n v="0"/>
    <n v="1445.7346702221234"/>
    <n v="1591.7664880897153"/>
    <n v="0.4116656670033787"/>
    <n v="86"/>
    <n v="68"/>
    <n v="0"/>
    <n v="18"/>
    <n v="1"/>
    <n v="0.48750758328369281"/>
    <n v="1"/>
    <n v="72.7"/>
    <n v="72.7"/>
    <n v="20.851628530813855"/>
    <n v="1466.5862987529372"/>
    <n v="1"/>
    <n v="0"/>
    <n v="0"/>
    <n v="0"/>
    <n v="0"/>
    <n v="0"/>
    <n v="0"/>
    <n v="0"/>
    <n v="0"/>
    <n v="0"/>
  </r>
  <r>
    <d v="2001-07-24T00:00:00"/>
    <n v="2001"/>
    <x v="21"/>
    <s v="R"/>
    <s v="RS"/>
    <x v="14"/>
    <s v="SEA"/>
    <s v="A"/>
    <n v="1"/>
    <n v="2"/>
    <n v="-1"/>
    <n v="1"/>
    <n v="-8"/>
    <n v="8"/>
    <n v="1370.9359407229499"/>
    <n v="1383.1524346475971"/>
    <n v="0.34389824766234384"/>
    <n v="69"/>
    <n v="74"/>
    <n v="1"/>
    <n v="-5"/>
    <n v="0"/>
    <n v="0.29557134001545737"/>
    <n v="1"/>
    <n v="72.7"/>
    <n v="72.7"/>
    <n v="-7.389698070241284"/>
    <n v="1363.5462426527085"/>
    <n v="0"/>
    <n v="1"/>
    <n v="0"/>
    <n v="0"/>
    <n v="0"/>
    <n v="0"/>
    <n v="0"/>
    <n v="0"/>
    <n v="0"/>
    <n v="0"/>
  </r>
  <r>
    <d v="2001-07-24T00:00:00"/>
    <n v="2001"/>
    <x v="23"/>
    <s v="R"/>
    <s v="RS"/>
    <x v="11"/>
    <s v="DET"/>
    <s v="H"/>
    <n v="2"/>
    <n v="1"/>
    <n v="1"/>
    <n v="-1"/>
    <n v="8"/>
    <n v="-8"/>
    <n v="1383.1524346475971"/>
    <n v="1370.9359407229499"/>
    <n v="0.65610175233765622"/>
    <n v="74"/>
    <n v="69"/>
    <n v="1"/>
    <n v="5"/>
    <n v="1"/>
    <n v="0.29557134001545737"/>
    <n v="1"/>
    <n v="72.400000000000006"/>
    <n v="72.400000000000006"/>
    <n v="7.3592041304741258"/>
    <n v="1390.5116387780713"/>
    <n v="1"/>
    <n v="0"/>
    <n v="0"/>
    <n v="0"/>
    <n v="0"/>
    <n v="0"/>
    <n v="0"/>
    <n v="0"/>
    <n v="0"/>
    <n v="0"/>
  </r>
  <r>
    <d v="2001-07-25T00:00:00"/>
    <n v="2001"/>
    <x v="22"/>
    <s v="R"/>
    <s v="RS"/>
    <x v="8"/>
    <s v="CLE"/>
    <s v="A"/>
    <n v="2"/>
    <n v="3"/>
    <n v="-1"/>
    <n v="1"/>
    <n v="-8"/>
    <n v="8"/>
    <n v="1548.7027076550378"/>
    <n v="1653.294800777076"/>
    <n v="0.23546117709158418"/>
    <n v="48"/>
    <n v="52"/>
    <n v="1"/>
    <n v="-4"/>
    <n v="0"/>
    <n v="0.25781802256004172"/>
    <n v="1"/>
    <n v="72.55"/>
    <n v="72.55"/>
    <n v="-4.4042300991407419"/>
    <n v="1544.2984775558971"/>
    <n v="0"/>
    <n v="1"/>
    <n v="0"/>
    <n v="0"/>
    <n v="0"/>
    <n v="0"/>
    <n v="0"/>
    <n v="0"/>
    <n v="0"/>
    <n v="0"/>
  </r>
  <r>
    <d v="2001-07-25T00:00:00"/>
    <n v="2001"/>
    <x v="22"/>
    <s v="R"/>
    <s v="RS"/>
    <x v="5"/>
    <s v="MIA"/>
    <s v="H"/>
    <n v="3"/>
    <n v="2"/>
    <n v="1"/>
    <n v="-1"/>
    <n v="8"/>
    <n v="-8"/>
    <n v="1653.294800777076"/>
    <n v="1548.7027076550378"/>
    <n v="0.7645388229084159"/>
    <n v="52"/>
    <n v="48"/>
    <n v="1"/>
    <n v="4"/>
    <n v="1"/>
    <n v="0.25781802256004172"/>
    <n v="1"/>
    <n v="72.55"/>
    <n v="72.55"/>
    <n v="4.404230099140741"/>
    <n v="1657.6990308762167"/>
    <n v="1"/>
    <n v="0"/>
    <n v="0"/>
    <n v="0"/>
    <n v="0"/>
    <n v="0"/>
    <n v="0"/>
    <n v="0"/>
    <n v="0"/>
    <n v="0"/>
  </r>
  <r>
    <d v="2001-07-25T00:00:00"/>
    <n v="2001"/>
    <x v="22"/>
    <s v="R"/>
    <s v="RS"/>
    <x v="15"/>
    <s v="LAS"/>
    <s v="A"/>
    <n v="3"/>
    <n v="3"/>
    <n v="0"/>
    <n v="0"/>
    <n v="0"/>
    <n v="0"/>
    <n v="1575.7460966671931"/>
    <n v="1714.8006550943858"/>
    <n v="0.21686921224919289"/>
    <n v="78"/>
    <n v="80"/>
    <n v="0"/>
    <n v="-2"/>
    <n v="0"/>
    <n v="0.24002725127878319"/>
    <n v="1"/>
    <n v="72.55"/>
    <n v="72.55"/>
    <n v="-3.7765554915248956"/>
    <n v="1571.9695411756682"/>
    <n v="0"/>
    <n v="1"/>
    <n v="0"/>
    <n v="0"/>
    <n v="0"/>
    <n v="0"/>
    <n v="0"/>
    <n v="0"/>
    <n v="0"/>
    <n v="0"/>
  </r>
  <r>
    <d v="2001-07-25T00:00:00"/>
    <n v="2001"/>
    <x v="22"/>
    <s v="R"/>
    <s v="RS"/>
    <x v="0"/>
    <s v="SAC"/>
    <s v="H"/>
    <n v="3"/>
    <n v="3"/>
    <n v="0"/>
    <n v="0"/>
    <n v="0"/>
    <n v="0"/>
    <n v="1714.8006550943858"/>
    <n v="1575.7460966671931"/>
    <n v="0.78313078775080713"/>
    <n v="80"/>
    <n v="78"/>
    <n v="0"/>
    <n v="2"/>
    <n v="1"/>
    <n v="0.24002725127878319"/>
    <n v="1"/>
    <n v="72.55"/>
    <n v="72.55"/>
    <n v="3.7765554915248951"/>
    <n v="1718.5772105859107"/>
    <n v="1"/>
    <n v="0"/>
    <n v="0"/>
    <n v="0"/>
    <n v="0"/>
    <n v="0"/>
    <n v="0"/>
    <n v="0"/>
    <n v="0"/>
    <n v="0"/>
  </r>
  <r>
    <d v="2001-07-26T00:00:00"/>
    <n v="2001"/>
    <x v="21"/>
    <s v="R"/>
    <s v="RS"/>
    <x v="4"/>
    <s v="CHA"/>
    <s v="A"/>
    <n v="1"/>
    <n v="1"/>
    <n v="0"/>
    <n v="0"/>
    <n v="0"/>
    <n v="0"/>
    <n v="1365.4581081830036"/>
    <n v="1454.1293196323829"/>
    <n v="0.27012757845211"/>
    <n v="60"/>
    <n v="62"/>
    <n v="0"/>
    <n v="-2"/>
    <n v="0"/>
    <n v="0.2494116281298096"/>
    <n v="1"/>
    <n v="72.7"/>
    <n v="72.7"/>
    <n v="-4.8980141298054134"/>
    <n v="1360.5600940531981"/>
    <n v="0"/>
    <n v="1"/>
    <n v="0"/>
    <n v="0"/>
    <n v="0"/>
    <n v="0"/>
    <n v="0"/>
    <n v="0"/>
    <n v="0"/>
    <n v="0"/>
  </r>
  <r>
    <d v="2001-07-26T00:00:00"/>
    <n v="2001"/>
    <x v="23"/>
    <s v="R"/>
    <s v="RS"/>
    <x v="13"/>
    <s v="WAS"/>
    <s v="H"/>
    <n v="1"/>
    <n v="1"/>
    <n v="0"/>
    <n v="0"/>
    <n v="0"/>
    <n v="0"/>
    <n v="1454.1293196323829"/>
    <n v="1365.4581081830036"/>
    <n v="0.72987242154789"/>
    <n v="62"/>
    <n v="60"/>
    <n v="0"/>
    <n v="2"/>
    <n v="1"/>
    <n v="0.2494116281298096"/>
    <n v="1"/>
    <n v="72.400000000000006"/>
    <n v="72.400000000000006"/>
    <n v="4.8778022420620628"/>
    <n v="1459.0071218744449"/>
    <n v="1"/>
    <n v="0"/>
    <n v="0"/>
    <n v="0"/>
    <n v="0"/>
    <n v="0"/>
    <n v="0"/>
    <n v="0"/>
    <n v="0"/>
    <n v="0"/>
  </r>
  <r>
    <d v="2001-07-26T00:00:00"/>
    <n v="2001"/>
    <x v="22"/>
    <s v="R"/>
    <s v="RS"/>
    <x v="14"/>
    <s v="PHX"/>
    <s v="A"/>
    <n v="1"/>
    <n v="4"/>
    <n v="-3"/>
    <n v="3"/>
    <n v="-16"/>
    <n v="16"/>
    <n v="1363.5462426527085"/>
    <n v="1490.0694749245374"/>
    <n v="0.19843953762727751"/>
    <n v="62"/>
    <n v="63"/>
    <n v="0"/>
    <n v="-1"/>
    <n v="0"/>
    <n v="0.22088991585660209"/>
    <n v="1"/>
    <n v="72.55"/>
    <n v="72.55"/>
    <n v="-3.1801053903991012"/>
    <n v="1360.3661372623094"/>
    <n v="0"/>
    <n v="1"/>
    <n v="0"/>
    <n v="0"/>
    <n v="0"/>
    <n v="0"/>
    <n v="0"/>
    <n v="0"/>
    <n v="0"/>
    <n v="0"/>
  </r>
  <r>
    <d v="2001-07-26T00:00:00"/>
    <n v="2001"/>
    <x v="21"/>
    <s v="R"/>
    <s v="RS"/>
    <x v="3"/>
    <s v="DET"/>
    <s v="H"/>
    <n v="4"/>
    <n v="1"/>
    <n v="3"/>
    <n v="-3"/>
    <n v="16"/>
    <n v="-16"/>
    <n v="1490.0694749245374"/>
    <n v="1363.5462426527085"/>
    <n v="0.80156046237272249"/>
    <n v="63"/>
    <n v="62"/>
    <n v="0"/>
    <n v="1"/>
    <n v="1"/>
    <n v="0.22088991585660209"/>
    <n v="1"/>
    <n v="72.7"/>
    <n v="72.7"/>
    <n v="3.1866803843144678"/>
    <n v="1493.2561553088519"/>
    <n v="1"/>
    <n v="0"/>
    <n v="0"/>
    <n v="0"/>
    <n v="0"/>
    <n v="0"/>
    <n v="0"/>
    <n v="0"/>
    <n v="0"/>
    <n v="0"/>
  </r>
  <r>
    <d v="2001-07-26T00:00:00"/>
    <n v="2001"/>
    <x v="24"/>
    <s v="R"/>
    <s v="RS"/>
    <x v="7"/>
    <s v="UTA"/>
    <s v="A"/>
    <n v="1"/>
    <n v="1"/>
    <n v="0"/>
    <n v="0"/>
    <n v="0"/>
    <n v="0"/>
    <n v="1571.0009047935541"/>
    <n v="1504.2357672159715"/>
    <n v="0.47521736379380963"/>
    <n v="63"/>
    <n v="71"/>
    <n v="0"/>
    <n v="-8"/>
    <n v="0"/>
    <n v="0.36784927859215566"/>
    <n v="1"/>
    <n v="72.25"/>
    <n v="72.25"/>
    <n v="-12.629904331224864"/>
    <n v="1558.3710004623292"/>
    <n v="0"/>
    <n v="1"/>
    <n v="0"/>
    <n v="0"/>
    <n v="0"/>
    <n v="0"/>
    <n v="0"/>
    <n v="0"/>
    <n v="0"/>
    <n v="0"/>
  </r>
  <r>
    <d v="2001-07-26T00:00:00"/>
    <n v="2001"/>
    <x v="21"/>
    <s v="R"/>
    <s v="RS"/>
    <x v="2"/>
    <s v="NYL"/>
    <s v="H"/>
    <n v="1"/>
    <n v="1"/>
    <n v="0"/>
    <n v="0"/>
    <n v="0"/>
    <n v="0"/>
    <n v="1504.2357672159715"/>
    <n v="1571.0009047935541"/>
    <n v="0.52478263620619037"/>
    <n v="71"/>
    <n v="63"/>
    <n v="0"/>
    <n v="8"/>
    <n v="1"/>
    <n v="0.36784927859215566"/>
    <n v="1"/>
    <n v="72.7"/>
    <n v="72.7"/>
    <n v="12.708568095225571"/>
    <n v="1516.9443353111969"/>
    <n v="1"/>
    <n v="0"/>
    <n v="0"/>
    <n v="0"/>
    <n v="0"/>
    <n v="0"/>
    <n v="0"/>
    <n v="0"/>
    <n v="0"/>
    <n v="0"/>
  </r>
  <r>
    <d v="2001-07-27T00:00:00"/>
    <n v="2001"/>
    <x v="23"/>
    <s v="R"/>
    <s v="RS"/>
    <x v="6"/>
    <s v="CLE"/>
    <s v="A"/>
    <n v="2"/>
    <n v="1"/>
    <n v="1"/>
    <n v="-1"/>
    <n v="8"/>
    <n v="-8"/>
    <n v="1382.024631899046"/>
    <n v="1657.6990308762167"/>
    <n v="0.12149495940255069"/>
    <n v="67"/>
    <n v="63"/>
    <n v="0"/>
    <n v="4"/>
    <n v="1"/>
    <n v="0.25325321232359249"/>
    <n v="1"/>
    <n v="72.400000000000006"/>
    <n v="72.400000000000006"/>
    <n v="16.107857786741096"/>
    <n v="1398.132489685787"/>
    <n v="1"/>
    <n v="0"/>
    <n v="0"/>
    <n v="0"/>
    <n v="0"/>
    <n v="0"/>
    <n v="0"/>
    <n v="0"/>
    <n v="0"/>
    <n v="0"/>
  </r>
  <r>
    <d v="2001-07-27T00:00:00"/>
    <n v="2001"/>
    <x v="23"/>
    <s v="R"/>
    <s v="RS"/>
    <x v="5"/>
    <s v="IND"/>
    <s v="H"/>
    <n v="1"/>
    <n v="2"/>
    <n v="-1"/>
    <n v="1"/>
    <n v="-8"/>
    <n v="8"/>
    <n v="1657.6990308762167"/>
    <n v="1382.024631899046"/>
    <n v="0.87850504059744927"/>
    <n v="63"/>
    <n v="67"/>
    <n v="0"/>
    <n v="-4"/>
    <n v="0"/>
    <n v="0.25325321232359249"/>
    <n v="1"/>
    <n v="72.400000000000006"/>
    <n v="72.400000000000006"/>
    <n v="-16.107857786741096"/>
    <n v="1641.5911730894757"/>
    <n v="0"/>
    <n v="1"/>
    <n v="0"/>
    <n v="0"/>
    <n v="0"/>
    <n v="0"/>
    <n v="0"/>
    <n v="0"/>
    <n v="0"/>
    <n v="0"/>
  </r>
  <r>
    <d v="2001-07-27T00:00:00"/>
    <n v="2001"/>
    <x v="22"/>
    <s v="R"/>
    <s v="RS"/>
    <x v="12"/>
    <s v="MIA"/>
    <s v="A"/>
    <n v="2"/>
    <n v="1"/>
    <n v="1"/>
    <n v="-1"/>
    <n v="8"/>
    <n v="-8"/>
    <n v="1460.0176331713742"/>
    <n v="1544.2984775558971"/>
    <n v="0.29388304391517661"/>
    <n v="63"/>
    <n v="71"/>
    <n v="1"/>
    <n v="-8"/>
    <n v="0"/>
    <n v="0.32654911862695379"/>
    <n v="1"/>
    <n v="72.55"/>
    <n v="72.55"/>
    <n v="-6.9624239127667726"/>
    <n v="1453.0552092586074"/>
    <n v="0"/>
    <n v="1"/>
    <n v="0"/>
    <n v="0"/>
    <n v="0"/>
    <n v="0"/>
    <n v="0"/>
    <n v="0"/>
    <n v="0"/>
    <n v="0"/>
  </r>
  <r>
    <d v="2001-07-27T00:00:00"/>
    <n v="2001"/>
    <x v="23"/>
    <s v="R"/>
    <s v="RS"/>
    <x v="8"/>
    <s v="ORL"/>
    <s v="H"/>
    <n v="1"/>
    <n v="2"/>
    <n v="-1"/>
    <n v="1"/>
    <n v="-8"/>
    <n v="8"/>
    <n v="1544.2984775558971"/>
    <n v="1460.0176331713742"/>
    <n v="0.70611695608482339"/>
    <n v="71"/>
    <n v="63"/>
    <n v="1"/>
    <n v="8"/>
    <n v="1"/>
    <n v="0.32654911862695379"/>
    <n v="1"/>
    <n v="72.400000000000006"/>
    <n v="72.400000000000006"/>
    <n v="6.9480288254212876"/>
    <n v="1551.2465063813183"/>
    <n v="1"/>
    <n v="0"/>
    <n v="0"/>
    <n v="0"/>
    <n v="0"/>
    <n v="0"/>
    <n v="0"/>
    <n v="0"/>
    <n v="0"/>
    <n v="0"/>
  </r>
  <r>
    <d v="2001-07-27T00:00:00"/>
    <n v="2001"/>
    <x v="22"/>
    <s v="R"/>
    <s v="RS"/>
    <x v="4"/>
    <s v="MIN"/>
    <s v="A"/>
    <n v="0"/>
    <n v="3"/>
    <n v="-3"/>
    <n v="3"/>
    <n v="-16"/>
    <n v="16"/>
    <n v="1360.5600940531981"/>
    <n v="1419.8841789301757"/>
    <n v="0.26712732592968491"/>
    <n v="62"/>
    <n v="60"/>
    <n v="0"/>
    <n v="2"/>
    <n v="1"/>
    <n v="0.25522388464681994"/>
    <n v="1"/>
    <n v="72.55"/>
    <n v="72.55"/>
    <n v="13.570231615551707"/>
    <n v="1374.1303256687497"/>
    <n v="1"/>
    <n v="0"/>
    <n v="0"/>
    <n v="0"/>
    <n v="0"/>
    <n v="0"/>
    <n v="0"/>
    <n v="0"/>
    <n v="0"/>
    <n v="0"/>
  </r>
  <r>
    <d v="2001-07-27T00:00:00"/>
    <n v="2001"/>
    <x v="21"/>
    <s v="R"/>
    <s v="RS"/>
    <x v="9"/>
    <s v="WAS"/>
    <s v="H"/>
    <n v="3"/>
    <n v="0"/>
    <n v="3"/>
    <n v="-3"/>
    <n v="16"/>
    <n v="-16"/>
    <n v="1419.8841789301757"/>
    <n v="1360.5600940531981"/>
    <n v="0.7328726740703152"/>
    <n v="60"/>
    <n v="62"/>
    <n v="0"/>
    <n v="-2"/>
    <n v="0"/>
    <n v="0.25522388464681994"/>
    <n v="1"/>
    <n v="72.7"/>
    <n v="72.7"/>
    <n v="-13.598288607175869"/>
    <n v="1406.2858903229999"/>
    <n v="0"/>
    <n v="1"/>
    <n v="0"/>
    <n v="0"/>
    <n v="0"/>
    <n v="0"/>
    <n v="0"/>
    <n v="0"/>
    <n v="0"/>
    <n v="0"/>
  </r>
  <r>
    <d v="2001-07-27T00:00:00"/>
    <n v="2001"/>
    <x v="22"/>
    <s v="R"/>
    <s v="RS"/>
    <x v="10"/>
    <s v="SAC"/>
    <s v="A"/>
    <n v="2"/>
    <n v="1"/>
    <n v="1"/>
    <n v="-1"/>
    <n v="8"/>
    <n v="-8"/>
    <n v="1466.5862987529372"/>
    <n v="1571.9695411756682"/>
    <n v="0.26932023029712526"/>
    <n v="62"/>
    <n v="85"/>
    <n v="0"/>
    <n v="-23"/>
    <n v="0"/>
    <n v="0.56566171456581282"/>
    <n v="1"/>
    <n v="72.55"/>
    <n v="72.55"/>
    <n v="-11.052567591853887"/>
    <n v="1455.5337311610833"/>
    <n v="0"/>
    <n v="1"/>
    <n v="0"/>
    <n v="0"/>
    <n v="0"/>
    <n v="0"/>
    <n v="0"/>
    <n v="0"/>
    <n v="0"/>
    <n v="0"/>
  </r>
  <r>
    <d v="2001-07-27T00:00:00"/>
    <n v="2001"/>
    <x v="23"/>
    <s v="R"/>
    <s v="RS"/>
    <x v="15"/>
    <s v="POR"/>
    <s v="H"/>
    <n v="1"/>
    <n v="2"/>
    <n v="-1"/>
    <n v="1"/>
    <n v="-8"/>
    <n v="8"/>
    <n v="1571.9695411756682"/>
    <n v="1466.5862987529372"/>
    <n v="0.73067976970287474"/>
    <n v="85"/>
    <n v="62"/>
    <n v="0"/>
    <n v="23"/>
    <n v="1"/>
    <n v="0.56566171456581282"/>
    <n v="1"/>
    <n v="72.400000000000006"/>
    <n v="72.400000000000006"/>
    <n v="11.029715970368317"/>
    <n v="1582.9992571460364"/>
    <n v="1"/>
    <n v="0"/>
    <n v="0"/>
    <n v="0"/>
    <n v="0"/>
    <n v="0"/>
    <n v="0"/>
    <n v="0"/>
    <n v="0"/>
    <n v="0"/>
  </r>
  <r>
    <d v="2001-07-27T00:00:00"/>
    <n v="2001"/>
    <x v="22"/>
    <s v="R"/>
    <s v="RS"/>
    <x v="3"/>
    <s v="SEA"/>
    <s v="A"/>
    <n v="0"/>
    <n v="2"/>
    <n v="-2"/>
    <n v="2"/>
    <n v="-16"/>
    <n v="16"/>
    <n v="1493.2561553088519"/>
    <n v="1390.5116387780713"/>
    <n v="0.48093307623656112"/>
    <n v="56"/>
    <n v="54"/>
    <n v="0"/>
    <n v="2"/>
    <n v="1"/>
    <n v="0.24671728101187498"/>
    <n v="1"/>
    <n v="72.55"/>
    <n v="72.55"/>
    <n v="9.2909546958279581"/>
    <n v="1502.5471100046798"/>
    <n v="1"/>
    <n v="0"/>
    <n v="0"/>
    <n v="0"/>
    <n v="0"/>
    <n v="0"/>
    <n v="0"/>
    <n v="0"/>
    <n v="0"/>
    <n v="0"/>
  </r>
  <r>
    <d v="2001-07-27T00:00:00"/>
    <n v="2001"/>
    <x v="24"/>
    <s v="R"/>
    <s v="RS"/>
    <x v="11"/>
    <s v="PHX"/>
    <s v="H"/>
    <n v="2"/>
    <n v="0"/>
    <n v="2"/>
    <n v="-2"/>
    <n v="16"/>
    <n v="-16"/>
    <n v="1390.5116387780713"/>
    <n v="1493.2561553088519"/>
    <n v="0.51906692376343888"/>
    <n v="54"/>
    <n v="56"/>
    <n v="0"/>
    <n v="-2"/>
    <n v="0"/>
    <n v="0.24671728101187498"/>
    <n v="1"/>
    <n v="72.25"/>
    <n v="72.25"/>
    <n v="-9.2525358617997249"/>
    <n v="1381.2591029162716"/>
    <n v="0"/>
    <n v="1"/>
    <n v="0"/>
    <n v="0"/>
    <n v="0"/>
    <n v="0"/>
    <n v="0"/>
    <n v="0"/>
    <n v="0"/>
    <n v="0"/>
  </r>
  <r>
    <d v="2001-07-28T00:00:00"/>
    <n v="2001"/>
    <x v="24"/>
    <s v="R"/>
    <s v="RS"/>
    <x v="5"/>
    <s v="DET"/>
    <s v="A"/>
    <n v="0"/>
    <n v="1"/>
    <n v="-1"/>
    <n v="1"/>
    <n v="-8"/>
    <n v="8"/>
    <n v="1641.5911730894757"/>
    <n v="1360.3661372623094"/>
    <n v="0.73946989775192973"/>
    <n v="57"/>
    <n v="50"/>
    <n v="0"/>
    <n v="7"/>
    <n v="1"/>
    <n v="0.29983871204051554"/>
    <n v="1"/>
    <n v="72.25"/>
    <n v="72.25"/>
    <n v="5.6439539945973172"/>
    <n v="1647.2351270840729"/>
    <n v="1"/>
    <n v="0"/>
    <n v="0"/>
    <n v="0"/>
    <n v="0"/>
    <n v="0"/>
    <n v="0"/>
    <n v="0"/>
    <n v="0"/>
    <n v="0"/>
  </r>
  <r>
    <d v="2001-07-28T00:00:00"/>
    <n v="2001"/>
    <x v="23"/>
    <s v="R"/>
    <s v="RS"/>
    <x v="14"/>
    <s v="CLE"/>
    <s v="H"/>
    <n v="1"/>
    <n v="0"/>
    <n v="1"/>
    <n v="-1"/>
    <n v="8"/>
    <n v="-8"/>
    <n v="1360.3661372623094"/>
    <n v="1641.5911730894757"/>
    <n v="0.26053010224807033"/>
    <n v="50"/>
    <n v="57"/>
    <n v="0"/>
    <n v="-7"/>
    <n v="0"/>
    <n v="0.29983871204051554"/>
    <n v="1"/>
    <n v="72.400000000000006"/>
    <n v="72.400000000000006"/>
    <n v="-5.6556715461431954"/>
    <n v="1354.7104657161663"/>
    <n v="0"/>
    <n v="1"/>
    <n v="0"/>
    <n v="0"/>
    <n v="0"/>
    <n v="0"/>
    <n v="0"/>
    <n v="0"/>
    <n v="0"/>
    <n v="0"/>
  </r>
  <r>
    <d v="2001-07-28T00:00:00"/>
    <n v="2001"/>
    <x v="25"/>
    <s v="R"/>
    <s v="RS"/>
    <x v="7"/>
    <s v="HOU"/>
    <s v="A"/>
    <n v="1"/>
    <n v="3"/>
    <n v="-2"/>
    <n v="2"/>
    <n v="-16"/>
    <n v="16"/>
    <n v="1558.3710004623292"/>
    <n v="1638.423455826832"/>
    <n v="0.24442534765947702"/>
    <n v="64"/>
    <n v="61"/>
    <n v="0"/>
    <n v="3"/>
    <n v="1"/>
    <n v="0.27203590279375839"/>
    <n v="1"/>
    <n v="72.099999999999994"/>
    <n v="72.099999999999994"/>
    <n v="14.819681496050221"/>
    <n v="1573.1906819583794"/>
    <n v="1"/>
    <n v="0"/>
    <n v="0"/>
    <n v="0"/>
    <n v="0"/>
    <n v="0"/>
    <n v="0"/>
    <n v="0"/>
    <n v="0"/>
    <n v="0"/>
  </r>
  <r>
    <d v="2001-07-28T00:00:00"/>
    <n v="2001"/>
    <x v="22"/>
    <s v="R"/>
    <s v="RS"/>
    <x v="1"/>
    <s v="NYL"/>
    <s v="H"/>
    <n v="3"/>
    <n v="1"/>
    <n v="2"/>
    <n v="-2"/>
    <n v="16"/>
    <n v="-16"/>
    <n v="1638.423455826832"/>
    <n v="1558.3710004623292"/>
    <n v="0.75557465234052301"/>
    <n v="61"/>
    <n v="64"/>
    <n v="0"/>
    <n v="-3"/>
    <n v="0"/>
    <n v="0.27203590279375839"/>
    <n v="1"/>
    <n v="72.55"/>
    <n v="72.55"/>
    <n v="-14.912176040755114"/>
    <n v="1623.5112797860768"/>
    <n v="0"/>
    <n v="1"/>
    <n v="0"/>
    <n v="0"/>
    <n v="0"/>
    <n v="0"/>
    <n v="0"/>
    <n v="0"/>
    <n v="0"/>
    <n v="0"/>
  </r>
  <r>
    <d v="2001-07-28T00:00:00"/>
    <n v="2001"/>
    <x v="24"/>
    <s v="R"/>
    <s v="RS"/>
    <x v="8"/>
    <s v="IND"/>
    <s v="A"/>
    <n v="0"/>
    <n v="0"/>
    <n v="0"/>
    <n v="0"/>
    <n v="0"/>
    <n v="0"/>
    <n v="1551.2465063813183"/>
    <n v="1398.132489685787"/>
    <n v="0.59817153363745934"/>
    <n v="69"/>
    <n v="63"/>
    <n v="0"/>
    <n v="6"/>
    <n v="1"/>
    <n v="0.31153096347241627"/>
    <n v="1"/>
    <n v="72.25"/>
    <n v="72.25"/>
    <n v="9.0444001702318708"/>
    <n v="1560.2909065515503"/>
    <n v="1"/>
    <n v="0"/>
    <n v="0"/>
    <n v="0"/>
    <n v="0"/>
    <n v="0"/>
    <n v="0"/>
    <n v="0"/>
    <n v="0"/>
    <n v="0"/>
  </r>
  <r>
    <d v="2001-07-28T00:00:00"/>
    <n v="2001"/>
    <x v="24"/>
    <s v="R"/>
    <s v="RS"/>
    <x v="6"/>
    <s v="MIA"/>
    <s v="H"/>
    <n v="0"/>
    <n v="0"/>
    <n v="0"/>
    <n v="0"/>
    <n v="0"/>
    <n v="0"/>
    <n v="1398.132489685787"/>
    <n v="1551.2465063813183"/>
    <n v="0.40182846636254071"/>
    <n v="63"/>
    <n v="69"/>
    <n v="0"/>
    <n v="-6"/>
    <n v="0"/>
    <n v="0.31153096347241627"/>
    <n v="1"/>
    <n v="72.25"/>
    <n v="72.25"/>
    <n v="-9.0444001702318726"/>
    <n v="1389.0880895155551"/>
    <n v="0"/>
    <n v="1"/>
    <n v="0"/>
    <n v="0"/>
    <n v="0"/>
    <n v="0"/>
    <n v="0"/>
    <n v="0"/>
    <n v="0"/>
    <n v="0"/>
  </r>
  <r>
    <d v="2001-07-28T00:00:00"/>
    <n v="2001"/>
    <x v="23"/>
    <s v="R"/>
    <s v="RS"/>
    <x v="0"/>
    <s v="POR"/>
    <s v="A"/>
    <n v="2"/>
    <n v="0"/>
    <n v="2"/>
    <n v="-2"/>
    <n v="16"/>
    <n v="-16"/>
    <n v="1718.5772105859107"/>
    <n v="1455.5337311610833"/>
    <n v="0.77115843273061679"/>
    <n v="88"/>
    <n v="83"/>
    <n v="0"/>
    <n v="5"/>
    <n v="1"/>
    <n v="0.27210891279185145"/>
    <n v="1"/>
    <n v="72.400000000000006"/>
    <n v="72.400000000000006"/>
    <n v="4.5083356971588771"/>
    <n v="1723.0855462830696"/>
    <n v="1"/>
    <n v="0"/>
    <n v="0"/>
    <n v="0"/>
    <n v="0"/>
    <n v="0"/>
    <n v="0"/>
    <n v="0"/>
    <n v="0"/>
    <n v="0"/>
  </r>
  <r>
    <d v="2001-07-28T00:00:00"/>
    <n v="2001"/>
    <x v="23"/>
    <s v="R"/>
    <s v="RS"/>
    <x v="10"/>
    <s v="LAS"/>
    <s v="H"/>
    <n v="0"/>
    <n v="2"/>
    <n v="-2"/>
    <n v="2"/>
    <n v="-16"/>
    <n v="16"/>
    <n v="1455.5337311610833"/>
    <n v="1718.5772105859107"/>
    <n v="0.22884156726938323"/>
    <n v="83"/>
    <n v="88"/>
    <n v="0"/>
    <n v="-5"/>
    <n v="0"/>
    <n v="0.27210891279185145"/>
    <n v="1"/>
    <n v="72.400000000000006"/>
    <n v="72.400000000000006"/>
    <n v="-4.5083356971588771"/>
    <n v="1451.0253954639245"/>
    <n v="0"/>
    <n v="1"/>
    <n v="0"/>
    <n v="0"/>
    <n v="0"/>
    <n v="0"/>
    <n v="0"/>
    <n v="0"/>
    <n v="0"/>
    <n v="0"/>
  </r>
  <r>
    <d v="2001-07-28T00:00:00"/>
    <n v="2001"/>
    <x v="22"/>
    <s v="R"/>
    <s v="RS"/>
    <x v="9"/>
    <s v="UTA"/>
    <s v="A"/>
    <n v="0"/>
    <n v="1"/>
    <n v="-1"/>
    <n v="1"/>
    <n v="-8"/>
    <n v="8"/>
    <n v="1406.2858903229999"/>
    <n v="1516.9443353111969"/>
    <n v="0.2292329437380462"/>
    <n v="60"/>
    <n v="68"/>
    <n v="1"/>
    <n v="-8"/>
    <n v="0"/>
    <n v="0.31997716827515854"/>
    <n v="1"/>
    <n v="72.55"/>
    <n v="72.55"/>
    <n v="-5.3214923108298446"/>
    <n v="1400.96439801217"/>
    <n v="0"/>
    <n v="1"/>
    <n v="0"/>
    <n v="0"/>
    <n v="0"/>
    <n v="0"/>
    <n v="0"/>
    <n v="0"/>
    <n v="0"/>
    <n v="0"/>
  </r>
  <r>
    <d v="2001-07-28T00:00:00"/>
    <n v="2001"/>
    <x v="22"/>
    <s v="R"/>
    <s v="RS"/>
    <x v="2"/>
    <s v="MIN"/>
    <s v="H"/>
    <n v="1"/>
    <n v="0"/>
    <n v="1"/>
    <n v="-1"/>
    <n v="8"/>
    <n v="-8"/>
    <n v="1516.9443353111969"/>
    <n v="1406.2858903229999"/>
    <n v="0.77076705626195385"/>
    <n v="68"/>
    <n v="60"/>
    <n v="1"/>
    <n v="8"/>
    <n v="1"/>
    <n v="0.31997716827515854"/>
    <n v="1"/>
    <n v="72.55"/>
    <n v="72.55"/>
    <n v="5.3214923108298429"/>
    <n v="1522.2658276220268"/>
    <n v="1"/>
    <n v="0"/>
    <n v="0"/>
    <n v="0"/>
    <n v="0"/>
    <n v="0"/>
    <n v="0"/>
    <n v="0"/>
    <n v="0"/>
    <n v="0"/>
  </r>
  <r>
    <d v="2001-07-29T00:00:00"/>
    <n v="2001"/>
    <x v="23"/>
    <s v="R"/>
    <s v="RS"/>
    <x v="12"/>
    <s v="DET"/>
    <s v="A"/>
    <n v="1"/>
    <n v="0"/>
    <n v="1"/>
    <n v="-1"/>
    <n v="8"/>
    <n v="-8"/>
    <n v="1453.0552092586074"/>
    <n v="1354.7104657161663"/>
    <n v="0.54355889491219656"/>
    <n v="62"/>
    <n v="64"/>
    <n v="0"/>
    <n v="-2"/>
    <n v="0"/>
    <n v="0.24755334557342659"/>
    <n v="1"/>
    <n v="72.400000000000006"/>
    <n v="72.400000000000006"/>
    <n v="-9.7421311817037228"/>
    <n v="1443.3130780769036"/>
    <n v="0"/>
    <n v="1"/>
    <n v="0"/>
    <n v="0"/>
    <n v="0"/>
    <n v="0"/>
    <n v="0"/>
    <n v="0"/>
    <n v="0"/>
    <n v="0"/>
  </r>
  <r>
    <d v="2001-07-29T00:00:00"/>
    <n v="2001"/>
    <x v="24"/>
    <s v="R"/>
    <s v="RS"/>
    <x v="14"/>
    <s v="ORL"/>
    <s v="H"/>
    <n v="0"/>
    <n v="1"/>
    <n v="-1"/>
    <n v="1"/>
    <n v="-8"/>
    <n v="8"/>
    <n v="1354.7104657161663"/>
    <n v="1453.0552092586074"/>
    <n v="0.45644110508780344"/>
    <n v="64"/>
    <n v="62"/>
    <n v="0"/>
    <n v="2"/>
    <n v="1"/>
    <n v="0.24755334557342659"/>
    <n v="1"/>
    <n v="72.25"/>
    <n v="72.25"/>
    <n v="9.7219472082609659"/>
    <n v="1364.4324129244271"/>
    <n v="1"/>
    <n v="0"/>
    <n v="0"/>
    <n v="0"/>
    <n v="0"/>
    <n v="0"/>
    <n v="0"/>
    <n v="0"/>
    <n v="0"/>
    <n v="0"/>
  </r>
  <r>
    <d v="2001-07-29T00:00:00"/>
    <n v="2001"/>
    <x v="23"/>
    <s v="R"/>
    <s v="RS"/>
    <x v="3"/>
    <s v="SAC"/>
    <s v="A"/>
    <n v="1"/>
    <n v="1"/>
    <n v="0"/>
    <n v="0"/>
    <n v="0"/>
    <n v="0"/>
    <n v="1502.5471100046798"/>
    <n v="1582.9992571460364"/>
    <n v="0.2795564837760775"/>
    <n v="47"/>
    <n v="63"/>
    <n v="0"/>
    <n v="-16"/>
    <n v="0"/>
    <n v="0.48525299451700682"/>
    <n v="1"/>
    <n v="72.400000000000006"/>
    <n v="72.400000000000006"/>
    <n v="-9.8214669523626323"/>
    <n v="1492.7256430523171"/>
    <n v="0"/>
    <n v="1"/>
    <n v="0"/>
    <n v="0"/>
    <n v="0"/>
    <n v="0"/>
    <n v="0"/>
    <n v="0"/>
    <n v="0"/>
    <n v="0"/>
  </r>
  <r>
    <d v="2001-07-29T00:00:00"/>
    <n v="2001"/>
    <x v="24"/>
    <s v="R"/>
    <s v="RS"/>
    <x v="15"/>
    <s v="PHX"/>
    <s v="H"/>
    <n v="1"/>
    <n v="1"/>
    <n v="0"/>
    <n v="0"/>
    <n v="0"/>
    <n v="0"/>
    <n v="1582.9992571460364"/>
    <n v="1502.5471100046798"/>
    <n v="0.72044351622392244"/>
    <n v="63"/>
    <n v="47"/>
    <n v="0"/>
    <n v="16"/>
    <n v="1"/>
    <n v="0.48525299451700682"/>
    <n v="1"/>
    <n v="72.25"/>
    <n v="72.25"/>
    <n v="9.8011186092292863"/>
    <n v="1592.8003757552656"/>
    <n v="1"/>
    <n v="0"/>
    <n v="0"/>
    <n v="0"/>
    <n v="0"/>
    <n v="0"/>
    <n v="0"/>
    <n v="0"/>
    <n v="0"/>
    <n v="0"/>
  </r>
  <r>
    <d v="2001-07-29T00:00:00"/>
    <n v="2001"/>
    <x v="24"/>
    <s v="R"/>
    <s v="RS"/>
    <x v="13"/>
    <s v="WAS"/>
    <s v="A"/>
    <n v="2"/>
    <n v="1"/>
    <n v="1"/>
    <n v="-1"/>
    <n v="8"/>
    <n v="-8"/>
    <n v="1459.0071218744449"/>
    <n v="1374.1303256687497"/>
    <n v="0.52426857736373556"/>
    <n v="42"/>
    <n v="55"/>
    <n v="0"/>
    <n v="-13"/>
    <n v="0"/>
    <n v="0.44086134051895354"/>
    <n v="1"/>
    <n v="72.25"/>
    <n v="72.25"/>
    <n v="-16.699124279167098"/>
    <n v="1442.3079975952778"/>
    <n v="0"/>
    <n v="1"/>
    <n v="0"/>
    <n v="0"/>
    <n v="0"/>
    <n v="0"/>
    <n v="0"/>
    <n v="0"/>
    <n v="0"/>
    <n v="0"/>
  </r>
  <r>
    <d v="2001-07-29T00:00:00"/>
    <n v="2001"/>
    <x v="23"/>
    <s v="R"/>
    <s v="RS"/>
    <x v="4"/>
    <s v="CHA"/>
    <s v="H"/>
    <n v="1"/>
    <n v="2"/>
    <n v="-1"/>
    <n v="1"/>
    <n v="-8"/>
    <n v="8"/>
    <n v="1374.1303256687497"/>
    <n v="1459.0071218744449"/>
    <n v="0.47573142263626444"/>
    <n v="55"/>
    <n v="42"/>
    <n v="0"/>
    <n v="13"/>
    <n v="1"/>
    <n v="0.44086134051895354"/>
    <n v="1"/>
    <n v="72.400000000000006"/>
    <n v="72.400000000000006"/>
    <n v="16.733793741338381"/>
    <n v="1390.8641194100881"/>
    <n v="1"/>
    <n v="0"/>
    <n v="0"/>
    <n v="0"/>
    <n v="0"/>
    <n v="0"/>
    <n v="0"/>
    <n v="0"/>
    <n v="0"/>
    <n v="0"/>
  </r>
  <r>
    <d v="2001-07-30T00:00:00"/>
    <n v="2001"/>
    <x v="24"/>
    <s v="R"/>
    <s v="RS"/>
    <x v="12"/>
    <s v="CLE"/>
    <s v="A"/>
    <n v="0"/>
    <n v="1"/>
    <n v="-1"/>
    <n v="1"/>
    <n v="-8"/>
    <n v="8"/>
    <n v="1443.3130780769036"/>
    <n v="1647.2351270840729"/>
    <n v="0.14810826145010239"/>
    <n v="47"/>
    <n v="65"/>
    <n v="0"/>
    <n v="-18"/>
    <n v="0"/>
    <n v="0.46740537981837371"/>
    <n v="1"/>
    <n v="72.25"/>
    <n v="72.25"/>
    <n v="-5.0016217197566668"/>
    <n v="1438.3114563571469"/>
    <n v="0"/>
    <n v="1"/>
    <n v="0"/>
    <n v="0"/>
    <n v="0"/>
    <n v="0"/>
    <n v="0"/>
    <n v="0"/>
    <n v="0"/>
    <n v="0"/>
  </r>
  <r>
    <d v="2001-07-30T00:00:00"/>
    <n v="2001"/>
    <x v="25"/>
    <s v="R"/>
    <s v="RS"/>
    <x v="5"/>
    <s v="ORL"/>
    <s v="H"/>
    <n v="1"/>
    <n v="0"/>
    <n v="1"/>
    <n v="-1"/>
    <n v="8"/>
    <n v="-8"/>
    <n v="1647.2351270840729"/>
    <n v="1443.3130780769036"/>
    <n v="0.85189173854989753"/>
    <n v="65"/>
    <n v="47"/>
    <n v="0"/>
    <n v="18"/>
    <n v="1"/>
    <n v="0.46740537981837371"/>
    <n v="1"/>
    <n v="72.099999999999994"/>
    <n v="72.099999999999994"/>
    <n v="4.9912377300270698"/>
    <n v="1652.2263648141"/>
    <n v="1"/>
    <n v="0"/>
    <n v="0"/>
    <n v="0"/>
    <n v="0"/>
    <n v="0"/>
    <n v="0"/>
    <n v="0"/>
    <n v="0"/>
    <n v="0"/>
  </r>
  <r>
    <d v="2001-07-30T00:00:00"/>
    <n v="2001"/>
    <x v="25"/>
    <s v="R"/>
    <s v="RS"/>
    <x v="11"/>
    <s v="HOU"/>
    <s v="A"/>
    <n v="2"/>
    <n v="1"/>
    <n v="1"/>
    <n v="-1"/>
    <n v="8"/>
    <n v="-8"/>
    <n v="1381.2591029162716"/>
    <n v="1623.5112797860768"/>
    <n v="0.14356935711692714"/>
    <n v="51"/>
    <n v="55"/>
    <n v="0"/>
    <n v="-4"/>
    <n v="0"/>
    <n v="0.2591220092284815"/>
    <n v="1"/>
    <n v="72.099999999999994"/>
    <n v="72.099999999999994"/>
    <n v="-2.6822627781721056"/>
    <n v="1378.5768401380994"/>
    <n v="0"/>
    <n v="1"/>
    <n v="0"/>
    <n v="0"/>
    <n v="0"/>
    <n v="0"/>
    <n v="0"/>
    <n v="0"/>
    <n v="0"/>
    <n v="0"/>
  </r>
  <r>
    <d v="2001-07-30T00:00:00"/>
    <n v="2001"/>
    <x v="23"/>
    <s v="R"/>
    <s v="RS"/>
    <x v="1"/>
    <s v="SEA"/>
    <s v="H"/>
    <n v="1"/>
    <n v="2"/>
    <n v="-1"/>
    <n v="1"/>
    <n v="-8"/>
    <n v="8"/>
    <n v="1623.5112797860768"/>
    <n v="1381.2591029162716"/>
    <n v="0.85643064288307291"/>
    <n v="55"/>
    <n v="51"/>
    <n v="0"/>
    <n v="4"/>
    <n v="1"/>
    <n v="0.2591220092284815"/>
    <n v="1"/>
    <n v="72.400000000000006"/>
    <n v="72.400000000000006"/>
    <n v="2.6934233722560386"/>
    <n v="1626.2047031583329"/>
    <n v="1"/>
    <n v="0"/>
    <n v="0"/>
    <n v="0"/>
    <n v="0"/>
    <n v="0"/>
    <n v="0"/>
    <n v="0"/>
    <n v="0"/>
    <n v="0"/>
  </r>
  <r>
    <d v="2001-07-30T00:00:00"/>
    <n v="2001"/>
    <x v="23"/>
    <s v="R"/>
    <s v="RS"/>
    <x v="9"/>
    <s v="LAS"/>
    <s v="A"/>
    <n v="1"/>
    <n v="1"/>
    <n v="0"/>
    <n v="0"/>
    <n v="0"/>
    <n v="0"/>
    <n v="1400.96439801217"/>
    <n v="1723.0855462830696"/>
    <n v="8.8038684707901216E-2"/>
    <n v="69"/>
    <n v="78"/>
    <n v="0"/>
    <n v="-9"/>
    <n v="0"/>
    <n v="0.32005719986881626"/>
    <n v="1"/>
    <n v="72.400000000000006"/>
    <n v="72.400000000000006"/>
    <n v="-2.0400448393206974"/>
    <n v="1398.9243531728494"/>
    <n v="0"/>
    <n v="1"/>
    <n v="0"/>
    <n v="0"/>
    <n v="0"/>
    <n v="0"/>
    <n v="0"/>
    <n v="0"/>
    <n v="0"/>
    <n v="0"/>
  </r>
  <r>
    <d v="2001-07-30T00:00:00"/>
    <n v="2001"/>
    <x v="24"/>
    <s v="R"/>
    <s v="RS"/>
    <x v="0"/>
    <s v="MIN"/>
    <s v="H"/>
    <n v="1"/>
    <n v="1"/>
    <n v="0"/>
    <n v="0"/>
    <n v="0"/>
    <n v="0"/>
    <n v="1723.0855462830696"/>
    <n v="1400.96439801217"/>
    <n v="0.91196131529209878"/>
    <n v="78"/>
    <n v="69"/>
    <n v="0"/>
    <n v="9"/>
    <n v="1"/>
    <n v="0.32005719986881626"/>
    <n v="1"/>
    <n v="72.25"/>
    <n v="72.25"/>
    <n v="2.0358182270845355"/>
    <n v="1725.1213645101541"/>
    <n v="1"/>
    <n v="0"/>
    <n v="0"/>
    <n v="0"/>
    <n v="0"/>
    <n v="0"/>
    <n v="0"/>
    <n v="0"/>
    <n v="0"/>
    <n v="0"/>
  </r>
  <r>
    <d v="2001-07-30T00:00:00"/>
    <n v="2001"/>
    <x v="23"/>
    <s v="R"/>
    <s v="RS"/>
    <x v="2"/>
    <s v="POR"/>
    <s v="A"/>
    <n v="1"/>
    <n v="1"/>
    <n v="0"/>
    <n v="0"/>
    <n v="0"/>
    <n v="0"/>
    <n v="1522.2658276220268"/>
    <n v="1451.0253954639245"/>
    <n v="0.48164575667457338"/>
    <n v="79"/>
    <n v="73"/>
    <n v="0"/>
    <n v="6"/>
    <n v="1"/>
    <n v="0.33159495453867383"/>
    <n v="1"/>
    <n v="72.400000000000006"/>
    <n v="72.400000000000006"/>
    <n v="12.444376386730664"/>
    <n v="1534.7102040087575"/>
    <n v="1"/>
    <n v="0"/>
    <n v="0"/>
    <n v="0"/>
    <n v="0"/>
    <n v="0"/>
    <n v="0"/>
    <n v="0"/>
    <n v="0"/>
    <n v="0"/>
  </r>
  <r>
    <d v="2001-07-30T00:00:00"/>
    <n v="2001"/>
    <x v="24"/>
    <s v="R"/>
    <s v="RS"/>
    <x v="10"/>
    <s v="UTA"/>
    <s v="H"/>
    <n v="1"/>
    <n v="1"/>
    <n v="0"/>
    <n v="0"/>
    <n v="0"/>
    <n v="0"/>
    <n v="1451.0253954639245"/>
    <n v="1522.2658276220268"/>
    <n v="0.51835424332542668"/>
    <n v="73"/>
    <n v="79"/>
    <n v="0"/>
    <n v="-6"/>
    <n v="0"/>
    <n v="0.33159495453867383"/>
    <n v="1"/>
    <n v="72.25"/>
    <n v="72.25"/>
    <n v="-12.4185938389681"/>
    <n v="1438.6068016249565"/>
    <n v="0"/>
    <n v="1"/>
    <n v="0"/>
    <n v="0"/>
    <n v="0"/>
    <n v="0"/>
    <n v="0"/>
    <n v="0"/>
    <n v="0"/>
    <n v="0"/>
  </r>
  <r>
    <d v="2001-07-31T00:00:00"/>
    <n v="2001"/>
    <x v="25"/>
    <s v="R"/>
    <s v="RS"/>
    <x v="8"/>
    <s v="CHA"/>
    <s v="A"/>
    <n v="2"/>
    <n v="1"/>
    <n v="1"/>
    <n v="-1"/>
    <n v="8"/>
    <n v="-8"/>
    <n v="1560.2909065515503"/>
    <n v="1442.3079975952778"/>
    <n v="0.57143902369454969"/>
    <n v="45"/>
    <n v="63"/>
    <n v="0"/>
    <n v="-18"/>
    <n v="0"/>
    <n v="0.49788257047372425"/>
    <n v="1"/>
    <n v="72.099999999999994"/>
    <n v="72.099999999999994"/>
    <n v="-20.513137111993323"/>
    <n v="1539.777769439557"/>
    <n v="0"/>
    <n v="1"/>
    <n v="0"/>
    <n v="0"/>
    <n v="0"/>
    <n v="0"/>
    <n v="0"/>
    <n v="0"/>
    <n v="0"/>
    <n v="0"/>
  </r>
  <r>
    <d v="2001-07-31T00:00:00"/>
    <n v="2001"/>
    <x v="25"/>
    <s v="R"/>
    <s v="RS"/>
    <x v="13"/>
    <s v="MIA"/>
    <s v="H"/>
    <n v="1"/>
    <n v="2"/>
    <n v="-1"/>
    <n v="1"/>
    <n v="-8"/>
    <n v="8"/>
    <n v="1442.3079975952778"/>
    <n v="1560.2909065515503"/>
    <n v="0.42856097630545037"/>
    <n v="63"/>
    <n v="45"/>
    <n v="0"/>
    <n v="18"/>
    <n v="1"/>
    <n v="0.49788257047372425"/>
    <n v="1"/>
    <n v="72.099999999999994"/>
    <n v="72.099999999999994"/>
    <n v="20.513137111993323"/>
    <n v="1462.8211347072711"/>
    <n v="1"/>
    <n v="0"/>
    <n v="0"/>
    <n v="0"/>
    <n v="0"/>
    <n v="0"/>
    <n v="0"/>
    <n v="0"/>
    <n v="0"/>
    <n v="0"/>
  </r>
  <r>
    <d v="2001-08-01T00:00:00"/>
    <n v="2001"/>
    <x v="24"/>
    <s v="R"/>
    <s v="RS"/>
    <x v="2"/>
    <s v="HOU"/>
    <s v="A"/>
    <n v="1"/>
    <n v="1"/>
    <n v="0"/>
    <n v="0"/>
    <n v="0"/>
    <n v="0"/>
    <n v="1534.7102040087575"/>
    <n v="1626.2047031583329"/>
    <n v="0.26693532237351936"/>
    <n v="71"/>
    <n v="63"/>
    <n v="0"/>
    <n v="8"/>
    <n v="1"/>
    <n v="0.36080575047779506"/>
    <n v="1"/>
    <n v="72.25"/>
    <n v="72.25"/>
    <n v="19.109687971294484"/>
    <n v="1553.819891980052"/>
    <n v="1"/>
    <n v="0"/>
    <n v="0"/>
    <n v="0"/>
    <n v="0"/>
    <n v="0"/>
    <n v="0"/>
    <n v="0"/>
    <n v="0"/>
    <n v="0"/>
  </r>
  <r>
    <d v="2001-08-01T00:00:00"/>
    <n v="2001"/>
    <x v="24"/>
    <s v="R"/>
    <s v="RS"/>
    <x v="1"/>
    <s v="UTA"/>
    <s v="H"/>
    <n v="1"/>
    <n v="1"/>
    <n v="0"/>
    <n v="0"/>
    <n v="0"/>
    <n v="0"/>
    <n v="1626.2047031583329"/>
    <n v="1534.7102040087575"/>
    <n v="0.73306467762648064"/>
    <n v="63"/>
    <n v="71"/>
    <n v="0"/>
    <n v="-8"/>
    <n v="0"/>
    <n v="0.36080575047779506"/>
    <n v="1"/>
    <n v="72.25"/>
    <n v="72.25"/>
    <n v="-19.109687971294484"/>
    <n v="1607.0950151870384"/>
    <n v="0"/>
    <n v="1"/>
    <n v="0"/>
    <n v="0"/>
    <n v="0"/>
    <n v="0"/>
    <n v="0"/>
    <n v="0"/>
    <n v="0"/>
    <n v="0"/>
  </r>
  <r>
    <d v="2001-08-01T00:00:00"/>
    <n v="2001"/>
    <x v="24"/>
    <s v="R"/>
    <s v="RS"/>
    <x v="4"/>
    <s v="IND"/>
    <s v="A"/>
    <n v="2"/>
    <n v="3"/>
    <n v="-1"/>
    <n v="1"/>
    <n v="-8"/>
    <n v="8"/>
    <n v="1390.8641194100881"/>
    <n v="1389.0880895155551"/>
    <n v="0.36229370007659356"/>
    <n v="64"/>
    <n v="70"/>
    <n v="0"/>
    <n v="-6"/>
    <n v="0"/>
    <n v="0.35076162514756082"/>
    <n v="1"/>
    <n v="72.25"/>
    <n v="72.25"/>
    <n v="-9.1814380271653011"/>
    <n v="1381.6826813829227"/>
    <n v="0"/>
    <n v="1"/>
    <n v="0"/>
    <n v="0"/>
    <n v="0"/>
    <n v="0"/>
    <n v="0"/>
    <n v="0"/>
    <n v="0"/>
    <n v="0"/>
  </r>
  <r>
    <d v="2001-08-01T00:00:00"/>
    <n v="2001"/>
    <x v="25"/>
    <s v="R"/>
    <s v="RS"/>
    <x v="6"/>
    <s v="WAS"/>
    <s v="H"/>
    <n v="3"/>
    <n v="2"/>
    <n v="1"/>
    <n v="-1"/>
    <n v="8"/>
    <n v="-8"/>
    <n v="1389.0880895155551"/>
    <n v="1390.8641194100881"/>
    <n v="0.63770629992340644"/>
    <n v="70"/>
    <n v="64"/>
    <n v="0"/>
    <n v="6"/>
    <n v="1"/>
    <n v="0.35076162514756082"/>
    <n v="1"/>
    <n v="72.099999999999994"/>
    <n v="72.099999999999994"/>
    <n v="9.162376218112362"/>
    <n v="1398.2504657336674"/>
    <n v="1"/>
    <n v="0"/>
    <n v="0"/>
    <n v="0"/>
    <n v="0"/>
    <n v="0"/>
    <n v="0"/>
    <n v="0"/>
    <n v="0"/>
    <n v="0"/>
  </r>
  <r>
    <d v="2001-08-01T00:00:00"/>
    <n v="2001"/>
    <x v="25"/>
    <s v="R"/>
    <s v="RS"/>
    <x v="14"/>
    <s v="NYL"/>
    <s v="A"/>
    <n v="2"/>
    <n v="3"/>
    <n v="-1"/>
    <n v="1"/>
    <n v="-8"/>
    <n v="8"/>
    <n v="1364.4324129244271"/>
    <n v="1573.1906819583794"/>
    <n v="0.14462998734918583"/>
    <n v="63"/>
    <n v="66"/>
    <n v="0"/>
    <n v="-3"/>
    <n v="0"/>
    <n v="0.24718238250856167"/>
    <n v="1"/>
    <n v="72.099999999999994"/>
    <n v="72.099999999999994"/>
    <n v="-2.5775739080566673"/>
    <n v="1361.8548390163705"/>
    <n v="0"/>
    <n v="1"/>
    <n v="0"/>
    <n v="0"/>
    <n v="0"/>
    <n v="0"/>
    <n v="0"/>
    <n v="0"/>
    <n v="0"/>
    <n v="0"/>
  </r>
  <r>
    <d v="2001-08-01T00:00:00"/>
    <n v="2001"/>
    <x v="26"/>
    <s v="R"/>
    <s v="RS"/>
    <x v="7"/>
    <s v="DET"/>
    <s v="H"/>
    <n v="3"/>
    <n v="2"/>
    <n v="1"/>
    <n v="-1"/>
    <n v="8"/>
    <n v="-8"/>
    <n v="1573.1906819583794"/>
    <n v="1364.4324129244271"/>
    <n v="0.85537001265081414"/>
    <n v="66"/>
    <n v="63"/>
    <n v="0"/>
    <n v="3"/>
    <n v="1"/>
    <n v="0.24718238250856167"/>
    <n v="1"/>
    <n v="71.95"/>
    <n v="71.95"/>
    <n v="2.5722114103283946"/>
    <n v="1575.7628933687079"/>
    <n v="1"/>
    <n v="0"/>
    <n v="0"/>
    <n v="0"/>
    <n v="0"/>
    <n v="0"/>
    <n v="0"/>
    <n v="0"/>
    <n v="0"/>
    <n v="0"/>
  </r>
  <r>
    <d v="2001-08-01T00:00:00"/>
    <n v="2001"/>
    <x v="25"/>
    <s v="R"/>
    <s v="RS"/>
    <x v="10"/>
    <s v="ORL"/>
    <s v="A"/>
    <n v="1"/>
    <n v="1"/>
    <n v="0"/>
    <n v="0"/>
    <n v="0"/>
    <n v="0"/>
    <n v="1438.6068016249565"/>
    <n v="1438.3114563571469"/>
    <n v="0.38181708695379829"/>
    <n v="63"/>
    <n v="65"/>
    <n v="0"/>
    <n v="-2"/>
    <n v="0"/>
    <n v="0.26777541564146534"/>
    <n v="1"/>
    <n v="72.099999999999994"/>
    <n v="72.099999999999994"/>
    <n v="-7.3715926222966193"/>
    <n v="1431.2352090026598"/>
    <n v="0"/>
    <n v="1"/>
    <n v="0"/>
    <n v="0"/>
    <n v="0"/>
    <n v="0"/>
    <n v="0"/>
    <n v="0"/>
    <n v="0"/>
    <n v="0"/>
  </r>
  <r>
    <d v="2001-08-01T00:00:00"/>
    <n v="2001"/>
    <x v="25"/>
    <s v="R"/>
    <s v="RS"/>
    <x v="12"/>
    <s v="POR"/>
    <s v="H"/>
    <n v="1"/>
    <n v="1"/>
    <n v="0"/>
    <n v="0"/>
    <n v="0"/>
    <n v="0"/>
    <n v="1438.3114563571469"/>
    <n v="1438.6068016249565"/>
    <n v="0.61818291304620165"/>
    <n v="65"/>
    <n v="63"/>
    <n v="0"/>
    <n v="2"/>
    <n v="1"/>
    <n v="0.26777541564146534"/>
    <n v="1"/>
    <n v="72.099999999999994"/>
    <n v="72.099999999999994"/>
    <n v="7.371592622296621"/>
    <n v="1445.6830489794436"/>
    <n v="1"/>
    <n v="0"/>
    <n v="0"/>
    <n v="0"/>
    <n v="0"/>
    <n v="0"/>
    <n v="0"/>
    <n v="0"/>
    <n v="0"/>
    <n v="0"/>
  </r>
  <r>
    <d v="2001-08-01T00:00:00"/>
    <n v="2001"/>
    <x v="24"/>
    <s v="R"/>
    <s v="RS"/>
    <x v="9"/>
    <s v="PHX"/>
    <s v="A"/>
    <n v="1"/>
    <n v="2"/>
    <n v="-1"/>
    <n v="1"/>
    <n v="-8"/>
    <n v="8"/>
    <n v="1398.9243531728494"/>
    <n v="1492.7256430523171"/>
    <n v="0.24682650921853874"/>
    <n v="68"/>
    <n v="63"/>
    <n v="0"/>
    <n v="5"/>
    <n v="1"/>
    <n v="0.30770348867915065"/>
    <n v="1"/>
    <n v="72.25"/>
    <n v="72.25"/>
    <n v="16.744234497649426"/>
    <n v="1415.6685876704987"/>
    <n v="1"/>
    <n v="0"/>
    <n v="0"/>
    <n v="0"/>
    <n v="0"/>
    <n v="0"/>
    <n v="0"/>
    <n v="0"/>
    <n v="0"/>
    <n v="0"/>
  </r>
  <r>
    <d v="2001-08-01T00:00:00"/>
    <n v="2001"/>
    <x v="24"/>
    <s v="R"/>
    <s v="RS"/>
    <x v="3"/>
    <s v="MIN"/>
    <s v="H"/>
    <n v="2"/>
    <n v="1"/>
    <n v="1"/>
    <n v="-1"/>
    <n v="8"/>
    <n v="-8"/>
    <n v="1492.7256430523171"/>
    <n v="1398.9243531728494"/>
    <n v="0.75317349078146134"/>
    <n v="63"/>
    <n v="68"/>
    <n v="0"/>
    <n v="-5"/>
    <n v="0"/>
    <n v="0.30770348867915065"/>
    <n v="1"/>
    <n v="72.25"/>
    <n v="72.25"/>
    <n v="-16.74423449764943"/>
    <n v="1475.9814085546677"/>
    <n v="0"/>
    <n v="1"/>
    <n v="0"/>
    <n v="0"/>
    <n v="0"/>
    <n v="0"/>
    <n v="0"/>
    <n v="0"/>
    <n v="0"/>
    <n v="0"/>
  </r>
  <r>
    <d v="2001-08-02T00:00:00"/>
    <n v="2001"/>
    <x v="25"/>
    <s v="R"/>
    <s v="RS"/>
    <x v="15"/>
    <s v="LAS"/>
    <s v="A"/>
    <n v="3"/>
    <n v="2"/>
    <n v="1"/>
    <n v="-1"/>
    <n v="8"/>
    <n v="-8"/>
    <n v="1592.8003757552656"/>
    <n v="1725.1213645101541"/>
    <n v="0.23991596081323557"/>
    <n v="62"/>
    <n v="67"/>
    <n v="0"/>
    <n v="-5"/>
    <n v="0"/>
    <n v="0.29880724983965434"/>
    <n v="1"/>
    <n v="72.099999999999994"/>
    <n v="72.099999999999994"/>
    <n v="-5.1687501107576903"/>
    <n v="1587.6316256445079"/>
    <n v="0"/>
    <n v="1"/>
    <n v="0"/>
    <n v="0"/>
    <n v="0"/>
    <n v="0"/>
    <n v="0"/>
    <n v="0"/>
    <n v="0"/>
    <n v="0"/>
  </r>
  <r>
    <d v="2001-08-02T00:00:00"/>
    <n v="2001"/>
    <x v="25"/>
    <s v="R"/>
    <s v="RS"/>
    <x v="0"/>
    <s v="SAC"/>
    <s v="H"/>
    <n v="2"/>
    <n v="3"/>
    <n v="-1"/>
    <n v="1"/>
    <n v="-8"/>
    <n v="8"/>
    <n v="1725.1213645101541"/>
    <n v="1592.8003757552656"/>
    <n v="0.76008403918676448"/>
    <n v="67"/>
    <n v="62"/>
    <n v="0"/>
    <n v="5"/>
    <n v="1"/>
    <n v="0.29880724983965434"/>
    <n v="1"/>
    <n v="72.099999999999994"/>
    <n v="72.099999999999994"/>
    <n v="5.1687501107576894"/>
    <n v="1730.2901146209117"/>
    <n v="1"/>
    <n v="0"/>
    <n v="0"/>
    <n v="0"/>
    <n v="0"/>
    <n v="0"/>
    <n v="0"/>
    <n v="0"/>
    <n v="0"/>
    <n v="0"/>
  </r>
  <r>
    <d v="2001-08-03T00:00:00"/>
    <n v="2001"/>
    <x v="26"/>
    <s v="R"/>
    <s v="RS"/>
    <x v="12"/>
    <s v="HOU"/>
    <s v="A"/>
    <n v="1"/>
    <n v="1"/>
    <n v="0"/>
    <n v="0"/>
    <n v="0"/>
    <n v="0"/>
    <n v="1445.6830489794436"/>
    <n v="1607.0950151870384"/>
    <n v="0.19580778297552465"/>
    <n v="60"/>
    <n v="72"/>
    <n v="0"/>
    <n v="-12"/>
    <n v="0"/>
    <n v="0.4020497434120433"/>
    <n v="1"/>
    <n v="71.95"/>
    <n v="71.95"/>
    <n v="-5.6642255375989645"/>
    <n v="1440.0188234418447"/>
    <n v="0"/>
    <n v="1"/>
    <n v="0"/>
    <n v="0"/>
    <n v="0"/>
    <n v="0"/>
    <n v="0"/>
    <n v="0"/>
    <n v="0"/>
    <n v="0"/>
  </r>
  <r>
    <d v="2001-08-03T00:00:00"/>
    <n v="2001"/>
    <x v="25"/>
    <s v="R"/>
    <s v="RS"/>
    <x v="1"/>
    <s v="ORL"/>
    <s v="H"/>
    <n v="1"/>
    <n v="1"/>
    <n v="0"/>
    <n v="0"/>
    <n v="0"/>
    <n v="0"/>
    <n v="1607.0950151870384"/>
    <n v="1445.6830489794436"/>
    <n v="0.80419221702447541"/>
    <n v="72"/>
    <n v="60"/>
    <n v="0"/>
    <n v="12"/>
    <n v="1"/>
    <n v="0.4020497434120433"/>
    <n v="1"/>
    <n v="72.099999999999994"/>
    <n v="72.099999999999994"/>
    <n v="5.6760342079344701"/>
    <n v="1612.7710493949728"/>
    <n v="1"/>
    <n v="0"/>
    <n v="0"/>
    <n v="0"/>
    <n v="0"/>
    <n v="0"/>
    <n v="0"/>
    <n v="0"/>
    <n v="0"/>
    <n v="0"/>
  </r>
  <r>
    <d v="2001-08-03T00:00:00"/>
    <n v="2001"/>
    <x v="25"/>
    <s v="R"/>
    <s v="RS"/>
    <x v="3"/>
    <s v="MIA"/>
    <s v="A"/>
    <n v="1"/>
    <n v="2"/>
    <n v="-1"/>
    <n v="1"/>
    <n v="-8"/>
    <n v="8"/>
    <n v="1475.9814085546677"/>
    <n v="1539.777769439557"/>
    <n v="0.28031742052493908"/>
    <n v="61"/>
    <n v="72"/>
    <n v="0"/>
    <n v="-11"/>
    <n v="0"/>
    <n v="0.41763307811679301"/>
    <n v="1"/>
    <n v="72.099999999999994"/>
    <n v="72.099999999999994"/>
    <n v="-8.4407345399368232"/>
    <n v="1467.5406740147309"/>
    <n v="0"/>
    <n v="1"/>
    <n v="0"/>
    <n v="0"/>
    <n v="0"/>
    <n v="0"/>
    <n v="0"/>
    <n v="0"/>
    <n v="0"/>
    <n v="0"/>
  </r>
  <r>
    <d v="2001-08-03T00:00:00"/>
    <n v="2001"/>
    <x v="26"/>
    <s v="R"/>
    <s v="RS"/>
    <x v="8"/>
    <s v="PHX"/>
    <s v="H"/>
    <n v="2"/>
    <n v="1"/>
    <n v="1"/>
    <n v="-1"/>
    <n v="8"/>
    <n v="-8"/>
    <n v="1539.777769439557"/>
    <n v="1475.9814085546677"/>
    <n v="0.71968257947506098"/>
    <n v="72"/>
    <n v="61"/>
    <n v="0"/>
    <n v="11"/>
    <n v="1"/>
    <n v="0.41763307811679301"/>
    <n v="1"/>
    <n v="71.95"/>
    <n v="71.95"/>
    <n v="8.4231740658592837"/>
    <n v="1548.2009435054163"/>
    <n v="1"/>
    <n v="0"/>
    <n v="0"/>
    <n v="0"/>
    <n v="0"/>
    <n v="0"/>
    <n v="0"/>
    <n v="0"/>
    <n v="0"/>
    <n v="0"/>
  </r>
  <r>
    <d v="2001-08-03T00:00:00"/>
    <n v="2001"/>
    <x v="26"/>
    <s v="R"/>
    <s v="RS"/>
    <x v="13"/>
    <s v="MIN"/>
    <s v="A"/>
    <n v="2"/>
    <n v="1"/>
    <n v="1"/>
    <n v="-1"/>
    <n v="8"/>
    <n v="-8"/>
    <n v="1462.8211347072711"/>
    <n v="1415.6685876704987"/>
    <n v="0.47003405853443625"/>
    <n v="72"/>
    <n v="64"/>
    <n v="0"/>
    <n v="8"/>
    <n v="1"/>
    <n v="0.37363403788154809"/>
    <n v="1"/>
    <n v="71.95"/>
    <n v="71.95"/>
    <n v="14.247057989029708"/>
    <n v="1477.0681926963007"/>
    <n v="1"/>
    <n v="0"/>
    <n v="0"/>
    <n v="0"/>
    <n v="0"/>
    <n v="0"/>
    <n v="0"/>
    <n v="0"/>
    <n v="0"/>
    <n v="0"/>
  </r>
  <r>
    <d v="2001-08-03T00:00:00"/>
    <n v="2001"/>
    <x v="25"/>
    <s v="R"/>
    <s v="RS"/>
    <x v="9"/>
    <s v="CHA"/>
    <s v="H"/>
    <n v="1"/>
    <n v="2"/>
    <n v="-1"/>
    <n v="1"/>
    <n v="-8"/>
    <n v="8"/>
    <n v="1415.6685876704987"/>
    <n v="1462.8211347072711"/>
    <n v="0.52996594146556375"/>
    <n v="64"/>
    <n v="72"/>
    <n v="0"/>
    <n v="-8"/>
    <n v="0"/>
    <n v="0.37363403788154809"/>
    <n v="1"/>
    <n v="72.099999999999994"/>
    <n v="72.099999999999994"/>
    <n v="-14.276759986227129"/>
    <n v="1401.3918276842717"/>
    <n v="0"/>
    <n v="1"/>
    <n v="0"/>
    <n v="0"/>
    <n v="0"/>
    <n v="0"/>
    <n v="0"/>
    <n v="0"/>
    <n v="0"/>
    <n v="0"/>
  </r>
  <r>
    <d v="2001-08-03T00:00:00"/>
    <n v="2001"/>
    <x v="26"/>
    <s v="R"/>
    <s v="RS"/>
    <x v="6"/>
    <s v="SAC"/>
    <s v="A"/>
    <n v="1"/>
    <n v="0"/>
    <n v="1"/>
    <n v="-1"/>
    <n v="8"/>
    <n v="-8"/>
    <n v="1398.2504657336674"/>
    <n v="1587.6316256445079"/>
    <n v="0.18518510760481871"/>
    <n v="69"/>
    <n v="81"/>
    <n v="0"/>
    <n v="-12"/>
    <n v="0"/>
    <n v="0.39395620689643857"/>
    <n v="1"/>
    <n v="71.95"/>
    <n v="71.95"/>
    <n v="-5.249099483602345"/>
    <n v="1393.0013662500651"/>
    <n v="0"/>
    <n v="1"/>
    <n v="0"/>
    <n v="0"/>
    <n v="0"/>
    <n v="0"/>
    <n v="0"/>
    <n v="0"/>
    <n v="0"/>
    <n v="0"/>
  </r>
  <r>
    <d v="2001-08-03T00:00:00"/>
    <n v="2001"/>
    <x v="26"/>
    <s v="R"/>
    <s v="RS"/>
    <x v="15"/>
    <s v="IND"/>
    <s v="H"/>
    <n v="0"/>
    <n v="1"/>
    <n v="-1"/>
    <n v="1"/>
    <n v="-8"/>
    <n v="8"/>
    <n v="1587.6316256445079"/>
    <n v="1398.2504657336674"/>
    <n v="0.81481489239518123"/>
    <n v="81"/>
    <n v="69"/>
    <n v="0"/>
    <n v="12"/>
    <n v="1"/>
    <n v="0.39395620689643857"/>
    <n v="1"/>
    <n v="71.95"/>
    <n v="71.95"/>
    <n v="5.2490994836023468"/>
    <n v="1592.8807251281103"/>
    <n v="1"/>
    <n v="0"/>
    <n v="0"/>
    <n v="0"/>
    <n v="0"/>
    <n v="0"/>
    <n v="0"/>
    <n v="0"/>
    <n v="0"/>
    <n v="0"/>
  </r>
  <r>
    <d v="2001-08-03T00:00:00"/>
    <n v="2001"/>
    <x v="25"/>
    <s v="R"/>
    <s v="RS"/>
    <x v="2"/>
    <s v="SEA"/>
    <s v="A"/>
    <n v="1"/>
    <n v="3"/>
    <n v="-2"/>
    <n v="2"/>
    <n v="-16"/>
    <n v="16"/>
    <n v="1553.819891980052"/>
    <n v="1378.5768401380994"/>
    <n v="0.58444080255975295"/>
    <n v="64"/>
    <n v="61"/>
    <n v="0"/>
    <n v="3"/>
    <n v="1"/>
    <n v="0.2532063149506959"/>
    <n v="1"/>
    <n v="72.099999999999994"/>
    <n v="72.099999999999994"/>
    <n v="7.5865215592981512"/>
    <n v="1561.4064135393503"/>
    <n v="1"/>
    <n v="0"/>
    <n v="0"/>
    <n v="0"/>
    <n v="0"/>
    <n v="0"/>
    <n v="0"/>
    <n v="0"/>
    <n v="0"/>
    <n v="0"/>
  </r>
  <r>
    <d v="2001-08-03T00:00:00"/>
    <n v="2001"/>
    <x v="26"/>
    <s v="R"/>
    <s v="RS"/>
    <x v="11"/>
    <s v="UTA"/>
    <s v="H"/>
    <n v="3"/>
    <n v="1"/>
    <n v="2"/>
    <n v="-2"/>
    <n v="16"/>
    <n v="-16"/>
    <n v="1378.5768401380994"/>
    <n v="1553.819891980052"/>
    <n v="0.415559197440247"/>
    <n v="61"/>
    <n v="64"/>
    <n v="0"/>
    <n v="-3"/>
    <n v="0"/>
    <n v="0.2532063149506959"/>
    <n v="1"/>
    <n v="71.95"/>
    <n v="71.95"/>
    <n v="-7.5707382273439947"/>
    <n v="1371.0061019107554"/>
    <n v="0"/>
    <n v="1"/>
    <n v="0"/>
    <n v="0"/>
    <n v="0"/>
    <n v="0"/>
    <n v="0"/>
    <n v="0"/>
    <n v="0"/>
    <n v="0"/>
  </r>
  <r>
    <d v="2001-08-03T00:00:00"/>
    <n v="2001"/>
    <x v="26"/>
    <s v="R"/>
    <s v="RS"/>
    <x v="10"/>
    <s v="WAS"/>
    <s v="A"/>
    <n v="1"/>
    <n v="1"/>
    <n v="0"/>
    <n v="0"/>
    <n v="0"/>
    <n v="0"/>
    <n v="1431.2352090026598"/>
    <n v="1381.6826813829227"/>
    <n v="0.45058790789878461"/>
    <n v="50"/>
    <n v="64"/>
    <n v="0"/>
    <n v="-14"/>
    <n v="0"/>
    <n v="0.46827141021076613"/>
    <n v="1"/>
    <n v="71.95"/>
    <n v="71.95"/>
    <n v="-15.181265452256367"/>
    <n v="1416.0539435504033"/>
    <n v="0"/>
    <n v="1"/>
    <n v="0"/>
    <n v="0"/>
    <n v="0"/>
    <n v="0"/>
    <n v="0"/>
    <n v="0"/>
    <n v="0"/>
    <n v="0"/>
  </r>
  <r>
    <d v="2001-08-03T00:00:00"/>
    <n v="2001"/>
    <x v="25"/>
    <s v="R"/>
    <s v="RS"/>
    <x v="4"/>
    <s v="POR"/>
    <s v="H"/>
    <n v="1"/>
    <n v="1"/>
    <n v="0"/>
    <n v="0"/>
    <n v="0"/>
    <n v="0"/>
    <n v="1381.6826813829227"/>
    <n v="1431.2352090026598"/>
    <n v="0.54941209210121544"/>
    <n v="64"/>
    <n v="50"/>
    <n v="0"/>
    <n v="14"/>
    <n v="1"/>
    <n v="0.46827141021076613"/>
    <n v="1"/>
    <n v="72.099999999999994"/>
    <n v="72.099999999999994"/>
    <n v="15.212915067514716"/>
    <n v="1396.8955964504376"/>
    <n v="1"/>
    <n v="0"/>
    <n v="0"/>
    <n v="0"/>
    <n v="0"/>
    <n v="0"/>
    <n v="0"/>
    <n v="0"/>
    <n v="0"/>
    <n v="0"/>
  </r>
  <r>
    <d v="2001-08-04T00:00:00"/>
    <n v="2001"/>
    <x v="26"/>
    <s v="R"/>
    <s v="RS"/>
    <x v="1"/>
    <s v="CHA"/>
    <s v="A"/>
    <n v="0"/>
    <n v="0"/>
    <n v="0"/>
    <n v="0"/>
    <n v="0"/>
    <n v="0"/>
    <n v="1612.7710493949728"/>
    <n v="1477.0681926963007"/>
    <n v="0.57386196476746421"/>
    <n v="49"/>
    <n v="54"/>
    <n v="0"/>
    <n v="-5"/>
    <n v="0"/>
    <n v="0.29805069934301137"/>
    <n v="1"/>
    <n v="71.95"/>
    <n v="71.95"/>
    <n v="-12.306325116625139"/>
    <n v="1600.4647242783476"/>
    <n v="0"/>
    <n v="1"/>
    <n v="0"/>
    <n v="0"/>
    <n v="0"/>
    <n v="0"/>
    <n v="0"/>
    <n v="0"/>
    <n v="0"/>
    <n v="0"/>
  </r>
  <r>
    <d v="2001-08-04T00:00:00"/>
    <n v="2001"/>
    <x v="27"/>
    <s v="R"/>
    <s v="RS"/>
    <x v="13"/>
    <s v="HOU"/>
    <s v="H"/>
    <n v="0"/>
    <n v="0"/>
    <n v="0"/>
    <n v="0"/>
    <n v="0"/>
    <n v="0"/>
    <n v="1477.0681926963007"/>
    <n v="1612.7710493949728"/>
    <n v="0.42613803523253585"/>
    <n v="54"/>
    <n v="49"/>
    <n v="0"/>
    <n v="5"/>
    <n v="1"/>
    <n v="0.29805069934301137"/>
    <n v="1"/>
    <n v="71.8"/>
    <n v="71.8"/>
    <n v="12.28066912263634"/>
    <n v="1489.3488618189369"/>
    <n v="1"/>
    <n v="0"/>
    <n v="0"/>
    <n v="0"/>
    <n v="0"/>
    <n v="0"/>
    <n v="0"/>
    <n v="0"/>
    <n v="0"/>
    <n v="0"/>
  </r>
  <r>
    <d v="2001-08-04T00:00:00"/>
    <n v="2001"/>
    <x v="27"/>
    <s v="R"/>
    <s v="RS"/>
    <x v="10"/>
    <s v="DET"/>
    <s v="A"/>
    <n v="0"/>
    <n v="2"/>
    <n v="-2"/>
    <n v="2"/>
    <n v="-16"/>
    <n v="16"/>
    <n v="1416.0539435504033"/>
    <n v="1361.8548390163705"/>
    <n v="0.41198765637691548"/>
    <n v="65"/>
    <n v="70"/>
    <n v="0"/>
    <n v="-5"/>
    <n v="0"/>
    <n v="0.31741943453340632"/>
    <n v="1"/>
    <n v="71.8"/>
    <n v="71.8"/>
    <n v="-9.3894934245926951"/>
    <n v="1406.6644501258106"/>
    <n v="0"/>
    <n v="1"/>
    <n v="0"/>
    <n v="0"/>
    <n v="0"/>
    <n v="0"/>
    <n v="0"/>
    <n v="0"/>
    <n v="0"/>
    <n v="0"/>
  </r>
  <r>
    <d v="2001-08-04T00:00:00"/>
    <n v="2001"/>
    <x v="26"/>
    <s v="R"/>
    <s v="RS"/>
    <x v="14"/>
    <s v="POR"/>
    <s v="H"/>
    <n v="2"/>
    <n v="0"/>
    <n v="2"/>
    <n v="-2"/>
    <n v="16"/>
    <n v="-16"/>
    <n v="1361.8548390163705"/>
    <n v="1416.0539435504033"/>
    <n v="0.58801234362308452"/>
    <n v="70"/>
    <n v="65"/>
    <n v="0"/>
    <n v="5"/>
    <n v="1"/>
    <n v="0.31741943453340632"/>
    <n v="1"/>
    <n v="71.95"/>
    <n v="71.95"/>
    <n v="9.4091093579309799"/>
    <n v="1371.2639483743014"/>
    <n v="1"/>
    <n v="0"/>
    <n v="0"/>
    <n v="0"/>
    <n v="0"/>
    <n v="0"/>
    <n v="0"/>
    <n v="0"/>
    <n v="0"/>
    <n v="0"/>
  </r>
  <r>
    <d v="2001-08-04T00:00:00"/>
    <n v="2001"/>
    <x v="27"/>
    <s v="R"/>
    <s v="RS"/>
    <x v="11"/>
    <s v="LAS"/>
    <s v="A"/>
    <n v="0"/>
    <n v="1"/>
    <n v="-1"/>
    <n v="1"/>
    <n v="-8"/>
    <n v="8"/>
    <n v="1371.0061019107554"/>
    <n v="1730.2901146209117"/>
    <n v="6.6368993954251401E-2"/>
    <n v="60"/>
    <n v="79"/>
    <n v="0"/>
    <n v="-19"/>
    <n v="0"/>
    <n v="0.43171935438348574"/>
    <n v="1"/>
    <n v="71.8"/>
    <n v="71.8"/>
    <n v="-2.0572695480685814"/>
    <n v="1368.9488323626867"/>
    <n v="0"/>
    <n v="1"/>
    <n v="0"/>
    <n v="0"/>
    <n v="0"/>
    <n v="0"/>
    <n v="0"/>
    <n v="0"/>
    <n v="0"/>
    <n v="0"/>
  </r>
  <r>
    <d v="2001-08-04T00:00:00"/>
    <n v="2001"/>
    <x v="26"/>
    <s v="R"/>
    <s v="RS"/>
    <x v="0"/>
    <s v="SEA"/>
    <s v="H"/>
    <n v="1"/>
    <n v="0"/>
    <n v="1"/>
    <n v="-1"/>
    <n v="8"/>
    <n v="-8"/>
    <n v="1730.2901146209117"/>
    <n v="1371.0061019107554"/>
    <n v="0.93363100604574856"/>
    <n v="79"/>
    <n v="60"/>
    <n v="0"/>
    <n v="19"/>
    <n v="1"/>
    <n v="0.43171935438348574"/>
    <n v="1"/>
    <n v="71.95"/>
    <n v="71.95"/>
    <n v="2.0615674649517346"/>
    <n v="1732.3516820858633"/>
    <n v="1"/>
    <n v="0"/>
    <n v="0"/>
    <n v="0"/>
    <n v="0"/>
    <n v="0"/>
    <n v="0"/>
    <n v="0"/>
    <n v="0"/>
    <n v="0"/>
  </r>
  <r>
    <d v="2001-08-04T00:00:00"/>
    <n v="2001"/>
    <x v="26"/>
    <s v="R"/>
    <s v="RS"/>
    <x v="5"/>
    <s v="NYL"/>
    <s v="A"/>
    <n v="4"/>
    <n v="2"/>
    <n v="2"/>
    <n v="-2"/>
    <n v="16"/>
    <n v="-16"/>
    <n v="1652.2263648141"/>
    <n v="1575.7628933687079"/>
    <n v="0.53514769971246245"/>
    <n v="58"/>
    <n v="43"/>
    <n v="0"/>
    <n v="15"/>
    <n v="1"/>
    <n v="0.47272612742395331"/>
    <n v="1"/>
    <n v="71.95"/>
    <n v="71.95"/>
    <n v="15.810856205824237"/>
    <n v="1668.0372210199241"/>
    <n v="1"/>
    <n v="0"/>
    <n v="0"/>
    <n v="0"/>
    <n v="0"/>
    <n v="0"/>
    <n v="0"/>
    <n v="0"/>
    <n v="0"/>
    <n v="0"/>
  </r>
  <r>
    <d v="2001-08-04T00:00:00"/>
    <n v="2001"/>
    <x v="27"/>
    <s v="R"/>
    <s v="RS"/>
    <x v="7"/>
    <s v="CLE"/>
    <s v="H"/>
    <n v="2"/>
    <n v="4"/>
    <n v="-2"/>
    <n v="2"/>
    <n v="-16"/>
    <n v="16"/>
    <n v="1575.7628933687079"/>
    <n v="1652.2263648141"/>
    <n v="0.4648523002875376"/>
    <n v="43"/>
    <n v="58"/>
    <n v="0"/>
    <n v="-15"/>
    <n v="0"/>
    <n v="0.47272612742395331"/>
    <n v="1"/>
    <n v="71.8"/>
    <n v="71.8"/>
    <n v="-15.777894031663381"/>
    <n v="1559.9849993370444"/>
    <n v="0"/>
    <n v="1"/>
    <n v="0"/>
    <n v="0"/>
    <n v="0"/>
    <n v="0"/>
    <n v="0"/>
    <n v="0"/>
    <n v="0"/>
    <n v="0"/>
  </r>
  <r>
    <d v="2001-08-04T00:00:00"/>
    <n v="2001"/>
    <x v="27"/>
    <s v="R"/>
    <s v="RS"/>
    <x v="6"/>
    <s v="UTA"/>
    <s v="A"/>
    <n v="0"/>
    <n v="0"/>
    <n v="0"/>
    <n v="0"/>
    <n v="0"/>
    <n v="0"/>
    <n v="1393.0013662500651"/>
    <n v="1561.4064135393503"/>
    <n v="0.18954639896789857"/>
    <n v="54"/>
    <n v="65"/>
    <n v="0"/>
    <n v="-11"/>
    <n v="0"/>
    <n v="0.38570682368842385"/>
    <n v="1"/>
    <n v="71.8"/>
    <n v="71.8"/>
    <n v="-5.2492505752015592"/>
    <n v="1387.7521156748635"/>
    <n v="0"/>
    <n v="1"/>
    <n v="0"/>
    <n v="0"/>
    <n v="0"/>
    <n v="0"/>
    <n v="0"/>
    <n v="0"/>
    <n v="0"/>
    <n v="0"/>
  </r>
  <r>
    <d v="2001-08-04T00:00:00"/>
    <n v="2001"/>
    <x v="26"/>
    <s v="R"/>
    <s v="RS"/>
    <x v="2"/>
    <s v="IND"/>
    <s v="H"/>
    <n v="0"/>
    <n v="0"/>
    <n v="0"/>
    <n v="0"/>
    <n v="0"/>
    <n v="0"/>
    <n v="1561.4064135393503"/>
    <n v="1393.0013662500651"/>
    <n v="0.8104536010321014"/>
    <n v="65"/>
    <n v="54"/>
    <n v="0"/>
    <n v="11"/>
    <n v="1"/>
    <n v="0.38570682368842385"/>
    <n v="1"/>
    <n v="71.95"/>
    <n v="71.95"/>
    <n v="5.2602169761246831"/>
    <n v="1566.6666305154749"/>
    <n v="1"/>
    <n v="0"/>
    <n v="0"/>
    <n v="0"/>
    <n v="0"/>
    <n v="0"/>
    <n v="0"/>
    <n v="0"/>
    <n v="0"/>
    <n v="0"/>
  </r>
  <r>
    <d v="2001-08-05T00:00:00"/>
    <n v="2001"/>
    <x v="26"/>
    <s v="R"/>
    <s v="RS"/>
    <x v="4"/>
    <s v="MIA"/>
    <s v="A"/>
    <n v="1"/>
    <n v="1"/>
    <n v="0"/>
    <n v="0"/>
    <n v="0"/>
    <n v="0"/>
    <n v="1396.8955964504376"/>
    <n v="1548.2009435054163"/>
    <n v="0.20513133599981426"/>
    <n v="44"/>
    <n v="52"/>
    <n v="0"/>
    <n v="-8"/>
    <n v="0"/>
    <n v="0.344835934394218"/>
    <n v="1"/>
    <n v="71.95"/>
    <n v="71.95"/>
    <n v="-5.0895023936620261"/>
    <n v="1391.8060940567755"/>
    <n v="0"/>
    <n v="1"/>
    <n v="0"/>
    <n v="0"/>
    <n v="0"/>
    <n v="0"/>
    <n v="0"/>
    <n v="0"/>
    <n v="0"/>
    <n v="0"/>
  </r>
  <r>
    <d v="2001-08-05T00:00:00"/>
    <n v="2001"/>
    <x v="27"/>
    <s v="R"/>
    <s v="RS"/>
    <x v="8"/>
    <s v="WAS"/>
    <s v="H"/>
    <n v="1"/>
    <n v="1"/>
    <n v="0"/>
    <n v="0"/>
    <n v="0"/>
    <n v="0"/>
    <n v="1548.2009435054163"/>
    <n v="1396.8955964504376"/>
    <n v="0.79486866400018574"/>
    <n v="52"/>
    <n v="44"/>
    <n v="0"/>
    <n v="8"/>
    <n v="1"/>
    <n v="0.344835934394218"/>
    <n v="1"/>
    <n v="71.8"/>
    <n v="71.8"/>
    <n v="5.0788918952735704"/>
    <n v="1553.2798354006898"/>
    <n v="1"/>
    <n v="0"/>
    <n v="0"/>
    <n v="0"/>
    <n v="0"/>
    <n v="0"/>
    <n v="0"/>
    <n v="0"/>
    <n v="0"/>
    <n v="0"/>
  </r>
  <r>
    <d v="2001-08-05T00:00:00"/>
    <n v="2001"/>
    <x v="27"/>
    <s v="R"/>
    <s v="RS"/>
    <x v="15"/>
    <s v="MIN"/>
    <s v="A"/>
    <n v="1"/>
    <n v="1"/>
    <n v="0"/>
    <n v="0"/>
    <n v="0"/>
    <n v="0"/>
    <n v="1592.8807251281103"/>
    <n v="1401.3918276842717"/>
    <n v="0.64993552919387965"/>
    <n v="76"/>
    <n v="79"/>
    <n v="1"/>
    <n v="-3"/>
    <n v="0"/>
    <n v="0.22522508326319843"/>
    <n v="1"/>
    <n v="71.8"/>
    <n v="71.8"/>
    <n v="-10.510212068109297"/>
    <n v="1582.370513060001"/>
    <n v="0"/>
    <n v="1"/>
    <n v="0"/>
    <n v="0"/>
    <n v="0"/>
    <n v="0"/>
    <n v="0"/>
    <n v="0"/>
    <n v="0"/>
    <n v="0"/>
  </r>
  <r>
    <d v="2001-08-05T00:00:00"/>
    <n v="2001"/>
    <x v="26"/>
    <s v="R"/>
    <s v="RS"/>
    <x v="9"/>
    <s v="SAC"/>
    <s v="H"/>
    <n v="1"/>
    <n v="1"/>
    <n v="0"/>
    <n v="0"/>
    <n v="0"/>
    <n v="0"/>
    <n v="1401.3918276842717"/>
    <n v="1592.8807251281103"/>
    <n v="0.35006447080612041"/>
    <n v="79"/>
    <n v="76"/>
    <n v="1"/>
    <n v="3"/>
    <n v="1"/>
    <n v="0.22522508326319843"/>
    <n v="1"/>
    <n v="71.95"/>
    <n v="71.95"/>
    <n v="10.532169335661056"/>
    <n v="1411.9239970199328"/>
    <n v="1"/>
    <n v="0"/>
    <n v="0"/>
    <n v="0"/>
    <n v="0"/>
    <n v="0"/>
    <n v="0"/>
    <n v="0"/>
    <n v="0"/>
    <n v="0"/>
  </r>
  <r>
    <d v="2001-08-05T00:00:00"/>
    <n v="2001"/>
    <x v="26"/>
    <s v="R"/>
    <s v="RS"/>
    <x v="3"/>
    <s v="ORL"/>
    <s v="A"/>
    <n v="1"/>
    <n v="1"/>
    <n v="0"/>
    <n v="0"/>
    <n v="0"/>
    <n v="0"/>
    <n v="1467.5406740147309"/>
    <n v="1440.0188234418447"/>
    <n v="0.41942984671758515"/>
    <n v="69"/>
    <n v="78"/>
    <n v="0"/>
    <n v="-9"/>
    <n v="0"/>
    <n v="0.39686937739587314"/>
    <n v="1"/>
    <n v="71.95"/>
    <n v="71.95"/>
    <n v="-11.976715130113524"/>
    <n v="1455.5639588846175"/>
    <n v="0"/>
    <n v="1"/>
    <n v="0"/>
    <n v="0"/>
    <n v="0"/>
    <n v="0"/>
    <n v="0"/>
    <n v="0"/>
    <n v="0"/>
    <n v="0"/>
  </r>
  <r>
    <d v="2001-08-05T00:00:00"/>
    <n v="2001"/>
    <x v="27"/>
    <s v="R"/>
    <s v="RS"/>
    <x v="12"/>
    <s v="PHX"/>
    <s v="H"/>
    <n v="1"/>
    <n v="1"/>
    <n v="0"/>
    <n v="0"/>
    <n v="0"/>
    <n v="0"/>
    <n v="1440.0188234418447"/>
    <n v="1467.5406740147309"/>
    <n v="0.58057015328241479"/>
    <n v="78"/>
    <n v="69"/>
    <n v="0"/>
    <n v="9"/>
    <n v="1"/>
    <n v="0.39686937739587314"/>
    <n v="1"/>
    <n v="71.8"/>
    <n v="71.8"/>
    <n v="11.951746300794316"/>
    <n v="1451.9705697426391"/>
    <n v="1"/>
    <n v="0"/>
    <n v="0"/>
    <n v="0"/>
    <n v="0"/>
    <n v="0"/>
    <n v="0"/>
    <n v="0"/>
    <n v="0"/>
    <n v="0"/>
  </r>
  <r>
    <d v="2001-08-06T00:00:00"/>
    <n v="2001"/>
    <x v="27"/>
    <s v="R"/>
    <s v="RS"/>
    <x v="3"/>
    <s v="HOU"/>
    <s v="A"/>
    <n v="0"/>
    <n v="1"/>
    <n v="-1"/>
    <n v="1"/>
    <n v="-8"/>
    <n v="8"/>
    <n v="1455.5639588846175"/>
    <n v="1600.4647242783476"/>
    <n v="0.19627157755489902"/>
    <n v="48"/>
    <n v="62"/>
    <n v="0"/>
    <n v="-14"/>
    <n v="0"/>
    <n v="0.43507278700196167"/>
    <n v="1"/>
    <n v="71.8"/>
    <n v="71.8"/>
    <n v="-6.1311759179866572"/>
    <n v="1449.4327829666308"/>
    <n v="0"/>
    <n v="1"/>
    <n v="0"/>
    <n v="0"/>
    <n v="0"/>
    <n v="0"/>
    <n v="0"/>
    <n v="0"/>
    <n v="0"/>
    <n v="0"/>
  </r>
  <r>
    <d v="2001-08-06T00:00:00"/>
    <n v="2001"/>
    <x v="27"/>
    <s v="R"/>
    <s v="RS"/>
    <x v="1"/>
    <s v="PHX"/>
    <s v="H"/>
    <n v="1"/>
    <n v="0"/>
    <n v="1"/>
    <n v="-1"/>
    <n v="8"/>
    <n v="-8"/>
    <n v="1600.4647242783476"/>
    <n v="1455.5639588846175"/>
    <n v="0.80372842244510101"/>
    <n v="62"/>
    <n v="48"/>
    <n v="0"/>
    <n v="14"/>
    <n v="1"/>
    <n v="0.43507278700196167"/>
    <n v="1"/>
    <n v="71.8"/>
    <n v="71.8"/>
    <n v="6.1311759179866563"/>
    <n v="1606.5959001963342"/>
    <n v="1"/>
    <n v="0"/>
    <n v="0"/>
    <n v="0"/>
    <n v="0"/>
    <n v="0"/>
    <n v="0"/>
    <n v="0"/>
    <n v="0"/>
    <n v="0"/>
  </r>
  <r>
    <d v="2001-08-06T00:00:00"/>
    <n v="2001"/>
    <x v="28"/>
    <s v="R"/>
    <s v="RS"/>
    <x v="6"/>
    <s v="LAS"/>
    <s v="A"/>
    <n v="1"/>
    <n v="1"/>
    <n v="0"/>
    <n v="0"/>
    <n v="0"/>
    <n v="0"/>
    <n v="1387.7521156748635"/>
    <n v="1732.3516820858633"/>
    <n v="7.8188553817172698E-2"/>
    <n v="66"/>
    <n v="81"/>
    <n v="0"/>
    <n v="-15"/>
    <n v="0"/>
    <n v="0.39066282729614193"/>
    <n v="1"/>
    <n v="71.650000000000006"/>
    <n v="71.650000000000006"/>
    <n v="-2.1885751512180085"/>
    <n v="1385.5635405236455"/>
    <n v="0"/>
    <n v="1"/>
    <n v="0"/>
    <n v="0"/>
    <n v="0"/>
    <n v="0"/>
    <n v="0"/>
    <n v="0"/>
    <n v="0"/>
    <n v="0"/>
  </r>
  <r>
    <d v="2001-08-06T00:00:00"/>
    <n v="2001"/>
    <x v="27"/>
    <s v="R"/>
    <s v="RS"/>
    <x v="0"/>
    <s v="IND"/>
    <s v="H"/>
    <n v="1"/>
    <n v="1"/>
    <n v="0"/>
    <n v="0"/>
    <n v="0"/>
    <n v="0"/>
    <n v="1732.3516820858633"/>
    <n v="1387.7521156748635"/>
    <n v="0.92181144618282729"/>
    <n v="81"/>
    <n v="66"/>
    <n v="0"/>
    <n v="15"/>
    <n v="1"/>
    <n v="0.39066282729614193"/>
    <n v="1"/>
    <n v="71.8"/>
    <n v="71.8"/>
    <n v="2.1931569554424706"/>
    <n v="1734.5448390413057"/>
    <n v="1"/>
    <n v="0"/>
    <n v="0"/>
    <n v="0"/>
    <n v="0"/>
    <n v="0"/>
    <n v="0"/>
    <n v="0"/>
    <n v="0"/>
    <n v="0"/>
  </r>
  <r>
    <d v="2001-08-06T00:00:00"/>
    <n v="2001"/>
    <x v="28"/>
    <s v="R"/>
    <s v="RS"/>
    <x v="13"/>
    <s v="WAS"/>
    <s v="A"/>
    <n v="1"/>
    <n v="0"/>
    <n v="1"/>
    <n v="-1"/>
    <n v="8"/>
    <n v="-8"/>
    <n v="1489.3488618189369"/>
    <n v="1391.8060940567755"/>
    <n v="0.54241328997781413"/>
    <n v="65"/>
    <n v="60"/>
    <n v="0"/>
    <n v="5"/>
    <n v="1"/>
    <n v="0.30681622251272872"/>
    <n v="1"/>
    <n v="71.650000000000006"/>
    <n v="71.650000000000006"/>
    <n v="10.05930360151012"/>
    <n v="1499.4081654204469"/>
    <n v="1"/>
    <n v="0"/>
    <n v="0"/>
    <n v="0"/>
    <n v="0"/>
    <n v="0"/>
    <n v="0"/>
    <n v="0"/>
    <n v="0"/>
    <n v="0"/>
  </r>
  <r>
    <d v="2001-08-06T00:00:00"/>
    <n v="2001"/>
    <x v="27"/>
    <s v="R"/>
    <s v="RS"/>
    <x v="4"/>
    <s v="CHA"/>
    <s v="H"/>
    <n v="0"/>
    <n v="1"/>
    <n v="-1"/>
    <n v="1"/>
    <n v="-8"/>
    <n v="8"/>
    <n v="1391.8060940567755"/>
    <n v="1489.3488618189369"/>
    <n v="0.45758671002218587"/>
    <n v="60"/>
    <n v="65"/>
    <n v="0"/>
    <n v="-5"/>
    <n v="0"/>
    <n v="0.30681622251272872"/>
    <n v="1"/>
    <n v="71.8"/>
    <n v="71.8"/>
    <n v="-10.080362855386275"/>
    <n v="1381.7257312013892"/>
    <n v="0"/>
    <n v="1"/>
    <n v="0"/>
    <n v="0"/>
    <n v="0"/>
    <n v="0"/>
    <n v="0"/>
    <n v="0"/>
    <n v="0"/>
    <n v="0"/>
  </r>
  <r>
    <d v="2001-08-07T00:00:00"/>
    <n v="2001"/>
    <x v="27"/>
    <s v="R"/>
    <s v="RS"/>
    <x v="2"/>
    <s v="DET"/>
    <s v="A"/>
    <n v="2"/>
    <n v="2"/>
    <n v="0"/>
    <n v="0"/>
    <n v="0"/>
    <n v="0"/>
    <n v="1566.6666305154749"/>
    <n v="1371.2639483743014"/>
    <n v="0.65504396650326069"/>
    <n v="76"/>
    <n v="69"/>
    <n v="0"/>
    <n v="7"/>
    <n v="1"/>
    <n v="0.3182798862784838"/>
    <n v="1"/>
    <n v="71.8"/>
    <n v="71.8"/>
    <n v="7.8831063186716861"/>
    <n v="1574.5497368341466"/>
    <n v="1"/>
    <n v="0"/>
    <n v="0"/>
    <n v="0"/>
    <n v="0"/>
    <n v="0"/>
    <n v="0"/>
    <n v="0"/>
    <n v="0"/>
    <n v="0"/>
  </r>
  <r>
    <d v="2001-08-07T00:00:00"/>
    <n v="2001"/>
    <x v="27"/>
    <s v="R"/>
    <s v="RS"/>
    <x v="14"/>
    <s v="UTA"/>
    <s v="H"/>
    <n v="2"/>
    <n v="2"/>
    <n v="0"/>
    <n v="0"/>
    <n v="0"/>
    <n v="0"/>
    <n v="1371.2639483743014"/>
    <n v="1566.6666305154749"/>
    <n v="0.34495603349673931"/>
    <n v="69"/>
    <n v="76"/>
    <n v="0"/>
    <n v="-7"/>
    <n v="0"/>
    <n v="0.3182798862784838"/>
    <n v="1"/>
    <n v="71.8"/>
    <n v="71.8"/>
    <n v="-7.8831063186716861"/>
    <n v="1363.3808420556297"/>
    <n v="0"/>
    <n v="1"/>
    <n v="0"/>
    <n v="0"/>
    <n v="0"/>
    <n v="0"/>
    <n v="0"/>
    <n v="0"/>
    <n v="0"/>
    <n v="0"/>
  </r>
  <r>
    <d v="2001-08-07T00:00:00"/>
    <n v="2001"/>
    <x v="27"/>
    <s v="R"/>
    <s v="RS"/>
    <x v="5"/>
    <s v="ORL"/>
    <s v="A"/>
    <n v="2"/>
    <n v="1"/>
    <n v="1"/>
    <n v="-1"/>
    <n v="8"/>
    <n v="-8"/>
    <n v="1668.0372210199241"/>
    <n v="1451.9705697426391"/>
    <n v="0.70105781391485267"/>
    <n v="67"/>
    <n v="74"/>
    <n v="0"/>
    <n v="-7"/>
    <n v="0"/>
    <n v="0.31363538332322294"/>
    <n v="1"/>
    <n v="71.8"/>
    <n v="71.8"/>
    <n v="-15.78713529908285"/>
    <n v="1652.2500857208413"/>
    <n v="0"/>
    <n v="1"/>
    <n v="0"/>
    <n v="0"/>
    <n v="0"/>
    <n v="0"/>
    <n v="0"/>
    <n v="0"/>
    <n v="0"/>
    <n v="0"/>
  </r>
  <r>
    <d v="2001-08-07T00:00:00"/>
    <n v="2001"/>
    <x v="28"/>
    <s v="R"/>
    <s v="RS"/>
    <x v="12"/>
    <s v="CLE"/>
    <s v="H"/>
    <n v="1"/>
    <n v="2"/>
    <n v="-1"/>
    <n v="1"/>
    <n v="-8"/>
    <n v="8"/>
    <n v="1451.9705697426391"/>
    <n v="1668.0372210199241"/>
    <n v="0.29894218608514733"/>
    <n v="74"/>
    <n v="67"/>
    <n v="0"/>
    <n v="7"/>
    <n v="1"/>
    <n v="0.31363538332322294"/>
    <n v="1"/>
    <n v="71.650000000000006"/>
    <n v="71.650000000000006"/>
    <n v="15.754153818653014"/>
    <n v="1467.7247235612922"/>
    <n v="1"/>
    <n v="0"/>
    <n v="0"/>
    <n v="0"/>
    <n v="0"/>
    <n v="0"/>
    <n v="0"/>
    <n v="0"/>
    <n v="0"/>
    <n v="0"/>
  </r>
  <r>
    <d v="2001-08-07T00:00:00"/>
    <n v="2001"/>
    <x v="27"/>
    <s v="R"/>
    <s v="RS"/>
    <x v="9"/>
    <s v="SAC"/>
    <s v="A"/>
    <n v="1"/>
    <n v="1"/>
    <n v="0"/>
    <n v="0"/>
    <n v="0"/>
    <n v="0"/>
    <n v="1411.9239970199328"/>
    <n v="1582.370513060001"/>
    <n v="0.1877477120403758"/>
    <n v="59"/>
    <n v="76"/>
    <n v="0"/>
    <n v="-17"/>
    <n v="0"/>
    <n v="0.46622066269656315"/>
    <n v="1"/>
    <n v="71.8"/>
    <n v="71.8"/>
    <n v="-6.2847877438149355"/>
    <n v="1405.639209276118"/>
    <n v="0"/>
    <n v="1"/>
    <n v="0"/>
    <n v="0"/>
    <n v="0"/>
    <n v="0"/>
    <n v="0"/>
    <n v="0"/>
    <n v="0"/>
    <n v="0"/>
  </r>
  <r>
    <d v="2001-08-07T00:00:00"/>
    <n v="2001"/>
    <x v="28"/>
    <s v="R"/>
    <s v="RS"/>
    <x v="15"/>
    <s v="MIN"/>
    <s v="H"/>
    <n v="1"/>
    <n v="1"/>
    <n v="0"/>
    <n v="0"/>
    <n v="0"/>
    <n v="0"/>
    <n v="1582.370513060001"/>
    <n v="1411.9239970199328"/>
    <n v="0.81225228795962423"/>
    <n v="76"/>
    <n v="59"/>
    <n v="0"/>
    <n v="17"/>
    <n v="1"/>
    <n v="0.46622066269656315"/>
    <n v="1"/>
    <n v="71.650000000000006"/>
    <n v="71.650000000000006"/>
    <n v="6.2716579644058505"/>
    <n v="1588.6421710244069"/>
    <n v="1"/>
    <n v="0"/>
    <n v="0"/>
    <n v="0"/>
    <n v="0"/>
    <n v="0"/>
    <n v="0"/>
    <n v="0"/>
    <n v="0"/>
    <n v="0"/>
  </r>
  <r>
    <d v="2001-08-08T00:00:00"/>
    <n v="2001"/>
    <x v="28"/>
    <s v="R"/>
    <s v="RS"/>
    <x v="14"/>
    <s v="CLE"/>
    <s v="A"/>
    <n v="0"/>
    <n v="0"/>
    <n v="0"/>
    <n v="0"/>
    <n v="0"/>
    <n v="0"/>
    <n v="1363.3808420556297"/>
    <n v="1652.2500857208413"/>
    <n v="0.10466736818653431"/>
    <n v="66"/>
    <n v="73"/>
    <n v="0"/>
    <n v="-7"/>
    <n v="0"/>
    <n v="0.29829926897492626"/>
    <n v="1"/>
    <n v="71.650000000000006"/>
    <n v="71.650000000000006"/>
    <n v="-2.2370705881257797"/>
    <n v="1361.1437714675039"/>
    <n v="0"/>
    <n v="1"/>
    <n v="0"/>
    <n v="0"/>
    <n v="0"/>
    <n v="0"/>
    <n v="0"/>
    <n v="0"/>
    <n v="0"/>
    <n v="0"/>
  </r>
  <r>
    <d v="2001-08-08T00:00:00"/>
    <n v="2001"/>
    <x v="28"/>
    <s v="R"/>
    <s v="RS"/>
    <x v="5"/>
    <s v="DET"/>
    <s v="H"/>
    <n v="0"/>
    <n v="0"/>
    <n v="0"/>
    <n v="0"/>
    <n v="0"/>
    <n v="0"/>
    <n v="1652.2500857208413"/>
    <n v="1363.3808420556297"/>
    <n v="0.89533263181346578"/>
    <n v="73"/>
    <n v="66"/>
    <n v="0"/>
    <n v="7"/>
    <n v="1"/>
    <n v="0.29829926897492626"/>
    <n v="1"/>
    <n v="71.650000000000006"/>
    <n v="71.650000000000006"/>
    <n v="2.2370705881257775"/>
    <n v="1654.4871563089671"/>
    <n v="1"/>
    <n v="0"/>
    <n v="0"/>
    <n v="0"/>
    <n v="0"/>
    <n v="0"/>
    <n v="0"/>
    <n v="0"/>
    <n v="0"/>
    <n v="0"/>
  </r>
  <r>
    <d v="2001-08-08T00:00:00"/>
    <n v="2001"/>
    <x v="28"/>
    <s v="R"/>
    <s v="RS"/>
    <x v="3"/>
    <s v="LAS"/>
    <s v="A"/>
    <n v="1"/>
    <n v="1"/>
    <n v="0"/>
    <n v="0"/>
    <n v="0"/>
    <n v="0"/>
    <n v="1449.4327829666308"/>
    <n v="1734.5448390413057"/>
    <n v="0.10671158300699841"/>
    <n v="67"/>
    <n v="79"/>
    <n v="0"/>
    <n v="-12"/>
    <n v="0"/>
    <n v="0.3685616377922169"/>
    <n v="1"/>
    <n v="71.650000000000006"/>
    <n v="71.650000000000006"/>
    <n v="-2.8179798693895193"/>
    <n v="1446.6148030972413"/>
    <n v="0"/>
    <n v="1"/>
    <n v="0"/>
    <n v="0"/>
    <n v="0"/>
    <n v="0"/>
    <n v="0"/>
    <n v="0"/>
    <n v="0"/>
    <n v="0"/>
  </r>
  <r>
    <d v="2001-08-08T00:00:00"/>
    <n v="2001"/>
    <x v="28"/>
    <s v="R"/>
    <s v="RS"/>
    <x v="0"/>
    <s v="PHX"/>
    <s v="H"/>
    <n v="1"/>
    <n v="1"/>
    <n v="0"/>
    <n v="0"/>
    <n v="0"/>
    <n v="0"/>
    <n v="1734.5448390413057"/>
    <n v="1449.4327829666308"/>
    <n v="0.89328841699300154"/>
    <n v="79"/>
    <n v="67"/>
    <n v="0"/>
    <n v="12"/>
    <n v="1"/>
    <n v="0.3685616377922169"/>
    <n v="1"/>
    <n v="71.650000000000006"/>
    <n v="71.650000000000006"/>
    <n v="2.8179798693895202"/>
    <n v="1737.3628189106953"/>
    <n v="1"/>
    <n v="0"/>
    <n v="0"/>
    <n v="0"/>
    <n v="0"/>
    <n v="0"/>
    <n v="0"/>
    <n v="0"/>
    <n v="0"/>
    <n v="0"/>
  </r>
  <r>
    <d v="2001-08-08T00:00:00"/>
    <n v="2001"/>
    <x v="28"/>
    <s v="R"/>
    <s v="RS"/>
    <x v="2"/>
    <s v="NYL"/>
    <s v="A"/>
    <n v="0"/>
    <n v="3"/>
    <n v="-3"/>
    <n v="3"/>
    <n v="-16"/>
    <n v="16"/>
    <n v="1574.5497368341466"/>
    <n v="1559.9849993370444"/>
    <n v="0.35803378865006302"/>
    <n v="63"/>
    <n v="82"/>
    <n v="0"/>
    <n v="-19"/>
    <n v="0"/>
    <n v="0.55425047878053169"/>
    <n v="1"/>
    <n v="71.650000000000006"/>
    <n v="71.650000000000006"/>
    <n v="-14.218254572508553"/>
    <n v="1560.331482261638"/>
    <n v="0"/>
    <n v="1"/>
    <n v="0"/>
    <n v="0"/>
    <n v="0"/>
    <n v="0"/>
    <n v="0"/>
    <n v="0"/>
    <n v="0"/>
    <n v="0"/>
  </r>
  <r>
    <d v="2001-08-08T00:00:00"/>
    <n v="2001"/>
    <x v="28"/>
    <s v="R"/>
    <s v="RS"/>
    <x v="7"/>
    <s v="UTA"/>
    <s v="H"/>
    <n v="3"/>
    <n v="0"/>
    <n v="3"/>
    <n v="-3"/>
    <n v="16"/>
    <n v="-16"/>
    <n v="1559.9849993370444"/>
    <n v="1574.5497368341466"/>
    <n v="0.64196621134993692"/>
    <n v="82"/>
    <n v="63"/>
    <n v="0"/>
    <n v="19"/>
    <n v="1"/>
    <n v="0.55425047878053169"/>
    <n v="1"/>
    <n v="71.650000000000006"/>
    <n v="71.650000000000006"/>
    <n v="14.218254572508554"/>
    <n v="1574.203253909553"/>
    <n v="1"/>
    <n v="0"/>
    <n v="0"/>
    <n v="0"/>
    <n v="0"/>
    <n v="0"/>
    <n v="0"/>
    <n v="0"/>
    <n v="0"/>
    <n v="0"/>
  </r>
  <r>
    <d v="2001-08-08T00:00:00"/>
    <n v="2001"/>
    <x v="28"/>
    <s v="R"/>
    <s v="RS"/>
    <x v="9"/>
    <s v="POR"/>
    <s v="A"/>
    <n v="0"/>
    <n v="3"/>
    <n v="-3"/>
    <n v="3"/>
    <n v="-16"/>
    <n v="16"/>
    <n v="1405.639209276118"/>
    <n v="1406.6644501258106"/>
    <n v="0.3376797055943383"/>
    <n v="70"/>
    <n v="58"/>
    <n v="0"/>
    <n v="12"/>
    <n v="1"/>
    <n v="0.45574007362627106"/>
    <n v="1"/>
    <n v="71.650000000000006"/>
    <n v="71.650000000000006"/>
    <n v="21.62725871612809"/>
    <n v="1427.2664679922461"/>
    <n v="1"/>
    <n v="0"/>
    <n v="0"/>
    <n v="0"/>
    <n v="0"/>
    <n v="0"/>
    <n v="0"/>
    <n v="0"/>
    <n v="0"/>
    <n v="0"/>
  </r>
  <r>
    <d v="2001-08-08T00:00:00"/>
    <n v="2001"/>
    <x v="28"/>
    <s v="R"/>
    <s v="RS"/>
    <x v="10"/>
    <s v="MIN"/>
    <s v="H"/>
    <n v="3"/>
    <n v="0"/>
    <n v="3"/>
    <n v="-3"/>
    <n v="16"/>
    <n v="-16"/>
    <n v="1406.6644501258106"/>
    <n v="1405.639209276118"/>
    <n v="0.66232029440566165"/>
    <n v="58"/>
    <n v="70"/>
    <n v="0"/>
    <n v="-12"/>
    <n v="0"/>
    <n v="0.45574007362627106"/>
    <n v="1"/>
    <n v="71.650000000000006"/>
    <n v="71.650000000000006"/>
    <n v="-21.62725871612809"/>
    <n v="1385.0371914096825"/>
    <n v="0"/>
    <n v="1"/>
    <n v="0"/>
    <n v="0"/>
    <n v="0"/>
    <n v="0"/>
    <n v="0"/>
    <n v="0"/>
    <n v="0"/>
    <n v="0"/>
  </r>
  <r>
    <d v="2001-08-08T00:00:00"/>
    <n v="2001"/>
    <x v="28"/>
    <s v="R"/>
    <s v="RS"/>
    <x v="1"/>
    <s v="SEA"/>
    <s v="A"/>
    <n v="1"/>
    <n v="3"/>
    <n v="-2"/>
    <n v="2"/>
    <n v="-16"/>
    <n v="16"/>
    <n v="1606.5959001963342"/>
    <n v="1368.9488323626867"/>
    <n v="0.6682447083460038"/>
    <n v="55"/>
    <n v="72"/>
    <n v="0"/>
    <n v="-17"/>
    <n v="0"/>
    <n v="0.44442791085101596"/>
    <n v="1"/>
    <n v="71.650000000000006"/>
    <n v="71.650000000000006"/>
    <n v="-21.279089866173578"/>
    <n v="1585.3168103301607"/>
    <n v="0"/>
    <n v="1"/>
    <n v="0"/>
    <n v="0"/>
    <n v="0"/>
    <n v="0"/>
    <n v="0"/>
    <n v="0"/>
    <n v="0"/>
    <n v="0"/>
  </r>
  <r>
    <d v="2001-08-08T00:00:00"/>
    <n v="2001"/>
    <x v="28"/>
    <s v="R"/>
    <s v="RS"/>
    <x v="11"/>
    <s v="HOU"/>
    <s v="H"/>
    <n v="3"/>
    <n v="1"/>
    <n v="2"/>
    <n v="-2"/>
    <n v="16"/>
    <n v="-16"/>
    <n v="1368.9488323626867"/>
    <n v="1606.5959001963342"/>
    <n v="0.33175529165399625"/>
    <n v="72"/>
    <n v="55"/>
    <n v="0"/>
    <n v="17"/>
    <n v="1"/>
    <n v="0.44442791085101596"/>
    <n v="1"/>
    <n v="71.650000000000006"/>
    <n v="71.650000000000006"/>
    <n v="21.279089866173575"/>
    <n v="1390.2279222288603"/>
    <n v="1"/>
    <n v="0"/>
    <n v="0"/>
    <n v="0"/>
    <n v="0"/>
    <n v="0"/>
    <n v="0"/>
    <n v="0"/>
    <n v="0"/>
    <n v="0"/>
  </r>
  <r>
    <d v="2001-08-08T00:00:00"/>
    <n v="2001"/>
    <x v="28"/>
    <s v="R"/>
    <s v="RS"/>
    <x v="8"/>
    <s v="WAS"/>
    <s v="A"/>
    <n v="2"/>
    <n v="1"/>
    <n v="1"/>
    <n v="-1"/>
    <n v="8"/>
    <n v="-8"/>
    <n v="1553.2798354006898"/>
    <n v="1381.7257312013892"/>
    <n v="0.64476476513841685"/>
    <n v="42"/>
    <n v="36"/>
    <n v="0"/>
    <n v="6"/>
    <n v="1"/>
    <n v="0.30734253356726238"/>
    <n v="1"/>
    <n v="71.650000000000006"/>
    <n v="71.650000000000006"/>
    <n v="7.8226679768367209"/>
    <n v="1561.1025033775265"/>
    <n v="1"/>
    <n v="0"/>
    <n v="0"/>
    <n v="0"/>
    <n v="0"/>
    <n v="0"/>
    <n v="0"/>
    <n v="0"/>
    <n v="0"/>
    <n v="0"/>
  </r>
  <r>
    <d v="2001-08-08T00:00:00"/>
    <n v="2001"/>
    <x v="28"/>
    <s v="R"/>
    <s v="RS"/>
    <x v="4"/>
    <s v="MIA"/>
    <s v="H"/>
    <n v="1"/>
    <n v="2"/>
    <n v="-1"/>
    <n v="1"/>
    <n v="-8"/>
    <n v="8"/>
    <n v="1381.7257312013892"/>
    <n v="1553.2798354006898"/>
    <n v="0.35523523486158315"/>
    <n v="36"/>
    <n v="42"/>
    <n v="0"/>
    <n v="-6"/>
    <n v="0"/>
    <n v="0.30734253356726238"/>
    <n v="1"/>
    <n v="71.650000000000006"/>
    <n v="71.650000000000006"/>
    <n v="-7.8226679768367209"/>
    <n v="1373.9030632245524"/>
    <n v="0"/>
    <n v="1"/>
    <n v="0"/>
    <n v="0"/>
    <n v="0"/>
    <n v="0"/>
    <n v="0"/>
    <n v="0"/>
    <n v="0"/>
    <n v="0"/>
  </r>
  <r>
    <d v="2001-08-10T00:00:00"/>
    <n v="2001"/>
    <x v="29"/>
    <s v="R"/>
    <s v="RS"/>
    <x v="13"/>
    <s v="CLE"/>
    <s v="A"/>
    <n v="3"/>
    <n v="1"/>
    <n v="2"/>
    <n v="-2"/>
    <n v="16"/>
    <n v="-16"/>
    <n v="1499.4081654204469"/>
    <n v="1654.4871563089671"/>
    <n v="0.23289383643150108"/>
    <n v="55"/>
    <n v="53"/>
    <n v="0"/>
    <n v="2"/>
    <n v="1"/>
    <n v="0.2371888186096493"/>
    <n v="1"/>
    <n v="71.5"/>
    <n v="71.5"/>
    <n v="13.009353834976976"/>
    <n v="1512.4175192554239"/>
    <n v="1"/>
    <n v="0"/>
    <n v="0"/>
    <n v="0"/>
    <n v="0"/>
    <n v="0"/>
    <n v="0"/>
    <n v="0"/>
    <n v="0"/>
    <n v="0"/>
  </r>
  <r>
    <d v="2001-08-10T00:00:00"/>
    <n v="2001"/>
    <x v="29"/>
    <s v="R"/>
    <s v="RS"/>
    <x v="5"/>
    <s v="CHA"/>
    <s v="H"/>
    <n v="1"/>
    <n v="3"/>
    <n v="-2"/>
    <n v="2"/>
    <n v="-16"/>
    <n v="16"/>
    <n v="1654.4871563089671"/>
    <n v="1499.4081654204469"/>
    <n v="0.76710616356849892"/>
    <n v="53"/>
    <n v="55"/>
    <n v="0"/>
    <n v="-2"/>
    <n v="0"/>
    <n v="0.2371888186096493"/>
    <n v="1"/>
    <n v="71.5"/>
    <n v="71.5"/>
    <n v="-13.009353834976976"/>
    <n v="1641.4778024739901"/>
    <n v="0"/>
    <n v="1"/>
    <n v="0"/>
    <n v="0"/>
    <n v="0"/>
    <n v="0"/>
    <n v="0"/>
    <n v="0"/>
    <n v="0"/>
    <n v="0"/>
  </r>
  <r>
    <d v="2001-08-10T00:00:00"/>
    <n v="2001"/>
    <x v="29"/>
    <s v="R"/>
    <s v="RS"/>
    <x v="4"/>
    <s v="DET"/>
    <s v="A"/>
    <n v="1"/>
    <n v="1"/>
    <n v="0"/>
    <n v="0"/>
    <n v="0"/>
    <n v="0"/>
    <n v="1373.9030632245524"/>
    <n v="1361.1437714675039"/>
    <n v="0.39888946634810729"/>
    <n v="63"/>
    <n v="69"/>
    <n v="0"/>
    <n v="-6"/>
    <n v="0"/>
    <n v="0.3475849792900505"/>
    <n v="1"/>
    <n v="71.5"/>
    <n v="71.5"/>
    <n v="-9.9133310633232714"/>
    <n v="1363.9897321612291"/>
    <n v="0"/>
    <n v="1"/>
    <n v="0"/>
    <n v="0"/>
    <n v="0"/>
    <n v="0"/>
    <n v="0"/>
    <n v="0"/>
    <n v="0"/>
    <n v="0"/>
  </r>
  <r>
    <d v="2001-08-10T00:00:00"/>
    <n v="2001"/>
    <x v="29"/>
    <s v="R"/>
    <s v="RS"/>
    <x v="14"/>
    <s v="WAS"/>
    <s v="H"/>
    <n v="1"/>
    <n v="1"/>
    <n v="0"/>
    <n v="0"/>
    <n v="0"/>
    <n v="0"/>
    <n v="1361.1437714675039"/>
    <n v="1373.9030632245524"/>
    <n v="0.60111053365189271"/>
    <n v="69"/>
    <n v="63"/>
    <n v="0"/>
    <n v="6"/>
    <n v="1"/>
    <n v="0.3475849792900505"/>
    <n v="1"/>
    <n v="71.5"/>
    <n v="71.5"/>
    <n v="9.9133310633232714"/>
    <n v="1371.0571025308273"/>
    <n v="1"/>
    <n v="0"/>
    <n v="0"/>
    <n v="0"/>
    <n v="0"/>
    <n v="0"/>
    <n v="0"/>
    <n v="0"/>
    <n v="0"/>
    <n v="0"/>
  </r>
  <r>
    <d v="2001-08-10T00:00:00"/>
    <n v="2001"/>
    <x v="29"/>
    <s v="R"/>
    <s v="RS"/>
    <x v="6"/>
    <s v="MIA"/>
    <s v="A"/>
    <n v="3"/>
    <n v="1"/>
    <n v="2"/>
    <n v="-2"/>
    <n v="16"/>
    <n v="-16"/>
    <n v="1385.5635405236455"/>
    <n v="1561.1025033775265"/>
    <n v="0.21251703985421855"/>
    <n v="67"/>
    <n v="72"/>
    <n v="1"/>
    <n v="-5"/>
    <n v="0"/>
    <n v="0.26047713890617596"/>
    <n v="1"/>
    <n v="71.5"/>
    <n v="71.5"/>
    <n v="-3.9579418814676179"/>
    <n v="1381.6055986421779"/>
    <n v="0"/>
    <n v="1"/>
    <n v="0"/>
    <n v="0"/>
    <n v="0"/>
    <n v="0"/>
    <n v="0"/>
    <n v="0"/>
    <n v="0"/>
    <n v="0"/>
  </r>
  <r>
    <d v="2001-08-10T00:00:00"/>
    <n v="2001"/>
    <x v="29"/>
    <s v="R"/>
    <s v="RS"/>
    <x v="8"/>
    <s v="IND"/>
    <s v="H"/>
    <n v="1"/>
    <n v="3"/>
    <n v="-2"/>
    <n v="2"/>
    <n v="-16"/>
    <n v="16"/>
    <n v="1561.1025033775265"/>
    <n v="1385.5635405236455"/>
    <n v="0.78748296014578145"/>
    <n v="72"/>
    <n v="67"/>
    <n v="1"/>
    <n v="5"/>
    <n v="1"/>
    <n v="0.26047713890617596"/>
    <n v="1"/>
    <n v="71.5"/>
    <n v="71.5"/>
    <n v="3.9579418814676179"/>
    <n v="1565.0604452589942"/>
    <n v="1"/>
    <n v="0"/>
    <n v="0"/>
    <n v="0"/>
    <n v="0"/>
    <n v="0"/>
    <n v="0"/>
    <n v="0"/>
    <n v="0"/>
    <n v="0"/>
  </r>
  <r>
    <d v="2001-08-10T00:00:00"/>
    <n v="2001"/>
    <x v="29"/>
    <s v="R"/>
    <s v="RS"/>
    <x v="12"/>
    <s v="NYL"/>
    <s v="A"/>
    <n v="2"/>
    <n v="1"/>
    <n v="1"/>
    <n v="-1"/>
    <n v="8"/>
    <n v="-8"/>
    <n v="1467.7247235612922"/>
    <n v="1574.203253909553"/>
    <n v="0.2680812984174879"/>
    <n v="67"/>
    <n v="77"/>
    <n v="0"/>
    <n v="-10"/>
    <n v="0"/>
    <n v="0.38864445714495677"/>
    <n v="1"/>
    <n v="71.5"/>
    <n v="71.5"/>
    <n v="-7.4494642146338519"/>
    <n v="1460.2752593466582"/>
    <n v="0"/>
    <n v="1"/>
    <n v="0"/>
    <n v="0"/>
    <n v="0"/>
    <n v="0"/>
    <n v="0"/>
    <n v="0"/>
    <n v="0"/>
    <n v="0"/>
  </r>
  <r>
    <d v="2001-08-10T00:00:00"/>
    <n v="2001"/>
    <x v="29"/>
    <s v="R"/>
    <s v="RS"/>
    <x v="7"/>
    <s v="ORL"/>
    <s v="H"/>
    <n v="1"/>
    <n v="2"/>
    <n v="-1"/>
    <n v="1"/>
    <n v="-8"/>
    <n v="8"/>
    <n v="1574.203253909553"/>
    <n v="1467.7247235612922"/>
    <n v="0.73191870158251215"/>
    <n v="77"/>
    <n v="67"/>
    <n v="0"/>
    <n v="10"/>
    <n v="1"/>
    <n v="0.38864445714495677"/>
    <n v="1"/>
    <n v="71.5"/>
    <n v="71.5"/>
    <n v="7.4494642146338501"/>
    <n v="1581.652718124187"/>
    <n v="1"/>
    <n v="0"/>
    <n v="0"/>
    <n v="0"/>
    <n v="0"/>
    <n v="0"/>
    <n v="0"/>
    <n v="0"/>
    <n v="0"/>
    <n v="0"/>
  </r>
  <r>
    <d v="2001-08-10T00:00:00"/>
    <n v="2001"/>
    <x v="29"/>
    <s v="R"/>
    <s v="RS"/>
    <x v="9"/>
    <s v="SEA"/>
    <s v="A"/>
    <n v="1"/>
    <n v="1"/>
    <n v="0"/>
    <n v="0"/>
    <n v="0"/>
    <n v="0"/>
    <n v="1427.2664679922461"/>
    <n v="1390.2279222288603"/>
    <n v="0.43282562541427705"/>
    <n v="65"/>
    <n v="51"/>
    <n v="0"/>
    <n v="14"/>
    <n v="1"/>
    <n v="0.47300848162320885"/>
    <n v="1"/>
    <n v="71.5"/>
    <n v="71.5"/>
    <n v="19.181897716294593"/>
    <n v="1446.4483657085407"/>
    <n v="1"/>
    <n v="0"/>
    <n v="0"/>
    <n v="0"/>
    <n v="0"/>
    <n v="0"/>
    <n v="0"/>
    <n v="0"/>
    <n v="0"/>
    <n v="0"/>
  </r>
  <r>
    <d v="2001-08-10T00:00:00"/>
    <n v="2001"/>
    <x v="29"/>
    <s v="R"/>
    <s v="RS"/>
    <x v="11"/>
    <s v="MIN"/>
    <s v="H"/>
    <n v="1"/>
    <n v="1"/>
    <n v="0"/>
    <n v="0"/>
    <n v="0"/>
    <n v="0"/>
    <n v="1390.2279222288603"/>
    <n v="1427.2664679922461"/>
    <n v="0.56717437458572295"/>
    <n v="51"/>
    <n v="65"/>
    <n v="0"/>
    <n v="-14"/>
    <n v="0"/>
    <n v="0.47300848162320885"/>
    <n v="1"/>
    <n v="71.5"/>
    <n v="71.5"/>
    <n v="-19.181897716294593"/>
    <n v="1371.0460245125657"/>
    <n v="0"/>
    <n v="1"/>
    <n v="0"/>
    <n v="0"/>
    <n v="0"/>
    <n v="0"/>
    <n v="0"/>
    <n v="0"/>
    <n v="0"/>
    <n v="0"/>
  </r>
  <r>
    <d v="2001-08-10T00:00:00"/>
    <n v="2001"/>
    <x v="29"/>
    <s v="R"/>
    <s v="RS"/>
    <x v="3"/>
    <s v="UTA"/>
    <s v="A"/>
    <n v="1"/>
    <n v="1"/>
    <n v="0"/>
    <n v="0"/>
    <n v="0"/>
    <n v="0"/>
    <n v="1446.6148030972413"/>
    <n v="1560.331482261638"/>
    <n v="0.24266042491395454"/>
    <n v="57"/>
    <n v="69"/>
    <n v="0"/>
    <n v="-12"/>
    <n v="0"/>
    <n v="0.41664640509854833"/>
    <n v="1"/>
    <n v="71.5"/>
    <n v="71.5"/>
    <n v="-7.2289069495561042"/>
    <n v="1439.3858961476851"/>
    <n v="0"/>
    <n v="1"/>
    <n v="0"/>
    <n v="0"/>
    <n v="0"/>
    <n v="0"/>
    <n v="0"/>
    <n v="0"/>
    <n v="0"/>
    <n v="0"/>
  </r>
  <r>
    <d v="2001-08-10T00:00:00"/>
    <n v="2001"/>
    <x v="29"/>
    <s v="R"/>
    <s v="RS"/>
    <x v="2"/>
    <s v="PHX"/>
    <s v="H"/>
    <n v="1"/>
    <n v="1"/>
    <n v="0"/>
    <n v="0"/>
    <n v="0"/>
    <n v="0"/>
    <n v="1560.331482261638"/>
    <n v="1446.6148030972413"/>
    <n v="0.75733957508604544"/>
    <n v="69"/>
    <n v="57"/>
    <n v="0"/>
    <n v="12"/>
    <n v="1"/>
    <n v="0.41664640509854833"/>
    <n v="1"/>
    <n v="71.5"/>
    <n v="71.5"/>
    <n v="7.2289069495561051"/>
    <n v="1567.5603892111942"/>
    <n v="1"/>
    <n v="0"/>
    <n v="0"/>
    <n v="0"/>
    <n v="0"/>
    <n v="0"/>
    <n v="0"/>
    <n v="0"/>
    <n v="0"/>
    <n v="0"/>
  </r>
  <r>
    <d v="2001-08-11T00:00:00"/>
    <n v="2001"/>
    <x v="30"/>
    <s v="R"/>
    <s v="RS"/>
    <x v="7"/>
    <s v="CHA"/>
    <s v="A"/>
    <n v="0"/>
    <n v="0"/>
    <n v="0"/>
    <n v="0"/>
    <n v="0"/>
    <n v="0"/>
    <n v="1581.652718124187"/>
    <n v="1512.4175192554239"/>
    <n v="0.47876452502310568"/>
    <n v="60"/>
    <n v="80"/>
    <n v="0"/>
    <n v="-20"/>
    <n v="0"/>
    <n v="0.54352796971393968"/>
    <n v="1"/>
    <n v="71.349999999999994"/>
    <n v="71.349999999999994"/>
    <n v="-18.566833296827483"/>
    <n v="1563.0858848273595"/>
    <n v="0"/>
    <n v="1"/>
    <n v="0"/>
    <n v="0"/>
    <n v="0"/>
    <n v="0"/>
    <n v="0"/>
    <n v="0"/>
    <n v="0"/>
    <n v="0"/>
  </r>
  <r>
    <d v="2001-08-11T00:00:00"/>
    <n v="2001"/>
    <x v="30"/>
    <s v="R"/>
    <s v="RS"/>
    <x v="13"/>
    <s v="NYL"/>
    <s v="H"/>
    <n v="0"/>
    <n v="0"/>
    <n v="0"/>
    <n v="0"/>
    <n v="0"/>
    <n v="0"/>
    <n v="1512.4175192554239"/>
    <n v="1581.652718124187"/>
    <n v="0.52123547497689438"/>
    <n v="80"/>
    <n v="60"/>
    <n v="0"/>
    <n v="20"/>
    <n v="1"/>
    <n v="0.54352796971393968"/>
    <n v="1"/>
    <n v="71.349999999999994"/>
    <n v="71.349999999999994"/>
    <n v="18.566833296827479"/>
    <n v="1530.9843525522515"/>
    <n v="1"/>
    <n v="0"/>
    <n v="0"/>
    <n v="0"/>
    <n v="0"/>
    <n v="0"/>
    <n v="0"/>
    <n v="0"/>
    <n v="0"/>
    <n v="0"/>
  </r>
  <r>
    <d v="2001-08-11T00:00:00"/>
    <n v="2001"/>
    <x v="29"/>
    <s v="R"/>
    <s v="RS"/>
    <x v="1"/>
    <s v="LAS"/>
    <s v="A"/>
    <n v="2"/>
    <n v="2"/>
    <n v="0"/>
    <n v="0"/>
    <n v="0"/>
    <n v="0"/>
    <n v="1585.3168103301607"/>
    <n v="1737.3628189106953"/>
    <n v="0.20443702098259567"/>
    <n v="54"/>
    <n v="65"/>
    <n v="0"/>
    <n v="-11"/>
    <n v="0"/>
    <n v="0.39037367142800089"/>
    <n v="1"/>
    <n v="71.5"/>
    <n v="71.5"/>
    <n v="-5.706188377659708"/>
    <n v="1579.6106219525011"/>
    <n v="0"/>
    <n v="1"/>
    <n v="0"/>
    <n v="0"/>
    <n v="0"/>
    <n v="0"/>
    <n v="0"/>
    <n v="0"/>
    <n v="0"/>
    <n v="0"/>
  </r>
  <r>
    <d v="2001-08-11T00:00:00"/>
    <n v="2001"/>
    <x v="29"/>
    <s v="R"/>
    <s v="RS"/>
    <x v="0"/>
    <s v="HOU"/>
    <s v="H"/>
    <n v="2"/>
    <n v="2"/>
    <n v="0"/>
    <n v="0"/>
    <n v="0"/>
    <n v="0"/>
    <n v="1737.3628189106953"/>
    <n v="1585.3168103301607"/>
    <n v="0.79556297901740425"/>
    <n v="65"/>
    <n v="54"/>
    <n v="0"/>
    <n v="11"/>
    <n v="1"/>
    <n v="0.39037367142800089"/>
    <n v="1"/>
    <n v="71.5"/>
    <n v="71.5"/>
    <n v="5.7061883776597098"/>
    <n v="1743.0690072883549"/>
    <n v="1"/>
    <n v="0"/>
    <n v="0"/>
    <n v="0"/>
    <n v="0"/>
    <n v="0"/>
    <n v="0"/>
    <n v="0"/>
    <n v="0"/>
    <n v="0"/>
  </r>
  <r>
    <d v="2001-08-11T00:00:00"/>
    <n v="2001"/>
    <x v="30"/>
    <s v="R"/>
    <s v="RS"/>
    <x v="8"/>
    <s v="ORL"/>
    <s v="A"/>
    <n v="0"/>
    <n v="0"/>
    <n v="0"/>
    <n v="0"/>
    <n v="0"/>
    <n v="0"/>
    <n v="1565.0604452589942"/>
    <n v="1460.2752593466582"/>
    <n v="0.52987665288010277"/>
    <n v="75"/>
    <n v="64"/>
    <n v="0"/>
    <n v="11"/>
    <n v="1"/>
    <n v="0.40451345555406926"/>
    <n v="1"/>
    <n v="71.349999999999994"/>
    <n v="71.349999999999994"/>
    <n v="13.568716524176192"/>
    <n v="1578.6291617831703"/>
    <n v="1"/>
    <n v="0"/>
    <n v="0"/>
    <n v="0"/>
    <n v="0"/>
    <n v="0"/>
    <n v="0"/>
    <n v="0"/>
    <n v="0"/>
    <n v="0"/>
  </r>
  <r>
    <d v="2001-08-11T00:00:00"/>
    <n v="2001"/>
    <x v="30"/>
    <s v="R"/>
    <s v="RS"/>
    <x v="12"/>
    <s v="MIA"/>
    <s v="H"/>
    <n v="0"/>
    <n v="0"/>
    <n v="0"/>
    <n v="0"/>
    <n v="0"/>
    <n v="0"/>
    <n v="1460.2752593466582"/>
    <n v="1565.0604452589942"/>
    <n v="0.47012334711989723"/>
    <n v="64"/>
    <n v="75"/>
    <n v="0"/>
    <n v="-11"/>
    <n v="0"/>
    <n v="0.40451345555406926"/>
    <n v="1"/>
    <n v="71.349999999999994"/>
    <n v="71.349999999999994"/>
    <n v="-13.568716524176192"/>
    <n v="1446.7065428224821"/>
    <n v="0"/>
    <n v="1"/>
    <n v="0"/>
    <n v="0"/>
    <n v="0"/>
    <n v="0"/>
    <n v="0"/>
    <n v="0"/>
    <n v="0"/>
    <n v="0"/>
  </r>
  <r>
    <d v="2001-08-11T00:00:00"/>
    <n v="2001"/>
    <x v="29"/>
    <s v="R"/>
    <s v="RS"/>
    <x v="10"/>
    <s v="PHX"/>
    <s v="A"/>
    <n v="2"/>
    <n v="0"/>
    <n v="2"/>
    <n v="-2"/>
    <n v="16"/>
    <n v="-16"/>
    <n v="1385.0371914096825"/>
    <n v="1439.3858961476851"/>
    <n v="0.35155925434882873"/>
    <n v="62"/>
    <n v="73"/>
    <n v="0"/>
    <n v="-11"/>
    <n v="0"/>
    <n v="0.42077865773329803"/>
    <n v="1"/>
    <n v="71.5"/>
    <n v="71.5"/>
    <n v="-10.576897127841278"/>
    <n v="1374.4602942818412"/>
    <n v="0"/>
    <n v="1"/>
    <n v="0"/>
    <n v="0"/>
    <n v="0"/>
    <n v="0"/>
    <n v="0"/>
    <n v="0"/>
    <n v="0"/>
    <n v="0"/>
  </r>
  <r>
    <d v="2001-08-11T00:00:00"/>
    <n v="2001"/>
    <x v="30"/>
    <s v="R"/>
    <s v="RS"/>
    <x v="3"/>
    <s v="POR"/>
    <s v="H"/>
    <n v="0"/>
    <n v="2"/>
    <n v="-2"/>
    <n v="2"/>
    <n v="-16"/>
    <n v="16"/>
    <n v="1439.3858961476851"/>
    <n v="1385.0371914096825"/>
    <n v="0.64844074565117127"/>
    <n v="73"/>
    <n v="62"/>
    <n v="0"/>
    <n v="11"/>
    <n v="1"/>
    <n v="0.42077865773329803"/>
    <n v="1"/>
    <n v="71.349999999999994"/>
    <n v="71.349999999999994"/>
    <n v="10.554707833167484"/>
    <n v="1449.9406039808525"/>
    <n v="1"/>
    <n v="0"/>
    <n v="0"/>
    <n v="0"/>
    <n v="0"/>
    <n v="0"/>
    <n v="0"/>
    <n v="0"/>
    <n v="0"/>
    <n v="0"/>
  </r>
  <r>
    <d v="2001-08-11T00:00:00"/>
    <n v="2001"/>
    <x v="30"/>
    <s v="R"/>
    <s v="RS"/>
    <x v="11"/>
    <s v="SAC"/>
    <s v="A"/>
    <n v="0"/>
    <n v="3"/>
    <n v="-3"/>
    <n v="3"/>
    <n v="-16"/>
    <n v="16"/>
    <n v="1371.0460245125657"/>
    <n v="1588.6421710244069"/>
    <n v="0.127824349569475"/>
    <n v="61"/>
    <n v="81"/>
    <n v="0"/>
    <n v="-20"/>
    <n v="0"/>
    <n v="0.48664412105528027"/>
    <n v="1"/>
    <n v="71.349999999999994"/>
    <n v="71.349999999999994"/>
    <n v="-4.4383244843306988"/>
    <n v="1366.6077000282351"/>
    <n v="0"/>
    <n v="1"/>
    <n v="0"/>
    <n v="0"/>
    <n v="0"/>
    <n v="0"/>
    <n v="0"/>
    <n v="0"/>
    <n v="0"/>
    <n v="0"/>
  </r>
  <r>
    <d v="2001-08-11T00:00:00"/>
    <n v="2001"/>
    <x v="29"/>
    <s v="R"/>
    <s v="RS"/>
    <x v="15"/>
    <s v="SEA"/>
    <s v="H"/>
    <n v="3"/>
    <n v="0"/>
    <n v="3"/>
    <n v="-3"/>
    <n v="16"/>
    <n v="-16"/>
    <n v="1588.6421710244069"/>
    <n v="1371.0460245125657"/>
    <n v="0.87217565043052503"/>
    <n v="81"/>
    <n v="61"/>
    <n v="0"/>
    <n v="20"/>
    <n v="1"/>
    <n v="0.48664412105528027"/>
    <n v="1"/>
    <n v="71.5"/>
    <n v="71.5"/>
    <n v="4.4476552295675527"/>
    <n v="1593.0898262539745"/>
    <n v="1"/>
    <n v="0"/>
    <n v="0"/>
    <n v="0"/>
    <n v="0"/>
    <n v="0"/>
    <n v="0"/>
    <n v="0"/>
    <n v="0"/>
    <n v="0"/>
  </r>
  <r>
    <d v="2001-08-12T00:00:00"/>
    <n v="2001"/>
    <x v="30"/>
    <s v="R"/>
    <s v="RS"/>
    <x v="14"/>
    <s v="IND"/>
    <s v="A"/>
    <n v="1"/>
    <n v="1"/>
    <n v="0"/>
    <n v="0"/>
    <n v="0"/>
    <n v="0"/>
    <n v="1371.0571025308273"/>
    <n v="1381.6055986421779"/>
    <n v="0.36719601808427671"/>
    <n v="66"/>
    <n v="83"/>
    <n v="0"/>
    <n v="-17"/>
    <n v="0"/>
    <n v="0.52780246718808499"/>
    <n v="1"/>
    <n v="71.349999999999994"/>
    <n v="71.349999999999994"/>
    <n v="-13.828126901843339"/>
    <n v="1357.228975628984"/>
    <n v="0"/>
    <n v="1"/>
    <n v="0"/>
    <n v="0"/>
    <n v="0"/>
    <n v="0"/>
    <n v="0"/>
    <n v="0"/>
    <n v="0"/>
    <n v="0"/>
  </r>
  <r>
    <d v="2001-08-12T00:00:00"/>
    <n v="2001"/>
    <x v="30"/>
    <s v="R"/>
    <s v="RS"/>
    <x v="6"/>
    <s v="DET"/>
    <s v="H"/>
    <n v="1"/>
    <n v="1"/>
    <n v="0"/>
    <n v="0"/>
    <n v="0"/>
    <n v="0"/>
    <n v="1381.6055986421779"/>
    <n v="1371.0571025308273"/>
    <n v="0.63280398191572329"/>
    <n v="83"/>
    <n v="66"/>
    <n v="0"/>
    <n v="17"/>
    <n v="1"/>
    <n v="0.52780246718808499"/>
    <n v="1"/>
    <n v="71.349999999999994"/>
    <n v="71.349999999999994"/>
    <n v="13.828126901843339"/>
    <n v="1395.4337255440212"/>
    <n v="1"/>
    <n v="0"/>
    <n v="0"/>
    <n v="0"/>
    <n v="0"/>
    <n v="0"/>
    <n v="0"/>
    <n v="0"/>
    <n v="0"/>
    <n v="0"/>
  </r>
  <r>
    <d v="2001-08-12T00:00:00"/>
    <n v="2001"/>
    <x v="30"/>
    <s v="R"/>
    <s v="RS"/>
    <x v="2"/>
    <s v="MIN"/>
    <s v="A"/>
    <n v="1"/>
    <n v="1"/>
    <n v="0"/>
    <n v="0"/>
    <n v="0"/>
    <n v="0"/>
    <n v="1567.5603892111942"/>
    <n v="1446.4483657085407"/>
    <n v="0.55320628987474418"/>
    <n v="62"/>
    <n v="69"/>
    <n v="0"/>
    <n v="-7"/>
    <n v="0"/>
    <n v="0.33617785553648166"/>
    <n v="1"/>
    <n v="71.349999999999994"/>
    <n v="71.349999999999994"/>
    <n v="-13.269366494626102"/>
    <n v="1554.291022716568"/>
    <n v="0"/>
    <n v="1"/>
    <n v="0"/>
    <n v="0"/>
    <n v="0"/>
    <n v="0"/>
    <n v="0"/>
    <n v="0"/>
    <n v="0"/>
    <n v="0"/>
  </r>
  <r>
    <d v="2001-08-12T00:00:00"/>
    <n v="2001"/>
    <x v="30"/>
    <s v="R"/>
    <s v="RS"/>
    <x v="9"/>
    <s v="UTA"/>
    <s v="H"/>
    <n v="1"/>
    <n v="1"/>
    <n v="0"/>
    <n v="0"/>
    <n v="0"/>
    <n v="0"/>
    <n v="1446.4483657085407"/>
    <n v="1567.5603892111942"/>
    <n v="0.44679371012525587"/>
    <n v="69"/>
    <n v="62"/>
    <n v="0"/>
    <n v="7"/>
    <n v="1"/>
    <n v="0.33617785553648166"/>
    <n v="1"/>
    <n v="71.349999999999994"/>
    <n v="71.349999999999994"/>
    <n v="13.269366494626098"/>
    <n v="1459.7177322031669"/>
    <n v="1"/>
    <n v="0"/>
    <n v="0"/>
    <n v="0"/>
    <n v="0"/>
    <n v="0"/>
    <n v="0"/>
    <n v="0"/>
    <n v="0"/>
    <n v="0"/>
  </r>
  <r>
    <d v="2001-08-12T00:00:00"/>
    <n v="2001"/>
    <x v="30"/>
    <s v="R"/>
    <s v="RS"/>
    <x v="15"/>
    <s v="POR"/>
    <s v="A"/>
    <n v="0"/>
    <n v="0"/>
    <n v="0"/>
    <n v="0"/>
    <n v="0"/>
    <n v="0"/>
    <n v="1593.0898262539745"/>
    <n v="1374.4602942818412"/>
    <n v="0.6845993159392767"/>
    <n v="64"/>
    <n v="58"/>
    <n v="0"/>
    <n v="6"/>
    <n v="1"/>
    <n v="0.29714376009301241"/>
    <n v="1"/>
    <n v="71.349999999999994"/>
    <n v="71.349999999999994"/>
    <n v="6.6868752798567206"/>
    <n v="1599.7767015338311"/>
    <n v="1"/>
    <n v="0"/>
    <n v="0"/>
    <n v="0"/>
    <n v="0"/>
    <n v="0"/>
    <n v="0"/>
    <n v="0"/>
    <n v="0"/>
    <n v="0"/>
  </r>
  <r>
    <d v="2001-08-12T00:00:00"/>
    <n v="2001"/>
    <x v="30"/>
    <s v="R"/>
    <s v="RS"/>
    <x v="10"/>
    <s v="SAC"/>
    <s v="H"/>
    <n v="0"/>
    <n v="0"/>
    <n v="0"/>
    <n v="0"/>
    <n v="0"/>
    <n v="0"/>
    <n v="1374.4602942818412"/>
    <n v="1593.0898262539745"/>
    <n v="0.31540068406072336"/>
    <n v="58"/>
    <n v="64"/>
    <n v="0"/>
    <n v="-6"/>
    <n v="0"/>
    <n v="0.29714376009301241"/>
    <n v="1"/>
    <n v="71.349999999999994"/>
    <n v="71.349999999999994"/>
    <n v="-6.6868752798567215"/>
    <n v="1367.7734190019846"/>
    <n v="0"/>
    <n v="1"/>
    <n v="0"/>
    <n v="0"/>
    <n v="0"/>
    <n v="0"/>
    <n v="0"/>
    <n v="0"/>
    <n v="0"/>
    <n v="0"/>
  </r>
  <r>
    <d v="2001-08-12T00:00:00"/>
    <n v="2001"/>
    <x v="30"/>
    <s v="R"/>
    <s v="RS"/>
    <x v="5"/>
    <s v="WAS"/>
    <s v="A"/>
    <n v="1"/>
    <n v="1"/>
    <n v="0"/>
    <n v="0"/>
    <n v="0"/>
    <n v="0"/>
    <n v="1641.4778024739901"/>
    <n v="1363.9897321612291"/>
    <n v="0.75283814752014888"/>
    <n v="49"/>
    <n v="57"/>
    <n v="0"/>
    <n v="-8"/>
    <n v="0"/>
    <n v="0.31538572213646787"/>
    <n v="1"/>
    <n v="71.349999999999994"/>
    <n v="71.349999999999994"/>
    <n v="-16.940944640316758"/>
    <n v="1624.5368578336734"/>
    <n v="0"/>
    <n v="1"/>
    <n v="0"/>
    <n v="0"/>
    <n v="0"/>
    <n v="0"/>
    <n v="0"/>
    <n v="0"/>
    <n v="0"/>
    <n v="0"/>
  </r>
  <r>
    <d v="2001-08-12T00:00:00"/>
    <n v="2001"/>
    <x v="30"/>
    <s v="R"/>
    <s v="RS"/>
    <x v="4"/>
    <s v="CLE"/>
    <s v="H"/>
    <n v="1"/>
    <n v="1"/>
    <n v="0"/>
    <n v="0"/>
    <n v="0"/>
    <n v="0"/>
    <n v="1363.9897321612291"/>
    <n v="1641.4778024739901"/>
    <n v="0.24716185247985112"/>
    <n v="57"/>
    <n v="49"/>
    <n v="0"/>
    <n v="8"/>
    <n v="1"/>
    <n v="0.31538572213646787"/>
    <n v="1"/>
    <n v="71.349999999999994"/>
    <n v="71.349999999999994"/>
    <n v="16.940944640316758"/>
    <n v="1380.9306768015458"/>
    <n v="1"/>
    <n v="0"/>
    <n v="0"/>
    <n v="0"/>
    <n v="0"/>
    <n v="0"/>
    <n v="0"/>
    <n v="0"/>
    <n v="0"/>
    <n v="0"/>
  </r>
  <r>
    <d v="2001-08-13T00:00:00"/>
    <n v="2001"/>
    <x v="31"/>
    <s v="R"/>
    <s v="RS"/>
    <x v="9"/>
    <s v="HOU"/>
    <s v="A"/>
    <n v="0"/>
    <n v="1"/>
    <n v="-1"/>
    <n v="1"/>
    <n v="-8"/>
    <n v="8"/>
    <n v="1459.7177322031669"/>
    <n v="1579.6106219525011"/>
    <n v="0.21997617398335023"/>
    <n v="60"/>
    <n v="74"/>
    <n v="0"/>
    <n v="-14"/>
    <n v="0"/>
    <n v="0.44331606661813722"/>
    <n v="1"/>
    <n v="71.2"/>
    <n v="71.2"/>
    <n v="-6.9433508206404158"/>
    <n v="1452.7743813825264"/>
    <n v="0"/>
    <n v="1"/>
    <n v="0"/>
    <n v="0"/>
    <n v="0"/>
    <n v="0"/>
    <n v="0"/>
    <n v="0"/>
    <n v="0"/>
    <n v="0"/>
  </r>
  <r>
    <d v="2001-08-13T00:00:00"/>
    <n v="2001"/>
    <x v="30"/>
    <s v="R"/>
    <s v="RS"/>
    <x v="1"/>
    <s v="MIN"/>
    <s v="H"/>
    <n v="1"/>
    <n v="0"/>
    <n v="1"/>
    <n v="-1"/>
    <n v="8"/>
    <n v="-8"/>
    <n v="1579.6106219525011"/>
    <n v="1459.7177322031669"/>
    <n v="0.78002382601664977"/>
    <n v="74"/>
    <n v="60"/>
    <n v="0"/>
    <n v="14"/>
    <n v="1"/>
    <n v="0.44331606661813722"/>
    <n v="1"/>
    <n v="71.349999999999994"/>
    <n v="71.349999999999994"/>
    <n v="6.9579786664704155"/>
    <n v="1586.5686006189715"/>
    <n v="1"/>
    <n v="0"/>
    <n v="0"/>
    <n v="0"/>
    <n v="0"/>
    <n v="0"/>
    <n v="0"/>
    <n v="0"/>
    <n v="0"/>
    <n v="0"/>
  </r>
  <r>
    <d v="2001-08-13T00:00:00"/>
    <n v="2001"/>
    <x v="30"/>
    <s v="R"/>
    <s v="RS"/>
    <x v="0"/>
    <s v="UTA"/>
    <s v="A"/>
    <n v="1"/>
    <n v="0"/>
    <n v="1"/>
    <n v="-1"/>
    <n v="8"/>
    <n v="-8"/>
    <n v="1743.0690072883549"/>
    <n v="1554.291022716568"/>
    <n v="0.66713467694553585"/>
    <n v="78"/>
    <n v="80"/>
    <n v="1"/>
    <n v="-2"/>
    <n v="0"/>
    <n v="0.20829004325240366"/>
    <n v="1"/>
    <n v="71.349999999999994"/>
    <n v="71.349999999999994"/>
    <n v="-9.9146183895983011"/>
    <n v="1733.1543888987567"/>
    <n v="0"/>
    <n v="1"/>
    <n v="0"/>
    <n v="0"/>
    <n v="0"/>
    <n v="0"/>
    <n v="0"/>
    <n v="0"/>
    <n v="0"/>
    <n v="0"/>
  </r>
  <r>
    <d v="2001-08-13T00:00:00"/>
    <n v="2001"/>
    <x v="31"/>
    <s v="R"/>
    <s v="RS"/>
    <x v="2"/>
    <s v="LAS"/>
    <s v="H"/>
    <n v="0"/>
    <n v="1"/>
    <n v="-1"/>
    <n v="1"/>
    <n v="-8"/>
    <n v="8"/>
    <n v="1554.291022716568"/>
    <n v="1743.0690072883549"/>
    <n v="0.33286532305446415"/>
    <n v="80"/>
    <n v="78"/>
    <n v="1"/>
    <n v="2"/>
    <n v="1"/>
    <n v="0.20829004325240366"/>
    <n v="1"/>
    <n v="71.2"/>
    <n v="71.2"/>
    <n v="9.8937747629908781"/>
    <n v="1564.1847974795589"/>
    <n v="1"/>
    <n v="0"/>
    <n v="0"/>
    <n v="0"/>
    <n v="0"/>
    <n v="0"/>
    <n v="0"/>
    <n v="0"/>
    <n v="0"/>
    <n v="0"/>
  </r>
  <r>
    <d v="2001-08-14T00:00:00"/>
    <n v="2001"/>
    <x v="31"/>
    <s v="R"/>
    <s v="RS"/>
    <x v="5"/>
    <s v="DET"/>
    <s v="A"/>
    <n v="1"/>
    <n v="1"/>
    <n v="0"/>
    <n v="0"/>
    <n v="0"/>
    <n v="0"/>
    <n v="1624.5368578336734"/>
    <n v="1357.228975628984"/>
    <n v="0.7417731473151965"/>
    <n v="65"/>
    <n v="76"/>
    <n v="0"/>
    <n v="-11"/>
    <n v="0"/>
    <n v="0.35970853200632447"/>
    <n v="1"/>
    <n v="71.2"/>
    <n v="71.2"/>
    <n v="-18.99773564905518"/>
    <n v="1605.5391221846182"/>
    <n v="0"/>
    <n v="1"/>
    <n v="0"/>
    <n v="0"/>
    <n v="0"/>
    <n v="0"/>
    <n v="0"/>
    <n v="0"/>
    <n v="0"/>
    <n v="0"/>
  </r>
  <r>
    <d v="2001-08-14T00:00:00"/>
    <n v="2001"/>
    <x v="31"/>
    <s v="R"/>
    <s v="RS"/>
    <x v="14"/>
    <s v="CLE"/>
    <s v="H"/>
    <n v="1"/>
    <n v="1"/>
    <n v="0"/>
    <n v="0"/>
    <n v="0"/>
    <n v="0"/>
    <n v="1357.228975628984"/>
    <n v="1624.5368578336734"/>
    <n v="0.25822685268480355"/>
    <n v="76"/>
    <n v="65"/>
    <n v="0"/>
    <n v="11"/>
    <n v="1"/>
    <n v="0.35970853200632447"/>
    <n v="1"/>
    <n v="71.2"/>
    <n v="71.2"/>
    <n v="18.99773564905518"/>
    <n v="1376.2267112780391"/>
    <n v="1"/>
    <n v="0"/>
    <n v="0"/>
    <n v="0"/>
    <n v="0"/>
    <n v="0"/>
    <n v="0"/>
    <n v="0"/>
    <n v="0"/>
    <n v="0"/>
  </r>
  <r>
    <d v="2001-08-14T00:00:00"/>
    <n v="2001"/>
    <x v="31"/>
    <s v="R"/>
    <s v="RS"/>
    <x v="13"/>
    <s v="MIA"/>
    <s v="A"/>
    <n v="2"/>
    <n v="2"/>
    <n v="0"/>
    <n v="0"/>
    <n v="0"/>
    <n v="0"/>
    <n v="1530.9843525522515"/>
    <n v="1578.6291617831703"/>
    <n v="0.3191222669788904"/>
    <n v="48"/>
    <n v="41"/>
    <n v="0"/>
    <n v="7"/>
    <n v="1"/>
    <n v="0.35597359416608049"/>
    <n v="1"/>
    <n v="71.2"/>
    <n v="71.2"/>
    <n v="17.257063959355829"/>
    <n v="1548.2414165116072"/>
    <n v="1"/>
    <n v="0"/>
    <n v="0"/>
    <n v="0"/>
    <n v="0"/>
    <n v="0"/>
    <n v="0"/>
    <n v="0"/>
    <n v="0"/>
    <n v="0"/>
  </r>
  <r>
    <d v="2001-08-14T00:00:00"/>
    <n v="2001"/>
    <x v="31"/>
    <s v="R"/>
    <s v="RS"/>
    <x v="8"/>
    <s v="CHA"/>
    <s v="H"/>
    <n v="2"/>
    <n v="2"/>
    <n v="0"/>
    <n v="0"/>
    <n v="0"/>
    <n v="0"/>
    <n v="1578.6291617831703"/>
    <n v="1530.9843525522515"/>
    <n v="0.68087773302110954"/>
    <n v="41"/>
    <n v="48"/>
    <n v="0"/>
    <n v="-7"/>
    <n v="0"/>
    <n v="0.35597359416608049"/>
    <n v="1"/>
    <n v="71.2"/>
    <n v="71.2"/>
    <n v="-17.257063959355829"/>
    <n v="1561.3720978238146"/>
    <n v="0"/>
    <n v="1"/>
    <n v="0"/>
    <n v="0"/>
    <n v="0"/>
    <n v="0"/>
    <n v="0"/>
    <n v="0"/>
    <n v="0"/>
    <n v="0"/>
  </r>
  <r>
    <d v="2001-08-14T00:00:00"/>
    <n v="2001"/>
    <x v="31"/>
    <s v="R"/>
    <s v="RS"/>
    <x v="4"/>
    <s v="NYL"/>
    <s v="A"/>
    <n v="1"/>
    <n v="2"/>
    <n v="-1"/>
    <n v="1"/>
    <n v="-8"/>
    <n v="8"/>
    <n v="1380.9306768015458"/>
    <n v="1563.0858848273595"/>
    <n v="0.16462426094816357"/>
    <n v="56"/>
    <n v="71"/>
    <n v="0"/>
    <n v="-15"/>
    <n v="0"/>
    <n v="0.43657733237962559"/>
    <n v="1"/>
    <n v="71.2"/>
    <n v="71.2"/>
    <n v="-5.1172309131078233"/>
    <n v="1375.8134458884381"/>
    <n v="0"/>
    <n v="1"/>
    <n v="0"/>
    <n v="0"/>
    <n v="0"/>
    <n v="0"/>
    <n v="0"/>
    <n v="0"/>
    <n v="0"/>
    <n v="0"/>
  </r>
  <r>
    <d v="2001-08-14T00:00:00"/>
    <n v="2001"/>
    <x v="31"/>
    <s v="R"/>
    <s v="RS"/>
    <x v="7"/>
    <s v="WAS"/>
    <s v="H"/>
    <n v="2"/>
    <n v="1"/>
    <n v="1"/>
    <n v="-1"/>
    <n v="8"/>
    <n v="-8"/>
    <n v="1563.0858848273595"/>
    <n v="1380.9306768015458"/>
    <n v="0.83537573905183649"/>
    <n v="71"/>
    <n v="56"/>
    <n v="0"/>
    <n v="15"/>
    <n v="1"/>
    <n v="0.43657733237962559"/>
    <n v="1"/>
    <n v="71.2"/>
    <n v="71.2"/>
    <n v="5.1172309131078215"/>
    <n v="1568.2031157404672"/>
    <n v="1"/>
    <n v="0"/>
    <n v="0"/>
    <n v="0"/>
    <n v="0"/>
    <n v="0"/>
    <n v="0"/>
    <n v="0"/>
    <n v="0"/>
    <n v="0"/>
  </r>
  <r>
    <d v="2001-08-14T00:00:00"/>
    <n v="2001"/>
    <x v="31"/>
    <s v="R"/>
    <s v="RS"/>
    <x v="6"/>
    <s v="ORL"/>
    <s v="A"/>
    <n v="1"/>
    <n v="2"/>
    <n v="-1"/>
    <n v="1"/>
    <n v="-8"/>
    <n v="8"/>
    <n v="1395.4337255440212"/>
    <n v="1446.7065428224821"/>
    <n v="0.29508862825296284"/>
    <n v="72"/>
    <n v="78"/>
    <n v="0"/>
    <n v="-6"/>
    <n v="0"/>
    <n v="0.33688649468629855"/>
    <n v="1"/>
    <n v="71.2"/>
    <n v="71.2"/>
    <n v="-7.0780897998877368"/>
    <n v="1388.3556357441335"/>
    <n v="0"/>
    <n v="1"/>
    <n v="0"/>
    <n v="0"/>
    <n v="0"/>
    <n v="0"/>
    <n v="0"/>
    <n v="0"/>
    <n v="0"/>
    <n v="0"/>
  </r>
  <r>
    <d v="2001-08-14T00:00:00"/>
    <n v="2001"/>
    <x v="31"/>
    <s v="R"/>
    <s v="RS"/>
    <x v="12"/>
    <s v="IND"/>
    <s v="H"/>
    <n v="2"/>
    <n v="1"/>
    <n v="1"/>
    <n v="-1"/>
    <n v="8"/>
    <n v="-8"/>
    <n v="1446.7065428224821"/>
    <n v="1395.4337255440212"/>
    <n v="0.70491137174703722"/>
    <n v="78"/>
    <n v="72"/>
    <n v="0"/>
    <n v="6"/>
    <n v="1"/>
    <n v="0.33688649468629855"/>
    <n v="1"/>
    <n v="71.2"/>
    <n v="71.2"/>
    <n v="7.0780897998877359"/>
    <n v="1453.7846326223698"/>
    <n v="1"/>
    <n v="0"/>
    <n v="0"/>
    <n v="0"/>
    <n v="0"/>
    <n v="0"/>
    <n v="0"/>
    <n v="0"/>
    <n v="0"/>
    <n v="0"/>
  </r>
  <r>
    <d v="2001-08-14T00:00:00"/>
    <n v="2001"/>
    <x v="31"/>
    <s v="R"/>
    <s v="RS"/>
    <x v="1"/>
    <s v="PHX"/>
    <s v="A"/>
    <n v="0"/>
    <n v="2"/>
    <n v="-2"/>
    <n v="2"/>
    <n v="-16"/>
    <n v="16"/>
    <n v="1586.5686006189715"/>
    <n v="1449.9406039808525"/>
    <n v="0.52965124093782523"/>
    <n v="38"/>
    <n v="56"/>
    <n v="0"/>
    <n v="-18"/>
    <n v="0"/>
    <n v="0.49093743375274101"/>
    <n v="1"/>
    <n v="71.2"/>
    <n v="71.2"/>
    <n v="-18.51382421590991"/>
    <n v="1568.0547764030616"/>
    <n v="0"/>
    <n v="1"/>
    <n v="0"/>
    <n v="0"/>
    <n v="0"/>
    <n v="0"/>
    <n v="0"/>
    <n v="0"/>
    <n v="0"/>
    <n v="0"/>
  </r>
  <r>
    <d v="2001-08-14T00:00:00"/>
    <n v="2001"/>
    <x v="31"/>
    <s v="R"/>
    <s v="RS"/>
    <x v="3"/>
    <s v="HOU"/>
    <s v="H"/>
    <n v="2"/>
    <n v="0"/>
    <n v="2"/>
    <n v="-2"/>
    <n v="16"/>
    <n v="-16"/>
    <n v="1449.9406039808525"/>
    <n v="1586.5686006189715"/>
    <n v="0.47034875906217471"/>
    <n v="56"/>
    <n v="38"/>
    <n v="0"/>
    <n v="18"/>
    <n v="1"/>
    <n v="0.49093743375274101"/>
    <n v="1"/>
    <n v="71.2"/>
    <n v="71.2"/>
    <n v="18.513824215909914"/>
    <n v="1468.4544281967624"/>
    <n v="1"/>
    <n v="0"/>
    <n v="0"/>
    <n v="0"/>
    <n v="0"/>
    <n v="0"/>
    <n v="0"/>
    <n v="0"/>
    <n v="0"/>
    <n v="0"/>
  </r>
  <r>
    <d v="2001-08-14T00:00:00"/>
    <n v="2001"/>
    <x v="31"/>
    <s v="R"/>
    <s v="RS"/>
    <x v="0"/>
    <s v="POR"/>
    <s v="A"/>
    <n v="0"/>
    <n v="1"/>
    <n v="-1"/>
    <n v="1"/>
    <n v="-8"/>
    <n v="8"/>
    <n v="1733.1543888987567"/>
    <n v="1367.7734190019846"/>
    <n v="0.82166305078268076"/>
    <n v="67"/>
    <n v="58"/>
    <n v="0"/>
    <n v="9"/>
    <n v="1"/>
    <n v="0.31121231313347142"/>
    <n v="1"/>
    <n v="71.2"/>
    <n v="71.2"/>
    <n v="3.9516465991958905"/>
    <n v="1737.1060354979525"/>
    <n v="1"/>
    <n v="0"/>
    <n v="0"/>
    <n v="0"/>
    <n v="0"/>
    <n v="0"/>
    <n v="0"/>
    <n v="0"/>
    <n v="0"/>
    <n v="0"/>
  </r>
  <r>
    <d v="2001-08-14T00:00:00"/>
    <n v="2001"/>
    <x v="31"/>
    <s v="R"/>
    <s v="RS"/>
    <x v="10"/>
    <s v="LAS"/>
    <s v="H"/>
    <n v="1"/>
    <n v="0"/>
    <n v="1"/>
    <n v="-1"/>
    <n v="8"/>
    <n v="-8"/>
    <n v="1367.7734190019846"/>
    <n v="1733.1543888987567"/>
    <n v="0.17833694921731932"/>
    <n v="58"/>
    <n v="67"/>
    <n v="0"/>
    <n v="-9"/>
    <n v="0"/>
    <n v="0.31121231313347142"/>
    <n v="1"/>
    <n v="71.2"/>
    <n v="71.2"/>
    <n v="-3.9516465991958927"/>
    <n v="1363.8217724027888"/>
    <n v="0"/>
    <n v="1"/>
    <n v="0"/>
    <n v="0"/>
    <n v="0"/>
    <n v="0"/>
    <n v="0"/>
    <n v="0"/>
    <n v="0"/>
    <n v="0"/>
  </r>
  <r>
    <d v="2001-08-14T00:00:00"/>
    <n v="2001"/>
    <x v="31"/>
    <s v="R"/>
    <s v="RS"/>
    <x v="15"/>
    <s v="SEA"/>
    <s v="A"/>
    <n v="1"/>
    <n v="2"/>
    <n v="-1"/>
    <n v="1"/>
    <n v="-8"/>
    <n v="8"/>
    <n v="1599.7767015338311"/>
    <n v="1366.6077000282351"/>
    <n v="0.68278113373125149"/>
    <n v="72"/>
    <n v="62"/>
    <n v="0"/>
    <n v="10"/>
    <n v="1"/>
    <n v="0.35428873961502449"/>
    <n v="1"/>
    <n v="71.2"/>
    <n v="71.2"/>
    <n v="8.0019595486472888"/>
    <n v="1607.7786610824785"/>
    <n v="1"/>
    <n v="0"/>
    <n v="0"/>
    <n v="0"/>
    <n v="0"/>
    <n v="0"/>
    <n v="0"/>
    <n v="0"/>
    <n v="0"/>
    <n v="0"/>
  </r>
  <r>
    <d v="2001-08-14T00:00:00"/>
    <n v="2001"/>
    <x v="31"/>
    <s v="R"/>
    <s v="RS"/>
    <x v="11"/>
    <s v="SAC"/>
    <s v="H"/>
    <n v="2"/>
    <n v="1"/>
    <n v="1"/>
    <n v="-1"/>
    <n v="8"/>
    <n v="-8"/>
    <n v="1366.6077000282351"/>
    <n v="1599.7767015338311"/>
    <n v="0.31721886626874862"/>
    <n v="62"/>
    <n v="72"/>
    <n v="0"/>
    <n v="-10"/>
    <n v="0"/>
    <n v="0.35428873961502449"/>
    <n v="1"/>
    <n v="71.2"/>
    <n v="71.2"/>
    <n v="-8.0019595486472905"/>
    <n v="1358.6057404795877"/>
    <n v="0"/>
    <n v="1"/>
    <n v="0"/>
    <n v="0"/>
    <n v="0"/>
    <n v="0"/>
    <n v="0"/>
    <n v="0"/>
    <n v="0"/>
    <n v="0"/>
  </r>
  <r>
    <d v="2001-08-16T00:00:00"/>
    <n v="2001"/>
    <x v="32"/>
    <s v="P"/>
    <n v="1"/>
    <x v="5"/>
    <s v="CHA"/>
    <s v="A"/>
    <n v="1"/>
    <n v="1"/>
    <n v="0"/>
    <n v="0"/>
    <n v="0"/>
    <n v="0"/>
    <n v="1605.5391221846182"/>
    <n v="1548.2414165116072"/>
    <n v="0.46164779203631251"/>
    <n v="46"/>
    <n v="53"/>
    <n v="0"/>
    <n v="-7"/>
    <n v="0"/>
    <n v="0.35324060879189245"/>
    <n v="1.1000000000000001"/>
    <n v="71.05"/>
    <n v="78.155000000000001"/>
    <n v="-12.744950550096004"/>
    <n v="1592.7941716345222"/>
    <n v="0"/>
    <n v="0"/>
    <n v="0"/>
    <n v="1"/>
    <n v="0"/>
    <n v="0"/>
    <n v="0"/>
    <n v="0"/>
    <n v="0"/>
    <n v="0"/>
  </r>
  <r>
    <d v="2001-08-16T00:00:00"/>
    <n v="2001"/>
    <x v="32"/>
    <s v="P"/>
    <n v="1"/>
    <x v="13"/>
    <s v="CLE"/>
    <s v="H"/>
    <n v="1"/>
    <n v="1"/>
    <n v="0"/>
    <n v="0"/>
    <n v="0"/>
    <n v="0"/>
    <n v="1548.2414165116072"/>
    <n v="1605.5391221846182"/>
    <n v="0.53835220796368743"/>
    <n v="53"/>
    <n v="46"/>
    <n v="0"/>
    <n v="7"/>
    <n v="1"/>
    <n v="0.35324060879189245"/>
    <n v="1.1000000000000001"/>
    <n v="71.05"/>
    <n v="78.155000000000001"/>
    <n v="12.744950550096004"/>
    <n v="1560.9863670617033"/>
    <n v="0"/>
    <n v="0"/>
    <n v="1"/>
    <n v="0"/>
    <n v="0"/>
    <n v="0"/>
    <n v="0"/>
    <n v="0"/>
    <n v="0"/>
    <n v="0"/>
  </r>
  <r>
    <d v="2001-08-17T00:00:00"/>
    <n v="2001"/>
    <x v="32"/>
    <s v="P"/>
    <n v="1"/>
    <x v="7"/>
    <s v="MIA"/>
    <s v="A"/>
    <n v="2"/>
    <n v="2"/>
    <n v="0"/>
    <n v="0"/>
    <n v="0"/>
    <n v="0"/>
    <n v="1568.2031157404672"/>
    <n v="1561.3720978238146"/>
    <n v="0.39073580043851425"/>
    <n v="62"/>
    <n v="46"/>
    <n v="0"/>
    <n v="16"/>
    <n v="1"/>
    <n v="0.51485521130265322"/>
    <n v="1.1000000000000001"/>
    <n v="71.05"/>
    <n v="78.155000000000001"/>
    <n v="24.515883001412586"/>
    <n v="1592.7189987418797"/>
    <n v="0"/>
    <n v="0"/>
    <n v="1"/>
    <n v="0"/>
    <n v="0"/>
    <n v="0"/>
    <n v="0"/>
    <n v="0"/>
    <n v="0"/>
    <n v="0"/>
  </r>
  <r>
    <d v="2001-08-17T00:00:00"/>
    <n v="2001"/>
    <x v="32"/>
    <s v="P"/>
    <n v="1"/>
    <x v="8"/>
    <s v="NYL"/>
    <s v="H"/>
    <n v="2"/>
    <n v="2"/>
    <n v="0"/>
    <n v="0"/>
    <n v="0"/>
    <n v="0"/>
    <n v="1561.3720978238146"/>
    <n v="1568.2031157404672"/>
    <n v="0.60926419956148581"/>
    <n v="46"/>
    <n v="62"/>
    <n v="0"/>
    <n v="-16"/>
    <n v="0"/>
    <n v="0.51485521130265322"/>
    <n v="1.1000000000000001"/>
    <n v="71.05"/>
    <n v="78.155000000000001"/>
    <n v="-24.515883001412586"/>
    <n v="1536.8562148224021"/>
    <n v="0"/>
    <n v="0"/>
    <n v="0"/>
    <n v="1"/>
    <n v="0"/>
    <n v="0"/>
    <n v="0"/>
    <n v="0"/>
    <n v="0"/>
    <n v="0"/>
  </r>
  <r>
    <d v="2001-08-17T00:00:00"/>
    <n v="2001"/>
    <x v="32"/>
    <s v="P"/>
    <n v="1"/>
    <x v="15"/>
    <s v="UTA"/>
    <s v="A"/>
    <n v="2"/>
    <n v="3"/>
    <n v="-1"/>
    <n v="1"/>
    <n v="-8"/>
    <n v="8"/>
    <n v="1607.7786610824785"/>
    <n v="1564.1847974795589"/>
    <n v="0.41953079415957945"/>
    <n v="89"/>
    <n v="65"/>
    <n v="0"/>
    <n v="24"/>
    <n v="1"/>
    <n v="0.60640144617065606"/>
    <n v="1.1000000000000001"/>
    <n v="71.05"/>
    <n v="78.155000000000001"/>
    <n v="27.510354130286007"/>
    <n v="1635.2890152127645"/>
    <n v="0"/>
    <n v="0"/>
    <n v="1"/>
    <n v="0"/>
    <n v="0"/>
    <n v="0"/>
    <n v="0"/>
    <n v="0"/>
    <n v="0"/>
    <n v="0"/>
  </r>
  <r>
    <d v="2001-08-17T00:00:00"/>
    <n v="2001"/>
    <x v="32"/>
    <s v="P"/>
    <n v="1"/>
    <x v="2"/>
    <s v="SAC"/>
    <s v="H"/>
    <n v="3"/>
    <n v="2"/>
    <n v="1"/>
    <n v="-1"/>
    <n v="8"/>
    <n v="-8"/>
    <n v="1564.1847974795589"/>
    <n v="1607.7786610824785"/>
    <n v="0.5804692058404205"/>
    <n v="65"/>
    <n v="89"/>
    <n v="0"/>
    <n v="-24"/>
    <n v="0"/>
    <n v="0.60640144617065606"/>
    <n v="1.1000000000000001"/>
    <n v="71.05"/>
    <n v="78.155000000000001"/>
    <n v="-27.510354130286004"/>
    <n v="1536.6744433492729"/>
    <n v="0"/>
    <n v="0"/>
    <n v="0"/>
    <n v="1"/>
    <n v="0"/>
    <n v="0"/>
    <n v="0"/>
    <n v="0"/>
    <n v="0"/>
    <n v="0"/>
  </r>
  <r>
    <d v="2001-08-18T00:00:00"/>
    <n v="2001"/>
    <x v="33"/>
    <s v="P"/>
    <n v="1"/>
    <x v="13"/>
    <s v="CLE"/>
    <s v="A"/>
    <n v="1"/>
    <n v="1"/>
    <n v="0"/>
    <n v="0"/>
    <n v="0"/>
    <n v="0"/>
    <n v="1560.9863670617033"/>
    <n v="1592.7941716345222"/>
    <n v="0.3392488665645193"/>
    <n v="51"/>
    <n v="69"/>
    <n v="0"/>
    <n v="-18"/>
    <n v="0"/>
    <n v="0.53271355816677146"/>
    <n v="1.1000000000000001"/>
    <n v="70.900000000000006"/>
    <n v="77.990000000000009"/>
    <n v="-14.094545498598974"/>
    <n v="1546.8918215631043"/>
    <n v="0"/>
    <n v="0"/>
    <n v="0"/>
    <n v="1"/>
    <n v="0"/>
    <n v="0"/>
    <n v="0"/>
    <n v="0"/>
    <n v="0"/>
    <n v="0"/>
  </r>
  <r>
    <d v="2001-08-18T00:00:00"/>
    <n v="2001"/>
    <x v="33"/>
    <s v="P"/>
    <n v="1"/>
    <x v="5"/>
    <s v="CHA"/>
    <s v="H"/>
    <n v="1"/>
    <n v="1"/>
    <n v="0"/>
    <n v="0"/>
    <n v="0"/>
    <n v="0"/>
    <n v="1592.7941716345222"/>
    <n v="1560.9863670617033"/>
    <n v="0.66075113343548075"/>
    <n v="69"/>
    <n v="51"/>
    <n v="0"/>
    <n v="18"/>
    <n v="1"/>
    <n v="0.53271355816677146"/>
    <n v="1.1000000000000001"/>
    <n v="70.900000000000006"/>
    <n v="77.990000000000009"/>
    <n v="14.094545498598972"/>
    <n v="1606.8887171331212"/>
    <n v="0"/>
    <n v="0"/>
    <n v="1"/>
    <n v="0"/>
    <n v="0"/>
    <n v="0"/>
    <n v="0"/>
    <n v="0"/>
    <n v="0"/>
    <n v="0"/>
  </r>
  <r>
    <d v="2001-08-18T00:00:00"/>
    <n v="2001"/>
    <x v="32"/>
    <s v="P"/>
    <n v="1"/>
    <x v="0"/>
    <s v="HOU"/>
    <s v="A"/>
    <n v="3"/>
    <n v="3"/>
    <n v="0"/>
    <n v="0"/>
    <n v="0"/>
    <n v="0"/>
    <n v="1737.1060354979525"/>
    <n v="1568.0547764030616"/>
    <n v="0.62001087947933087"/>
    <n v="64"/>
    <n v="59"/>
    <n v="0"/>
    <n v="5"/>
    <n v="1"/>
    <n v="0.2907905514193051"/>
    <n v="1.1000000000000001"/>
    <n v="71.05"/>
    <n v="78.155000000000001"/>
    <n v="8.6359122524971674"/>
    <n v="1745.7419477504495"/>
    <n v="0"/>
    <n v="0"/>
    <n v="1"/>
    <n v="0"/>
    <n v="0"/>
    <n v="0"/>
    <n v="0"/>
    <n v="0"/>
    <n v="0"/>
    <n v="0"/>
  </r>
  <r>
    <d v="2001-08-18T00:00:00"/>
    <n v="2001"/>
    <x v="32"/>
    <s v="P"/>
    <n v="1"/>
    <x v="1"/>
    <s v="LAS"/>
    <s v="H"/>
    <n v="3"/>
    <n v="3"/>
    <n v="0"/>
    <n v="0"/>
    <n v="0"/>
    <n v="0"/>
    <n v="1568.0547764030616"/>
    <n v="1737.1060354979525"/>
    <n v="0.37998912052066913"/>
    <n v="59"/>
    <n v="64"/>
    <n v="0"/>
    <n v="-5"/>
    <n v="0"/>
    <n v="0.2907905514193051"/>
    <n v="1.1000000000000001"/>
    <n v="71.05"/>
    <n v="78.155000000000001"/>
    <n v="-8.6359122524971674"/>
    <n v="1559.4188641505646"/>
    <n v="0"/>
    <n v="0"/>
    <n v="0"/>
    <n v="1"/>
    <n v="0"/>
    <n v="0"/>
    <n v="0"/>
    <n v="0"/>
    <n v="0"/>
    <n v="0"/>
  </r>
  <r>
    <d v="2001-08-19T00:00:00"/>
    <n v="2001"/>
    <x v="33"/>
    <s v="P"/>
    <n v="1"/>
    <x v="8"/>
    <s v="NYL"/>
    <s v="A"/>
    <n v="1"/>
    <n v="1"/>
    <n v="0"/>
    <n v="0"/>
    <n v="0"/>
    <n v="0"/>
    <n v="1536.8562148224021"/>
    <n v="1592.7189987418797"/>
    <n v="0.30893245597451707"/>
    <n v="53"/>
    <n v="50"/>
    <n v="0"/>
    <n v="3"/>
    <n v="1"/>
    <n v="0.27727569426945975"/>
    <n v="1.1000000000000001"/>
    <n v="70.900000000000006"/>
    <n v="77.990000000000009"/>
    <n v="14.944150016096421"/>
    <n v="1551.8003648384986"/>
    <n v="0"/>
    <n v="0"/>
    <n v="1"/>
    <n v="0"/>
    <n v="0"/>
    <n v="0"/>
    <n v="0"/>
    <n v="0"/>
    <n v="0"/>
    <n v="0"/>
  </r>
  <r>
    <d v="2001-08-19T00:00:00"/>
    <n v="2001"/>
    <x v="33"/>
    <s v="P"/>
    <n v="1"/>
    <x v="7"/>
    <s v="MIA"/>
    <s v="H"/>
    <n v="1"/>
    <n v="1"/>
    <n v="0"/>
    <n v="0"/>
    <n v="0"/>
    <n v="0"/>
    <n v="1592.7189987418797"/>
    <n v="1536.8562148224021"/>
    <n v="0.69106754402548287"/>
    <n v="50"/>
    <n v="53"/>
    <n v="0"/>
    <n v="-3"/>
    <n v="0"/>
    <n v="0.27727569426945975"/>
    <n v="1.1000000000000001"/>
    <n v="70.900000000000006"/>
    <n v="77.990000000000009"/>
    <n v="-14.944150016096419"/>
    <n v="1577.7748487257832"/>
    <n v="0"/>
    <n v="0"/>
    <n v="0"/>
    <n v="1"/>
    <n v="0"/>
    <n v="0"/>
    <n v="0"/>
    <n v="0"/>
    <n v="0"/>
    <n v="0"/>
  </r>
  <r>
    <d v="2001-08-19T00:00:00"/>
    <n v="2001"/>
    <x v="33"/>
    <s v="P"/>
    <n v="1"/>
    <x v="2"/>
    <s v="SAC"/>
    <s v="A"/>
    <n v="1"/>
    <n v="1"/>
    <n v="0"/>
    <n v="0"/>
    <n v="0"/>
    <n v="0"/>
    <n v="1536.6744433492729"/>
    <n v="1635.2890152127645"/>
    <n v="0.25899205199492303"/>
    <n v="66"/>
    <n v="71"/>
    <n v="0"/>
    <n v="-5"/>
    <n v="0"/>
    <n v="0.30656299350023442"/>
    <n v="1.1000000000000001"/>
    <n v="70.900000000000006"/>
    <n v="77.990000000000009"/>
    <n v="-6.1922015688943706"/>
    <n v="1530.4822417803784"/>
    <n v="0"/>
    <n v="0"/>
    <n v="0"/>
    <n v="1"/>
    <n v="0"/>
    <n v="0"/>
    <n v="0"/>
    <n v="0"/>
    <n v="0"/>
    <n v="0"/>
  </r>
  <r>
    <d v="2001-08-19T00:00:00"/>
    <n v="2001"/>
    <x v="33"/>
    <s v="P"/>
    <n v="1"/>
    <x v="15"/>
    <s v="UTA"/>
    <s v="H"/>
    <n v="1"/>
    <n v="1"/>
    <n v="0"/>
    <n v="0"/>
    <n v="0"/>
    <n v="0"/>
    <n v="1635.2890152127645"/>
    <n v="1536.6744433492729"/>
    <n v="0.74100794800507697"/>
    <n v="71"/>
    <n v="66"/>
    <n v="0"/>
    <n v="5"/>
    <n v="1"/>
    <n v="0.30656299350023442"/>
    <n v="1.1000000000000001"/>
    <n v="70.900000000000006"/>
    <n v="77.990000000000009"/>
    <n v="6.1922015688943706"/>
    <n v="1641.481216781659"/>
    <n v="0"/>
    <n v="0"/>
    <n v="1"/>
    <n v="0"/>
    <n v="0"/>
    <n v="0"/>
    <n v="0"/>
    <n v="0"/>
    <n v="0"/>
    <n v="0"/>
  </r>
  <r>
    <d v="2001-08-20T00:00:00"/>
    <n v="2001"/>
    <x v="34"/>
    <s v="P"/>
    <n v="1"/>
    <x v="13"/>
    <s v="CLE"/>
    <s v="A"/>
    <n v="1"/>
    <n v="1"/>
    <n v="0"/>
    <n v="0"/>
    <n v="0"/>
    <n v="0"/>
    <n v="1546.8918215631043"/>
    <n v="1606.8887171331212"/>
    <n v="0.30387500980066801"/>
    <n v="72"/>
    <n v="64"/>
    <n v="0"/>
    <n v="8"/>
    <n v="1"/>
    <n v="0.36982523023820618"/>
    <n v="1.1000000000000001"/>
    <n v="70.75"/>
    <n v="77.825000000000003"/>
    <n v="20.035624810117255"/>
    <n v="1566.9274463732215"/>
    <n v="0"/>
    <n v="0"/>
    <n v="1"/>
    <n v="0"/>
    <n v="0"/>
    <n v="0"/>
    <n v="0"/>
    <n v="0"/>
    <n v="0"/>
    <n v="0"/>
  </r>
  <r>
    <d v="2001-08-20T00:00:00"/>
    <n v="2001"/>
    <x v="34"/>
    <s v="P"/>
    <n v="1"/>
    <x v="5"/>
    <s v="CHA"/>
    <s v="H"/>
    <n v="1"/>
    <n v="1"/>
    <n v="0"/>
    <n v="0"/>
    <n v="0"/>
    <n v="0"/>
    <n v="1606.8887171331212"/>
    <n v="1546.8918215631043"/>
    <n v="0.69612499019933194"/>
    <n v="64"/>
    <n v="72"/>
    <n v="0"/>
    <n v="-8"/>
    <n v="0"/>
    <n v="0.36982523023820618"/>
    <n v="1.1000000000000001"/>
    <n v="70.75"/>
    <n v="77.825000000000003"/>
    <n v="-20.035624810117252"/>
    <n v="1586.8530923230039"/>
    <n v="0"/>
    <n v="0"/>
    <n v="0"/>
    <n v="1"/>
    <n v="0"/>
    <n v="0"/>
    <n v="0"/>
    <n v="0"/>
    <n v="0"/>
    <n v="0"/>
  </r>
  <r>
    <d v="2001-08-20T00:00:00"/>
    <n v="2001"/>
    <x v="33"/>
    <s v="P"/>
    <n v="1"/>
    <x v="1"/>
    <s v="LAS"/>
    <s v="A"/>
    <n v="1"/>
    <n v="1"/>
    <n v="0"/>
    <n v="0"/>
    <n v="0"/>
    <n v="0"/>
    <n v="1559.4188641505646"/>
    <n v="1745.7419477504495"/>
    <n v="0.17420629984063057"/>
    <n v="58"/>
    <n v="70"/>
    <n v="0"/>
    <n v="-12"/>
    <n v="0"/>
    <n v="0.39482523097756073"/>
    <n v="1.1000000000000001"/>
    <n v="70.900000000000006"/>
    <n v="77.990000000000009"/>
    <n v="-5.3642335102154846"/>
    <n v="1554.0546306403492"/>
    <n v="0"/>
    <n v="0"/>
    <n v="0"/>
    <n v="1"/>
    <n v="0"/>
    <n v="0"/>
    <n v="0"/>
    <n v="0"/>
    <n v="0"/>
    <n v="0"/>
  </r>
  <r>
    <d v="2001-08-20T00:00:00"/>
    <n v="2001"/>
    <x v="33"/>
    <s v="P"/>
    <n v="1"/>
    <x v="0"/>
    <s v="HOU"/>
    <s v="H"/>
    <n v="1"/>
    <n v="1"/>
    <n v="0"/>
    <n v="0"/>
    <n v="0"/>
    <n v="0"/>
    <n v="1745.7419477504495"/>
    <n v="1559.4188641505646"/>
    <n v="0.82579370015936948"/>
    <n v="70"/>
    <n v="58"/>
    <n v="0"/>
    <n v="12"/>
    <n v="1"/>
    <n v="0.39482523097756073"/>
    <n v="1.1000000000000001"/>
    <n v="70.900000000000006"/>
    <n v="77.990000000000009"/>
    <n v="5.3642335102154828"/>
    <n v="1751.1061812606649"/>
    <n v="0"/>
    <n v="0"/>
    <n v="1"/>
    <n v="0"/>
    <n v="0"/>
    <n v="0"/>
    <n v="0"/>
    <n v="0"/>
    <n v="0"/>
    <n v="0"/>
  </r>
  <r>
    <d v="2001-08-21T00:00:00"/>
    <n v="2001"/>
    <x v="34"/>
    <s v="P"/>
    <n v="1"/>
    <x v="8"/>
    <s v="NYL"/>
    <s v="A"/>
    <n v="1"/>
    <n v="1"/>
    <n v="0"/>
    <n v="0"/>
    <n v="0"/>
    <n v="0"/>
    <n v="1551.8003648384986"/>
    <n v="1577.7748487257832"/>
    <n v="0.34681610602646723"/>
    <n v="61"/>
    <n v="72"/>
    <n v="0"/>
    <n v="-11"/>
    <n v="0"/>
    <n v="0.43051725076333935"/>
    <n v="1.1000000000000001"/>
    <n v="70.75"/>
    <n v="77.825000000000003"/>
    <n v="-11.620075380597779"/>
    <n v="1540.1802894579007"/>
    <n v="0"/>
    <n v="0"/>
    <n v="0"/>
    <n v="1"/>
    <n v="0"/>
    <n v="0"/>
    <n v="0"/>
    <n v="0"/>
    <n v="0"/>
    <n v="0"/>
  </r>
  <r>
    <d v="2001-08-21T00:00:00"/>
    <n v="2001"/>
    <x v="34"/>
    <s v="P"/>
    <n v="1"/>
    <x v="7"/>
    <s v="MIA"/>
    <s v="H"/>
    <n v="1"/>
    <n v="1"/>
    <n v="0"/>
    <n v="0"/>
    <n v="0"/>
    <n v="0"/>
    <n v="1577.7748487257832"/>
    <n v="1551.8003648384986"/>
    <n v="0.65318389397353271"/>
    <n v="72"/>
    <n v="61"/>
    <n v="0"/>
    <n v="11"/>
    <n v="1"/>
    <n v="0.43051725076333935"/>
    <n v="1.1000000000000001"/>
    <n v="70.75"/>
    <n v="77.825000000000003"/>
    <n v="11.620075380597781"/>
    <n v="1589.394924106381"/>
    <n v="0"/>
    <n v="0"/>
    <n v="1"/>
    <n v="0"/>
    <n v="0"/>
    <n v="0"/>
    <n v="0"/>
    <n v="0"/>
    <n v="0"/>
    <n v="0"/>
  </r>
  <r>
    <d v="2001-08-24T00:00:00"/>
    <n v="2001"/>
    <x v="35"/>
    <s v="P"/>
    <n v="2"/>
    <x v="7"/>
    <s v="CHA"/>
    <s v="A"/>
    <n v="2"/>
    <n v="3"/>
    <n v="-1"/>
    <n v="1"/>
    <n v="-8"/>
    <n v="8"/>
    <n v="1589.394924106381"/>
    <n v="1566.9274463732215"/>
    <n v="0.39023772224100378"/>
    <n v="61"/>
    <n v="57"/>
    <n v="0"/>
    <n v="4"/>
    <n v="1"/>
    <n v="0.30570897687818144"/>
    <n v="1.2"/>
    <n v="70.599999999999994"/>
    <n v="84.719999999999985"/>
    <n v="15.792638431591703"/>
    <n v="1605.1875625379728"/>
    <n v="0"/>
    <n v="0"/>
    <n v="0"/>
    <n v="0"/>
    <n v="1"/>
    <n v="0"/>
    <n v="0"/>
    <n v="0"/>
    <n v="0"/>
    <n v="0"/>
  </r>
  <r>
    <d v="2001-08-24T00:00:00"/>
    <n v="2001"/>
    <x v="35"/>
    <s v="P"/>
    <n v="2"/>
    <x v="13"/>
    <s v="NYL"/>
    <s v="H"/>
    <n v="3"/>
    <n v="2"/>
    <n v="1"/>
    <n v="-1"/>
    <n v="8"/>
    <n v="-8"/>
    <n v="1566.9274463732215"/>
    <n v="1589.394924106381"/>
    <n v="0.60976227775899616"/>
    <n v="57"/>
    <n v="61"/>
    <n v="0"/>
    <n v="-4"/>
    <n v="0"/>
    <n v="0.30570897687818144"/>
    <n v="1.2"/>
    <n v="70.599999999999994"/>
    <n v="84.719999999999985"/>
    <n v="-15.792638431591703"/>
    <n v="1551.1348079416298"/>
    <n v="0"/>
    <n v="0"/>
    <n v="0"/>
    <n v="0"/>
    <n v="0"/>
    <n v="1"/>
    <n v="0"/>
    <n v="0"/>
    <n v="0"/>
    <n v="0"/>
  </r>
  <r>
    <d v="2001-08-24T00:00:00"/>
    <n v="2001"/>
    <x v="34"/>
    <s v="P"/>
    <n v="2"/>
    <x v="0"/>
    <s v="SAC"/>
    <s v="A"/>
    <n v="3"/>
    <n v="4"/>
    <n v="-1"/>
    <n v="1"/>
    <n v="-8"/>
    <n v="8"/>
    <n v="1751.1061812606649"/>
    <n v="1641.481216781659"/>
    <n v="0.51384789499351347"/>
    <n v="74"/>
    <n v="73"/>
    <n v="0"/>
    <n v="1"/>
    <n v="1"/>
    <n v="0.2237400882739887"/>
    <n v="1.2"/>
    <n v="70.75"/>
    <n v="84.899999999999991"/>
    <n v="9.2347185940537475"/>
    <n v="1760.3408998547186"/>
    <n v="0"/>
    <n v="0"/>
    <n v="0"/>
    <n v="0"/>
    <n v="1"/>
    <n v="0"/>
    <n v="0"/>
    <n v="0"/>
    <n v="0"/>
    <n v="0"/>
  </r>
  <r>
    <d v="2001-08-24T00:00:00"/>
    <n v="2001"/>
    <x v="34"/>
    <s v="P"/>
    <n v="2"/>
    <x v="15"/>
    <s v="LAS"/>
    <s v="H"/>
    <n v="4"/>
    <n v="3"/>
    <n v="1"/>
    <n v="-1"/>
    <n v="8"/>
    <n v="-8"/>
    <n v="1641.481216781659"/>
    <n v="1751.1061812606649"/>
    <n v="0.48615210500648648"/>
    <n v="73"/>
    <n v="74"/>
    <n v="0"/>
    <n v="-1"/>
    <n v="0"/>
    <n v="0.2237400882739887"/>
    <n v="1.2"/>
    <n v="70.75"/>
    <n v="84.899999999999991"/>
    <n v="-9.2347185940537457"/>
    <n v="1632.2464981876053"/>
    <n v="0"/>
    <n v="0"/>
    <n v="0"/>
    <n v="0"/>
    <n v="0"/>
    <n v="1"/>
    <n v="0"/>
    <n v="0"/>
    <n v="0"/>
    <n v="0"/>
  </r>
  <r>
    <d v="2001-08-26T00:00:00"/>
    <n v="2001"/>
    <x v="35"/>
    <s v="P"/>
    <n v="2"/>
    <x v="15"/>
    <s v="LAS"/>
    <s v="A"/>
    <n v="1"/>
    <n v="1"/>
    <n v="0"/>
    <n v="0"/>
    <n v="0"/>
    <n v="0"/>
    <n v="1632.2464981876053"/>
    <n v="1760.3408998547186"/>
    <n v="0.22777572816019817"/>
    <n v="80"/>
    <n v="60"/>
    <n v="0"/>
    <n v="20"/>
    <n v="1"/>
    <n v="0.51943960449245363"/>
    <n v="1.2"/>
    <n v="70.599999999999994"/>
    <n v="84.719999999999985"/>
    <n v="33.983214295538559"/>
    <n v="1666.2297124831439"/>
    <n v="0"/>
    <n v="0"/>
    <n v="0"/>
    <n v="0"/>
    <n v="1"/>
    <n v="0"/>
    <n v="0"/>
    <n v="0"/>
    <n v="0"/>
    <n v="0"/>
  </r>
  <r>
    <d v="2001-08-26T00:00:00"/>
    <n v="2001"/>
    <x v="35"/>
    <s v="P"/>
    <n v="2"/>
    <x v="0"/>
    <s v="SAC"/>
    <s v="H"/>
    <n v="1"/>
    <n v="1"/>
    <n v="0"/>
    <n v="0"/>
    <n v="0"/>
    <n v="0"/>
    <n v="1760.3408998547186"/>
    <n v="1632.2464981876053"/>
    <n v="0.7722242718398018"/>
    <n v="60"/>
    <n v="80"/>
    <n v="0"/>
    <n v="-20"/>
    <n v="0"/>
    <n v="0.51943960449245363"/>
    <n v="1.2"/>
    <n v="70.599999999999994"/>
    <n v="84.719999999999985"/>
    <n v="-33.983214295538559"/>
    <n v="1726.35768555918"/>
    <n v="0"/>
    <n v="0"/>
    <n v="0"/>
    <n v="0"/>
    <n v="0"/>
    <n v="1"/>
    <n v="0"/>
    <n v="0"/>
    <n v="0"/>
    <n v="0"/>
  </r>
  <r>
    <d v="2001-08-26T00:00:00"/>
    <n v="2001"/>
    <x v="36"/>
    <s v="P"/>
    <n v="2"/>
    <x v="13"/>
    <s v="NYL"/>
    <s v="A"/>
    <n v="1"/>
    <n v="1"/>
    <n v="0"/>
    <n v="0"/>
    <n v="0"/>
    <n v="0"/>
    <n v="1551.1348079416298"/>
    <n v="1605.1875625379728"/>
    <n v="0.31116133686833752"/>
    <n v="62"/>
    <n v="53"/>
    <n v="0"/>
    <n v="9"/>
    <n v="1"/>
    <n v="0.38847315696340168"/>
    <n v="1.2"/>
    <n v="70.45"/>
    <n v="84.54"/>
    <n v="22.622509207094126"/>
    <n v="1573.7573171487238"/>
    <n v="0"/>
    <n v="0"/>
    <n v="0"/>
    <n v="0"/>
    <n v="1"/>
    <n v="0"/>
    <n v="0"/>
    <n v="0"/>
    <n v="0"/>
    <n v="0"/>
  </r>
  <r>
    <d v="2001-08-26T00:00:00"/>
    <n v="2001"/>
    <x v="36"/>
    <s v="P"/>
    <n v="2"/>
    <x v="7"/>
    <s v="CHA"/>
    <s v="H"/>
    <n v="1"/>
    <n v="1"/>
    <n v="0"/>
    <n v="0"/>
    <n v="0"/>
    <n v="0"/>
    <n v="1605.1875625379728"/>
    <n v="1551.1348079416298"/>
    <n v="0.68883866313166242"/>
    <n v="53"/>
    <n v="62"/>
    <n v="0"/>
    <n v="-9"/>
    <n v="0"/>
    <n v="0.38847315696340168"/>
    <n v="1.2"/>
    <n v="70.45"/>
    <n v="84.54"/>
    <n v="-22.622509207094122"/>
    <n v="1582.5650533308788"/>
    <n v="0"/>
    <n v="0"/>
    <n v="0"/>
    <n v="0"/>
    <n v="0"/>
    <n v="1"/>
    <n v="0"/>
    <n v="0"/>
    <n v="0"/>
    <n v="0"/>
  </r>
  <r>
    <d v="2001-08-27T00:00:00"/>
    <n v="2001"/>
    <x v="36"/>
    <s v="P"/>
    <n v="2"/>
    <x v="15"/>
    <s v="LAS"/>
    <s v="A"/>
    <n v="0"/>
    <n v="0"/>
    <n v="0"/>
    <n v="0"/>
    <n v="0"/>
    <n v="0"/>
    <n v="1666.2297124831439"/>
    <n v="1726.35768555918"/>
    <n v="0.30371542122715212"/>
    <n v="62"/>
    <n v="93"/>
    <n v="0"/>
    <n v="-31"/>
    <n v="0"/>
    <n v="0.68134464674037221"/>
    <n v="1.2"/>
    <n v="70.45"/>
    <n v="84.54"/>
    <n v="-17.494274449640088"/>
    <n v="1648.7354380335039"/>
    <n v="0"/>
    <n v="0"/>
    <n v="0"/>
    <n v="0"/>
    <n v="0"/>
    <n v="1"/>
    <n v="0"/>
    <n v="0"/>
    <n v="0"/>
    <n v="0"/>
  </r>
  <r>
    <d v="2001-08-27T00:00:00"/>
    <n v="2001"/>
    <x v="36"/>
    <s v="P"/>
    <n v="2"/>
    <x v="0"/>
    <s v="SAC"/>
    <s v="H"/>
    <n v="0"/>
    <n v="0"/>
    <n v="0"/>
    <n v="0"/>
    <n v="0"/>
    <n v="0"/>
    <n v="1726.35768555918"/>
    <n v="1666.2297124831439"/>
    <n v="0.69628457877284788"/>
    <n v="93"/>
    <n v="62"/>
    <n v="0"/>
    <n v="31"/>
    <n v="1"/>
    <n v="0.68134464674037221"/>
    <n v="1.2"/>
    <n v="70.45"/>
    <n v="84.54"/>
    <n v="17.494274449640088"/>
    <n v="1743.85196000882"/>
    <n v="0"/>
    <n v="0"/>
    <n v="0"/>
    <n v="0"/>
    <n v="1"/>
    <n v="0"/>
    <n v="0"/>
    <n v="0"/>
    <n v="0"/>
    <n v="0"/>
  </r>
  <r>
    <d v="2001-08-27T00:00:00"/>
    <n v="2001"/>
    <x v="37"/>
    <s v="P"/>
    <n v="3"/>
    <x v="13"/>
    <s v="NYL"/>
    <s v="A"/>
    <n v="0"/>
    <n v="0"/>
    <n v="0"/>
    <n v="0"/>
    <n v="0"/>
    <n v="0"/>
    <n v="1573.7573171487238"/>
    <n v="1582.5650533308788"/>
    <n v="0.36952752356325558"/>
    <n v="48"/>
    <n v="44"/>
    <n v="0"/>
    <n v="4"/>
    <n v="1"/>
    <n v="0.30916354247119043"/>
    <n v="1.35"/>
    <n v="70.3"/>
    <n v="94.905000000000001"/>
    <n v="18.498797588444617"/>
    <n v="1592.2561147371684"/>
    <n v="0"/>
    <n v="0"/>
    <n v="0"/>
    <n v="0"/>
    <n v="0"/>
    <n v="0"/>
    <n v="1"/>
    <n v="0"/>
    <n v="0"/>
    <n v="0"/>
  </r>
  <r>
    <d v="2001-08-27T00:00:00"/>
    <n v="2001"/>
    <x v="37"/>
    <s v="P"/>
    <n v="3"/>
    <x v="7"/>
    <s v="CHA"/>
    <s v="H"/>
    <n v="0"/>
    <n v="0"/>
    <n v="0"/>
    <n v="0"/>
    <n v="0"/>
    <n v="0"/>
    <n v="1582.5650533308788"/>
    <n v="1573.7573171487238"/>
    <n v="0.63047247643674453"/>
    <n v="44"/>
    <n v="48"/>
    <n v="0"/>
    <n v="-4"/>
    <n v="0"/>
    <n v="0.30916354247119043"/>
    <n v="1.35"/>
    <n v="70.3"/>
    <n v="94.905000000000001"/>
    <n v="-18.498797588444617"/>
    <n v="1564.0662557424341"/>
    <n v="0"/>
    <n v="0"/>
    <n v="0"/>
    <n v="0"/>
    <n v="0"/>
    <n v="0"/>
    <n v="0"/>
    <n v="1"/>
    <n v="0"/>
    <n v="0"/>
  </r>
  <r>
    <d v="2001-08-30T00:00:00"/>
    <n v="2001"/>
    <x v="37"/>
    <s v="P"/>
    <n v="3"/>
    <x v="0"/>
    <s v="CHA"/>
    <s v="A"/>
    <n v="2"/>
    <n v="2"/>
    <n v="0"/>
    <n v="0"/>
    <n v="0"/>
    <n v="0"/>
    <n v="1743.85196000882"/>
    <n v="1592.2561147371684"/>
    <n v="0.59606914525602395"/>
    <n v="75"/>
    <n v="66"/>
    <n v="0"/>
    <n v="9"/>
    <n v="1"/>
    <n v="0.3604375037707947"/>
    <n v="1.35"/>
    <n v="70.3"/>
    <n v="94.905000000000001"/>
    <n v="13.817392529339516"/>
    <n v="1757.6693525381595"/>
    <n v="0"/>
    <n v="0"/>
    <n v="0"/>
    <n v="0"/>
    <n v="0"/>
    <n v="0"/>
    <n v="1"/>
    <n v="0"/>
    <n v="0"/>
    <n v="0"/>
  </r>
  <r>
    <d v="2001-08-30T00:00:00"/>
    <n v="2001"/>
    <x v="38"/>
    <s v="P"/>
    <n v="3"/>
    <x v="13"/>
    <s v="LAS"/>
    <s v="H"/>
    <n v="2"/>
    <n v="2"/>
    <n v="0"/>
    <n v="0"/>
    <n v="0"/>
    <n v="0"/>
    <n v="1592.2561147371684"/>
    <n v="1743.85196000882"/>
    <n v="0.40393085474397605"/>
    <n v="66"/>
    <n v="75"/>
    <n v="0"/>
    <n v="-9"/>
    <n v="0"/>
    <n v="0.3604375037707947"/>
    <n v="1.35"/>
    <n v="70.150000000000006"/>
    <n v="94.702500000000015"/>
    <n v="-13.787910183971084"/>
    <n v="1578.4682045531974"/>
    <n v="0"/>
    <n v="0"/>
    <n v="0"/>
    <n v="0"/>
    <n v="0"/>
    <n v="0"/>
    <n v="0"/>
    <n v="1"/>
    <n v="0"/>
    <n v="0"/>
  </r>
  <r>
    <d v="2001-09-01T00:00:00"/>
    <n v="2001"/>
    <x v="39"/>
    <s v="P"/>
    <n v="3"/>
    <x v="13"/>
    <s v="LAS"/>
    <s v="A"/>
    <n v="1"/>
    <n v="1"/>
    <n v="0"/>
    <n v="0"/>
    <n v="0"/>
    <n v="0"/>
    <n v="1578.4682045531974"/>
    <n v="1757.6693525381595"/>
    <n v="0.18018308035755221"/>
    <n v="54"/>
    <n v="82"/>
    <n v="0"/>
    <n v="-28"/>
    <n v="0"/>
    <n v="0.59085478088230836"/>
    <n v="1.35"/>
    <n v="70"/>
    <n v="94.5"/>
    <n v="-10.060662256787602"/>
    <n v="1568.4075422964099"/>
    <n v="0"/>
    <n v="0"/>
    <n v="0"/>
    <n v="0"/>
    <n v="0"/>
    <n v="0"/>
    <n v="0"/>
    <n v="1"/>
    <n v="0"/>
    <n v="0"/>
  </r>
  <r>
    <d v="2001-09-01T00:00:00"/>
    <n v="2001"/>
    <x v="38"/>
    <s v="P"/>
    <n v="3"/>
    <x v="0"/>
    <s v="CHA"/>
    <s v="H"/>
    <n v="1"/>
    <n v="1"/>
    <n v="0"/>
    <n v="0"/>
    <n v="0"/>
    <n v="0"/>
    <n v="1757.6693525381595"/>
    <n v="1578.4682045531974"/>
    <n v="0.81981691964244774"/>
    <n v="82"/>
    <n v="54"/>
    <n v="0"/>
    <n v="28"/>
    <n v="1"/>
    <n v="0.59085478088230836"/>
    <n v="1.35"/>
    <n v="70.150000000000006"/>
    <n v="94.702500000000015"/>
    <n v="10.082220818766437"/>
    <n v="1767.751573356926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0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6">
        <item m="1" x="36"/>
        <item m="1" x="30"/>
        <item m="1" x="47"/>
        <item m="1" x="23"/>
        <item m="1" x="21"/>
        <item m="1" x="35"/>
        <item m="1" x="51"/>
        <item x="13"/>
        <item m="1" x="20"/>
        <item m="1" x="37"/>
        <item x="5"/>
        <item m="1" x="25"/>
        <item m="1" x="29"/>
        <item x="14"/>
        <item m="1" x="52"/>
        <item m="1" x="32"/>
        <item x="1"/>
        <item x="6"/>
        <item m="1" x="46"/>
        <item m="1" x="45"/>
        <item m="1" x="19"/>
        <item m="1" x="18"/>
        <item m="1" x="54"/>
        <item x="0"/>
        <item m="1" x="53"/>
        <item m="1" x="22"/>
        <item x="8"/>
        <item m="1" x="31"/>
        <item x="9"/>
        <item m="1" x="39"/>
        <item m="1" x="16"/>
        <item m="1" x="26"/>
        <item m="1" x="40"/>
        <item m="1" x="48"/>
        <item x="7"/>
        <item m="1" x="41"/>
        <item m="1" x="28"/>
        <item x="12"/>
        <item m="1" x="24"/>
        <item x="3"/>
        <item m="1" x="43"/>
        <item x="10"/>
        <item m="1" x="27"/>
        <item x="15"/>
        <item m="1" x="38"/>
        <item x="11"/>
        <item m="1" x="49"/>
        <item m="1" x="44"/>
        <item m="1" x="50"/>
        <item m="1" x="42"/>
        <item m="1" x="17"/>
        <item x="2"/>
        <item m="1" x="34"/>
        <item x="4"/>
        <item m="1" x="33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7">
    <i>
      <x v="7"/>
    </i>
    <i>
      <x v="10"/>
    </i>
    <i>
      <x v="13"/>
    </i>
    <i>
      <x v="16"/>
    </i>
    <i>
      <x v="17"/>
    </i>
    <i>
      <x v="23"/>
    </i>
    <i>
      <x v="26"/>
    </i>
    <i>
      <x v="28"/>
    </i>
    <i>
      <x v="34"/>
    </i>
    <i>
      <x v="37"/>
    </i>
    <i>
      <x v="39"/>
    </i>
    <i>
      <x v="41"/>
    </i>
    <i>
      <x v="43"/>
    </i>
    <i>
      <x v="45"/>
    </i>
    <i>
      <x v="51"/>
    </i>
    <i>
      <x v="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4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7" totalsRowShown="0">
  <autoFilter ref="A1:D17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7">
    <sortCondition ref="C13:C17"/>
  </sortState>
  <tableColumns count="4">
    <tableColumn id="1" xr3:uid="{8C17ECDF-4459-4994-A3F5-8E8FEDF92B6F}" name="TeamID"/>
    <tableColumn id="4" xr3:uid="{789F069E-DAF9-4B19-A6DB-107BA6995CE5}" name="Logo" dataDxfId="46"/>
    <tableColumn id="5" xr3:uid="{A9DA91BA-5529-4913-978B-19C8EF225B29}" name="TeamName" dataDxfId="45"/>
    <tableColumn id="2" xr3:uid="{AA4C8157-DB69-4779-8EEE-6F419B992D71}" name="PreSeasonElo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547" totalsRowShown="0" headerRowDxfId="41" dataDxfId="40">
  <autoFilter ref="A1:AL547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9"/>
    <tableColumn id="21" xr3:uid="{D754AB95-C77C-4DD5-B1B9-A24A4FEE7279}" name="Season" dataDxfId="38"/>
    <tableColumn id="19" xr3:uid="{4C42B78B-6AFC-42C3-A5F4-3266E247C458}" name="GamesPlayed" dataDxfId="37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6"/>
    <tableColumn id="14" xr3:uid="{EFA83923-8CCA-4DC9-BC85-5D86949A45D9}" name="Round" dataDxfId="35"/>
    <tableColumn id="2" xr3:uid="{6E102E51-A49B-416B-8CD2-B93B2A4EA389}" name="Team" dataDxfId="34"/>
    <tableColumn id="3" xr3:uid="{19101345-1C34-4AF3-88E6-76A7F19B7FE6}" name="Opponent" dataDxfId="33"/>
    <tableColumn id="16" xr3:uid="{4CBCDF29-B095-48DF-8EF6-06DC7D78C844}" name="HomeAway" dataDxfId="32"/>
    <tableColumn id="32" xr3:uid="{E3FA53E3-DAD6-4BC2-969A-C53F4798E86D}" name="DaysOff" dataDxfId="31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0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9">
      <calculatedColumnFormula>Games[[#This Row],[DaysOff]]-Games[[#This Row],[OppDaysOff]]</calculatedColumnFormula>
    </tableColumn>
    <tableColumn id="35" xr3:uid="{3F2DB366-7372-41BA-8B0C-09F9BA7EA850}" name="OppRestDiff" dataDxfId="28">
      <calculatedColumnFormula>Games[[#This Row],[OppDaysOff]]-Games[[#This Row],[DaysOff]]</calculatedColumnFormula>
    </tableColumn>
    <tableColumn id="36" xr3:uid="{BDD0FD2C-608F-4CCC-867B-4481F0F4B802}" name="RestAdj" dataDxfId="27">
      <calculatedColumnFormula>MAX(-16, MIN(16, Games[[#This Row],[RestDiff]]*8))</calculatedColumnFormula>
    </tableColumn>
    <tableColumn id="37" xr3:uid="{5F89213A-4C28-428C-B766-3B05D4F530A5}" name="OppRestAdj" dataDxfId="26">
      <calculatedColumnFormula>MAX(-16, MIN(16, Games[[#This Row],[OppRestDiff]]*8))</calculatedColumnFormula>
    </tableColumn>
    <tableColumn id="4" xr3:uid="{68053CFA-948B-4F2C-A114-7C46ABD9EA33}" name="PreGmRate" dataDxfId="25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4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3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2"/>
    <tableColumn id="8" xr3:uid="{0CDDF0F9-2F1E-487C-96DD-90F70CE7DAFC}" name="PointsAgainst" dataDxfId="21"/>
    <tableColumn id="22" xr3:uid="{AB7B5B5C-5BAD-4213-990E-8EB9B177497C}" name="OT" dataDxfId="20"/>
    <tableColumn id="9" xr3:uid="{CE171F1D-5E5D-4800-A6DC-8F6DBD74C939}" name="MOV" dataDxfId="19">
      <calculatedColumnFormula>Games[[#This Row],[PointsFor]]-Games[[#This Row],[PointsAgainst]]</calculatedColumnFormula>
    </tableColumn>
    <tableColumn id="10" xr3:uid="{883A3911-25F6-4C39-9637-F1C42D6A1FC2}" name="Result" dataDxfId="18">
      <calculatedColumnFormula>IF(Games[[#This Row],[MOV]]&gt;0,1,IF(Games[[#This Row],[MOV]]=0,0.5,0))</calculatedColumnFormula>
    </tableColumn>
    <tableColumn id="15" xr3:uid="{00048431-5FD6-47EE-807E-5B63FD521193}" name="MOVMult" dataDxfId="17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6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5">
      <calculatedColumnFormula>MAX(kmin, kmax - 0.15 * MIN(Games[[#This Row],[GamesPlayed]], 82))</calculatedColumnFormula>
    </tableColumn>
    <tableColumn id="29" xr3:uid="{FBA5D644-15ED-4725-9E52-1D37FD0FAC64}" name="Keff" dataDxfId="14">
      <calculatedColumnFormula>Games[[#This Row],[K]]*Games[[#This Row],[POMult]]</calculatedColumnFormula>
    </tableColumn>
    <tableColumn id="11" xr3:uid="{309DAEBD-E62C-4090-89E9-A58FD32AB89B}" name="RatingChange" dataDxfId="13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2">
      <calculatedColumnFormula>Games[[#This Row],[PreGmRate]]+Games[[#This Row],[RatingChange]]</calculatedColumnFormula>
    </tableColumn>
    <tableColumn id="17" xr3:uid="{90B7BF87-E472-4474-A10D-555BD3BF8F04}" name="W" dataDxfId="11">
      <calculatedColumnFormula>IF(Games[[#This Row],[Type]]="R",IF(Games[[#This Row],[Result]]&gt;0.5,1,0),0)</calculatedColumnFormula>
    </tableColumn>
    <tableColumn id="18" xr3:uid="{29756EA1-783D-4C76-A7B8-F906AF0EC7E7}" name="L" dataDxfId="10">
      <calculatedColumnFormula>IF(Games[[#This Row],[Type]]="R",IF(Games[[#This Row],[Result]]&lt;0.5,1,0),0)</calculatedColumnFormula>
    </tableColumn>
    <tableColumn id="23" xr3:uid="{C253CFA7-28A4-4AE5-B131-DC1E8F2B73F8}" name="R1W" dataDxfId="9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8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7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6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5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4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3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31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1568.4075422964099</v>
      </c>
      <c r="G2" t="s">
        <v>68</v>
      </c>
      <c r="H2" s="12">
        <v>1516.4291176582831</v>
      </c>
    </row>
    <row r="3" spans="1:8" x14ac:dyDescent="0.35">
      <c r="A3" t="s">
        <v>1</v>
      </c>
      <c r="B3" s="8"/>
      <c r="C3" s="15" t="s">
        <v>69</v>
      </c>
      <c r="D3" s="13">
        <v>1586.8530923230039</v>
      </c>
      <c r="G3" t="s">
        <v>69</v>
      </c>
      <c r="H3" s="12">
        <v>1402.8521671907426</v>
      </c>
    </row>
    <row r="4" spans="1:8" x14ac:dyDescent="0.35">
      <c r="A4" t="s">
        <v>77</v>
      </c>
      <c r="B4" s="8"/>
      <c r="C4" s="15" t="s">
        <v>78</v>
      </c>
      <c r="D4" s="13">
        <v>1376.2267112780391</v>
      </c>
      <c r="G4" t="s">
        <v>78</v>
      </c>
      <c r="H4" s="12">
        <v>1382.2834818958895</v>
      </c>
    </row>
    <row r="5" spans="1:8" x14ac:dyDescent="0.35">
      <c r="A5" t="s">
        <v>2</v>
      </c>
      <c r="B5" s="8"/>
      <c r="C5" s="15" t="s">
        <v>65</v>
      </c>
      <c r="D5" s="13">
        <v>1554.0546306403492</v>
      </c>
      <c r="G5" t="s">
        <v>65</v>
      </c>
      <c r="H5" s="12">
        <v>1633.156823695831</v>
      </c>
    </row>
    <row r="6" spans="1:8" x14ac:dyDescent="0.35">
      <c r="A6" t="s">
        <v>85</v>
      </c>
      <c r="B6" s="8"/>
      <c r="C6" s="15" t="s">
        <v>86</v>
      </c>
      <c r="D6" s="13">
        <v>1388.3556357441335</v>
      </c>
      <c r="G6" t="s">
        <v>86</v>
      </c>
      <c r="H6" s="12">
        <v>1479.8466279585643</v>
      </c>
    </row>
    <row r="7" spans="1:8" x14ac:dyDescent="0.35">
      <c r="A7" t="s">
        <v>71</v>
      </c>
      <c r="B7" s="8"/>
      <c r="C7" s="15" t="s">
        <v>72</v>
      </c>
      <c r="D7" s="13">
        <v>1767.751573356926</v>
      </c>
      <c r="G7" t="s">
        <v>72</v>
      </c>
      <c r="H7" s="12">
        <v>1747.9867640996329</v>
      </c>
    </row>
    <row r="8" spans="1:8" x14ac:dyDescent="0.35">
      <c r="A8" t="s">
        <v>83</v>
      </c>
      <c r="B8" s="8"/>
      <c r="C8" s="15" t="s">
        <v>84</v>
      </c>
      <c r="D8" s="13">
        <v>1540.1802894579007</v>
      </c>
      <c r="G8" t="s">
        <v>84</v>
      </c>
      <c r="H8" s="12">
        <v>1492.5789788958693</v>
      </c>
    </row>
    <row r="9" spans="1:8" x14ac:dyDescent="0.35">
      <c r="A9" t="s">
        <v>80</v>
      </c>
      <c r="B9" s="8"/>
      <c r="C9" s="15" t="s">
        <v>82</v>
      </c>
      <c r="D9" s="13">
        <v>1452.7743813825264</v>
      </c>
      <c r="G9" t="s">
        <v>82</v>
      </c>
      <c r="H9" s="12">
        <v>1398.597093746286</v>
      </c>
    </row>
    <row r="10" spans="1:8" x14ac:dyDescent="0.35">
      <c r="A10" t="s">
        <v>66</v>
      </c>
      <c r="B10" s="8"/>
      <c r="C10" s="15" t="s">
        <v>67</v>
      </c>
      <c r="D10" s="13">
        <v>1564.0662557424341</v>
      </c>
      <c r="G10" t="s">
        <v>67</v>
      </c>
      <c r="H10" s="12">
        <v>1540.325418951423</v>
      </c>
    </row>
    <row r="11" spans="1:8" x14ac:dyDescent="0.35">
      <c r="A11" t="s">
        <v>79</v>
      </c>
      <c r="B11" s="8"/>
      <c r="C11" s="15" t="s">
        <v>81</v>
      </c>
      <c r="D11" s="13">
        <v>1453.7846326223698</v>
      </c>
      <c r="G11" t="s">
        <v>81</v>
      </c>
      <c r="H11" s="12">
        <v>1487.7747399008049</v>
      </c>
    </row>
    <row r="12" spans="1:8" x14ac:dyDescent="0.35">
      <c r="A12" t="s">
        <v>44</v>
      </c>
      <c r="B12" s="8"/>
      <c r="C12" s="15" t="s">
        <v>70</v>
      </c>
      <c r="D12" s="13">
        <v>1468.4544281967624</v>
      </c>
      <c r="G12" t="s">
        <v>70</v>
      </c>
      <c r="H12" s="12">
        <v>1367.0523422285416</v>
      </c>
    </row>
    <row r="13" spans="1:8" x14ac:dyDescent="0.35">
      <c r="A13" t="s">
        <v>89</v>
      </c>
      <c r="B13" s="8"/>
      <c r="C13" s="15" t="s">
        <v>90</v>
      </c>
      <c r="D13" s="13">
        <v>1363.8217724027888</v>
      </c>
      <c r="G13" t="s">
        <v>90</v>
      </c>
      <c r="H13" s="12">
        <v>1478.9827996078743</v>
      </c>
    </row>
    <row r="14" spans="1:8" x14ac:dyDescent="0.35">
      <c r="A14" t="s">
        <v>45</v>
      </c>
      <c r="B14" s="8"/>
      <c r="C14" s="15" t="s">
        <v>73</v>
      </c>
      <c r="D14" s="13">
        <v>1648.7354380335039</v>
      </c>
      <c r="G14" t="s">
        <v>73</v>
      </c>
      <c r="H14" s="12">
        <v>1521.3115140326775</v>
      </c>
    </row>
    <row r="15" spans="1:8" x14ac:dyDescent="0.35">
      <c r="A15" t="s">
        <v>87</v>
      </c>
      <c r="B15" s="8"/>
      <c r="C15" s="15" t="s">
        <v>88</v>
      </c>
      <c r="D15" s="13">
        <v>1358.6057404795877</v>
      </c>
      <c r="G15" t="s">
        <v>88</v>
      </c>
      <c r="H15" s="12">
        <v>1513.2313889012701</v>
      </c>
    </row>
    <row r="16" spans="1:8" x14ac:dyDescent="0.35">
      <c r="A16" t="s">
        <v>43</v>
      </c>
      <c r="B16" s="8"/>
      <c r="C16" s="15" t="s">
        <v>74</v>
      </c>
      <c r="D16" s="13">
        <v>1530.4822417803784</v>
      </c>
      <c r="G16" t="s">
        <v>74</v>
      </c>
      <c r="H16" s="12">
        <v>1566.8511951076623</v>
      </c>
    </row>
    <row r="17" spans="1:8" x14ac:dyDescent="0.35">
      <c r="A17" t="s">
        <v>75</v>
      </c>
      <c r="B17" s="8"/>
      <c r="C17" s="15" t="s">
        <v>76</v>
      </c>
      <c r="D17" s="13">
        <v>1375.8134458884381</v>
      </c>
      <c r="G17" t="s">
        <v>76</v>
      </c>
      <c r="H17" s="12">
        <v>1469.2426013181562</v>
      </c>
    </row>
    <row r="18" spans="1:8" x14ac:dyDescent="0.35">
      <c r="B18" s="8"/>
      <c r="C18" s="15"/>
      <c r="D18" s="13"/>
    </row>
    <row r="19" spans="1:8" x14ac:dyDescent="0.35">
      <c r="B19" s="8"/>
      <c r="C19" s="15"/>
      <c r="D19" s="13"/>
    </row>
    <row r="20" spans="1:8" x14ac:dyDescent="0.35">
      <c r="B20" s="8"/>
      <c r="C20" s="15"/>
      <c r="D20" s="13"/>
    </row>
    <row r="21" spans="1:8" x14ac:dyDescent="0.35">
      <c r="B21" s="8"/>
      <c r="C21" s="15"/>
      <c r="D21" s="13"/>
    </row>
    <row r="22" spans="1:8" x14ac:dyDescent="0.35">
      <c r="B22" s="8"/>
      <c r="C22" s="15"/>
      <c r="D22" s="13"/>
    </row>
    <row r="23" spans="1:8" x14ac:dyDescent="0.35">
      <c r="B23" s="8"/>
      <c r="C23" s="15"/>
      <c r="D23" s="13"/>
    </row>
    <row r="24" spans="1:8" x14ac:dyDescent="0.35">
      <c r="B24" s="8"/>
      <c r="C24" s="15"/>
      <c r="D24" s="13"/>
    </row>
    <row r="25" spans="1:8" x14ac:dyDescent="0.35">
      <c r="B25" s="8"/>
      <c r="C25" s="15"/>
      <c r="D25" s="13"/>
    </row>
    <row r="26" spans="1:8" x14ac:dyDescent="0.35">
      <c r="B26" s="8"/>
      <c r="C26" s="15"/>
      <c r="D26" s="13"/>
    </row>
    <row r="27" spans="1:8" x14ac:dyDescent="0.35">
      <c r="B27" s="8"/>
      <c r="C27" s="15"/>
      <c r="D27" s="13"/>
    </row>
    <row r="28" spans="1:8" x14ac:dyDescent="0.35">
      <c r="B28" s="8"/>
      <c r="C28" s="15"/>
      <c r="D28" s="13"/>
    </row>
    <row r="29" spans="1:8" x14ac:dyDescent="0.35">
      <c r="B29" s="8"/>
      <c r="C29" s="8"/>
      <c r="D29" s="13"/>
    </row>
    <row r="30" spans="1:8" x14ac:dyDescent="0.35">
      <c r="B30" s="8"/>
      <c r="C30" s="8"/>
      <c r="D30" s="13"/>
    </row>
    <row r="31" spans="1:8" x14ac:dyDescent="0.35">
      <c r="B31" s="8"/>
      <c r="C31" s="8"/>
      <c r="D31" s="13"/>
    </row>
  </sheetData>
  <sortState xmlns:xlrd2="http://schemas.microsoft.com/office/spreadsheetml/2017/richdata2" ref="G2:H17">
    <sortCondition ref="G2:G17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40"/>
  <sheetViews>
    <sheetView workbookViewId="0">
      <selection activeCell="G2" sqref="G2:G17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7">_xlfn.SORTBY(A25:H40,G25:G40,-1)</f>
        <v>LAS</v>
      </c>
      <c r="B2">
        <v>0</v>
      </c>
      <c r="C2" t="str">
        <v>Los Angeles Sparks</v>
      </c>
      <c r="D2" s="1">
        <v>28</v>
      </c>
      <c r="E2" s="1">
        <v>4</v>
      </c>
      <c r="F2" s="3">
        <v>0.875</v>
      </c>
      <c r="G2" s="9">
        <v>1747.9867640996329</v>
      </c>
      <c r="H2" s="1">
        <v>37499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2</v>
      </c>
      <c r="AP2" s="1">
        <f>_xlfn.XLOOKUP($AK2,StandingsPivot!$A$4:$A$33,StandingsPivot!F$4:F$33)</f>
        <v>0</v>
      </c>
      <c r="AQ2" s="1">
        <f>_xlfn.XLOOKUP($AK2,StandingsPivot!$A$4:$A$33,StandingsPivot!G$4:G$33)</f>
        <v>0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0</v>
      </c>
      <c r="AW2" s="1">
        <f t="shared" ref="AW2:AW5" si="1">SUM(AO2,AQ2,AS2,AU2)</f>
        <v>2</v>
      </c>
      <c r="AX2" s="4" cm="1">
        <f t="array" ref="AX2">_xlfn.IFNA(INDEX(Games[PostGmRate], MATCH(1, (Games[Team]=AK2)*(Games[Date]=AY2), 0)),0)</f>
        <v>1633.156823695831</v>
      </c>
      <c r="AY2" s="1">
        <f>_xlfn.MAXIFS(Games[Date], Games[Team], AK2)</f>
        <v>37488</v>
      </c>
      <c r="AZ2">
        <f t="shared" ref="AZ2:AZ5" si="2">SUM(AV2:AW2)</f>
        <v>2</v>
      </c>
    </row>
    <row r="3" spans="1:68" x14ac:dyDescent="0.35">
      <c r="A3" t="str">
        <v>HOU</v>
      </c>
      <c r="B3">
        <v>0</v>
      </c>
      <c r="C3" t="str">
        <v>Houston Comets</v>
      </c>
      <c r="D3" s="1">
        <v>19</v>
      </c>
      <c r="E3" s="1">
        <v>13</v>
      </c>
      <c r="F3" s="3">
        <v>0.59375</v>
      </c>
      <c r="G3" s="9">
        <v>1633.156823695831</v>
      </c>
      <c r="H3" s="1">
        <v>37488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2</v>
      </c>
      <c r="AO3" s="1">
        <f>_xlfn.XLOOKUP($AK3,StandingsPivot!$A$4:$A$33,StandingsPivot!E$4:E$33)</f>
        <v>1</v>
      </c>
      <c r="AP3" s="1">
        <f>_xlfn.XLOOKUP($AK3,StandingsPivot!$A$4:$A$33,StandingsPivot!F$4:F$33)</f>
        <v>1</v>
      </c>
      <c r="AQ3" s="1">
        <f>_xlfn.XLOOKUP($AK3,StandingsPivot!$A$4:$A$33,StandingsPivot!G$4:G$33)</f>
        <v>1</v>
      </c>
      <c r="AR3" s="1">
        <f>_xlfn.XLOOKUP($AK3,StandingsPivot!$A$4:$A$33,StandingsPivot!H$4:H$33)</f>
        <v>0</v>
      </c>
      <c r="AS3" s="1">
        <f>_xlfn.XLOOKUP($AK3,StandingsPivot!$A$4:$A$33,StandingsPivot!I$4:I$33)</f>
        <v>1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3</v>
      </c>
      <c r="AW3" s="1">
        <f t="shared" si="1"/>
        <v>3</v>
      </c>
      <c r="AX3" s="4" cm="1">
        <f t="array" ref="AX3">_xlfn.IFNA(INDEX(Games[PostGmRate], MATCH(1, (Games[Team]=AK3)*(Games[Date]=AY3), 0)),0)</f>
        <v>1540.325418951423</v>
      </c>
      <c r="AY3" s="1">
        <f>_xlfn.MAXIFS(Games[Date], Games[Team], AK3)</f>
        <v>37499</v>
      </c>
      <c r="AZ3">
        <f t="shared" si="2"/>
        <v>6</v>
      </c>
    </row>
    <row r="4" spans="1:68" x14ac:dyDescent="0.35">
      <c r="A4" t="str">
        <v>UTA</v>
      </c>
      <c r="B4">
        <v>0</v>
      </c>
      <c r="C4" t="str">
        <v>Utah Starzz</v>
      </c>
      <c r="D4" s="1">
        <v>19</v>
      </c>
      <c r="E4" s="1">
        <v>13</v>
      </c>
      <c r="F4" s="3">
        <v>0.59375</v>
      </c>
      <c r="G4" s="9">
        <v>1566.8511951076623</v>
      </c>
      <c r="H4" s="1">
        <v>37492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2</v>
      </c>
      <c r="AO4" s="1">
        <f>_xlfn.XLOOKUP($AK4,StandingsPivot!$A$4:$A$33,StandingsPivot!E$4:E$33)</f>
        <v>1</v>
      </c>
      <c r="AP4" s="1">
        <f>_xlfn.XLOOKUP($AK4,StandingsPivot!$A$4:$A$33,StandingsPivot!F$4:F$33)</f>
        <v>1</v>
      </c>
      <c r="AQ4" s="1">
        <f>_xlfn.XLOOKUP($AK4,StandingsPivot!$A$4:$A$33,StandingsPivot!G$4:G$33)</f>
        <v>1</v>
      </c>
      <c r="AR4" s="1">
        <f>_xlfn.XLOOKUP($AK4,StandingsPivot!$A$4:$A$33,StandingsPivot!H$4:H$33)</f>
        <v>1</v>
      </c>
      <c r="AS4" s="1">
        <f>_xlfn.XLOOKUP($AK4,StandingsPivot!$A$4:$A$33,StandingsPivot!I$4:I$33)</f>
        <v>2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4</v>
      </c>
      <c r="AW4" s="1">
        <f t="shared" si="1"/>
        <v>4</v>
      </c>
      <c r="AX4" s="4" cm="1">
        <f t="array" ref="AX4">_xlfn.IFNA(INDEX(Games[PostGmRate], MATCH(1, (Games[Team]=AK4)*(Games[Date]=AY4), 0)),0)</f>
        <v>1516.4291176582831</v>
      </c>
      <c r="AY4" s="1">
        <f>_xlfn.MAXIFS(Games[Date], Games[Team], AK4)</f>
        <v>37485</v>
      </c>
      <c r="AZ4">
        <f t="shared" si="2"/>
        <v>8</v>
      </c>
    </row>
    <row r="5" spans="1:68" x14ac:dyDescent="0.35">
      <c r="A5" t="str">
        <v>NYL</v>
      </c>
      <c r="B5">
        <v>0</v>
      </c>
      <c r="C5" t="str">
        <v>New York Liberty</v>
      </c>
      <c r="D5" s="1">
        <v>21</v>
      </c>
      <c r="E5" s="1">
        <v>11</v>
      </c>
      <c r="F5" s="3">
        <v>0.65625</v>
      </c>
      <c r="G5" s="9">
        <v>1540.325418951423</v>
      </c>
      <c r="H5" s="1">
        <v>37499</v>
      </c>
      <c r="O5" s="4"/>
      <c r="P5" s="4"/>
      <c r="Q5" s="1"/>
      <c r="AK5" t="s">
        <v>1</v>
      </c>
      <c r="AL5">
        <f>_xlfn.XLOOKUP(AK5,ConfDiv[TeamID],ConfDiv[Logo])</f>
        <v>0</v>
      </c>
      <c r="AM5" t="str">
        <f>_xlfn.XLOOKUP(AK5,ConfDiv[TeamID],ConfDiv[TeamName])</f>
        <v>Cleveland Rockers</v>
      </c>
      <c r="AN5" s="1">
        <f>_xlfn.XLOOKUP($AK5,StandingsPivot!$A$4:$A$33,StandingsPivot!D$4:D$33)</f>
        <v>1</v>
      </c>
      <c r="AO5" s="1">
        <f>_xlfn.XLOOKUP($AK5,StandingsPivot!$A$4:$A$33,StandingsPivot!E$4:E$33)</f>
        <v>2</v>
      </c>
      <c r="AP5" s="1">
        <f>_xlfn.XLOOKUP($AK5,StandingsPivot!$A$4:$A$33,StandingsPivot!F$4:F$33)</f>
        <v>0</v>
      </c>
      <c r="AQ5" s="1">
        <f>_xlfn.XLOOKUP($AK5,StandingsPivot!$A$4:$A$33,StandingsPivot!G$4:G$33)</f>
        <v>0</v>
      </c>
      <c r="AR5" s="1">
        <f>_xlfn.XLOOKUP($AK5,StandingsPivot!$A$4:$A$33,StandingsPivot!H$4:H$33)</f>
        <v>0</v>
      </c>
      <c r="AS5" s="1">
        <f>_xlfn.XLOOKUP($AK5,StandingsPivot!$A$4:$A$33,StandingsPivot!I$4:I$33)</f>
        <v>0</v>
      </c>
      <c r="AT5" s="1">
        <f>_xlfn.XLOOKUP($AK5,StandingsPivot!$A$4:$A$33,StandingsPivot!J$4:J$33)</f>
        <v>0</v>
      </c>
      <c r="AU5" s="1">
        <f>_xlfn.XLOOKUP($AK5,StandingsPivot!$A$4:$A$33,StandingsPivot!K$4:K$33)</f>
        <v>0</v>
      </c>
      <c r="AV5" s="1">
        <f t="shared" si="0"/>
        <v>1</v>
      </c>
      <c r="AW5" s="1">
        <f t="shared" si="1"/>
        <v>2</v>
      </c>
      <c r="AX5" s="4" cm="1">
        <f t="array" ref="AX5">_xlfn.IFNA(INDEX(Games[PostGmRate], MATCH(1, (Games[Team]=AK5)*(Games[Date]=AY5), 0)),0)</f>
        <v>1402.8521671907426</v>
      </c>
      <c r="AY5" s="1">
        <f>_xlfn.MAXIFS(Games[Date], Games[Team], AK5)</f>
        <v>37481</v>
      </c>
      <c r="AZ5">
        <f t="shared" si="2"/>
        <v>3</v>
      </c>
    </row>
    <row r="6" spans="1:68" x14ac:dyDescent="0.35">
      <c r="A6" t="str">
        <v>SAC</v>
      </c>
      <c r="B6">
        <v>0</v>
      </c>
      <c r="C6" t="str">
        <v>Sacramento Monarchs</v>
      </c>
      <c r="D6" s="1">
        <v>20</v>
      </c>
      <c r="E6" s="1">
        <v>12</v>
      </c>
      <c r="F6" s="3">
        <v>0.625</v>
      </c>
      <c r="G6" s="9">
        <v>1521.3115140326775</v>
      </c>
      <c r="H6" s="1">
        <v>37481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1367.0523422285416</v>
      </c>
      <c r="AY6" s="1">
        <f>_xlfn.MAXIFS(Games[Date], Games[Team], AK6)</f>
        <v>37481</v>
      </c>
      <c r="AZ6">
        <f>SUM(AV6:AW6)</f>
        <v>0</v>
      </c>
      <c r="BO6" s="4"/>
      <c r="BP6" s="1"/>
    </row>
    <row r="7" spans="1:68" x14ac:dyDescent="0.35">
      <c r="A7" t="str">
        <v>CHA</v>
      </c>
      <c r="B7">
        <v>0</v>
      </c>
      <c r="C7" t="str">
        <v>Charlotte Sting</v>
      </c>
      <c r="D7" s="1">
        <v>18</v>
      </c>
      <c r="E7" s="1">
        <v>14</v>
      </c>
      <c r="F7" s="3">
        <v>0.5625</v>
      </c>
      <c r="G7" s="9">
        <v>1516.4291176582831</v>
      </c>
      <c r="H7" s="1">
        <v>37485</v>
      </c>
      <c r="AK7" t="s">
        <v>71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2</v>
      </c>
      <c r="AO7" s="1">
        <f>_xlfn.XLOOKUP($AK7,StandingsPivot!$A$4:$A$33,StandingsPivot!E$4:E$33)</f>
        <v>0</v>
      </c>
      <c r="AP7" s="1">
        <f>_xlfn.XLOOKUP($AK7,StandingsPivot!$A$4:$A$33,StandingsPivot!F$4:F$33)</f>
        <v>2</v>
      </c>
      <c r="AQ7" s="1">
        <f>_xlfn.XLOOKUP($AK7,StandingsPivot!$A$4:$A$33,StandingsPivot!G$4:G$33)</f>
        <v>1</v>
      </c>
      <c r="AR7" s="1">
        <f>_xlfn.XLOOKUP($AK7,StandingsPivot!$A$4:$A$33,StandingsPivot!H$4:H$33)</f>
        <v>2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6</v>
      </c>
      <c r="AW7" s="1">
        <f t="shared" si="3"/>
        <v>1</v>
      </c>
      <c r="AX7" s="4" cm="1">
        <f t="array" ref="AX7">_xlfn.IFNA(INDEX(Games[PostGmRate], MATCH(1, (Games[Team]=AK7)*(Games[Date]=AY7), 0)),0)</f>
        <v>1747.9867640996329</v>
      </c>
      <c r="AY7" s="1">
        <f>_xlfn.MAXIFS(Games[Date], Games[Team], AK7)</f>
        <v>37499</v>
      </c>
      <c r="AZ7">
        <f>SUM(AV7:AW7)</f>
        <v>7</v>
      </c>
      <c r="BO7" s="4"/>
      <c r="BP7" s="1"/>
    </row>
    <row r="8" spans="1:68" x14ac:dyDescent="0.35">
      <c r="A8" t="str">
        <v>SEA</v>
      </c>
      <c r="B8">
        <v>0</v>
      </c>
      <c r="C8" t="str">
        <v>Seattle Storm</v>
      </c>
      <c r="D8" s="1">
        <v>10</v>
      </c>
      <c r="E8" s="1">
        <v>22</v>
      </c>
      <c r="F8" s="3">
        <v>0.3125</v>
      </c>
      <c r="G8" s="9">
        <v>1513.2313889012701</v>
      </c>
      <c r="H8" s="1">
        <v>37485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2</v>
      </c>
      <c r="AO8" s="1">
        <f>_xlfn.XLOOKUP($AK8,StandingsPivot!$A$4:$A$33,StandingsPivot!E$4:E$33)</f>
        <v>0</v>
      </c>
      <c r="AP8" s="1">
        <f>_xlfn.XLOOKUP($AK8,StandingsPivot!$A$4:$A$33,StandingsPivot!F$4:F$33)</f>
        <v>1</v>
      </c>
      <c r="AQ8" s="1">
        <f>_xlfn.XLOOKUP($AK8,StandingsPivot!$A$4:$A$33,StandingsPivot!G$4:G$33)</f>
        <v>2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3</v>
      </c>
      <c r="AW8" s="1">
        <f t="shared" si="3"/>
        <v>2</v>
      </c>
      <c r="AX8" s="4" cm="1">
        <f t="array" ref="AX8">_xlfn.IFNA(INDEX(Games[PostGmRate], MATCH(1, (Games[Team]=AK8)*(Games[Date]=AY8), 0)),0)</f>
        <v>1521.3115140326775</v>
      </c>
      <c r="AY8" s="1">
        <f>_xlfn.MAXIFS(Games[Date], Games[Team], AK8)</f>
        <v>37481</v>
      </c>
      <c r="AZ8">
        <f>SUM(AV8:AW8)</f>
        <v>5</v>
      </c>
      <c r="BO8" s="4"/>
      <c r="BP8" s="1"/>
    </row>
    <row r="9" spans="1:68" x14ac:dyDescent="0.35">
      <c r="A9" t="str">
        <v>MIA</v>
      </c>
      <c r="B9">
        <v>0</v>
      </c>
      <c r="C9" t="str">
        <v>Miami Sol</v>
      </c>
      <c r="D9" s="1">
        <v>20</v>
      </c>
      <c r="E9" s="1">
        <v>12</v>
      </c>
      <c r="F9" s="3">
        <v>0.625</v>
      </c>
      <c r="G9" s="9">
        <v>1492.5789788958693</v>
      </c>
      <c r="H9" s="1">
        <v>37481</v>
      </c>
      <c r="O9" s="3"/>
      <c r="P9" s="4"/>
      <c r="Q9" s="1"/>
      <c r="AK9" t="s">
        <v>43</v>
      </c>
      <c r="AL9">
        <f>_xlfn.XLOOKUP(AK9,ConfDiv[TeamID],ConfDiv[Logo])</f>
        <v>0</v>
      </c>
      <c r="AM9" t="str">
        <f>_xlfn.XLOOKUP(AK9,ConfDiv[TeamID],ConfDiv[TeamName])</f>
        <v>Utah Starzz</v>
      </c>
      <c r="AN9" s="1">
        <f>_xlfn.XLOOKUP($AK9,StandingsPivot!$A$4:$A$33,StandingsPivot!D$4:D$33)</f>
        <v>0</v>
      </c>
      <c r="AO9" s="1">
        <f>_xlfn.XLOOKUP($AK9,StandingsPivot!$A$4:$A$33,StandingsPivot!E$4:E$33)</f>
        <v>2</v>
      </c>
      <c r="AP9" s="1">
        <f>_xlfn.XLOOKUP($AK9,StandingsPivot!$A$4:$A$33,StandingsPivot!F$4:F$33)</f>
        <v>0</v>
      </c>
      <c r="AQ9" s="1">
        <f>_xlfn.XLOOKUP($AK9,StandingsPivot!$A$4:$A$33,StandingsPivot!G$4:G$33)</f>
        <v>0</v>
      </c>
      <c r="AR9" s="1">
        <f>_xlfn.XLOOKUP($AK9,StandingsPivot!$A$4:$A$33,StandingsPivot!H$4:H$33)</f>
        <v>0</v>
      </c>
      <c r="AS9" s="1">
        <f>_xlfn.XLOOKUP($AK9,StandingsPivot!$A$4:$A$33,StandingsPivot!I$4:I$33)</f>
        <v>0</v>
      </c>
      <c r="AT9" s="1">
        <f>_xlfn.XLOOKUP($AK9,StandingsPivot!$A$4:$A$33,StandingsPivot!J$4:J$33)</f>
        <v>0</v>
      </c>
      <c r="AU9" s="1">
        <f>_xlfn.XLOOKUP($AK9,StandingsPivot!$A$4:$A$33,StandingsPivot!K$4:K$33)</f>
        <v>0</v>
      </c>
      <c r="AV9" s="1">
        <f t="shared" si="3"/>
        <v>0</v>
      </c>
      <c r="AW9" s="1">
        <f t="shared" si="3"/>
        <v>2</v>
      </c>
      <c r="AX9" s="4" cm="1">
        <f t="array" ref="AX9">_xlfn.IFNA(INDEX(Games[PostGmRate], MATCH(1, (Games[Team]=AK9)*(Games[Date]=AY9), 0)),0)</f>
        <v>1566.8511951076623</v>
      </c>
      <c r="AY9" s="1">
        <f>_xlfn.MAXIFS(Games[Date], Games[Team], AK9)</f>
        <v>37492</v>
      </c>
      <c r="AZ9">
        <f>SUM(AV9:AW9)</f>
        <v>2</v>
      </c>
      <c r="BO9" s="4"/>
      <c r="BP9" s="1"/>
    </row>
    <row r="10" spans="1:68" x14ac:dyDescent="0.35">
      <c r="A10" t="str">
        <v>ORL</v>
      </c>
      <c r="B10">
        <v>0</v>
      </c>
      <c r="C10" t="str">
        <v>Orlando Miracle</v>
      </c>
      <c r="D10" s="1">
        <v>13</v>
      </c>
      <c r="E10" s="1">
        <v>19</v>
      </c>
      <c r="F10" s="3">
        <v>0.40625</v>
      </c>
      <c r="G10" s="9">
        <v>1487.7747399008049</v>
      </c>
      <c r="H10" s="1">
        <v>37481</v>
      </c>
      <c r="O10" s="3"/>
      <c r="P10" s="4"/>
      <c r="Q10" s="1"/>
      <c r="AX10" s="4"/>
      <c r="BO10" s="4"/>
      <c r="BP10" s="1"/>
    </row>
    <row r="11" spans="1:68" x14ac:dyDescent="0.35">
      <c r="A11" t="str">
        <v>IND</v>
      </c>
      <c r="B11">
        <v>0</v>
      </c>
      <c r="C11" t="str">
        <v>Indiana Fever</v>
      </c>
      <c r="D11" s="1">
        <v>10</v>
      </c>
      <c r="E11" s="1">
        <v>22</v>
      </c>
      <c r="F11" s="3">
        <v>0.3125</v>
      </c>
      <c r="G11" s="9">
        <v>1479.8466279585643</v>
      </c>
      <c r="H11" s="1">
        <v>37488</v>
      </c>
      <c r="O11" s="3"/>
      <c r="P11" s="4"/>
      <c r="Q11" s="1"/>
      <c r="AX11" s="4"/>
      <c r="BO11" s="4"/>
      <c r="BP11" s="1"/>
    </row>
    <row r="12" spans="1:68" x14ac:dyDescent="0.35">
      <c r="A12" t="str">
        <v>POR</v>
      </c>
      <c r="B12">
        <v>0</v>
      </c>
      <c r="C12" t="str">
        <v>Portland Fire</v>
      </c>
      <c r="D12" s="1">
        <v>11</v>
      </c>
      <c r="E12" s="1">
        <v>21</v>
      </c>
      <c r="F12" s="3">
        <v>0.34375</v>
      </c>
      <c r="G12" s="9">
        <v>1478.9827996078743</v>
      </c>
      <c r="H12" s="1">
        <v>37479</v>
      </c>
      <c r="O12" s="3"/>
      <c r="P12" s="4"/>
      <c r="Q12" s="1"/>
      <c r="AX12" s="4"/>
      <c r="BO12" s="4"/>
      <c r="BP12" s="1"/>
    </row>
    <row r="13" spans="1:68" x14ac:dyDescent="0.35">
      <c r="A13" t="str">
        <v>WAS</v>
      </c>
      <c r="B13">
        <v>0</v>
      </c>
      <c r="C13" t="str">
        <v>Washington Mystics</v>
      </c>
      <c r="D13" s="1">
        <v>10</v>
      </c>
      <c r="E13" s="1">
        <v>22</v>
      </c>
      <c r="F13" s="3">
        <v>0.3125</v>
      </c>
      <c r="G13" s="9">
        <v>1469.2426013181562</v>
      </c>
      <c r="H13" s="1">
        <v>37493</v>
      </c>
      <c r="AX13" s="4"/>
      <c r="BO13" s="4"/>
      <c r="BP13" s="1"/>
    </row>
    <row r="14" spans="1:68" x14ac:dyDescent="0.35">
      <c r="A14" t="str">
        <v>CLE</v>
      </c>
      <c r="B14">
        <v>0</v>
      </c>
      <c r="C14" t="str">
        <v>Cleveland Rockers</v>
      </c>
      <c r="D14" s="1">
        <v>22</v>
      </c>
      <c r="E14" s="1">
        <v>10</v>
      </c>
      <c r="F14" s="3">
        <v>0.6875</v>
      </c>
      <c r="G14" s="9">
        <v>1402.8521671907426</v>
      </c>
      <c r="H14" s="1">
        <v>37481</v>
      </c>
      <c r="O14" s="3"/>
      <c r="P14" s="4"/>
      <c r="Q14" s="1"/>
      <c r="AX14" s="4"/>
      <c r="BO14" s="4"/>
      <c r="BP14" s="1"/>
    </row>
    <row r="15" spans="1:68" x14ac:dyDescent="0.35">
      <c r="A15" t="str">
        <v>MIN</v>
      </c>
      <c r="B15">
        <v>0</v>
      </c>
      <c r="C15" t="str">
        <v>Minnesota Lynx</v>
      </c>
      <c r="D15" s="1">
        <v>12</v>
      </c>
      <c r="E15" s="1">
        <v>20</v>
      </c>
      <c r="F15" s="3">
        <v>0.375</v>
      </c>
      <c r="G15" s="9">
        <v>1398.597093746286</v>
      </c>
      <c r="H15" s="1">
        <v>37481</v>
      </c>
      <c r="O15" s="3"/>
      <c r="P15" s="4"/>
      <c r="Q15" s="1"/>
      <c r="AX15" s="4"/>
      <c r="BO15" s="4"/>
      <c r="BP15" s="1"/>
    </row>
    <row r="16" spans="1:68" x14ac:dyDescent="0.35">
      <c r="A16" t="str">
        <v>DET</v>
      </c>
      <c r="B16">
        <v>0</v>
      </c>
      <c r="C16" t="str">
        <v>Detroit Shock</v>
      </c>
      <c r="D16" s="1">
        <v>10</v>
      </c>
      <c r="E16" s="1">
        <v>22</v>
      </c>
      <c r="F16" s="3">
        <v>0.3125</v>
      </c>
      <c r="G16" s="9">
        <v>1382.2834818958895</v>
      </c>
      <c r="H16" s="1">
        <v>37481</v>
      </c>
      <c r="O16" s="3"/>
      <c r="P16" s="4"/>
      <c r="Q16" s="1"/>
      <c r="AX16" s="4"/>
      <c r="BO16" s="4"/>
      <c r="BP16" s="1"/>
    </row>
    <row r="17" spans="1:60" x14ac:dyDescent="0.35">
      <c r="A17" t="str">
        <v>PHX</v>
      </c>
      <c r="B17">
        <v>0</v>
      </c>
      <c r="C17" t="str">
        <v>Phoenix Mercury</v>
      </c>
      <c r="D17" s="1">
        <v>13</v>
      </c>
      <c r="E17" s="1">
        <v>19</v>
      </c>
      <c r="F17" s="3">
        <v>0.40625</v>
      </c>
      <c r="G17" s="9">
        <v>1367.0523422285416</v>
      </c>
      <c r="H17" s="1">
        <v>37481</v>
      </c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18</v>
      </c>
      <c r="E25" s="1">
        <f>_xlfn.XLOOKUP($A25,StandingsPivot!$A$4:$A$35,StandingsPivot!C$4:C$35)</f>
        <v>14</v>
      </c>
      <c r="F25" s="3">
        <f>(D25)/(D25+E25)</f>
        <v>0.5625</v>
      </c>
      <c r="G25" s="9" cm="1">
        <f t="array" ref="G25">INDEX(Games[PostGmRate], MATCH(1, (Games[Team]=A25)*(Games[Date]=H25), 0))</f>
        <v>1516.4291176582831</v>
      </c>
      <c r="H25" s="1">
        <f>_xlfn.MAXIFS(Games[Date], Games[Team], A25)</f>
        <v>37485</v>
      </c>
      <c r="AR25" s="3"/>
      <c r="AS25" s="4"/>
      <c r="BD25" s="1"/>
      <c r="BG25" s="3"/>
      <c r="BH25" s="4"/>
    </row>
    <row r="26" spans="1:60" x14ac:dyDescent="0.35">
      <c r="A26" t="s">
        <v>1</v>
      </c>
      <c r="B26">
        <f>_xlfn.XLOOKUP(A26,ConfDiv[TeamID],ConfDiv[Logo])</f>
        <v>0</v>
      </c>
      <c r="C26" t="str">
        <f>_xlfn.XLOOKUP(A26,ConfDiv[TeamID],ConfDiv[TeamName])</f>
        <v>Cleveland Rockers</v>
      </c>
      <c r="D26" s="1">
        <f>_xlfn.XLOOKUP($A26,StandingsPivot!$A$4:$A$35,StandingsPivot!B$4:B$35)</f>
        <v>22</v>
      </c>
      <c r="E26" s="1">
        <f>_xlfn.XLOOKUP($A26,StandingsPivot!$A$4:$A$35,StandingsPivot!C$4:C$35)</f>
        <v>10</v>
      </c>
      <c r="F26" s="3">
        <f>(D26)/(D26+E26)</f>
        <v>0.6875</v>
      </c>
      <c r="G26" s="9" cm="1">
        <f t="array" ref="G26">INDEX(Games[PostGmRate], MATCH(1, (Games[Team]=A26)*(Games[Date]=H26), 0))</f>
        <v>1402.8521671907426</v>
      </c>
      <c r="H26" s="1">
        <f>_xlfn.MAXIFS(Games[Date], Games[Team], A26)</f>
        <v>37481</v>
      </c>
      <c r="AR26" s="3"/>
      <c r="AS26" s="4"/>
      <c r="BD26" s="1"/>
      <c r="BG26" s="3"/>
      <c r="BH26" s="4"/>
    </row>
    <row r="27" spans="1:60" x14ac:dyDescent="0.35">
      <c r="A27" t="s">
        <v>77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10</v>
      </c>
      <c r="E27" s="1">
        <f>_xlfn.XLOOKUP($A27,StandingsPivot!$A$4:$A$35,StandingsPivot!C$4:C$35)</f>
        <v>22</v>
      </c>
      <c r="F27" s="3">
        <f>(D27)/(D27+E27)</f>
        <v>0.3125</v>
      </c>
      <c r="G27" s="9" cm="1">
        <f t="array" ref="G27">INDEX(Games[PostGmRate], MATCH(1, (Games[Team]=A27)*(Games[Date]=H27), 0))</f>
        <v>1382.2834818958895</v>
      </c>
      <c r="H27" s="1">
        <f>_xlfn.MAXIFS(Games[Date], Games[Team], A27)</f>
        <v>37481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19</v>
      </c>
      <c r="E28" s="1">
        <f>_xlfn.XLOOKUP($A28,StandingsPivot!$A$4:$A$35,StandingsPivot!C$4:C$35)</f>
        <v>13</v>
      </c>
      <c r="F28" s="3">
        <f>(D28)/(D28+E28)</f>
        <v>0.59375</v>
      </c>
      <c r="G28" s="9" cm="1">
        <f t="array" ref="G28">INDEX(Games[PostGmRate], MATCH(1, (Games[Team]=A28)*(Games[Date]=H28), 0))</f>
        <v>1633.156823695831</v>
      </c>
      <c r="H28" s="1">
        <f>_xlfn.MAXIFS(Games[Date], Games[Team], A28)</f>
        <v>37488</v>
      </c>
      <c r="AR28" s="3"/>
      <c r="AS28" s="4"/>
      <c r="BD28" s="1"/>
      <c r="BG28" s="3"/>
      <c r="BH28" s="4"/>
    </row>
    <row r="29" spans="1:60" x14ac:dyDescent="0.35">
      <c r="A29" t="s">
        <v>85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10</v>
      </c>
      <c r="E29" s="1">
        <f>_xlfn.XLOOKUP($A29,StandingsPivot!$A$4:$A$35,StandingsPivot!C$4:C$35)</f>
        <v>22</v>
      </c>
      <c r="F29" s="3">
        <f>(D29)/(D29+E29)</f>
        <v>0.3125</v>
      </c>
      <c r="G29" s="9" cm="1">
        <f t="array" ref="G29">INDEX(Games[PostGmRate], MATCH(1, (Games[Team]=A29)*(Games[Date]=H29), 0))</f>
        <v>1479.8466279585643</v>
      </c>
      <c r="H29" s="1">
        <f>_xlfn.MAXIFS(Games[Date], Games[Team], A29)</f>
        <v>37488</v>
      </c>
      <c r="AR29" s="3"/>
      <c r="AS29" s="4"/>
      <c r="BD29" s="1"/>
      <c r="BG29" s="3"/>
      <c r="BH29" s="4"/>
    </row>
    <row r="30" spans="1:60" x14ac:dyDescent="0.35">
      <c r="A30" t="s">
        <v>71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28</v>
      </c>
      <c r="E30" s="1">
        <f>_xlfn.XLOOKUP($A30,StandingsPivot!$A$4:$A$35,StandingsPivot!C$4:C$35)</f>
        <v>4</v>
      </c>
      <c r="F30" s="3">
        <f>(D30)/(D30+E30)</f>
        <v>0.875</v>
      </c>
      <c r="G30" s="9" cm="1">
        <f t="array" ref="G30">INDEX(Games[PostGmRate], MATCH(1, (Games[Team]=A30)*(Games[Date]=H30), 0))</f>
        <v>1747.9867640996329</v>
      </c>
      <c r="H30" s="1">
        <f>_xlfn.MAXIFS(Games[Date], Games[Team], A30)</f>
        <v>37499</v>
      </c>
      <c r="AR30" s="3"/>
      <c r="AS30" s="4"/>
      <c r="BD30" s="1"/>
      <c r="BG30" s="3"/>
      <c r="BH30" s="4"/>
    </row>
    <row r="31" spans="1:60" x14ac:dyDescent="0.35">
      <c r="A31" t="s">
        <v>83</v>
      </c>
      <c r="B31">
        <f>_xlfn.XLOOKUP(A31,ConfDiv[TeamID],ConfDiv[Logo])</f>
        <v>0</v>
      </c>
      <c r="C31" t="str">
        <f>_xlfn.XLOOKUP(A31,ConfDiv[TeamID],ConfDiv[TeamName])</f>
        <v>Miami Sol</v>
      </c>
      <c r="D31" s="1">
        <f>_xlfn.XLOOKUP($A31,StandingsPivot!$A$4:$A$35,StandingsPivot!B$4:B$35)</f>
        <v>20</v>
      </c>
      <c r="E31" s="1">
        <f>_xlfn.XLOOKUP($A31,StandingsPivot!$A$4:$A$35,StandingsPivot!C$4:C$35)</f>
        <v>12</v>
      </c>
      <c r="F31" s="3">
        <f>(D31)/(D31+E31)</f>
        <v>0.625</v>
      </c>
      <c r="G31" s="9" cm="1">
        <f t="array" ref="G31">INDEX(Games[PostGmRate], MATCH(1, (Games[Team]=A31)*(Games[Date]=H31), 0))</f>
        <v>1492.5789788958693</v>
      </c>
      <c r="H31" s="1">
        <f>_xlfn.MAXIFS(Games[Date], Games[Team], A31)</f>
        <v>37481</v>
      </c>
      <c r="AR31" s="3"/>
      <c r="AS31" s="4"/>
      <c r="BD31" s="1"/>
      <c r="BG31" s="3"/>
      <c r="BH31" s="4"/>
    </row>
    <row r="32" spans="1:60" x14ac:dyDescent="0.35">
      <c r="A32" t="s">
        <v>80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12</v>
      </c>
      <c r="E32" s="1">
        <f>_xlfn.XLOOKUP($A32,StandingsPivot!$A$4:$A$35,StandingsPivot!C$4:C$35)</f>
        <v>20</v>
      </c>
      <c r="F32" s="3">
        <f>(D32)/(D32+E32)</f>
        <v>0.375</v>
      </c>
      <c r="G32" s="9" cm="1">
        <f t="array" ref="G32">INDEX(Games[PostGmRate], MATCH(1, (Games[Team]=A32)*(Games[Date]=H32), 0))</f>
        <v>1398.597093746286</v>
      </c>
      <c r="H32" s="1">
        <f>_xlfn.MAXIFS(Games[Date], Games[Team], A32)</f>
        <v>37481</v>
      </c>
      <c r="AR32" s="3"/>
      <c r="AS32" s="4"/>
      <c r="BD32" s="1"/>
      <c r="BG32" s="3"/>
      <c r="BH32" s="4"/>
    </row>
    <row r="33" spans="1:60" x14ac:dyDescent="0.35">
      <c r="A33" t="s">
        <v>66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21</v>
      </c>
      <c r="E33" s="1">
        <f>_xlfn.XLOOKUP($A33,StandingsPivot!$A$4:$A$35,StandingsPivot!C$4:C$35)</f>
        <v>11</v>
      </c>
      <c r="F33" s="3">
        <f>(D33)/(D33+E33)</f>
        <v>0.65625</v>
      </c>
      <c r="G33" s="9" cm="1">
        <f t="array" ref="G33">INDEX(Games[PostGmRate], MATCH(1, (Games[Team]=A33)*(Games[Date]=H33), 0))</f>
        <v>1540.325418951423</v>
      </c>
      <c r="H33" s="1">
        <f>_xlfn.MAXIFS(Games[Date], Games[Team], A33)</f>
        <v>37499</v>
      </c>
      <c r="AR33" s="3"/>
      <c r="AS33" s="4"/>
      <c r="BD33" s="1"/>
      <c r="BG33" s="3"/>
      <c r="BH33" s="4"/>
    </row>
    <row r="34" spans="1:60" x14ac:dyDescent="0.35">
      <c r="A34" t="s">
        <v>79</v>
      </c>
      <c r="B34">
        <f>_xlfn.XLOOKUP(A34,ConfDiv[TeamID],ConfDiv[Logo])</f>
        <v>0</v>
      </c>
      <c r="C34" t="str">
        <f>_xlfn.XLOOKUP(A34,ConfDiv[TeamID],ConfDiv[TeamName])</f>
        <v>Orlando Miracle</v>
      </c>
      <c r="D34" s="1">
        <f>_xlfn.XLOOKUP($A34,StandingsPivot!$A$4:$A$35,StandingsPivot!B$4:B$35)</f>
        <v>13</v>
      </c>
      <c r="E34" s="1">
        <f>_xlfn.XLOOKUP($A34,StandingsPivot!$A$4:$A$35,StandingsPivot!C$4:C$35)</f>
        <v>19</v>
      </c>
      <c r="F34" s="3">
        <f>(D34)/(D34+E34)</f>
        <v>0.40625</v>
      </c>
      <c r="G34" s="9" cm="1">
        <f t="array" ref="G34">INDEX(Games[PostGmRate], MATCH(1, (Games[Team]=A34)*(Games[Date]=H34), 0))</f>
        <v>1487.7747399008049</v>
      </c>
      <c r="H34" s="1">
        <f>_xlfn.MAXIFS(Games[Date], Games[Team], A34)</f>
        <v>37481</v>
      </c>
      <c r="AR34" s="3"/>
      <c r="AS34" s="4"/>
      <c r="BD34" s="1"/>
      <c r="BG34" s="3"/>
      <c r="BH34" s="4"/>
    </row>
    <row r="35" spans="1:60" x14ac:dyDescent="0.35">
      <c r="A35" t="s">
        <v>44</v>
      </c>
      <c r="B35">
        <f>_xlfn.XLOOKUP(A35,ConfDiv[TeamID],ConfDiv[Logo])</f>
        <v>0</v>
      </c>
      <c r="C35" t="str">
        <f>_xlfn.XLOOKUP(A35,ConfDiv[TeamID],ConfDiv[TeamName])</f>
        <v>Phoenix Mercury</v>
      </c>
      <c r="D35" s="1">
        <f>_xlfn.XLOOKUP($A35,StandingsPivot!$A$4:$A$35,StandingsPivot!B$4:B$35)</f>
        <v>13</v>
      </c>
      <c r="E35" s="1">
        <f>_xlfn.XLOOKUP($A35,StandingsPivot!$A$4:$A$35,StandingsPivot!C$4:C$35)</f>
        <v>19</v>
      </c>
      <c r="F35" s="3">
        <f>(D35)/(D35+E35)</f>
        <v>0.40625</v>
      </c>
      <c r="G35" s="9" cm="1">
        <f t="array" ref="G35">INDEX(Games[PostGmRate], MATCH(1, (Games[Team]=A35)*(Games[Date]=H35), 0))</f>
        <v>1367.0523422285416</v>
      </c>
      <c r="H35" s="1">
        <f>_xlfn.MAXIFS(Games[Date], Games[Team], A35)</f>
        <v>37481</v>
      </c>
      <c r="AR35" s="3"/>
      <c r="AS35" s="4"/>
      <c r="BD35" s="1"/>
      <c r="BG35" s="3"/>
      <c r="BH35" s="4"/>
    </row>
    <row r="36" spans="1:60" x14ac:dyDescent="0.35">
      <c r="A36" t="s">
        <v>89</v>
      </c>
      <c r="B36">
        <f>_xlfn.XLOOKUP(A36,ConfDiv[TeamID],ConfDiv[Logo])</f>
        <v>0</v>
      </c>
      <c r="C36" t="str">
        <f>_xlfn.XLOOKUP(A36,ConfDiv[TeamID],ConfDiv[TeamName])</f>
        <v>Portland Fire</v>
      </c>
      <c r="D36" s="1">
        <f>_xlfn.XLOOKUP($A36,StandingsPivot!$A$4:$A$35,StandingsPivot!B$4:B$35)</f>
        <v>11</v>
      </c>
      <c r="E36" s="1">
        <f>_xlfn.XLOOKUP($A36,StandingsPivot!$A$4:$A$35,StandingsPivot!C$4:C$35)</f>
        <v>21</v>
      </c>
      <c r="F36" s="3">
        <f>(D36)/(D36+E36)</f>
        <v>0.34375</v>
      </c>
      <c r="G36" s="9" cm="1">
        <f t="array" ref="G36">INDEX(Games[PostGmRate], MATCH(1, (Games[Team]=A36)*(Games[Date]=H36), 0))</f>
        <v>1478.9827996078743</v>
      </c>
      <c r="H36" s="1">
        <f>_xlfn.MAXIFS(Games[Date], Games[Team], A36)</f>
        <v>37479</v>
      </c>
      <c r="AR36" s="3"/>
      <c r="AS36" s="4"/>
      <c r="BD36" s="1"/>
      <c r="BG36" s="3"/>
      <c r="BH36" s="4"/>
    </row>
    <row r="37" spans="1:60" x14ac:dyDescent="0.35">
      <c r="A37" t="s">
        <v>45</v>
      </c>
      <c r="B37">
        <f>_xlfn.XLOOKUP(A37,ConfDiv[TeamID],ConfDiv[Logo])</f>
        <v>0</v>
      </c>
      <c r="C37" t="str">
        <f>_xlfn.XLOOKUP(A37,ConfDiv[TeamID],ConfDiv[TeamName])</f>
        <v>Sacramento Monarchs</v>
      </c>
      <c r="D37" s="1">
        <f>_xlfn.XLOOKUP($A37,StandingsPivot!$A$4:$A$35,StandingsPivot!B$4:B$35)</f>
        <v>20</v>
      </c>
      <c r="E37" s="1">
        <f>_xlfn.XLOOKUP($A37,StandingsPivot!$A$4:$A$35,StandingsPivot!C$4:C$35)</f>
        <v>12</v>
      </c>
      <c r="F37" s="3">
        <f>(D37)/(D37+E37)</f>
        <v>0.625</v>
      </c>
      <c r="G37" s="9" cm="1">
        <f t="array" ref="G37">INDEX(Games[PostGmRate], MATCH(1, (Games[Team]=A37)*(Games[Date]=H37), 0))</f>
        <v>1521.3115140326775</v>
      </c>
      <c r="H37" s="1">
        <f>_xlfn.MAXIFS(Games[Date], Games[Team], A37)</f>
        <v>37481</v>
      </c>
    </row>
    <row r="38" spans="1:60" x14ac:dyDescent="0.35">
      <c r="A38" t="s">
        <v>87</v>
      </c>
      <c r="B38">
        <f>_xlfn.XLOOKUP(A38,ConfDiv[TeamID],ConfDiv[Logo])</f>
        <v>0</v>
      </c>
      <c r="C38" t="str">
        <f>_xlfn.XLOOKUP(A38,ConfDiv[TeamID],ConfDiv[TeamName])</f>
        <v>Seattle Storm</v>
      </c>
      <c r="D38" s="1">
        <f>_xlfn.XLOOKUP($A38,StandingsPivot!$A$4:$A$35,StandingsPivot!B$4:B$35)</f>
        <v>10</v>
      </c>
      <c r="E38" s="1">
        <f>_xlfn.XLOOKUP($A38,StandingsPivot!$A$4:$A$35,StandingsPivot!C$4:C$35)</f>
        <v>22</v>
      </c>
      <c r="F38" s="3">
        <f>(D38)/(D38+E38)</f>
        <v>0.3125</v>
      </c>
      <c r="G38" s="9" cm="1">
        <f t="array" ref="G38">INDEX(Games[PostGmRate], MATCH(1, (Games[Team]=A38)*(Games[Date]=H38), 0))</f>
        <v>1513.2313889012701</v>
      </c>
      <c r="H38" s="1">
        <f>_xlfn.MAXIFS(Games[Date], Games[Team], A38)</f>
        <v>37485</v>
      </c>
    </row>
    <row r="39" spans="1:60" x14ac:dyDescent="0.35">
      <c r="A39" t="s">
        <v>43</v>
      </c>
      <c r="B39">
        <f>_xlfn.XLOOKUP(A39,ConfDiv[TeamID],ConfDiv[Logo])</f>
        <v>0</v>
      </c>
      <c r="C39" t="str">
        <f>_xlfn.XLOOKUP(A39,ConfDiv[TeamID],ConfDiv[TeamName])</f>
        <v>Utah Starzz</v>
      </c>
      <c r="D39" s="1">
        <f>_xlfn.XLOOKUP($A39,StandingsPivot!$A$4:$A$35,StandingsPivot!B$4:B$35)</f>
        <v>19</v>
      </c>
      <c r="E39" s="1">
        <f>_xlfn.XLOOKUP($A39,StandingsPivot!$A$4:$A$35,StandingsPivot!C$4:C$35)</f>
        <v>13</v>
      </c>
      <c r="F39" s="3">
        <f>(D39)/(D39+E39)</f>
        <v>0.59375</v>
      </c>
      <c r="G39" s="9" cm="1">
        <f t="array" ref="G39">INDEX(Games[PostGmRate], MATCH(1, (Games[Team]=A39)*(Games[Date]=H39), 0))</f>
        <v>1566.8511951076623</v>
      </c>
      <c r="H39" s="1">
        <f>_xlfn.MAXIFS(Games[Date], Games[Team], A39)</f>
        <v>37492</v>
      </c>
    </row>
    <row r="40" spans="1:60" x14ac:dyDescent="0.35">
      <c r="A40" t="s">
        <v>75</v>
      </c>
      <c r="B40">
        <f>_xlfn.XLOOKUP(A40,ConfDiv[TeamID],ConfDiv[Logo])</f>
        <v>0</v>
      </c>
      <c r="C40" t="str">
        <f>_xlfn.XLOOKUP(A40,ConfDiv[TeamID],ConfDiv[TeamName])</f>
        <v>Washington Mystics</v>
      </c>
      <c r="D40" s="1">
        <f>_xlfn.XLOOKUP($A40,StandingsPivot!$A$4:$A$35,StandingsPivot!B$4:B$35)</f>
        <v>10</v>
      </c>
      <c r="E40" s="1">
        <f>_xlfn.XLOOKUP($A40,StandingsPivot!$A$4:$A$35,StandingsPivot!C$4:C$35)</f>
        <v>22</v>
      </c>
      <c r="F40" s="3">
        <f>(D40)/(D40+E40)</f>
        <v>0.3125</v>
      </c>
      <c r="G40" s="9" cm="1">
        <f t="array" ref="G40">INDEX(Games[PostGmRate], MATCH(1, (Games[Team]=A40)*(Games[Date]=H40), 0))</f>
        <v>1469.2426013181562</v>
      </c>
      <c r="H40" s="1">
        <f>_xlfn.MAXIFS(Games[Date], Games[Team], A40)</f>
        <v>37493</v>
      </c>
    </row>
  </sheetData>
  <sortState xmlns:xlrd2="http://schemas.microsoft.com/office/spreadsheetml/2017/richdata2" ref="A25:G40">
    <sortCondition ref="A25:A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18</v>
      </c>
      <c r="C4" s="2">
        <v>14</v>
      </c>
      <c r="D4" s="2">
        <v>2</v>
      </c>
      <c r="E4" s="2">
        <v>1</v>
      </c>
      <c r="F4" s="2">
        <v>1</v>
      </c>
      <c r="G4" s="2">
        <v>1</v>
      </c>
      <c r="H4" s="2">
        <v>1</v>
      </c>
      <c r="I4" s="2">
        <v>2</v>
      </c>
      <c r="J4" s="2">
        <v>0</v>
      </c>
      <c r="K4" s="2">
        <v>0</v>
      </c>
    </row>
    <row r="5" spans="1:11" x14ac:dyDescent="0.35">
      <c r="A5" s="6" t="s">
        <v>1</v>
      </c>
      <c r="B5" s="2">
        <v>22</v>
      </c>
      <c r="C5" s="2">
        <v>10</v>
      </c>
      <c r="D5" s="2">
        <v>1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77</v>
      </c>
      <c r="B6" s="2">
        <v>10</v>
      </c>
      <c r="C6" s="2">
        <v>22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2</v>
      </c>
      <c r="B7" s="2">
        <v>19</v>
      </c>
      <c r="C7" s="2">
        <v>13</v>
      </c>
      <c r="D7" s="2">
        <v>0</v>
      </c>
      <c r="E7" s="2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85</v>
      </c>
      <c r="B8" s="2">
        <v>10</v>
      </c>
      <c r="C8" s="2">
        <v>22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71</v>
      </c>
      <c r="B9" s="2">
        <v>28</v>
      </c>
      <c r="C9" s="2">
        <v>4</v>
      </c>
      <c r="D9" s="2">
        <v>2</v>
      </c>
      <c r="E9" s="2">
        <v>0</v>
      </c>
      <c r="F9" s="2">
        <v>2</v>
      </c>
      <c r="G9" s="2">
        <v>1</v>
      </c>
      <c r="H9" s="2">
        <v>2</v>
      </c>
      <c r="I9" s="2">
        <v>0</v>
      </c>
      <c r="J9" s="2">
        <v>0</v>
      </c>
      <c r="K9" s="2">
        <v>0</v>
      </c>
    </row>
    <row r="10" spans="1:11" x14ac:dyDescent="0.35">
      <c r="A10" s="6" t="s">
        <v>83</v>
      </c>
      <c r="B10" s="2">
        <v>20</v>
      </c>
      <c r="C10" s="2">
        <v>12</v>
      </c>
      <c r="D10" s="2">
        <v>1</v>
      </c>
      <c r="E10" s="2">
        <v>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80</v>
      </c>
      <c r="B11" s="2">
        <v>12</v>
      </c>
      <c r="C11" s="2">
        <v>20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66</v>
      </c>
      <c r="B12" s="2">
        <v>21</v>
      </c>
      <c r="C12" s="2">
        <v>11</v>
      </c>
      <c r="D12" s="2">
        <v>2</v>
      </c>
      <c r="E12" s="2">
        <v>1</v>
      </c>
      <c r="F12" s="2">
        <v>1</v>
      </c>
      <c r="G12" s="2">
        <v>1</v>
      </c>
      <c r="H12" s="2">
        <v>0</v>
      </c>
      <c r="I12" s="2">
        <v>1</v>
      </c>
      <c r="J12" s="2">
        <v>0</v>
      </c>
      <c r="K12" s="2">
        <v>0</v>
      </c>
    </row>
    <row r="13" spans="1:11" x14ac:dyDescent="0.35">
      <c r="A13" s="6" t="s">
        <v>79</v>
      </c>
      <c r="B13" s="2">
        <v>13</v>
      </c>
      <c r="C13" s="2">
        <v>19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44</v>
      </c>
      <c r="B14" s="2">
        <v>13</v>
      </c>
      <c r="C14" s="2">
        <v>19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89</v>
      </c>
      <c r="B15" s="2">
        <v>11</v>
      </c>
      <c r="C15" s="2">
        <v>21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45</v>
      </c>
      <c r="B16" s="2">
        <v>20</v>
      </c>
      <c r="C16" s="2">
        <v>12</v>
      </c>
      <c r="D16" s="2">
        <v>2</v>
      </c>
      <c r="E16" s="2">
        <v>0</v>
      </c>
      <c r="F16" s="2">
        <v>1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5">
      <c r="A17" s="6" t="s">
        <v>87</v>
      </c>
      <c r="B17" s="2">
        <v>10</v>
      </c>
      <c r="C17" s="2">
        <v>22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5">
      <c r="A18" s="6" t="s">
        <v>43</v>
      </c>
      <c r="B18" s="2">
        <v>19</v>
      </c>
      <c r="C18" s="2">
        <v>13</v>
      </c>
      <c r="D18" s="2">
        <v>0</v>
      </c>
      <c r="E18" s="2">
        <v>2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35">
      <c r="A19" s="6" t="s">
        <v>75</v>
      </c>
      <c r="B19" s="2">
        <v>10</v>
      </c>
      <c r="C19" s="2">
        <v>22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35">
      <c r="A20" s="6" t="s">
        <v>20</v>
      </c>
      <c r="B20" s="2">
        <v>256</v>
      </c>
      <c r="C20" s="2">
        <v>256</v>
      </c>
      <c r="D20" s="2">
        <v>10</v>
      </c>
      <c r="E20" s="2">
        <v>10</v>
      </c>
      <c r="F20" s="2">
        <v>5</v>
      </c>
      <c r="G20" s="2">
        <v>5</v>
      </c>
      <c r="H20" s="2">
        <v>3</v>
      </c>
      <c r="I20" s="2">
        <v>3</v>
      </c>
      <c r="J20" s="2">
        <v>0</v>
      </c>
      <c r="K20" s="2">
        <v>0</v>
      </c>
    </row>
    <row r="21" spans="1:11" x14ac:dyDescent="0.35">
      <c r="B21"/>
      <c r="C21"/>
      <c r="D21"/>
    </row>
    <row r="22" spans="1:11" x14ac:dyDescent="0.35">
      <c r="B22"/>
      <c r="C22"/>
      <c r="D22"/>
    </row>
    <row r="23" spans="1:11" x14ac:dyDescent="0.35">
      <c r="B23"/>
      <c r="C23"/>
      <c r="D23"/>
    </row>
    <row r="24" spans="1:11" x14ac:dyDescent="0.35">
      <c r="B24"/>
      <c r="C24"/>
      <c r="D24"/>
    </row>
    <row r="25" spans="1:11" x14ac:dyDescent="0.35">
      <c r="B25"/>
      <c r="C25"/>
      <c r="D25"/>
    </row>
    <row r="26" spans="1:11" x14ac:dyDescent="0.35">
      <c r="B26"/>
      <c r="C26"/>
      <c r="D26"/>
    </row>
    <row r="27" spans="1:11" x14ac:dyDescent="0.35">
      <c r="B27"/>
      <c r="C27"/>
      <c r="D27"/>
    </row>
    <row r="28" spans="1:11" x14ac:dyDescent="0.35">
      <c r="B28"/>
      <c r="C28"/>
      <c r="D28"/>
    </row>
    <row r="29" spans="1:11" x14ac:dyDescent="0.35">
      <c r="B29"/>
      <c r="C29"/>
      <c r="D29"/>
    </row>
    <row r="30" spans="1:11" x14ac:dyDescent="0.35">
      <c r="B30"/>
      <c r="C30"/>
      <c r="D30"/>
    </row>
    <row r="31" spans="1:11" x14ac:dyDescent="0.35">
      <c r="B31"/>
      <c r="C31"/>
      <c r="D31"/>
    </row>
    <row r="32" spans="1:11" x14ac:dyDescent="0.35">
      <c r="B32"/>
      <c r="C32"/>
      <c r="D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4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547"/>
  <sheetViews>
    <sheetView workbookViewId="0">
      <selection activeCell="A2" sqref="A2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37401</v>
      </c>
      <c r="B2" s="2">
        <v>2002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66</v>
      </c>
      <c r="G2" s="1" t="s">
        <v>71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1532.0331278712169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1633.8757866784631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0.25544181669179772</v>
      </c>
      <c r="R2" s="1">
        <v>64</v>
      </c>
      <c r="S2" s="1">
        <v>72</v>
      </c>
      <c r="T2" s="1">
        <v>0</v>
      </c>
      <c r="U2" s="1">
        <f>Games[[#This Row],[PointsFor]]-Games[[#This Row],[PointsAgainst]]</f>
        <v>-8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0.35793775757090202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-6.9351377596354853</v>
      </c>
      <c r="AB2" s="4">
        <f>Games[[#This Row],[PreGmRate]]+Games[[#This Row],[RatingChange]]</f>
        <v>1525.0979901115816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37401</v>
      </c>
      <c r="B3" s="2">
        <v>2002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71</v>
      </c>
      <c r="G3" s="1" t="s">
        <v>66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1633.8757866784631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1532.0331278712169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0.74455818330820234</v>
      </c>
      <c r="R3" s="1">
        <v>72</v>
      </c>
      <c r="S3" s="1">
        <v>64</v>
      </c>
      <c r="T3" s="1">
        <v>0</v>
      </c>
      <c r="U3" s="1">
        <f>Games[[#This Row],[PointsFor]]-Games[[#This Row],[PointsAgainst]]</f>
        <v>8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0.35793775757090202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6.9351377596354835</v>
      </c>
      <c r="AB3" s="4">
        <f>Games[[#This Row],[PreGmRate]]+Games[[#This Row],[RatingChange]]</f>
        <v>1640.8109244380985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37401</v>
      </c>
      <c r="B4" s="2">
        <v>2002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43</v>
      </c>
      <c r="G4" s="1" t="s">
        <v>80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1515.2411208901892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1476.3871906912632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0.435392796965408</v>
      </c>
      <c r="R4" s="1">
        <v>79</v>
      </c>
      <c r="S4" s="1">
        <v>75</v>
      </c>
      <c r="T4" s="1">
        <v>1</v>
      </c>
      <c r="U4" s="1">
        <f>Games[[#This Row],[PointsFor]]-Games[[#This Row],[PointsAgainst]]</f>
        <v>4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0.27149879860507975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11.627059948786471</v>
      </c>
      <c r="AB4" s="4">
        <f>Games[[#This Row],[PreGmRate]]+Games[[#This Row],[RatingChange]]</f>
        <v>1526.8681808389756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37401</v>
      </c>
      <c r="B5" s="2">
        <v>2002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80</v>
      </c>
      <c r="G5" s="1" t="s">
        <v>43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1476.3871906912632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1515.2411208901892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0.564607203034592</v>
      </c>
      <c r="R5" s="1">
        <v>75</v>
      </c>
      <c r="S5" s="1">
        <v>79</v>
      </c>
      <c r="T5" s="1">
        <v>1</v>
      </c>
      <c r="U5" s="1">
        <f>Games[[#This Row],[PointsFor]]-Games[[#This Row],[PointsAgainst]]</f>
        <v>-4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0.27149879860507975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-11.627059948786471</v>
      </c>
      <c r="AB5" s="4">
        <f>Games[[#This Row],[PreGmRate]]+Games[[#This Row],[RatingChange]]</f>
        <v>1464.7601307424768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37403</v>
      </c>
      <c r="B6" s="2">
        <v>2002</v>
      </c>
      <c r="C6" s="2">
        <f>COUNTIFS(Games[Team],Games[[#This Row],[Team]],Games[Season],Games[[#This Row],[Season]],Games[Date],"&lt;=" &amp; Games[[#This Row],[Date]])</f>
        <v>2</v>
      </c>
      <c r="D6" s="2" t="s">
        <v>23</v>
      </c>
      <c r="E6" s="2" t="s">
        <v>29</v>
      </c>
      <c r="F6" s="1" t="s">
        <v>71</v>
      </c>
      <c r="G6" s="1" t="s">
        <v>2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" s="2">
        <f>Games[[#This Row],[DaysOff]]-Games[[#This Row],[OppDaysOff]]</f>
        <v>-1</v>
      </c>
      <c r="L6" s="2">
        <f>Games[[#This Row],[OppDaysOff]]-Games[[#This Row],[DaysOff]]</f>
        <v>1</v>
      </c>
      <c r="M6" s="1">
        <f>MAX(-16, MIN(16, Games[[#This Row],[RestDiff]]*8))</f>
        <v>-8</v>
      </c>
      <c r="N6" s="1">
        <f>MAX(-16, MIN(16, Games[[#This Row],[OppRestDiff]]*8))</f>
        <v>8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1640.8109244380985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1527.0273153201747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0.51982580785920163</v>
      </c>
      <c r="R6" s="1">
        <v>68</v>
      </c>
      <c r="S6" s="1">
        <v>55</v>
      </c>
      <c r="T6" s="1">
        <v>0</v>
      </c>
      <c r="U6" s="1">
        <f>Games[[#This Row],[PointsFor]]-Games[[#This Row],[PointsAgainst]]</f>
        <v>13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0.43116119187790602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75.7</v>
      </c>
      <c r="Z6" s="4">
        <f>Games[[#This Row],[K]]*Games[[#This Row],[POMult]]</f>
        <v>75.7</v>
      </c>
      <c r="AA6" s="4">
        <f>(Games[[#This Row],[Keff]]*Games[[#This Row],[MOVMult]])*(Games[[#This Row],[Result]]-Games[[#This Row],[ExpectedWin%]])</f>
        <v>15.672358508327504</v>
      </c>
      <c r="AB6" s="4">
        <f>Games[[#This Row],[PreGmRate]]+Games[[#This Row],[RatingChange]]</f>
        <v>1656.483282946426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37403</v>
      </c>
      <c r="B7" s="2">
        <v>2002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2</v>
      </c>
      <c r="G7" s="1" t="s">
        <v>71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" s="2">
        <f>Games[[#This Row],[DaysOff]]-Games[[#This Row],[OppDaysOff]]</f>
        <v>1</v>
      </c>
      <c r="L7" s="2">
        <f>Games[[#This Row],[OppDaysOff]]-Games[[#This Row],[DaysOff]]</f>
        <v>-1</v>
      </c>
      <c r="M7" s="1">
        <f>MAX(-16, MIN(16, Games[[#This Row],[RestDiff]]*8))</f>
        <v>8</v>
      </c>
      <c r="N7" s="1">
        <f>MAX(-16, MIN(16, Games[[#This Row],[OppRestDiff]]*8))</f>
        <v>-8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1527.0273153201747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1640.8109244380985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0.48017419214079837</v>
      </c>
      <c r="R7" s="1">
        <v>55</v>
      </c>
      <c r="S7" s="1">
        <v>68</v>
      </c>
      <c r="T7" s="1">
        <v>0</v>
      </c>
      <c r="U7" s="1">
        <f>Games[[#This Row],[PointsFor]]-Games[[#This Row],[PointsAgainst]]</f>
        <v>-13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0.43116119187790602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-15.703413379876364</v>
      </c>
      <c r="AB7" s="4">
        <f>Games[[#This Row],[PreGmRate]]+Games[[#This Row],[RatingChange]]</f>
        <v>1511.3239019402984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37404</v>
      </c>
      <c r="B8" s="2">
        <v>2002</v>
      </c>
      <c r="C8" s="2">
        <f>COUNTIFS(Games[Team],Games[[#This Row],[Team]],Games[Season],Games[[#This Row],[Season]],Games[Date],"&lt;=" &amp; Games[[#This Row],[Date]])</f>
        <v>2</v>
      </c>
      <c r="D8" s="2" t="s">
        <v>23</v>
      </c>
      <c r="E8" s="2" t="s">
        <v>29</v>
      </c>
      <c r="F8" s="1" t="s">
        <v>80</v>
      </c>
      <c r="G8" s="1" t="s">
        <v>83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2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" s="2">
        <f>Games[[#This Row],[DaysOff]]-Games[[#This Row],[OppDaysOff]]</f>
        <v>-1</v>
      </c>
      <c r="L8" s="2">
        <f>Games[[#This Row],[OppDaysOff]]-Games[[#This Row],[DaysOff]]</f>
        <v>1</v>
      </c>
      <c r="M8" s="1">
        <f>MAX(-16, MIN(16, Games[[#This Row],[RestDiff]]*8))</f>
        <v>-8</v>
      </c>
      <c r="N8" s="1">
        <f>MAX(-16, MIN(16, Games[[#This Row],[OppRestDiff]]*8))</f>
        <v>8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1464.7601307424768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1520.0901447289502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0.29025386014095444</v>
      </c>
      <c r="R8" s="1">
        <v>66</v>
      </c>
      <c r="S8" s="1">
        <v>63</v>
      </c>
      <c r="T8" s="1">
        <v>0</v>
      </c>
      <c r="U8" s="1">
        <f>Games[[#This Row],[PointsFor]]-Games[[#This Row],[PointsAgainst]]</f>
        <v>3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0.27739337181354273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75.7</v>
      </c>
      <c r="Z8" s="4">
        <f>Games[[#This Row],[K]]*Games[[#This Row],[POMult]]</f>
        <v>75.7</v>
      </c>
      <c r="AA8" s="4">
        <f>(Games[[#This Row],[Keff]]*Games[[#This Row],[MOVMult]])*(Games[[#This Row],[Result]]-Games[[#This Row],[ExpectedWin%]])</f>
        <v>14.903730827443022</v>
      </c>
      <c r="AB8" s="4">
        <f>Games[[#This Row],[PreGmRate]]+Games[[#This Row],[RatingChange]]</f>
        <v>1479.6638615699198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37404</v>
      </c>
      <c r="B9" s="2">
        <v>2002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83</v>
      </c>
      <c r="G9" s="1" t="s">
        <v>80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3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" s="2">
        <f>Games[[#This Row],[DaysOff]]-Games[[#This Row],[OppDaysOff]]</f>
        <v>1</v>
      </c>
      <c r="L9" s="2">
        <f>Games[[#This Row],[OppDaysOff]]-Games[[#This Row],[DaysOff]]</f>
        <v>-1</v>
      </c>
      <c r="M9" s="1">
        <f>MAX(-16, MIN(16, Games[[#This Row],[RestDiff]]*8))</f>
        <v>8</v>
      </c>
      <c r="N9" s="1">
        <f>MAX(-16, MIN(16, Games[[#This Row],[OppRestDiff]]*8))</f>
        <v>-8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1520.0901447289502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1464.7601307424768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0.70974613985904556</v>
      </c>
      <c r="R9" s="1">
        <v>63</v>
      </c>
      <c r="S9" s="1">
        <v>66</v>
      </c>
      <c r="T9" s="1">
        <v>0</v>
      </c>
      <c r="U9" s="1">
        <f>Games[[#This Row],[PointsFor]]-Games[[#This Row],[PointsAgainst]]</f>
        <v>-3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0.27739337181354273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-14.933262658673094</v>
      </c>
      <c r="AB9" s="4">
        <f>Games[[#This Row],[PreGmRate]]+Games[[#This Row],[RatingChange]]</f>
        <v>1505.1568820702771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37405</v>
      </c>
      <c r="B10" s="2">
        <v>2002</v>
      </c>
      <c r="C10" s="2">
        <f>COUNTIFS(Games[Team],Games[[#This Row],[Team]],Games[Season],Games[[#This Row],[Season]],Games[Date],"&lt;=" &amp; Games[[#This Row],[Date]])</f>
        <v>1</v>
      </c>
      <c r="D10" s="2" t="s">
        <v>23</v>
      </c>
      <c r="E10" s="2" t="s">
        <v>29</v>
      </c>
      <c r="F10" s="1" t="s">
        <v>44</v>
      </c>
      <c r="G10" s="1" t="s">
        <v>2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3</v>
      </c>
      <c r="L10" s="2">
        <f>Games[[#This Row],[OppDaysOff]]-Games[[#This Row],[DaysOff]]</f>
        <v>-3</v>
      </c>
      <c r="M10" s="1">
        <f>MAX(-16, MIN(16, Games[[#This Row],[RestDiff]]*8))</f>
        <v>16</v>
      </c>
      <c r="N10" s="1">
        <f>MAX(-16, MIN(16, Games[[#This Row],[OppRestDiff]]*8))</f>
        <v>-16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1484.2272140983812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1511.3239019402984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0.38809731561146865</v>
      </c>
      <c r="R10" s="1">
        <v>56</v>
      </c>
      <c r="S10" s="1">
        <v>61</v>
      </c>
      <c r="T10" s="1">
        <v>0</v>
      </c>
      <c r="U10" s="1">
        <f>Games[[#This Row],[PointsFor]]-Games[[#This Row],[PointsAgainst]]</f>
        <v>-5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0.32443015656218943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-9.5503093668249814</v>
      </c>
      <c r="AB10" s="4">
        <f>Games[[#This Row],[PreGmRate]]+Games[[#This Row],[RatingChange]]</f>
        <v>1474.6769047315563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37405</v>
      </c>
      <c r="B11" s="2">
        <v>2002</v>
      </c>
      <c r="C11" s="2">
        <f>COUNTIFS(Games[Team],Games[[#This Row],[Team]],Games[Season],Games[[#This Row],[Season]],Games[Date],"&lt;=" &amp; Games[[#This Row],[Date]])</f>
        <v>2</v>
      </c>
      <c r="D11" s="2" t="s">
        <v>23</v>
      </c>
      <c r="E11" s="2" t="s">
        <v>29</v>
      </c>
      <c r="F11" s="1" t="s">
        <v>2</v>
      </c>
      <c r="G11" s="1" t="s">
        <v>44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" s="2">
        <f>Games[[#This Row],[DaysOff]]-Games[[#This Row],[OppDaysOff]]</f>
        <v>-3</v>
      </c>
      <c r="L11" s="2">
        <f>Games[[#This Row],[OppDaysOff]]-Games[[#This Row],[DaysOff]]</f>
        <v>3</v>
      </c>
      <c r="M11" s="1">
        <f>MAX(-16, MIN(16, Games[[#This Row],[RestDiff]]*8))</f>
        <v>-16</v>
      </c>
      <c r="N11" s="1">
        <f>MAX(-16, MIN(16, Games[[#This Row],[OppRestDiff]]*8))</f>
        <v>16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1511.3239019402984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1484.2272140983812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0.61190268438853135</v>
      </c>
      <c r="R11" s="1">
        <v>61</v>
      </c>
      <c r="S11" s="1">
        <v>56</v>
      </c>
      <c r="T11" s="1">
        <v>0</v>
      </c>
      <c r="U11" s="1">
        <f>Games[[#This Row],[PointsFor]]-Games[[#This Row],[PointsAgainst]]</f>
        <v>5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0.32443015656218943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75.7</v>
      </c>
      <c r="Z11" s="4">
        <f>Games[[#This Row],[K]]*Games[[#This Row],[POMult]]</f>
        <v>75.7</v>
      </c>
      <c r="AA11" s="4">
        <f>(Games[[#This Row],[Keff]]*Games[[#This Row],[MOVMult]])*(Games[[#This Row],[Result]]-Games[[#This Row],[ExpectedWin%]])</f>
        <v>9.5314227958952031</v>
      </c>
      <c r="AB11" s="4">
        <f>Games[[#This Row],[PreGmRate]]+Games[[#This Row],[RatingChange]]</f>
        <v>1520.8553247361936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37405</v>
      </c>
      <c r="B12" s="2">
        <v>2002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66</v>
      </c>
      <c r="G12" s="1" t="s">
        <v>89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2" s="2">
        <f>Games[[#This Row],[DaysOff]]-Games[[#This Row],[OppDaysOff]]</f>
        <v>-1</v>
      </c>
      <c r="L12" s="2">
        <f>Games[[#This Row],[OppDaysOff]]-Games[[#This Row],[DaysOff]]</f>
        <v>1</v>
      </c>
      <c r="M12" s="1">
        <f>MAX(-16, MIN(16, Games[[#This Row],[RestDiff]]*8))</f>
        <v>-8</v>
      </c>
      <c r="N12" s="1">
        <f>MAX(-16, MIN(16, Games[[#This Row],[OppRestDiff]]*8))</f>
        <v>8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1525.0979901115816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1431.9108862013945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0.49019671086613897</v>
      </c>
      <c r="R12" s="1">
        <v>84</v>
      </c>
      <c r="S12" s="1">
        <v>62</v>
      </c>
      <c r="T12" s="1">
        <v>0</v>
      </c>
      <c r="U12" s="1">
        <f>Games[[#This Row],[PointsFor]]-Games[[#This Row],[PointsAgainst]]</f>
        <v>22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0.55867198443264365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21.560330111450217</v>
      </c>
      <c r="AB12" s="4">
        <f>Games[[#This Row],[PreGmRate]]+Games[[#This Row],[RatingChange]]</f>
        <v>1546.6583202230318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37405</v>
      </c>
      <c r="B13" s="2">
        <v>2002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89</v>
      </c>
      <c r="G13" s="1" t="s">
        <v>66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" s="2">
        <f>Games[[#This Row],[DaysOff]]-Games[[#This Row],[OppDaysOff]]</f>
        <v>1</v>
      </c>
      <c r="L13" s="2">
        <f>Games[[#This Row],[OppDaysOff]]-Games[[#This Row],[DaysOff]]</f>
        <v>-1</v>
      </c>
      <c r="M13" s="1">
        <f>MAX(-16, MIN(16, Games[[#This Row],[RestDiff]]*8))</f>
        <v>8</v>
      </c>
      <c r="N13" s="1">
        <f>MAX(-16, MIN(16, Games[[#This Row],[OppRestDiff]]*8))</f>
        <v>-8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1431.9108862013945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1525.0979901115816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0.50980328913386108</v>
      </c>
      <c r="R13" s="1">
        <v>62</v>
      </c>
      <c r="S13" s="1">
        <v>84</v>
      </c>
      <c r="T13" s="1">
        <v>0</v>
      </c>
      <c r="U13" s="1">
        <f>Games[[#This Row],[PointsFor]]-Games[[#This Row],[PointsAgainst]]</f>
        <v>-22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0.55867198443264365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-21.603052033731817</v>
      </c>
      <c r="AB13" s="4">
        <f>Games[[#This Row],[PreGmRate]]+Games[[#This Row],[RatingChange]]</f>
        <v>1410.3078341676628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37406</v>
      </c>
      <c r="B14" s="2">
        <v>2002</v>
      </c>
      <c r="C14" s="2">
        <f>COUNTIFS(Games[Team],Games[[#This Row],[Team]],Games[Season],Games[[#This Row],[Season]],Games[Date],"&lt;=" &amp; Games[[#This Row],[Date]])</f>
        <v>3</v>
      </c>
      <c r="D14" s="2" t="s">
        <v>23</v>
      </c>
      <c r="E14" s="2" t="s">
        <v>29</v>
      </c>
      <c r="F14" s="1" t="s">
        <v>71</v>
      </c>
      <c r="G14" s="1" t="s">
        <v>83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1</v>
      </c>
      <c r="L14" s="2">
        <f>Games[[#This Row],[OppDaysOff]]-Games[[#This Row],[DaysOff]]</f>
        <v>-1</v>
      </c>
      <c r="M14" s="1">
        <f>MAX(-16, MIN(16, Games[[#This Row],[RestDiff]]*8))</f>
        <v>8</v>
      </c>
      <c r="N14" s="1">
        <f>MAX(-16, MIN(16, Games[[#This Row],[OppRestDiff]]*8))</f>
        <v>-8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1656.483282946426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1505.1568820702771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0.61766884214833651</v>
      </c>
      <c r="R14" s="1">
        <v>69</v>
      </c>
      <c r="S14" s="1">
        <v>65</v>
      </c>
      <c r="T14" s="1">
        <v>0</v>
      </c>
      <c r="U14" s="1">
        <f>Games[[#This Row],[PointsFor]]-Games[[#This Row],[PointsAgainst]]</f>
        <v>4</v>
      </c>
      <c r="V14" s="1">
        <f>IF(Games[[#This Row],[MOV]]&gt;0,1,IF(Games[[#This Row],[MOV]]=0,0.5,0))</f>
        <v>1</v>
      </c>
      <c r="W14" s="4">
        <f>((ABS(Games[[#This Row],[MOV]])+5)^0.6)/(12+0.01*(ABS(Games[[#This Row],[PreGmRate]]-Games[[#This Row],[OppPreGmRate]])))*IF(Games[[#This Row],[OT]]=1,0.9,1)</f>
        <v>0.27655737477070663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75.55</v>
      </c>
      <c r="Z14" s="4">
        <f>Games[[#This Row],[K]]*Games[[#This Row],[POMult]]</f>
        <v>75.55</v>
      </c>
      <c r="AA14" s="4">
        <f>(Games[[#This Row],[Keff]]*Games[[#This Row],[MOVMult]])*(Games[[#This Row],[Result]]-Games[[#This Row],[ExpectedWin%]])</f>
        <v>7.9883926738572271</v>
      </c>
      <c r="AB14" s="4">
        <f>Games[[#This Row],[PreGmRate]]+Games[[#This Row],[RatingChange]]</f>
        <v>1664.4716756202833</v>
      </c>
      <c r="AC14" s="2">
        <f>IF(Games[[#This Row],[Type]]="R",IF(Games[[#This Row],[Result]]&gt;0.5,1,0),0)</f>
        <v>1</v>
      </c>
      <c r="AD14" s="2">
        <f>IF(Games[[#This Row],[Type]]="R",IF(Games[[#This Row],[Result]]&lt;0.5,1,0),0)</f>
        <v>0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37406</v>
      </c>
      <c r="B15" s="2">
        <v>2002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83</v>
      </c>
      <c r="G15" s="1" t="s">
        <v>71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" s="2">
        <f>Games[[#This Row],[DaysOff]]-Games[[#This Row],[OppDaysOff]]</f>
        <v>-1</v>
      </c>
      <c r="L15" s="2">
        <f>Games[[#This Row],[OppDaysOff]]-Games[[#This Row],[DaysOff]]</f>
        <v>1</v>
      </c>
      <c r="M15" s="1">
        <f>MAX(-16, MIN(16, Games[[#This Row],[RestDiff]]*8))</f>
        <v>-8</v>
      </c>
      <c r="N15" s="1">
        <f>MAX(-16, MIN(16, Games[[#This Row],[OppRestDiff]]*8))</f>
        <v>8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1505.1568820702771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1656.483282946426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0.38233115785166344</v>
      </c>
      <c r="R15" s="1">
        <v>65</v>
      </c>
      <c r="S15" s="1">
        <v>69</v>
      </c>
      <c r="T15" s="1">
        <v>0</v>
      </c>
      <c r="U15" s="1">
        <f>Games[[#This Row],[PointsFor]]-Games[[#This Row],[PointsAgainst]]</f>
        <v>-4</v>
      </c>
      <c r="V15" s="1">
        <f>IF(Games[[#This Row],[MOV]]&gt;0,1,IF(Games[[#This Row],[MOV]]=0,0.5,0))</f>
        <v>0</v>
      </c>
      <c r="W15" s="4">
        <f>((ABS(Games[[#This Row],[MOV]])+5)^0.6)/(12+0.01*(ABS(Games[[#This Row],[PreGmRate]]-Games[[#This Row],[OppPreGmRate]])))*IF(Games[[#This Row],[OT]]=1,0.9,1)</f>
        <v>0.27655737477070663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-8.0042531490535023</v>
      </c>
      <c r="AB15" s="4">
        <f>Games[[#This Row],[PreGmRate]]+Games[[#This Row],[RatingChange]]</f>
        <v>1497.1526289212236</v>
      </c>
      <c r="AC15" s="2">
        <f>IF(Games[[#This Row],[Type]]="R",IF(Games[[#This Row],[Result]]&gt;0.5,1,0),0)</f>
        <v>0</v>
      </c>
      <c r="AD15" s="2">
        <f>IF(Games[[#This Row],[Type]]="R",IF(Games[[#This Row],[Result]]&lt;0.5,1,0),0)</f>
        <v>1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37406</v>
      </c>
      <c r="B16" s="2">
        <v>2002</v>
      </c>
      <c r="C16" s="2">
        <f>COUNTIFS(Games[Team],Games[[#This Row],[Team]],Games[Season],Games[[#This Row],[Season]],Games[Date],"&lt;=" &amp; Games[[#This Row],[Date]])</f>
        <v>1</v>
      </c>
      <c r="D16" s="2" t="s">
        <v>23</v>
      </c>
      <c r="E16" s="2" t="s">
        <v>29</v>
      </c>
      <c r="F16" s="1" t="s">
        <v>77</v>
      </c>
      <c r="G16" s="1" t="s">
        <v>79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1438.1133556390196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1476.8923163111849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0.33031238899008297</v>
      </c>
      <c r="R16" s="1">
        <v>66</v>
      </c>
      <c r="S16" s="1">
        <v>80</v>
      </c>
      <c r="T16" s="1">
        <v>0</v>
      </c>
      <c r="U16" s="1">
        <f>Games[[#This Row],[PointsFor]]-Games[[#This Row],[PointsAgainst]]</f>
        <v>-14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0.47234393125584589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75.849999999999994</v>
      </c>
      <c r="Z16" s="4">
        <f>Games[[#This Row],[K]]*Games[[#This Row],[POMult]]</f>
        <v>75.849999999999994</v>
      </c>
      <c r="AA16" s="4">
        <f>(Games[[#This Row],[Keff]]*Games[[#This Row],[MOVMult]])*(Games[[#This Row],[Result]]-Games[[#This Row],[ExpectedWin%]])</f>
        <v>-11.83419682136082</v>
      </c>
      <c r="AB16" s="4">
        <f>Games[[#This Row],[PreGmRate]]+Games[[#This Row],[RatingChange]]</f>
        <v>1426.2791588176588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37406</v>
      </c>
      <c r="B17" s="2">
        <v>2002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79</v>
      </c>
      <c r="G17" s="1" t="s">
        <v>77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1476.8923163111849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1438.1133556390196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0.66968761100991703</v>
      </c>
      <c r="R17" s="1">
        <v>80</v>
      </c>
      <c r="S17" s="1">
        <v>66</v>
      </c>
      <c r="T17" s="1">
        <v>0</v>
      </c>
      <c r="U17" s="1">
        <f>Games[[#This Row],[PointsFor]]-Games[[#This Row],[PointsAgainst]]</f>
        <v>14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0.47234393125584589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11.83419682136082</v>
      </c>
      <c r="AB17" s="4">
        <f>Games[[#This Row],[PreGmRate]]+Games[[#This Row],[RatingChange]]</f>
        <v>1488.7265131325457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37406</v>
      </c>
      <c r="B18" s="2">
        <v>2002</v>
      </c>
      <c r="C18" s="2">
        <f>COUNTIFS(Games[Team],Games[[#This Row],[Team]],Games[Season],Games[[#This Row],[Season]],Games[Date],"&lt;=" &amp; Games[[#This Row],[Date]])</f>
        <v>3</v>
      </c>
      <c r="D18" s="2" t="s">
        <v>23</v>
      </c>
      <c r="E18" s="2" t="s">
        <v>29</v>
      </c>
      <c r="F18" s="1" t="s">
        <v>66</v>
      </c>
      <c r="G18" s="1" t="s">
        <v>87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" s="2">
        <f>Games[[#This Row],[DaysOff]]-Games[[#This Row],[OppDaysOff]]</f>
        <v>-5</v>
      </c>
      <c r="L18" s="2">
        <f>Games[[#This Row],[OppDaysOff]]-Games[[#This Row],[DaysOff]]</f>
        <v>5</v>
      </c>
      <c r="M18" s="1">
        <f>MAX(-16, MIN(16, Games[[#This Row],[RestDiff]]*8))</f>
        <v>-16</v>
      </c>
      <c r="N18" s="1">
        <f>MAX(-16, MIN(16, Games[[#This Row],[OppRestDiff]]*8))</f>
        <v>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1546.6583202230318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1429.3028702397937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0.50195063943224494</v>
      </c>
      <c r="R18" s="1">
        <v>78</v>
      </c>
      <c r="S18" s="1">
        <v>61</v>
      </c>
      <c r="T18" s="1">
        <v>0</v>
      </c>
      <c r="U18" s="1">
        <f>Games[[#This Row],[PointsFor]]-Games[[#This Row],[PointsAgainst]]</f>
        <v>17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0.48500993631333628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75.55</v>
      </c>
      <c r="Z18" s="4">
        <f>Games[[#This Row],[K]]*Games[[#This Row],[POMult]]</f>
        <v>75.55</v>
      </c>
      <c r="AA18" s="4">
        <f>(Games[[#This Row],[Keff]]*Games[[#This Row],[MOVMult]])*(Games[[#This Row],[Result]]-Games[[#This Row],[ExpectedWin%]])</f>
        <v>18.249774037497279</v>
      </c>
      <c r="AB18" s="4">
        <f>Games[[#This Row],[PreGmRate]]+Games[[#This Row],[RatingChange]]</f>
        <v>1564.908094260529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37406</v>
      </c>
      <c r="B19" s="2">
        <v>2002</v>
      </c>
      <c r="C19" s="2">
        <f>COUNTIFS(Games[Team],Games[[#This Row],[Team]],Games[Season],Games[[#This Row],[Season]],Games[Date],"&lt;=" &amp; Games[[#This Row],[Date]])</f>
        <v>1</v>
      </c>
      <c r="D19" s="2" t="s">
        <v>23</v>
      </c>
      <c r="E19" s="2" t="s">
        <v>29</v>
      </c>
      <c r="F19" s="1" t="s">
        <v>87</v>
      </c>
      <c r="G19" s="1" t="s">
        <v>66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5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" s="2">
        <f>Games[[#This Row],[DaysOff]]-Games[[#This Row],[OppDaysOff]]</f>
        <v>5</v>
      </c>
      <c r="L19" s="2">
        <f>Games[[#This Row],[OppDaysOff]]-Games[[#This Row],[DaysOff]]</f>
        <v>-5</v>
      </c>
      <c r="M19" s="1">
        <f>MAX(-16, MIN(16, Games[[#This Row],[RestDiff]]*8))</f>
        <v>16</v>
      </c>
      <c r="N19" s="1">
        <f>MAX(-16, MIN(16, Games[[#This Row],[OppRestDiff]]*8))</f>
        <v>-16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1429.3028702397937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1546.6583202230318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0.49804936056775506</v>
      </c>
      <c r="R19" s="1">
        <v>61</v>
      </c>
      <c r="S19" s="1">
        <v>78</v>
      </c>
      <c r="T19" s="1">
        <v>0</v>
      </c>
      <c r="U19" s="1">
        <f>Games[[#This Row],[PointsFor]]-Games[[#This Row],[PointsAgainst]]</f>
        <v>-17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0.48500993631333628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75.849999999999994</v>
      </c>
      <c r="Z19" s="4">
        <f>Games[[#This Row],[K]]*Games[[#This Row],[POMult]]</f>
        <v>75.849999999999994</v>
      </c>
      <c r="AA19" s="4">
        <f>(Games[[#This Row],[Keff]]*Games[[#This Row],[MOVMult]])*(Games[[#This Row],[Result]]-Games[[#This Row],[ExpectedWin%]])</f>
        <v>-18.322241704092239</v>
      </c>
      <c r="AB19" s="4">
        <f>Games[[#This Row],[PreGmRate]]+Games[[#This Row],[RatingChange]]</f>
        <v>1410.9806285357015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37406</v>
      </c>
      <c r="B20" s="2">
        <v>2002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89</v>
      </c>
      <c r="G20" s="1" t="s">
        <v>43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" s="2">
        <f>Games[[#This Row],[DaysOff]]-Games[[#This Row],[OppDaysOff]]</f>
        <v>-4</v>
      </c>
      <c r="L20" s="2">
        <f>Games[[#This Row],[OppDaysOff]]-Games[[#This Row],[DaysOff]]</f>
        <v>4</v>
      </c>
      <c r="M20" s="1">
        <f>MAX(-16, MIN(16, Games[[#This Row],[RestDiff]]*8))</f>
        <v>-16</v>
      </c>
      <c r="N20" s="1">
        <f>MAX(-16, MIN(16, Games[[#This Row],[OppRestDiff]]*8))</f>
        <v>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1410.3078341676628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1526.8681808389756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0.20771981519277702</v>
      </c>
      <c r="R20" s="1">
        <v>64</v>
      </c>
      <c r="S20" s="1">
        <v>69</v>
      </c>
      <c r="T20" s="1">
        <v>0</v>
      </c>
      <c r="U20" s="1">
        <f>Games[[#This Row],[PointsFor]]-Games[[#This Row],[PointsAgainst]]</f>
        <v>-5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0.30238429370901226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-4.7548085672070863</v>
      </c>
      <c r="AB20" s="4">
        <f>Games[[#This Row],[PreGmRate]]+Games[[#This Row],[RatingChange]]</f>
        <v>1405.5530256004556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37406</v>
      </c>
      <c r="B21" s="2">
        <v>2002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43</v>
      </c>
      <c r="G21" s="1" t="s">
        <v>89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" s="2">
        <f>Games[[#This Row],[DaysOff]]-Games[[#This Row],[OppDaysOff]]</f>
        <v>4</v>
      </c>
      <c r="L21" s="2">
        <f>Games[[#This Row],[OppDaysOff]]-Games[[#This Row],[DaysOff]]</f>
        <v>-4</v>
      </c>
      <c r="M21" s="1">
        <f>MAX(-16, MIN(16, Games[[#This Row],[RestDiff]]*8))</f>
        <v>16</v>
      </c>
      <c r="N21" s="1">
        <f>MAX(-16, MIN(16, Games[[#This Row],[OppRestDiff]]*8))</f>
        <v>-16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1526.8681808389756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1410.3078341676628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0.79228018480722306</v>
      </c>
      <c r="R21" s="1">
        <v>69</v>
      </c>
      <c r="S21" s="1">
        <v>64</v>
      </c>
      <c r="T21" s="1">
        <v>0</v>
      </c>
      <c r="U21" s="1">
        <f>Games[[#This Row],[PointsFor]]-Games[[#This Row],[PointsAgainst]]</f>
        <v>5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0.30238429370901226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4.7548085672070846</v>
      </c>
      <c r="AB21" s="4">
        <f>Games[[#This Row],[PreGmRate]]+Games[[#This Row],[RatingChange]]</f>
        <v>1531.6229894061828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37408</v>
      </c>
      <c r="B22" s="2">
        <v>2002</v>
      </c>
      <c r="C22" s="2">
        <f>COUNTIFS(Games[Team],Games[[#This Row],[Team]],Games[Season],Games[[#This Row],[Season]],Games[Date],"&lt;=" &amp; Games[[#This Row],[Date]])</f>
        <v>4</v>
      </c>
      <c r="D22" s="2" t="s">
        <v>23</v>
      </c>
      <c r="E22" s="2" t="s">
        <v>29</v>
      </c>
      <c r="F22" s="1" t="s">
        <v>71</v>
      </c>
      <c r="G22" s="1" t="s">
        <v>64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" s="2">
        <f>Games[[#This Row],[DaysOff]]-Games[[#This Row],[OppDaysOff]]</f>
        <v>-6</v>
      </c>
      <c r="L22" s="2">
        <f>Games[[#This Row],[OppDaysOff]]-Games[[#This Row],[DaysOff]]</f>
        <v>6</v>
      </c>
      <c r="M22" s="1">
        <f>MAX(-16, MIN(16, Games[[#This Row],[RestDiff]]*8))</f>
        <v>-16</v>
      </c>
      <c r="N22" s="1">
        <f>MAX(-16, MIN(16, Games[[#This Row],[OppRestDiff]]*8))</f>
        <v>16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1664.4716756202833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1534.2037711482049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0.52052163019806619</v>
      </c>
      <c r="R22" s="1">
        <v>87</v>
      </c>
      <c r="S22" s="1">
        <v>94</v>
      </c>
      <c r="T22" s="1">
        <v>1</v>
      </c>
      <c r="U22" s="1">
        <f>Games[[#This Row],[PointsFor]]-Games[[#This Row],[PointsAgainst]]</f>
        <v>-7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0.30047762931238592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75.400000000000006</v>
      </c>
      <c r="Z22" s="4">
        <f>Games[[#This Row],[K]]*Games[[#This Row],[POMult]]</f>
        <v>75.400000000000006</v>
      </c>
      <c r="AA22" s="4">
        <f>(Games[[#This Row],[Keff]]*Games[[#This Row],[MOVMult]])*(Games[[#This Row],[Result]]-Games[[#This Row],[ExpectedWin%]])</f>
        <v>-11.792944950759097</v>
      </c>
      <c r="AB22" s="4">
        <f>Games[[#This Row],[PreGmRate]]+Games[[#This Row],[RatingChange]]</f>
        <v>1652.6787306695242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37408</v>
      </c>
      <c r="B23" s="2">
        <v>2002</v>
      </c>
      <c r="C23" s="2">
        <f>COUNTIFS(Games[Team],Games[[#This Row],[Team]],Games[Season],Games[[#This Row],[Season]],Games[Date],"&lt;=" &amp; Games[[#This Row],[Date]])</f>
        <v>1</v>
      </c>
      <c r="D23" s="2" t="s">
        <v>23</v>
      </c>
      <c r="E23" s="2" t="s">
        <v>29</v>
      </c>
      <c r="F23" s="1" t="s">
        <v>64</v>
      </c>
      <c r="G23" s="1" t="s">
        <v>71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7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6</v>
      </c>
      <c r="L23" s="2">
        <f>Games[[#This Row],[OppDaysOff]]-Games[[#This Row],[DaysOff]]</f>
        <v>-6</v>
      </c>
      <c r="M23" s="1">
        <f>MAX(-16, MIN(16, Games[[#This Row],[RestDiff]]*8))</f>
        <v>16</v>
      </c>
      <c r="N23" s="1">
        <f>MAX(-16, MIN(16, Games[[#This Row],[OppRestDiff]]*8))</f>
        <v>-16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1534.2037711482049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1664.4716756202833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0.47947836980193381</v>
      </c>
      <c r="R23" s="1">
        <v>94</v>
      </c>
      <c r="S23" s="1">
        <v>87</v>
      </c>
      <c r="T23" s="1">
        <v>1</v>
      </c>
      <c r="U23" s="1">
        <f>Games[[#This Row],[PointsFor]]-Games[[#This Row],[PointsAgainst]]</f>
        <v>7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0.30047762931238592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75.849999999999994</v>
      </c>
      <c r="Z23" s="4">
        <f>Games[[#This Row],[K]]*Games[[#This Row],[POMult]]</f>
        <v>75.849999999999994</v>
      </c>
      <c r="AA23" s="4">
        <f>(Games[[#This Row],[Keff]]*Games[[#This Row],[MOVMult]])*(Games[[#This Row],[Result]]-Games[[#This Row],[ExpectedWin%]])</f>
        <v>11.863327248210574</v>
      </c>
      <c r="AB23" s="4">
        <f>Games[[#This Row],[PreGmRate]]+Games[[#This Row],[RatingChange]]</f>
        <v>1546.0670983964155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37408</v>
      </c>
      <c r="B24" s="2">
        <v>2002</v>
      </c>
      <c r="C24" s="2">
        <f>COUNTIFS(Games[Team],Games[[#This Row],[Team]],Games[Season],Games[[#This Row],[Season]],Games[Date],"&lt;=" &amp; Games[[#This Row],[Date]])</f>
        <v>3</v>
      </c>
      <c r="D24" s="2" t="s">
        <v>23</v>
      </c>
      <c r="E24" s="2" t="s">
        <v>29</v>
      </c>
      <c r="F24" s="1" t="s">
        <v>2</v>
      </c>
      <c r="G24" s="1" t="s">
        <v>1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4" s="2">
        <f>Games[[#This Row],[DaysOff]]-Games[[#This Row],[OppDaysOff]]</f>
        <v>-5</v>
      </c>
      <c r="L24" s="2">
        <f>Games[[#This Row],[OppDaysOff]]-Games[[#This Row],[DaysOff]]</f>
        <v>5</v>
      </c>
      <c r="M24" s="1">
        <f>MAX(-16, MIN(16, Games[[#This Row],[RestDiff]]*8))</f>
        <v>-16</v>
      </c>
      <c r="N24" s="1">
        <f>MAX(-16, MIN(16, Games[[#This Row],[OppRestDiff]]*8))</f>
        <v>16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1520.8553247361936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1543.4265461615018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0.31052199256860469</v>
      </c>
      <c r="R24" s="1">
        <v>69</v>
      </c>
      <c r="S24" s="1">
        <v>65</v>
      </c>
      <c r="T24" s="1">
        <v>1</v>
      </c>
      <c r="U24" s="1">
        <f>Games[[#This Row],[PointsFor]]-Games[[#This Row],[PointsAgainst]]</f>
        <v>4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0.2751147318060263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14.330743838953481</v>
      </c>
      <c r="AB24" s="4">
        <f>Games[[#This Row],[PreGmRate]]+Games[[#This Row],[RatingChange]]</f>
        <v>1535.1860685751471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37408</v>
      </c>
      <c r="B25" s="2">
        <v>2002</v>
      </c>
      <c r="C25" s="2">
        <f>COUNTIFS(Games[Team],Games[[#This Row],[Team]],Games[Season],Games[[#This Row],[Season]],Games[Date],"&lt;=" &amp; Games[[#This Row],[Date]])</f>
        <v>1</v>
      </c>
      <c r="D25" s="2" t="s">
        <v>23</v>
      </c>
      <c r="E25" s="2" t="s">
        <v>29</v>
      </c>
      <c r="F25" s="1" t="s">
        <v>1</v>
      </c>
      <c r="G25" s="1" t="s">
        <v>2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7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" s="2">
        <f>Games[[#This Row],[DaysOff]]-Games[[#This Row],[OppDaysOff]]</f>
        <v>5</v>
      </c>
      <c r="L25" s="2">
        <f>Games[[#This Row],[OppDaysOff]]-Games[[#This Row],[DaysOff]]</f>
        <v>-5</v>
      </c>
      <c r="M25" s="1">
        <f>MAX(-16, MIN(16, Games[[#This Row],[RestDiff]]*8))</f>
        <v>16</v>
      </c>
      <c r="N25" s="1">
        <f>MAX(-16, MIN(16, Games[[#This Row],[OppRestDiff]]*8))</f>
        <v>-16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1543.4265461615018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1520.8553247361936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0.68947800743139531</v>
      </c>
      <c r="R25" s="1">
        <v>65</v>
      </c>
      <c r="S25" s="1">
        <v>69</v>
      </c>
      <c r="T25" s="1">
        <v>1</v>
      </c>
      <c r="U25" s="1">
        <f>Games[[#This Row],[PointsFor]]-Games[[#This Row],[PointsAgainst]]</f>
        <v>-4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0.2751147318060263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75.849999999999994</v>
      </c>
      <c r="Z25" s="4">
        <f>Games[[#This Row],[K]]*Games[[#This Row],[POMult]]</f>
        <v>75.849999999999994</v>
      </c>
      <c r="AA25" s="4">
        <f>(Games[[#This Row],[Keff]]*Games[[#This Row],[MOVMult]])*(Games[[#This Row],[Result]]-Games[[#This Row],[ExpectedWin%]])</f>
        <v>-14.387649506083674</v>
      </c>
      <c r="AB25" s="4">
        <f>Games[[#This Row],[PreGmRate]]+Games[[#This Row],[RatingChange]]</f>
        <v>1529.0388966554183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37408</v>
      </c>
      <c r="B26" s="2">
        <v>2002</v>
      </c>
      <c r="C26" s="2">
        <f>COUNTIFS(Games[Team],Games[[#This Row],[Team]],Games[Season],Games[[#This Row],[Season]],Games[Date],"&lt;=" &amp; Games[[#This Row],[Date]])</f>
        <v>2</v>
      </c>
      <c r="D26" s="2" t="s">
        <v>23</v>
      </c>
      <c r="E26" s="2" t="s">
        <v>29</v>
      </c>
      <c r="F26" s="1" t="s">
        <v>77</v>
      </c>
      <c r="G26" s="1" t="s">
        <v>85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6" s="2">
        <f>Games[[#This Row],[DaysOff]]-Games[[#This Row],[OppDaysOff]]</f>
        <v>-6</v>
      </c>
      <c r="L26" s="2">
        <f>Games[[#This Row],[OppDaysOff]]-Games[[#This Row],[DaysOff]]</f>
        <v>6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1426.2791588176588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1444.1778178720667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0.31630982966908916</v>
      </c>
      <c r="R26" s="1">
        <v>62</v>
      </c>
      <c r="S26" s="1">
        <v>79</v>
      </c>
      <c r="T26" s="1">
        <v>0</v>
      </c>
      <c r="U26" s="1">
        <f>Games[[#This Row],[PointsFor]]-Games[[#This Row],[PointsAgainst]]</f>
        <v>-17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0.52461711666097943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75.7</v>
      </c>
      <c r="Z26" s="4">
        <f>Games[[#This Row],[K]]*Games[[#This Row],[POMult]]</f>
        <v>75.7</v>
      </c>
      <c r="AA26" s="4">
        <f>(Games[[#This Row],[Keff]]*Games[[#This Row],[MOVMult]])*(Games[[#This Row],[Result]]-Games[[#This Row],[ExpectedWin%]])</f>
        <v>-12.561775396507997</v>
      </c>
      <c r="AB26" s="4">
        <f>Games[[#This Row],[PreGmRate]]+Games[[#This Row],[RatingChange]]</f>
        <v>1413.7173834211508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37408</v>
      </c>
      <c r="B27" s="2">
        <v>2002</v>
      </c>
      <c r="C27" s="2">
        <f>COUNTIFS(Games[Team],Games[[#This Row],[Team]],Games[Season],Games[[#This Row],[Season]],Games[Date],"&lt;=" &amp; Games[[#This Row],[Date]])</f>
        <v>1</v>
      </c>
      <c r="D27" s="2" t="s">
        <v>23</v>
      </c>
      <c r="E27" s="2" t="s">
        <v>29</v>
      </c>
      <c r="F27" s="1" t="s">
        <v>85</v>
      </c>
      <c r="G27" s="1" t="s">
        <v>77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7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6</v>
      </c>
      <c r="L27" s="2">
        <f>Games[[#This Row],[OppDaysOff]]-Games[[#This Row],[DaysOff]]</f>
        <v>-6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1444.1778178720667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1426.2791588176588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0.68369017033091095</v>
      </c>
      <c r="R27" s="1">
        <v>79</v>
      </c>
      <c r="S27" s="1">
        <v>62</v>
      </c>
      <c r="T27" s="1">
        <v>0</v>
      </c>
      <c r="U27" s="1">
        <f>Games[[#This Row],[PointsFor]]-Games[[#This Row],[PointsAgainst]]</f>
        <v>17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0.52461711666097943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75.849999999999994</v>
      </c>
      <c r="Z27" s="4">
        <f>Games[[#This Row],[K]]*Games[[#This Row],[POMult]]</f>
        <v>75.849999999999994</v>
      </c>
      <c r="AA27" s="4">
        <f>(Games[[#This Row],[Keff]]*Games[[#This Row],[MOVMult]])*(Games[[#This Row],[Result]]-Games[[#This Row],[ExpectedWin%]])</f>
        <v>12.586666629129871</v>
      </c>
      <c r="AB27" s="4">
        <f>Games[[#This Row],[PreGmRate]]+Games[[#This Row],[RatingChange]]</f>
        <v>1456.7644845011966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37408</v>
      </c>
      <c r="B28" s="2">
        <v>2002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43</v>
      </c>
      <c r="G28" s="1" t="s">
        <v>44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" s="2">
        <f>Games[[#This Row],[DaysOff]]-Games[[#This Row],[OppDaysOff]]</f>
        <v>-1</v>
      </c>
      <c r="L28" s="2">
        <f>Games[[#This Row],[OppDaysOff]]-Games[[#This Row],[DaysOff]]</f>
        <v>1</v>
      </c>
      <c r="M28" s="1">
        <f>MAX(-16, MIN(16, Games[[#This Row],[RestDiff]]*8))</f>
        <v>-8</v>
      </c>
      <c r="N28" s="1">
        <f>MAX(-16, MIN(16, Games[[#This Row],[OppRestDiff]]*8))</f>
        <v>8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1531.6229894061828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1474.6769047315563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0.43835564855675768</v>
      </c>
      <c r="R28" s="1">
        <v>66</v>
      </c>
      <c r="S28" s="1">
        <v>71</v>
      </c>
      <c r="T28" s="1">
        <v>0</v>
      </c>
      <c r="U28" s="1">
        <f>Games[[#This Row],[PointsFor]]-Games[[#This Row],[PointsAgainst]]</f>
        <v>-5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0.31672573343235433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-10.489249754862927</v>
      </c>
      <c r="AB28" s="4">
        <f>Games[[#This Row],[PreGmRate]]+Games[[#This Row],[RatingChange]]</f>
        <v>1521.13373965132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37408</v>
      </c>
      <c r="B29" s="2">
        <v>2002</v>
      </c>
      <c r="C29" s="2">
        <f>COUNTIFS(Games[Team],Games[[#This Row],[Team]],Games[Season],Games[[#This Row],[Season]],Games[Date],"&lt;=" &amp; Games[[#This Row],[Date]])</f>
        <v>2</v>
      </c>
      <c r="D29" s="2" t="s">
        <v>23</v>
      </c>
      <c r="E29" s="2" t="s">
        <v>29</v>
      </c>
      <c r="F29" s="1" t="s">
        <v>44</v>
      </c>
      <c r="G29" s="1" t="s">
        <v>43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1</v>
      </c>
      <c r="L29" s="2">
        <f>Games[[#This Row],[OppDaysOff]]-Games[[#This Row],[DaysOff]]</f>
        <v>-1</v>
      </c>
      <c r="M29" s="1">
        <f>MAX(-16, MIN(16, Games[[#This Row],[RestDiff]]*8))</f>
        <v>8</v>
      </c>
      <c r="N29" s="1">
        <f>MAX(-16, MIN(16, Games[[#This Row],[OppRestDiff]]*8))</f>
        <v>-8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1474.6769047315563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1531.6229894061828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0.56164435144324232</v>
      </c>
      <c r="R29" s="1">
        <v>71</v>
      </c>
      <c r="S29" s="1">
        <v>66</v>
      </c>
      <c r="T29" s="1">
        <v>0</v>
      </c>
      <c r="U29" s="1">
        <f>Games[[#This Row],[PointsFor]]-Games[[#This Row],[PointsAgainst]]</f>
        <v>5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0.31672573343235433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10.510075532006931</v>
      </c>
      <c r="AB29" s="4">
        <f>Games[[#This Row],[PreGmRate]]+Games[[#This Row],[RatingChange]]</f>
        <v>1485.1869802635633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37408</v>
      </c>
      <c r="B30" s="2">
        <v>2002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80</v>
      </c>
      <c r="G30" s="1" t="s">
        <v>45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0" s="2">
        <f>Games[[#This Row],[DaysOff]]-Games[[#This Row],[OppDaysOff]]</f>
        <v>-4</v>
      </c>
      <c r="L30" s="2">
        <f>Games[[#This Row],[OppDaysOff]]-Games[[#This Row],[DaysOff]]</f>
        <v>4</v>
      </c>
      <c r="M30" s="1">
        <f>MAX(-16, MIN(16, Games[[#This Row],[RestDiff]]*8))</f>
        <v>-16</v>
      </c>
      <c r="N30" s="1">
        <f>MAX(-16, MIN(16, Games[[#This Row],[OppRestDiff]]*8))</f>
        <v>16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1479.6638615699198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1574.3677190167518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0.22918675882330147</v>
      </c>
      <c r="R30" s="1">
        <v>63</v>
      </c>
      <c r="S30" s="1">
        <v>61</v>
      </c>
      <c r="T30" s="1">
        <v>0</v>
      </c>
      <c r="U30" s="1">
        <f>Games[[#This Row],[PointsFor]]-Games[[#This Row],[PointsAgainst]]</f>
        <v>2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0.2482494997778307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14.456794816667617</v>
      </c>
      <c r="AB30" s="4">
        <f>Games[[#This Row],[PreGmRate]]+Games[[#This Row],[RatingChange]]</f>
        <v>1494.1206563865874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37408</v>
      </c>
      <c r="B31" s="2">
        <v>2002</v>
      </c>
      <c r="C31" s="2">
        <f>COUNTIFS(Games[Team],Games[[#This Row],[Team]],Games[Season],Games[[#This Row],[Season]],Games[Date],"&lt;=" &amp; Games[[#This Row],[Date]])</f>
        <v>1</v>
      </c>
      <c r="D31" s="2" t="s">
        <v>23</v>
      </c>
      <c r="E31" s="2" t="s">
        <v>29</v>
      </c>
      <c r="F31" s="1" t="s">
        <v>45</v>
      </c>
      <c r="G31" s="1" t="s">
        <v>80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7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" s="2">
        <f>Games[[#This Row],[DaysOff]]-Games[[#This Row],[OppDaysOff]]</f>
        <v>4</v>
      </c>
      <c r="L31" s="2">
        <f>Games[[#This Row],[OppDaysOff]]-Games[[#This Row],[DaysOff]]</f>
        <v>-4</v>
      </c>
      <c r="M31" s="1">
        <f>MAX(-16, MIN(16, Games[[#This Row],[RestDiff]]*8))</f>
        <v>16</v>
      </c>
      <c r="N31" s="1">
        <f>MAX(-16, MIN(16, Games[[#This Row],[OppRestDiff]]*8))</f>
        <v>-16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1574.3677190167518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1479.6638615699198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0.77081324117669858</v>
      </c>
      <c r="R31" s="1">
        <v>61</v>
      </c>
      <c r="S31" s="1">
        <v>63</v>
      </c>
      <c r="T31" s="1">
        <v>0</v>
      </c>
      <c r="U31" s="1">
        <f>Games[[#This Row],[PointsFor]]-Games[[#This Row],[PointsAgainst]]</f>
        <v>-2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0.2482494997778307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75.849999999999994</v>
      </c>
      <c r="Z31" s="4">
        <f>Games[[#This Row],[K]]*Games[[#This Row],[POMult]]</f>
        <v>75.849999999999994</v>
      </c>
      <c r="AA31" s="4">
        <f>(Games[[#This Row],[Keff]]*Games[[#This Row],[MOVMult]])*(Games[[#This Row],[Result]]-Games[[#This Row],[ExpectedWin%]])</f>
        <v>-14.51420101713089</v>
      </c>
      <c r="AB31" s="4">
        <f>Games[[#This Row],[PreGmRate]]+Games[[#This Row],[RatingChange]]</f>
        <v>1559.8535179996209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37408</v>
      </c>
      <c r="B32" s="2">
        <v>2002</v>
      </c>
      <c r="C32" s="2">
        <f>COUNTIFS(Games[Team],Games[[#This Row],[Team]],Games[Season],Games[[#This Row],[Season]],Games[Date],"&lt;=" &amp; Games[[#This Row],[Date]])</f>
        <v>2</v>
      </c>
      <c r="D32" s="2" t="s">
        <v>23</v>
      </c>
      <c r="E32" s="2" t="s">
        <v>29</v>
      </c>
      <c r="F32" s="1" t="s">
        <v>79</v>
      </c>
      <c r="G32" s="1" t="s">
        <v>75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2" s="2">
        <f>Games[[#This Row],[DaysOff]]-Games[[#This Row],[OppDaysOff]]</f>
        <v>-6</v>
      </c>
      <c r="L32" s="2">
        <f>Games[[#This Row],[OppDaysOff]]-Games[[#This Row],[DaysOff]]</f>
        <v>6</v>
      </c>
      <c r="M32" s="1">
        <f>MAX(-16, MIN(16, Games[[#This Row],[RestDiff]]*8))</f>
        <v>-16</v>
      </c>
      <c r="N32" s="1">
        <f>MAX(-16, MIN(16, Games[[#This Row],[OppRestDiff]]*8))</f>
        <v>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1488.7265131325457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1437.9067229442189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0.40728332022197788</v>
      </c>
      <c r="R32" s="1">
        <v>82</v>
      </c>
      <c r="S32" s="1">
        <v>93</v>
      </c>
      <c r="T32" s="1">
        <v>0</v>
      </c>
      <c r="U32" s="1">
        <f>Games[[#This Row],[PointsFor]]-Games[[#This Row],[PointsAgainst]]</f>
        <v>-11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0.42196579271398499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75.7</v>
      </c>
      <c r="Z32" s="4">
        <f>Games[[#This Row],[K]]*Games[[#This Row],[POMult]]</f>
        <v>75.7</v>
      </c>
      <c r="AA32" s="4">
        <f>(Games[[#This Row],[Keff]]*Games[[#This Row],[MOVMult]])*(Games[[#This Row],[Result]]-Games[[#This Row],[ExpectedWin%]])</f>
        <v>-13.009773921102457</v>
      </c>
      <c r="AB32" s="4">
        <f>Games[[#This Row],[PreGmRate]]+Games[[#This Row],[RatingChange]]</f>
        <v>1475.7167392114434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37408</v>
      </c>
      <c r="B33" s="2">
        <v>2002</v>
      </c>
      <c r="C33" s="2">
        <f>COUNTIFS(Games[Team],Games[[#This Row],[Team]],Games[Season],Games[[#This Row],[Season]],Games[Date],"&lt;=" &amp; Games[[#This Row],[Date]])</f>
        <v>1</v>
      </c>
      <c r="D33" s="2" t="s">
        <v>23</v>
      </c>
      <c r="E33" s="2" t="s">
        <v>29</v>
      </c>
      <c r="F33" s="1" t="s">
        <v>75</v>
      </c>
      <c r="G33" s="1" t="s">
        <v>79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7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6</v>
      </c>
      <c r="L33" s="2">
        <f>Games[[#This Row],[OppDaysOff]]-Games[[#This Row],[DaysOff]]</f>
        <v>-6</v>
      </c>
      <c r="M33" s="1">
        <f>MAX(-16, MIN(16, Games[[#This Row],[RestDiff]]*8))</f>
        <v>16</v>
      </c>
      <c r="N33" s="1">
        <f>MAX(-16, MIN(16, Games[[#This Row],[OppRestDiff]]*8))</f>
        <v>-16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1437.9067229442189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1488.7265131325457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0.59271667977802212</v>
      </c>
      <c r="R33" s="1">
        <v>93</v>
      </c>
      <c r="S33" s="1">
        <v>82</v>
      </c>
      <c r="T33" s="1">
        <v>0</v>
      </c>
      <c r="U33" s="1">
        <f>Games[[#This Row],[PointsFor]]-Games[[#This Row],[PointsAgainst]]</f>
        <v>11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0.42196579271398499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75.849999999999994</v>
      </c>
      <c r="Z33" s="4">
        <f>Games[[#This Row],[K]]*Games[[#This Row],[POMult]]</f>
        <v>75.849999999999994</v>
      </c>
      <c r="AA33" s="4">
        <f>(Games[[#This Row],[Keff]]*Games[[#This Row],[MOVMult]])*(Games[[#This Row],[Result]]-Games[[#This Row],[ExpectedWin%]])</f>
        <v>13.035552865463954</v>
      </c>
      <c r="AB33" s="4">
        <f>Games[[#This Row],[PreGmRate]]+Games[[#This Row],[RatingChange]]</f>
        <v>1450.9422758096828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37409</v>
      </c>
      <c r="B34" s="2">
        <v>2002</v>
      </c>
      <c r="C34" s="2">
        <f>COUNTIFS(Games[Team],Games[[#This Row],[Team]],Games[Season],Games[[#This Row],[Season]],Games[Date],"&lt;=" &amp; Games[[#This Row],[Date]])</f>
        <v>2</v>
      </c>
      <c r="D34" s="2" t="s">
        <v>23</v>
      </c>
      <c r="E34" s="2" t="s">
        <v>29</v>
      </c>
      <c r="F34" s="1" t="s">
        <v>85</v>
      </c>
      <c r="G34" s="1" t="s">
        <v>77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" s="2">
        <f>Games[[#This Row],[DaysOff]]-Games[[#This Row],[OppDaysOff]]</f>
        <v>0</v>
      </c>
      <c r="L34" s="2">
        <f>Games[[#This Row],[OppDaysOff]]-Games[[#This Row],[DaysOff]]</f>
        <v>0</v>
      </c>
      <c r="M34" s="1">
        <f>MAX(-16, MIN(16, Games[[#This Row],[RestDiff]]*8))</f>
        <v>0</v>
      </c>
      <c r="N34" s="1">
        <f>MAX(-16, MIN(16, Games[[#This Row],[OppRestDiff]]*8))</f>
        <v>0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1456.7644845011966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1413.7173834211508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0.44133548039428089</v>
      </c>
      <c r="R34" s="1">
        <v>78</v>
      </c>
      <c r="S34" s="1">
        <v>65</v>
      </c>
      <c r="T34" s="1">
        <v>0</v>
      </c>
      <c r="U34" s="1">
        <f>Games[[#This Row],[PointsFor]]-Games[[#This Row],[PointsAgainst]]</f>
        <v>13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0.45569673609694089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75.7</v>
      </c>
      <c r="Z34" s="4">
        <f>Games[[#This Row],[K]]*Games[[#This Row],[POMult]]</f>
        <v>75.7</v>
      </c>
      <c r="AA34" s="4">
        <f>(Games[[#This Row],[Keff]]*Games[[#This Row],[MOVMult]])*(Games[[#This Row],[Result]]-Games[[#This Row],[ExpectedWin%]])</f>
        <v>19.271826980522121</v>
      </c>
      <c r="AB34" s="4">
        <f>Games[[#This Row],[PreGmRate]]+Games[[#This Row],[RatingChange]]</f>
        <v>1476.0363114817187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37409</v>
      </c>
      <c r="B35" s="2">
        <v>2002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77</v>
      </c>
      <c r="G35" s="1" t="s">
        <v>85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" s="2">
        <f>Games[[#This Row],[DaysOff]]-Games[[#This Row],[OppDaysOff]]</f>
        <v>0</v>
      </c>
      <c r="L35" s="2">
        <f>Games[[#This Row],[OppDaysOff]]-Games[[#This Row],[DaysOff]]</f>
        <v>0</v>
      </c>
      <c r="M35" s="1">
        <f>MAX(-16, MIN(16, Games[[#This Row],[RestDiff]]*8))</f>
        <v>0</v>
      </c>
      <c r="N35" s="1">
        <f>MAX(-16, MIN(16, Games[[#This Row],[OppRestDiff]]*8))</f>
        <v>0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1413.7173834211508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1456.7644845011966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0.55866451960571906</v>
      </c>
      <c r="R35" s="1">
        <v>65</v>
      </c>
      <c r="S35" s="1">
        <v>78</v>
      </c>
      <c r="T35" s="1">
        <v>0</v>
      </c>
      <c r="U35" s="1">
        <f>Games[[#This Row],[PointsFor]]-Games[[#This Row],[PointsAgainst]]</f>
        <v>-13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0.45569673609694089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-19.233639740798491</v>
      </c>
      <c r="AB35" s="4">
        <f>Games[[#This Row],[PreGmRate]]+Games[[#This Row],[RatingChange]]</f>
        <v>1394.4837436803523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37409</v>
      </c>
      <c r="B36" s="2">
        <v>2002</v>
      </c>
      <c r="C36" s="2">
        <f>COUNTIFS(Games[Team],Games[[#This Row],[Team]],Games[Season],Games[[#This Row],[Season]],Games[Date],"&lt;=" &amp; Games[[#This Row],[Date]])</f>
        <v>3</v>
      </c>
      <c r="D36" s="2" t="s">
        <v>23</v>
      </c>
      <c r="E36" s="2" t="s">
        <v>29</v>
      </c>
      <c r="F36" s="1" t="s">
        <v>83</v>
      </c>
      <c r="G36" s="1" t="s">
        <v>66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1497.1526289212236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1564.908094260529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0.29451103010204016</v>
      </c>
      <c r="R36" s="1">
        <v>52</v>
      </c>
      <c r="S36" s="1">
        <v>58</v>
      </c>
      <c r="T36" s="1">
        <v>0</v>
      </c>
      <c r="U36" s="1">
        <f>Games[[#This Row],[PointsFor]]-Games[[#This Row],[PointsAgainst]]</f>
        <v>-6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0.33250648475521954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75.55</v>
      </c>
      <c r="Z36" s="4">
        <f>Games[[#This Row],[K]]*Games[[#This Row],[POMult]]</f>
        <v>75.55</v>
      </c>
      <c r="AA36" s="4">
        <f>(Games[[#This Row],[Keff]]*Games[[#This Row],[MOVMult]])*(Games[[#This Row],[Result]]-Games[[#This Row],[ExpectedWin%]])</f>
        <v>-7.3983718056025785</v>
      </c>
      <c r="AB36" s="4">
        <f>Games[[#This Row],[PreGmRate]]+Games[[#This Row],[RatingChange]]</f>
        <v>1489.7542571156209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37409</v>
      </c>
      <c r="B37" s="2">
        <v>2002</v>
      </c>
      <c r="C37" s="2">
        <f>COUNTIFS(Games[Team],Games[[#This Row],[Team]],Games[Season],Games[[#This Row],[Season]],Games[Date],"&lt;=" &amp; Games[[#This Row],[Date]])</f>
        <v>4</v>
      </c>
      <c r="D37" s="2" t="s">
        <v>23</v>
      </c>
      <c r="E37" s="2" t="s">
        <v>29</v>
      </c>
      <c r="F37" s="1" t="s">
        <v>66</v>
      </c>
      <c r="G37" s="1" t="s">
        <v>83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1564.908094260529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1497.1526289212236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0.70548896989795984</v>
      </c>
      <c r="R37" s="1">
        <v>58</v>
      </c>
      <c r="S37" s="1">
        <v>52</v>
      </c>
      <c r="T37" s="1">
        <v>0</v>
      </c>
      <c r="U37" s="1">
        <f>Games[[#This Row],[PointsFor]]-Games[[#This Row],[PointsAgainst]]</f>
        <v>6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0.33250648475521954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7.3836827815014487</v>
      </c>
      <c r="AB37" s="4">
        <f>Games[[#This Row],[PreGmRate]]+Games[[#This Row],[RatingChange]]</f>
        <v>1572.2917770420304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37409</v>
      </c>
      <c r="B38" s="2">
        <v>2002</v>
      </c>
      <c r="C38" s="2">
        <f>COUNTIFS(Games[Team],Games[[#This Row],[Team]],Games[Season],Games[[#This Row],[Season]],Games[Date],"&lt;=" &amp; Games[[#This Row],[Date]])</f>
        <v>2</v>
      </c>
      <c r="D38" s="2" t="s">
        <v>23</v>
      </c>
      <c r="E38" s="2" t="s">
        <v>29</v>
      </c>
      <c r="F38" s="1" t="s">
        <v>87</v>
      </c>
      <c r="G38" s="1" t="s">
        <v>89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1410.9806285357015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1405.5530256004556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0.38881427949926661</v>
      </c>
      <c r="R38" s="1">
        <v>57</v>
      </c>
      <c r="S38" s="1">
        <v>47</v>
      </c>
      <c r="T38" s="1">
        <v>0</v>
      </c>
      <c r="U38" s="1">
        <f>Games[[#This Row],[PointsFor]]-Games[[#This Row],[PointsAgainst]]</f>
        <v>10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0.421224499888955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75.7</v>
      </c>
      <c r="Z38" s="4">
        <f>Games[[#This Row],[K]]*Games[[#This Row],[POMult]]</f>
        <v>75.7</v>
      </c>
      <c r="AA38" s="4">
        <f>(Games[[#This Row],[Keff]]*Games[[#This Row],[MOVMult]])*(Games[[#This Row],[Result]]-Games[[#This Row],[ExpectedWin%]])</f>
        <v>19.488692438909439</v>
      </c>
      <c r="AB38" s="4">
        <f>Games[[#This Row],[PreGmRate]]+Games[[#This Row],[RatingChange]]</f>
        <v>1430.469320974611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37409</v>
      </c>
      <c r="B39" s="2">
        <v>2002</v>
      </c>
      <c r="C39" s="2">
        <f>COUNTIFS(Games[Team],Games[[#This Row],[Team]],Games[Season],Games[[#This Row],[Season]],Games[Date],"&lt;=" &amp; Games[[#This Row],[Date]])</f>
        <v>3</v>
      </c>
      <c r="D39" s="2" t="s">
        <v>23</v>
      </c>
      <c r="E39" s="2" t="s">
        <v>29</v>
      </c>
      <c r="F39" s="1" t="s">
        <v>89</v>
      </c>
      <c r="G39" s="1" t="s">
        <v>87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1405.5530256004556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1410.9806285357015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0.61118572050073339</v>
      </c>
      <c r="R39" s="1">
        <v>47</v>
      </c>
      <c r="S39" s="1">
        <v>57</v>
      </c>
      <c r="T39" s="1">
        <v>0</v>
      </c>
      <c r="U39" s="1">
        <f>Games[[#This Row],[PointsFor]]-Games[[#This Row],[PointsAgainst]]</f>
        <v>-10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0.421224499888955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75.55</v>
      </c>
      <c r="Z39" s="4">
        <f>Games[[#This Row],[K]]*Games[[#This Row],[POMult]]</f>
        <v>75.55</v>
      </c>
      <c r="AA39" s="4">
        <f>(Games[[#This Row],[Keff]]*Games[[#This Row],[MOVMult]])*(Games[[#This Row],[Result]]-Games[[#This Row],[ExpectedWin%]])</f>
        <v>-19.450075478990858</v>
      </c>
      <c r="AB39" s="4">
        <f>Games[[#This Row],[PreGmRate]]+Games[[#This Row],[RatingChange]]</f>
        <v>1386.1029501214648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37410</v>
      </c>
      <c r="B40" s="2">
        <v>2002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2</v>
      </c>
      <c r="G40" s="1" t="s">
        <v>64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1535.1860685751471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1546.0670983964155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0.3667513376529854</v>
      </c>
      <c r="R40" s="1">
        <v>52</v>
      </c>
      <c r="S40" s="1">
        <v>67</v>
      </c>
      <c r="T40" s="1">
        <v>0</v>
      </c>
      <c r="U40" s="1">
        <f>Games[[#This Row],[PointsFor]]-Games[[#This Row],[PointsAgainst]]</f>
        <v>-15</v>
      </c>
      <c r="V40" s="1">
        <f>IF(Games[[#This Row],[MOV]]&gt;0,1,IF(Games[[#This Row],[MOV]]=0,0.5,0))</f>
        <v>0</v>
      </c>
      <c r="W40" s="4">
        <f>((ABS(Games[[#This Row],[MOV]])+5)^0.6)/(12+0.01*(ABS(Games[[#This Row],[PreGmRate]]-Games[[#This Row],[OppPreGmRate]])))*IF(Games[[#This Row],[OT]]=1,0.9,1)</f>
        <v>0.49832941370266859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-13.780328621673037</v>
      </c>
      <c r="AB40" s="4">
        <f>Games[[#This Row],[PreGmRate]]+Games[[#This Row],[RatingChange]]</f>
        <v>1521.405739953474</v>
      </c>
      <c r="AC40" s="2">
        <f>IF(Games[[#This Row],[Type]]="R",IF(Games[[#This Row],[Result]]&gt;0.5,1,0),0)</f>
        <v>0</v>
      </c>
      <c r="AD40" s="2">
        <f>IF(Games[[#This Row],[Type]]="R",IF(Games[[#This Row],[Result]]&lt;0.5,1,0),0)</f>
        <v>1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37410</v>
      </c>
      <c r="B41" s="2">
        <v>2002</v>
      </c>
      <c r="C41" s="2">
        <f>COUNTIFS(Games[Team],Games[[#This Row],[Team]],Games[Season],Games[[#This Row],[Season]],Games[Date],"&lt;=" &amp; Games[[#This Row],[Date]])</f>
        <v>2</v>
      </c>
      <c r="D41" s="2" t="s">
        <v>23</v>
      </c>
      <c r="E41" s="2" t="s">
        <v>29</v>
      </c>
      <c r="F41" s="1" t="s">
        <v>64</v>
      </c>
      <c r="G41" s="1" t="s">
        <v>2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1546.0670983964155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1535.1860685751471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0.63324866234701471</v>
      </c>
      <c r="R41" s="1">
        <v>67</v>
      </c>
      <c r="S41" s="1">
        <v>52</v>
      </c>
      <c r="T41" s="1">
        <v>0</v>
      </c>
      <c r="U41" s="1">
        <f>Games[[#This Row],[PointsFor]]-Games[[#This Row],[PointsAgainst]]</f>
        <v>15</v>
      </c>
      <c r="V41" s="1">
        <f>IF(Games[[#This Row],[MOV]]&gt;0,1,IF(Games[[#This Row],[MOV]]=0,0.5,0))</f>
        <v>1</v>
      </c>
      <c r="W41" s="4">
        <f>((ABS(Games[[#This Row],[MOV]])+5)^0.6)/(12+0.01*(ABS(Games[[#This Row],[PreGmRate]]-Games[[#This Row],[OppPreGmRate]])))*IF(Games[[#This Row],[OT]]=1,0.9,1)</f>
        <v>0.49832941370266859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75.7</v>
      </c>
      <c r="Z41" s="4">
        <f>Games[[#This Row],[K]]*Games[[#This Row],[POMult]]</f>
        <v>75.7</v>
      </c>
      <c r="AA41" s="4">
        <f>(Games[[#This Row],[Keff]]*Games[[#This Row],[MOVMult]])*(Games[[#This Row],[Result]]-Games[[#This Row],[ExpectedWin%]])</f>
        <v>13.835157515393217</v>
      </c>
      <c r="AB41" s="4">
        <f>Games[[#This Row],[PreGmRate]]+Games[[#This Row],[RatingChange]]</f>
        <v>1559.9022559118087</v>
      </c>
      <c r="AC41" s="2">
        <f>IF(Games[[#This Row],[Type]]="R",IF(Games[[#This Row],[Result]]&gt;0.5,1,0),0)</f>
        <v>1</v>
      </c>
      <c r="AD41" s="2">
        <f>IF(Games[[#This Row],[Type]]="R",IF(Games[[#This Row],[Result]]&lt;0.5,1,0),0)</f>
        <v>0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37410</v>
      </c>
      <c r="B42" s="2">
        <v>2002</v>
      </c>
      <c r="C42" s="2">
        <f>COUNTIFS(Games[Team],Games[[#This Row],[Team]],Games[Season],Games[[#This Row],[Season]],Games[Date],"&lt;=" &amp; Games[[#This Row],[Date]])</f>
        <v>4</v>
      </c>
      <c r="D42" s="2" t="s">
        <v>23</v>
      </c>
      <c r="E42" s="2" t="s">
        <v>29</v>
      </c>
      <c r="F42" s="1" t="s">
        <v>89</v>
      </c>
      <c r="G42" s="1" t="s">
        <v>71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1386.1029501214648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1652.6787306695242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0.10811132677014473</v>
      </c>
      <c r="R42" s="1">
        <v>72</v>
      </c>
      <c r="S42" s="1">
        <v>89</v>
      </c>
      <c r="T42" s="1">
        <v>0</v>
      </c>
      <c r="U42" s="1">
        <f>Games[[#This Row],[PointsFor]]-Games[[#This Row],[PointsAgainst]]</f>
        <v>-17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0.43566141714110979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-3.5513350107583892</v>
      </c>
      <c r="AB42" s="4">
        <f>Games[[#This Row],[PreGmRate]]+Games[[#This Row],[RatingChange]]</f>
        <v>1382.5516151107065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37410</v>
      </c>
      <c r="B43" s="2">
        <v>2002</v>
      </c>
      <c r="C43" s="2">
        <f>COUNTIFS(Games[Team],Games[[#This Row],[Team]],Games[Season],Games[[#This Row],[Season]],Games[Date],"&lt;=" &amp; Games[[#This Row],[Date]])</f>
        <v>5</v>
      </c>
      <c r="D43" s="2" t="s">
        <v>23</v>
      </c>
      <c r="E43" s="2" t="s">
        <v>29</v>
      </c>
      <c r="F43" s="1" t="s">
        <v>71</v>
      </c>
      <c r="G43" s="1" t="s">
        <v>89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1652.6787306695242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1386.1029501214648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0.89188867322985532</v>
      </c>
      <c r="R43" s="1">
        <v>89</v>
      </c>
      <c r="S43" s="1">
        <v>72</v>
      </c>
      <c r="T43" s="1">
        <v>0</v>
      </c>
      <c r="U43" s="1">
        <f>Games[[#This Row],[PointsFor]]-Games[[#This Row],[PointsAgainst]]</f>
        <v>17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0.43566141714110979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75.25</v>
      </c>
      <c r="Z43" s="4">
        <f>Games[[#This Row],[K]]*Games[[#This Row],[POMult]]</f>
        <v>75.25</v>
      </c>
      <c r="AA43" s="4">
        <f>(Games[[#This Row],[Keff]]*Games[[#This Row],[MOVMult]])*(Games[[#This Row],[Result]]-Games[[#This Row],[ExpectedWin%]])</f>
        <v>3.5442700206839337</v>
      </c>
      <c r="AB43" s="4">
        <f>Games[[#This Row],[PreGmRate]]+Games[[#This Row],[RatingChange]]</f>
        <v>1656.223000690208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37410</v>
      </c>
      <c r="B44" s="2">
        <v>2002</v>
      </c>
      <c r="C44" s="2">
        <f>COUNTIFS(Games[Team],Games[[#This Row],[Team]],Games[Season],Games[[#This Row],[Season]],Games[Date],"&lt;=" &amp; Games[[#This Row],[Date]])</f>
        <v>2</v>
      </c>
      <c r="D44" s="2" t="s">
        <v>23</v>
      </c>
      <c r="E44" s="2" t="s">
        <v>29</v>
      </c>
      <c r="F44" s="1" t="s">
        <v>75</v>
      </c>
      <c r="G44" s="1" t="s">
        <v>44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1450.9422758096828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1485.1869802635633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0.33611150647864863</v>
      </c>
      <c r="R44" s="1">
        <v>65</v>
      </c>
      <c r="S44" s="1">
        <v>71</v>
      </c>
      <c r="T44" s="1">
        <v>0</v>
      </c>
      <c r="U44" s="1">
        <f>Games[[#This Row],[PointsFor]]-Games[[#This Row],[PointsAgainst]]</f>
        <v>-6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0.34153430983988586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75.7</v>
      </c>
      <c r="Z44" s="4">
        <f>Games[[#This Row],[K]]*Games[[#This Row],[POMult]]</f>
        <v>75.7</v>
      </c>
      <c r="AA44" s="4">
        <f>(Games[[#This Row],[Keff]]*Games[[#This Row],[MOVMult]])*(Games[[#This Row],[Result]]-Games[[#This Row],[ExpectedWin%]])</f>
        <v>-8.6898763825583192</v>
      </c>
      <c r="AB44" s="4">
        <f>Games[[#This Row],[PreGmRate]]+Games[[#This Row],[RatingChange]]</f>
        <v>1442.2523994271244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37410</v>
      </c>
      <c r="B45" s="2">
        <v>2002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44</v>
      </c>
      <c r="G45" s="1" t="s">
        <v>75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1485.1869802635633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1450.9422758096828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0.66388849352135137</v>
      </c>
      <c r="R45" s="1">
        <v>71</v>
      </c>
      <c r="S45" s="1">
        <v>65</v>
      </c>
      <c r="T45" s="1">
        <v>0</v>
      </c>
      <c r="U45" s="1">
        <f>Games[[#This Row],[PointsFor]]-Games[[#This Row],[PointsAgainst]]</f>
        <v>6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0.34153430983988586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8.6726573408491561</v>
      </c>
      <c r="AB45" s="4">
        <f>Games[[#This Row],[PreGmRate]]+Games[[#This Row],[RatingChange]]</f>
        <v>1493.8596376044125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37411</v>
      </c>
      <c r="B46" s="2">
        <v>2002</v>
      </c>
      <c r="C46" s="2">
        <f>COUNTIFS(Games[Team],Games[[#This Row],[Team]],Games[Season],Games[[#This Row],[Season]],Games[Date],"&lt;=" &amp; Games[[#This Row],[Date]])</f>
        <v>3</v>
      </c>
      <c r="D46" s="2" t="s">
        <v>23</v>
      </c>
      <c r="E46" s="2" t="s">
        <v>29</v>
      </c>
      <c r="F46" s="1" t="s">
        <v>79</v>
      </c>
      <c r="G46" s="1" t="s">
        <v>83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1</v>
      </c>
      <c r="L46" s="2">
        <f>Games[[#This Row],[OppDaysOff]]-Games[[#This Row],[DaysOff]]</f>
        <v>-1</v>
      </c>
      <c r="M46" s="1">
        <f>MAX(-16, MIN(16, Games[[#This Row],[RestDiff]]*8))</f>
        <v>8</v>
      </c>
      <c r="N46" s="1">
        <f>MAX(-16, MIN(16, Games[[#This Row],[OppRestDiff]]*8))</f>
        <v>-8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1475.7167392114434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1489.7542571156209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0.38408480371347725</v>
      </c>
      <c r="R46" s="1">
        <v>71</v>
      </c>
      <c r="S46" s="1">
        <v>69</v>
      </c>
      <c r="T46" s="1">
        <v>0</v>
      </c>
      <c r="U46" s="1">
        <f>Games[[#This Row],[PointsFor]]-Games[[#This Row],[PointsAgainst]]</f>
        <v>2</v>
      </c>
      <c r="V46" s="1">
        <f>IF(Games[[#This Row],[MOV]]&gt;0,1,IF(Games[[#This Row],[MOV]]=0,0.5,0))</f>
        <v>1</v>
      </c>
      <c r="W46" s="4">
        <f>((ABS(Games[[#This Row],[MOV]])+5)^0.6)/(12+0.01*(ABS(Games[[#This Row],[PreGmRate]]-Games[[#This Row],[OppPreGmRate]])))*IF(Games[[#This Row],[OT]]=1,0.9,1)</f>
        <v>0.26474435940535102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75.55</v>
      </c>
      <c r="Z46" s="4">
        <f>Games[[#This Row],[K]]*Games[[#This Row],[POMult]]</f>
        <v>75.55</v>
      </c>
      <c r="AA46" s="4">
        <f>(Games[[#This Row],[Keff]]*Games[[#This Row],[MOVMult]])*(Games[[#This Row],[Result]]-Games[[#This Row],[ExpectedWin%]])</f>
        <v>12.319188597416131</v>
      </c>
      <c r="AB46" s="4">
        <f>Games[[#This Row],[PreGmRate]]+Games[[#This Row],[RatingChange]]</f>
        <v>1488.0359278088595</v>
      </c>
      <c r="AC46" s="2">
        <f>IF(Games[[#This Row],[Type]]="R",IF(Games[[#This Row],[Result]]&gt;0.5,1,0),0)</f>
        <v>1</v>
      </c>
      <c r="AD46" s="2">
        <f>IF(Games[[#This Row],[Type]]="R",IF(Games[[#This Row],[Result]]&lt;0.5,1,0),0)</f>
        <v>0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37411</v>
      </c>
      <c r="B47" s="2">
        <v>2002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83</v>
      </c>
      <c r="G47" s="1" t="s">
        <v>79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" s="2">
        <f>Games[[#This Row],[DaysOff]]-Games[[#This Row],[OppDaysOff]]</f>
        <v>-1</v>
      </c>
      <c r="L47" s="2">
        <f>Games[[#This Row],[OppDaysOff]]-Games[[#This Row],[DaysOff]]</f>
        <v>1</v>
      </c>
      <c r="M47" s="1">
        <f>MAX(-16, MIN(16, Games[[#This Row],[RestDiff]]*8))</f>
        <v>-8</v>
      </c>
      <c r="N47" s="1">
        <f>MAX(-16, MIN(16, Games[[#This Row],[OppRestDiff]]*8))</f>
        <v>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1489.7542571156209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1475.7167392114434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0.6159151962865228</v>
      </c>
      <c r="R47" s="1">
        <v>69</v>
      </c>
      <c r="S47" s="1">
        <v>71</v>
      </c>
      <c r="T47" s="1">
        <v>0</v>
      </c>
      <c r="U47" s="1">
        <f>Games[[#This Row],[PointsFor]]-Games[[#This Row],[PointsAgainst]]</f>
        <v>-2</v>
      </c>
      <c r="V47" s="1">
        <f>IF(Games[[#This Row],[MOV]]&gt;0,1,IF(Games[[#This Row],[MOV]]=0,0.5,0))</f>
        <v>0</v>
      </c>
      <c r="W47" s="4">
        <f>((ABS(Games[[#This Row],[MOV]])+5)^0.6)/(12+0.01*(ABS(Games[[#This Row],[PreGmRate]]-Games[[#This Row],[OppPreGmRate]])))*IF(Games[[#This Row],[OT]]=1,0.9,1)</f>
        <v>0.26474435940535102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-12.294729586302799</v>
      </c>
      <c r="AB47" s="4">
        <f>Games[[#This Row],[PreGmRate]]+Games[[#This Row],[RatingChange]]</f>
        <v>1477.4595275293182</v>
      </c>
      <c r="AC47" s="2">
        <f>IF(Games[[#This Row],[Type]]="R",IF(Games[[#This Row],[Result]]&gt;0.5,1,0),0)</f>
        <v>0</v>
      </c>
      <c r="AD47" s="2">
        <f>IF(Games[[#This Row],[Type]]="R",IF(Games[[#This Row],[Result]]&lt;0.5,1,0),0)</f>
        <v>1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37411</v>
      </c>
      <c r="B48" s="2">
        <v>2002</v>
      </c>
      <c r="C48" s="2">
        <f>COUNTIFS(Games[Team],Games[[#This Row],[Team]],Games[Season],Games[[#This Row],[Season]],Games[Date],"&lt;=" &amp; Games[[#This Row],[Date]])</f>
        <v>4</v>
      </c>
      <c r="D48" s="2" t="s">
        <v>23</v>
      </c>
      <c r="E48" s="2" t="s">
        <v>29</v>
      </c>
      <c r="F48" s="1" t="s">
        <v>80</v>
      </c>
      <c r="G48" s="1" t="s">
        <v>87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1</v>
      </c>
      <c r="L48" s="2">
        <f>Games[[#This Row],[OppDaysOff]]-Games[[#This Row],[DaysOff]]</f>
        <v>-1</v>
      </c>
      <c r="M48" s="1">
        <f>MAX(-16, MIN(16, Games[[#This Row],[RestDiff]]*8))</f>
        <v>8</v>
      </c>
      <c r="N48" s="1">
        <f>MAX(-16, MIN(16, Games[[#This Row],[OppRestDiff]]*8))</f>
        <v>-8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1494.1206563865874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1430.469320974611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0.49374209537894853</v>
      </c>
      <c r="R48" s="1">
        <v>68</v>
      </c>
      <c r="S48" s="1">
        <v>78</v>
      </c>
      <c r="T48" s="1">
        <v>1</v>
      </c>
      <c r="U48" s="1">
        <f>Games[[#This Row],[PointsFor]]-Games[[#This Row],[PointsAgainst]]</f>
        <v>-10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0.36163462378637995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-13.46298946300382</v>
      </c>
      <c r="AB48" s="4">
        <f>Games[[#This Row],[PreGmRate]]+Games[[#This Row],[RatingChange]]</f>
        <v>1480.6576669235835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37411</v>
      </c>
      <c r="B49" s="2">
        <v>2002</v>
      </c>
      <c r="C49" s="2">
        <f>COUNTIFS(Games[Team],Games[[#This Row],[Team]],Games[Season],Games[[#This Row],[Season]],Games[Date],"&lt;=" &amp; Games[[#This Row],[Date]])</f>
        <v>3</v>
      </c>
      <c r="D49" s="2" t="s">
        <v>23</v>
      </c>
      <c r="E49" s="2" t="s">
        <v>29</v>
      </c>
      <c r="F49" s="1" t="s">
        <v>87</v>
      </c>
      <c r="G49" s="1" t="s">
        <v>80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" s="2">
        <f>Games[[#This Row],[DaysOff]]-Games[[#This Row],[OppDaysOff]]</f>
        <v>-1</v>
      </c>
      <c r="L49" s="2">
        <f>Games[[#This Row],[OppDaysOff]]-Games[[#This Row],[DaysOff]]</f>
        <v>1</v>
      </c>
      <c r="M49" s="1">
        <f>MAX(-16, MIN(16, Games[[#This Row],[RestDiff]]*8))</f>
        <v>-8</v>
      </c>
      <c r="N49" s="1">
        <f>MAX(-16, MIN(16, Games[[#This Row],[OppRestDiff]]*8))</f>
        <v>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1430.469320974611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1494.1206563865874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0.50625790462105136</v>
      </c>
      <c r="R49" s="1">
        <v>78</v>
      </c>
      <c r="S49" s="1">
        <v>68</v>
      </c>
      <c r="T49" s="1">
        <v>1</v>
      </c>
      <c r="U49" s="1">
        <f>Games[[#This Row],[PointsFor]]-Games[[#This Row],[PointsAgainst]]</f>
        <v>10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0.36163462378637995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13.489772598540302</v>
      </c>
      <c r="AB49" s="4">
        <f>Games[[#This Row],[PreGmRate]]+Games[[#This Row],[RatingChange]]</f>
        <v>1443.9590935731514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37411</v>
      </c>
      <c r="B50" s="2">
        <v>2002</v>
      </c>
      <c r="C50" s="2">
        <f>COUNTIFS(Games[Team],Games[[#This Row],[Team]],Games[Season],Games[[#This Row],[Season]],Games[Date],"&lt;=" &amp; Games[[#This Row],[Date]])</f>
        <v>3</v>
      </c>
      <c r="D50" s="2" t="s">
        <v>23</v>
      </c>
      <c r="E50" s="2" t="s">
        <v>29</v>
      </c>
      <c r="F50" s="1" t="s">
        <v>75</v>
      </c>
      <c r="G50" s="1" t="s">
        <v>43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" s="2">
        <f>Games[[#This Row],[DaysOff]]-Games[[#This Row],[OppDaysOff]]</f>
        <v>-2</v>
      </c>
      <c r="L50" s="2">
        <f>Games[[#This Row],[OppDaysOff]]-Games[[#This Row],[DaysOff]]</f>
        <v>2</v>
      </c>
      <c r="M50" s="1">
        <f>MAX(-16, MIN(16, Games[[#This Row],[RestDiff]]*8))</f>
        <v>-16</v>
      </c>
      <c r="N50" s="1">
        <f>MAX(-16, MIN(16, Games[[#This Row],[OppRestDiff]]*8))</f>
        <v>16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1442.2523994271244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1521.13373965132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0.24567251916728242</v>
      </c>
      <c r="R50" s="1">
        <v>97</v>
      </c>
      <c r="S50" s="1">
        <v>89</v>
      </c>
      <c r="T50" s="1">
        <v>0</v>
      </c>
      <c r="U50" s="1">
        <f>Games[[#This Row],[PointsFor]]-Games[[#This Row],[PointsAgainst]]</f>
        <v>8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0.36436425127754052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75.55</v>
      </c>
      <c r="Z50" s="4">
        <f>Games[[#This Row],[K]]*Games[[#This Row],[POMult]]</f>
        <v>75.55</v>
      </c>
      <c r="AA50" s="4">
        <f>(Games[[#This Row],[Keff]]*Games[[#This Row],[MOVMult]])*(Games[[#This Row],[Result]]-Games[[#This Row],[ExpectedWin%]])</f>
        <v>20.764915065150909</v>
      </c>
      <c r="AB50" s="4">
        <f>Games[[#This Row],[PreGmRate]]+Games[[#This Row],[RatingChange]]</f>
        <v>1463.0173144922753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37411</v>
      </c>
      <c r="B51" s="2">
        <v>2002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43</v>
      </c>
      <c r="G51" s="1" t="s">
        <v>75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" s="2">
        <f>Games[[#This Row],[DaysOff]]-Games[[#This Row],[OppDaysOff]]</f>
        <v>2</v>
      </c>
      <c r="L51" s="2">
        <f>Games[[#This Row],[OppDaysOff]]-Games[[#This Row],[DaysOff]]</f>
        <v>-2</v>
      </c>
      <c r="M51" s="1">
        <f>MAX(-16, MIN(16, Games[[#This Row],[RestDiff]]*8))</f>
        <v>16</v>
      </c>
      <c r="N51" s="1">
        <f>MAX(-16, MIN(16, Games[[#This Row],[OppRestDiff]]*8))</f>
        <v>-16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1521.13373965132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1442.2523994271244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0.75432748083271761</v>
      </c>
      <c r="R51" s="1">
        <v>89</v>
      </c>
      <c r="S51" s="1">
        <v>97</v>
      </c>
      <c r="T51" s="1">
        <v>0</v>
      </c>
      <c r="U51" s="1">
        <f>Games[[#This Row],[PointsFor]]-Games[[#This Row],[PointsAgainst]]</f>
        <v>-8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0.36436425127754052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-20.723687569985159</v>
      </c>
      <c r="AB51" s="4">
        <f>Games[[#This Row],[PreGmRate]]+Games[[#This Row],[RatingChange]]</f>
        <v>1500.4100520813347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37412</v>
      </c>
      <c r="B52" s="2">
        <v>2002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2</v>
      </c>
      <c r="G52" s="1" t="s">
        <v>85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1521.405739953474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1476.0363114817187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0.4220218807792549</v>
      </c>
      <c r="R52" s="1">
        <v>56</v>
      </c>
      <c r="S52" s="1">
        <v>45</v>
      </c>
      <c r="T52" s="1">
        <v>0</v>
      </c>
      <c r="U52" s="1">
        <f>Games[[#This Row],[PointsFor]]-Games[[#This Row],[PointsAgainst]]</f>
        <v>11</v>
      </c>
      <c r="V52" s="1">
        <f>IF(Games[[#This Row],[MOV]]&gt;0,1,IF(Games[[#This Row],[MOV]]=0,0.5,0))</f>
        <v>1</v>
      </c>
      <c r="W52" s="4">
        <f>((ABS(Games[[#This Row],[MOV]])+5)^0.6)/(12+0.01*(ABS(Games[[#This Row],[PreGmRate]]-Games[[#This Row],[OppPreGmRate]])))*IF(Games[[#This Row],[OT]]=1,0.9,1)</f>
        <v>0.42381252682334342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18.432816128454959</v>
      </c>
      <c r="AB52" s="4">
        <f>Games[[#This Row],[PreGmRate]]+Games[[#This Row],[RatingChange]]</f>
        <v>1539.838556081929</v>
      </c>
      <c r="AC52" s="2">
        <f>IF(Games[[#This Row],[Type]]="R",IF(Games[[#This Row],[Result]]&gt;0.5,1,0),0)</f>
        <v>1</v>
      </c>
      <c r="AD52" s="2">
        <f>IF(Games[[#This Row],[Type]]="R",IF(Games[[#This Row],[Result]]&lt;0.5,1,0),0)</f>
        <v>0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37412</v>
      </c>
      <c r="B53" s="2">
        <v>2002</v>
      </c>
      <c r="C53" s="2">
        <f>COUNTIFS(Games[Team],Games[[#This Row],[Team]],Games[Season],Games[[#This Row],[Season]],Games[Date],"&lt;=" &amp; Games[[#This Row],[Date]])</f>
        <v>3</v>
      </c>
      <c r="D53" s="2" t="s">
        <v>23</v>
      </c>
      <c r="E53" s="2" t="s">
        <v>29</v>
      </c>
      <c r="F53" s="1" t="s">
        <v>85</v>
      </c>
      <c r="G53" s="1" t="s">
        <v>2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1476.0363114817187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1521.405739953474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0.57797811922074505</v>
      </c>
      <c r="R53" s="1">
        <v>45</v>
      </c>
      <c r="S53" s="1">
        <v>56</v>
      </c>
      <c r="T53" s="1">
        <v>0</v>
      </c>
      <c r="U53" s="1">
        <f>Games[[#This Row],[PointsFor]]-Games[[#This Row],[PointsAgainst]]</f>
        <v>-11</v>
      </c>
      <c r="V53" s="1">
        <f>IF(Games[[#This Row],[MOV]]&gt;0,1,IF(Games[[#This Row],[MOV]]=0,0.5,0))</f>
        <v>0</v>
      </c>
      <c r="W53" s="4">
        <f>((ABS(Games[[#This Row],[MOV]])+5)^0.6)/(12+0.01*(ABS(Games[[#This Row],[PreGmRate]]-Games[[#This Row],[OppPreGmRate]])))*IF(Games[[#This Row],[OT]]=1,0.9,1)</f>
        <v>0.42381252682334342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75.55</v>
      </c>
      <c r="Z53" s="4">
        <f>Games[[#This Row],[K]]*Games[[#This Row],[POMult]]</f>
        <v>75.55</v>
      </c>
      <c r="AA53" s="4">
        <f>(Games[[#This Row],[Keff]]*Games[[#This Row],[MOVMult]])*(Games[[#This Row],[Result]]-Games[[#This Row],[ExpectedWin%]])</f>
        <v>-18.506302438601619</v>
      </c>
      <c r="AB53" s="4">
        <f>Games[[#This Row],[PreGmRate]]+Games[[#This Row],[RatingChange]]</f>
        <v>1457.5300090431172</v>
      </c>
      <c r="AC53" s="2">
        <f>IF(Games[[#This Row],[Type]]="R",IF(Games[[#This Row],[Result]]&gt;0.5,1,0),0)</f>
        <v>0</v>
      </c>
      <c r="AD53" s="2">
        <f>IF(Games[[#This Row],[Type]]="R",IF(Games[[#This Row],[Result]]&lt;0.5,1,0),0)</f>
        <v>1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37412</v>
      </c>
      <c r="B54" s="2">
        <v>2002</v>
      </c>
      <c r="C54" s="2">
        <f>COUNTIFS(Games[Team],Games[[#This Row],[Team]],Games[Season],Games[[#This Row],[Season]],Games[Date],"&lt;=" &amp; Games[[#This Row],[Date]])</f>
        <v>4</v>
      </c>
      <c r="D54" s="2" t="s">
        <v>23</v>
      </c>
      <c r="E54" s="2" t="s">
        <v>29</v>
      </c>
      <c r="F54" s="1" t="s">
        <v>77</v>
      </c>
      <c r="G54" s="1" t="s">
        <v>66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1394.4837436803523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1572.2917770420304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0.18137072464504994</v>
      </c>
      <c r="R54" s="1">
        <v>59</v>
      </c>
      <c r="S54" s="1">
        <v>60</v>
      </c>
      <c r="T54" s="1">
        <v>0</v>
      </c>
      <c r="U54" s="1">
        <f>Games[[#This Row],[PointsFor]]-Games[[#This Row],[PointsAgainst]]</f>
        <v>-1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0.21266794652331278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-2.9083091635559812</v>
      </c>
      <c r="AB54" s="4">
        <f>Games[[#This Row],[PreGmRate]]+Games[[#This Row],[RatingChange]]</f>
        <v>1391.5754345167963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37412</v>
      </c>
      <c r="B55" s="2">
        <v>2002</v>
      </c>
      <c r="C55" s="2">
        <f>COUNTIFS(Games[Team],Games[[#This Row],[Team]],Games[Season],Games[[#This Row],[Season]],Games[Date],"&lt;=" &amp; Games[[#This Row],[Date]])</f>
        <v>5</v>
      </c>
      <c r="D55" s="2" t="s">
        <v>23</v>
      </c>
      <c r="E55" s="2" t="s">
        <v>29</v>
      </c>
      <c r="F55" s="1" t="s">
        <v>66</v>
      </c>
      <c r="G55" s="1" t="s">
        <v>77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1572.2917770420304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1394.4837436803523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0.81862927535495</v>
      </c>
      <c r="R55" s="1">
        <v>60</v>
      </c>
      <c r="S55" s="1">
        <v>59</v>
      </c>
      <c r="T55" s="1">
        <v>0</v>
      </c>
      <c r="U55" s="1">
        <f>Games[[#This Row],[PointsFor]]-Games[[#This Row],[PointsAgainst]]</f>
        <v>1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0.21266794652331278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2.9025234026205258</v>
      </c>
      <c r="AB55" s="4">
        <f>Games[[#This Row],[PreGmRate]]+Games[[#This Row],[RatingChange]]</f>
        <v>1575.1943004446509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37413</v>
      </c>
      <c r="B56" s="2">
        <v>2002</v>
      </c>
      <c r="C56" s="2">
        <f>COUNTIFS(Games[Team],Games[[#This Row],[Team]],Games[Season],Games[[#This Row],[Season]],Games[Date],"&lt;=" &amp; Games[[#This Row],[Date]])</f>
        <v>5</v>
      </c>
      <c r="D56" s="2" t="s">
        <v>23</v>
      </c>
      <c r="E56" s="2" t="s">
        <v>29</v>
      </c>
      <c r="F56" s="1" t="s">
        <v>77</v>
      </c>
      <c r="G56" s="1" t="s">
        <v>1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6" s="2">
        <f>Games[[#This Row],[DaysOff]]-Games[[#This Row],[OppDaysOff]]</f>
        <v>-4</v>
      </c>
      <c r="L56" s="2">
        <f>Games[[#This Row],[OppDaysOff]]-Games[[#This Row],[DaysOff]]</f>
        <v>4</v>
      </c>
      <c r="M56" s="1">
        <f>MAX(-16, MIN(16, Games[[#This Row],[RestDiff]]*8))</f>
        <v>-16</v>
      </c>
      <c r="N56" s="1">
        <f>MAX(-16, MIN(16, Games[[#This Row],[OppRestDiff]]*8))</f>
        <v>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1391.5754345167963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1529.0388966554183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0.18861221312988616</v>
      </c>
      <c r="R56" s="1">
        <v>55</v>
      </c>
      <c r="S56" s="1">
        <v>72</v>
      </c>
      <c r="T56" s="1">
        <v>0</v>
      </c>
      <c r="U56" s="1">
        <f>Games[[#This Row],[PointsFor]]-Games[[#This Row],[PointsAgainst]]</f>
        <v>-17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0.47771808425834555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75.25</v>
      </c>
      <c r="Z56" s="4">
        <f>Games[[#This Row],[K]]*Games[[#This Row],[POMult]]</f>
        <v>75.25</v>
      </c>
      <c r="AA56" s="4">
        <f>(Games[[#This Row],[Keff]]*Games[[#This Row],[MOVMult]])*(Games[[#This Row],[Result]]-Games[[#This Row],[ExpectedWin%]])</f>
        <v>-6.7802857505912337</v>
      </c>
      <c r="AB56" s="4">
        <f>Games[[#This Row],[PreGmRate]]+Games[[#This Row],[RatingChange]]</f>
        <v>1384.7951487662051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37413</v>
      </c>
      <c r="B57" s="2">
        <v>2002</v>
      </c>
      <c r="C57" s="2">
        <f>COUNTIFS(Games[Team],Games[[#This Row],[Team]],Games[Season],Games[[#This Row],[Season]],Games[Date],"&lt;=" &amp; Games[[#This Row],[Date]])</f>
        <v>2</v>
      </c>
      <c r="D57" s="2" t="s">
        <v>23</v>
      </c>
      <c r="E57" s="2" t="s">
        <v>29</v>
      </c>
      <c r="F57" s="1" t="s">
        <v>1</v>
      </c>
      <c r="G57" s="1" t="s">
        <v>77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4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7" s="2">
        <f>Games[[#This Row],[DaysOff]]-Games[[#This Row],[OppDaysOff]]</f>
        <v>4</v>
      </c>
      <c r="L57" s="2">
        <f>Games[[#This Row],[OppDaysOff]]-Games[[#This Row],[DaysOff]]</f>
        <v>-4</v>
      </c>
      <c r="M57" s="1">
        <f>MAX(-16, MIN(16, Games[[#This Row],[RestDiff]]*8))</f>
        <v>16</v>
      </c>
      <c r="N57" s="1">
        <f>MAX(-16, MIN(16, Games[[#This Row],[OppRestDiff]]*8))</f>
        <v>-16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1529.0388966554183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1391.5754345167963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0.81138778687011381</v>
      </c>
      <c r="R57" s="1">
        <v>72</v>
      </c>
      <c r="S57" s="1">
        <v>55</v>
      </c>
      <c r="T57" s="1">
        <v>0</v>
      </c>
      <c r="U57" s="1">
        <f>Games[[#This Row],[PointsFor]]-Games[[#This Row],[PointsAgainst]]</f>
        <v>17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0.47771808425834555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75.7</v>
      </c>
      <c r="Z57" s="4">
        <f>Games[[#This Row],[K]]*Games[[#This Row],[POMult]]</f>
        <v>75.7</v>
      </c>
      <c r="AA57" s="4">
        <f>(Games[[#This Row],[Keff]]*Games[[#This Row],[MOVMult]])*(Games[[#This Row],[Result]]-Games[[#This Row],[ExpectedWin%]])</f>
        <v>6.8208323098970949</v>
      </c>
      <c r="AB57" s="4">
        <f>Games[[#This Row],[PreGmRate]]+Games[[#This Row],[RatingChange]]</f>
        <v>1535.8597289653153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37413</v>
      </c>
      <c r="B58" s="2">
        <v>2002</v>
      </c>
      <c r="C58" s="2">
        <f>COUNTIFS(Games[Team],Games[[#This Row],[Team]],Games[Season],Games[[#This Row],[Season]],Games[Date],"&lt;=" &amp; Games[[#This Row],[Date]])</f>
        <v>2</v>
      </c>
      <c r="D58" s="2" t="s">
        <v>23</v>
      </c>
      <c r="E58" s="2" t="s">
        <v>29</v>
      </c>
      <c r="F58" s="1" t="s">
        <v>45</v>
      </c>
      <c r="G58" s="1" t="s">
        <v>89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4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" s="2">
        <f>Games[[#This Row],[DaysOff]]-Games[[#This Row],[OppDaysOff]]</f>
        <v>2</v>
      </c>
      <c r="L58" s="2">
        <f>Games[[#This Row],[OppDaysOff]]-Games[[#This Row],[DaysOff]]</f>
        <v>-2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1559.8535179996209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1382.5516151107065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0.67289228275179436</v>
      </c>
      <c r="R58" s="1">
        <v>73</v>
      </c>
      <c r="S58" s="1">
        <v>86</v>
      </c>
      <c r="T58" s="1">
        <v>0</v>
      </c>
      <c r="U58" s="1">
        <f>Games[[#This Row],[PointsFor]]-Games[[#This Row],[PointsAgainst]]</f>
        <v>-13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0.41127693615234051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75.7</v>
      </c>
      <c r="Z58" s="4">
        <f>Games[[#This Row],[K]]*Games[[#This Row],[POMult]]</f>
        <v>75.7</v>
      </c>
      <c r="AA58" s="4">
        <f>(Games[[#This Row],[Keff]]*Games[[#This Row],[MOVMult]])*(Games[[#This Row],[Result]]-Games[[#This Row],[ExpectedWin%]])</f>
        <v>-20.949602284290929</v>
      </c>
      <c r="AB58" s="4">
        <f>Games[[#This Row],[PreGmRate]]+Games[[#This Row],[RatingChange]]</f>
        <v>1538.90391571533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37413</v>
      </c>
      <c r="B59" s="2">
        <v>2002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89</v>
      </c>
      <c r="G59" s="1" t="s">
        <v>45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9" s="2">
        <f>Games[[#This Row],[DaysOff]]-Games[[#This Row],[OppDaysOff]]</f>
        <v>-2</v>
      </c>
      <c r="L59" s="2">
        <f>Games[[#This Row],[OppDaysOff]]-Games[[#This Row],[DaysOff]]</f>
        <v>2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1382.5516151107065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1559.8535179996209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0.32710771724820559</v>
      </c>
      <c r="R59" s="1">
        <v>86</v>
      </c>
      <c r="S59" s="1">
        <v>73</v>
      </c>
      <c r="T59" s="1">
        <v>0</v>
      </c>
      <c r="U59" s="1">
        <f>Games[[#This Row],[PointsFor]]-Games[[#This Row],[PointsAgainst]]</f>
        <v>13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0.41127693615234051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20.825066999906113</v>
      </c>
      <c r="AB59" s="4">
        <f>Games[[#This Row],[PreGmRate]]+Games[[#This Row],[RatingChange]]</f>
        <v>1403.3766821106126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37413</v>
      </c>
      <c r="B60" s="2">
        <v>2002</v>
      </c>
      <c r="C60" s="2">
        <f>COUNTIFS(Games[Team],Games[[#This Row],[Team]],Games[Season],Games[[#This Row],[Season]],Games[Date],"&lt;=" &amp; Games[[#This Row],[Date]])</f>
        <v>3</v>
      </c>
      <c r="D60" s="2" t="s">
        <v>23</v>
      </c>
      <c r="E60" s="2" t="s">
        <v>29</v>
      </c>
      <c r="F60" s="1" t="s">
        <v>64</v>
      </c>
      <c r="G60" s="1" t="s">
        <v>87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1</v>
      </c>
      <c r="L60" s="2">
        <f>Games[[#This Row],[OppDaysOff]]-Games[[#This Row],[DaysOff]]</f>
        <v>-1</v>
      </c>
      <c r="M60" s="1">
        <f>MAX(-16, MIN(16, Games[[#This Row],[RestDiff]]*8))</f>
        <v>8</v>
      </c>
      <c r="N60" s="1">
        <f>MAX(-16, MIN(16, Games[[#This Row],[OppRestDiff]]*8))</f>
        <v>-8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1559.9022559118087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1443.9590935731514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0.56856113568500644</v>
      </c>
      <c r="R60" s="1">
        <v>59</v>
      </c>
      <c r="S60" s="1">
        <v>65</v>
      </c>
      <c r="T60" s="1">
        <v>0</v>
      </c>
      <c r="U60" s="1">
        <f>Games[[#This Row],[PointsFor]]-Games[[#This Row],[PointsAgainst]]</f>
        <v>-6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0.32033063841453946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75.55</v>
      </c>
      <c r="Z60" s="4">
        <f>Games[[#This Row],[K]]*Games[[#This Row],[POMult]]</f>
        <v>75.55</v>
      </c>
      <c r="AA60" s="4">
        <f>(Games[[#This Row],[Keff]]*Games[[#This Row],[MOVMult]])*(Games[[#This Row],[Result]]-Games[[#This Row],[ExpectedWin%]])</f>
        <v>-13.759736521239949</v>
      </c>
      <c r="AB60" s="4">
        <f>Games[[#This Row],[PreGmRate]]+Games[[#This Row],[RatingChange]]</f>
        <v>1546.1425193905686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37413</v>
      </c>
      <c r="B61" s="2">
        <v>2002</v>
      </c>
      <c r="C61" s="2">
        <f>COUNTIFS(Games[Team],Games[[#This Row],[Team]],Games[Season],Games[[#This Row],[Season]],Games[Date],"&lt;=" &amp; Games[[#This Row],[Date]])</f>
        <v>4</v>
      </c>
      <c r="D61" s="2" t="s">
        <v>23</v>
      </c>
      <c r="E61" s="2" t="s">
        <v>29</v>
      </c>
      <c r="F61" s="1" t="s">
        <v>87</v>
      </c>
      <c r="G61" s="1" t="s">
        <v>64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" s="2">
        <f>Games[[#This Row],[DaysOff]]-Games[[#This Row],[OppDaysOff]]</f>
        <v>-1</v>
      </c>
      <c r="L61" s="2">
        <f>Games[[#This Row],[OppDaysOff]]-Games[[#This Row],[DaysOff]]</f>
        <v>1</v>
      </c>
      <c r="M61" s="1">
        <f>MAX(-16, MIN(16, Games[[#This Row],[RestDiff]]*8))</f>
        <v>-8</v>
      </c>
      <c r="N61" s="1">
        <f>MAX(-16, MIN(16, Games[[#This Row],[OppRestDiff]]*8))</f>
        <v>8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1443.9590935731514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1559.9022559118087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0.43143886431499356</v>
      </c>
      <c r="R61" s="1">
        <v>65</v>
      </c>
      <c r="S61" s="1">
        <v>59</v>
      </c>
      <c r="T61" s="1">
        <v>0</v>
      </c>
      <c r="U61" s="1">
        <f>Games[[#This Row],[PointsFor]]-Games[[#This Row],[PointsAgainst]]</f>
        <v>6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0.32033063841453946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75.400000000000006</v>
      </c>
      <c r="Z61" s="4">
        <f>Games[[#This Row],[K]]*Games[[#This Row],[POMult]]</f>
        <v>75.400000000000006</v>
      </c>
      <c r="AA61" s="4">
        <f>(Games[[#This Row],[Keff]]*Games[[#This Row],[MOVMult]])*(Games[[#This Row],[Result]]-Games[[#This Row],[ExpectedWin%]])</f>
        <v>13.732417388504198</v>
      </c>
      <c r="AB61" s="4">
        <f>Games[[#This Row],[PreGmRate]]+Games[[#This Row],[RatingChange]]</f>
        <v>1457.6915109616557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37414</v>
      </c>
      <c r="B62" s="2">
        <v>2002</v>
      </c>
      <c r="C62" s="2">
        <f>COUNTIFS(Games[Team],Games[[#This Row],[Team]],Games[Season],Games[[#This Row],[Season]],Games[Date],"&lt;=" &amp; Games[[#This Row],[Date]])</f>
        <v>4</v>
      </c>
      <c r="D62" s="2" t="s">
        <v>23</v>
      </c>
      <c r="E62" s="2" t="s">
        <v>29</v>
      </c>
      <c r="F62" s="1" t="s">
        <v>85</v>
      </c>
      <c r="G62" s="1" t="s">
        <v>75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2" s="2">
        <f>Games[[#This Row],[DaysOff]]-Games[[#This Row],[OppDaysOff]]</f>
        <v>-1</v>
      </c>
      <c r="L62" s="2">
        <f>Games[[#This Row],[OppDaysOff]]-Games[[#This Row],[DaysOff]]</f>
        <v>1</v>
      </c>
      <c r="M62" s="1">
        <f>MAX(-16, MIN(16, Games[[#This Row],[RestDiff]]*8))</f>
        <v>-8</v>
      </c>
      <c r="N62" s="1">
        <f>MAX(-16, MIN(16, Games[[#This Row],[OppRestDiff]]*8))</f>
        <v>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1457.5300090431172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1463.0173144922753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0.35269047658016683</v>
      </c>
      <c r="R62" s="1">
        <v>68</v>
      </c>
      <c r="S62" s="1">
        <v>89</v>
      </c>
      <c r="T62" s="1">
        <v>0</v>
      </c>
      <c r="U62" s="1">
        <f>Games[[#This Row],[PointsFor]]-Games[[#This Row],[PointsAgainst]]</f>
        <v>-21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0.58589712569534202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75.400000000000006</v>
      </c>
      <c r="Z62" s="4">
        <f>Games[[#This Row],[K]]*Games[[#This Row],[POMult]]</f>
        <v>75.400000000000006</v>
      </c>
      <c r="AA62" s="4">
        <f>(Games[[#This Row],[Keff]]*Games[[#This Row],[MOVMult]])*(Games[[#This Row],[Result]]-Games[[#This Row],[ExpectedWin%]])</f>
        <v>-15.580681371228385</v>
      </c>
      <c r="AB62" s="4">
        <f>Games[[#This Row],[PreGmRate]]+Games[[#This Row],[RatingChange]]</f>
        <v>1441.9493276718888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37414</v>
      </c>
      <c r="B63" s="2">
        <v>2002</v>
      </c>
      <c r="C63" s="2">
        <f>COUNTIFS(Games[Team],Games[[#This Row],[Team]],Games[Season],Games[[#This Row],[Season]],Games[Date],"&lt;=" &amp; Games[[#This Row],[Date]])</f>
        <v>4</v>
      </c>
      <c r="D63" s="2" t="s">
        <v>23</v>
      </c>
      <c r="E63" s="2" t="s">
        <v>29</v>
      </c>
      <c r="F63" s="1" t="s">
        <v>75</v>
      </c>
      <c r="G63" s="1" t="s">
        <v>85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3" s="2">
        <f>Games[[#This Row],[DaysOff]]-Games[[#This Row],[OppDaysOff]]</f>
        <v>1</v>
      </c>
      <c r="L63" s="2">
        <f>Games[[#This Row],[OppDaysOff]]-Games[[#This Row],[DaysOff]]</f>
        <v>-1</v>
      </c>
      <c r="M63" s="1">
        <f>MAX(-16, MIN(16, Games[[#This Row],[RestDiff]]*8))</f>
        <v>8</v>
      </c>
      <c r="N63" s="1">
        <f>MAX(-16, MIN(16, Games[[#This Row],[OppRestDiff]]*8))</f>
        <v>-8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1463.0173144922753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1457.5300090431172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0.64730952341983328</v>
      </c>
      <c r="R63" s="1">
        <v>89</v>
      </c>
      <c r="S63" s="1">
        <v>68</v>
      </c>
      <c r="T63" s="1">
        <v>0</v>
      </c>
      <c r="U63" s="1">
        <f>Games[[#This Row],[PointsFor]]-Games[[#This Row],[PointsAgainst]]</f>
        <v>21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0.58589712569534202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75.400000000000006</v>
      </c>
      <c r="Z63" s="4">
        <f>Games[[#This Row],[K]]*Games[[#This Row],[POMult]]</f>
        <v>75.400000000000006</v>
      </c>
      <c r="AA63" s="4">
        <f>(Games[[#This Row],[Keff]]*Games[[#This Row],[MOVMult]])*(Games[[#This Row],[Result]]-Games[[#This Row],[ExpectedWin%]])</f>
        <v>15.58068137122838</v>
      </c>
      <c r="AB63" s="4">
        <f>Games[[#This Row],[PreGmRate]]+Games[[#This Row],[RatingChange]]</f>
        <v>1478.5979958635037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37415</v>
      </c>
      <c r="B64" s="2">
        <v>2002</v>
      </c>
      <c r="C64" s="2">
        <f>COUNTIFS(Games[Team],Games[[#This Row],[Team]],Games[Season],Games[[#This Row],[Season]],Games[Date],"&lt;=" &amp; Games[[#This Row],[Date]])</f>
        <v>6</v>
      </c>
      <c r="D64" s="2" t="s">
        <v>23</v>
      </c>
      <c r="E64" s="2" t="s">
        <v>29</v>
      </c>
      <c r="F64" s="1" t="s">
        <v>66</v>
      </c>
      <c r="G64" s="1" t="s">
        <v>85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4" s="2">
        <f>Games[[#This Row],[DaysOff]]-Games[[#This Row],[OppDaysOff]]</f>
        <v>2</v>
      </c>
      <c r="L64" s="2">
        <f>Games[[#This Row],[OppDaysOff]]-Games[[#This Row],[DaysOff]]</f>
        <v>-2</v>
      </c>
      <c r="M64" s="1">
        <f>MAX(-16, MIN(16, Games[[#This Row],[RestDiff]]*8))</f>
        <v>16</v>
      </c>
      <c r="N64" s="1">
        <f>MAX(-16, MIN(16, Games[[#This Row],[OppRestDiff]]*8))</f>
        <v>-16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1575.1943004446509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1441.9493276718888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0.61483536297431696</v>
      </c>
      <c r="R64" s="1">
        <v>62</v>
      </c>
      <c r="S64" s="1">
        <v>71</v>
      </c>
      <c r="T64" s="1">
        <v>0</v>
      </c>
      <c r="U64" s="1">
        <f>Games[[#This Row],[PointsFor]]-Games[[#This Row],[PointsAgainst]]</f>
        <v>-9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0.365398589550672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-16.871964080195482</v>
      </c>
      <c r="AB64" s="4">
        <f>Games[[#This Row],[PreGmRate]]+Games[[#This Row],[RatingChange]]</f>
        <v>1558.3223363644554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37415</v>
      </c>
      <c r="B65" s="2">
        <v>2002</v>
      </c>
      <c r="C65" s="2">
        <f>COUNTIFS(Games[Team],Games[[#This Row],[Team]],Games[Season],Games[[#This Row],[Season]],Games[Date],"&lt;=" &amp; Games[[#This Row],[Date]])</f>
        <v>5</v>
      </c>
      <c r="D65" s="2" t="s">
        <v>23</v>
      </c>
      <c r="E65" s="2" t="s">
        <v>29</v>
      </c>
      <c r="F65" s="1" t="s">
        <v>85</v>
      </c>
      <c r="G65" s="1" t="s">
        <v>66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-2</v>
      </c>
      <c r="L65" s="2">
        <f>Games[[#This Row],[OppDaysOff]]-Games[[#This Row],[DaysOff]]</f>
        <v>2</v>
      </c>
      <c r="M65" s="1">
        <f>MAX(-16, MIN(16, Games[[#This Row],[RestDiff]]*8))</f>
        <v>-16</v>
      </c>
      <c r="N65" s="1">
        <f>MAX(-16, MIN(16, Games[[#This Row],[OppRestDiff]]*8))</f>
        <v>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1441.9493276718888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1575.1943004446509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0.3851646370256831</v>
      </c>
      <c r="R65" s="1">
        <v>71</v>
      </c>
      <c r="S65" s="1">
        <v>62</v>
      </c>
      <c r="T65" s="1">
        <v>0</v>
      </c>
      <c r="U65" s="1">
        <f>Games[[#This Row],[PointsFor]]-Games[[#This Row],[PointsAgainst]]</f>
        <v>9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0.365398589550672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75.25</v>
      </c>
      <c r="Z65" s="4">
        <f>Games[[#This Row],[K]]*Games[[#This Row],[POMult]]</f>
        <v>75.25</v>
      </c>
      <c r="AA65" s="4">
        <f>(Games[[#This Row],[Keff]]*Games[[#This Row],[MOVMult]])*(Games[[#This Row],[Result]]-Games[[#This Row],[ExpectedWin%]])</f>
        <v>16.905663076360987</v>
      </c>
      <c r="AB65" s="4">
        <f>Games[[#This Row],[PreGmRate]]+Games[[#This Row],[RatingChange]]</f>
        <v>1458.8549907482497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37415</v>
      </c>
      <c r="B66" s="2">
        <v>2002</v>
      </c>
      <c r="C66" s="2">
        <f>COUNTIFS(Games[Team],Games[[#This Row],[Team]],Games[Season],Games[[#This Row],[Season]],Games[Date],"&lt;=" &amp; Games[[#This Row],[Date]])</f>
        <v>6</v>
      </c>
      <c r="D66" s="2" t="s">
        <v>23</v>
      </c>
      <c r="E66" s="2" t="s">
        <v>29</v>
      </c>
      <c r="F66" s="1" t="s">
        <v>71</v>
      </c>
      <c r="G66" s="1" t="s">
        <v>80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4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6" s="2">
        <f>Games[[#This Row],[DaysOff]]-Games[[#This Row],[OppDaysOff]]</f>
        <v>1</v>
      </c>
      <c r="L66" s="2">
        <f>Games[[#This Row],[OppDaysOff]]-Games[[#This Row],[DaysOff]]</f>
        <v>-1</v>
      </c>
      <c r="M66" s="1">
        <f>MAX(-16, MIN(16, Games[[#This Row],[RestDiff]]*8))</f>
        <v>8</v>
      </c>
      <c r="N66" s="1">
        <f>MAX(-16, MIN(16, Games[[#This Row],[OppRestDiff]]*8))</f>
        <v>-8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1656.223000690208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1480.6576669235835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0.65003563174356782</v>
      </c>
      <c r="R66" s="1">
        <v>76</v>
      </c>
      <c r="S66" s="1">
        <v>72</v>
      </c>
      <c r="T66" s="1">
        <v>0</v>
      </c>
      <c r="U66" s="1">
        <f>Games[[#This Row],[PointsFor]]-Games[[#This Row],[PointsAgainst]]</f>
        <v>4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0.27168413794008833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7.140490554232179</v>
      </c>
      <c r="AB66" s="4">
        <f>Games[[#This Row],[PreGmRate]]+Games[[#This Row],[RatingChange]]</f>
        <v>1663.3634912444402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37415</v>
      </c>
      <c r="B67" s="2">
        <v>2002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80</v>
      </c>
      <c r="G67" s="1" t="s">
        <v>71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7" s="2">
        <f>Games[[#This Row],[DaysOff]]-Games[[#This Row],[OppDaysOff]]</f>
        <v>-1</v>
      </c>
      <c r="L67" s="2">
        <f>Games[[#This Row],[OppDaysOff]]-Games[[#This Row],[DaysOff]]</f>
        <v>1</v>
      </c>
      <c r="M67" s="1">
        <f>MAX(-16, MIN(16, Games[[#This Row],[RestDiff]]*8))</f>
        <v>-8</v>
      </c>
      <c r="N67" s="1">
        <f>MAX(-16, MIN(16, Games[[#This Row],[OppRestDiff]]*8))</f>
        <v>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1480.6576669235835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1656.223000690208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0.34996436825643218</v>
      </c>
      <c r="R67" s="1">
        <v>72</v>
      </c>
      <c r="S67" s="1">
        <v>76</v>
      </c>
      <c r="T67" s="1">
        <v>0</v>
      </c>
      <c r="U67" s="1">
        <f>Games[[#This Row],[PointsFor]]-Games[[#This Row],[PointsAgainst]]</f>
        <v>-4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0.27168413794008833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-7.1547525193871024</v>
      </c>
      <c r="AB67" s="4">
        <f>Games[[#This Row],[PreGmRate]]+Games[[#This Row],[RatingChange]]</f>
        <v>1473.5029144041964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37415</v>
      </c>
      <c r="B68" s="2">
        <v>2002</v>
      </c>
      <c r="C68" s="2">
        <f>COUNTIFS(Games[Team],Games[[#This Row],[Team]],Games[Season],Games[[#This Row],[Season]],Games[Date],"&lt;=" &amp; Games[[#This Row],[Date]])</f>
        <v>3</v>
      </c>
      <c r="D68" s="2" t="s">
        <v>23</v>
      </c>
      <c r="E68" s="2" t="s">
        <v>29</v>
      </c>
      <c r="F68" s="1" t="s">
        <v>1</v>
      </c>
      <c r="G68" s="1" t="s">
        <v>79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8" s="2">
        <f>Games[[#This Row],[DaysOff]]-Games[[#This Row],[OppDaysOff]]</f>
        <v>-2</v>
      </c>
      <c r="L68" s="2">
        <f>Games[[#This Row],[OppDaysOff]]-Games[[#This Row],[DaysOff]]</f>
        <v>2</v>
      </c>
      <c r="M68" s="1">
        <f>MAX(-16, MIN(16, Games[[#This Row],[RestDiff]]*8))</f>
        <v>-16</v>
      </c>
      <c r="N68" s="1">
        <f>MAX(-16, MIN(16, Games[[#This Row],[OppRestDiff]]*8))</f>
        <v>16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1535.8597289653153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1488.0359278088595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0.40312675066946019</v>
      </c>
      <c r="R68" s="1">
        <v>99</v>
      </c>
      <c r="S68" s="1">
        <v>103</v>
      </c>
      <c r="T68" s="1">
        <v>1</v>
      </c>
      <c r="U68" s="1">
        <f>Games[[#This Row],[PointsFor]]-Games[[#This Row],[PointsAgainst]]</f>
        <v>-4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0.26954715351996839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75.55</v>
      </c>
      <c r="Z68" s="4">
        <f>Games[[#This Row],[K]]*Games[[#This Row],[POMult]]</f>
        <v>75.55</v>
      </c>
      <c r="AA68" s="4">
        <f>(Games[[#This Row],[Keff]]*Games[[#This Row],[MOVMult]])*(Games[[#This Row],[Result]]-Games[[#This Row],[ExpectedWin%]])</f>
        <v>-8.2093890287859139</v>
      </c>
      <c r="AB68" s="4">
        <f>Games[[#This Row],[PreGmRate]]+Games[[#This Row],[RatingChange]]</f>
        <v>1527.6503399365295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37415</v>
      </c>
      <c r="B69" s="2">
        <v>2002</v>
      </c>
      <c r="C69" s="2">
        <f>COUNTIFS(Games[Team],Games[[#This Row],[Team]],Games[Season],Games[[#This Row],[Season]],Games[Date],"&lt;=" &amp; Games[[#This Row],[Date]])</f>
        <v>4</v>
      </c>
      <c r="D69" s="2" t="s">
        <v>23</v>
      </c>
      <c r="E69" s="2" t="s">
        <v>29</v>
      </c>
      <c r="F69" s="1" t="s">
        <v>79</v>
      </c>
      <c r="G69" s="1" t="s">
        <v>1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2</v>
      </c>
      <c r="L69" s="2">
        <f>Games[[#This Row],[OppDaysOff]]-Games[[#This Row],[DaysOff]]</f>
        <v>-2</v>
      </c>
      <c r="M69" s="1">
        <f>MAX(-16, MIN(16, Games[[#This Row],[RestDiff]]*8))</f>
        <v>16</v>
      </c>
      <c r="N69" s="1">
        <f>MAX(-16, MIN(16, Games[[#This Row],[OppRestDiff]]*8))</f>
        <v>-16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1488.0359278088595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1535.8597289653153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0.59687324933053976</v>
      </c>
      <c r="R69" s="1">
        <v>103</v>
      </c>
      <c r="S69" s="1">
        <v>99</v>
      </c>
      <c r="T69" s="1">
        <v>1</v>
      </c>
      <c r="U69" s="1">
        <f>Games[[#This Row],[PointsFor]]-Games[[#This Row],[PointsAgainst]]</f>
        <v>4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0.26954715351996839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75.400000000000006</v>
      </c>
      <c r="Z69" s="4">
        <f>Games[[#This Row],[K]]*Games[[#This Row],[POMult]]</f>
        <v>75.400000000000006</v>
      </c>
      <c r="AA69" s="4">
        <f>(Games[[#This Row],[Keff]]*Games[[#This Row],[MOVMult]])*(Games[[#This Row],[Result]]-Games[[#This Row],[ExpectedWin%]])</f>
        <v>8.1930897785633103</v>
      </c>
      <c r="AB69" s="4">
        <f>Games[[#This Row],[PreGmRate]]+Games[[#This Row],[RatingChange]]</f>
        <v>1496.2290175874227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37415</v>
      </c>
      <c r="B70" s="2">
        <v>2002</v>
      </c>
      <c r="C70" s="2">
        <f>COUNTIFS(Games[Team],Games[[#This Row],[Team]],Games[Season],Games[[#This Row],[Season]],Games[Date],"&lt;=" &amp; Games[[#This Row],[Date]])</f>
        <v>4</v>
      </c>
      <c r="D70" s="2" t="s">
        <v>23</v>
      </c>
      <c r="E70" s="2" t="s">
        <v>29</v>
      </c>
      <c r="F70" s="1" t="s">
        <v>64</v>
      </c>
      <c r="G70" s="1" t="s">
        <v>43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0" s="2">
        <f>Games[[#This Row],[DaysOff]]-Games[[#This Row],[OppDaysOff]]</f>
        <v>-2</v>
      </c>
      <c r="L70" s="2">
        <f>Games[[#This Row],[OppDaysOff]]-Games[[#This Row],[DaysOff]]</f>
        <v>2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1546.1425193905686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1500.4100520813347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0.40023346465893561</v>
      </c>
      <c r="R70" s="1">
        <v>64</v>
      </c>
      <c r="S70" s="1">
        <v>69</v>
      </c>
      <c r="T70" s="1">
        <v>0</v>
      </c>
      <c r="U70" s="1">
        <f>Games[[#This Row],[PointsFor]]-Games[[#This Row],[PointsAgainst]]</f>
        <v>-5</v>
      </c>
      <c r="V70" s="1">
        <f>IF(Games[[#This Row],[MOV]]&gt;0,1,IF(Games[[#This Row],[MOV]]=0,0.5,0))</f>
        <v>0</v>
      </c>
      <c r="W70" s="4">
        <f>((ABS(Games[[#This Row],[MOV]])+5)^0.6)/(12+0.01*(ABS(Games[[#This Row],[PreGmRate]]-Games[[#This Row],[OppPreGmRate]])))*IF(Games[[#This Row],[OT]]=1,0.9,1)</f>
        <v>0.31957677992723721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75.400000000000006</v>
      </c>
      <c r="Z70" s="4">
        <f>Games[[#This Row],[K]]*Games[[#This Row],[POMult]]</f>
        <v>75.400000000000006</v>
      </c>
      <c r="AA70" s="4">
        <f>(Games[[#This Row],[Keff]]*Games[[#This Row],[MOVMult]])*(Games[[#This Row],[Result]]-Games[[#This Row],[ExpectedWin%]])</f>
        <v>-9.6440612678537558</v>
      </c>
      <c r="AB70" s="4">
        <f>Games[[#This Row],[PreGmRate]]+Games[[#This Row],[RatingChange]]</f>
        <v>1536.498458122715</v>
      </c>
      <c r="AC70" s="2">
        <f>IF(Games[[#This Row],[Type]]="R",IF(Games[[#This Row],[Result]]&gt;0.5,1,0),0)</f>
        <v>0</v>
      </c>
      <c r="AD70" s="2">
        <f>IF(Games[[#This Row],[Type]]="R",IF(Games[[#This Row],[Result]]&lt;0.5,1,0),0)</f>
        <v>1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37415</v>
      </c>
      <c r="B71" s="2">
        <v>2002</v>
      </c>
      <c r="C71" s="2">
        <f>COUNTIFS(Games[Team],Games[[#This Row],[Team]],Games[Season],Games[[#This Row],[Season]],Games[Date],"&lt;=" &amp; Games[[#This Row],[Date]])</f>
        <v>5</v>
      </c>
      <c r="D71" s="2" t="s">
        <v>23</v>
      </c>
      <c r="E71" s="2" t="s">
        <v>29</v>
      </c>
      <c r="F71" s="1" t="s">
        <v>43</v>
      </c>
      <c r="G71" s="1" t="s">
        <v>64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2</v>
      </c>
      <c r="L71" s="2">
        <f>Games[[#This Row],[OppDaysOff]]-Games[[#This Row],[DaysOff]]</f>
        <v>-2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1500.4100520813347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1546.1425193905686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0.59976653534106439</v>
      </c>
      <c r="R71" s="1">
        <v>69</v>
      </c>
      <c r="S71" s="1">
        <v>64</v>
      </c>
      <c r="T71" s="1">
        <v>0</v>
      </c>
      <c r="U71" s="1">
        <f>Games[[#This Row],[PointsFor]]-Games[[#This Row],[PointsAgainst]]</f>
        <v>5</v>
      </c>
      <c r="V71" s="1">
        <f>IF(Games[[#This Row],[MOV]]&gt;0,1,IF(Games[[#This Row],[MOV]]=0,0.5,0))</f>
        <v>1</v>
      </c>
      <c r="W71" s="4">
        <f>((ABS(Games[[#This Row],[MOV]])+5)^0.6)/(12+0.01*(ABS(Games[[#This Row],[PreGmRate]]-Games[[#This Row],[OppPreGmRate]])))*IF(Games[[#This Row],[OT]]=1,0.9,1)</f>
        <v>0.31957677992723721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75.25</v>
      </c>
      <c r="Z71" s="4">
        <f>Games[[#This Row],[K]]*Games[[#This Row],[POMult]]</f>
        <v>75.25</v>
      </c>
      <c r="AA71" s="4">
        <f>(Games[[#This Row],[Keff]]*Games[[#This Row],[MOVMult]])*(Games[[#This Row],[Result]]-Games[[#This Row],[ExpectedWin%]])</f>
        <v>9.6248754695755316</v>
      </c>
      <c r="AB71" s="4">
        <f>Games[[#This Row],[PreGmRate]]+Games[[#This Row],[RatingChange]]</f>
        <v>1510.0349275509102</v>
      </c>
      <c r="AC71" s="2">
        <f>IF(Games[[#This Row],[Type]]="R",IF(Games[[#This Row],[Result]]&gt;0.5,1,0),0)</f>
        <v>1</v>
      </c>
      <c r="AD71" s="2">
        <f>IF(Games[[#This Row],[Type]]="R",IF(Games[[#This Row],[Result]]&lt;0.5,1,0),0)</f>
        <v>0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37416</v>
      </c>
      <c r="B72" s="2">
        <v>2002</v>
      </c>
      <c r="C72" s="2">
        <f>COUNTIFS(Games[Team],Games[[#This Row],[Team]],Games[Season],Games[[#This Row],[Season]],Games[Date],"&lt;=" &amp; Games[[#This Row],[Date]])</f>
        <v>7</v>
      </c>
      <c r="D72" s="2" t="s">
        <v>23</v>
      </c>
      <c r="E72" s="2" t="s">
        <v>29</v>
      </c>
      <c r="F72" s="1" t="s">
        <v>66</v>
      </c>
      <c r="G72" s="1" t="s">
        <v>77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0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2" s="2">
        <f>Games[[#This Row],[DaysOff]]-Games[[#This Row],[OppDaysOff]]</f>
        <v>-2</v>
      </c>
      <c r="L72" s="2">
        <f>Games[[#This Row],[OppDaysOff]]-Games[[#This Row],[DaysOff]]</f>
        <v>2</v>
      </c>
      <c r="M72" s="1">
        <f>MAX(-16, MIN(16, Games[[#This Row],[RestDiff]]*8))</f>
        <v>-16</v>
      </c>
      <c r="N72" s="1">
        <f>MAX(-16, MIN(16, Games[[#This Row],[OppRestDiff]]*8))</f>
        <v>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1558.3223363644554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1384.7951487662051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0.58203992015601003</v>
      </c>
      <c r="R72" s="1">
        <v>70</v>
      </c>
      <c r="S72" s="1">
        <v>63</v>
      </c>
      <c r="T72" s="1">
        <v>0</v>
      </c>
      <c r="U72" s="1">
        <f>Games[[#This Row],[PointsFor]]-Games[[#This Row],[PointsAgainst]]</f>
        <v>7</v>
      </c>
      <c r="V72" s="1">
        <f>IF(Games[[#This Row],[MOV]]&gt;0,1,IF(Games[[#This Row],[MOV]]=0,0.5,0))</f>
        <v>1</v>
      </c>
      <c r="W72" s="4">
        <f>((ABS(Games[[#This Row],[MOV]])+5)^0.6)/(12+0.01*(ABS(Games[[#This Row],[PreGmRate]]-Games[[#This Row],[OppPreGmRate]])))*IF(Games[[#This Row],[OT]]=1,0.9,1)</f>
        <v>0.32334897408269531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10.129264878729414</v>
      </c>
      <c r="AB72" s="4">
        <f>Games[[#This Row],[PreGmRate]]+Games[[#This Row],[RatingChange]]</f>
        <v>1568.4516012431848</v>
      </c>
      <c r="AC72" s="2">
        <f>IF(Games[[#This Row],[Type]]="R",IF(Games[[#This Row],[Result]]&gt;0.5,1,0),0)</f>
        <v>1</v>
      </c>
      <c r="AD72" s="2">
        <f>IF(Games[[#This Row],[Type]]="R",IF(Games[[#This Row],[Result]]&lt;0.5,1,0),0)</f>
        <v>0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37416</v>
      </c>
      <c r="B73" s="2">
        <v>2002</v>
      </c>
      <c r="C73" s="2">
        <f>COUNTIFS(Games[Team],Games[[#This Row],[Team]],Games[Season],Games[[#This Row],[Season]],Games[Date],"&lt;=" &amp; Games[[#This Row],[Date]])</f>
        <v>6</v>
      </c>
      <c r="D73" s="2" t="s">
        <v>23</v>
      </c>
      <c r="E73" s="2" t="s">
        <v>29</v>
      </c>
      <c r="F73" s="1" t="s">
        <v>77</v>
      </c>
      <c r="G73" s="1" t="s">
        <v>66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3" s="2">
        <f>Games[[#This Row],[DaysOff]]-Games[[#This Row],[OppDaysOff]]</f>
        <v>2</v>
      </c>
      <c r="L73" s="2">
        <f>Games[[#This Row],[OppDaysOff]]-Games[[#This Row],[DaysOff]]</f>
        <v>-2</v>
      </c>
      <c r="M73" s="1">
        <f>MAX(-16, MIN(16, Games[[#This Row],[RestDiff]]*8))</f>
        <v>16</v>
      </c>
      <c r="N73" s="1">
        <f>MAX(-16, MIN(16, Games[[#This Row],[OppRestDiff]]*8))</f>
        <v>-16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1384.7951487662051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1558.3223363644554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0.41796007984399003</v>
      </c>
      <c r="R73" s="1">
        <v>63</v>
      </c>
      <c r="S73" s="1">
        <v>70</v>
      </c>
      <c r="T73" s="1">
        <v>0</v>
      </c>
      <c r="U73" s="1">
        <f>Games[[#This Row],[PointsFor]]-Games[[#This Row],[PointsAgainst]]</f>
        <v>-7</v>
      </c>
      <c r="V73" s="1">
        <f>IF(Games[[#This Row],[MOV]]&gt;0,1,IF(Games[[#This Row],[MOV]]=0,0.5,0))</f>
        <v>0</v>
      </c>
      <c r="W73" s="4">
        <f>((ABS(Games[[#This Row],[MOV]])+5)^0.6)/(12+0.01*(ABS(Games[[#This Row],[PreGmRate]]-Games[[#This Row],[OppPreGmRate]])))*IF(Games[[#This Row],[OT]]=1,0.9,1)</f>
        <v>0.32334897408269531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75.099999999999994</v>
      </c>
      <c r="Z73" s="4">
        <f>Games[[#This Row],[K]]*Games[[#This Row],[POMult]]</f>
        <v>75.099999999999994</v>
      </c>
      <c r="AA73" s="4">
        <f>(Games[[#This Row],[Keff]]*Games[[#This Row],[MOVMult]])*(Games[[#This Row],[Result]]-Games[[#This Row],[ExpectedWin%]])</f>
        <v>-10.149536923183176</v>
      </c>
      <c r="AB73" s="4">
        <f>Games[[#This Row],[PreGmRate]]+Games[[#This Row],[RatingChange]]</f>
        <v>1374.6456118430219</v>
      </c>
      <c r="AC73" s="2">
        <f>IF(Games[[#This Row],[Type]]="R",IF(Games[[#This Row],[Result]]&gt;0.5,1,0),0)</f>
        <v>0</v>
      </c>
      <c r="AD73" s="2">
        <f>IF(Games[[#This Row],[Type]]="R",IF(Games[[#This Row],[Result]]&lt;0.5,1,0),0)</f>
        <v>1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37416</v>
      </c>
      <c r="B74" s="2">
        <v>2002</v>
      </c>
      <c r="C74" s="2">
        <f>COUNTIFS(Games[Team],Games[[#This Row],[Team]],Games[Season],Games[[#This Row],[Season]],Games[Date],"&lt;=" &amp; Games[[#This Row],[Date]])</f>
        <v>3</v>
      </c>
      <c r="D74" s="2" t="s">
        <v>23</v>
      </c>
      <c r="E74" s="2" t="s">
        <v>29</v>
      </c>
      <c r="F74" s="1" t="s">
        <v>45</v>
      </c>
      <c r="G74" s="1" t="s">
        <v>2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4" s="2">
        <f>Games[[#This Row],[DaysOff]]-Games[[#This Row],[OppDaysOff]]</f>
        <v>-1</v>
      </c>
      <c r="L74" s="2">
        <f>Games[[#This Row],[OppDaysOff]]-Games[[#This Row],[DaysOff]]</f>
        <v>1</v>
      </c>
      <c r="M74" s="1">
        <f>MAX(-16, MIN(16, Games[[#This Row],[RestDiff]]*8))</f>
        <v>-8</v>
      </c>
      <c r="N74" s="1">
        <f>MAX(-16, MIN(16, Games[[#This Row],[OppRestDiff]]*8))</f>
        <v>8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1538.90391571533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1539.838556081929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0.3586964312393125</v>
      </c>
      <c r="R74" s="1">
        <v>62</v>
      </c>
      <c r="S74" s="1">
        <v>75</v>
      </c>
      <c r="T74" s="1">
        <v>0</v>
      </c>
      <c r="U74" s="1">
        <f>Games[[#This Row],[PointsFor]]-Games[[#This Row],[PointsAgainst]]</f>
        <v>-13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0.47167638249157756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75.55</v>
      </c>
      <c r="Z74" s="4">
        <f>Games[[#This Row],[K]]*Games[[#This Row],[POMult]]</f>
        <v>75.55</v>
      </c>
      <c r="AA74" s="4">
        <f>(Games[[#This Row],[Keff]]*Games[[#This Row],[MOVMult]])*(Games[[#This Row],[Result]]-Games[[#This Row],[ExpectedWin%]])</f>
        <v>-12.782201381774614</v>
      </c>
      <c r="AB74" s="4">
        <f>Games[[#This Row],[PreGmRate]]+Games[[#This Row],[RatingChange]]</f>
        <v>1526.1217143335552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37416</v>
      </c>
      <c r="B75" s="2">
        <v>2002</v>
      </c>
      <c r="C75" s="2">
        <f>COUNTIFS(Games[Team],Games[[#This Row],[Team]],Games[Season],Games[[#This Row],[Season]],Games[Date],"&lt;=" &amp; Games[[#This Row],[Date]])</f>
        <v>6</v>
      </c>
      <c r="D75" s="2" t="s">
        <v>23</v>
      </c>
      <c r="E75" s="2" t="s">
        <v>29</v>
      </c>
      <c r="F75" s="1" t="s">
        <v>2</v>
      </c>
      <c r="G75" s="1" t="s">
        <v>45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5" s="2">
        <f>Games[[#This Row],[DaysOff]]-Games[[#This Row],[OppDaysOff]]</f>
        <v>1</v>
      </c>
      <c r="L75" s="2">
        <f>Games[[#This Row],[OppDaysOff]]-Games[[#This Row],[DaysOff]]</f>
        <v>-1</v>
      </c>
      <c r="M75" s="1">
        <f>MAX(-16, MIN(16, Games[[#This Row],[RestDiff]]*8))</f>
        <v>8</v>
      </c>
      <c r="N75" s="1">
        <f>MAX(-16, MIN(16, Games[[#This Row],[OppRestDiff]]*8))</f>
        <v>-8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1539.838556081929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1538.90391571533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0.6413035687606875</v>
      </c>
      <c r="R75" s="1">
        <v>75</v>
      </c>
      <c r="S75" s="1">
        <v>62</v>
      </c>
      <c r="T75" s="1">
        <v>0</v>
      </c>
      <c r="U75" s="1">
        <f>Games[[#This Row],[PointsFor]]-Games[[#This Row],[PointsAgainst]]</f>
        <v>13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0.47167638249157756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75.099999999999994</v>
      </c>
      <c r="Z75" s="4">
        <f>Games[[#This Row],[K]]*Games[[#This Row],[POMult]]</f>
        <v>75.099999999999994</v>
      </c>
      <c r="AA75" s="4">
        <f>(Games[[#This Row],[Keff]]*Games[[#This Row],[MOVMult]])*(Games[[#This Row],[Result]]-Games[[#This Row],[ExpectedWin%]])</f>
        <v>12.706066495979794</v>
      </c>
      <c r="AB75" s="4">
        <f>Games[[#This Row],[PreGmRate]]+Games[[#This Row],[RatingChange]]</f>
        <v>1552.5446225779087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37416</v>
      </c>
      <c r="B76" s="2">
        <v>2002</v>
      </c>
      <c r="C76" s="2">
        <f>COUNTIFS(Games[Team],Games[[#This Row],[Team]],Games[Season],Games[[#This Row],[Season]],Games[Date],"&lt;=" &amp; Games[[#This Row],[Date]])</f>
        <v>5</v>
      </c>
      <c r="D76" s="2" t="s">
        <v>23</v>
      </c>
      <c r="E76" s="2" t="s">
        <v>29</v>
      </c>
      <c r="F76" s="1" t="s">
        <v>64</v>
      </c>
      <c r="G76" s="1" t="s">
        <v>44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76" s="2">
        <f>Games[[#This Row],[DaysOff]]-Games[[#This Row],[OppDaysOff]]</f>
        <v>-5</v>
      </c>
      <c r="L76" s="2">
        <f>Games[[#This Row],[OppDaysOff]]-Games[[#This Row],[DaysOff]]</f>
        <v>5</v>
      </c>
      <c r="M76" s="1">
        <f>MAX(-16, MIN(16, Games[[#This Row],[RestDiff]]*8))</f>
        <v>-16</v>
      </c>
      <c r="N76" s="1">
        <f>MAX(-16, MIN(16, Games[[#This Row],[OppRestDiff]]*8))</f>
        <v>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1536.498458122715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1493.8596376044125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0.39596629731158101</v>
      </c>
      <c r="R76" s="1">
        <v>77</v>
      </c>
      <c r="S76" s="1">
        <v>80</v>
      </c>
      <c r="T76" s="1">
        <v>0</v>
      </c>
      <c r="U76" s="1">
        <f>Games[[#This Row],[PointsFor]]-Games[[#This Row],[PointsAgainst]]</f>
        <v>-3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0.28022641782043117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75.25</v>
      </c>
      <c r="Z76" s="4">
        <f>Games[[#This Row],[K]]*Games[[#This Row],[POMult]]</f>
        <v>75.25</v>
      </c>
      <c r="AA76" s="4">
        <f>(Games[[#This Row],[Keff]]*Games[[#This Row],[MOVMult]])*(Games[[#This Row],[Result]]-Games[[#This Row],[ExpectedWin%]])</f>
        <v>-8.3497563347616239</v>
      </c>
      <c r="AB76" s="4">
        <f>Games[[#This Row],[PreGmRate]]+Games[[#This Row],[RatingChange]]</f>
        <v>1528.1487017879533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37416</v>
      </c>
      <c r="B77" s="2">
        <v>2002</v>
      </c>
      <c r="C77" s="2">
        <f>COUNTIFS(Games[Team],Games[[#This Row],[Team]],Games[Season],Games[[#This Row],[Season]],Games[Date],"&lt;=" &amp; Games[[#This Row],[Date]])</f>
        <v>4</v>
      </c>
      <c r="D77" s="2" t="s">
        <v>23</v>
      </c>
      <c r="E77" s="2" t="s">
        <v>29</v>
      </c>
      <c r="F77" s="1" t="s">
        <v>44</v>
      </c>
      <c r="G77" s="1" t="s">
        <v>64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5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7" s="2">
        <f>Games[[#This Row],[DaysOff]]-Games[[#This Row],[OppDaysOff]]</f>
        <v>5</v>
      </c>
      <c r="L77" s="2">
        <f>Games[[#This Row],[OppDaysOff]]-Games[[#This Row],[DaysOff]]</f>
        <v>-5</v>
      </c>
      <c r="M77" s="1">
        <f>MAX(-16, MIN(16, Games[[#This Row],[RestDiff]]*8))</f>
        <v>16</v>
      </c>
      <c r="N77" s="1">
        <f>MAX(-16, MIN(16, Games[[#This Row],[OppRestDiff]]*8))</f>
        <v>-16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1493.8596376044125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1536.498458122715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0.60403370268841905</v>
      </c>
      <c r="R77" s="1">
        <v>80</v>
      </c>
      <c r="S77" s="1">
        <v>77</v>
      </c>
      <c r="T77" s="1">
        <v>0</v>
      </c>
      <c r="U77" s="1">
        <f>Games[[#This Row],[PointsFor]]-Games[[#This Row],[PointsAgainst]]</f>
        <v>3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0.28022641782043117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75.400000000000006</v>
      </c>
      <c r="Z77" s="4">
        <f>Games[[#This Row],[K]]*Games[[#This Row],[POMult]]</f>
        <v>75.400000000000006</v>
      </c>
      <c r="AA77" s="4">
        <f>(Games[[#This Row],[Keff]]*Games[[#This Row],[MOVMult]])*(Games[[#This Row],[Result]]-Games[[#This Row],[ExpectedWin%]])</f>
        <v>8.3664003673226102</v>
      </c>
      <c r="AB77" s="4">
        <f>Games[[#This Row],[PreGmRate]]+Games[[#This Row],[RatingChange]]</f>
        <v>1502.226037971735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37416</v>
      </c>
      <c r="B78" s="2">
        <v>2002</v>
      </c>
      <c r="C78" s="2">
        <f>COUNTIFS(Games[Team],Games[[#This Row],[Team]],Games[Season],Games[[#This Row],[Season]],Games[Date],"&lt;=" &amp; Games[[#This Row],[Date]])</f>
        <v>6</v>
      </c>
      <c r="D78" s="2" t="s">
        <v>23</v>
      </c>
      <c r="E78" s="2" t="s">
        <v>29</v>
      </c>
      <c r="F78" s="1" t="s">
        <v>43</v>
      </c>
      <c r="G78" s="1" t="s">
        <v>87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8" s="2">
        <f>Games[[#This Row],[DaysOff]]-Games[[#This Row],[OppDaysOff]]</f>
        <v>-2</v>
      </c>
      <c r="L78" s="2">
        <f>Games[[#This Row],[OppDaysOff]]-Games[[#This Row],[DaysOff]]</f>
        <v>2</v>
      </c>
      <c r="M78" s="1">
        <f>MAX(-16, MIN(16, Games[[#This Row],[RestDiff]]*8))</f>
        <v>-16</v>
      </c>
      <c r="N78" s="1">
        <f>MAX(-16, MIN(16, Games[[#This Row],[OppRestDiff]]*8))</f>
        <v>16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1510.0349275509102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1457.6915109616557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0.40940230814531725</v>
      </c>
      <c r="R78" s="1">
        <v>71</v>
      </c>
      <c r="S78" s="1">
        <v>68</v>
      </c>
      <c r="T78" s="1">
        <v>0</v>
      </c>
      <c r="U78" s="1">
        <f>Games[[#This Row],[PointsFor]]-Games[[#This Row],[PointsAgainst]]</f>
        <v>3</v>
      </c>
      <c r="V78" s="1">
        <f>IF(Games[[#This Row],[MOV]]&gt;0,1,IF(Games[[#This Row],[MOV]]=0,0.5,0))</f>
        <v>1</v>
      </c>
      <c r="W78" s="4">
        <f>((ABS(Games[[#This Row],[MOV]])+5)^0.6)/(12+0.01*(ABS(Games[[#This Row],[PreGmRate]]-Games[[#This Row],[OppPreGmRate]])))*IF(Games[[#This Row],[OT]]=1,0.9,1)</f>
        <v>0.27805490147967887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75.099999999999994</v>
      </c>
      <c r="Z78" s="4">
        <f>Games[[#This Row],[K]]*Games[[#This Row],[POMult]]</f>
        <v>75.099999999999994</v>
      </c>
      <c r="AA78" s="4">
        <f>(Games[[#This Row],[Keff]]*Games[[#This Row],[MOVMult]])*(Games[[#This Row],[Result]]-Games[[#This Row],[ExpectedWin%]])</f>
        <v>12.332815585010742</v>
      </c>
      <c r="AB78" s="4">
        <f>Games[[#This Row],[PreGmRate]]+Games[[#This Row],[RatingChange]]</f>
        <v>1522.367743135921</v>
      </c>
      <c r="AC78" s="2">
        <f>IF(Games[[#This Row],[Type]]="R",IF(Games[[#This Row],[Result]]&gt;0.5,1,0),0)</f>
        <v>1</v>
      </c>
      <c r="AD78" s="2">
        <f>IF(Games[[#This Row],[Type]]="R",IF(Games[[#This Row],[Result]]&lt;0.5,1,0),0)</f>
        <v>0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37416</v>
      </c>
      <c r="B79" s="2">
        <v>2002</v>
      </c>
      <c r="C79" s="2">
        <f>COUNTIFS(Games[Team],Games[[#This Row],[Team]],Games[Season],Games[[#This Row],[Season]],Games[Date],"&lt;=" &amp; Games[[#This Row],[Date]])</f>
        <v>5</v>
      </c>
      <c r="D79" s="2" t="s">
        <v>23</v>
      </c>
      <c r="E79" s="2" t="s">
        <v>29</v>
      </c>
      <c r="F79" s="1" t="s">
        <v>87</v>
      </c>
      <c r="G79" s="1" t="s">
        <v>43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9" s="2">
        <f>Games[[#This Row],[DaysOff]]-Games[[#This Row],[OppDaysOff]]</f>
        <v>2</v>
      </c>
      <c r="L79" s="2">
        <f>Games[[#This Row],[OppDaysOff]]-Games[[#This Row],[DaysOff]]</f>
        <v>-2</v>
      </c>
      <c r="M79" s="1">
        <f>MAX(-16, MIN(16, Games[[#This Row],[RestDiff]]*8))</f>
        <v>16</v>
      </c>
      <c r="N79" s="1">
        <f>MAX(-16, MIN(16, Games[[#This Row],[OppRestDiff]]*8))</f>
        <v>-16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1457.6915109616557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1510.0349275509102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0.59059769185468269</v>
      </c>
      <c r="R79" s="1">
        <v>68</v>
      </c>
      <c r="S79" s="1">
        <v>71</v>
      </c>
      <c r="T79" s="1">
        <v>0</v>
      </c>
      <c r="U79" s="1">
        <f>Games[[#This Row],[PointsFor]]-Games[[#This Row],[PointsAgainst]]</f>
        <v>-3</v>
      </c>
      <c r="V79" s="1">
        <f>IF(Games[[#This Row],[MOV]]&gt;0,1,IF(Games[[#This Row],[MOV]]=0,0.5,0))</f>
        <v>0</v>
      </c>
      <c r="W79" s="4">
        <f>((ABS(Games[[#This Row],[MOV]])+5)^0.6)/(12+0.01*(ABS(Games[[#This Row],[PreGmRate]]-Games[[#This Row],[OppPreGmRate]])))*IF(Games[[#This Row],[OT]]=1,0.9,1)</f>
        <v>0.27805490147967887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75.25</v>
      </c>
      <c r="Z79" s="4">
        <f>Games[[#This Row],[K]]*Games[[#This Row],[POMult]]</f>
        <v>75.25</v>
      </c>
      <c r="AA79" s="4">
        <f>(Games[[#This Row],[Keff]]*Games[[#This Row],[MOVMult]])*(Games[[#This Row],[Result]]-Games[[#This Row],[ExpectedWin%]])</f>
        <v>-12.357448372464161</v>
      </c>
      <c r="AB79" s="4">
        <f>Games[[#This Row],[PreGmRate]]+Games[[#This Row],[RatingChange]]</f>
        <v>1445.3340625891915</v>
      </c>
      <c r="AC79" s="2">
        <f>IF(Games[[#This Row],[Type]]="R",IF(Games[[#This Row],[Result]]&gt;0.5,1,0),0)</f>
        <v>0</v>
      </c>
      <c r="AD79" s="2">
        <f>IF(Games[[#This Row],[Type]]="R",IF(Games[[#This Row],[Result]]&lt;0.5,1,0),0)</f>
        <v>1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37416</v>
      </c>
      <c r="B80" s="2">
        <v>2002</v>
      </c>
      <c r="C80" s="2">
        <f>COUNTIFS(Games[Team],Games[[#This Row],[Team]],Games[Season],Games[[#This Row],[Season]],Games[Date],"&lt;=" &amp; Games[[#This Row],[Date]])</f>
        <v>5</v>
      </c>
      <c r="D80" s="2" t="s">
        <v>23</v>
      </c>
      <c r="E80" s="2" t="s">
        <v>29</v>
      </c>
      <c r="F80" s="1" t="s">
        <v>83</v>
      </c>
      <c r="G80" s="1" t="s">
        <v>75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3</v>
      </c>
      <c r="L80" s="2">
        <f>Games[[#This Row],[OppDaysOff]]-Games[[#This Row],[DaysOff]]</f>
        <v>-3</v>
      </c>
      <c r="M80" s="1">
        <f>MAX(-16, MIN(16, Games[[#This Row],[RestDiff]]*8))</f>
        <v>16</v>
      </c>
      <c r="N80" s="1">
        <f>MAX(-16, MIN(16, Games[[#This Row],[OppRestDiff]]*8))</f>
        <v>-16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1477.4595275293182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1478.5979958635037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0.42411835355752148</v>
      </c>
      <c r="R80" s="1">
        <v>67</v>
      </c>
      <c r="S80" s="1">
        <v>76</v>
      </c>
      <c r="T80" s="1">
        <v>0</v>
      </c>
      <c r="U80" s="1">
        <f>Games[[#This Row],[PointsFor]]-Games[[#This Row],[PointsAgainst]]</f>
        <v>-9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0.40558673743279877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75.25</v>
      </c>
      <c r="Z80" s="4">
        <f>Games[[#This Row],[K]]*Games[[#This Row],[POMult]]</f>
        <v>75.25</v>
      </c>
      <c r="AA80" s="4">
        <f>(Games[[#This Row],[Keff]]*Games[[#This Row],[MOVMult]])*(Games[[#This Row],[Result]]-Games[[#This Row],[ExpectedWin%]])</f>
        <v>-12.944262642683595</v>
      </c>
      <c r="AB80" s="4">
        <f>Games[[#This Row],[PreGmRate]]+Games[[#This Row],[RatingChange]]</f>
        <v>1464.5152648866347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37416</v>
      </c>
      <c r="B81" s="2">
        <v>2002</v>
      </c>
      <c r="C81" s="2">
        <f>COUNTIFS(Games[Team],Games[[#This Row],[Team]],Games[Season],Games[[#This Row],[Season]],Games[Date],"&lt;=" &amp; Games[[#This Row],[Date]])</f>
        <v>5</v>
      </c>
      <c r="D81" s="2" t="s">
        <v>23</v>
      </c>
      <c r="E81" s="2" t="s">
        <v>29</v>
      </c>
      <c r="F81" s="1" t="s">
        <v>75</v>
      </c>
      <c r="G81" s="1" t="s">
        <v>83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1" s="2">
        <f>Games[[#This Row],[DaysOff]]-Games[[#This Row],[OppDaysOff]]</f>
        <v>-3</v>
      </c>
      <c r="L81" s="2">
        <f>Games[[#This Row],[OppDaysOff]]-Games[[#This Row],[DaysOff]]</f>
        <v>3</v>
      </c>
      <c r="M81" s="1">
        <f>MAX(-16, MIN(16, Games[[#This Row],[RestDiff]]*8))</f>
        <v>-16</v>
      </c>
      <c r="N81" s="1">
        <f>MAX(-16, MIN(16, Games[[#This Row],[OppRestDiff]]*8))</f>
        <v>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1478.5979958635037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1477.4595275293182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0.57588164644247841</v>
      </c>
      <c r="R81" s="1">
        <v>76</v>
      </c>
      <c r="S81" s="1">
        <v>67</v>
      </c>
      <c r="T81" s="1">
        <v>0</v>
      </c>
      <c r="U81" s="1">
        <f>Games[[#This Row],[PointsFor]]-Games[[#This Row],[PointsAgainst]]</f>
        <v>9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0.40558673743279877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75.25</v>
      </c>
      <c r="Z81" s="4">
        <f>Games[[#This Row],[K]]*Games[[#This Row],[POMult]]</f>
        <v>75.25</v>
      </c>
      <c r="AA81" s="4">
        <f>(Games[[#This Row],[Keff]]*Games[[#This Row],[MOVMult]])*(Games[[#This Row],[Result]]-Games[[#This Row],[ExpectedWin%]])</f>
        <v>12.944262642683599</v>
      </c>
      <c r="AB81" s="4">
        <f>Games[[#This Row],[PreGmRate]]+Games[[#This Row],[RatingChange]]</f>
        <v>1491.5422585061872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37418</v>
      </c>
      <c r="B82" s="2">
        <v>2002</v>
      </c>
      <c r="C82" s="2">
        <f>COUNTIFS(Games[Team],Games[[#This Row],[Team]],Games[Season],Games[[#This Row],[Season]],Games[Date],"&lt;=" &amp; Games[[#This Row],[Date]])</f>
        <v>6</v>
      </c>
      <c r="D82" s="2" t="s">
        <v>23</v>
      </c>
      <c r="E82" s="2" t="s">
        <v>29</v>
      </c>
      <c r="F82" s="1" t="s">
        <v>64</v>
      </c>
      <c r="G82" s="1" t="s">
        <v>2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1528.1487017879533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1552.5446225779087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0.34887746829897287</v>
      </c>
      <c r="R82" s="1">
        <v>66</v>
      </c>
      <c r="S82" s="1">
        <v>78</v>
      </c>
      <c r="T82" s="1">
        <v>0</v>
      </c>
      <c r="U82" s="1">
        <f>Games[[#This Row],[PointsFor]]-Games[[#This Row],[PointsAgainst]]</f>
        <v>-12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0.44704112648358574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75.099999999999994</v>
      </c>
      <c r="Z82" s="4">
        <f>Games[[#This Row],[K]]*Games[[#This Row],[POMult]]</f>
        <v>75.099999999999994</v>
      </c>
      <c r="AA82" s="4">
        <f>(Games[[#This Row],[Keff]]*Games[[#This Row],[MOVMult]])*(Games[[#This Row],[Result]]-Games[[#This Row],[ExpectedWin%]])</f>
        <v>-11.712789490126882</v>
      </c>
      <c r="AB82" s="4">
        <f>Games[[#This Row],[PreGmRate]]+Games[[#This Row],[RatingChange]]</f>
        <v>1516.4359122978265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37418</v>
      </c>
      <c r="B83" s="2">
        <v>2002</v>
      </c>
      <c r="C83" s="2">
        <f>COUNTIFS(Games[Team],Games[[#This Row],[Team]],Games[Season],Games[[#This Row],[Season]],Games[Date],"&lt;=" &amp; Games[[#This Row],[Date]])</f>
        <v>7</v>
      </c>
      <c r="D83" s="2" t="s">
        <v>23</v>
      </c>
      <c r="E83" s="2" t="s">
        <v>29</v>
      </c>
      <c r="F83" s="1" t="s">
        <v>2</v>
      </c>
      <c r="G83" s="1" t="s">
        <v>64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1552.5446225779087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1528.1487017879533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0.65112253170102719</v>
      </c>
      <c r="R83" s="1">
        <v>78</v>
      </c>
      <c r="S83" s="1">
        <v>66</v>
      </c>
      <c r="T83" s="1">
        <v>0</v>
      </c>
      <c r="U83" s="1">
        <f>Games[[#This Row],[PointsFor]]-Games[[#This Row],[PointsAgainst]]</f>
        <v>12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0.44704112648358574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11.689395103661916</v>
      </c>
      <c r="AB83" s="4">
        <f>Games[[#This Row],[PreGmRate]]+Games[[#This Row],[RatingChange]]</f>
        <v>1564.2340176815705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37418</v>
      </c>
      <c r="B84" s="2">
        <v>2002</v>
      </c>
      <c r="C84" s="2">
        <f>COUNTIFS(Games[Team],Games[[#This Row],[Team]],Games[Season],Games[[#This Row],[Season]],Games[Date],"&lt;=" &amp; Games[[#This Row],[Date]])</f>
        <v>7</v>
      </c>
      <c r="D84" s="2" t="s">
        <v>23</v>
      </c>
      <c r="E84" s="2" t="s">
        <v>29</v>
      </c>
      <c r="F84" s="1" t="s">
        <v>77</v>
      </c>
      <c r="G84" s="1" t="s">
        <v>71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4" s="2">
        <f>Games[[#This Row],[DaysOff]]-Games[[#This Row],[OppDaysOff]]</f>
        <v>-1</v>
      </c>
      <c r="L84" s="2">
        <f>Games[[#This Row],[OppDaysOff]]-Games[[#This Row],[DaysOff]]</f>
        <v>1</v>
      </c>
      <c r="M84" s="1">
        <f>MAX(-16, MIN(16, Games[[#This Row],[RestDiff]]*8))</f>
        <v>-8</v>
      </c>
      <c r="N84" s="1">
        <f>MAX(-16, MIN(16, Games[[#This Row],[OppRestDiff]]*8))</f>
        <v>8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1374.6456118430219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1663.3634912444402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9.6420959706126755E-2</v>
      </c>
      <c r="R84" s="1">
        <v>80</v>
      </c>
      <c r="S84" s="1">
        <v>90</v>
      </c>
      <c r="T84" s="1">
        <v>0</v>
      </c>
      <c r="U84" s="1">
        <f>Games[[#This Row],[PointsFor]]-Games[[#This Row],[PointsAgainst]]</f>
        <v>-10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0.34106908113637924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74.95</v>
      </c>
      <c r="Z84" s="4">
        <f>Games[[#This Row],[K]]*Games[[#This Row],[POMult]]</f>
        <v>74.95</v>
      </c>
      <c r="AA84" s="4">
        <f>(Games[[#This Row],[Keff]]*Games[[#This Row],[MOVMult]])*(Games[[#This Row],[Result]]-Games[[#This Row],[ExpectedWin%]])</f>
        <v>-2.4648212992877747</v>
      </c>
      <c r="AB84" s="4">
        <f>Games[[#This Row],[PreGmRate]]+Games[[#This Row],[RatingChange]]</f>
        <v>1372.1807905437342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37418</v>
      </c>
      <c r="B85" s="2">
        <v>2002</v>
      </c>
      <c r="C85" s="2">
        <f>COUNTIFS(Games[Team],Games[[#This Row],[Team]],Games[Season],Games[[#This Row],[Season]],Games[Date],"&lt;=" &amp; Games[[#This Row],[Date]])</f>
        <v>7</v>
      </c>
      <c r="D85" s="2" t="s">
        <v>23</v>
      </c>
      <c r="E85" s="2" t="s">
        <v>29</v>
      </c>
      <c r="F85" s="1" t="s">
        <v>71</v>
      </c>
      <c r="G85" s="1" t="s">
        <v>77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1</v>
      </c>
      <c r="L85" s="2">
        <f>Games[[#This Row],[OppDaysOff]]-Games[[#This Row],[DaysOff]]</f>
        <v>-1</v>
      </c>
      <c r="M85" s="1">
        <f>MAX(-16, MIN(16, Games[[#This Row],[RestDiff]]*8))</f>
        <v>8</v>
      </c>
      <c r="N85" s="1">
        <f>MAX(-16, MIN(16, Games[[#This Row],[OppRestDiff]]*8))</f>
        <v>-8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1663.3634912444402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1374.6456118430219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0.90357904029387326</v>
      </c>
      <c r="R85" s="1">
        <v>90</v>
      </c>
      <c r="S85" s="1">
        <v>80</v>
      </c>
      <c r="T85" s="1">
        <v>0</v>
      </c>
      <c r="U85" s="1">
        <f>Games[[#This Row],[PointsFor]]-Games[[#This Row],[PointsAgainst]]</f>
        <v>10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0.34106908113637924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74.95</v>
      </c>
      <c r="Z85" s="4">
        <f>Games[[#This Row],[K]]*Games[[#This Row],[POMult]]</f>
        <v>74.95</v>
      </c>
      <c r="AA85" s="4">
        <f>(Games[[#This Row],[Keff]]*Games[[#This Row],[MOVMult]])*(Games[[#This Row],[Result]]-Games[[#This Row],[ExpectedWin%]])</f>
        <v>2.4648212992877743</v>
      </c>
      <c r="AB85" s="4">
        <f>Games[[#This Row],[PreGmRate]]+Games[[#This Row],[RatingChange]]</f>
        <v>1665.8283125437279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37418</v>
      </c>
      <c r="B86" s="2">
        <v>2002</v>
      </c>
      <c r="C86" s="2">
        <f>COUNTIFS(Games[Team],Games[[#This Row],[Team]],Games[Season],Games[[#This Row],[Season]],Games[Date],"&lt;=" &amp; Games[[#This Row],[Date]])</f>
        <v>4</v>
      </c>
      <c r="D86" s="2" t="s">
        <v>23</v>
      </c>
      <c r="E86" s="2" t="s">
        <v>29</v>
      </c>
      <c r="F86" s="1" t="s">
        <v>1</v>
      </c>
      <c r="G86" s="1" t="s">
        <v>83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1</v>
      </c>
      <c r="L86" s="2">
        <f>Games[[#This Row],[OppDaysOff]]-Games[[#This Row],[DaysOff]]</f>
        <v>-1</v>
      </c>
      <c r="M86" s="1">
        <f>MAX(-16, MIN(16, Games[[#This Row],[RestDiff]]*8))</f>
        <v>8</v>
      </c>
      <c r="N86" s="1">
        <f>MAX(-16, MIN(16, Games[[#This Row],[OppRestDiff]]*8))</f>
        <v>-8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1527.6503399365295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1464.5152648866347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0.49299926773778546</v>
      </c>
      <c r="R86" s="1">
        <v>65</v>
      </c>
      <c r="S86" s="1">
        <v>74</v>
      </c>
      <c r="T86" s="1">
        <v>0</v>
      </c>
      <c r="U86" s="1">
        <f>Games[[#This Row],[PointsFor]]-Games[[#This Row],[PointsAgainst]]</f>
        <v>-9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0.3856799183234208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75.400000000000006</v>
      </c>
      <c r="Z86" s="4">
        <f>Games[[#This Row],[K]]*Games[[#This Row],[POMult]]</f>
        <v>75.400000000000006</v>
      </c>
      <c r="AA86" s="4">
        <f>(Games[[#This Row],[Keff]]*Games[[#This Row],[MOVMult]])*(Games[[#This Row],[Result]]-Games[[#This Row],[ExpectedWin%]])</f>
        <v>-14.336549765521999</v>
      </c>
      <c r="AB86" s="4">
        <f>Games[[#This Row],[PreGmRate]]+Games[[#This Row],[RatingChange]]</f>
        <v>1513.3137901710074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37418</v>
      </c>
      <c r="B87" s="2">
        <v>2002</v>
      </c>
      <c r="C87" s="2">
        <f>COUNTIFS(Games[Team],Games[[#This Row],[Team]],Games[Season],Games[[#This Row],[Season]],Games[Date],"&lt;=" &amp; Games[[#This Row],[Date]])</f>
        <v>6</v>
      </c>
      <c r="D87" s="2" t="s">
        <v>23</v>
      </c>
      <c r="E87" s="2" t="s">
        <v>29</v>
      </c>
      <c r="F87" s="1" t="s">
        <v>83</v>
      </c>
      <c r="G87" s="1" t="s">
        <v>1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7" s="2">
        <f>Games[[#This Row],[DaysOff]]-Games[[#This Row],[OppDaysOff]]</f>
        <v>-1</v>
      </c>
      <c r="L87" s="2">
        <f>Games[[#This Row],[OppDaysOff]]-Games[[#This Row],[DaysOff]]</f>
        <v>1</v>
      </c>
      <c r="M87" s="1">
        <f>MAX(-16, MIN(16, Games[[#This Row],[RestDiff]]*8))</f>
        <v>-8</v>
      </c>
      <c r="N87" s="1">
        <f>MAX(-16, MIN(16, Games[[#This Row],[OppRestDiff]]*8))</f>
        <v>8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1464.5152648866347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1527.6503399365295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0.50700073226221454</v>
      </c>
      <c r="R87" s="1">
        <v>74</v>
      </c>
      <c r="S87" s="1">
        <v>65</v>
      </c>
      <c r="T87" s="1">
        <v>0</v>
      </c>
      <c r="U87" s="1">
        <f>Games[[#This Row],[PointsFor]]-Games[[#This Row],[PointsAgainst]]</f>
        <v>9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0.3856799183234208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75.099999999999994</v>
      </c>
      <c r="Z87" s="4">
        <f>Games[[#This Row],[K]]*Games[[#This Row],[POMult]]</f>
        <v>75.099999999999994</v>
      </c>
      <c r="AA87" s="4">
        <f>(Games[[#This Row],[Keff]]*Games[[#This Row],[MOVMult]])*(Games[[#This Row],[Result]]-Games[[#This Row],[ExpectedWin%]])</f>
        <v>14.279507790327612</v>
      </c>
      <c r="AB87" s="4">
        <f>Games[[#This Row],[PreGmRate]]+Games[[#This Row],[RatingChange]]</f>
        <v>1478.7947726769623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37418</v>
      </c>
      <c r="B88" s="2">
        <v>2002</v>
      </c>
      <c r="C88" s="2">
        <f>COUNTIFS(Games[Team],Games[[#This Row],[Team]],Games[Season],Games[[#This Row],[Season]],Games[Date],"&lt;=" &amp; Games[[#This Row],[Date]])</f>
        <v>4</v>
      </c>
      <c r="D88" s="2" t="s">
        <v>23</v>
      </c>
      <c r="E88" s="2" t="s">
        <v>29</v>
      </c>
      <c r="F88" s="1" t="s">
        <v>45</v>
      </c>
      <c r="G88" s="1" t="s">
        <v>80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8" s="2">
        <f>Games[[#This Row],[DaysOff]]-Games[[#This Row],[OppDaysOff]]</f>
        <v>-1</v>
      </c>
      <c r="L88" s="2">
        <f>Games[[#This Row],[OppDaysOff]]-Games[[#This Row],[DaysOff]]</f>
        <v>1</v>
      </c>
      <c r="M88" s="1">
        <f>MAX(-16, MIN(16, Games[[#This Row],[RestDiff]]*8))</f>
        <v>-8</v>
      </c>
      <c r="N88" s="1">
        <f>MAX(-16, MIN(16, Games[[#This Row],[OppRestDiff]]*8))</f>
        <v>8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1526.1217143335552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1473.5029144041964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0.43223256223425677</v>
      </c>
      <c r="R88" s="1">
        <v>63</v>
      </c>
      <c r="S88" s="1">
        <v>72</v>
      </c>
      <c r="T88" s="1">
        <v>0</v>
      </c>
      <c r="U88" s="1">
        <f>Games[[#This Row],[PointsFor]]-Games[[#This Row],[PointsAgainst]]</f>
        <v>-9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0.38891786759400787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75.400000000000006</v>
      </c>
      <c r="Z88" s="4">
        <f>Games[[#This Row],[K]]*Games[[#This Row],[POMult]]</f>
        <v>75.400000000000006</v>
      </c>
      <c r="AA88" s="4">
        <f>(Games[[#This Row],[Keff]]*Games[[#This Row],[MOVMult]])*(Games[[#This Row],[Result]]-Games[[#This Row],[ExpectedWin%]])</f>
        <v>-12.674963667226645</v>
      </c>
      <c r="AB88" s="4">
        <f>Games[[#This Row],[PreGmRate]]+Games[[#This Row],[RatingChange]]</f>
        <v>1513.4467506663286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37418</v>
      </c>
      <c r="B89" s="2">
        <v>2002</v>
      </c>
      <c r="C89" s="2">
        <f>COUNTIFS(Games[Team],Games[[#This Row],[Team]],Games[Season],Games[[#This Row],[Season]],Games[Date],"&lt;=" &amp; Games[[#This Row],[Date]])</f>
        <v>6</v>
      </c>
      <c r="D89" s="2" t="s">
        <v>23</v>
      </c>
      <c r="E89" s="2" t="s">
        <v>29</v>
      </c>
      <c r="F89" s="1" t="s">
        <v>80</v>
      </c>
      <c r="G89" s="1" t="s">
        <v>45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1</v>
      </c>
      <c r="L89" s="2">
        <f>Games[[#This Row],[OppDaysOff]]-Games[[#This Row],[DaysOff]]</f>
        <v>-1</v>
      </c>
      <c r="M89" s="1">
        <f>MAX(-16, MIN(16, Games[[#This Row],[RestDiff]]*8))</f>
        <v>8</v>
      </c>
      <c r="N89" s="1">
        <f>MAX(-16, MIN(16, Games[[#This Row],[OppRestDiff]]*8))</f>
        <v>-8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1473.5029144041964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1526.1217143335552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0.56776743776574323</v>
      </c>
      <c r="R89" s="1">
        <v>72</v>
      </c>
      <c r="S89" s="1">
        <v>63</v>
      </c>
      <c r="T89" s="1">
        <v>0</v>
      </c>
      <c r="U89" s="1">
        <f>Games[[#This Row],[PointsFor]]-Games[[#This Row],[PointsAgainst]]</f>
        <v>9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0.38891786759400787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75.099999999999994</v>
      </c>
      <c r="Z89" s="4">
        <f>Games[[#This Row],[K]]*Games[[#This Row],[POMult]]</f>
        <v>75.099999999999994</v>
      </c>
      <c r="AA89" s="4">
        <f>(Games[[#This Row],[Keff]]*Games[[#This Row],[MOVMult]])*(Games[[#This Row],[Result]]-Games[[#This Row],[ExpectedWin%]])</f>
        <v>12.62453277730399</v>
      </c>
      <c r="AB89" s="4">
        <f>Games[[#This Row],[PreGmRate]]+Games[[#This Row],[RatingChange]]</f>
        <v>1486.1274471815004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37418</v>
      </c>
      <c r="B90" s="2">
        <v>2002</v>
      </c>
      <c r="C90" s="2">
        <f>COUNTIFS(Games[Team],Games[[#This Row],[Team]],Games[Season],Games[[#This Row],[Season]],Games[Date],"&lt;=" &amp; Games[[#This Row],[Date]])</f>
        <v>6</v>
      </c>
      <c r="D90" s="2" t="s">
        <v>23</v>
      </c>
      <c r="E90" s="2" t="s">
        <v>29</v>
      </c>
      <c r="F90" s="1" t="s">
        <v>85</v>
      </c>
      <c r="G90" s="1" t="s">
        <v>79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0" s="2">
        <f>Games[[#This Row],[DaysOff]]-Games[[#This Row],[OppDaysOff]]</f>
        <v>0</v>
      </c>
      <c r="L90" s="2">
        <f>Games[[#This Row],[OppDaysOff]]-Games[[#This Row],[DaysOff]]</f>
        <v>0</v>
      </c>
      <c r="M90" s="1">
        <f>MAX(-16, MIN(16, Games[[#This Row],[RestDiff]]*8))</f>
        <v>0</v>
      </c>
      <c r="N90" s="1">
        <f>MAX(-16, MIN(16, Games[[#This Row],[OppRestDiff]]*8))</f>
        <v>0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1458.8549907482497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1496.2290175874227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0.33210383091948215</v>
      </c>
      <c r="R90" s="1">
        <v>75</v>
      </c>
      <c r="S90" s="1">
        <v>69</v>
      </c>
      <c r="T90" s="1">
        <v>0</v>
      </c>
      <c r="U90" s="1">
        <f>Games[[#This Row],[PointsFor]]-Games[[#This Row],[PointsAgainst]]</f>
        <v>6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0.3406705686121364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75.099999999999994</v>
      </c>
      <c r="Z90" s="4">
        <f>Games[[#This Row],[K]]*Games[[#This Row],[POMult]]</f>
        <v>75.099999999999994</v>
      </c>
      <c r="AA90" s="4">
        <f>(Games[[#This Row],[Keff]]*Games[[#This Row],[MOVMult]])*(Games[[#This Row],[Result]]-Games[[#This Row],[ExpectedWin%]])</f>
        <v>17.087695833859023</v>
      </c>
      <c r="AB90" s="4">
        <f>Games[[#This Row],[PreGmRate]]+Games[[#This Row],[RatingChange]]</f>
        <v>1475.9426865821088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37418</v>
      </c>
      <c r="B91" s="2">
        <v>2002</v>
      </c>
      <c r="C91" s="2">
        <f>COUNTIFS(Games[Team],Games[[#This Row],[Team]],Games[Season],Games[[#This Row],[Season]],Games[Date],"&lt;=" &amp; Games[[#This Row],[Date]])</f>
        <v>5</v>
      </c>
      <c r="D91" s="2" t="s">
        <v>23</v>
      </c>
      <c r="E91" s="2" t="s">
        <v>29</v>
      </c>
      <c r="F91" s="1" t="s">
        <v>79</v>
      </c>
      <c r="G91" s="1" t="s">
        <v>85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0</v>
      </c>
      <c r="L91" s="2">
        <f>Games[[#This Row],[OppDaysOff]]-Games[[#This Row],[DaysOff]]</f>
        <v>0</v>
      </c>
      <c r="M91" s="1">
        <f>MAX(-16, MIN(16, Games[[#This Row],[RestDiff]]*8))</f>
        <v>0</v>
      </c>
      <c r="N91" s="1">
        <f>MAX(-16, MIN(16, Games[[#This Row],[OppRestDiff]]*8))</f>
        <v>0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1496.2290175874227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1458.8549907482497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0.66789616908051785</v>
      </c>
      <c r="R91" s="1">
        <v>69</v>
      </c>
      <c r="S91" s="1">
        <v>75</v>
      </c>
      <c r="T91" s="1">
        <v>0</v>
      </c>
      <c r="U91" s="1">
        <f>Games[[#This Row],[PointsFor]]-Games[[#This Row],[PointsAgainst]]</f>
        <v>-6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0.3406705686121364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75.25</v>
      </c>
      <c r="Z91" s="4">
        <f>Games[[#This Row],[K]]*Games[[#This Row],[POMult]]</f>
        <v>75.25</v>
      </c>
      <c r="AA91" s="4">
        <f>(Games[[#This Row],[Keff]]*Games[[#This Row],[MOVMult]])*(Games[[#This Row],[Result]]-Games[[#This Row],[ExpectedWin%]])</f>
        <v>-17.121825719013202</v>
      </c>
      <c r="AB91" s="4">
        <f>Games[[#This Row],[PreGmRate]]+Games[[#This Row],[RatingChange]]</f>
        <v>1479.1071918684095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37418</v>
      </c>
      <c r="B92" s="2">
        <v>2002</v>
      </c>
      <c r="C92" s="2">
        <f>COUNTIFS(Games[Team],Games[[#This Row],[Team]],Games[Season],Games[[#This Row],[Season]],Games[Date],"&lt;=" &amp; Games[[#This Row],[Date]])</f>
        <v>6</v>
      </c>
      <c r="D92" s="2" t="s">
        <v>23</v>
      </c>
      <c r="E92" s="2" t="s">
        <v>29</v>
      </c>
      <c r="F92" s="1" t="s">
        <v>89</v>
      </c>
      <c r="G92" s="1" t="s">
        <v>87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3</v>
      </c>
      <c r="L92" s="2">
        <f>Games[[#This Row],[OppDaysOff]]-Games[[#This Row],[DaysOff]]</f>
        <v>-3</v>
      </c>
      <c r="M92" s="1">
        <f>MAX(-16, MIN(16, Games[[#This Row],[RestDiff]]*8))</f>
        <v>16</v>
      </c>
      <c r="N92" s="1">
        <f>MAX(-16, MIN(16, Games[[#This Row],[OppRestDiff]]*8))</f>
        <v>-16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1403.3766821106126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1445.3340625891915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0.3679870448703898</v>
      </c>
      <c r="R92" s="1">
        <v>70</v>
      </c>
      <c r="S92" s="1">
        <v>63</v>
      </c>
      <c r="T92" s="1">
        <v>0</v>
      </c>
      <c r="U92" s="1">
        <f>Games[[#This Row],[PointsFor]]-Games[[#This Row],[PointsAgainst]]</f>
        <v>7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0.35760374225840375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75.099999999999994</v>
      </c>
      <c r="Z92" s="4">
        <f>Games[[#This Row],[K]]*Games[[#This Row],[POMult]]</f>
        <v>75.099999999999994</v>
      </c>
      <c r="AA92" s="4">
        <f>(Games[[#This Row],[Keff]]*Games[[#This Row],[MOVMult]])*(Games[[#This Row],[Result]]-Games[[#This Row],[ExpectedWin%]])</f>
        <v>16.973365863051605</v>
      </c>
      <c r="AB92" s="4">
        <f>Games[[#This Row],[PreGmRate]]+Games[[#This Row],[RatingChange]]</f>
        <v>1420.3500479736642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37418</v>
      </c>
      <c r="B93" s="2">
        <v>2002</v>
      </c>
      <c r="C93" s="2">
        <f>COUNTIFS(Games[Team],Games[[#This Row],[Team]],Games[Season],Games[[#This Row],[Season]],Games[Date],"&lt;=" &amp; Games[[#This Row],[Date]])</f>
        <v>6</v>
      </c>
      <c r="D93" s="2" t="s">
        <v>23</v>
      </c>
      <c r="E93" s="2" t="s">
        <v>29</v>
      </c>
      <c r="F93" s="1" t="s">
        <v>87</v>
      </c>
      <c r="G93" s="1" t="s">
        <v>89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3" s="2">
        <f>Games[[#This Row],[DaysOff]]-Games[[#This Row],[OppDaysOff]]</f>
        <v>-3</v>
      </c>
      <c r="L93" s="2">
        <f>Games[[#This Row],[OppDaysOff]]-Games[[#This Row],[DaysOff]]</f>
        <v>3</v>
      </c>
      <c r="M93" s="1">
        <f>MAX(-16, MIN(16, Games[[#This Row],[RestDiff]]*8))</f>
        <v>-16</v>
      </c>
      <c r="N93" s="1">
        <f>MAX(-16, MIN(16, Games[[#This Row],[OppRestDiff]]*8))</f>
        <v>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1445.3340625891915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1403.3766821106126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0.6320129551296102</v>
      </c>
      <c r="R93" s="1">
        <v>63</v>
      </c>
      <c r="S93" s="1">
        <v>70</v>
      </c>
      <c r="T93" s="1">
        <v>0</v>
      </c>
      <c r="U93" s="1">
        <f>Games[[#This Row],[PointsFor]]-Games[[#This Row],[PointsAgainst]]</f>
        <v>-7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0.35760374225840375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75.099999999999994</v>
      </c>
      <c r="Z93" s="4">
        <f>Games[[#This Row],[K]]*Games[[#This Row],[POMult]]</f>
        <v>75.099999999999994</v>
      </c>
      <c r="AA93" s="4">
        <f>(Games[[#This Row],[Keff]]*Games[[#This Row],[MOVMult]])*(Games[[#This Row],[Result]]-Games[[#This Row],[ExpectedWin%]])</f>
        <v>-16.973365863051605</v>
      </c>
      <c r="AB93" s="4">
        <f>Games[[#This Row],[PreGmRate]]+Games[[#This Row],[RatingChange]]</f>
        <v>1428.3606967261398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37418</v>
      </c>
      <c r="B94" s="2">
        <v>2002</v>
      </c>
      <c r="C94" s="2">
        <f>COUNTIFS(Games[Team],Games[[#This Row],[Team]],Games[Season],Games[[#This Row],[Season]],Games[Date],"&lt;=" &amp; Games[[#This Row],[Date]])</f>
        <v>8</v>
      </c>
      <c r="D94" s="2" t="s">
        <v>23</v>
      </c>
      <c r="E94" s="2" t="s">
        <v>29</v>
      </c>
      <c r="F94" s="1" t="s">
        <v>66</v>
      </c>
      <c r="G94" s="1" t="s">
        <v>43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1568.4516012431848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1522.367743135921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0.44564987842281806</v>
      </c>
      <c r="R94" s="1">
        <v>71</v>
      </c>
      <c r="S94" s="1">
        <v>68</v>
      </c>
      <c r="T94" s="1">
        <v>0</v>
      </c>
      <c r="U94" s="1">
        <f>Games[[#This Row],[PointsFor]]-Games[[#This Row],[PointsAgainst]]</f>
        <v>3</v>
      </c>
      <c r="V94" s="1">
        <f>IF(Games[[#This Row],[MOV]]&gt;0,1,IF(Games[[#This Row],[MOV]]=0,0.5,0))</f>
        <v>1</v>
      </c>
      <c r="W94" s="4">
        <f>((ABS(Games[[#This Row],[MOV]])+5)^0.6)/(12+0.01*(ABS(Games[[#This Row],[PreGmRate]]-Games[[#This Row],[OppPreGmRate]])))*IF(Games[[#This Row],[OT]]=1,0.9,1)</f>
        <v>0.27945167819393629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74.8</v>
      </c>
      <c r="Z94" s="4">
        <f>Games[[#This Row],[K]]*Games[[#This Row],[POMult]]</f>
        <v>74.8</v>
      </c>
      <c r="AA94" s="4">
        <f>(Games[[#This Row],[Keff]]*Games[[#This Row],[MOVMult]])*(Games[[#This Row],[Result]]-Games[[#This Row],[ExpectedWin%]])</f>
        <v>11.587572569275357</v>
      </c>
      <c r="AB94" s="4">
        <f>Games[[#This Row],[PreGmRate]]+Games[[#This Row],[RatingChange]]</f>
        <v>1580.0391738124601</v>
      </c>
      <c r="AC94" s="2">
        <f>IF(Games[[#This Row],[Type]]="R",IF(Games[[#This Row],[Result]]&gt;0.5,1,0),0)</f>
        <v>1</v>
      </c>
      <c r="AD94" s="2">
        <f>IF(Games[[#This Row],[Type]]="R",IF(Games[[#This Row],[Result]]&lt;0.5,1,0),0)</f>
        <v>0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37418</v>
      </c>
      <c r="B95" s="2">
        <v>2002</v>
      </c>
      <c r="C95" s="2">
        <f>COUNTIFS(Games[Team],Games[[#This Row],[Team]],Games[Season],Games[[#This Row],[Season]],Games[Date],"&lt;=" &amp; Games[[#This Row],[Date]])</f>
        <v>7</v>
      </c>
      <c r="D95" s="2" t="s">
        <v>23</v>
      </c>
      <c r="E95" s="2" t="s">
        <v>29</v>
      </c>
      <c r="F95" s="1" t="s">
        <v>43</v>
      </c>
      <c r="G95" s="1" t="s">
        <v>66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1522.367743135921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1568.4516012431848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0.55435012157718189</v>
      </c>
      <c r="R95" s="1">
        <v>68</v>
      </c>
      <c r="S95" s="1">
        <v>71</v>
      </c>
      <c r="T95" s="1">
        <v>0</v>
      </c>
      <c r="U95" s="1">
        <f>Games[[#This Row],[PointsFor]]-Games[[#This Row],[PointsAgainst]]</f>
        <v>-3</v>
      </c>
      <c r="V95" s="1">
        <f>IF(Games[[#This Row],[MOV]]&gt;0,1,IF(Games[[#This Row],[MOV]]=0,0.5,0))</f>
        <v>0</v>
      </c>
      <c r="W95" s="4">
        <f>((ABS(Games[[#This Row],[MOV]])+5)^0.6)/(12+0.01*(ABS(Games[[#This Row],[PreGmRate]]-Games[[#This Row],[OppPreGmRate]])))*IF(Games[[#This Row],[OT]]=1,0.9,1)</f>
        <v>0.27945167819393629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74.95</v>
      </c>
      <c r="Z95" s="4">
        <f>Games[[#This Row],[K]]*Games[[#This Row],[POMult]]</f>
        <v>74.95</v>
      </c>
      <c r="AA95" s="4">
        <f>(Games[[#This Row],[Keff]]*Games[[#This Row],[MOVMult]])*(Games[[#This Row],[Result]]-Games[[#This Row],[ExpectedWin%]])</f>
        <v>-11.610809680042619</v>
      </c>
      <c r="AB95" s="4">
        <f>Games[[#This Row],[PreGmRate]]+Games[[#This Row],[RatingChange]]</f>
        <v>1510.7569334558784</v>
      </c>
      <c r="AC95" s="2">
        <f>IF(Games[[#This Row],[Type]]="R",IF(Games[[#This Row],[Result]]&gt;0.5,1,0),0)</f>
        <v>0</v>
      </c>
      <c r="AD95" s="2">
        <f>IF(Games[[#This Row],[Type]]="R",IF(Games[[#This Row],[Result]]&lt;0.5,1,0),0)</f>
        <v>1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37420</v>
      </c>
      <c r="B96" s="2">
        <v>2002</v>
      </c>
      <c r="C96" s="2">
        <f>COUNTIFS(Games[Team],Games[[#This Row],[Team]],Games[Season],Games[[#This Row],[Season]],Games[Date],"&lt;=" &amp; Games[[#This Row],[Date]])</f>
        <v>7</v>
      </c>
      <c r="D96" s="2" t="s">
        <v>23</v>
      </c>
      <c r="E96" s="2" t="s">
        <v>29</v>
      </c>
      <c r="F96" s="1" t="s">
        <v>85</v>
      </c>
      <c r="G96" s="1" t="s">
        <v>64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1475.9426865821088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1516.4359122978265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0.32813317107567203</v>
      </c>
      <c r="R96" s="1">
        <v>64</v>
      </c>
      <c r="S96" s="1">
        <v>75</v>
      </c>
      <c r="T96" s="1">
        <v>0</v>
      </c>
      <c r="U96" s="1">
        <f>Games[[#This Row],[PointsFor]]-Games[[#This Row],[PointsAgainst]]</f>
        <v>-11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0.42547847369713376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74.95</v>
      </c>
      <c r="Z96" s="4">
        <f>Games[[#This Row],[K]]*Games[[#This Row],[POMult]]</f>
        <v>74.95</v>
      </c>
      <c r="AA96" s="4">
        <f>(Games[[#This Row],[Keff]]*Games[[#This Row],[MOVMult]])*(Games[[#This Row],[Result]]-Games[[#This Row],[ExpectedWin%]])</f>
        <v>-10.464039379860873</v>
      </c>
      <c r="AB96" s="4">
        <f>Games[[#This Row],[PreGmRate]]+Games[[#This Row],[RatingChange]]</f>
        <v>1465.4786472022479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37420</v>
      </c>
      <c r="B97" s="2">
        <v>2002</v>
      </c>
      <c r="C97" s="2">
        <f>COUNTIFS(Games[Team],Games[[#This Row],[Team]],Games[Season],Games[[#This Row],[Season]],Games[Date],"&lt;=" &amp; Games[[#This Row],[Date]])</f>
        <v>7</v>
      </c>
      <c r="D97" s="2" t="s">
        <v>23</v>
      </c>
      <c r="E97" s="2" t="s">
        <v>29</v>
      </c>
      <c r="F97" s="1" t="s">
        <v>64</v>
      </c>
      <c r="G97" s="1" t="s">
        <v>85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1516.4359122978265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1475.9426865821088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0.67186682892432792</v>
      </c>
      <c r="R97" s="1">
        <v>75</v>
      </c>
      <c r="S97" s="1">
        <v>64</v>
      </c>
      <c r="T97" s="1">
        <v>0</v>
      </c>
      <c r="U97" s="1">
        <f>Games[[#This Row],[PointsFor]]-Games[[#This Row],[PointsAgainst]]</f>
        <v>11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0.42547847369713376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10.464039379860875</v>
      </c>
      <c r="AB97" s="4">
        <f>Games[[#This Row],[PreGmRate]]+Games[[#This Row],[RatingChange]]</f>
        <v>1526.8999516776873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37420</v>
      </c>
      <c r="B98" s="2">
        <v>2002</v>
      </c>
      <c r="C98" s="2">
        <f>COUNTIFS(Games[Team],Games[[#This Row],[Team]],Games[Season],Games[[#This Row],[Season]],Games[Date],"&lt;=" &amp; Games[[#This Row],[Date]])</f>
        <v>7</v>
      </c>
      <c r="D98" s="2" t="s">
        <v>23</v>
      </c>
      <c r="E98" s="2" t="s">
        <v>29</v>
      </c>
      <c r="F98" s="1" t="s">
        <v>89</v>
      </c>
      <c r="G98" s="1" t="s">
        <v>80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8" s="2">
        <f>Games[[#This Row],[DaysOff]]-Games[[#This Row],[OppDaysOff]]</f>
        <v>0</v>
      </c>
      <c r="L98" s="2">
        <f>Games[[#This Row],[OppDaysOff]]-Games[[#This Row],[DaysOff]]</f>
        <v>0</v>
      </c>
      <c r="M98" s="1">
        <f>MAX(-16, MIN(16, Games[[#This Row],[RestDiff]]*8))</f>
        <v>0</v>
      </c>
      <c r="N98" s="1">
        <f>MAX(-16, MIN(16, Games[[#This Row],[OppRestDiff]]*8))</f>
        <v>0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1420.3500479736642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1486.1274471815004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0.29688240905746616</v>
      </c>
      <c r="R98" s="1">
        <v>46</v>
      </c>
      <c r="S98" s="1">
        <v>60</v>
      </c>
      <c r="T98" s="1">
        <v>0</v>
      </c>
      <c r="U98" s="1">
        <f>Games[[#This Row],[PointsFor]]-Games[[#This Row],[PointsAgainst]]</f>
        <v>-14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0.4622690566343769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74.95</v>
      </c>
      <c r="Z98" s="4">
        <f>Games[[#This Row],[K]]*Games[[#This Row],[POMult]]</f>
        <v>74.95</v>
      </c>
      <c r="AA98" s="4">
        <f>(Games[[#This Row],[Keff]]*Games[[#This Row],[MOVMult]])*(Games[[#This Row],[Result]]-Games[[#This Row],[ExpectedWin%]])</f>
        <v>-10.286104359916889</v>
      </c>
      <c r="AB98" s="4">
        <f>Games[[#This Row],[PreGmRate]]+Games[[#This Row],[RatingChange]]</f>
        <v>1410.0639436137474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37420</v>
      </c>
      <c r="B99" s="2">
        <v>2002</v>
      </c>
      <c r="C99" s="2">
        <f>COUNTIFS(Games[Team],Games[[#This Row],[Team]],Games[Season],Games[[#This Row],[Season]],Games[Date],"&lt;=" &amp; Games[[#This Row],[Date]])</f>
        <v>7</v>
      </c>
      <c r="D99" s="2" t="s">
        <v>23</v>
      </c>
      <c r="E99" s="2" t="s">
        <v>29</v>
      </c>
      <c r="F99" s="1" t="s">
        <v>80</v>
      </c>
      <c r="G99" s="1" t="s">
        <v>89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0</v>
      </c>
      <c r="L99" s="2">
        <f>Games[[#This Row],[OppDaysOff]]-Games[[#This Row],[DaysOff]]</f>
        <v>0</v>
      </c>
      <c r="M99" s="1">
        <f>MAX(-16, MIN(16, Games[[#This Row],[RestDiff]]*8))</f>
        <v>0</v>
      </c>
      <c r="N99" s="1">
        <f>MAX(-16, MIN(16, Games[[#This Row],[OppRestDiff]]*8))</f>
        <v>0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1486.1274471815004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1420.3500479736642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0.7031175909425339</v>
      </c>
      <c r="R99" s="1">
        <v>60</v>
      </c>
      <c r="S99" s="1">
        <v>46</v>
      </c>
      <c r="T99" s="1">
        <v>0</v>
      </c>
      <c r="U99" s="1">
        <f>Games[[#This Row],[PointsFor]]-Games[[#This Row],[PointsAgainst]]</f>
        <v>14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0.4622690566343769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74.95</v>
      </c>
      <c r="Z99" s="4">
        <f>Games[[#This Row],[K]]*Games[[#This Row],[POMult]]</f>
        <v>74.95</v>
      </c>
      <c r="AA99" s="4">
        <f>(Games[[#This Row],[Keff]]*Games[[#This Row],[MOVMult]])*(Games[[#This Row],[Result]]-Games[[#This Row],[ExpectedWin%]])</f>
        <v>10.286104359916887</v>
      </c>
      <c r="AB99" s="4">
        <f>Games[[#This Row],[PreGmRate]]+Games[[#This Row],[RatingChange]]</f>
        <v>1496.4135515414173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37420</v>
      </c>
      <c r="B100" s="2">
        <v>2002</v>
      </c>
      <c r="C100" s="2">
        <f>COUNTIFS(Games[Team],Games[[#This Row],[Team]],Games[Season],Games[[#This Row],[Season]],Games[Date],"&lt;=" &amp; Games[[#This Row],[Date]])</f>
        <v>8</v>
      </c>
      <c r="D100" s="2" t="s">
        <v>23</v>
      </c>
      <c r="E100" s="2" t="s">
        <v>29</v>
      </c>
      <c r="F100" s="1" t="s">
        <v>77</v>
      </c>
      <c r="G100" s="1" t="s">
        <v>44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0" s="2">
        <f>Games[[#This Row],[DaysOff]]-Games[[#This Row],[OppDaysOff]]</f>
        <v>-2</v>
      </c>
      <c r="L100" s="2">
        <f>Games[[#This Row],[OppDaysOff]]-Games[[#This Row],[DaysOff]]</f>
        <v>2</v>
      </c>
      <c r="M100" s="1">
        <f>MAX(-16, MIN(16, Games[[#This Row],[RestDiff]]*8))</f>
        <v>-16</v>
      </c>
      <c r="N100" s="1">
        <f>MAX(-16, MIN(16, Games[[#This Row],[OppRestDiff]]*8))</f>
        <v>16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1372.1807905437342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1502.226037971735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0.19523437951311404</v>
      </c>
      <c r="R100" s="1">
        <v>67</v>
      </c>
      <c r="S100" s="1">
        <v>70</v>
      </c>
      <c r="T100" s="1">
        <v>0</v>
      </c>
      <c r="U100" s="1">
        <f>Games[[#This Row],[PointsFor]]-Games[[#This Row],[PointsAgainst]]</f>
        <v>-3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0.26181081131775547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74.8</v>
      </c>
      <c r="Z100" s="4">
        <f>Games[[#This Row],[K]]*Games[[#This Row],[POMult]]</f>
        <v>74.8</v>
      </c>
      <c r="AA100" s="4">
        <f>(Games[[#This Row],[Keff]]*Games[[#This Row],[MOVMult]])*(Games[[#This Row],[Result]]-Games[[#This Row],[ExpectedWin%]])</f>
        <v>-3.8233624530490324</v>
      </c>
      <c r="AB100" s="4">
        <f>Games[[#This Row],[PreGmRate]]+Games[[#This Row],[RatingChange]]</f>
        <v>1368.3574280906853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37420</v>
      </c>
      <c r="B101" s="2">
        <v>2002</v>
      </c>
      <c r="C101" s="2">
        <f>COUNTIFS(Games[Team],Games[[#This Row],[Team]],Games[Season],Games[[#This Row],[Season]],Games[Date],"&lt;=" &amp; Games[[#This Row],[Date]])</f>
        <v>5</v>
      </c>
      <c r="D101" s="2" t="s">
        <v>23</v>
      </c>
      <c r="E101" s="2" t="s">
        <v>29</v>
      </c>
      <c r="F101" s="1" t="s">
        <v>44</v>
      </c>
      <c r="G101" s="1" t="s">
        <v>77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2</v>
      </c>
      <c r="L101" s="2">
        <f>Games[[#This Row],[OppDaysOff]]-Games[[#This Row],[DaysOff]]</f>
        <v>-2</v>
      </c>
      <c r="M101" s="1">
        <f>MAX(-16, MIN(16, Games[[#This Row],[RestDiff]]*8))</f>
        <v>16</v>
      </c>
      <c r="N101" s="1">
        <f>MAX(-16, MIN(16, Games[[#This Row],[OppRestDiff]]*8))</f>
        <v>-16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1502.226037971735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1372.1807905437342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0.80476562048688605</v>
      </c>
      <c r="R101" s="1">
        <v>70</v>
      </c>
      <c r="S101" s="1">
        <v>67</v>
      </c>
      <c r="T101" s="1">
        <v>0</v>
      </c>
      <c r="U101" s="1">
        <f>Games[[#This Row],[PointsFor]]-Games[[#This Row],[PointsAgainst]]</f>
        <v>3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0.26181081131775547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75.25</v>
      </c>
      <c r="Z101" s="4">
        <f>Games[[#This Row],[K]]*Games[[#This Row],[POMult]]</f>
        <v>75.25</v>
      </c>
      <c r="AA101" s="4">
        <f>(Games[[#This Row],[Keff]]*Games[[#This Row],[MOVMult]])*(Games[[#This Row],[Result]]-Games[[#This Row],[ExpectedWin%]])</f>
        <v>3.8463639651328827</v>
      </c>
      <c r="AB101" s="4">
        <f>Games[[#This Row],[PreGmRate]]+Games[[#This Row],[RatingChange]]</f>
        <v>1506.0724019368679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37420</v>
      </c>
      <c r="B102" s="2">
        <v>2002</v>
      </c>
      <c r="C102" s="2">
        <f>COUNTIFS(Games[Team],Games[[#This Row],[Team]],Games[Season],Games[[#This Row],[Season]],Games[Date],"&lt;=" &amp; Games[[#This Row],[Date]])</f>
        <v>9</v>
      </c>
      <c r="D102" s="2" t="s">
        <v>23</v>
      </c>
      <c r="E102" s="2" t="s">
        <v>29</v>
      </c>
      <c r="F102" s="1" t="s">
        <v>66</v>
      </c>
      <c r="G102" s="1" t="s">
        <v>45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1580.0391738124601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1513.4467506663286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0.47496942450800417</v>
      </c>
      <c r="R102" s="1">
        <v>77</v>
      </c>
      <c r="S102" s="1">
        <v>78</v>
      </c>
      <c r="T102" s="1">
        <v>1</v>
      </c>
      <c r="U102" s="1">
        <f>Games[[#This Row],[PointsFor]]-Games[[#This Row],[PointsAgainst]]</f>
        <v>-1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0.20820750213195555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74.650000000000006</v>
      </c>
      <c r="Z102" s="4">
        <f>Games[[#This Row],[K]]*Games[[#This Row],[POMult]]</f>
        <v>74.650000000000006</v>
      </c>
      <c r="AA102" s="4">
        <f>(Games[[#This Row],[Keff]]*Games[[#This Row],[MOVMult]])*(Games[[#This Row],[Result]]-Games[[#This Row],[ExpectedWin%]])</f>
        <v>-7.3823025408267462</v>
      </c>
      <c r="AB102" s="4">
        <f>Games[[#This Row],[PreGmRate]]+Games[[#This Row],[RatingChange]]</f>
        <v>1572.6568712716335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37420</v>
      </c>
      <c r="B103" s="2">
        <v>2002</v>
      </c>
      <c r="C103" s="2">
        <f>COUNTIFS(Games[Team],Games[[#This Row],[Team]],Games[Season],Games[[#This Row],[Season]],Games[Date],"&lt;=" &amp; Games[[#This Row],[Date]])</f>
        <v>5</v>
      </c>
      <c r="D103" s="2" t="s">
        <v>23</v>
      </c>
      <c r="E103" s="2" t="s">
        <v>29</v>
      </c>
      <c r="F103" s="1" t="s">
        <v>45</v>
      </c>
      <c r="G103" s="1" t="s">
        <v>66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1513.4467506663286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1580.0391738124601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0.52503057549199572</v>
      </c>
      <c r="R103" s="1">
        <v>78</v>
      </c>
      <c r="S103" s="1">
        <v>77</v>
      </c>
      <c r="T103" s="1">
        <v>1</v>
      </c>
      <c r="U103" s="1">
        <f>Games[[#This Row],[PointsFor]]-Games[[#This Row],[PointsAgainst]]</f>
        <v>1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0.20820750213195555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75.25</v>
      </c>
      <c r="Z103" s="4">
        <f>Games[[#This Row],[K]]*Games[[#This Row],[POMult]]</f>
        <v>75.25</v>
      </c>
      <c r="AA103" s="4">
        <f>(Games[[#This Row],[Keff]]*Games[[#This Row],[MOVMult]])*(Games[[#This Row],[Result]]-Games[[#This Row],[ExpectedWin%]])</f>
        <v>7.4416378593062662</v>
      </c>
      <c r="AB103" s="4">
        <f>Games[[#This Row],[PreGmRate]]+Games[[#This Row],[RatingChange]]</f>
        <v>1520.8883885256348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37420</v>
      </c>
      <c r="B104" s="2">
        <v>2002</v>
      </c>
      <c r="C104" s="2">
        <f>COUNTIFS(Games[Team],Games[[#This Row],[Team]],Games[Season],Games[[#This Row],[Season]],Games[Date],"&lt;=" &amp; Games[[#This Row],[Date]])</f>
        <v>8</v>
      </c>
      <c r="D104" s="2" t="s">
        <v>23</v>
      </c>
      <c r="E104" s="2" t="s">
        <v>29</v>
      </c>
      <c r="F104" s="1" t="s">
        <v>2</v>
      </c>
      <c r="G104" s="1" t="s">
        <v>75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4" s="2">
        <f>Games[[#This Row],[DaysOff]]-Games[[#This Row],[OppDaysOff]]</f>
        <v>-2</v>
      </c>
      <c r="L104" s="2">
        <f>Games[[#This Row],[OppDaysOff]]-Games[[#This Row],[DaysOff]]</f>
        <v>2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1564.2340176815705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1491.5422585061872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0.43799524062888567</v>
      </c>
      <c r="R104" s="1">
        <v>64</v>
      </c>
      <c r="S104" s="1">
        <v>70</v>
      </c>
      <c r="T104" s="1">
        <v>0</v>
      </c>
      <c r="U104" s="1">
        <f>Games[[#This Row],[PointsFor]]-Games[[#This Row],[PointsAgainst]]</f>
        <v>-6</v>
      </c>
      <c r="V104" s="1">
        <f>IF(Games[[#This Row],[MOV]]&gt;0,1,IF(Games[[#This Row],[MOV]]=0,0.5,0))</f>
        <v>0</v>
      </c>
      <c r="W104" s="4">
        <f>((ABS(Games[[#This Row],[MOV]])+5)^0.6)/(12+0.01*(ABS(Games[[#This Row],[PreGmRate]]-Games[[#This Row],[OppPreGmRate]])))*IF(Games[[#This Row],[OT]]=1,0.9,1)</f>
        <v>0.33121681685305865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74.8</v>
      </c>
      <c r="Z104" s="4">
        <f>Games[[#This Row],[K]]*Games[[#This Row],[POMult]]</f>
        <v>74.8</v>
      </c>
      <c r="AA104" s="4">
        <f>(Games[[#This Row],[Keff]]*Games[[#This Row],[MOVMult]])*(Games[[#This Row],[Result]]-Games[[#This Row],[ExpectedWin%]])</f>
        <v>-10.851339926962096</v>
      </c>
      <c r="AB104" s="4">
        <f>Games[[#This Row],[PreGmRate]]+Games[[#This Row],[RatingChange]]</f>
        <v>1553.3826777546085</v>
      </c>
      <c r="AC104" s="2">
        <f>IF(Games[[#This Row],[Type]]="R",IF(Games[[#This Row],[Result]]&gt;0.5,1,0),0)</f>
        <v>0</v>
      </c>
      <c r="AD104" s="2">
        <f>IF(Games[[#This Row],[Type]]="R",IF(Games[[#This Row],[Result]]&lt;0.5,1,0),0)</f>
        <v>1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37420</v>
      </c>
      <c r="B105" s="2">
        <v>2002</v>
      </c>
      <c r="C105" s="2">
        <f>COUNTIFS(Games[Team],Games[[#This Row],[Team]],Games[Season],Games[[#This Row],[Season]],Games[Date],"&lt;=" &amp; Games[[#This Row],[Date]])</f>
        <v>6</v>
      </c>
      <c r="D105" s="2" t="s">
        <v>23</v>
      </c>
      <c r="E105" s="2" t="s">
        <v>29</v>
      </c>
      <c r="F105" s="1" t="s">
        <v>75</v>
      </c>
      <c r="G105" s="1" t="s">
        <v>2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2</v>
      </c>
      <c r="L105" s="2">
        <f>Games[[#This Row],[OppDaysOff]]-Games[[#This Row],[DaysOff]]</f>
        <v>-2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1491.5422585061872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1564.2340176815705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0.56200475937111438</v>
      </c>
      <c r="R105" s="1">
        <v>70</v>
      </c>
      <c r="S105" s="1">
        <v>64</v>
      </c>
      <c r="T105" s="1">
        <v>0</v>
      </c>
      <c r="U105" s="1">
        <f>Games[[#This Row],[PointsFor]]-Games[[#This Row],[PointsAgainst]]</f>
        <v>6</v>
      </c>
      <c r="V105" s="1">
        <f>IF(Games[[#This Row],[MOV]]&gt;0,1,IF(Games[[#This Row],[MOV]]=0,0.5,0))</f>
        <v>1</v>
      </c>
      <c r="W105" s="4">
        <f>((ABS(Games[[#This Row],[MOV]])+5)^0.6)/(12+0.01*(ABS(Games[[#This Row],[PreGmRate]]-Games[[#This Row],[OppPreGmRate]])))*IF(Games[[#This Row],[OT]]=1,0.9,1)</f>
        <v>0.33121681685305865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75.099999999999994</v>
      </c>
      <c r="Z105" s="4">
        <f>Games[[#This Row],[K]]*Games[[#This Row],[POMult]]</f>
        <v>75.099999999999994</v>
      </c>
      <c r="AA105" s="4">
        <f>(Games[[#This Row],[Keff]]*Games[[#This Row],[MOVMult]])*(Games[[#This Row],[Result]]-Games[[#This Row],[ExpectedWin%]])</f>
        <v>10.894861343781461</v>
      </c>
      <c r="AB105" s="4">
        <f>Games[[#This Row],[PreGmRate]]+Games[[#This Row],[RatingChange]]</f>
        <v>1502.4371198499687</v>
      </c>
      <c r="AC105" s="2">
        <f>IF(Games[[#This Row],[Type]]="R",IF(Games[[#This Row],[Result]]&gt;0.5,1,0),0)</f>
        <v>1</v>
      </c>
      <c r="AD105" s="2">
        <f>IF(Games[[#This Row],[Type]]="R",IF(Games[[#This Row],[Result]]&lt;0.5,1,0),0)</f>
        <v>0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37421</v>
      </c>
      <c r="B106" s="2">
        <v>2002</v>
      </c>
      <c r="C106" s="2">
        <f>COUNTIFS(Games[Team],Games[[#This Row],[Team]],Games[Season],Games[[#This Row],[Season]],Games[Date],"&lt;=" &amp; Games[[#This Row],[Date]])</f>
        <v>7</v>
      </c>
      <c r="D106" s="2" t="s">
        <v>23</v>
      </c>
      <c r="E106" s="2" t="s">
        <v>29</v>
      </c>
      <c r="F106" s="1" t="s">
        <v>75</v>
      </c>
      <c r="G106" s="1" t="s">
        <v>1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-2</v>
      </c>
      <c r="L106" s="2">
        <f>Games[[#This Row],[OppDaysOff]]-Games[[#This Row],[DaysOff]]</f>
        <v>2</v>
      </c>
      <c r="M106" s="1">
        <f>MAX(-16, MIN(16, Games[[#This Row],[RestDiff]]*8))</f>
        <v>-16</v>
      </c>
      <c r="N106" s="1">
        <f>MAX(-16, MIN(16, Games[[#This Row],[OppRestDiff]]*8))</f>
        <v>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1502.4371198499687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1513.3137901710074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0.32511555199803521</v>
      </c>
      <c r="R106" s="1">
        <v>69</v>
      </c>
      <c r="S106" s="1">
        <v>63</v>
      </c>
      <c r="T106" s="1">
        <v>0</v>
      </c>
      <c r="U106" s="1">
        <f>Games[[#This Row],[PointsFor]]-Games[[#This Row],[PointsAgainst]]</f>
        <v>6</v>
      </c>
      <c r="V106" s="1">
        <f>IF(Games[[#This Row],[MOV]]&gt;0,1,IF(Games[[#This Row],[MOV]]=0,0.5,0))</f>
        <v>1</v>
      </c>
      <c r="W106" s="4">
        <f>((ABS(Games[[#This Row],[MOV]])+5)^0.6)/(12+0.01*(ABS(Games[[#This Row],[PreGmRate]]-Games[[#This Row],[OppPreGmRate]])))*IF(Games[[#This Row],[OT]]=1,0.9,1)</f>
        <v>0.34812539017489558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74.95</v>
      </c>
      <c r="Z106" s="4">
        <f>Games[[#This Row],[K]]*Games[[#This Row],[POMult]]</f>
        <v>74.95</v>
      </c>
      <c r="AA106" s="4">
        <f>(Games[[#This Row],[Keff]]*Games[[#This Row],[MOVMult]])*(Games[[#This Row],[Result]]-Games[[#This Row],[ExpectedWin%]])</f>
        <v>17.609083663184794</v>
      </c>
      <c r="AB106" s="4">
        <f>Games[[#This Row],[PreGmRate]]+Games[[#This Row],[RatingChange]]</f>
        <v>1520.0462035131534</v>
      </c>
      <c r="AC106" s="2">
        <f>IF(Games[[#This Row],[Type]]="R",IF(Games[[#This Row],[Result]]&gt;0.5,1,0),0)</f>
        <v>1</v>
      </c>
      <c r="AD106" s="2">
        <f>IF(Games[[#This Row],[Type]]="R",IF(Games[[#This Row],[Result]]&lt;0.5,1,0),0)</f>
        <v>0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37421</v>
      </c>
      <c r="B107" s="2">
        <v>2002</v>
      </c>
      <c r="C107" s="2">
        <f>COUNTIFS(Games[Team],Games[[#This Row],[Team]],Games[Season],Games[[#This Row],[Season]],Games[Date],"&lt;=" &amp; Games[[#This Row],[Date]])</f>
        <v>5</v>
      </c>
      <c r="D107" s="2" t="s">
        <v>23</v>
      </c>
      <c r="E107" s="2" t="s">
        <v>29</v>
      </c>
      <c r="F107" s="1" t="s">
        <v>1</v>
      </c>
      <c r="G107" s="1" t="s">
        <v>75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7" s="2">
        <f>Games[[#This Row],[DaysOff]]-Games[[#This Row],[OppDaysOff]]</f>
        <v>2</v>
      </c>
      <c r="L107" s="2">
        <f>Games[[#This Row],[OppDaysOff]]-Games[[#This Row],[DaysOff]]</f>
        <v>-2</v>
      </c>
      <c r="M107" s="1">
        <f>MAX(-16, MIN(16, Games[[#This Row],[RestDiff]]*8))</f>
        <v>16</v>
      </c>
      <c r="N107" s="1">
        <f>MAX(-16, MIN(16, Games[[#This Row],[OppRestDiff]]*8))</f>
        <v>-16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1513.3137901710074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1502.4371198499687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0.67488444800196479</v>
      </c>
      <c r="R107" s="1">
        <v>63</v>
      </c>
      <c r="S107" s="1">
        <v>69</v>
      </c>
      <c r="T107" s="1">
        <v>0</v>
      </c>
      <c r="U107" s="1">
        <f>Games[[#This Row],[PointsFor]]-Games[[#This Row],[PointsAgainst]]</f>
        <v>-6</v>
      </c>
      <c r="V107" s="1">
        <f>IF(Games[[#This Row],[MOV]]&gt;0,1,IF(Games[[#This Row],[MOV]]=0,0.5,0))</f>
        <v>0</v>
      </c>
      <c r="W107" s="4">
        <f>((ABS(Games[[#This Row],[MOV]])+5)^0.6)/(12+0.01*(ABS(Games[[#This Row],[PreGmRate]]-Games[[#This Row],[OppPreGmRate]])))*IF(Games[[#This Row],[OT]]=1,0.9,1)</f>
        <v>0.34812539017489558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75.25</v>
      </c>
      <c r="Z107" s="4">
        <f>Games[[#This Row],[K]]*Games[[#This Row],[POMult]]</f>
        <v>75.25</v>
      </c>
      <c r="AA107" s="4">
        <f>(Games[[#This Row],[Keff]]*Games[[#This Row],[MOVMult]])*(Games[[#This Row],[Result]]-Games[[#This Row],[ExpectedWin%]])</f>
        <v>-17.679566986719891</v>
      </c>
      <c r="AB107" s="4">
        <f>Games[[#This Row],[PreGmRate]]+Games[[#This Row],[RatingChange]]</f>
        <v>1495.6342231842875</v>
      </c>
      <c r="AC107" s="2">
        <f>IF(Games[[#This Row],[Type]]="R",IF(Games[[#This Row],[Result]]&gt;0.5,1,0),0)</f>
        <v>0</v>
      </c>
      <c r="AD107" s="2">
        <f>IF(Games[[#This Row],[Type]]="R",IF(Games[[#This Row],[Result]]&lt;0.5,1,0),0)</f>
        <v>1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37421</v>
      </c>
      <c r="B108" s="2">
        <v>2002</v>
      </c>
      <c r="C108" s="2">
        <f>COUNTIFS(Games[Team],Games[[#This Row],[Team]],Games[Season],Games[[#This Row],[Season]],Games[Date],"&lt;=" &amp; Games[[#This Row],[Date]])</f>
        <v>7</v>
      </c>
      <c r="D108" s="2" t="s">
        <v>23</v>
      </c>
      <c r="E108" s="2" t="s">
        <v>29</v>
      </c>
      <c r="F108" s="1" t="s">
        <v>87</v>
      </c>
      <c r="G108" s="1" t="s">
        <v>44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8" s="2">
        <f>Games[[#This Row],[DaysOff]]-Games[[#This Row],[OppDaysOff]]</f>
        <v>2</v>
      </c>
      <c r="L108" s="2">
        <f>Games[[#This Row],[OppDaysOff]]-Games[[#This Row],[DaysOff]]</f>
        <v>-2</v>
      </c>
      <c r="M108" s="1">
        <f>MAX(-16, MIN(16, Games[[#This Row],[RestDiff]]*8))</f>
        <v>16</v>
      </c>
      <c r="N108" s="1">
        <f>MAX(-16, MIN(16, Games[[#This Row],[OppRestDiff]]*8))</f>
        <v>-16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1428.3606967261398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1506.0724019368679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0.32154501189227552</v>
      </c>
      <c r="R108" s="1">
        <v>90</v>
      </c>
      <c r="S108" s="1">
        <v>82</v>
      </c>
      <c r="T108" s="1">
        <v>0</v>
      </c>
      <c r="U108" s="1">
        <f>Games[[#This Row],[PointsFor]]-Games[[#This Row],[PointsAgainst]]</f>
        <v>8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0.3646977953659386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74.95</v>
      </c>
      <c r="Z108" s="4">
        <f>Games[[#This Row],[K]]*Games[[#This Row],[POMult]]</f>
        <v>74.95</v>
      </c>
      <c r="AA108" s="4">
        <f>(Games[[#This Row],[Keff]]*Games[[#This Row],[MOVMult]])*(Games[[#This Row],[Result]]-Games[[#This Row],[ExpectedWin%]])</f>
        <v>18.544956329422444</v>
      </c>
      <c r="AB108" s="4">
        <f>Games[[#This Row],[PreGmRate]]+Games[[#This Row],[RatingChange]]</f>
        <v>1446.9056530555622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37421</v>
      </c>
      <c r="B109" s="2">
        <v>2002</v>
      </c>
      <c r="C109" s="2">
        <f>COUNTIFS(Games[Team],Games[[#This Row],[Team]],Games[Season],Games[[#This Row],[Season]],Games[Date],"&lt;=" &amp; Games[[#This Row],[Date]])</f>
        <v>6</v>
      </c>
      <c r="D109" s="2" t="s">
        <v>23</v>
      </c>
      <c r="E109" s="2" t="s">
        <v>29</v>
      </c>
      <c r="F109" s="1" t="s">
        <v>44</v>
      </c>
      <c r="G109" s="1" t="s">
        <v>87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-2</v>
      </c>
      <c r="L109" s="2">
        <f>Games[[#This Row],[OppDaysOff]]-Games[[#This Row],[DaysOff]]</f>
        <v>2</v>
      </c>
      <c r="M109" s="1">
        <f>MAX(-16, MIN(16, Games[[#This Row],[RestDiff]]*8))</f>
        <v>-16</v>
      </c>
      <c r="N109" s="1">
        <f>MAX(-16, MIN(16, Games[[#This Row],[OppRestDiff]]*8))</f>
        <v>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1506.0724019368679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1428.3606967261398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0.67845498810772453</v>
      </c>
      <c r="R109" s="1">
        <v>82</v>
      </c>
      <c r="S109" s="1">
        <v>90</v>
      </c>
      <c r="T109" s="1">
        <v>0</v>
      </c>
      <c r="U109" s="1">
        <f>Games[[#This Row],[PointsFor]]-Games[[#This Row],[PointsAgainst]]</f>
        <v>-8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0.3646977953659386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75.099999999999994</v>
      </c>
      <c r="Z109" s="4">
        <f>Games[[#This Row],[K]]*Games[[#This Row],[POMult]]</f>
        <v>75.099999999999994</v>
      </c>
      <c r="AA109" s="4">
        <f>(Games[[#This Row],[Keff]]*Games[[#This Row],[MOVMult]])*(Games[[#This Row],[Result]]-Games[[#This Row],[ExpectedWin%]])</f>
        <v>-18.582070985185133</v>
      </c>
      <c r="AB109" s="4">
        <f>Games[[#This Row],[PreGmRate]]+Games[[#This Row],[RatingChange]]</f>
        <v>1487.4903309516828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37422</v>
      </c>
      <c r="B110" s="2">
        <v>2002</v>
      </c>
      <c r="C110" s="2">
        <f>COUNTIFS(Games[Team],Games[[#This Row],[Team]],Games[Season],Games[[#This Row],[Season]],Games[Date],"&lt;=" &amp; Games[[#This Row],[Date]])</f>
        <v>8</v>
      </c>
      <c r="D110" s="2" t="s">
        <v>23</v>
      </c>
      <c r="E110" s="2" t="s">
        <v>29</v>
      </c>
      <c r="F110" s="1" t="s">
        <v>80</v>
      </c>
      <c r="G110" s="1" t="s">
        <v>2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0</v>
      </c>
      <c r="L110" s="2">
        <f>Games[[#This Row],[OppDaysOff]]-Games[[#This Row],[DaysOff]]</f>
        <v>0</v>
      </c>
      <c r="M110" s="1">
        <f>MAX(-16, MIN(16, Games[[#This Row],[RestDiff]]*8))</f>
        <v>0</v>
      </c>
      <c r="N110" s="1">
        <f>MAX(-16, MIN(16, Games[[#This Row],[OppRestDiff]]*8))</f>
        <v>0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1496.4135515414173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1553.3826777546085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0.3075744563927072</v>
      </c>
      <c r="R110" s="1">
        <v>50</v>
      </c>
      <c r="S110" s="1">
        <v>51</v>
      </c>
      <c r="T110" s="1">
        <v>0</v>
      </c>
      <c r="U110" s="1">
        <f>Games[[#This Row],[PointsFor]]-Games[[#This Row],[PointsAgainst]]</f>
        <v>-1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0.23311281005055851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74.8</v>
      </c>
      <c r="Z110" s="4">
        <f>Games[[#This Row],[K]]*Games[[#This Row],[POMult]]</f>
        <v>74.8</v>
      </c>
      <c r="AA110" s="4">
        <f>(Games[[#This Row],[Keff]]*Games[[#This Row],[MOVMult]])*(Games[[#This Row],[Result]]-Games[[#This Row],[ExpectedWin%]])</f>
        <v>-5.3631260280448751</v>
      </c>
      <c r="AB110" s="4">
        <f>Games[[#This Row],[PreGmRate]]+Games[[#This Row],[RatingChange]]</f>
        <v>1491.0504255133724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37422</v>
      </c>
      <c r="B111" s="2">
        <v>2002</v>
      </c>
      <c r="C111" s="2">
        <f>COUNTIFS(Games[Team],Games[[#This Row],[Team]],Games[Season],Games[[#This Row],[Season]],Games[Date],"&lt;=" &amp; Games[[#This Row],[Date]])</f>
        <v>9</v>
      </c>
      <c r="D111" s="2" t="s">
        <v>23</v>
      </c>
      <c r="E111" s="2" t="s">
        <v>29</v>
      </c>
      <c r="F111" s="1" t="s">
        <v>2</v>
      </c>
      <c r="G111" s="1" t="s">
        <v>80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1" s="2">
        <f>Games[[#This Row],[DaysOff]]-Games[[#This Row],[OppDaysOff]]</f>
        <v>0</v>
      </c>
      <c r="L111" s="2">
        <f>Games[[#This Row],[OppDaysOff]]-Games[[#This Row],[DaysOff]]</f>
        <v>0</v>
      </c>
      <c r="M111" s="1">
        <f>MAX(-16, MIN(16, Games[[#This Row],[RestDiff]]*8))</f>
        <v>0</v>
      </c>
      <c r="N111" s="1">
        <f>MAX(-16, MIN(16, Games[[#This Row],[OppRestDiff]]*8))</f>
        <v>0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1553.3826777546085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1496.4135515414173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0.6924255436072928</v>
      </c>
      <c r="R111" s="1">
        <v>51</v>
      </c>
      <c r="S111" s="1">
        <v>50</v>
      </c>
      <c r="T111" s="1">
        <v>0</v>
      </c>
      <c r="U111" s="1">
        <f>Games[[#This Row],[PointsFor]]-Games[[#This Row],[PointsAgainst]]</f>
        <v>1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0.23311281005055851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5.3523710961704536</v>
      </c>
      <c r="AB111" s="4">
        <f>Games[[#This Row],[PreGmRate]]+Games[[#This Row],[RatingChange]]</f>
        <v>1558.7350488507789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37422</v>
      </c>
      <c r="B112" s="2">
        <v>2002</v>
      </c>
      <c r="C112" s="2">
        <f>COUNTIFS(Games[Team],Games[[#This Row],[Team]],Games[Season],Games[[#This Row],[Season]],Games[Date],"&lt;=" &amp; Games[[#This Row],[Date]])</f>
        <v>6</v>
      </c>
      <c r="D112" s="2" t="s">
        <v>23</v>
      </c>
      <c r="E112" s="2" t="s">
        <v>29</v>
      </c>
      <c r="F112" s="1" t="s">
        <v>1</v>
      </c>
      <c r="G112" s="1" t="s">
        <v>85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-1</v>
      </c>
      <c r="L112" s="2">
        <f>Games[[#This Row],[OppDaysOff]]-Games[[#This Row],[DaysOff]]</f>
        <v>1</v>
      </c>
      <c r="M112" s="1">
        <f>MAX(-16, MIN(16, Games[[#This Row],[RestDiff]]*8))</f>
        <v>-8</v>
      </c>
      <c r="N112" s="1">
        <f>MAX(-16, MIN(16, Games[[#This Row],[OppRestDiff]]*8))</f>
        <v>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1495.6342231842875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1465.4786472022479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0.40081826629875184</v>
      </c>
      <c r="R112" s="1">
        <v>79</v>
      </c>
      <c r="S112" s="1">
        <v>68</v>
      </c>
      <c r="T112" s="1">
        <v>0</v>
      </c>
      <c r="U112" s="1">
        <f>Games[[#This Row],[PointsFor]]-Games[[#This Row],[PointsAgainst]]</f>
        <v>11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0.4290539949695466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75.099999999999994</v>
      </c>
      <c r="Z112" s="4">
        <f>Games[[#This Row],[K]]*Games[[#This Row],[POMult]]</f>
        <v>75.099999999999994</v>
      </c>
      <c r="AA112" s="4">
        <f>(Games[[#This Row],[Keff]]*Games[[#This Row],[MOVMult]])*(Games[[#This Row],[Result]]-Games[[#This Row],[ExpectedWin%]])</f>
        <v>19.306806873453194</v>
      </c>
      <c r="AB112" s="4">
        <f>Games[[#This Row],[PreGmRate]]+Games[[#This Row],[RatingChange]]</f>
        <v>1514.9410300577408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37422</v>
      </c>
      <c r="B113" s="2">
        <v>2002</v>
      </c>
      <c r="C113" s="2">
        <f>COUNTIFS(Games[Team],Games[[#This Row],[Team]],Games[Season],Games[[#This Row],[Season]],Games[Date],"&lt;=" &amp; Games[[#This Row],[Date]])</f>
        <v>8</v>
      </c>
      <c r="D113" s="2" t="s">
        <v>23</v>
      </c>
      <c r="E113" s="2" t="s">
        <v>29</v>
      </c>
      <c r="F113" s="1" t="s">
        <v>85</v>
      </c>
      <c r="G113" s="1" t="s">
        <v>1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3" s="2">
        <f>Games[[#This Row],[DaysOff]]-Games[[#This Row],[OppDaysOff]]</f>
        <v>1</v>
      </c>
      <c r="L113" s="2">
        <f>Games[[#This Row],[OppDaysOff]]-Games[[#This Row],[DaysOff]]</f>
        <v>-1</v>
      </c>
      <c r="M113" s="1">
        <f>MAX(-16, MIN(16, Games[[#This Row],[RestDiff]]*8))</f>
        <v>8</v>
      </c>
      <c r="N113" s="1">
        <f>MAX(-16, MIN(16, Games[[#This Row],[OppRestDiff]]*8))</f>
        <v>-8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1465.4786472022479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1495.6342231842875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0.59918173370124816</v>
      </c>
      <c r="R113" s="1">
        <v>68</v>
      </c>
      <c r="S113" s="1">
        <v>79</v>
      </c>
      <c r="T113" s="1">
        <v>0</v>
      </c>
      <c r="U113" s="1">
        <f>Games[[#This Row],[PointsFor]]-Games[[#This Row],[PointsAgainst]]</f>
        <v>-11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0.4290539949695466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74.8</v>
      </c>
      <c r="Z113" s="4">
        <f>Games[[#This Row],[K]]*Games[[#This Row],[POMult]]</f>
        <v>74.8</v>
      </c>
      <c r="AA113" s="4">
        <f>(Games[[#This Row],[Keff]]*Games[[#This Row],[MOVMult]])*(Games[[#This Row],[Result]]-Games[[#This Row],[ExpectedWin%]])</f>
        <v>-19.229682478486005</v>
      </c>
      <c r="AB113" s="4">
        <f>Games[[#This Row],[PreGmRate]]+Games[[#This Row],[RatingChange]]</f>
        <v>1446.2489647237619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37422</v>
      </c>
      <c r="B114" s="2">
        <v>2002</v>
      </c>
      <c r="C114" s="2">
        <f>COUNTIFS(Games[Team],Games[[#This Row],[Team]],Games[Season],Games[[#This Row],[Season]],Games[Date],"&lt;=" &amp; Games[[#This Row],[Date]])</f>
        <v>7</v>
      </c>
      <c r="D114" s="2" t="s">
        <v>23</v>
      </c>
      <c r="E114" s="2" t="s">
        <v>29</v>
      </c>
      <c r="F114" s="1" t="s">
        <v>83</v>
      </c>
      <c r="G114" s="1" t="s">
        <v>79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1478.7947726769623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1479.1071918684095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0.3809916510036126</v>
      </c>
      <c r="R114" s="1">
        <v>69</v>
      </c>
      <c r="S114" s="1">
        <v>65</v>
      </c>
      <c r="T114" s="1">
        <v>0</v>
      </c>
      <c r="U114" s="1">
        <f>Games[[#This Row],[PointsFor]]-Games[[#This Row],[PointsAgainst]]</f>
        <v>4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0.31135167470515679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74.95</v>
      </c>
      <c r="Z114" s="4">
        <f>Games[[#This Row],[K]]*Games[[#This Row],[POMult]]</f>
        <v>74.95</v>
      </c>
      <c r="AA114" s="4">
        <f>(Games[[#This Row],[Keff]]*Games[[#This Row],[MOVMult]])*(Games[[#This Row],[Result]]-Games[[#This Row],[ExpectedWin%]])</f>
        <v>14.445059994431629</v>
      </c>
      <c r="AB114" s="4">
        <f>Games[[#This Row],[PreGmRate]]+Games[[#This Row],[RatingChange]]</f>
        <v>1493.239832671394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37422</v>
      </c>
      <c r="B115" s="2">
        <v>2002</v>
      </c>
      <c r="C115" s="2">
        <f>COUNTIFS(Games[Team],Games[[#This Row],[Team]],Games[Season],Games[[#This Row],[Season]],Games[Date],"&lt;=" &amp; Games[[#This Row],[Date]])</f>
        <v>6</v>
      </c>
      <c r="D115" s="2" t="s">
        <v>23</v>
      </c>
      <c r="E115" s="2" t="s">
        <v>29</v>
      </c>
      <c r="F115" s="1" t="s">
        <v>79</v>
      </c>
      <c r="G115" s="1" t="s">
        <v>83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1479.1071918684095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1478.7947726769623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0.61900834899638746</v>
      </c>
      <c r="R115" s="1">
        <v>65</v>
      </c>
      <c r="S115" s="1">
        <v>69</v>
      </c>
      <c r="T115" s="1">
        <v>0</v>
      </c>
      <c r="U115" s="1">
        <f>Games[[#This Row],[PointsFor]]-Games[[#This Row],[PointsAgainst]]</f>
        <v>-4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0.31135167470515679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75.099999999999994</v>
      </c>
      <c r="Z115" s="4">
        <f>Games[[#This Row],[K]]*Games[[#This Row],[POMult]]</f>
        <v>75.099999999999994</v>
      </c>
      <c r="AA115" s="4">
        <f>(Games[[#This Row],[Keff]]*Games[[#This Row],[MOVMult]])*(Games[[#This Row],[Result]]-Games[[#This Row],[ExpectedWin%]])</f>
        <v>-14.473969387349104</v>
      </c>
      <c r="AB115" s="4">
        <f>Games[[#This Row],[PreGmRate]]+Games[[#This Row],[RatingChange]]</f>
        <v>1464.6332224810603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37422</v>
      </c>
      <c r="B116" s="2">
        <v>2002</v>
      </c>
      <c r="C116" s="2">
        <f>COUNTIFS(Games[Team],Games[[#This Row],[Team]],Games[Season],Games[[#This Row],[Season]],Games[Date],"&lt;=" &amp; Games[[#This Row],[Date]])</f>
        <v>9</v>
      </c>
      <c r="D116" s="2" t="s">
        <v>23</v>
      </c>
      <c r="E116" s="2" t="s">
        <v>29</v>
      </c>
      <c r="F116" s="1" t="s">
        <v>77</v>
      </c>
      <c r="G116" s="1" t="s">
        <v>89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1368.3574280906853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1410.0639436137474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0.32659526143066658</v>
      </c>
      <c r="R116" s="1">
        <v>60</v>
      </c>
      <c r="S116" s="1">
        <v>67</v>
      </c>
      <c r="T116" s="1">
        <v>0</v>
      </c>
      <c r="U116" s="1">
        <f>Games[[#This Row],[PointsFor]]-Games[[#This Row],[PointsAgainst]]</f>
        <v>-7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0.35767598980303111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74.650000000000006</v>
      </c>
      <c r="Z116" s="4">
        <f>Games[[#This Row],[K]]*Games[[#This Row],[POMult]]</f>
        <v>74.650000000000006</v>
      </c>
      <c r="AA116" s="4">
        <f>(Games[[#This Row],[Keff]]*Games[[#This Row],[MOVMult]])*(Games[[#This Row],[Result]]-Games[[#This Row],[ExpectedWin%]])</f>
        <v>-8.7202609056004867</v>
      </c>
      <c r="AB116" s="4">
        <f>Games[[#This Row],[PreGmRate]]+Games[[#This Row],[RatingChange]]</f>
        <v>1359.6371671850848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37422</v>
      </c>
      <c r="B117" s="2">
        <v>2002</v>
      </c>
      <c r="C117" s="2">
        <f>COUNTIFS(Games[Team],Games[[#This Row],[Team]],Games[Season],Games[[#This Row],[Season]],Games[Date],"&lt;=" &amp; Games[[#This Row],[Date]])</f>
        <v>8</v>
      </c>
      <c r="D117" s="2" t="s">
        <v>23</v>
      </c>
      <c r="E117" s="2" t="s">
        <v>29</v>
      </c>
      <c r="F117" s="1" t="s">
        <v>89</v>
      </c>
      <c r="G117" s="1" t="s">
        <v>77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1410.0639436137474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1368.3574280906853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0.67340473856933347</v>
      </c>
      <c r="R117" s="1">
        <v>67</v>
      </c>
      <c r="S117" s="1">
        <v>60</v>
      </c>
      <c r="T117" s="1">
        <v>0</v>
      </c>
      <c r="U117" s="1">
        <f>Games[[#This Row],[PointsFor]]-Games[[#This Row],[PointsAgainst]]</f>
        <v>7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0.35767598980303111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74.8</v>
      </c>
      <c r="Z117" s="4">
        <f>Games[[#This Row],[K]]*Games[[#This Row],[POMult]]</f>
        <v>74.8</v>
      </c>
      <c r="AA117" s="4">
        <f>(Games[[#This Row],[Keff]]*Games[[#This Row],[MOVMult]])*(Games[[#This Row],[Result]]-Games[[#This Row],[ExpectedWin%]])</f>
        <v>8.7377831981100638</v>
      </c>
      <c r="AB117" s="4">
        <f>Games[[#This Row],[PreGmRate]]+Games[[#This Row],[RatingChange]]</f>
        <v>1418.8017268118574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37422</v>
      </c>
      <c r="B118" s="2">
        <v>2002</v>
      </c>
      <c r="C118" s="2">
        <f>COUNTIFS(Games[Team],Games[[#This Row],[Team]],Games[Season],Games[[#This Row],[Season]],Games[Date],"&lt;=" &amp; Games[[#This Row],[Date]])</f>
        <v>8</v>
      </c>
      <c r="D118" s="2" t="s">
        <v>23</v>
      </c>
      <c r="E118" s="2" t="s">
        <v>29</v>
      </c>
      <c r="F118" s="1" t="s">
        <v>71</v>
      </c>
      <c r="G118" s="1" t="s">
        <v>45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2</v>
      </c>
      <c r="L118" s="2">
        <f>Games[[#This Row],[OppDaysOff]]-Games[[#This Row],[DaysOff]]</f>
        <v>-2</v>
      </c>
      <c r="M118" s="1">
        <f>MAX(-16, MIN(16, Games[[#This Row],[RestDiff]]*8))</f>
        <v>16</v>
      </c>
      <c r="N118" s="1">
        <f>MAX(-16, MIN(16, Games[[#This Row],[OppRestDiff]]*8))</f>
        <v>-16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1665.8283125437279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1520.8883885256348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0.63064973898068089</v>
      </c>
      <c r="R118" s="1">
        <v>72</v>
      </c>
      <c r="S118" s="1">
        <v>66</v>
      </c>
      <c r="T118" s="1">
        <v>1</v>
      </c>
      <c r="U118" s="1">
        <f>Games[[#This Row],[PointsFor]]-Games[[#This Row],[PointsAgainst]]</f>
        <v>6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0.28208190953603313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74.8</v>
      </c>
      <c r="Z118" s="4">
        <f>Games[[#This Row],[K]]*Games[[#This Row],[POMult]]</f>
        <v>74.8</v>
      </c>
      <c r="AA118" s="4">
        <f>(Games[[#This Row],[Keff]]*Games[[#This Row],[MOVMult]])*(Games[[#This Row],[Result]]-Games[[#This Row],[ExpectedWin%]])</f>
        <v>7.7931896133139427</v>
      </c>
      <c r="AB118" s="4">
        <f>Games[[#This Row],[PreGmRate]]+Games[[#This Row],[RatingChange]]</f>
        <v>1673.6215021570417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37422</v>
      </c>
      <c r="B119" s="2">
        <v>2002</v>
      </c>
      <c r="C119" s="2">
        <f>COUNTIFS(Games[Team],Games[[#This Row],[Team]],Games[Season],Games[[#This Row],[Season]],Games[Date],"&lt;=" &amp; Games[[#This Row],[Date]])</f>
        <v>6</v>
      </c>
      <c r="D119" s="2" t="s">
        <v>23</v>
      </c>
      <c r="E119" s="2" t="s">
        <v>29</v>
      </c>
      <c r="F119" s="1" t="s">
        <v>45</v>
      </c>
      <c r="G119" s="1" t="s">
        <v>71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9" s="2">
        <f>Games[[#This Row],[DaysOff]]-Games[[#This Row],[OppDaysOff]]</f>
        <v>-2</v>
      </c>
      <c r="L119" s="2">
        <f>Games[[#This Row],[OppDaysOff]]-Games[[#This Row],[DaysOff]]</f>
        <v>2</v>
      </c>
      <c r="M119" s="1">
        <f>MAX(-16, MIN(16, Games[[#This Row],[RestDiff]]*8))</f>
        <v>-16</v>
      </c>
      <c r="N119" s="1">
        <f>MAX(-16, MIN(16, Games[[#This Row],[OppRestDiff]]*8))</f>
        <v>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1520.8883885256348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1665.8283125437279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0.36935026101931911</v>
      </c>
      <c r="R119" s="1">
        <v>66</v>
      </c>
      <c r="S119" s="1">
        <v>72</v>
      </c>
      <c r="T119" s="1">
        <v>1</v>
      </c>
      <c r="U119" s="1">
        <f>Games[[#This Row],[PointsFor]]-Games[[#This Row],[PointsAgainst]]</f>
        <v>-6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0.28208190953603313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75.099999999999994</v>
      </c>
      <c r="Z119" s="4">
        <f>Games[[#This Row],[K]]*Games[[#This Row],[POMult]]</f>
        <v>75.099999999999994</v>
      </c>
      <c r="AA119" s="4">
        <f>(Games[[#This Row],[Keff]]*Games[[#This Row],[MOVMult]])*(Games[[#This Row],[Result]]-Games[[#This Row],[ExpectedWin%]])</f>
        <v>-7.82444572138873</v>
      </c>
      <c r="AB119" s="4">
        <f>Games[[#This Row],[PreGmRate]]+Games[[#This Row],[RatingChange]]</f>
        <v>1513.0639428042462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37422</v>
      </c>
      <c r="B120" s="2">
        <v>2002</v>
      </c>
      <c r="C120" s="2">
        <f>COUNTIFS(Games[Team],Games[[#This Row],[Team]],Games[Season],Games[[#This Row],[Season]],Games[Date],"&lt;=" &amp; Games[[#This Row],[Date]])</f>
        <v>8</v>
      </c>
      <c r="D120" s="2" t="s">
        <v>23</v>
      </c>
      <c r="E120" s="2" t="s">
        <v>29</v>
      </c>
      <c r="F120" s="1" t="s">
        <v>87</v>
      </c>
      <c r="G120" s="1" t="s">
        <v>43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0" s="2">
        <f>Games[[#This Row],[DaysOff]]-Games[[#This Row],[OppDaysOff]]</f>
        <v>-3</v>
      </c>
      <c r="L120" s="2">
        <f>Games[[#This Row],[OppDaysOff]]-Games[[#This Row],[DaysOff]]</f>
        <v>3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1446.9056530555622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1510.7569334558784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0.26205648859482228</v>
      </c>
      <c r="R120" s="1">
        <v>54</v>
      </c>
      <c r="S120" s="1">
        <v>61</v>
      </c>
      <c r="T120" s="1">
        <v>0</v>
      </c>
      <c r="U120" s="1">
        <f>Games[[#This Row],[PointsFor]]-Games[[#This Row],[PointsAgainst]]</f>
        <v>-7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0.35140891485579639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74.8</v>
      </c>
      <c r="Z120" s="4">
        <f>Games[[#This Row],[K]]*Games[[#This Row],[POMult]]</f>
        <v>74.8</v>
      </c>
      <c r="AA120" s="4">
        <f>(Games[[#This Row],[Keff]]*Games[[#This Row],[MOVMult]])*(Games[[#This Row],[Result]]-Games[[#This Row],[ExpectedWin%]])</f>
        <v>-6.8882561743444102</v>
      </c>
      <c r="AB120" s="4">
        <f>Games[[#This Row],[PreGmRate]]+Games[[#This Row],[RatingChange]]</f>
        <v>1440.0173968812178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37422</v>
      </c>
      <c r="B121" s="2">
        <v>2002</v>
      </c>
      <c r="C121" s="2">
        <f>COUNTIFS(Games[Team],Games[[#This Row],[Team]],Games[Season],Games[[#This Row],[Season]],Games[Date],"&lt;=" &amp; Games[[#This Row],[Date]])</f>
        <v>8</v>
      </c>
      <c r="D121" s="2" t="s">
        <v>23</v>
      </c>
      <c r="E121" s="2" t="s">
        <v>29</v>
      </c>
      <c r="F121" s="1" t="s">
        <v>43</v>
      </c>
      <c r="G121" s="1" t="s">
        <v>87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1" s="2">
        <f>Games[[#This Row],[DaysOff]]-Games[[#This Row],[OppDaysOff]]</f>
        <v>3</v>
      </c>
      <c r="L121" s="2">
        <f>Games[[#This Row],[OppDaysOff]]-Games[[#This Row],[DaysOff]]</f>
        <v>-3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1510.7569334558784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1446.9056530555622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0.73794351140517767</v>
      </c>
      <c r="R121" s="1">
        <v>61</v>
      </c>
      <c r="S121" s="1">
        <v>54</v>
      </c>
      <c r="T121" s="1">
        <v>0</v>
      </c>
      <c r="U121" s="1">
        <f>Games[[#This Row],[PointsFor]]-Games[[#This Row],[PointsAgainst]]</f>
        <v>7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0.35140891485579639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74.8</v>
      </c>
      <c r="Z121" s="4">
        <f>Games[[#This Row],[K]]*Games[[#This Row],[POMult]]</f>
        <v>74.8</v>
      </c>
      <c r="AA121" s="4">
        <f>(Games[[#This Row],[Keff]]*Games[[#This Row],[MOVMult]])*(Games[[#This Row],[Result]]-Games[[#This Row],[ExpectedWin%]])</f>
        <v>6.888256174344412</v>
      </c>
      <c r="AB121" s="4">
        <f>Games[[#This Row],[PreGmRate]]+Games[[#This Row],[RatingChange]]</f>
        <v>1517.6451896302228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37423</v>
      </c>
      <c r="B122" s="2">
        <v>2002</v>
      </c>
      <c r="C122" s="2">
        <f>COUNTIFS(Games[Team],Games[[#This Row],[Team]],Games[Season],Games[[#This Row],[Season]],Games[Date],"&lt;=" &amp; Games[[#This Row],[Date]])</f>
        <v>8</v>
      </c>
      <c r="D122" s="2" t="s">
        <v>23</v>
      </c>
      <c r="E122" s="2" t="s">
        <v>29</v>
      </c>
      <c r="F122" s="1" t="s">
        <v>64</v>
      </c>
      <c r="G122" s="1" t="s">
        <v>66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1526.8999516776873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1572.6568712716335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0.32148823456418069</v>
      </c>
      <c r="R122" s="1">
        <v>53</v>
      </c>
      <c r="S122" s="1">
        <v>54</v>
      </c>
      <c r="T122" s="1">
        <v>0</v>
      </c>
      <c r="U122" s="1">
        <f>Games[[#This Row],[PointsFor]]-Games[[#This Row],[PointsAgainst]]</f>
        <v>-1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0.23521089913260157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74.8</v>
      </c>
      <c r="Z122" s="4">
        <f>Games[[#This Row],[K]]*Games[[#This Row],[POMult]]</f>
        <v>74.8</v>
      </c>
      <c r="AA122" s="4">
        <f>(Games[[#This Row],[Keff]]*Games[[#This Row],[MOVMult]])*(Games[[#This Row],[Result]]-Games[[#This Row],[ExpectedWin%]])</f>
        <v>-5.6561917460870452</v>
      </c>
      <c r="AB122" s="4">
        <f>Games[[#This Row],[PreGmRate]]+Games[[#This Row],[RatingChange]]</f>
        <v>1521.2437599316004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37423</v>
      </c>
      <c r="B123" s="2">
        <v>2002</v>
      </c>
      <c r="C123" s="2">
        <f>COUNTIFS(Games[Team],Games[[#This Row],[Team]],Games[Season],Games[[#This Row],[Season]],Games[Date],"&lt;=" &amp; Games[[#This Row],[Date]])</f>
        <v>10</v>
      </c>
      <c r="D123" s="2" t="s">
        <v>23</v>
      </c>
      <c r="E123" s="2" t="s">
        <v>29</v>
      </c>
      <c r="F123" s="1" t="s">
        <v>66</v>
      </c>
      <c r="G123" s="1" t="s">
        <v>64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1572.6568712716335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1526.8999516776873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0.67851176543581926</v>
      </c>
      <c r="R123" s="1">
        <v>54</v>
      </c>
      <c r="S123" s="1">
        <v>53</v>
      </c>
      <c r="T123" s="1">
        <v>0</v>
      </c>
      <c r="U123" s="1">
        <f>Games[[#This Row],[PointsFor]]-Games[[#This Row],[PointsAgainst]]</f>
        <v>1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0.23521089913260157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74.5</v>
      </c>
      <c r="Z123" s="4">
        <f>Games[[#This Row],[K]]*Games[[#This Row],[POMult]]</f>
        <v>74.5</v>
      </c>
      <c r="AA123" s="4">
        <f>(Games[[#This Row],[Keff]]*Games[[#This Row],[MOVMult]])*(Games[[#This Row],[Result]]-Games[[#This Row],[ExpectedWin%]])</f>
        <v>5.6335064850733287</v>
      </c>
      <c r="AB123" s="4">
        <f>Games[[#This Row],[PreGmRate]]+Games[[#This Row],[RatingChange]]</f>
        <v>1578.2903777567069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37425</v>
      </c>
      <c r="B124" s="2">
        <v>2002</v>
      </c>
      <c r="C124" s="2">
        <f>COUNTIFS(Games[Team],Games[[#This Row],[Team]],Games[Season],Games[[#This Row],[Season]],Games[Date],"&lt;=" &amp; Games[[#This Row],[Date]])</f>
        <v>10</v>
      </c>
      <c r="D124" s="2" t="s">
        <v>23</v>
      </c>
      <c r="E124" s="2" t="s">
        <v>29</v>
      </c>
      <c r="F124" s="1" t="s">
        <v>2</v>
      </c>
      <c r="G124" s="1" t="s">
        <v>83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1558.7350488507789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1493.239832671394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0.47339462813646854</v>
      </c>
      <c r="R124" s="1">
        <v>53</v>
      </c>
      <c r="S124" s="1">
        <v>46</v>
      </c>
      <c r="T124" s="1">
        <v>0</v>
      </c>
      <c r="U124" s="1">
        <f>Games[[#This Row],[PointsFor]]-Games[[#This Row],[PointsAgainst]]</f>
        <v>7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0.35095241871039079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74.5</v>
      </c>
      <c r="Z124" s="4">
        <f>Games[[#This Row],[K]]*Games[[#This Row],[POMult]]</f>
        <v>74.5</v>
      </c>
      <c r="AA124" s="4">
        <f>(Games[[#This Row],[Keff]]*Games[[#This Row],[MOVMult]])*(Games[[#This Row],[Result]]-Games[[#This Row],[ExpectedWin%]])</f>
        <v>13.768600457623641</v>
      </c>
      <c r="AB124" s="4">
        <f>Games[[#This Row],[PreGmRate]]+Games[[#This Row],[RatingChange]]</f>
        <v>1572.5036493084026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37425</v>
      </c>
      <c r="B125" s="2">
        <v>2002</v>
      </c>
      <c r="C125" s="2">
        <f>COUNTIFS(Games[Team],Games[[#This Row],[Team]],Games[Season],Games[[#This Row],[Season]],Games[Date],"&lt;=" &amp; Games[[#This Row],[Date]])</f>
        <v>8</v>
      </c>
      <c r="D125" s="2" t="s">
        <v>23</v>
      </c>
      <c r="E125" s="2" t="s">
        <v>29</v>
      </c>
      <c r="F125" s="1" t="s">
        <v>83</v>
      </c>
      <c r="G125" s="1" t="s">
        <v>2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1493.239832671394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1558.7350488507789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0.52660537186353151</v>
      </c>
      <c r="R125" s="1">
        <v>46</v>
      </c>
      <c r="S125" s="1">
        <v>53</v>
      </c>
      <c r="T125" s="1">
        <v>0</v>
      </c>
      <c r="U125" s="1">
        <f>Games[[#This Row],[PointsFor]]-Games[[#This Row],[PointsAgainst]]</f>
        <v>-7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0.35095241871039079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74.8</v>
      </c>
      <c r="Z125" s="4">
        <f>Games[[#This Row],[K]]*Games[[#This Row],[POMult]]</f>
        <v>74.8</v>
      </c>
      <c r="AA125" s="4">
        <f>(Games[[#This Row],[Keff]]*Games[[#This Row],[MOVMult]])*(Games[[#This Row],[Result]]-Games[[#This Row],[ExpectedWin%]])</f>
        <v>-13.824044486312058</v>
      </c>
      <c r="AB125" s="4">
        <f>Games[[#This Row],[PreGmRate]]+Games[[#This Row],[RatingChange]]</f>
        <v>1479.415788185082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37425</v>
      </c>
      <c r="B126" s="2">
        <v>2002</v>
      </c>
      <c r="C126" s="2">
        <f>COUNTIFS(Games[Team],Games[[#This Row],[Team]],Games[Season],Games[[#This Row],[Season]],Games[Date],"&lt;=" &amp; Games[[#This Row],[Date]])</f>
        <v>7</v>
      </c>
      <c r="D126" s="2" t="s">
        <v>23</v>
      </c>
      <c r="E126" s="2" t="s">
        <v>29</v>
      </c>
      <c r="F126" s="1" t="s">
        <v>79</v>
      </c>
      <c r="G126" s="1" t="s">
        <v>66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1</v>
      </c>
      <c r="L126" s="2">
        <f>Games[[#This Row],[OppDaysOff]]-Games[[#This Row],[DaysOff]]</f>
        <v>-1</v>
      </c>
      <c r="M126" s="1">
        <f>MAX(-16, MIN(16, Games[[#This Row],[RestDiff]]*8))</f>
        <v>8</v>
      </c>
      <c r="N126" s="1">
        <f>MAX(-16, MIN(16, Games[[#This Row],[OppRestDiff]]*8))</f>
        <v>-8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1464.6332224810603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1578.2903777567069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0.26005116449308346</v>
      </c>
      <c r="R126" s="1">
        <v>71</v>
      </c>
      <c r="S126" s="1">
        <v>62</v>
      </c>
      <c r="T126" s="1">
        <v>0</v>
      </c>
      <c r="U126" s="1">
        <f>Games[[#This Row],[PointsFor]]-Games[[#This Row],[PointsAgainst]]</f>
        <v>9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0.37084701333238557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74.95</v>
      </c>
      <c r="Z126" s="4">
        <f>Games[[#This Row],[K]]*Games[[#This Row],[POMult]]</f>
        <v>74.95</v>
      </c>
      <c r="AA126" s="4">
        <f>(Games[[#This Row],[Keff]]*Games[[#This Row],[MOVMult]])*(Games[[#This Row],[Result]]-Games[[#This Row],[ExpectedWin%]])</f>
        <v>20.566865784205426</v>
      </c>
      <c r="AB126" s="4">
        <f>Games[[#This Row],[PreGmRate]]+Games[[#This Row],[RatingChange]]</f>
        <v>1485.2000882652658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37425</v>
      </c>
      <c r="B127" s="2">
        <v>2002</v>
      </c>
      <c r="C127" s="2">
        <f>COUNTIFS(Games[Team],Games[[#This Row],[Team]],Games[Season],Games[[#This Row],[Season]],Games[Date],"&lt;=" &amp; Games[[#This Row],[Date]])</f>
        <v>11</v>
      </c>
      <c r="D127" s="2" t="s">
        <v>23</v>
      </c>
      <c r="E127" s="2" t="s">
        <v>29</v>
      </c>
      <c r="F127" s="1" t="s">
        <v>66</v>
      </c>
      <c r="G127" s="1" t="s">
        <v>79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7" s="2">
        <f>Games[[#This Row],[DaysOff]]-Games[[#This Row],[OppDaysOff]]</f>
        <v>-1</v>
      </c>
      <c r="L127" s="2">
        <f>Games[[#This Row],[OppDaysOff]]-Games[[#This Row],[DaysOff]]</f>
        <v>1</v>
      </c>
      <c r="M127" s="1">
        <f>MAX(-16, MIN(16, Games[[#This Row],[RestDiff]]*8))</f>
        <v>-8</v>
      </c>
      <c r="N127" s="1">
        <f>MAX(-16, MIN(16, Games[[#This Row],[OppRestDiff]]*8))</f>
        <v>8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1578.2903777567069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1464.6332224810603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0.73994883550691648</v>
      </c>
      <c r="R127" s="1">
        <v>62</v>
      </c>
      <c r="S127" s="1">
        <v>71</v>
      </c>
      <c r="T127" s="1">
        <v>0</v>
      </c>
      <c r="U127" s="1">
        <f>Games[[#This Row],[PointsFor]]-Games[[#This Row],[PointsAgainst]]</f>
        <v>-9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0.37084701333238557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-20.402221094805508</v>
      </c>
      <c r="AB127" s="4">
        <f>Games[[#This Row],[PreGmRate]]+Games[[#This Row],[RatingChange]]</f>
        <v>1557.8881566619013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37425</v>
      </c>
      <c r="B128" s="2">
        <v>2002</v>
      </c>
      <c r="C128" s="2">
        <f>COUNTIFS(Games[Team],Games[[#This Row],[Team]],Games[Season],Games[[#This Row],[Season]],Games[Date],"&lt;=" &amp; Games[[#This Row],[Date]])</f>
        <v>7</v>
      </c>
      <c r="D128" s="2" t="s">
        <v>23</v>
      </c>
      <c r="E128" s="2" t="s">
        <v>29</v>
      </c>
      <c r="F128" s="1" t="s">
        <v>45</v>
      </c>
      <c r="G128" s="1" t="s">
        <v>44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8" s="2">
        <f>Games[[#This Row],[DaysOff]]-Games[[#This Row],[OppDaysOff]]</f>
        <v>-1</v>
      </c>
      <c r="L128" s="2">
        <f>Games[[#This Row],[OppDaysOff]]-Games[[#This Row],[DaysOff]]</f>
        <v>1</v>
      </c>
      <c r="M128" s="1">
        <f>MAX(-16, MIN(16, Games[[#This Row],[RestDiff]]*8))</f>
        <v>-8</v>
      </c>
      <c r="N128" s="1">
        <f>MAX(-16, MIN(16, Games[[#This Row],[OppRestDiff]]*8))</f>
        <v>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1513.0639428042462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1487.4903309516828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0.39450064328191997</v>
      </c>
      <c r="R128" s="1">
        <v>63</v>
      </c>
      <c r="S128" s="1">
        <v>78</v>
      </c>
      <c r="T128" s="1">
        <v>0</v>
      </c>
      <c r="U128" s="1">
        <f>Games[[#This Row],[PointsFor]]-Games[[#This Row],[PointsAgainst]]</f>
        <v>-15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0.49235527578175975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74.95</v>
      </c>
      <c r="Z128" s="4">
        <f>Games[[#This Row],[K]]*Games[[#This Row],[POMult]]</f>
        <v>74.95</v>
      </c>
      <c r="AA128" s="4">
        <f>(Games[[#This Row],[Keff]]*Games[[#This Row],[MOVMult]])*(Games[[#This Row],[Result]]-Games[[#This Row],[ExpectedWin%]])</f>
        <v>-14.557873752785392</v>
      </c>
      <c r="AB128" s="4">
        <f>Games[[#This Row],[PreGmRate]]+Games[[#This Row],[RatingChange]]</f>
        <v>1498.5060690514608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37425</v>
      </c>
      <c r="B129" s="2">
        <v>2002</v>
      </c>
      <c r="C129" s="2">
        <f>COUNTIFS(Games[Team],Games[[#This Row],[Team]],Games[Season],Games[[#This Row],[Season]],Games[Date],"&lt;=" &amp; Games[[#This Row],[Date]])</f>
        <v>7</v>
      </c>
      <c r="D129" s="2" t="s">
        <v>23</v>
      </c>
      <c r="E129" s="2" t="s">
        <v>29</v>
      </c>
      <c r="F129" s="1" t="s">
        <v>44</v>
      </c>
      <c r="G129" s="1" t="s">
        <v>45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9" s="2">
        <f>Games[[#This Row],[DaysOff]]-Games[[#This Row],[OppDaysOff]]</f>
        <v>1</v>
      </c>
      <c r="L129" s="2">
        <f>Games[[#This Row],[OppDaysOff]]-Games[[#This Row],[DaysOff]]</f>
        <v>-1</v>
      </c>
      <c r="M129" s="1">
        <f>MAX(-16, MIN(16, Games[[#This Row],[RestDiff]]*8))</f>
        <v>8</v>
      </c>
      <c r="N129" s="1">
        <f>MAX(-16, MIN(16, Games[[#This Row],[OppRestDiff]]*8))</f>
        <v>-8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1487.4903309516828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1513.0639428042462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0.60549935671808008</v>
      </c>
      <c r="R129" s="1">
        <v>78</v>
      </c>
      <c r="S129" s="1">
        <v>63</v>
      </c>
      <c r="T129" s="1">
        <v>0</v>
      </c>
      <c r="U129" s="1">
        <f>Games[[#This Row],[PointsFor]]-Games[[#This Row],[PointsAgainst]]</f>
        <v>15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0.49235527578175975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74.95</v>
      </c>
      <c r="Z129" s="4">
        <f>Games[[#This Row],[K]]*Games[[#This Row],[POMult]]</f>
        <v>74.95</v>
      </c>
      <c r="AA129" s="4">
        <f>(Games[[#This Row],[Keff]]*Games[[#This Row],[MOVMult]])*(Games[[#This Row],[Result]]-Games[[#This Row],[ExpectedWin%]])</f>
        <v>14.55787375278539</v>
      </c>
      <c r="AB129" s="4">
        <f>Games[[#This Row],[PreGmRate]]+Games[[#This Row],[RatingChange]]</f>
        <v>1502.0482047044682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37425</v>
      </c>
      <c r="B130" s="2">
        <v>2002</v>
      </c>
      <c r="C130" s="2">
        <f>COUNTIFS(Games[Team],Games[[#This Row],[Team]],Games[Season],Games[[#This Row],[Season]],Games[Date],"&lt;=" &amp; Games[[#This Row],[Date]])</f>
        <v>9</v>
      </c>
      <c r="D130" s="2" t="s">
        <v>23</v>
      </c>
      <c r="E130" s="2" t="s">
        <v>29</v>
      </c>
      <c r="F130" s="1" t="s">
        <v>80</v>
      </c>
      <c r="G130" s="1" t="s">
        <v>89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0</v>
      </c>
      <c r="L130" s="2">
        <f>Games[[#This Row],[OppDaysOff]]-Games[[#This Row],[DaysOff]]</f>
        <v>0</v>
      </c>
      <c r="M130" s="1">
        <f>MAX(-16, MIN(16, Games[[#This Row],[RestDiff]]*8))</f>
        <v>0</v>
      </c>
      <c r="N130" s="1">
        <f>MAX(-16, MIN(16, Games[[#This Row],[OppRestDiff]]*8))</f>
        <v>0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1491.0504255133724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1418.8017268118574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0.48309496392638585</v>
      </c>
      <c r="R130" s="1">
        <v>51</v>
      </c>
      <c r="S130" s="1">
        <v>59</v>
      </c>
      <c r="T130" s="1">
        <v>0</v>
      </c>
      <c r="U130" s="1">
        <f>Games[[#This Row],[PointsFor]]-Games[[#This Row],[PointsAgainst]]</f>
        <v>-8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0.36626379927068869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74.650000000000006</v>
      </c>
      <c r="Z130" s="4">
        <f>Games[[#This Row],[K]]*Games[[#This Row],[POMult]]</f>
        <v>74.650000000000006</v>
      </c>
      <c r="AA130" s="4">
        <f>(Games[[#This Row],[Keff]]*Games[[#This Row],[MOVMult]])*(Games[[#This Row],[Result]]-Games[[#This Row],[ExpectedWin%]])</f>
        <v>-13.208585698302404</v>
      </c>
      <c r="AB130" s="4">
        <f>Games[[#This Row],[PreGmRate]]+Games[[#This Row],[RatingChange]]</f>
        <v>1477.84183981507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37425</v>
      </c>
      <c r="B131" s="2">
        <v>2002</v>
      </c>
      <c r="C131" s="2">
        <f>COUNTIFS(Games[Team],Games[[#This Row],[Team]],Games[Season],Games[[#This Row],[Season]],Games[Date],"&lt;=" &amp; Games[[#This Row],[Date]])</f>
        <v>9</v>
      </c>
      <c r="D131" s="2" t="s">
        <v>23</v>
      </c>
      <c r="E131" s="2" t="s">
        <v>29</v>
      </c>
      <c r="F131" s="1" t="s">
        <v>89</v>
      </c>
      <c r="G131" s="1" t="s">
        <v>80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1" s="2">
        <f>Games[[#This Row],[DaysOff]]-Games[[#This Row],[OppDaysOff]]</f>
        <v>0</v>
      </c>
      <c r="L131" s="2">
        <f>Games[[#This Row],[OppDaysOff]]-Games[[#This Row],[DaysOff]]</f>
        <v>0</v>
      </c>
      <c r="M131" s="1">
        <f>MAX(-16, MIN(16, Games[[#This Row],[RestDiff]]*8))</f>
        <v>0</v>
      </c>
      <c r="N131" s="1">
        <f>MAX(-16, MIN(16, Games[[#This Row],[OppRestDiff]]*8))</f>
        <v>0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1418.8017268118574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1491.0504255133724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0.51690503607361415</v>
      </c>
      <c r="R131" s="1">
        <v>59</v>
      </c>
      <c r="S131" s="1">
        <v>51</v>
      </c>
      <c r="T131" s="1">
        <v>0</v>
      </c>
      <c r="U131" s="1">
        <f>Games[[#This Row],[PointsFor]]-Games[[#This Row],[PointsAgainst]]</f>
        <v>8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0.36626379927068869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74.650000000000006</v>
      </c>
      <c r="Z131" s="4">
        <f>Games[[#This Row],[K]]*Games[[#This Row],[POMult]]</f>
        <v>74.650000000000006</v>
      </c>
      <c r="AA131" s="4">
        <f>(Games[[#This Row],[Keff]]*Games[[#This Row],[MOVMult]])*(Games[[#This Row],[Result]]-Games[[#This Row],[ExpectedWin%]])</f>
        <v>13.208585698302404</v>
      </c>
      <c r="AB131" s="4">
        <f>Games[[#This Row],[PreGmRate]]+Games[[#This Row],[RatingChange]]</f>
        <v>1432.0103125101598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37425</v>
      </c>
      <c r="B132" s="2">
        <v>2002</v>
      </c>
      <c r="C132" s="2">
        <f>COUNTIFS(Games[Team],Games[[#This Row],[Team]],Games[Season],Games[[#This Row],[Season]],Games[Date],"&lt;=" &amp; Games[[#This Row],[Date]])</f>
        <v>9</v>
      </c>
      <c r="D132" s="2" t="s">
        <v>23</v>
      </c>
      <c r="E132" s="2" t="s">
        <v>29</v>
      </c>
      <c r="F132" s="1" t="s">
        <v>71</v>
      </c>
      <c r="G132" s="1" t="s">
        <v>87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1673.6215021570417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1440.0173968812178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0.70290931483493546</v>
      </c>
      <c r="R132" s="1">
        <v>80</v>
      </c>
      <c r="S132" s="1">
        <v>68</v>
      </c>
      <c r="T132" s="1">
        <v>0</v>
      </c>
      <c r="U132" s="1">
        <f>Games[[#This Row],[PointsFor]]-Games[[#This Row],[PointsAgainst]]</f>
        <v>12</v>
      </c>
      <c r="V132" s="1">
        <f>IF(Games[[#This Row],[MOV]]&gt;0,1,IF(Games[[#This Row],[MOV]]=0,0.5,0))</f>
        <v>1</v>
      </c>
      <c r="W132" s="4">
        <f>((ABS(Games[[#This Row],[MOV]])+5)^0.6)/(12+0.01*(ABS(Games[[#This Row],[PreGmRate]]-Games[[#This Row],[OppPreGmRate]])))*IF(Games[[#This Row],[OT]]=1,0.9,1)</f>
        <v>0.38180368602288445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74.650000000000006</v>
      </c>
      <c r="Z132" s="4">
        <f>Games[[#This Row],[K]]*Games[[#This Row],[POMult]]</f>
        <v>74.650000000000006</v>
      </c>
      <c r="AA132" s="4">
        <f>(Games[[#This Row],[Keff]]*Games[[#This Row],[MOVMult]])*(Games[[#This Row],[Result]]-Games[[#This Row],[ExpectedWin%]])</f>
        <v>8.4675732893937639</v>
      </c>
      <c r="AB132" s="4">
        <f>Games[[#This Row],[PreGmRate]]+Games[[#This Row],[RatingChange]]</f>
        <v>1682.0890754464356</v>
      </c>
      <c r="AC132" s="2">
        <f>IF(Games[[#This Row],[Type]]="R",IF(Games[[#This Row],[Result]]&gt;0.5,1,0),0)</f>
        <v>1</v>
      </c>
      <c r="AD132" s="2">
        <f>IF(Games[[#This Row],[Type]]="R",IF(Games[[#This Row],[Result]]&lt;0.5,1,0),0)</f>
        <v>0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37425</v>
      </c>
      <c r="B133" s="2">
        <v>2002</v>
      </c>
      <c r="C133" s="2">
        <f>COUNTIFS(Games[Team],Games[[#This Row],[Team]],Games[Season],Games[[#This Row],[Season]],Games[Date],"&lt;=" &amp; Games[[#This Row],[Date]])</f>
        <v>9</v>
      </c>
      <c r="D133" s="2" t="s">
        <v>23</v>
      </c>
      <c r="E133" s="2" t="s">
        <v>29</v>
      </c>
      <c r="F133" s="1" t="s">
        <v>87</v>
      </c>
      <c r="G133" s="1" t="s">
        <v>71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1440.0173968812178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1673.6215021570417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0.29709068516506448</v>
      </c>
      <c r="R133" s="1">
        <v>68</v>
      </c>
      <c r="S133" s="1">
        <v>80</v>
      </c>
      <c r="T133" s="1">
        <v>0</v>
      </c>
      <c r="U133" s="1">
        <f>Games[[#This Row],[PointsFor]]-Games[[#This Row],[PointsAgainst]]</f>
        <v>-12</v>
      </c>
      <c r="V133" s="1">
        <f>IF(Games[[#This Row],[MOV]]&gt;0,1,IF(Games[[#This Row],[MOV]]=0,0.5,0))</f>
        <v>0</v>
      </c>
      <c r="W133" s="4">
        <f>((ABS(Games[[#This Row],[MOV]])+5)^0.6)/(12+0.01*(ABS(Games[[#This Row],[PreGmRate]]-Games[[#This Row],[OppPreGmRate]])))*IF(Games[[#This Row],[OT]]=1,0.9,1)</f>
        <v>0.38180368602288445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74.650000000000006</v>
      </c>
      <c r="Z133" s="4">
        <f>Games[[#This Row],[K]]*Games[[#This Row],[POMult]]</f>
        <v>74.650000000000006</v>
      </c>
      <c r="AA133" s="4">
        <f>(Games[[#This Row],[Keff]]*Games[[#This Row],[MOVMult]])*(Games[[#This Row],[Result]]-Games[[#This Row],[ExpectedWin%]])</f>
        <v>-8.4675732893937621</v>
      </c>
      <c r="AB133" s="4">
        <f>Games[[#This Row],[PreGmRate]]+Games[[#This Row],[RatingChange]]</f>
        <v>1431.549823591824</v>
      </c>
      <c r="AC133" s="2">
        <f>IF(Games[[#This Row],[Type]]="R",IF(Games[[#This Row],[Result]]&gt;0.5,1,0),0)</f>
        <v>0</v>
      </c>
      <c r="AD133" s="2">
        <f>IF(Games[[#This Row],[Type]]="R",IF(Games[[#This Row],[Result]]&lt;0.5,1,0),0)</f>
        <v>1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37425</v>
      </c>
      <c r="B134" s="2">
        <v>2002</v>
      </c>
      <c r="C134" s="2">
        <f>COUNTIFS(Games[Team],Games[[#This Row],[Team]],Games[Season],Games[[#This Row],[Season]],Games[Date],"&lt;=" &amp; Games[[#This Row],[Date]])</f>
        <v>9</v>
      </c>
      <c r="D134" s="2" t="s">
        <v>23</v>
      </c>
      <c r="E134" s="2" t="s">
        <v>29</v>
      </c>
      <c r="F134" s="1" t="s">
        <v>85</v>
      </c>
      <c r="G134" s="1" t="s">
        <v>43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1446.2489647237619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1517.6451896302228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0.29017534893640223</v>
      </c>
      <c r="R134" s="1">
        <v>71</v>
      </c>
      <c r="S134" s="1">
        <v>79</v>
      </c>
      <c r="T134" s="1">
        <v>0</v>
      </c>
      <c r="U134" s="1">
        <f>Games[[#This Row],[PointsFor]]-Games[[#This Row],[PointsAgainst]]</f>
        <v>-8</v>
      </c>
      <c r="V134" s="1">
        <f>IF(Games[[#This Row],[MOV]]&gt;0,1,IF(Games[[#This Row],[MOV]]=0,0.5,0))</f>
        <v>0</v>
      </c>
      <c r="W134" s="4">
        <f>((ABS(Games[[#This Row],[MOV]])+5)^0.6)/(12+0.01*(ABS(Games[[#This Row],[PreGmRate]]-Games[[#This Row],[OppPreGmRate]])))*IF(Games[[#This Row],[OT]]=1,0.9,1)</f>
        <v>0.36650937990467097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74.650000000000006</v>
      </c>
      <c r="Z134" s="4">
        <f>Games[[#This Row],[K]]*Games[[#This Row],[POMult]]</f>
        <v>74.650000000000006</v>
      </c>
      <c r="AA134" s="4">
        <f>(Games[[#This Row],[Keff]]*Games[[#This Row],[MOVMult]])*(Games[[#This Row],[Result]]-Games[[#This Row],[ExpectedWin%]])</f>
        <v>-7.9391758446518681</v>
      </c>
      <c r="AB134" s="4">
        <f>Games[[#This Row],[PreGmRate]]+Games[[#This Row],[RatingChange]]</f>
        <v>1438.3097888791101</v>
      </c>
      <c r="AC134" s="2">
        <f>IF(Games[[#This Row],[Type]]="R",IF(Games[[#This Row],[Result]]&gt;0.5,1,0),0)</f>
        <v>0</v>
      </c>
      <c r="AD134" s="2">
        <f>IF(Games[[#This Row],[Type]]="R",IF(Games[[#This Row],[Result]]&lt;0.5,1,0),0)</f>
        <v>1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37425</v>
      </c>
      <c r="B135" s="2">
        <v>2002</v>
      </c>
      <c r="C135" s="2">
        <f>COUNTIFS(Games[Team],Games[[#This Row],[Team]],Games[Season],Games[[#This Row],[Season]],Games[Date],"&lt;=" &amp; Games[[#This Row],[Date]])</f>
        <v>9</v>
      </c>
      <c r="D135" s="2" t="s">
        <v>23</v>
      </c>
      <c r="E135" s="2" t="s">
        <v>29</v>
      </c>
      <c r="F135" s="1" t="s">
        <v>43</v>
      </c>
      <c r="G135" s="1" t="s">
        <v>85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1517.6451896302228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1446.2489647237619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0.70982465106359782</v>
      </c>
      <c r="R135" s="1">
        <v>79</v>
      </c>
      <c r="S135" s="1">
        <v>71</v>
      </c>
      <c r="T135" s="1">
        <v>0</v>
      </c>
      <c r="U135" s="1">
        <f>Games[[#This Row],[PointsFor]]-Games[[#This Row],[PointsAgainst]]</f>
        <v>8</v>
      </c>
      <c r="V135" s="1">
        <f>IF(Games[[#This Row],[MOV]]&gt;0,1,IF(Games[[#This Row],[MOV]]=0,0.5,0))</f>
        <v>1</v>
      </c>
      <c r="W135" s="4">
        <f>((ABS(Games[[#This Row],[MOV]])+5)^0.6)/(12+0.01*(ABS(Games[[#This Row],[PreGmRate]]-Games[[#This Row],[OppPreGmRate]])))*IF(Games[[#This Row],[OT]]=1,0.9,1)</f>
        <v>0.36650937990467097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74.650000000000006</v>
      </c>
      <c r="Z135" s="4">
        <f>Games[[#This Row],[K]]*Games[[#This Row],[POMult]]</f>
        <v>74.650000000000006</v>
      </c>
      <c r="AA135" s="4">
        <f>(Games[[#This Row],[Keff]]*Games[[#This Row],[MOVMult]])*(Games[[#This Row],[Result]]-Games[[#This Row],[ExpectedWin%]])</f>
        <v>7.9391758446518663</v>
      </c>
      <c r="AB135" s="4">
        <f>Games[[#This Row],[PreGmRate]]+Games[[#This Row],[RatingChange]]</f>
        <v>1525.5843654748746</v>
      </c>
      <c r="AC135" s="2">
        <f>IF(Games[[#This Row],[Type]]="R",IF(Games[[#This Row],[Result]]&gt;0.5,1,0),0)</f>
        <v>1</v>
      </c>
      <c r="AD135" s="2">
        <f>IF(Games[[#This Row],[Type]]="R",IF(Games[[#This Row],[Result]]&lt;0.5,1,0),0)</f>
        <v>0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37425</v>
      </c>
      <c r="B136" s="2">
        <v>2002</v>
      </c>
      <c r="C136" s="2">
        <f>COUNTIFS(Games[Team],Games[[#This Row],[Team]],Games[Season],Games[[#This Row],[Season]],Games[Date],"&lt;=" &amp; Games[[#This Row],[Date]])</f>
        <v>10</v>
      </c>
      <c r="D136" s="2" t="s">
        <v>23</v>
      </c>
      <c r="E136" s="2" t="s">
        <v>29</v>
      </c>
      <c r="F136" s="1" t="s">
        <v>77</v>
      </c>
      <c r="G136" s="1" t="s">
        <v>75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6" s="2">
        <f>Games[[#This Row],[DaysOff]]-Games[[#This Row],[OppDaysOff]]</f>
        <v>-1</v>
      </c>
      <c r="L136" s="2">
        <f>Games[[#This Row],[OppDaysOff]]-Games[[#This Row],[DaysOff]]</f>
        <v>1</v>
      </c>
      <c r="M136" s="1">
        <f>MAX(-16, MIN(16, Games[[#This Row],[RestDiff]]*8))</f>
        <v>-8</v>
      </c>
      <c r="N136" s="1">
        <f>MAX(-16, MIN(16, Games[[#This Row],[OppRestDiff]]*8))</f>
        <v>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1359.6371671850848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1520.0462035131534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0.18256950725234941</v>
      </c>
      <c r="R136" s="1">
        <v>67</v>
      </c>
      <c r="S136" s="1">
        <v>75</v>
      </c>
      <c r="T136" s="1">
        <v>0</v>
      </c>
      <c r="U136" s="1">
        <f>Games[[#This Row],[PointsFor]]-Games[[#This Row],[PointsAgainst]]</f>
        <v>-8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0.34252833490532164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74.5</v>
      </c>
      <c r="Z136" s="4">
        <f>Games[[#This Row],[K]]*Games[[#This Row],[POMult]]</f>
        <v>74.5</v>
      </c>
      <c r="AA136" s="4">
        <f>(Games[[#This Row],[Keff]]*Games[[#This Row],[MOVMult]])*(Games[[#This Row],[Result]]-Games[[#This Row],[ExpectedWin%]])</f>
        <v>-4.6588745846106052</v>
      </c>
      <c r="AB136" s="4">
        <f>Games[[#This Row],[PreGmRate]]+Games[[#This Row],[RatingChange]]</f>
        <v>1354.9782926004741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37425</v>
      </c>
      <c r="B137" s="2">
        <v>2002</v>
      </c>
      <c r="C137" s="2">
        <f>COUNTIFS(Games[Team],Games[[#This Row],[Team]],Games[Season],Games[[#This Row],[Season]],Games[Date],"&lt;=" &amp; Games[[#This Row],[Date]])</f>
        <v>8</v>
      </c>
      <c r="D137" s="2" t="s">
        <v>23</v>
      </c>
      <c r="E137" s="2" t="s">
        <v>29</v>
      </c>
      <c r="F137" s="1" t="s">
        <v>75</v>
      </c>
      <c r="G137" s="1" t="s">
        <v>77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7" s="2">
        <f>Games[[#This Row],[DaysOff]]-Games[[#This Row],[OppDaysOff]]</f>
        <v>1</v>
      </c>
      <c r="L137" s="2">
        <f>Games[[#This Row],[OppDaysOff]]-Games[[#This Row],[DaysOff]]</f>
        <v>-1</v>
      </c>
      <c r="M137" s="1">
        <f>MAX(-16, MIN(16, Games[[#This Row],[RestDiff]]*8))</f>
        <v>8</v>
      </c>
      <c r="N137" s="1">
        <f>MAX(-16, MIN(16, Games[[#This Row],[OppRestDiff]]*8))</f>
        <v>-8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1520.0462035131534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1359.6371671850848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0.81743049274765045</v>
      </c>
      <c r="R137" s="1">
        <v>75</v>
      </c>
      <c r="S137" s="1">
        <v>67</v>
      </c>
      <c r="T137" s="1">
        <v>0</v>
      </c>
      <c r="U137" s="1">
        <f>Games[[#This Row],[PointsFor]]-Games[[#This Row],[PointsAgainst]]</f>
        <v>8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0.34252833490532164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74.8</v>
      </c>
      <c r="Z137" s="4">
        <f>Games[[#This Row],[K]]*Games[[#This Row],[POMult]]</f>
        <v>74.8</v>
      </c>
      <c r="AA137" s="4">
        <f>(Games[[#This Row],[Keff]]*Games[[#This Row],[MOVMult]])*(Games[[#This Row],[Result]]-Games[[#This Row],[ExpectedWin%]])</f>
        <v>4.6776351534076985</v>
      </c>
      <c r="AB137" s="4">
        <f>Games[[#This Row],[PreGmRate]]+Games[[#This Row],[RatingChange]]</f>
        <v>1524.7238386665611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37426</v>
      </c>
      <c r="B138" s="2">
        <v>2002</v>
      </c>
      <c r="C138" s="2">
        <f>COUNTIFS(Games[Team],Games[[#This Row],[Team]],Games[Season],Games[[#This Row],[Season]],Games[Date],"&lt;=" &amp; Games[[#This Row],[Date]])</f>
        <v>9</v>
      </c>
      <c r="D138" s="2" t="s">
        <v>23</v>
      </c>
      <c r="E138" s="2" t="s">
        <v>29</v>
      </c>
      <c r="F138" s="1" t="s">
        <v>75</v>
      </c>
      <c r="G138" s="1" t="s">
        <v>64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-2</v>
      </c>
      <c r="L138" s="2">
        <f>Games[[#This Row],[OppDaysOff]]-Games[[#This Row],[DaysOff]]</f>
        <v>2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1524.7238386665611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1521.2437599316004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0.34350425053056322</v>
      </c>
      <c r="R138" s="1">
        <v>64</v>
      </c>
      <c r="S138" s="1">
        <v>78</v>
      </c>
      <c r="T138" s="1">
        <v>0</v>
      </c>
      <c r="U138" s="1">
        <f>Games[[#This Row],[PointsFor]]-Games[[#This Row],[PointsAgainst]]</f>
        <v>-14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0.48619809715170459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74.650000000000006</v>
      </c>
      <c r="Z138" s="4">
        <f>Games[[#This Row],[K]]*Games[[#This Row],[POMult]]</f>
        <v>74.650000000000006</v>
      </c>
      <c r="AA138" s="4">
        <f>(Games[[#This Row],[Keff]]*Games[[#This Row],[MOVMult]])*(Games[[#This Row],[Result]]-Games[[#This Row],[ExpectedWin%]])</f>
        <v>-12.467379583321151</v>
      </c>
      <c r="AB138" s="4">
        <f>Games[[#This Row],[PreGmRate]]+Games[[#This Row],[RatingChange]]</f>
        <v>1512.2564590832399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37426</v>
      </c>
      <c r="B139" s="2">
        <v>2002</v>
      </c>
      <c r="C139" s="2">
        <f>COUNTIFS(Games[Team],Games[[#This Row],[Team]],Games[Season],Games[[#This Row],[Season]],Games[Date],"&lt;=" &amp; Games[[#This Row],[Date]])</f>
        <v>9</v>
      </c>
      <c r="D139" s="2" t="s">
        <v>23</v>
      </c>
      <c r="E139" s="2" t="s">
        <v>29</v>
      </c>
      <c r="F139" s="1" t="s">
        <v>64</v>
      </c>
      <c r="G139" s="1" t="s">
        <v>75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9" s="2">
        <f>Games[[#This Row],[DaysOff]]-Games[[#This Row],[OppDaysOff]]</f>
        <v>2</v>
      </c>
      <c r="L139" s="2">
        <f>Games[[#This Row],[OppDaysOff]]-Games[[#This Row],[DaysOff]]</f>
        <v>-2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1521.2437599316004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1524.7238386665611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0.6564957494694369</v>
      </c>
      <c r="R139" s="1">
        <v>78</v>
      </c>
      <c r="S139" s="1">
        <v>64</v>
      </c>
      <c r="T139" s="1">
        <v>0</v>
      </c>
      <c r="U139" s="1">
        <f>Games[[#This Row],[PointsFor]]-Games[[#This Row],[PointsAgainst]]</f>
        <v>14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0.48619809715170459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74.650000000000006</v>
      </c>
      <c r="Z139" s="4">
        <f>Games[[#This Row],[K]]*Games[[#This Row],[POMult]]</f>
        <v>74.650000000000006</v>
      </c>
      <c r="AA139" s="4">
        <f>(Games[[#This Row],[Keff]]*Games[[#This Row],[MOVMult]])*(Games[[#This Row],[Result]]-Games[[#This Row],[ExpectedWin%]])</f>
        <v>12.467379583321147</v>
      </c>
      <c r="AB139" s="4">
        <f>Games[[#This Row],[PreGmRate]]+Games[[#This Row],[RatingChange]]</f>
        <v>1533.7111395149216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37426</v>
      </c>
      <c r="B140" s="2">
        <v>2002</v>
      </c>
      <c r="C140" s="2">
        <f>COUNTIFS(Games[Team],Games[[#This Row],[Team]],Games[Season],Games[[#This Row],[Season]],Games[Date],"&lt;=" &amp; Games[[#This Row],[Date]])</f>
        <v>8</v>
      </c>
      <c r="D140" s="2" t="s">
        <v>23</v>
      </c>
      <c r="E140" s="2" t="s">
        <v>29</v>
      </c>
      <c r="F140" s="1" t="s">
        <v>79</v>
      </c>
      <c r="G140" s="1" t="s">
        <v>1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0" s="2">
        <f>Games[[#This Row],[DaysOff]]-Games[[#This Row],[OppDaysOff]]</f>
        <v>-3</v>
      </c>
      <c r="L140" s="2">
        <f>Games[[#This Row],[OppDaysOff]]-Games[[#This Row],[DaysOff]]</f>
        <v>3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1485.2000882652658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1514.9410300577408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0.30175548759256327</v>
      </c>
      <c r="R140" s="1">
        <v>66</v>
      </c>
      <c r="S140" s="1">
        <v>62</v>
      </c>
      <c r="T140" s="1">
        <v>0</v>
      </c>
      <c r="U140" s="1">
        <f>Games[[#This Row],[PointsFor]]-Games[[#This Row],[PointsAgainst]]</f>
        <v>4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0.30390082104603311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74.8</v>
      </c>
      <c r="Z140" s="4">
        <f>Games[[#This Row],[K]]*Games[[#This Row],[POMult]]</f>
        <v>74.8</v>
      </c>
      <c r="AA140" s="4">
        <f>(Games[[#This Row],[Keff]]*Games[[#This Row],[MOVMult]])*(Games[[#This Row],[Result]]-Games[[#This Row],[ExpectedWin%]])</f>
        <v>15.872341629740729</v>
      </c>
      <c r="AB140" s="4">
        <f>Games[[#This Row],[PreGmRate]]+Games[[#This Row],[RatingChange]]</f>
        <v>1501.0724298950065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37426</v>
      </c>
      <c r="B141" s="2">
        <v>2002</v>
      </c>
      <c r="C141" s="2">
        <f>COUNTIFS(Games[Team],Games[[#This Row],[Team]],Games[Season],Games[[#This Row],[Season]],Games[Date],"&lt;=" &amp; Games[[#This Row],[Date]])</f>
        <v>7</v>
      </c>
      <c r="D141" s="2" t="s">
        <v>23</v>
      </c>
      <c r="E141" s="2" t="s">
        <v>29</v>
      </c>
      <c r="F141" s="1" t="s">
        <v>1</v>
      </c>
      <c r="G141" s="1" t="s">
        <v>79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1" s="2">
        <f>Games[[#This Row],[DaysOff]]-Games[[#This Row],[OppDaysOff]]</f>
        <v>3</v>
      </c>
      <c r="L141" s="2">
        <f>Games[[#This Row],[OppDaysOff]]-Games[[#This Row],[DaysOff]]</f>
        <v>-3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1514.9410300577408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1485.2000882652658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0.69824451240743679</v>
      </c>
      <c r="R141" s="1">
        <v>62</v>
      </c>
      <c r="S141" s="1">
        <v>66</v>
      </c>
      <c r="T141" s="1">
        <v>0</v>
      </c>
      <c r="U141" s="1">
        <f>Games[[#This Row],[PointsFor]]-Games[[#This Row],[PointsAgainst]]</f>
        <v>-4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0.30390082104603311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74.95</v>
      </c>
      <c r="Z141" s="4">
        <f>Games[[#This Row],[K]]*Games[[#This Row],[POMult]]</f>
        <v>74.95</v>
      </c>
      <c r="AA141" s="4">
        <f>(Games[[#This Row],[Keff]]*Games[[#This Row],[MOVMult]])*(Games[[#This Row],[Result]]-Games[[#This Row],[ExpectedWin%]])</f>
        <v>-15.904171191832457</v>
      </c>
      <c r="AB141" s="4">
        <f>Games[[#This Row],[PreGmRate]]+Games[[#This Row],[RatingChange]]</f>
        <v>1499.0368588659085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37427</v>
      </c>
      <c r="B142" s="2">
        <v>2002</v>
      </c>
      <c r="C142" s="2">
        <f>COUNTIFS(Games[Team],Games[[#This Row],[Team]],Games[Season],Games[[#This Row],[Season]],Games[Date],"&lt;=" &amp; Games[[#This Row],[Date]])</f>
        <v>10</v>
      </c>
      <c r="D142" s="2" t="s">
        <v>23</v>
      </c>
      <c r="E142" s="2" t="s">
        <v>29</v>
      </c>
      <c r="F142" s="1" t="s">
        <v>85</v>
      </c>
      <c r="G142" s="1" t="s">
        <v>89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1438.3097888791101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1432.0103125101598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0.39000762459506638</v>
      </c>
      <c r="R142" s="1">
        <v>81</v>
      </c>
      <c r="S142" s="1">
        <v>72</v>
      </c>
      <c r="T142" s="1">
        <v>0</v>
      </c>
      <c r="U142" s="1">
        <f>Games[[#This Row],[PointsFor]]-Games[[#This Row],[PointsAgainst]]</f>
        <v>9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0.40385148308535807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74.5</v>
      </c>
      <c r="Z142" s="4">
        <f>Games[[#This Row],[K]]*Games[[#This Row],[POMult]]</f>
        <v>74.5</v>
      </c>
      <c r="AA142" s="4">
        <f>(Games[[#This Row],[Keff]]*Games[[#This Row],[MOVMult]])*(Games[[#This Row],[Result]]-Games[[#This Row],[ExpectedWin%]])</f>
        <v>18.352801248114201</v>
      </c>
      <c r="AB142" s="4">
        <f>Games[[#This Row],[PreGmRate]]+Games[[#This Row],[RatingChange]]</f>
        <v>1456.6625901272243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37427</v>
      </c>
      <c r="B143" s="2">
        <v>2002</v>
      </c>
      <c r="C143" s="2">
        <f>COUNTIFS(Games[Team],Games[[#This Row],[Team]],Games[Season],Games[[#This Row],[Season]],Games[Date],"&lt;=" &amp; Games[[#This Row],[Date]])</f>
        <v>10</v>
      </c>
      <c r="D143" s="2" t="s">
        <v>23</v>
      </c>
      <c r="E143" s="2" t="s">
        <v>29</v>
      </c>
      <c r="F143" s="1" t="s">
        <v>89</v>
      </c>
      <c r="G143" s="1" t="s">
        <v>85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1432.0103125101598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1438.3097888791101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0.60999237540493367</v>
      </c>
      <c r="R143" s="1">
        <v>72</v>
      </c>
      <c r="S143" s="1">
        <v>81</v>
      </c>
      <c r="T143" s="1">
        <v>0</v>
      </c>
      <c r="U143" s="1">
        <f>Games[[#This Row],[PointsFor]]-Games[[#This Row],[PointsAgainst]]</f>
        <v>-9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0.40385148308535807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74.5</v>
      </c>
      <c r="Z143" s="4">
        <f>Games[[#This Row],[K]]*Games[[#This Row],[POMult]]</f>
        <v>74.5</v>
      </c>
      <c r="AA143" s="4">
        <f>(Games[[#This Row],[Keff]]*Games[[#This Row],[MOVMult]])*(Games[[#This Row],[Result]]-Games[[#This Row],[ExpectedWin%]])</f>
        <v>-18.352801248114201</v>
      </c>
      <c r="AB143" s="4">
        <f>Games[[#This Row],[PreGmRate]]+Games[[#This Row],[RatingChange]]</f>
        <v>1413.6575112620455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37427</v>
      </c>
      <c r="B144" s="2">
        <v>2002</v>
      </c>
      <c r="C144" s="2">
        <f>COUNTIFS(Games[Team],Games[[#This Row],[Team]],Games[Season],Games[[#This Row],[Season]],Games[Date],"&lt;=" &amp; Games[[#This Row],[Date]])</f>
        <v>10</v>
      </c>
      <c r="D144" s="2" t="s">
        <v>23</v>
      </c>
      <c r="E144" s="2" t="s">
        <v>29</v>
      </c>
      <c r="F144" s="1" t="s">
        <v>87</v>
      </c>
      <c r="G144" s="1" t="s">
        <v>45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1431.549823591824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1498.5060690514608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0.29546783584356567</v>
      </c>
      <c r="R144" s="1">
        <v>64</v>
      </c>
      <c r="S144" s="1">
        <v>72</v>
      </c>
      <c r="T144" s="1">
        <v>0</v>
      </c>
      <c r="U144" s="1">
        <f>Games[[#This Row],[PointsFor]]-Games[[#This Row],[PointsAgainst]]</f>
        <v>-8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0.36779379214832714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74.5</v>
      </c>
      <c r="Z144" s="4">
        <f>Games[[#This Row],[K]]*Games[[#This Row],[POMult]]</f>
        <v>74.5</v>
      </c>
      <c r="AA144" s="4">
        <f>(Games[[#This Row],[Keff]]*Games[[#This Row],[MOVMult]])*(Games[[#This Row],[Result]]-Games[[#This Row],[ExpectedWin%]])</f>
        <v>-8.0960070673059494</v>
      </c>
      <c r="AB144" s="4">
        <f>Games[[#This Row],[PreGmRate]]+Games[[#This Row],[RatingChange]]</f>
        <v>1423.4538165245181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37427</v>
      </c>
      <c r="B145" s="2">
        <v>2002</v>
      </c>
      <c r="C145" s="2">
        <f>COUNTIFS(Games[Team],Games[[#This Row],[Team]],Games[Season],Games[[#This Row],[Season]],Games[Date],"&lt;=" &amp; Games[[#This Row],[Date]])</f>
        <v>8</v>
      </c>
      <c r="D145" s="2" t="s">
        <v>23</v>
      </c>
      <c r="E145" s="2" t="s">
        <v>29</v>
      </c>
      <c r="F145" s="1" t="s">
        <v>45</v>
      </c>
      <c r="G145" s="1" t="s">
        <v>87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1498.5060690514608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1431.549823591824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0.70453216415643438</v>
      </c>
      <c r="R145" s="1">
        <v>72</v>
      </c>
      <c r="S145" s="1">
        <v>64</v>
      </c>
      <c r="T145" s="1">
        <v>0</v>
      </c>
      <c r="U145" s="1">
        <f>Games[[#This Row],[PointsFor]]-Games[[#This Row],[PointsAgainst]]</f>
        <v>8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0.36779379214832714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74.8</v>
      </c>
      <c r="Z145" s="4">
        <f>Games[[#This Row],[K]]*Games[[#This Row],[POMult]]</f>
        <v>74.8</v>
      </c>
      <c r="AA145" s="4">
        <f>(Games[[#This Row],[Keff]]*Games[[#This Row],[MOVMult]])*(Games[[#This Row],[Result]]-Games[[#This Row],[ExpectedWin%]])</f>
        <v>8.1286084380467774</v>
      </c>
      <c r="AB145" s="4">
        <f>Games[[#This Row],[PreGmRate]]+Games[[#This Row],[RatingChange]]</f>
        <v>1506.6346774895076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37428</v>
      </c>
      <c r="B146" s="2">
        <v>2002</v>
      </c>
      <c r="C146" s="2">
        <f>COUNTIFS(Games[Team],Games[[#This Row],[Team]],Games[Season],Games[[#This Row],[Season]],Games[Date],"&lt;=" &amp; Games[[#This Row],[Date]])</f>
        <v>12</v>
      </c>
      <c r="D146" s="2" t="s">
        <v>23</v>
      </c>
      <c r="E146" s="2" t="s">
        <v>29</v>
      </c>
      <c r="F146" s="1" t="s">
        <v>66</v>
      </c>
      <c r="G146" s="1" t="s">
        <v>1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1</v>
      </c>
      <c r="L146" s="2">
        <f>Games[[#This Row],[OppDaysOff]]-Games[[#This Row],[DaysOff]]</f>
        <v>-1</v>
      </c>
      <c r="M146" s="1">
        <f>MAX(-16, MIN(16, Games[[#This Row],[RestDiff]]*8))</f>
        <v>8</v>
      </c>
      <c r="N146" s="1">
        <f>MAX(-16, MIN(16, Games[[#This Row],[OppRestDiff]]*8))</f>
        <v>-8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1557.8881566619013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1499.0368588659085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0.4868370013509084</v>
      </c>
      <c r="R146" s="1">
        <v>69</v>
      </c>
      <c r="S146" s="1">
        <v>80</v>
      </c>
      <c r="T146" s="1">
        <v>0</v>
      </c>
      <c r="U146" s="1">
        <f>Games[[#This Row],[PointsFor]]-Games[[#This Row],[PointsAgainst]]</f>
        <v>-11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0.41927363877944895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-15.145549741826219</v>
      </c>
      <c r="AB146" s="4">
        <f>Games[[#This Row],[PreGmRate]]+Games[[#This Row],[RatingChange]]</f>
        <v>1542.7426069200751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37428</v>
      </c>
      <c r="B147" s="2">
        <v>2002</v>
      </c>
      <c r="C147" s="2">
        <f>COUNTIFS(Games[Team],Games[[#This Row],[Team]],Games[Season],Games[[#This Row],[Season]],Games[Date],"&lt;=" &amp; Games[[#This Row],[Date]])</f>
        <v>8</v>
      </c>
      <c r="D147" s="2" t="s">
        <v>23</v>
      </c>
      <c r="E147" s="2" t="s">
        <v>29</v>
      </c>
      <c r="F147" s="1" t="s">
        <v>1</v>
      </c>
      <c r="G147" s="1" t="s">
        <v>66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7" s="2">
        <f>Games[[#This Row],[DaysOff]]-Games[[#This Row],[OppDaysOff]]</f>
        <v>-1</v>
      </c>
      <c r="L147" s="2">
        <f>Games[[#This Row],[OppDaysOff]]-Games[[#This Row],[DaysOff]]</f>
        <v>1</v>
      </c>
      <c r="M147" s="1">
        <f>MAX(-16, MIN(16, Games[[#This Row],[RestDiff]]*8))</f>
        <v>-8</v>
      </c>
      <c r="N147" s="1">
        <f>MAX(-16, MIN(16, Games[[#This Row],[OppRestDiff]]*8))</f>
        <v>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1499.0368588659085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1557.8881566619013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0.51316299864909154</v>
      </c>
      <c r="R147" s="1">
        <v>80</v>
      </c>
      <c r="S147" s="1">
        <v>69</v>
      </c>
      <c r="T147" s="1">
        <v>0</v>
      </c>
      <c r="U147" s="1">
        <f>Games[[#This Row],[PointsFor]]-Games[[#This Row],[PointsAgainst]]</f>
        <v>11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0.41927363877944895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74.8</v>
      </c>
      <c r="Z147" s="4">
        <f>Games[[#This Row],[K]]*Games[[#This Row],[POMult]]</f>
        <v>74.8</v>
      </c>
      <c r="AA147" s="4">
        <f>(Games[[#This Row],[Keff]]*Games[[#This Row],[MOVMult]])*(Games[[#This Row],[Result]]-Games[[#This Row],[ExpectedWin%]])</f>
        <v>15.268020494455541</v>
      </c>
      <c r="AB147" s="4">
        <f>Games[[#This Row],[PreGmRate]]+Games[[#This Row],[RatingChange]]</f>
        <v>1514.3048793603641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37428</v>
      </c>
      <c r="B148" s="2">
        <v>2002</v>
      </c>
      <c r="C148" s="2">
        <f>COUNTIFS(Games[Team],Games[[#This Row],[Team]],Games[Season],Games[[#This Row],[Season]],Games[Date],"&lt;=" &amp; Games[[#This Row],[Date]])</f>
        <v>9</v>
      </c>
      <c r="D148" s="2" t="s">
        <v>23</v>
      </c>
      <c r="E148" s="2" t="s">
        <v>29</v>
      </c>
      <c r="F148" s="1" t="s">
        <v>79</v>
      </c>
      <c r="G148" s="1" t="s">
        <v>77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8" s="2">
        <f>Games[[#This Row],[DaysOff]]-Games[[#This Row],[OppDaysOff]]</f>
        <v>-1</v>
      </c>
      <c r="L148" s="2">
        <f>Games[[#This Row],[OppDaysOff]]-Games[[#This Row],[DaysOff]]</f>
        <v>1</v>
      </c>
      <c r="M148" s="1">
        <f>MAX(-16, MIN(16, Games[[#This Row],[RestDiff]]*8))</f>
        <v>-8</v>
      </c>
      <c r="N148" s="1">
        <f>MAX(-16, MIN(16, Games[[#This Row],[OppRestDiff]]*8))</f>
        <v>8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1501.0724298950065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1354.9782926004741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0.56594832546825402</v>
      </c>
      <c r="R148" s="1">
        <v>80</v>
      </c>
      <c r="S148" s="1">
        <v>59</v>
      </c>
      <c r="T148" s="1">
        <v>0</v>
      </c>
      <c r="U148" s="1">
        <f>Games[[#This Row],[PointsFor]]-Games[[#This Row],[PointsAgainst]]</f>
        <v>21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0.52469699388516411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74.650000000000006</v>
      </c>
      <c r="Z148" s="4">
        <f>Games[[#This Row],[K]]*Games[[#This Row],[POMult]]</f>
        <v>74.650000000000006</v>
      </c>
      <c r="AA148" s="4">
        <f>(Games[[#This Row],[Keff]]*Games[[#This Row],[MOVMult]])*(Games[[#This Row],[Result]]-Games[[#This Row],[ExpectedWin%]])</f>
        <v>17.001209698235989</v>
      </c>
      <c r="AB148" s="4">
        <f>Games[[#This Row],[PreGmRate]]+Games[[#This Row],[RatingChange]]</f>
        <v>1518.0736395932424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37428</v>
      </c>
      <c r="B149" s="2">
        <v>2002</v>
      </c>
      <c r="C149" s="2">
        <f>COUNTIFS(Games[Team],Games[[#This Row],[Team]],Games[Season],Games[[#This Row],[Season]],Games[Date],"&lt;=" &amp; Games[[#This Row],[Date]])</f>
        <v>11</v>
      </c>
      <c r="D149" s="2" t="s">
        <v>23</v>
      </c>
      <c r="E149" s="2" t="s">
        <v>29</v>
      </c>
      <c r="F149" s="1" t="s">
        <v>77</v>
      </c>
      <c r="G149" s="1" t="s">
        <v>79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1</v>
      </c>
      <c r="L149" s="2">
        <f>Games[[#This Row],[OppDaysOff]]-Games[[#This Row],[DaysOff]]</f>
        <v>-1</v>
      </c>
      <c r="M149" s="1">
        <f>MAX(-16, MIN(16, Games[[#This Row],[RestDiff]]*8))</f>
        <v>8</v>
      </c>
      <c r="N149" s="1">
        <f>MAX(-16, MIN(16, Games[[#This Row],[OppRestDiff]]*8))</f>
        <v>-8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1354.9782926004741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1501.0724298950065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0.43405167453174603</v>
      </c>
      <c r="R149" s="1">
        <v>59</v>
      </c>
      <c r="S149" s="1">
        <v>80</v>
      </c>
      <c r="T149" s="1">
        <v>0</v>
      </c>
      <c r="U149" s="1">
        <f>Games[[#This Row],[PointsFor]]-Games[[#This Row],[PointsAgainst]]</f>
        <v>-21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0.52469699388516411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74.349999999999994</v>
      </c>
      <c r="Z149" s="4">
        <f>Games[[#This Row],[K]]*Games[[#This Row],[POMult]]</f>
        <v>74.349999999999994</v>
      </c>
      <c r="AA149" s="4">
        <f>(Games[[#This Row],[Keff]]*Games[[#This Row],[MOVMult]])*(Games[[#This Row],[Result]]-Games[[#This Row],[ExpectedWin%]])</f>
        <v>-16.9328860155907</v>
      </c>
      <c r="AB149" s="4">
        <f>Games[[#This Row],[PreGmRate]]+Games[[#This Row],[RatingChange]]</f>
        <v>1338.0454065848835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37428</v>
      </c>
      <c r="B150" s="2">
        <v>2002</v>
      </c>
      <c r="C150" s="2">
        <f>COUNTIFS(Games[Team],Games[[#This Row],[Team]],Games[Season],Games[[#This Row],[Season]],Games[Date],"&lt;=" &amp; Games[[#This Row],[Date]])</f>
        <v>8</v>
      </c>
      <c r="D150" s="2" t="s">
        <v>23</v>
      </c>
      <c r="E150" s="2" t="s">
        <v>29</v>
      </c>
      <c r="F150" s="1" t="s">
        <v>44</v>
      </c>
      <c r="G150" s="1" t="s">
        <v>2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1502.0482047044682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1572.5036493084026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0.29129207903449278</v>
      </c>
      <c r="R150" s="1">
        <v>59</v>
      </c>
      <c r="S150" s="1">
        <v>61</v>
      </c>
      <c r="T150" s="1">
        <v>0</v>
      </c>
      <c r="U150" s="1">
        <f>Games[[#This Row],[PointsFor]]-Games[[#This Row],[PointsAgainst]]</f>
        <v>-2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0.25298768747596934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74.8</v>
      </c>
      <c r="Z150" s="4">
        <f>Games[[#This Row],[K]]*Games[[#This Row],[POMult]]</f>
        <v>74.8</v>
      </c>
      <c r="AA150" s="4">
        <f>(Games[[#This Row],[Keff]]*Games[[#This Row],[MOVMult]])*(Games[[#This Row],[Result]]-Games[[#This Row],[ExpectedWin%]])</f>
        <v>-5.5122595472342706</v>
      </c>
      <c r="AB150" s="4">
        <f>Games[[#This Row],[PreGmRate]]+Games[[#This Row],[RatingChange]]</f>
        <v>1496.535945157234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37428</v>
      </c>
      <c r="B151" s="2">
        <v>2002</v>
      </c>
      <c r="C151" s="2">
        <f>COUNTIFS(Games[Team],Games[[#This Row],[Team]],Games[Season],Games[[#This Row],[Season]],Games[Date],"&lt;=" &amp; Games[[#This Row],[Date]])</f>
        <v>11</v>
      </c>
      <c r="D151" s="2" t="s">
        <v>23</v>
      </c>
      <c r="E151" s="2" t="s">
        <v>29</v>
      </c>
      <c r="F151" s="1" t="s">
        <v>2</v>
      </c>
      <c r="G151" s="1" t="s">
        <v>44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1572.5036493084026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1502.0482047044682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0.70870792096550728</v>
      </c>
      <c r="R151" s="1">
        <v>61</v>
      </c>
      <c r="S151" s="1">
        <v>59</v>
      </c>
      <c r="T151" s="1">
        <v>0</v>
      </c>
      <c r="U151" s="1">
        <f>Games[[#This Row],[PointsFor]]-Games[[#This Row],[PointsAgainst]]</f>
        <v>2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0.25298768747596934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74.349999999999994</v>
      </c>
      <c r="Z151" s="4">
        <f>Games[[#This Row],[K]]*Games[[#This Row],[POMult]]</f>
        <v>74.349999999999994</v>
      </c>
      <c r="AA151" s="4">
        <f>(Games[[#This Row],[Keff]]*Games[[#This Row],[MOVMult]])*(Games[[#This Row],[Result]]-Games[[#This Row],[ExpectedWin%]])</f>
        <v>5.479097557979518</v>
      </c>
      <c r="AB151" s="4">
        <f>Games[[#This Row],[PreGmRate]]+Games[[#This Row],[RatingChange]]</f>
        <v>1577.9827468663821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37428</v>
      </c>
      <c r="B152" s="2">
        <v>2002</v>
      </c>
      <c r="C152" s="2">
        <f>COUNTIFS(Games[Team],Games[[#This Row],[Team]],Games[Season],Games[[#This Row],[Season]],Games[Date],"&lt;=" &amp; Games[[#This Row],[Date]])</f>
        <v>10</v>
      </c>
      <c r="D152" s="2" t="s">
        <v>23</v>
      </c>
      <c r="E152" s="2" t="s">
        <v>29</v>
      </c>
      <c r="F152" s="1" t="s">
        <v>80</v>
      </c>
      <c r="G152" s="1" t="s">
        <v>71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1477.84183981507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1682.0890754464356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0.15985807176412212</v>
      </c>
      <c r="R152" s="1">
        <v>64</v>
      </c>
      <c r="S152" s="1">
        <v>73</v>
      </c>
      <c r="T152" s="1">
        <v>0</v>
      </c>
      <c r="U152" s="1">
        <f>Games[[#This Row],[PointsFor]]-Games[[#This Row],[PointsAgainst]]</f>
        <v>-9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0.34692312024218164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74.5</v>
      </c>
      <c r="Z152" s="4">
        <f>Games[[#This Row],[K]]*Games[[#This Row],[POMult]]</f>
        <v>74.5</v>
      </c>
      <c r="AA152" s="4">
        <f>(Games[[#This Row],[Keff]]*Games[[#This Row],[MOVMult]])*(Games[[#This Row],[Result]]-Games[[#This Row],[ExpectedWin%]])</f>
        <v>-4.1316553483969338</v>
      </c>
      <c r="AB152" s="4">
        <f>Games[[#This Row],[PreGmRate]]+Games[[#This Row],[RatingChange]]</f>
        <v>1473.7101844666731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37428</v>
      </c>
      <c r="B153" s="2">
        <v>2002</v>
      </c>
      <c r="C153" s="2">
        <f>COUNTIFS(Games[Team],Games[[#This Row],[Team]],Games[Season],Games[[#This Row],[Season]],Games[Date],"&lt;=" &amp; Games[[#This Row],[Date]])</f>
        <v>10</v>
      </c>
      <c r="D153" s="2" t="s">
        <v>23</v>
      </c>
      <c r="E153" s="2" t="s">
        <v>29</v>
      </c>
      <c r="F153" s="1" t="s">
        <v>71</v>
      </c>
      <c r="G153" s="1" t="s">
        <v>80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1682.0890754464356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1477.84183981507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0.84014192823587797</v>
      </c>
      <c r="R153" s="1">
        <v>73</v>
      </c>
      <c r="S153" s="1">
        <v>64</v>
      </c>
      <c r="T153" s="1">
        <v>0</v>
      </c>
      <c r="U153" s="1">
        <f>Games[[#This Row],[PointsFor]]-Games[[#This Row],[PointsAgainst]]</f>
        <v>9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0.34692312024218164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74.5</v>
      </c>
      <c r="Z153" s="4">
        <f>Games[[#This Row],[K]]*Games[[#This Row],[POMult]]</f>
        <v>74.5</v>
      </c>
      <c r="AA153" s="4">
        <f>(Games[[#This Row],[Keff]]*Games[[#This Row],[MOVMult]])*(Games[[#This Row],[Result]]-Games[[#This Row],[ExpectedWin%]])</f>
        <v>4.131655348396932</v>
      </c>
      <c r="AB153" s="4">
        <f>Games[[#This Row],[PreGmRate]]+Games[[#This Row],[RatingChange]]</f>
        <v>1686.2207307948324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37428</v>
      </c>
      <c r="B154" s="2">
        <v>2002</v>
      </c>
      <c r="C154" s="2">
        <f>COUNTIFS(Games[Team],Games[[#This Row],[Team]],Games[Season],Games[[#This Row],[Season]],Games[Date],"&lt;=" &amp; Games[[#This Row],[Date]])</f>
        <v>10</v>
      </c>
      <c r="D154" s="2" t="s">
        <v>23</v>
      </c>
      <c r="E154" s="2" t="s">
        <v>29</v>
      </c>
      <c r="F154" s="1" t="s">
        <v>75</v>
      </c>
      <c r="G154" s="1" t="s">
        <v>83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4" s="2">
        <f>Games[[#This Row],[DaysOff]]-Games[[#This Row],[OppDaysOff]]</f>
        <v>-1</v>
      </c>
      <c r="L154" s="2">
        <f>Games[[#This Row],[OppDaysOff]]-Games[[#This Row],[DaysOff]]</f>
        <v>1</v>
      </c>
      <c r="M154" s="1">
        <f>MAX(-16, MIN(16, Games[[#This Row],[RestDiff]]*8))</f>
        <v>-8</v>
      </c>
      <c r="N154" s="1">
        <f>MAX(-16, MIN(16, Games[[#This Row],[OppRestDiff]]*8))</f>
        <v>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1512.2564590832399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1479.415788185082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0.40453600654048527</v>
      </c>
      <c r="R154" s="1">
        <v>65</v>
      </c>
      <c r="S154" s="1">
        <v>60</v>
      </c>
      <c r="T154" s="1">
        <v>0</v>
      </c>
      <c r="U154" s="1">
        <f>Games[[#This Row],[PointsFor]]-Games[[#This Row],[PointsAgainst]]</f>
        <v>5</v>
      </c>
      <c r="V154" s="1">
        <f>IF(Games[[#This Row],[MOV]]&gt;0,1,IF(Games[[#This Row],[MOV]]=0,0.5,0))</f>
        <v>1</v>
      </c>
      <c r="W154" s="4">
        <f>((ABS(Games[[#This Row],[MOV]])+5)^0.6)/(12+0.01*(ABS(Games[[#This Row],[PreGmRate]]-Games[[#This Row],[OppPreGmRate]])))*IF(Games[[#This Row],[OT]]=1,0.9,1)</f>
        <v>0.32291858952338537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74.5</v>
      </c>
      <c r="Z154" s="4">
        <f>Games[[#This Row],[K]]*Games[[#This Row],[POMult]]</f>
        <v>74.5</v>
      </c>
      <c r="AA154" s="4">
        <f>(Games[[#This Row],[Keff]]*Games[[#This Row],[MOVMult]])*(Games[[#This Row],[Result]]-Games[[#This Row],[ExpectedWin%]])</f>
        <v>14.32533626955321</v>
      </c>
      <c r="AB154" s="4">
        <f>Games[[#This Row],[PreGmRate]]+Games[[#This Row],[RatingChange]]</f>
        <v>1526.5817953527931</v>
      </c>
      <c r="AC154" s="2">
        <f>IF(Games[[#This Row],[Type]]="R",IF(Games[[#This Row],[Result]]&gt;0.5,1,0),0)</f>
        <v>1</v>
      </c>
      <c r="AD154" s="2">
        <f>IF(Games[[#This Row],[Type]]="R",IF(Games[[#This Row],[Result]]&lt;0.5,1,0),0)</f>
        <v>0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37428</v>
      </c>
      <c r="B155" s="2">
        <v>2002</v>
      </c>
      <c r="C155" s="2">
        <f>COUNTIFS(Games[Team],Games[[#This Row],[Team]],Games[Season],Games[[#This Row],[Season]],Games[Date],"&lt;=" &amp; Games[[#This Row],[Date]])</f>
        <v>9</v>
      </c>
      <c r="D155" s="2" t="s">
        <v>23</v>
      </c>
      <c r="E155" s="2" t="s">
        <v>29</v>
      </c>
      <c r="F155" s="1" t="s">
        <v>83</v>
      </c>
      <c r="G155" s="1" t="s">
        <v>75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1</v>
      </c>
      <c r="L155" s="2">
        <f>Games[[#This Row],[OppDaysOff]]-Games[[#This Row],[DaysOff]]</f>
        <v>-1</v>
      </c>
      <c r="M155" s="1">
        <f>MAX(-16, MIN(16, Games[[#This Row],[RestDiff]]*8))</f>
        <v>8</v>
      </c>
      <c r="N155" s="1">
        <f>MAX(-16, MIN(16, Games[[#This Row],[OppRestDiff]]*8))</f>
        <v>-8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1479.415788185082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1512.2564590832399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0.59546399345951473</v>
      </c>
      <c r="R155" s="1">
        <v>60</v>
      </c>
      <c r="S155" s="1">
        <v>65</v>
      </c>
      <c r="T155" s="1">
        <v>0</v>
      </c>
      <c r="U155" s="1">
        <f>Games[[#This Row],[PointsFor]]-Games[[#This Row],[PointsAgainst]]</f>
        <v>-5</v>
      </c>
      <c r="V155" s="1">
        <f>IF(Games[[#This Row],[MOV]]&gt;0,1,IF(Games[[#This Row],[MOV]]=0,0.5,0))</f>
        <v>0</v>
      </c>
      <c r="W155" s="4">
        <f>((ABS(Games[[#This Row],[MOV]])+5)^0.6)/(12+0.01*(ABS(Games[[#This Row],[PreGmRate]]-Games[[#This Row],[OppPreGmRate]])))*IF(Games[[#This Row],[OT]]=1,0.9,1)</f>
        <v>0.32291858952338537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74.650000000000006</v>
      </c>
      <c r="Z155" s="4">
        <f>Games[[#This Row],[K]]*Games[[#This Row],[POMult]]</f>
        <v>74.650000000000006</v>
      </c>
      <c r="AA155" s="4">
        <f>(Games[[#This Row],[Keff]]*Games[[#This Row],[MOVMult]])*(Games[[#This Row],[Result]]-Games[[#This Row],[ExpectedWin%]])</f>
        <v>-14.354179228485199</v>
      </c>
      <c r="AB155" s="4">
        <f>Games[[#This Row],[PreGmRate]]+Games[[#This Row],[RatingChange]]</f>
        <v>1465.0616089565967</v>
      </c>
      <c r="AC155" s="2">
        <f>IF(Games[[#This Row],[Type]]="R",IF(Games[[#This Row],[Result]]&gt;0.5,1,0),0)</f>
        <v>0</v>
      </c>
      <c r="AD155" s="2">
        <f>IF(Games[[#This Row],[Type]]="R",IF(Games[[#This Row],[Result]]&lt;0.5,1,0),0)</f>
        <v>1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37428</v>
      </c>
      <c r="B156" s="2">
        <v>2002</v>
      </c>
      <c r="C156" s="2">
        <f>COUNTIFS(Games[Team],Games[[#This Row],[Team]],Games[Season],Games[[#This Row],[Season]],Games[Date],"&lt;=" &amp; Games[[#This Row],[Date]])</f>
        <v>11</v>
      </c>
      <c r="D156" s="2" t="s">
        <v>23</v>
      </c>
      <c r="E156" s="2" t="s">
        <v>29</v>
      </c>
      <c r="F156" s="1" t="s">
        <v>85</v>
      </c>
      <c r="G156" s="1" t="s">
        <v>87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1456.6625901272243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1423.4538165245181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0.42742184170875341</v>
      </c>
      <c r="R156" s="1">
        <v>51</v>
      </c>
      <c r="S156" s="1">
        <v>63</v>
      </c>
      <c r="T156" s="1">
        <v>0</v>
      </c>
      <c r="U156" s="1">
        <f>Games[[#This Row],[PointsFor]]-Games[[#This Row],[PointsAgainst]]</f>
        <v>-12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0.4438464462856524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74.349999999999994</v>
      </c>
      <c r="Z156" s="4">
        <f>Games[[#This Row],[K]]*Games[[#This Row],[POMult]]</f>
        <v>74.349999999999994</v>
      </c>
      <c r="AA156" s="4">
        <f>(Games[[#This Row],[Keff]]*Games[[#This Row],[MOVMult]])*(Games[[#This Row],[Result]]-Games[[#This Row],[ExpectedWin%]])</f>
        <v>-14.104913630467667</v>
      </c>
      <c r="AB156" s="4">
        <f>Games[[#This Row],[PreGmRate]]+Games[[#This Row],[RatingChange]]</f>
        <v>1442.5576764967566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37428</v>
      </c>
      <c r="B157" s="2">
        <v>2002</v>
      </c>
      <c r="C157" s="2">
        <f>COUNTIFS(Games[Team],Games[[#This Row],[Team]],Games[Season],Games[[#This Row],[Season]],Games[Date],"&lt;=" &amp; Games[[#This Row],[Date]])</f>
        <v>11</v>
      </c>
      <c r="D157" s="2" t="s">
        <v>23</v>
      </c>
      <c r="E157" s="2" t="s">
        <v>29</v>
      </c>
      <c r="F157" s="1" t="s">
        <v>87</v>
      </c>
      <c r="G157" s="1" t="s">
        <v>85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1423.4538165245181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1456.6625901272243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0.57257815829124659</v>
      </c>
      <c r="R157" s="1">
        <v>63</v>
      </c>
      <c r="S157" s="1">
        <v>51</v>
      </c>
      <c r="T157" s="1">
        <v>0</v>
      </c>
      <c r="U157" s="1">
        <f>Games[[#This Row],[PointsFor]]-Games[[#This Row],[PointsAgainst]]</f>
        <v>12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0.4438464462856524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74.349999999999994</v>
      </c>
      <c r="Z157" s="4">
        <f>Games[[#This Row],[K]]*Games[[#This Row],[POMult]]</f>
        <v>74.349999999999994</v>
      </c>
      <c r="AA157" s="4">
        <f>(Games[[#This Row],[Keff]]*Games[[#This Row],[MOVMult]])*(Games[[#This Row],[Result]]-Games[[#This Row],[ExpectedWin%]])</f>
        <v>14.104913630467667</v>
      </c>
      <c r="AB157" s="4">
        <f>Games[[#This Row],[PreGmRate]]+Games[[#This Row],[RatingChange]]</f>
        <v>1437.5587301549858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37429</v>
      </c>
      <c r="B158" s="2">
        <v>2002</v>
      </c>
      <c r="C158" s="2">
        <f>COUNTIFS(Games[Team],Games[[#This Row],[Team]],Games[Season],Games[[#This Row],[Season]],Games[Date],"&lt;=" &amp; Games[[#This Row],[Date]])</f>
        <v>10</v>
      </c>
      <c r="D158" s="2" t="s">
        <v>23</v>
      </c>
      <c r="E158" s="2" t="s">
        <v>29</v>
      </c>
      <c r="F158" s="1" t="s">
        <v>83</v>
      </c>
      <c r="G158" s="1" t="s">
        <v>64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-2</v>
      </c>
      <c r="L158" s="2">
        <f>Games[[#This Row],[OppDaysOff]]-Games[[#This Row],[DaysOff]]</f>
        <v>2</v>
      </c>
      <c r="M158" s="1">
        <f>MAX(-16, MIN(16, Games[[#This Row],[RestDiff]]*8))</f>
        <v>-16</v>
      </c>
      <c r="N158" s="1">
        <f>MAX(-16, MIN(16, Games[[#This Row],[OppRestDiff]]*8))</f>
        <v>16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1465.0616089565967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1533.7111395149216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0.25675028087043711</v>
      </c>
      <c r="R158" s="1">
        <v>63</v>
      </c>
      <c r="S158" s="1">
        <v>76</v>
      </c>
      <c r="T158" s="1">
        <v>0</v>
      </c>
      <c r="U158" s="1">
        <f>Games[[#This Row],[PointsFor]]-Games[[#This Row],[PointsAgainst]]</f>
        <v>-13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0.44650038732734076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74.5</v>
      </c>
      <c r="Z158" s="4">
        <f>Games[[#This Row],[K]]*Games[[#This Row],[POMult]]</f>
        <v>74.5</v>
      </c>
      <c r="AA158" s="4">
        <f>(Games[[#This Row],[Keff]]*Games[[#This Row],[MOVMult]])*(Games[[#This Row],[Result]]-Games[[#This Row],[ExpectedWin%]])</f>
        <v>-8.5406129392015</v>
      </c>
      <c r="AB158" s="4">
        <f>Games[[#This Row],[PreGmRate]]+Games[[#This Row],[RatingChange]]</f>
        <v>1456.5209960173952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37429</v>
      </c>
      <c r="B159" s="2">
        <v>2002</v>
      </c>
      <c r="C159" s="2">
        <f>COUNTIFS(Games[Team],Games[[#This Row],[Team]],Games[Season],Games[[#This Row],[Season]],Games[Date],"&lt;=" &amp; Games[[#This Row],[Date]])</f>
        <v>10</v>
      </c>
      <c r="D159" s="2" t="s">
        <v>23</v>
      </c>
      <c r="E159" s="2" t="s">
        <v>29</v>
      </c>
      <c r="F159" s="1" t="s">
        <v>64</v>
      </c>
      <c r="G159" s="1" t="s">
        <v>83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9" s="2">
        <f>Games[[#This Row],[DaysOff]]-Games[[#This Row],[OppDaysOff]]</f>
        <v>2</v>
      </c>
      <c r="L159" s="2">
        <f>Games[[#This Row],[OppDaysOff]]-Games[[#This Row],[DaysOff]]</f>
        <v>-2</v>
      </c>
      <c r="M159" s="1">
        <f>MAX(-16, MIN(16, Games[[#This Row],[RestDiff]]*8))</f>
        <v>16</v>
      </c>
      <c r="N159" s="1">
        <f>MAX(-16, MIN(16, Games[[#This Row],[OppRestDiff]]*8))</f>
        <v>-16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1533.7111395149216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1465.0616089565967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0.74324971912956284</v>
      </c>
      <c r="R159" s="1">
        <v>76</v>
      </c>
      <c r="S159" s="1">
        <v>63</v>
      </c>
      <c r="T159" s="1">
        <v>0</v>
      </c>
      <c r="U159" s="1">
        <f>Games[[#This Row],[PointsFor]]-Games[[#This Row],[PointsAgainst]]</f>
        <v>13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0.44650038732734076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74.5</v>
      </c>
      <c r="Z159" s="4">
        <f>Games[[#This Row],[K]]*Games[[#This Row],[POMult]]</f>
        <v>74.5</v>
      </c>
      <c r="AA159" s="4">
        <f>(Games[[#This Row],[Keff]]*Games[[#This Row],[MOVMult]])*(Games[[#This Row],[Result]]-Games[[#This Row],[ExpectedWin%]])</f>
        <v>8.5406129392015018</v>
      </c>
      <c r="AB159" s="4">
        <f>Games[[#This Row],[PreGmRate]]+Games[[#This Row],[RatingChange]]</f>
        <v>1542.2517524541231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37429</v>
      </c>
      <c r="B160" s="2">
        <v>2002</v>
      </c>
      <c r="C160" s="2">
        <f>COUNTIFS(Games[Team],Games[[#This Row],[Team]],Games[Season],Games[[#This Row],[Season]],Games[Date],"&lt;=" &amp; Games[[#This Row],[Date]])</f>
        <v>10</v>
      </c>
      <c r="D160" s="2" t="s">
        <v>23</v>
      </c>
      <c r="E160" s="2" t="s">
        <v>29</v>
      </c>
      <c r="F160" s="1" t="s">
        <v>43</v>
      </c>
      <c r="G160" s="1" t="s">
        <v>45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2</v>
      </c>
      <c r="L160" s="2">
        <f>Games[[#This Row],[OppDaysOff]]-Games[[#This Row],[DaysOff]]</f>
        <v>-2</v>
      </c>
      <c r="M160" s="1">
        <f>MAX(-16, MIN(16, Games[[#This Row],[RestDiff]]*8))</f>
        <v>16</v>
      </c>
      <c r="N160" s="1">
        <f>MAX(-16, MIN(16, Games[[#This Row],[OppRestDiff]]*8))</f>
        <v>-16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1525.5843654748746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1506.6346774895076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0.45257972742150354</v>
      </c>
      <c r="R160" s="1">
        <v>77</v>
      </c>
      <c r="S160" s="1">
        <v>61</v>
      </c>
      <c r="T160" s="1">
        <v>0</v>
      </c>
      <c r="U160" s="1">
        <f>Games[[#This Row],[PointsFor]]-Games[[#This Row],[PointsAgainst]]</f>
        <v>16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0.50973657474165845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74.5</v>
      </c>
      <c r="Z160" s="4">
        <f>Games[[#This Row],[K]]*Games[[#This Row],[POMult]]</f>
        <v>74.5</v>
      </c>
      <c r="AA160" s="4">
        <f>(Games[[#This Row],[Keff]]*Games[[#This Row],[MOVMult]])*(Games[[#This Row],[Result]]-Games[[#This Row],[ExpectedWin%]])</f>
        <v>20.788490034278933</v>
      </c>
      <c r="AB160" s="4">
        <f>Games[[#This Row],[PreGmRate]]+Games[[#This Row],[RatingChange]]</f>
        <v>1546.3728555091536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37429</v>
      </c>
      <c r="B161" s="2">
        <v>2002</v>
      </c>
      <c r="C161" s="2">
        <f>COUNTIFS(Games[Team],Games[[#This Row],[Team]],Games[Season],Games[[#This Row],[Season]],Games[Date],"&lt;=" &amp; Games[[#This Row],[Date]])</f>
        <v>9</v>
      </c>
      <c r="D161" s="2" t="s">
        <v>23</v>
      </c>
      <c r="E161" s="2" t="s">
        <v>29</v>
      </c>
      <c r="F161" s="1" t="s">
        <v>45</v>
      </c>
      <c r="G161" s="1" t="s">
        <v>43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1" s="2">
        <f>Games[[#This Row],[DaysOff]]-Games[[#This Row],[OppDaysOff]]</f>
        <v>-2</v>
      </c>
      <c r="L161" s="2">
        <f>Games[[#This Row],[OppDaysOff]]-Games[[#This Row],[DaysOff]]</f>
        <v>2</v>
      </c>
      <c r="M161" s="1">
        <f>MAX(-16, MIN(16, Games[[#This Row],[RestDiff]]*8))</f>
        <v>-16</v>
      </c>
      <c r="N161" s="1">
        <f>MAX(-16, MIN(16, Games[[#This Row],[OppRestDiff]]*8))</f>
        <v>16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1506.6346774895076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1525.5843654748746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0.54742027257849646</v>
      </c>
      <c r="R161" s="1">
        <v>61</v>
      </c>
      <c r="S161" s="1">
        <v>77</v>
      </c>
      <c r="T161" s="1">
        <v>0</v>
      </c>
      <c r="U161" s="1">
        <f>Games[[#This Row],[PointsFor]]-Games[[#This Row],[PointsAgainst]]</f>
        <v>-16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0.50973657474165845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74.650000000000006</v>
      </c>
      <c r="Z161" s="4">
        <f>Games[[#This Row],[K]]*Games[[#This Row],[POMult]]</f>
        <v>74.650000000000006</v>
      </c>
      <c r="AA161" s="4">
        <f>(Games[[#This Row],[Keff]]*Games[[#This Row],[MOVMult]])*(Games[[#This Row],[Result]]-Games[[#This Row],[ExpectedWin%]])</f>
        <v>-20.830346054482181</v>
      </c>
      <c r="AB161" s="4">
        <f>Games[[#This Row],[PreGmRate]]+Games[[#This Row],[RatingChange]]</f>
        <v>1485.8043314350255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37430</v>
      </c>
      <c r="B162" s="2">
        <v>2002</v>
      </c>
      <c r="C162" s="2">
        <f>COUNTIFS(Games[Team],Games[[#This Row],[Team]],Games[Season],Games[[#This Row],[Season]],Games[Date],"&lt;=" &amp; Games[[#This Row],[Date]])</f>
        <v>13</v>
      </c>
      <c r="D162" s="2" t="s">
        <v>23</v>
      </c>
      <c r="E162" s="2" t="s">
        <v>29</v>
      </c>
      <c r="F162" s="1" t="s">
        <v>66</v>
      </c>
      <c r="G162" s="1" t="s">
        <v>79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0</v>
      </c>
      <c r="L162" s="2">
        <f>Games[[#This Row],[OppDaysOff]]-Games[[#This Row],[DaysOff]]</f>
        <v>0</v>
      </c>
      <c r="M162" s="1">
        <f>MAX(-16, MIN(16, Games[[#This Row],[RestDiff]]*8))</f>
        <v>0</v>
      </c>
      <c r="N162" s="1">
        <f>MAX(-16, MIN(16, Games[[#This Row],[OppRestDiff]]*8))</f>
        <v>0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1542.7426069200751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1518.0736395932424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0.41543619928336833</v>
      </c>
      <c r="R162" s="1">
        <v>65</v>
      </c>
      <c r="S162" s="1">
        <v>77</v>
      </c>
      <c r="T162" s="1">
        <v>0</v>
      </c>
      <c r="U162" s="1">
        <f>Games[[#This Row],[PointsFor]]-Games[[#This Row],[PointsAgainst]]</f>
        <v>-12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0.44694145625866405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-13.749282614874732</v>
      </c>
      <c r="AB162" s="4">
        <f>Games[[#This Row],[PreGmRate]]+Games[[#This Row],[RatingChange]]</f>
        <v>1528.9933243052003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37430</v>
      </c>
      <c r="B163" s="2">
        <v>2002</v>
      </c>
      <c r="C163" s="2">
        <f>COUNTIFS(Games[Team],Games[[#This Row],[Team]],Games[Season],Games[[#This Row],[Season]],Games[Date],"&lt;=" &amp; Games[[#This Row],[Date]])</f>
        <v>10</v>
      </c>
      <c r="D163" s="2" t="s">
        <v>23</v>
      </c>
      <c r="E163" s="2" t="s">
        <v>29</v>
      </c>
      <c r="F163" s="1" t="s">
        <v>79</v>
      </c>
      <c r="G163" s="1" t="s">
        <v>66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3" s="2">
        <f>Games[[#This Row],[DaysOff]]-Games[[#This Row],[OppDaysOff]]</f>
        <v>0</v>
      </c>
      <c r="L163" s="2">
        <f>Games[[#This Row],[OppDaysOff]]-Games[[#This Row],[DaysOff]]</f>
        <v>0</v>
      </c>
      <c r="M163" s="1">
        <f>MAX(-16, MIN(16, Games[[#This Row],[RestDiff]]*8))</f>
        <v>0</v>
      </c>
      <c r="N163" s="1">
        <f>MAX(-16, MIN(16, Games[[#This Row],[OppRestDiff]]*8))</f>
        <v>0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1518.0736395932424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1542.7426069200751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0.58456380071663161</v>
      </c>
      <c r="R163" s="1">
        <v>77</v>
      </c>
      <c r="S163" s="1">
        <v>65</v>
      </c>
      <c r="T163" s="1">
        <v>0</v>
      </c>
      <c r="U163" s="1">
        <f>Games[[#This Row],[PointsFor]]-Games[[#This Row],[PointsAgainst]]</f>
        <v>12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0.44694145625866405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74.5</v>
      </c>
      <c r="Z163" s="4">
        <f>Games[[#This Row],[K]]*Games[[#This Row],[POMult]]</f>
        <v>74.5</v>
      </c>
      <c r="AA163" s="4">
        <f>(Games[[#This Row],[Keff]]*Games[[#This Row],[MOVMult]])*(Games[[#This Row],[Result]]-Games[[#This Row],[ExpectedWin%]])</f>
        <v>13.832836661825358</v>
      </c>
      <c r="AB163" s="4">
        <f>Games[[#This Row],[PreGmRate]]+Games[[#This Row],[RatingChange]]</f>
        <v>1531.9064762550679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37430</v>
      </c>
      <c r="B164" s="2">
        <v>2002</v>
      </c>
      <c r="C164" s="2">
        <f>COUNTIFS(Games[Team],Games[[#This Row],[Team]],Games[Season],Games[[#This Row],[Season]],Games[Date],"&lt;=" &amp; Games[[#This Row],[Date]])</f>
        <v>11</v>
      </c>
      <c r="D164" s="2" t="s">
        <v>23</v>
      </c>
      <c r="E164" s="2" t="s">
        <v>29</v>
      </c>
      <c r="F164" s="1" t="s">
        <v>80</v>
      </c>
      <c r="G164" s="1" t="s">
        <v>44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1473.7101844666731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1496.535945157234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0.3509334817035753</v>
      </c>
      <c r="R164" s="1">
        <v>61</v>
      </c>
      <c r="S164" s="1">
        <v>70</v>
      </c>
      <c r="T164" s="1">
        <v>0</v>
      </c>
      <c r="U164" s="1">
        <f>Games[[#This Row],[PointsFor]]-Games[[#This Row],[PointsAgainst]]</f>
        <v>-9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0.39839349827041298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74.349999999999994</v>
      </c>
      <c r="Z164" s="4">
        <f>Games[[#This Row],[K]]*Games[[#This Row],[POMult]]</f>
        <v>74.349999999999994</v>
      </c>
      <c r="AA164" s="4">
        <f>(Games[[#This Row],[Keff]]*Games[[#This Row],[MOVMult]])*(Games[[#This Row],[Result]]-Games[[#This Row],[ExpectedWin%]])</f>
        <v>-10.394845056374281</v>
      </c>
      <c r="AB164" s="4">
        <f>Games[[#This Row],[PreGmRate]]+Games[[#This Row],[RatingChange]]</f>
        <v>1463.3153394102987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37430</v>
      </c>
      <c r="B165" s="2">
        <v>2002</v>
      </c>
      <c r="C165" s="2">
        <f>COUNTIFS(Games[Team],Games[[#This Row],[Team]],Games[Season],Games[[#This Row],[Season]],Games[Date],"&lt;=" &amp; Games[[#This Row],[Date]])</f>
        <v>9</v>
      </c>
      <c r="D165" s="2" t="s">
        <v>23</v>
      </c>
      <c r="E165" s="2" t="s">
        <v>29</v>
      </c>
      <c r="F165" s="1" t="s">
        <v>44</v>
      </c>
      <c r="G165" s="1" t="s">
        <v>80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1496.535945157234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1473.7101844666731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0.64906651829642459</v>
      </c>
      <c r="R165" s="1">
        <v>70</v>
      </c>
      <c r="S165" s="1">
        <v>61</v>
      </c>
      <c r="T165" s="1">
        <v>0</v>
      </c>
      <c r="U165" s="1">
        <f>Games[[#This Row],[PointsFor]]-Games[[#This Row],[PointsAgainst]]</f>
        <v>9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0.39839349827041298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74.650000000000006</v>
      </c>
      <c r="Z165" s="4">
        <f>Games[[#This Row],[K]]*Games[[#This Row],[POMult]]</f>
        <v>74.650000000000006</v>
      </c>
      <c r="AA165" s="4">
        <f>(Games[[#This Row],[Keff]]*Games[[#This Row],[MOVMult]])*(Games[[#This Row],[Result]]-Games[[#This Row],[ExpectedWin%]])</f>
        <v>10.436787941605118</v>
      </c>
      <c r="AB165" s="4">
        <f>Games[[#This Row],[PreGmRate]]+Games[[#This Row],[RatingChange]]</f>
        <v>1506.9727330988392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37430</v>
      </c>
      <c r="B166" s="2">
        <v>2002</v>
      </c>
      <c r="C166" s="2">
        <f>COUNTIFS(Games[Team],Games[[#This Row],[Team]],Games[Season],Games[[#This Row],[Season]],Games[Date],"&lt;=" &amp; Games[[#This Row],[Date]])</f>
        <v>12</v>
      </c>
      <c r="D166" s="2" t="s">
        <v>23</v>
      </c>
      <c r="E166" s="2" t="s">
        <v>29</v>
      </c>
      <c r="F166" s="1" t="s">
        <v>2</v>
      </c>
      <c r="G166" s="1" t="s">
        <v>89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6" s="2">
        <f>Games[[#This Row],[DaysOff]]-Games[[#This Row],[OppDaysOff]]</f>
        <v>-1</v>
      </c>
      <c r="L166" s="2">
        <f>Games[[#This Row],[OppDaysOff]]-Games[[#This Row],[DaysOff]]</f>
        <v>1</v>
      </c>
      <c r="M166" s="1">
        <f>MAX(-16, MIN(16, Games[[#This Row],[RestDiff]]*8))</f>
        <v>-8</v>
      </c>
      <c r="N166" s="1">
        <f>MAX(-16, MIN(16, Games[[#This Row],[OppRestDiff]]*8))</f>
        <v>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1577.9827468663821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1413.6575112620455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0.59152804118160596</v>
      </c>
      <c r="R166" s="1">
        <v>71</v>
      </c>
      <c r="S166" s="1">
        <v>58</v>
      </c>
      <c r="T166" s="1">
        <v>0</v>
      </c>
      <c r="U166" s="1">
        <f>Games[[#This Row],[PointsFor]]-Games[[#This Row],[PointsAgainst]]</f>
        <v>13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0.41518876290962053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74.2</v>
      </c>
      <c r="Z166" s="4">
        <f>Games[[#This Row],[K]]*Games[[#This Row],[POMult]]</f>
        <v>74.2</v>
      </c>
      <c r="AA166" s="4">
        <f>(Games[[#This Row],[Keff]]*Games[[#This Row],[MOVMult]])*(Games[[#This Row],[Result]]-Games[[#This Row],[ExpectedWin%]])</f>
        <v>12.583798171068825</v>
      </c>
      <c r="AB166" s="4">
        <f>Games[[#This Row],[PreGmRate]]+Games[[#This Row],[RatingChange]]</f>
        <v>1590.5665450374509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37430</v>
      </c>
      <c r="B167" s="2">
        <v>2002</v>
      </c>
      <c r="C167" s="2">
        <f>COUNTIFS(Games[Team],Games[[#This Row],[Team]],Games[Season],Games[[#This Row],[Season]],Games[Date],"&lt;=" &amp; Games[[#This Row],[Date]])</f>
        <v>11</v>
      </c>
      <c r="D167" s="2" t="s">
        <v>23</v>
      </c>
      <c r="E167" s="2" t="s">
        <v>29</v>
      </c>
      <c r="F167" s="1" t="s">
        <v>89</v>
      </c>
      <c r="G167" s="1" t="s">
        <v>2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1</v>
      </c>
      <c r="L167" s="2">
        <f>Games[[#This Row],[OppDaysOff]]-Games[[#This Row],[DaysOff]]</f>
        <v>-1</v>
      </c>
      <c r="M167" s="1">
        <f>MAX(-16, MIN(16, Games[[#This Row],[RestDiff]]*8))</f>
        <v>8</v>
      </c>
      <c r="N167" s="1">
        <f>MAX(-16, MIN(16, Games[[#This Row],[OppRestDiff]]*8))</f>
        <v>-8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1413.6575112620455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1577.9827468663821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0.40847195881839399</v>
      </c>
      <c r="R167" s="1">
        <v>58</v>
      </c>
      <c r="S167" s="1">
        <v>71</v>
      </c>
      <c r="T167" s="1">
        <v>0</v>
      </c>
      <c r="U167" s="1">
        <f>Games[[#This Row],[PointsFor]]-Games[[#This Row],[PointsAgainst]]</f>
        <v>-13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0.41518876290962053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74.349999999999994</v>
      </c>
      <c r="Z167" s="4">
        <f>Games[[#This Row],[K]]*Games[[#This Row],[POMult]]</f>
        <v>74.349999999999994</v>
      </c>
      <c r="AA167" s="4">
        <f>(Games[[#This Row],[Keff]]*Games[[#This Row],[MOVMult]])*(Games[[#This Row],[Result]]-Games[[#This Row],[ExpectedWin%]])</f>
        <v>-12.609237116158583</v>
      </c>
      <c r="AB167" s="4">
        <f>Games[[#This Row],[PreGmRate]]+Games[[#This Row],[RatingChange]]</f>
        <v>1401.048274145887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37430</v>
      </c>
      <c r="B168" s="2">
        <v>2002</v>
      </c>
      <c r="C168" s="2">
        <f>COUNTIFS(Games[Team],Games[[#This Row],[Team]],Games[Season],Games[[#This Row],[Season]],Games[Date],"&lt;=" &amp; Games[[#This Row],[Date]])</f>
        <v>10</v>
      </c>
      <c r="D168" s="2" t="s">
        <v>23</v>
      </c>
      <c r="E168" s="2" t="s">
        <v>29</v>
      </c>
      <c r="F168" s="1" t="s">
        <v>45</v>
      </c>
      <c r="G168" s="1" t="s">
        <v>87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-1</v>
      </c>
      <c r="L168" s="2">
        <f>Games[[#This Row],[OppDaysOff]]-Games[[#This Row],[DaysOff]]</f>
        <v>1</v>
      </c>
      <c r="M168" s="1">
        <f>MAX(-16, MIN(16, Games[[#This Row],[RestDiff]]*8))</f>
        <v>-8</v>
      </c>
      <c r="N168" s="1">
        <f>MAX(-16, MIN(16, Games[[#This Row],[OppRestDiff]]*8))</f>
        <v>8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1485.8043314350255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1437.5587301549858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0.42606548056391863</v>
      </c>
      <c r="R168" s="1">
        <v>60</v>
      </c>
      <c r="S168" s="1">
        <v>86</v>
      </c>
      <c r="T168" s="1">
        <v>0</v>
      </c>
      <c r="U168" s="1">
        <f>Games[[#This Row],[PointsFor]]-Games[[#This Row],[PointsAgainst]]</f>
        <v>-26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0.62880642704873646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74.5</v>
      </c>
      <c r="Z168" s="4">
        <f>Games[[#This Row],[K]]*Games[[#This Row],[POMult]]</f>
        <v>74.5</v>
      </c>
      <c r="AA168" s="4">
        <f>(Games[[#This Row],[Keff]]*Games[[#This Row],[MOVMult]])*(Games[[#This Row],[Result]]-Games[[#This Row],[ExpectedWin%]])</f>
        <v>-19.95949708290394</v>
      </c>
      <c r="AB168" s="4">
        <f>Games[[#This Row],[PreGmRate]]+Games[[#This Row],[RatingChange]]</f>
        <v>1465.8448343521216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37430</v>
      </c>
      <c r="B169" s="2">
        <v>2002</v>
      </c>
      <c r="C169" s="2">
        <f>COUNTIFS(Games[Team],Games[[#This Row],[Team]],Games[Season],Games[[#This Row],[Season]],Games[Date],"&lt;=" &amp; Games[[#This Row],[Date]])</f>
        <v>12</v>
      </c>
      <c r="D169" s="2" t="s">
        <v>23</v>
      </c>
      <c r="E169" s="2" t="s">
        <v>29</v>
      </c>
      <c r="F169" s="1" t="s">
        <v>87</v>
      </c>
      <c r="G169" s="1" t="s">
        <v>45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9" s="2">
        <f>Games[[#This Row],[DaysOff]]-Games[[#This Row],[OppDaysOff]]</f>
        <v>1</v>
      </c>
      <c r="L169" s="2">
        <f>Games[[#This Row],[OppDaysOff]]-Games[[#This Row],[DaysOff]]</f>
        <v>-1</v>
      </c>
      <c r="M169" s="1">
        <f>MAX(-16, MIN(16, Games[[#This Row],[RestDiff]]*8))</f>
        <v>8</v>
      </c>
      <c r="N169" s="1">
        <f>MAX(-16, MIN(16, Games[[#This Row],[OppRestDiff]]*8))</f>
        <v>-8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1437.5587301549858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1485.8043314350255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0.57393451943608131</v>
      </c>
      <c r="R169" s="1">
        <v>86</v>
      </c>
      <c r="S169" s="1">
        <v>60</v>
      </c>
      <c r="T169" s="1">
        <v>0</v>
      </c>
      <c r="U169" s="1">
        <f>Games[[#This Row],[PointsFor]]-Games[[#This Row],[PointsAgainst]]</f>
        <v>26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0.62880642704873646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74.2</v>
      </c>
      <c r="Z169" s="4">
        <f>Games[[#This Row],[K]]*Games[[#This Row],[POMult]]</f>
        <v>74.2</v>
      </c>
      <c r="AA169" s="4">
        <f>(Games[[#This Row],[Keff]]*Games[[#This Row],[MOVMult]])*(Games[[#This Row],[Result]]-Games[[#This Row],[ExpectedWin%]])</f>
        <v>19.879123269147282</v>
      </c>
      <c r="AB169" s="4">
        <f>Games[[#This Row],[PreGmRate]]+Games[[#This Row],[RatingChange]]</f>
        <v>1457.4378534241332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37430</v>
      </c>
      <c r="B170" s="2">
        <v>2002</v>
      </c>
      <c r="C170" s="2">
        <f>COUNTIFS(Games[Team],Games[[#This Row],[Team]],Games[Season],Games[[#This Row],[Season]],Games[Date],"&lt;=" &amp; Games[[#This Row],[Date]])</f>
        <v>9</v>
      </c>
      <c r="D170" s="2" t="s">
        <v>23</v>
      </c>
      <c r="E170" s="2" t="s">
        <v>29</v>
      </c>
      <c r="F170" s="1" t="s">
        <v>1</v>
      </c>
      <c r="G170" s="1" t="s">
        <v>75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1514.3048793603641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1526.5817953527931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0.36488717156023376</v>
      </c>
      <c r="R170" s="1">
        <v>45</v>
      </c>
      <c r="S170" s="1">
        <v>63</v>
      </c>
      <c r="T170" s="1">
        <v>0</v>
      </c>
      <c r="U170" s="1">
        <f>Games[[#This Row],[PointsFor]]-Games[[#This Row],[PointsAgainst]]</f>
        <v>-18</v>
      </c>
      <c r="V170" s="1">
        <f>IF(Games[[#This Row],[MOV]]&gt;0,1,IF(Games[[#This Row],[MOV]]=0,0.5,0))</f>
        <v>0</v>
      </c>
      <c r="W170" s="4">
        <f>((ABS(Games[[#This Row],[MOV]])+5)^0.6)/(12+0.01*(ABS(Games[[#This Row],[PreGmRate]]-Games[[#This Row],[OppPreGmRate]])))*IF(Games[[#This Row],[OT]]=1,0.9,1)</f>
        <v>0.54129606024411314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74.650000000000006</v>
      </c>
      <c r="Z170" s="4">
        <f>Games[[#This Row],[K]]*Games[[#This Row],[POMult]]</f>
        <v>74.650000000000006</v>
      </c>
      <c r="AA170" s="4">
        <f>(Games[[#This Row],[Keff]]*Games[[#This Row],[MOVMult]])*(Games[[#This Row],[Result]]-Games[[#This Row],[ExpectedWin%]])</f>
        <v>-14.744269933998215</v>
      </c>
      <c r="AB170" s="4">
        <f>Games[[#This Row],[PreGmRate]]+Games[[#This Row],[RatingChange]]</f>
        <v>1499.560609426366</v>
      </c>
      <c r="AC170" s="2">
        <f>IF(Games[[#This Row],[Type]]="R",IF(Games[[#This Row],[Result]]&gt;0.5,1,0),0)</f>
        <v>0</v>
      </c>
      <c r="AD170" s="2">
        <f>IF(Games[[#This Row],[Type]]="R",IF(Games[[#This Row],[Result]]&lt;0.5,1,0),0)</f>
        <v>1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37430</v>
      </c>
      <c r="B171" s="2">
        <v>2002</v>
      </c>
      <c r="C171" s="2">
        <f>COUNTIFS(Games[Team],Games[[#This Row],[Team]],Games[Season],Games[[#This Row],[Season]],Games[Date],"&lt;=" &amp; Games[[#This Row],[Date]])</f>
        <v>11</v>
      </c>
      <c r="D171" s="2" t="s">
        <v>23</v>
      </c>
      <c r="E171" s="2" t="s">
        <v>29</v>
      </c>
      <c r="F171" s="1" t="s">
        <v>75</v>
      </c>
      <c r="G171" s="1" t="s">
        <v>1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1526.5817953527931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1514.3048793603641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0.63511282843976624</v>
      </c>
      <c r="R171" s="1">
        <v>63</v>
      </c>
      <c r="S171" s="1">
        <v>45</v>
      </c>
      <c r="T171" s="1">
        <v>0</v>
      </c>
      <c r="U171" s="1">
        <f>Games[[#This Row],[PointsFor]]-Games[[#This Row],[PointsAgainst]]</f>
        <v>18</v>
      </c>
      <c r="V171" s="1">
        <f>IF(Games[[#This Row],[MOV]]&gt;0,1,IF(Games[[#This Row],[MOV]]=0,0.5,0))</f>
        <v>1</v>
      </c>
      <c r="W171" s="4">
        <f>((ABS(Games[[#This Row],[MOV]])+5)^0.6)/(12+0.01*(ABS(Games[[#This Row],[PreGmRate]]-Games[[#This Row],[OppPreGmRate]])))*IF(Games[[#This Row],[OT]]=1,0.9,1)</f>
        <v>0.54129606024411314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74.349999999999994</v>
      </c>
      <c r="Z171" s="4">
        <f>Games[[#This Row],[K]]*Games[[#This Row],[POMult]]</f>
        <v>74.349999999999994</v>
      </c>
      <c r="AA171" s="4">
        <f>(Games[[#This Row],[Keff]]*Games[[#This Row],[MOVMult]])*(Games[[#This Row],[Result]]-Games[[#This Row],[ExpectedWin%]])</f>
        <v>14.685016337478462</v>
      </c>
      <c r="AB171" s="4">
        <f>Games[[#This Row],[PreGmRate]]+Games[[#This Row],[RatingChange]]</f>
        <v>1541.2668116902714</v>
      </c>
      <c r="AC171" s="2">
        <f>IF(Games[[#This Row],[Type]]="R",IF(Games[[#This Row],[Result]]&gt;0.5,1,0),0)</f>
        <v>1</v>
      </c>
      <c r="AD171" s="2">
        <f>IF(Games[[#This Row],[Type]]="R",IF(Games[[#This Row],[Result]]&lt;0.5,1,0),0)</f>
        <v>0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37432</v>
      </c>
      <c r="B172" s="2">
        <v>2002</v>
      </c>
      <c r="C172" s="2">
        <f>COUNTIFS(Games[Team],Games[[#This Row],[Team]],Games[Season],Games[[#This Row],[Season]],Games[Date],"&lt;=" &amp; Games[[#This Row],[Date]])</f>
        <v>11</v>
      </c>
      <c r="D172" s="2" t="s">
        <v>23</v>
      </c>
      <c r="E172" s="2" t="s">
        <v>29</v>
      </c>
      <c r="F172" s="1" t="s">
        <v>83</v>
      </c>
      <c r="G172" s="1" t="s">
        <v>1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1</v>
      </c>
      <c r="L172" s="2">
        <f>Games[[#This Row],[OppDaysOff]]-Games[[#This Row],[DaysOff]]</f>
        <v>-1</v>
      </c>
      <c r="M172" s="1">
        <f>MAX(-16, MIN(16, Games[[#This Row],[RestDiff]]*8))</f>
        <v>8</v>
      </c>
      <c r="N172" s="1">
        <f>MAX(-16, MIN(16, Games[[#This Row],[OppRestDiff]]*8))</f>
        <v>-8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1456.5209960173952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1499.560609426366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0.34542844377280452</v>
      </c>
      <c r="R172" s="1">
        <v>50</v>
      </c>
      <c r="S172" s="1">
        <v>71</v>
      </c>
      <c r="T172" s="1">
        <v>0</v>
      </c>
      <c r="U172" s="1">
        <f>Games[[#This Row],[PointsFor]]-Games[[#This Row],[PointsAgainst]]</f>
        <v>-21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0.56819713523683857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74.349999999999994</v>
      </c>
      <c r="Z172" s="4">
        <f>Games[[#This Row],[K]]*Games[[#This Row],[POMult]]</f>
        <v>74.349999999999994</v>
      </c>
      <c r="AA172" s="4">
        <f>(Games[[#This Row],[Keff]]*Games[[#This Row],[MOVMult]])*(Games[[#This Row],[Result]]-Games[[#This Row],[ExpectedWin%]])</f>
        <v>-14.592782469659348</v>
      </c>
      <c r="AB172" s="4">
        <f>Games[[#This Row],[PreGmRate]]+Games[[#This Row],[RatingChange]]</f>
        <v>1441.9282135477358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37432</v>
      </c>
      <c r="B173" s="2">
        <v>2002</v>
      </c>
      <c r="C173" s="2">
        <f>COUNTIFS(Games[Team],Games[[#This Row],[Team]],Games[Season],Games[[#This Row],[Season]],Games[Date],"&lt;=" &amp; Games[[#This Row],[Date]])</f>
        <v>10</v>
      </c>
      <c r="D173" s="2" t="s">
        <v>23</v>
      </c>
      <c r="E173" s="2" t="s">
        <v>29</v>
      </c>
      <c r="F173" s="1" t="s">
        <v>1</v>
      </c>
      <c r="G173" s="1" t="s">
        <v>83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3" s="2">
        <f>Games[[#This Row],[DaysOff]]-Games[[#This Row],[OppDaysOff]]</f>
        <v>-1</v>
      </c>
      <c r="L173" s="2">
        <f>Games[[#This Row],[OppDaysOff]]-Games[[#This Row],[DaysOff]]</f>
        <v>1</v>
      </c>
      <c r="M173" s="1">
        <f>MAX(-16, MIN(16, Games[[#This Row],[RestDiff]]*8))</f>
        <v>-8</v>
      </c>
      <c r="N173" s="1">
        <f>MAX(-16, MIN(16, Games[[#This Row],[OppRestDiff]]*8))</f>
        <v>8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1499.560609426366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1456.5209960173952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0.65457155622719554</v>
      </c>
      <c r="R173" s="1">
        <v>71</v>
      </c>
      <c r="S173" s="1">
        <v>50</v>
      </c>
      <c r="T173" s="1">
        <v>0</v>
      </c>
      <c r="U173" s="1">
        <f>Games[[#This Row],[PointsFor]]-Games[[#This Row],[PointsAgainst]]</f>
        <v>21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0.56819713523683857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74.5</v>
      </c>
      <c r="Z173" s="4">
        <f>Games[[#This Row],[K]]*Games[[#This Row],[POMult]]</f>
        <v>74.5</v>
      </c>
      <c r="AA173" s="4">
        <f>(Games[[#This Row],[Keff]]*Games[[#This Row],[MOVMult]])*(Games[[#This Row],[Result]]-Games[[#This Row],[ExpectedWin%]])</f>
        <v>14.622223187486503</v>
      </c>
      <c r="AB173" s="4">
        <f>Games[[#This Row],[PreGmRate]]+Games[[#This Row],[RatingChange]]</f>
        <v>1514.1828326138525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37432</v>
      </c>
      <c r="B174" s="2">
        <v>2002</v>
      </c>
      <c r="C174" s="2">
        <f>COUNTIFS(Games[Team],Games[[#This Row],[Team]],Games[Season],Games[[#This Row],[Season]],Games[Date],"&lt;=" &amp; Games[[#This Row],[Date]])</f>
        <v>10</v>
      </c>
      <c r="D174" s="2" t="s">
        <v>23</v>
      </c>
      <c r="E174" s="2" t="s">
        <v>29</v>
      </c>
      <c r="F174" s="1" t="s">
        <v>44</v>
      </c>
      <c r="G174" s="1" t="s">
        <v>71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4" s="2">
        <f>Games[[#This Row],[DaysOff]]-Games[[#This Row],[OppDaysOff]]</f>
        <v>-2</v>
      </c>
      <c r="L174" s="2">
        <f>Games[[#This Row],[OppDaysOff]]-Games[[#This Row],[DaysOff]]</f>
        <v>2</v>
      </c>
      <c r="M174" s="1">
        <f>MAX(-16, MIN(16, Games[[#This Row],[RestDiff]]*8))</f>
        <v>-16</v>
      </c>
      <c r="N174" s="1">
        <f>MAX(-16, MIN(16, Games[[#This Row],[OppRestDiff]]*8))</f>
        <v>16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1506.9727330988392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1686.2207307948324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0.15451959239782187</v>
      </c>
      <c r="R174" s="1">
        <v>66</v>
      </c>
      <c r="S174" s="1">
        <v>89</v>
      </c>
      <c r="T174" s="1">
        <v>0</v>
      </c>
      <c r="U174" s="1">
        <f>Games[[#This Row],[PointsFor]]-Games[[#This Row],[PointsAgainst]]</f>
        <v>-23</v>
      </c>
      <c r="V174" s="1">
        <f>IF(Games[[#This Row],[MOV]]&gt;0,1,IF(Games[[#This Row],[MOV]]=0,0.5,0))</f>
        <v>0</v>
      </c>
      <c r="W174" s="4">
        <f>((ABS(Games[[#This Row],[MOV]])+5)^0.6)/(12+0.01*(ABS(Games[[#This Row],[PreGmRate]]-Games[[#This Row],[OppPreGmRate]])))*IF(Games[[#This Row],[OT]]=1,0.9,1)</f>
        <v>0.53536805875942084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74.5</v>
      </c>
      <c r="Z174" s="4">
        <f>Games[[#This Row],[K]]*Games[[#This Row],[POMult]]</f>
        <v>74.5</v>
      </c>
      <c r="AA174" s="4">
        <f>(Games[[#This Row],[Keff]]*Games[[#This Row],[MOVMult]])*(Games[[#This Row],[Result]]-Games[[#This Row],[ExpectedWin%]])</f>
        <v>-6.1630016395627552</v>
      </c>
      <c r="AB174" s="4">
        <f>Games[[#This Row],[PreGmRate]]+Games[[#This Row],[RatingChange]]</f>
        <v>1500.8097314592765</v>
      </c>
      <c r="AC174" s="2">
        <f>IF(Games[[#This Row],[Type]]="R",IF(Games[[#This Row],[Result]]&gt;0.5,1,0),0)</f>
        <v>0</v>
      </c>
      <c r="AD174" s="2">
        <f>IF(Games[[#This Row],[Type]]="R",IF(Games[[#This Row],[Result]]&lt;0.5,1,0),0)</f>
        <v>1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37432</v>
      </c>
      <c r="B175" s="2">
        <v>2002</v>
      </c>
      <c r="C175" s="2">
        <f>COUNTIFS(Games[Team],Games[[#This Row],[Team]],Games[Season],Games[[#This Row],[Season]],Games[Date],"&lt;=" &amp; Games[[#This Row],[Date]])</f>
        <v>11</v>
      </c>
      <c r="D175" s="2" t="s">
        <v>23</v>
      </c>
      <c r="E175" s="2" t="s">
        <v>29</v>
      </c>
      <c r="F175" s="1" t="s">
        <v>71</v>
      </c>
      <c r="G175" s="1" t="s">
        <v>44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2</v>
      </c>
      <c r="L175" s="2">
        <f>Games[[#This Row],[OppDaysOff]]-Games[[#This Row],[DaysOff]]</f>
        <v>-2</v>
      </c>
      <c r="M175" s="1">
        <f>MAX(-16, MIN(16, Games[[#This Row],[RestDiff]]*8))</f>
        <v>16</v>
      </c>
      <c r="N175" s="1">
        <f>MAX(-16, MIN(16, Games[[#This Row],[OppRestDiff]]*8))</f>
        <v>-16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1686.2207307948324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1506.9727330988392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0.84548040760217813</v>
      </c>
      <c r="R175" s="1">
        <v>89</v>
      </c>
      <c r="S175" s="1">
        <v>66</v>
      </c>
      <c r="T175" s="1">
        <v>0</v>
      </c>
      <c r="U175" s="1">
        <f>Games[[#This Row],[PointsFor]]-Games[[#This Row],[PointsAgainst]]</f>
        <v>23</v>
      </c>
      <c r="V175" s="1">
        <f>IF(Games[[#This Row],[MOV]]&gt;0,1,IF(Games[[#This Row],[MOV]]=0,0.5,0))</f>
        <v>1</v>
      </c>
      <c r="W175" s="4">
        <f>((ABS(Games[[#This Row],[MOV]])+5)^0.6)/(12+0.01*(ABS(Games[[#This Row],[PreGmRate]]-Games[[#This Row],[OppPreGmRate]])))*IF(Games[[#This Row],[OT]]=1,0.9,1)</f>
        <v>0.53536805875942084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74.349999999999994</v>
      </c>
      <c r="Z175" s="4">
        <f>Games[[#This Row],[K]]*Games[[#This Row],[POMult]]</f>
        <v>74.349999999999994</v>
      </c>
      <c r="AA175" s="4">
        <f>(Games[[#This Row],[Keff]]*Games[[#This Row],[MOVMult]])*(Games[[#This Row],[Result]]-Games[[#This Row],[ExpectedWin%]])</f>
        <v>6.1505929114294062</v>
      </c>
      <c r="AB175" s="4">
        <f>Games[[#This Row],[PreGmRate]]+Games[[#This Row],[RatingChange]]</f>
        <v>1692.3713237062618</v>
      </c>
      <c r="AC175" s="2">
        <f>IF(Games[[#This Row],[Type]]="R",IF(Games[[#This Row],[Result]]&gt;0.5,1,0),0)</f>
        <v>1</v>
      </c>
      <c r="AD175" s="2">
        <f>IF(Games[[#This Row],[Type]]="R",IF(Games[[#This Row],[Result]]&lt;0.5,1,0),0)</f>
        <v>0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37432</v>
      </c>
      <c r="B176" s="2">
        <v>2002</v>
      </c>
      <c r="C176" s="2">
        <f>COUNTIFS(Games[Team],Games[[#This Row],[Team]],Games[Season],Games[[#This Row],[Season]],Games[Date],"&lt;=" &amp; Games[[#This Row],[Date]])</f>
        <v>13</v>
      </c>
      <c r="D176" s="2" t="s">
        <v>23</v>
      </c>
      <c r="E176" s="2" t="s">
        <v>29</v>
      </c>
      <c r="F176" s="1" t="s">
        <v>2</v>
      </c>
      <c r="G176" s="1" t="s">
        <v>80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1590.5665450374509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1463.3153394102987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0.56192393973904686</v>
      </c>
      <c r="R176" s="1">
        <v>73</v>
      </c>
      <c r="S176" s="1">
        <v>55</v>
      </c>
      <c r="T176" s="1">
        <v>0</v>
      </c>
      <c r="U176" s="1">
        <f>Games[[#This Row],[PointsFor]]-Games[[#This Row],[PointsAgainst]]</f>
        <v>18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0.49440581840836811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74.05</v>
      </c>
      <c r="Z176" s="4">
        <f>Games[[#This Row],[K]]*Games[[#This Row],[POMult]]</f>
        <v>74.05</v>
      </c>
      <c r="AA176" s="4">
        <f>(Games[[#This Row],[Keff]]*Games[[#This Row],[MOVMult]])*(Games[[#This Row],[Result]]-Games[[#This Row],[ExpectedWin%]])</f>
        <v>16.038293496938749</v>
      </c>
      <c r="AB176" s="4">
        <f>Games[[#This Row],[PreGmRate]]+Games[[#This Row],[RatingChange]]</f>
        <v>1606.6048385343895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37432</v>
      </c>
      <c r="B177" s="2">
        <v>2002</v>
      </c>
      <c r="C177" s="2">
        <f>COUNTIFS(Games[Team],Games[[#This Row],[Team]],Games[Season],Games[[#This Row],[Season]],Games[Date],"&lt;=" &amp; Games[[#This Row],[Date]])</f>
        <v>12</v>
      </c>
      <c r="D177" s="2" t="s">
        <v>23</v>
      </c>
      <c r="E177" s="2" t="s">
        <v>29</v>
      </c>
      <c r="F177" s="1" t="s">
        <v>80</v>
      </c>
      <c r="G177" s="1" t="s">
        <v>2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1463.3153394102987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1590.5665450374509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0.43807606026095308</v>
      </c>
      <c r="R177" s="1">
        <v>55</v>
      </c>
      <c r="S177" s="1">
        <v>73</v>
      </c>
      <c r="T177" s="1">
        <v>0</v>
      </c>
      <c r="U177" s="1">
        <f>Games[[#This Row],[PointsFor]]-Games[[#This Row],[PointsAgainst]]</f>
        <v>-18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0.49440581840836811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74.2</v>
      </c>
      <c r="Z177" s="4">
        <f>Games[[#This Row],[K]]*Games[[#This Row],[POMult]]</f>
        <v>74.2</v>
      </c>
      <c r="AA177" s="4">
        <f>(Games[[#This Row],[Keff]]*Games[[#This Row],[MOVMult]])*(Games[[#This Row],[Result]]-Games[[#This Row],[ExpectedWin%]])</f>
        <v>-16.070781599903516</v>
      </c>
      <c r="AB177" s="4">
        <f>Games[[#This Row],[PreGmRate]]+Games[[#This Row],[RatingChange]]</f>
        <v>1447.2445578103952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37432</v>
      </c>
      <c r="B178" s="2">
        <v>2002</v>
      </c>
      <c r="C178" s="2">
        <f>COUNTIFS(Games[Team],Games[[#This Row],[Team]],Games[Season],Games[[#This Row],[Season]],Games[Date],"&lt;=" &amp; Games[[#This Row],[Date]])</f>
        <v>12</v>
      </c>
      <c r="D178" s="2" t="s">
        <v>23</v>
      </c>
      <c r="E178" s="2" t="s">
        <v>29</v>
      </c>
      <c r="F178" s="1" t="s">
        <v>85</v>
      </c>
      <c r="G178" s="1" t="s">
        <v>66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8" s="2">
        <f>Games[[#This Row],[DaysOff]]-Games[[#This Row],[OppDaysOff]]</f>
        <v>2</v>
      </c>
      <c r="L178" s="2">
        <f>Games[[#This Row],[OppDaysOff]]-Games[[#This Row],[DaysOff]]</f>
        <v>-2</v>
      </c>
      <c r="M178" s="1">
        <f>MAX(-16, MIN(16, Games[[#This Row],[RestDiff]]*8))</f>
        <v>16</v>
      </c>
      <c r="N178" s="1">
        <f>MAX(-16, MIN(16, Games[[#This Row],[OppRestDiff]]*8))</f>
        <v>-16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1442.5576764967566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1528.9933243052003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0.31068910465645427</v>
      </c>
      <c r="R178" s="1">
        <v>55</v>
      </c>
      <c r="S178" s="1">
        <v>74</v>
      </c>
      <c r="T178" s="1">
        <v>0</v>
      </c>
      <c r="U178" s="1">
        <f>Games[[#This Row],[PointsFor]]-Games[[#This Row],[PointsAgainst]]</f>
        <v>-19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0.52328547363758871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74.2</v>
      </c>
      <c r="Z178" s="4">
        <f>Games[[#This Row],[K]]*Games[[#This Row],[POMult]]</f>
        <v>74.2</v>
      </c>
      <c r="AA178" s="4">
        <f>(Games[[#This Row],[Keff]]*Games[[#This Row],[MOVMult]])*(Games[[#This Row],[Result]]-Games[[#This Row],[ExpectedWin%]])</f>
        <v>-12.063368870086975</v>
      </c>
      <c r="AB178" s="4">
        <f>Games[[#This Row],[PreGmRate]]+Games[[#This Row],[RatingChange]]</f>
        <v>1430.4943076266695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37432</v>
      </c>
      <c r="B179" s="2">
        <v>2002</v>
      </c>
      <c r="C179" s="2">
        <f>COUNTIFS(Games[Team],Games[[#This Row],[Team]],Games[Season],Games[[#This Row],[Season]],Games[Date],"&lt;=" &amp; Games[[#This Row],[Date]])</f>
        <v>14</v>
      </c>
      <c r="D179" s="2" t="s">
        <v>23</v>
      </c>
      <c r="E179" s="2" t="s">
        <v>29</v>
      </c>
      <c r="F179" s="1" t="s">
        <v>66</v>
      </c>
      <c r="G179" s="1" t="s">
        <v>85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9" s="2">
        <f>Games[[#This Row],[DaysOff]]-Games[[#This Row],[OppDaysOff]]</f>
        <v>-2</v>
      </c>
      <c r="L179" s="2">
        <f>Games[[#This Row],[OppDaysOff]]-Games[[#This Row],[DaysOff]]</f>
        <v>2</v>
      </c>
      <c r="M179" s="1">
        <f>MAX(-16, MIN(16, Games[[#This Row],[RestDiff]]*8))</f>
        <v>-16</v>
      </c>
      <c r="N179" s="1">
        <f>MAX(-16, MIN(16, Games[[#This Row],[OppRestDiff]]*8))</f>
        <v>16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1528.9933243052003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1442.5576764967566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0.68931089534354573</v>
      </c>
      <c r="R179" s="1">
        <v>74</v>
      </c>
      <c r="S179" s="1">
        <v>55</v>
      </c>
      <c r="T179" s="1">
        <v>0</v>
      </c>
      <c r="U179" s="1">
        <f>Games[[#This Row],[PointsFor]]-Games[[#This Row],[PointsAgainst]]</f>
        <v>19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0.52328547363758871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73.900000000000006</v>
      </c>
      <c r="Z179" s="4">
        <f>Games[[#This Row],[K]]*Games[[#This Row],[POMult]]</f>
        <v>73.900000000000006</v>
      </c>
      <c r="AA179" s="4">
        <f>(Games[[#This Row],[Keff]]*Games[[#This Row],[MOVMult]])*(Games[[#This Row],[Result]]-Games[[#This Row],[ExpectedWin%]])</f>
        <v>12.01459514150172</v>
      </c>
      <c r="AB179" s="4">
        <f>Games[[#This Row],[PreGmRate]]+Games[[#This Row],[RatingChange]]</f>
        <v>1541.0079194467021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37432</v>
      </c>
      <c r="B180" s="2">
        <v>2002</v>
      </c>
      <c r="C180" s="2">
        <f>COUNTIFS(Games[Team],Games[[#This Row],[Team]],Games[Season],Games[[#This Row],[Season]],Games[Date],"&lt;=" &amp; Games[[#This Row],[Date]])</f>
        <v>12</v>
      </c>
      <c r="D180" s="2" t="s">
        <v>23</v>
      </c>
      <c r="E180" s="2" t="s">
        <v>29</v>
      </c>
      <c r="F180" s="1" t="s">
        <v>75</v>
      </c>
      <c r="G180" s="1" t="s">
        <v>45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0</v>
      </c>
      <c r="L180" s="2">
        <f>Games[[#This Row],[OppDaysOff]]-Games[[#This Row],[DaysOff]]</f>
        <v>0</v>
      </c>
      <c r="M180" s="1">
        <f>MAX(-16, MIN(16, Games[[#This Row],[RestDiff]]*8))</f>
        <v>0</v>
      </c>
      <c r="N180" s="1">
        <f>MAX(-16, MIN(16, Games[[#This Row],[OppRestDiff]]*8))</f>
        <v>0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1541.2668116902714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1465.8448343521216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0.48765774079158791</v>
      </c>
      <c r="R180" s="1">
        <v>87</v>
      </c>
      <c r="S180" s="1">
        <v>86</v>
      </c>
      <c r="T180" s="1">
        <v>1</v>
      </c>
      <c r="U180" s="1">
        <f>Games[[#This Row],[PointsFor]]-Games[[#This Row],[PointsAgainst]]</f>
        <v>1</v>
      </c>
      <c r="V180" s="1">
        <f>IF(Games[[#This Row],[MOV]]&gt;0,1,IF(Games[[#This Row],[MOV]]=0,0.5,0))</f>
        <v>1</v>
      </c>
      <c r="W180" s="4">
        <f>((ABS(Games[[#This Row],[MOV]])+5)^0.6)/(12+0.01*(ABS(Games[[#This Row],[PreGmRate]]-Games[[#This Row],[OppPreGmRate]])))*IF(Games[[#This Row],[OT]]=1,0.9,1)</f>
        <v>0.20676611296356781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74.2</v>
      </c>
      <c r="Z180" s="4">
        <f>Games[[#This Row],[K]]*Games[[#This Row],[POMult]]</f>
        <v>74.2</v>
      </c>
      <c r="AA180" s="4">
        <f>(Games[[#This Row],[Keff]]*Games[[#This Row],[MOVMult]])*(Games[[#This Row],[Result]]-Games[[#This Row],[ExpectedWin%]])</f>
        <v>7.8603782943074103</v>
      </c>
      <c r="AB180" s="4">
        <f>Games[[#This Row],[PreGmRate]]+Games[[#This Row],[RatingChange]]</f>
        <v>1549.1271899845788</v>
      </c>
      <c r="AC180" s="2">
        <f>IF(Games[[#This Row],[Type]]="R",IF(Games[[#This Row],[Result]]&gt;0.5,1,0),0)</f>
        <v>1</v>
      </c>
      <c r="AD180" s="2">
        <f>IF(Games[[#This Row],[Type]]="R",IF(Games[[#This Row],[Result]]&lt;0.5,1,0),0)</f>
        <v>0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37432</v>
      </c>
      <c r="B181" s="2">
        <v>2002</v>
      </c>
      <c r="C181" s="2">
        <f>COUNTIFS(Games[Team],Games[[#This Row],[Team]],Games[Season],Games[[#This Row],[Season]],Games[Date],"&lt;=" &amp; Games[[#This Row],[Date]])</f>
        <v>11</v>
      </c>
      <c r="D181" s="2" t="s">
        <v>23</v>
      </c>
      <c r="E181" s="2" t="s">
        <v>29</v>
      </c>
      <c r="F181" s="1" t="s">
        <v>45</v>
      </c>
      <c r="G181" s="1" t="s">
        <v>75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0</v>
      </c>
      <c r="L181" s="2">
        <f>Games[[#This Row],[OppDaysOff]]-Games[[#This Row],[DaysOff]]</f>
        <v>0</v>
      </c>
      <c r="M181" s="1">
        <f>MAX(-16, MIN(16, Games[[#This Row],[RestDiff]]*8))</f>
        <v>0</v>
      </c>
      <c r="N181" s="1">
        <f>MAX(-16, MIN(16, Games[[#This Row],[OppRestDiff]]*8))</f>
        <v>0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1465.8448343521216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1541.2668116902714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0.51234225920841203</v>
      </c>
      <c r="R181" s="1">
        <v>86</v>
      </c>
      <c r="S181" s="1">
        <v>87</v>
      </c>
      <c r="T181" s="1">
        <v>1</v>
      </c>
      <c r="U181" s="1">
        <f>Games[[#This Row],[PointsFor]]-Games[[#This Row],[PointsAgainst]]</f>
        <v>-1</v>
      </c>
      <c r="V181" s="1">
        <f>IF(Games[[#This Row],[MOV]]&gt;0,1,IF(Games[[#This Row],[MOV]]=0,0.5,0))</f>
        <v>0</v>
      </c>
      <c r="W181" s="4">
        <f>((ABS(Games[[#This Row],[MOV]])+5)^0.6)/(12+0.01*(ABS(Games[[#This Row],[PreGmRate]]-Games[[#This Row],[OppPreGmRate]])))*IF(Games[[#This Row],[OT]]=1,0.9,1)</f>
        <v>0.20676611296356781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74.349999999999994</v>
      </c>
      <c r="Z181" s="4">
        <f>Games[[#This Row],[K]]*Games[[#This Row],[POMult]]</f>
        <v>74.349999999999994</v>
      </c>
      <c r="AA181" s="4">
        <f>(Games[[#This Row],[Keff]]*Games[[#This Row],[MOVMult]])*(Games[[#This Row],[Result]]-Games[[#This Row],[ExpectedWin%]])</f>
        <v>-7.8762685469239315</v>
      </c>
      <c r="AB181" s="4">
        <f>Games[[#This Row],[PreGmRate]]+Games[[#This Row],[RatingChange]]</f>
        <v>1457.9685658051976</v>
      </c>
      <c r="AC181" s="2">
        <f>IF(Games[[#This Row],[Type]]="R",IF(Games[[#This Row],[Result]]&gt;0.5,1,0),0)</f>
        <v>0</v>
      </c>
      <c r="AD181" s="2">
        <f>IF(Games[[#This Row],[Type]]="R",IF(Games[[#This Row],[Result]]&lt;0.5,1,0),0)</f>
        <v>1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37432</v>
      </c>
      <c r="B182" s="2">
        <v>2002</v>
      </c>
      <c r="C182" s="2">
        <f>COUNTIFS(Games[Team],Games[[#This Row],[Team]],Games[Season],Games[[#This Row],[Season]],Games[Date],"&lt;=" &amp; Games[[#This Row],[Date]])</f>
        <v>12</v>
      </c>
      <c r="D182" s="2" t="s">
        <v>23</v>
      </c>
      <c r="E182" s="2" t="s">
        <v>29</v>
      </c>
      <c r="F182" s="1" t="s">
        <v>89</v>
      </c>
      <c r="G182" s="1" t="s">
        <v>43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2" s="2">
        <f>Games[[#This Row],[DaysOff]]-Games[[#This Row],[OppDaysOff]]</f>
        <v>-1</v>
      </c>
      <c r="L182" s="2">
        <f>Games[[#This Row],[OppDaysOff]]-Games[[#This Row],[DaysOff]]</f>
        <v>1</v>
      </c>
      <c r="M182" s="1">
        <f>MAX(-16, MIN(16, Games[[#This Row],[RestDiff]]*8))</f>
        <v>-8</v>
      </c>
      <c r="N182" s="1">
        <f>MAX(-16, MIN(16, Games[[#This Row],[OppRestDiff]]*8))</f>
        <v>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1401.048274145887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1546.3728555091536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0.19588700539112697</v>
      </c>
      <c r="R182" s="1">
        <v>83</v>
      </c>
      <c r="S182" s="1">
        <v>86</v>
      </c>
      <c r="T182" s="1">
        <v>0</v>
      </c>
      <c r="U182" s="1">
        <f>Games[[#This Row],[PointsFor]]-Games[[#This Row],[PointsAgainst]]</f>
        <v>-3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0.25883733200324444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74.2</v>
      </c>
      <c r="Z182" s="4">
        <f>Games[[#This Row],[K]]*Games[[#This Row],[POMult]]</f>
        <v>74.2</v>
      </c>
      <c r="AA182" s="4">
        <f>(Games[[#This Row],[Keff]]*Games[[#This Row],[MOVMult]])*(Games[[#This Row],[Result]]-Games[[#This Row],[ExpectedWin%]])</f>
        <v>-3.7621529428361993</v>
      </c>
      <c r="AB182" s="4">
        <f>Games[[#This Row],[PreGmRate]]+Games[[#This Row],[RatingChange]]</f>
        <v>1397.2861212030509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37432</v>
      </c>
      <c r="B183" s="2">
        <v>2002</v>
      </c>
      <c r="C183" s="2">
        <f>COUNTIFS(Games[Team],Games[[#This Row],[Team]],Games[Season],Games[[#This Row],[Season]],Games[Date],"&lt;=" &amp; Games[[#This Row],[Date]])</f>
        <v>11</v>
      </c>
      <c r="D183" s="2" t="s">
        <v>23</v>
      </c>
      <c r="E183" s="2" t="s">
        <v>29</v>
      </c>
      <c r="F183" s="1" t="s">
        <v>43</v>
      </c>
      <c r="G183" s="1" t="s">
        <v>89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3" s="2">
        <f>Games[[#This Row],[DaysOff]]-Games[[#This Row],[OppDaysOff]]</f>
        <v>1</v>
      </c>
      <c r="L183" s="2">
        <f>Games[[#This Row],[OppDaysOff]]-Games[[#This Row],[DaysOff]]</f>
        <v>-1</v>
      </c>
      <c r="M183" s="1">
        <f>MAX(-16, MIN(16, Games[[#This Row],[RestDiff]]*8))</f>
        <v>8</v>
      </c>
      <c r="N183" s="1">
        <f>MAX(-16, MIN(16, Games[[#This Row],[OppRestDiff]]*8))</f>
        <v>-8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1546.3728555091536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1401.048274145887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0.80411299460887309</v>
      </c>
      <c r="R183" s="1">
        <v>86</v>
      </c>
      <c r="S183" s="1">
        <v>83</v>
      </c>
      <c r="T183" s="1">
        <v>0</v>
      </c>
      <c r="U183" s="1">
        <f>Games[[#This Row],[PointsFor]]-Games[[#This Row],[PointsAgainst]]</f>
        <v>3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0.25883733200324444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74.349999999999994</v>
      </c>
      <c r="Z183" s="4">
        <f>Games[[#This Row],[K]]*Games[[#This Row],[POMult]]</f>
        <v>74.349999999999994</v>
      </c>
      <c r="AA183" s="4">
        <f>(Games[[#This Row],[Keff]]*Games[[#This Row],[MOVMult]])*(Games[[#This Row],[Result]]-Games[[#This Row],[ExpectedWin%]])</f>
        <v>3.7697583733136297</v>
      </c>
      <c r="AB183" s="4">
        <f>Games[[#This Row],[PreGmRate]]+Games[[#This Row],[RatingChange]]</f>
        <v>1550.1426138824672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37433</v>
      </c>
      <c r="B184" s="2">
        <v>2002</v>
      </c>
      <c r="C184" s="2">
        <f>COUNTIFS(Games[Team],Games[[#This Row],[Team]],Games[Season],Games[[#This Row],[Season]],Games[Date],"&lt;=" &amp; Games[[#This Row],[Date]])</f>
        <v>11</v>
      </c>
      <c r="D184" s="2" t="s">
        <v>23</v>
      </c>
      <c r="E184" s="2" t="s">
        <v>29</v>
      </c>
      <c r="F184" s="1" t="s">
        <v>64</v>
      </c>
      <c r="G184" s="1" t="s">
        <v>77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4" s="2">
        <f>Games[[#This Row],[DaysOff]]-Games[[#This Row],[OppDaysOff]]</f>
        <v>-1</v>
      </c>
      <c r="L184" s="2">
        <f>Games[[#This Row],[OppDaysOff]]-Games[[#This Row],[DaysOff]]</f>
        <v>1</v>
      </c>
      <c r="M184" s="1">
        <f>MAX(-16, MIN(16, Games[[#This Row],[RestDiff]]*8))</f>
        <v>-8</v>
      </c>
      <c r="N184" s="1">
        <f>MAX(-16, MIN(16, Games[[#This Row],[OppRestDiff]]*8))</f>
        <v>8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1542.2517524541231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1338.0454065848835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0.64562426353507341</v>
      </c>
      <c r="R184" s="1">
        <v>80</v>
      </c>
      <c r="S184" s="1">
        <v>73</v>
      </c>
      <c r="T184" s="1">
        <v>0</v>
      </c>
      <c r="U184" s="1">
        <f>Games[[#This Row],[PointsFor]]-Games[[#This Row],[PointsAgainst]]</f>
        <v>7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0.31628443233509035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74.349999999999994</v>
      </c>
      <c r="Z184" s="4">
        <f>Games[[#This Row],[K]]*Games[[#This Row],[POMult]]</f>
        <v>74.349999999999994</v>
      </c>
      <c r="AA184" s="4">
        <f>(Games[[#This Row],[Keff]]*Games[[#This Row],[MOVMult]])*(Games[[#This Row],[Result]]-Games[[#This Row],[ExpectedWin%]])</f>
        <v>8.3334103544686755</v>
      </c>
      <c r="AB184" s="4">
        <f>Games[[#This Row],[PreGmRate]]+Games[[#This Row],[RatingChange]]</f>
        <v>1550.5851628085918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37433</v>
      </c>
      <c r="B185" s="2">
        <v>2002</v>
      </c>
      <c r="C185" s="2">
        <f>COUNTIFS(Games[Team],Games[[#This Row],[Team]],Games[Season],Games[[#This Row],[Season]],Games[Date],"&lt;=" &amp; Games[[#This Row],[Date]])</f>
        <v>12</v>
      </c>
      <c r="D185" s="2" t="s">
        <v>23</v>
      </c>
      <c r="E185" s="2" t="s">
        <v>29</v>
      </c>
      <c r="F185" s="1" t="s">
        <v>77</v>
      </c>
      <c r="G185" s="1" t="s">
        <v>64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5" s="2">
        <f>Games[[#This Row],[DaysOff]]-Games[[#This Row],[OppDaysOff]]</f>
        <v>1</v>
      </c>
      <c r="L185" s="2">
        <f>Games[[#This Row],[OppDaysOff]]-Games[[#This Row],[DaysOff]]</f>
        <v>-1</v>
      </c>
      <c r="M185" s="1">
        <f>MAX(-16, MIN(16, Games[[#This Row],[RestDiff]]*8))</f>
        <v>8</v>
      </c>
      <c r="N185" s="1">
        <f>MAX(-16, MIN(16, Games[[#This Row],[OppRestDiff]]*8))</f>
        <v>-8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1338.0454065848835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1542.2517524541231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0.35437573646492659</v>
      </c>
      <c r="R185" s="1">
        <v>73</v>
      </c>
      <c r="S185" s="1">
        <v>80</v>
      </c>
      <c r="T185" s="1">
        <v>0</v>
      </c>
      <c r="U185" s="1">
        <f>Games[[#This Row],[PointsFor]]-Games[[#This Row],[PointsAgainst]]</f>
        <v>-7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0.31628443233509035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74.2</v>
      </c>
      <c r="Z185" s="4">
        <f>Games[[#This Row],[K]]*Games[[#This Row],[POMult]]</f>
        <v>74.2</v>
      </c>
      <c r="AA185" s="4">
        <f>(Games[[#This Row],[Keff]]*Games[[#This Row],[MOVMult]])*(Games[[#This Row],[Result]]-Games[[#This Row],[ExpectedWin%]])</f>
        <v>-8.3165978251725061</v>
      </c>
      <c r="AB185" s="4">
        <f>Games[[#This Row],[PreGmRate]]+Games[[#This Row],[RatingChange]]</f>
        <v>1329.728808759711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37433</v>
      </c>
      <c r="B186" s="2">
        <v>2002</v>
      </c>
      <c r="C186" s="2">
        <f>COUNTIFS(Games[Team],Games[[#This Row],[Team]],Games[Season],Games[[#This Row],[Season]],Games[Date],"&lt;=" &amp; Games[[#This Row],[Date]])</f>
        <v>13</v>
      </c>
      <c r="D186" s="2" t="s">
        <v>23</v>
      </c>
      <c r="E186" s="2" t="s">
        <v>29</v>
      </c>
      <c r="F186" s="1" t="s">
        <v>87</v>
      </c>
      <c r="G186" s="1" t="s">
        <v>44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6" s="2">
        <f>Games[[#This Row],[DaysOff]]-Games[[#This Row],[OppDaysOff]]</f>
        <v>2</v>
      </c>
      <c r="L186" s="2">
        <f>Games[[#This Row],[OppDaysOff]]-Games[[#This Row],[DaysOff]]</f>
        <v>-2</v>
      </c>
      <c r="M186" s="1">
        <f>MAX(-16, MIN(16, Games[[#This Row],[RestDiff]]*8))</f>
        <v>16</v>
      </c>
      <c r="N186" s="1">
        <f>MAX(-16, MIN(16, Games[[#This Row],[OppRestDiff]]*8))</f>
        <v>-16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1457.4378534241332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1500.8097314592765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0.36609536591320535</v>
      </c>
      <c r="R186" s="1">
        <v>53</v>
      </c>
      <c r="S186" s="1">
        <v>62</v>
      </c>
      <c r="T186" s="1">
        <v>0</v>
      </c>
      <c r="U186" s="1">
        <f>Games[[#This Row],[PointsFor]]-Games[[#This Row],[PointsAgainst]]</f>
        <v>-9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0.39181023890176958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74.05</v>
      </c>
      <c r="Z186" s="4">
        <f>Games[[#This Row],[K]]*Games[[#This Row],[POMult]]</f>
        <v>74.05</v>
      </c>
      <c r="AA186" s="4">
        <f>(Games[[#This Row],[Keff]]*Games[[#This Row],[MOVMult]])*(Games[[#This Row],[Result]]-Games[[#This Row],[ExpectedWin%]])</f>
        <v>-10.621725541305961</v>
      </c>
      <c r="AB186" s="4">
        <f>Games[[#This Row],[PreGmRate]]+Games[[#This Row],[RatingChange]]</f>
        <v>1446.8161278828272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37433</v>
      </c>
      <c r="B187" s="2">
        <v>2002</v>
      </c>
      <c r="C187" s="2">
        <f>COUNTIFS(Games[Team],Games[[#This Row],[Team]],Games[Season],Games[[#This Row],[Season]],Games[Date],"&lt;=" &amp; Games[[#This Row],[Date]])</f>
        <v>11</v>
      </c>
      <c r="D187" s="2" t="s">
        <v>23</v>
      </c>
      <c r="E187" s="2" t="s">
        <v>29</v>
      </c>
      <c r="F187" s="1" t="s">
        <v>44</v>
      </c>
      <c r="G187" s="1" t="s">
        <v>87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7" s="2">
        <f>Games[[#This Row],[DaysOff]]-Games[[#This Row],[OppDaysOff]]</f>
        <v>-2</v>
      </c>
      <c r="L187" s="2">
        <f>Games[[#This Row],[OppDaysOff]]-Games[[#This Row],[DaysOff]]</f>
        <v>2</v>
      </c>
      <c r="M187" s="1">
        <f>MAX(-16, MIN(16, Games[[#This Row],[RestDiff]]*8))</f>
        <v>-16</v>
      </c>
      <c r="N187" s="1">
        <f>MAX(-16, MIN(16, Games[[#This Row],[OppRestDiff]]*8))</f>
        <v>16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1500.8097314592765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1457.4378534241332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0.63390463408679465</v>
      </c>
      <c r="R187" s="1">
        <v>62</v>
      </c>
      <c r="S187" s="1">
        <v>53</v>
      </c>
      <c r="T187" s="1">
        <v>0</v>
      </c>
      <c r="U187" s="1">
        <f>Games[[#This Row],[PointsFor]]-Games[[#This Row],[PointsAgainst]]</f>
        <v>9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0.39181023890176958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74.349999999999994</v>
      </c>
      <c r="Z187" s="4">
        <f>Games[[#This Row],[K]]*Games[[#This Row],[POMult]]</f>
        <v>74.349999999999994</v>
      </c>
      <c r="AA187" s="4">
        <f>(Games[[#This Row],[Keff]]*Games[[#This Row],[MOVMult]])*(Games[[#This Row],[Result]]-Games[[#This Row],[ExpectedWin%]])</f>
        <v>10.664757515139746</v>
      </c>
      <c r="AB187" s="4">
        <f>Games[[#This Row],[PreGmRate]]+Games[[#This Row],[RatingChange]]</f>
        <v>1511.4744889744163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37433</v>
      </c>
      <c r="B188" s="2">
        <v>2002</v>
      </c>
      <c r="C188" s="2">
        <f>COUNTIFS(Games[Team],Games[[#This Row],[Team]],Games[Season],Games[[#This Row],[Season]],Games[Date],"&lt;=" &amp; Games[[#This Row],[Date]])</f>
        <v>11</v>
      </c>
      <c r="D188" s="2" t="s">
        <v>23</v>
      </c>
      <c r="E188" s="2" t="s">
        <v>29</v>
      </c>
      <c r="F188" s="1" t="s">
        <v>79</v>
      </c>
      <c r="G188" s="1" t="s">
        <v>89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8" s="2">
        <f>Games[[#This Row],[DaysOff]]-Games[[#This Row],[OppDaysOff]]</f>
        <v>2</v>
      </c>
      <c r="L188" s="2">
        <f>Games[[#This Row],[OppDaysOff]]-Games[[#This Row],[DaysOff]]</f>
        <v>-2</v>
      </c>
      <c r="M188" s="1">
        <f>MAX(-16, MIN(16, Games[[#This Row],[RestDiff]]*8))</f>
        <v>16</v>
      </c>
      <c r="N188" s="1">
        <f>MAX(-16, MIN(16, Games[[#This Row],[OppRestDiff]]*8))</f>
        <v>-16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1531.9064762550679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1397.2861212030509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0.61670857709733051</v>
      </c>
      <c r="R188" s="1">
        <v>57</v>
      </c>
      <c r="S188" s="1">
        <v>64</v>
      </c>
      <c r="T188" s="1">
        <v>0</v>
      </c>
      <c r="U188" s="1">
        <f>Games[[#This Row],[PointsFor]]-Games[[#This Row],[PointsAgainst]]</f>
        <v>-7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0.33277523851887758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74.349999999999994</v>
      </c>
      <c r="Z188" s="4">
        <f>Games[[#This Row],[K]]*Games[[#This Row],[POMult]]</f>
        <v>74.349999999999994</v>
      </c>
      <c r="AA188" s="4">
        <f>(Games[[#This Row],[Keff]]*Games[[#This Row],[MOVMult]])*(Games[[#This Row],[Result]]-Games[[#This Row],[ExpectedWin%]])</f>
        <v>-15.258504314519001</v>
      </c>
      <c r="AB188" s="4">
        <f>Games[[#This Row],[PreGmRate]]+Games[[#This Row],[RatingChange]]</f>
        <v>1516.6479719405488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37433</v>
      </c>
      <c r="B189" s="2">
        <v>2002</v>
      </c>
      <c r="C189" s="2">
        <f>COUNTIFS(Games[Team],Games[[#This Row],[Team]],Games[Season],Games[[#This Row],[Season]],Games[Date],"&lt;=" &amp; Games[[#This Row],[Date]])</f>
        <v>13</v>
      </c>
      <c r="D189" s="2" t="s">
        <v>23</v>
      </c>
      <c r="E189" s="2" t="s">
        <v>29</v>
      </c>
      <c r="F189" s="1" t="s">
        <v>89</v>
      </c>
      <c r="G189" s="1" t="s">
        <v>79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-2</v>
      </c>
      <c r="L189" s="2">
        <f>Games[[#This Row],[OppDaysOff]]-Games[[#This Row],[DaysOff]]</f>
        <v>2</v>
      </c>
      <c r="M189" s="1">
        <f>MAX(-16, MIN(16, Games[[#This Row],[RestDiff]]*8))</f>
        <v>-16</v>
      </c>
      <c r="N189" s="1">
        <f>MAX(-16, MIN(16, Games[[#This Row],[OppRestDiff]]*8))</f>
        <v>16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1397.2861212030509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1531.9064762550679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0.38329142290266954</v>
      </c>
      <c r="R189" s="1">
        <v>64</v>
      </c>
      <c r="S189" s="1">
        <v>57</v>
      </c>
      <c r="T189" s="1">
        <v>0</v>
      </c>
      <c r="U189" s="1">
        <f>Games[[#This Row],[PointsFor]]-Games[[#This Row],[PointsAgainst]]</f>
        <v>7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0.33277523851887758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74.05</v>
      </c>
      <c r="Z189" s="4">
        <f>Games[[#This Row],[K]]*Games[[#This Row],[POMult]]</f>
        <v>74.05</v>
      </c>
      <c r="AA189" s="4">
        <f>(Games[[#This Row],[Keff]]*Games[[#This Row],[MOVMult]])*(Games[[#This Row],[Result]]-Games[[#This Row],[ExpectedWin%]])</f>
        <v>15.196936711366938</v>
      </c>
      <c r="AB189" s="4">
        <f>Games[[#This Row],[PreGmRate]]+Games[[#This Row],[RatingChange]]</f>
        <v>1412.4830579144179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37434</v>
      </c>
      <c r="B190" s="2">
        <v>2002</v>
      </c>
      <c r="C190" s="2">
        <f>COUNTIFS(Games[Team],Games[[#This Row],[Team]],Games[Season],Games[[#This Row],[Season]],Games[Date],"&lt;=" &amp; Games[[#This Row],[Date]])</f>
        <v>12</v>
      </c>
      <c r="D190" s="2" t="s">
        <v>23</v>
      </c>
      <c r="E190" s="2" t="s">
        <v>29</v>
      </c>
      <c r="F190" s="1" t="s">
        <v>45</v>
      </c>
      <c r="G190" s="1" t="s">
        <v>1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1457.9685658051976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1514.1828326138525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0.30850066266307707</v>
      </c>
      <c r="R190" s="1">
        <v>50</v>
      </c>
      <c r="S190" s="1">
        <v>73</v>
      </c>
      <c r="T190" s="1">
        <v>0</v>
      </c>
      <c r="U190" s="1">
        <f>Games[[#This Row],[PointsFor]]-Games[[#This Row],[PointsAgainst]]</f>
        <v>-23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0.58780205143681519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74.2</v>
      </c>
      <c r="Z190" s="4">
        <f>Games[[#This Row],[K]]*Games[[#This Row],[POMult]]</f>
        <v>74.2</v>
      </c>
      <c r="AA190" s="4">
        <f>(Games[[#This Row],[Keff]]*Games[[#This Row],[MOVMult]])*(Games[[#This Row],[Result]]-Games[[#This Row],[ExpectedWin%]])</f>
        <v>-13.45522932081664</v>
      </c>
      <c r="AB190" s="4">
        <f>Games[[#This Row],[PreGmRate]]+Games[[#This Row],[RatingChange]]</f>
        <v>1444.5133364843809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37434</v>
      </c>
      <c r="B191" s="2">
        <v>2002</v>
      </c>
      <c r="C191" s="2">
        <f>COUNTIFS(Games[Team],Games[[#This Row],[Team]],Games[Season],Games[[#This Row],[Season]],Games[Date],"&lt;=" &amp; Games[[#This Row],[Date]])</f>
        <v>11</v>
      </c>
      <c r="D191" s="2" t="s">
        <v>23</v>
      </c>
      <c r="E191" s="2" t="s">
        <v>29</v>
      </c>
      <c r="F191" s="1" t="s">
        <v>1</v>
      </c>
      <c r="G191" s="1" t="s">
        <v>45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1514.1828326138525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1457.9685658051976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0.69149933733692293</v>
      </c>
      <c r="R191" s="1">
        <v>73</v>
      </c>
      <c r="S191" s="1">
        <v>50</v>
      </c>
      <c r="T191" s="1">
        <v>0</v>
      </c>
      <c r="U191" s="1">
        <f>Games[[#This Row],[PointsFor]]-Games[[#This Row],[PointsAgainst]]</f>
        <v>23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0.58780205143681519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74.349999999999994</v>
      </c>
      <c r="Z191" s="4">
        <f>Games[[#This Row],[K]]*Games[[#This Row],[POMult]]</f>
        <v>74.349999999999994</v>
      </c>
      <c r="AA191" s="4">
        <f>(Games[[#This Row],[Keff]]*Games[[#This Row],[MOVMult]])*(Games[[#This Row],[Result]]-Games[[#This Row],[ExpectedWin%]])</f>
        <v>13.482429919174086</v>
      </c>
      <c r="AB191" s="4">
        <f>Games[[#This Row],[PreGmRate]]+Games[[#This Row],[RatingChange]]</f>
        <v>1527.6652625330266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37434</v>
      </c>
      <c r="B192" s="2">
        <v>2002</v>
      </c>
      <c r="C192" s="2">
        <f>COUNTIFS(Games[Team],Games[[#This Row],[Team]],Games[Season],Games[[#This Row],[Season]],Games[Date],"&lt;=" &amp; Games[[#This Row],[Date]])</f>
        <v>13</v>
      </c>
      <c r="D192" s="2" t="s">
        <v>23</v>
      </c>
      <c r="E192" s="2" t="s">
        <v>29</v>
      </c>
      <c r="F192" s="1" t="s">
        <v>75</v>
      </c>
      <c r="G192" s="1" t="s">
        <v>71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0</v>
      </c>
      <c r="L192" s="2">
        <f>Games[[#This Row],[OppDaysOff]]-Games[[#This Row],[DaysOff]]</f>
        <v>0</v>
      </c>
      <c r="M192" s="1">
        <f>MAX(-16, MIN(16, Games[[#This Row],[RestDiff]]*8))</f>
        <v>0</v>
      </c>
      <c r="N192" s="1">
        <f>MAX(-16, MIN(16, Games[[#This Row],[OppRestDiff]]*8))</f>
        <v>0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1549.1271899845788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1692.3713237062618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0.21280120634094354</v>
      </c>
      <c r="R192" s="1">
        <v>69</v>
      </c>
      <c r="S192" s="1">
        <v>73</v>
      </c>
      <c r="T192" s="1">
        <v>0</v>
      </c>
      <c r="U192" s="1">
        <f>Games[[#This Row],[PointsFor]]-Games[[#This Row],[PointsAgainst]]</f>
        <v>-4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0.27822141374197057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74.05</v>
      </c>
      <c r="Z192" s="4">
        <f>Games[[#This Row],[K]]*Games[[#This Row],[POMult]]</f>
        <v>74.05</v>
      </c>
      <c r="AA192" s="4">
        <f>(Games[[#This Row],[Keff]]*Games[[#This Row],[MOVMult]])*(Games[[#This Row],[Result]]-Games[[#This Row],[ExpectedWin%]])</f>
        <v>-4.3841933757125924</v>
      </c>
      <c r="AB192" s="4">
        <f>Games[[#This Row],[PreGmRate]]+Games[[#This Row],[RatingChange]]</f>
        <v>1544.7429966088662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37434</v>
      </c>
      <c r="B193" s="2">
        <v>2002</v>
      </c>
      <c r="C193" s="2">
        <f>COUNTIFS(Games[Team],Games[[#This Row],[Team]],Games[Season],Games[[#This Row],[Season]],Games[Date],"&lt;=" &amp; Games[[#This Row],[Date]])</f>
        <v>12</v>
      </c>
      <c r="D193" s="2" t="s">
        <v>23</v>
      </c>
      <c r="E193" s="2" t="s">
        <v>29</v>
      </c>
      <c r="F193" s="1" t="s">
        <v>71</v>
      </c>
      <c r="G193" s="1" t="s">
        <v>75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0</v>
      </c>
      <c r="L193" s="2">
        <f>Games[[#This Row],[OppDaysOff]]-Games[[#This Row],[DaysOff]]</f>
        <v>0</v>
      </c>
      <c r="M193" s="1">
        <f>MAX(-16, MIN(16, Games[[#This Row],[RestDiff]]*8))</f>
        <v>0</v>
      </c>
      <c r="N193" s="1">
        <f>MAX(-16, MIN(16, Games[[#This Row],[OppRestDiff]]*8))</f>
        <v>0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1692.3713237062618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1549.1271899845788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0.78719879365905643</v>
      </c>
      <c r="R193" s="1">
        <v>73</v>
      </c>
      <c r="S193" s="1">
        <v>69</v>
      </c>
      <c r="T193" s="1">
        <v>0</v>
      </c>
      <c r="U193" s="1">
        <f>Games[[#This Row],[PointsFor]]-Games[[#This Row],[PointsAgainst]]</f>
        <v>4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0.27822141374197057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74.2</v>
      </c>
      <c r="Z193" s="4">
        <f>Games[[#This Row],[K]]*Games[[#This Row],[POMult]]</f>
        <v>74.2</v>
      </c>
      <c r="AA193" s="4">
        <f>(Games[[#This Row],[Keff]]*Games[[#This Row],[MOVMult]])*(Games[[#This Row],[Result]]-Games[[#This Row],[ExpectedWin%]])</f>
        <v>4.3930742535837188</v>
      </c>
      <c r="AB193" s="4">
        <f>Games[[#This Row],[PreGmRate]]+Games[[#This Row],[RatingChange]]</f>
        <v>1696.7643979598456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37434</v>
      </c>
      <c r="B194" s="2">
        <v>2002</v>
      </c>
      <c r="C194" s="2">
        <f>COUNTIFS(Games[Team],Games[[#This Row],[Team]],Games[Season],Games[[#This Row],[Season]],Games[Date],"&lt;=" &amp; Games[[#This Row],[Date]])</f>
        <v>12</v>
      </c>
      <c r="D194" s="2" t="s">
        <v>23</v>
      </c>
      <c r="E194" s="2" t="s">
        <v>29</v>
      </c>
      <c r="F194" s="1" t="s">
        <v>79</v>
      </c>
      <c r="G194" s="1" t="s">
        <v>87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1516.6479719405488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1446.8161278828272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0.47962167934379563</v>
      </c>
      <c r="R194" s="1">
        <v>71</v>
      </c>
      <c r="S194" s="1">
        <v>73</v>
      </c>
      <c r="T194" s="1">
        <v>0</v>
      </c>
      <c r="U194" s="1">
        <f>Games[[#This Row],[PointsFor]]-Games[[#This Row],[PointsAgainst]]</f>
        <v>-2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0.25311192696549972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74.2</v>
      </c>
      <c r="Z194" s="4">
        <f>Games[[#This Row],[K]]*Games[[#This Row],[POMult]]</f>
        <v>74.2</v>
      </c>
      <c r="AA194" s="4">
        <f>(Games[[#This Row],[Keff]]*Games[[#This Row],[MOVMult]])*(Games[[#This Row],[Result]]-Games[[#This Row],[ExpectedWin%]])</f>
        <v>-9.0077291865067757</v>
      </c>
      <c r="AB194" s="4">
        <f>Games[[#This Row],[PreGmRate]]+Games[[#This Row],[RatingChange]]</f>
        <v>1507.640242754042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37434</v>
      </c>
      <c r="B195" s="2">
        <v>2002</v>
      </c>
      <c r="C195" s="2">
        <f>COUNTIFS(Games[Team],Games[[#This Row],[Team]],Games[Season],Games[[#This Row],[Season]],Games[Date],"&lt;=" &amp; Games[[#This Row],[Date]])</f>
        <v>14</v>
      </c>
      <c r="D195" s="2" t="s">
        <v>23</v>
      </c>
      <c r="E195" s="2" t="s">
        <v>29</v>
      </c>
      <c r="F195" s="1" t="s">
        <v>87</v>
      </c>
      <c r="G195" s="1" t="s">
        <v>79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1446.8161278828272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1516.6479719405488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0.52037832065620426</v>
      </c>
      <c r="R195" s="1">
        <v>73</v>
      </c>
      <c r="S195" s="1">
        <v>71</v>
      </c>
      <c r="T195" s="1">
        <v>0</v>
      </c>
      <c r="U195" s="1">
        <f>Games[[#This Row],[PointsFor]]-Games[[#This Row],[PointsAgainst]]</f>
        <v>2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0.25311192696549972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73.900000000000006</v>
      </c>
      <c r="Z195" s="4">
        <f>Games[[#This Row],[K]]*Games[[#This Row],[POMult]]</f>
        <v>73.900000000000006</v>
      </c>
      <c r="AA195" s="4">
        <f>(Games[[#This Row],[Keff]]*Games[[#This Row],[MOVMult]])*(Games[[#This Row],[Result]]-Games[[#This Row],[ExpectedWin%]])</f>
        <v>8.9713097962648369</v>
      </c>
      <c r="AB195" s="4">
        <f>Games[[#This Row],[PreGmRate]]+Games[[#This Row],[RatingChange]]</f>
        <v>1455.7874376790921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37435</v>
      </c>
      <c r="B196" s="2">
        <v>2002</v>
      </c>
      <c r="C196" s="2">
        <f>COUNTIFS(Games[Team],Games[[#This Row],[Team]],Games[Season],Games[[#This Row],[Season]],Games[Date],"&lt;=" &amp; Games[[#This Row],[Date]])</f>
        <v>12</v>
      </c>
      <c r="D196" s="2" t="s">
        <v>23</v>
      </c>
      <c r="E196" s="2" t="s">
        <v>29</v>
      </c>
      <c r="F196" s="1" t="s">
        <v>83</v>
      </c>
      <c r="G196" s="1" t="s">
        <v>77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1</v>
      </c>
      <c r="L196" s="2">
        <f>Games[[#This Row],[OppDaysOff]]-Games[[#This Row],[DaysOff]]</f>
        <v>-1</v>
      </c>
      <c r="M196" s="1">
        <f>MAX(-16, MIN(16, Games[[#This Row],[RestDiff]]*8))</f>
        <v>8</v>
      </c>
      <c r="N196" s="1">
        <f>MAX(-16, MIN(16, Games[[#This Row],[OppRestDiff]]*8))</f>
        <v>-8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1441.9282135477358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1329.728808759711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0.56326712054135819</v>
      </c>
      <c r="R196" s="1">
        <v>78</v>
      </c>
      <c r="S196" s="1">
        <v>74</v>
      </c>
      <c r="T196" s="1">
        <v>1</v>
      </c>
      <c r="U196" s="1">
        <f>Games[[#This Row],[PointsFor]]-Games[[#This Row],[PointsAgainst]]</f>
        <v>4</v>
      </c>
      <c r="V196" s="1">
        <f>IF(Games[[#This Row],[MOV]]&gt;0,1,IF(Games[[#This Row],[MOV]]=0,0.5,0))</f>
        <v>1</v>
      </c>
      <c r="W196" s="4">
        <f>((ABS(Games[[#This Row],[MOV]])+5)^0.6)/(12+0.01*(ABS(Games[[#This Row],[PreGmRate]]-Games[[#This Row],[OppPreGmRate]])))*IF(Games[[#This Row],[OT]]=1,0.9,1)</f>
        <v>0.25632335487190977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74.2</v>
      </c>
      <c r="Z196" s="4">
        <f>Games[[#This Row],[K]]*Games[[#This Row],[POMult]]</f>
        <v>74.2</v>
      </c>
      <c r="AA196" s="4">
        <f>(Games[[#This Row],[Keff]]*Games[[#This Row],[MOVMult]])*(Games[[#This Row],[Result]]-Games[[#This Row],[ExpectedWin%]])</f>
        <v>8.3063068939515663</v>
      </c>
      <c r="AB196" s="4">
        <f>Games[[#This Row],[PreGmRate]]+Games[[#This Row],[RatingChange]]</f>
        <v>1450.2345204416874</v>
      </c>
      <c r="AC196" s="2">
        <f>IF(Games[[#This Row],[Type]]="R",IF(Games[[#This Row],[Result]]&gt;0.5,1,0),0)</f>
        <v>1</v>
      </c>
      <c r="AD196" s="2">
        <f>IF(Games[[#This Row],[Type]]="R",IF(Games[[#This Row],[Result]]&lt;0.5,1,0),0)</f>
        <v>0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37435</v>
      </c>
      <c r="B197" s="2">
        <v>2002</v>
      </c>
      <c r="C197" s="2">
        <f>COUNTIFS(Games[Team],Games[[#This Row],[Team]],Games[Season],Games[[#This Row],[Season]],Games[Date],"&lt;=" &amp; Games[[#This Row],[Date]])</f>
        <v>13</v>
      </c>
      <c r="D197" s="2" t="s">
        <v>23</v>
      </c>
      <c r="E197" s="2" t="s">
        <v>29</v>
      </c>
      <c r="F197" s="1" t="s">
        <v>77</v>
      </c>
      <c r="G197" s="1" t="s">
        <v>83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7" s="2">
        <f>Games[[#This Row],[DaysOff]]-Games[[#This Row],[OppDaysOff]]</f>
        <v>-1</v>
      </c>
      <c r="L197" s="2">
        <f>Games[[#This Row],[OppDaysOff]]-Games[[#This Row],[DaysOff]]</f>
        <v>1</v>
      </c>
      <c r="M197" s="1">
        <f>MAX(-16, MIN(16, Games[[#This Row],[RestDiff]]*8))</f>
        <v>-8</v>
      </c>
      <c r="N197" s="1">
        <f>MAX(-16, MIN(16, Games[[#This Row],[OppRestDiff]]*8))</f>
        <v>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1329.728808759711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1441.9282135477358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0.43673287945864175</v>
      </c>
      <c r="R197" s="1">
        <v>74</v>
      </c>
      <c r="S197" s="1">
        <v>78</v>
      </c>
      <c r="T197" s="1">
        <v>1</v>
      </c>
      <c r="U197" s="1">
        <f>Games[[#This Row],[PointsFor]]-Games[[#This Row],[PointsAgainst]]</f>
        <v>-4</v>
      </c>
      <c r="V197" s="1">
        <f>IF(Games[[#This Row],[MOV]]&gt;0,1,IF(Games[[#This Row],[MOV]]=0,0.5,0))</f>
        <v>0</v>
      </c>
      <c r="W197" s="4">
        <f>((ABS(Games[[#This Row],[MOV]])+5)^0.6)/(12+0.01*(ABS(Games[[#This Row],[PreGmRate]]-Games[[#This Row],[OppPreGmRate]])))*IF(Games[[#This Row],[OT]]=1,0.9,1)</f>
        <v>0.25632335487190977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74.05</v>
      </c>
      <c r="Z197" s="4">
        <f>Games[[#This Row],[K]]*Games[[#This Row],[POMult]]</f>
        <v>74.05</v>
      </c>
      <c r="AA197" s="4">
        <f>(Games[[#This Row],[Keff]]*Games[[#This Row],[MOVMult]])*(Games[[#This Row],[Result]]-Games[[#This Row],[ExpectedWin%]])</f>
        <v>-8.2895151684247086</v>
      </c>
      <c r="AB197" s="4">
        <f>Games[[#This Row],[PreGmRate]]+Games[[#This Row],[RatingChange]]</f>
        <v>1321.4392935912863</v>
      </c>
      <c r="AC197" s="2">
        <f>IF(Games[[#This Row],[Type]]="R",IF(Games[[#This Row],[Result]]&gt;0.5,1,0),0)</f>
        <v>0</v>
      </c>
      <c r="AD197" s="2">
        <f>IF(Games[[#This Row],[Type]]="R",IF(Games[[#This Row],[Result]]&lt;0.5,1,0),0)</f>
        <v>1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37435</v>
      </c>
      <c r="B198" s="2">
        <v>2002</v>
      </c>
      <c r="C198" s="2">
        <f>COUNTIFS(Games[Team],Games[[#This Row],[Team]],Games[Season],Games[[#This Row],[Season]],Games[Date],"&lt;=" &amp; Games[[#This Row],[Date]])</f>
        <v>12</v>
      </c>
      <c r="D198" s="2" t="s">
        <v>23</v>
      </c>
      <c r="E198" s="2" t="s">
        <v>29</v>
      </c>
      <c r="F198" s="1" t="s">
        <v>43</v>
      </c>
      <c r="G198" s="1" t="s">
        <v>2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1550.1426138824672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1606.6048385343895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0.30819625004502965</v>
      </c>
      <c r="R198" s="1">
        <v>57</v>
      </c>
      <c r="S198" s="1">
        <v>73</v>
      </c>
      <c r="T198" s="1">
        <v>0</v>
      </c>
      <c r="U198" s="1">
        <f>Games[[#This Row],[PointsFor]]-Games[[#This Row],[PointsAgainst]]</f>
        <v>-16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0.49451804164522734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74.2</v>
      </c>
      <c r="Z198" s="4">
        <f>Games[[#This Row],[K]]*Games[[#This Row],[POMult]]</f>
        <v>74.2</v>
      </c>
      <c r="AA198" s="4">
        <f>(Games[[#This Row],[Keff]]*Games[[#This Row],[MOVMult]])*(Games[[#This Row],[Result]]-Games[[#This Row],[ExpectedWin%]])</f>
        <v>-11.308718566288579</v>
      </c>
      <c r="AB198" s="4">
        <f>Games[[#This Row],[PreGmRate]]+Games[[#This Row],[RatingChange]]</f>
        <v>1538.8338953161785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37435</v>
      </c>
      <c r="B199" s="2">
        <v>2002</v>
      </c>
      <c r="C199" s="2">
        <f>COUNTIFS(Games[Team],Games[[#This Row],[Team]],Games[Season],Games[[#This Row],[Season]],Games[Date],"&lt;=" &amp; Games[[#This Row],[Date]])</f>
        <v>14</v>
      </c>
      <c r="D199" s="2" t="s">
        <v>23</v>
      </c>
      <c r="E199" s="2" t="s">
        <v>29</v>
      </c>
      <c r="F199" s="1" t="s">
        <v>2</v>
      </c>
      <c r="G199" s="1" t="s">
        <v>43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1606.6048385343895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1550.1426138824672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0.6918037499549704</v>
      </c>
      <c r="R199" s="1">
        <v>73</v>
      </c>
      <c r="S199" s="1">
        <v>57</v>
      </c>
      <c r="T199" s="1">
        <v>0</v>
      </c>
      <c r="U199" s="1">
        <f>Games[[#This Row],[PointsFor]]-Games[[#This Row],[PointsAgainst]]</f>
        <v>16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0.49451804164522734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73.900000000000006</v>
      </c>
      <c r="Z199" s="4">
        <f>Games[[#This Row],[K]]*Games[[#This Row],[POMult]]</f>
        <v>73.900000000000006</v>
      </c>
      <c r="AA199" s="4">
        <f>(Games[[#This Row],[Keff]]*Games[[#This Row],[MOVMult]])*(Games[[#This Row],[Result]]-Games[[#This Row],[ExpectedWin%]])</f>
        <v>11.262995984484176</v>
      </c>
      <c r="AB199" s="4">
        <f>Games[[#This Row],[PreGmRate]]+Games[[#This Row],[RatingChange]]</f>
        <v>1617.8678345188737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37435</v>
      </c>
      <c r="B200" s="2">
        <v>2002</v>
      </c>
      <c r="C200" s="2">
        <f>COUNTIFS(Games[Team],Games[[#This Row],[Team]],Games[Season],Games[[#This Row],[Season]],Games[Date],"&lt;=" &amp; Games[[#This Row],[Date]])</f>
        <v>13</v>
      </c>
      <c r="D200" s="2" t="s">
        <v>23</v>
      </c>
      <c r="E200" s="2" t="s">
        <v>29</v>
      </c>
      <c r="F200" s="1" t="s">
        <v>45</v>
      </c>
      <c r="G200" s="1" t="s">
        <v>85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1444.5133364843809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1430.4943076266695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0.35731208530696651</v>
      </c>
      <c r="R200" s="1">
        <v>60</v>
      </c>
      <c r="S200" s="1">
        <v>67</v>
      </c>
      <c r="T200" s="1">
        <v>0</v>
      </c>
      <c r="U200" s="1">
        <f>Games[[#This Row],[PointsFor]]-Games[[#This Row],[PointsAgainst]]</f>
        <v>-7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0.36583331597567398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74.05</v>
      </c>
      <c r="Z200" s="4">
        <f>Games[[#This Row],[K]]*Games[[#This Row],[POMult]]</f>
        <v>74.05</v>
      </c>
      <c r="AA200" s="4">
        <f>(Games[[#This Row],[Keff]]*Games[[#This Row],[MOVMult]])*(Games[[#This Row],[Result]]-Games[[#This Row],[ExpectedWin%]])</f>
        <v>-9.6795690436965547</v>
      </c>
      <c r="AB200" s="4">
        <f>Games[[#This Row],[PreGmRate]]+Games[[#This Row],[RatingChange]]</f>
        <v>1434.8337674406844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37435</v>
      </c>
      <c r="B201" s="2">
        <v>2002</v>
      </c>
      <c r="C201" s="2">
        <f>COUNTIFS(Games[Team],Games[[#This Row],[Team]],Games[Season],Games[[#This Row],[Season]],Games[Date],"&lt;=" &amp; Games[[#This Row],[Date]])</f>
        <v>13</v>
      </c>
      <c r="D201" s="2" t="s">
        <v>23</v>
      </c>
      <c r="E201" s="2" t="s">
        <v>29</v>
      </c>
      <c r="F201" s="1" t="s">
        <v>85</v>
      </c>
      <c r="G201" s="1" t="s">
        <v>45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1430.4943076266695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1444.5133364843809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0.64268791469303344</v>
      </c>
      <c r="R201" s="1">
        <v>67</v>
      </c>
      <c r="S201" s="1">
        <v>60</v>
      </c>
      <c r="T201" s="1">
        <v>0</v>
      </c>
      <c r="U201" s="1">
        <f>Games[[#This Row],[PointsFor]]-Games[[#This Row],[PointsAgainst]]</f>
        <v>7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0.36583331597567398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74.05</v>
      </c>
      <c r="Z201" s="4">
        <f>Games[[#This Row],[K]]*Games[[#This Row],[POMult]]</f>
        <v>74.05</v>
      </c>
      <c r="AA201" s="4">
        <f>(Games[[#This Row],[Keff]]*Games[[#This Row],[MOVMult]])*(Games[[#This Row],[Result]]-Games[[#This Row],[ExpectedWin%]])</f>
        <v>9.6795690436965565</v>
      </c>
      <c r="AB201" s="4">
        <f>Games[[#This Row],[PreGmRate]]+Games[[#This Row],[RatingChange]]</f>
        <v>1440.1738766703661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37435</v>
      </c>
      <c r="B202" s="2">
        <v>2002</v>
      </c>
      <c r="C202" s="2">
        <f>COUNTIFS(Games[Team],Games[[#This Row],[Team]],Games[Season],Games[[#This Row],[Season]],Games[Date],"&lt;=" &amp; Games[[#This Row],[Date]])</f>
        <v>12</v>
      </c>
      <c r="D202" s="2" t="s">
        <v>23</v>
      </c>
      <c r="E202" s="2" t="s">
        <v>29</v>
      </c>
      <c r="F202" s="1" t="s">
        <v>1</v>
      </c>
      <c r="G202" s="1" t="s">
        <v>66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2" s="2">
        <f>Games[[#This Row],[DaysOff]]-Games[[#This Row],[OppDaysOff]]</f>
        <v>-2</v>
      </c>
      <c r="L202" s="2">
        <f>Games[[#This Row],[OppDaysOff]]-Games[[#This Row],[DaysOff]]</f>
        <v>2</v>
      </c>
      <c r="M202" s="1">
        <f>MAX(-16, MIN(16, Games[[#This Row],[RestDiff]]*8))</f>
        <v>-16</v>
      </c>
      <c r="N202" s="1">
        <f>MAX(-16, MIN(16, Games[[#This Row],[OppRestDiff]]*8))</f>
        <v>16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1527.6652625330266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1541.0079194467021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0.32200863623827941</v>
      </c>
      <c r="R202" s="1">
        <v>67</v>
      </c>
      <c r="S202" s="1">
        <v>58</v>
      </c>
      <c r="T202" s="1">
        <v>0</v>
      </c>
      <c r="U202" s="1">
        <f>Games[[#This Row],[PointsFor]]-Games[[#This Row],[PointsAgainst]]</f>
        <v>9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0.40150721628453501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74.2</v>
      </c>
      <c r="Z202" s="4">
        <f>Games[[#This Row],[K]]*Games[[#This Row],[POMult]]</f>
        <v>74.2</v>
      </c>
      <c r="AA202" s="4">
        <f>(Games[[#This Row],[Keff]]*Games[[#This Row],[MOVMult]])*(Games[[#This Row],[Result]]-Games[[#This Row],[ExpectedWin%]])</f>
        <v>20.198607144566157</v>
      </c>
      <c r="AB202" s="4">
        <f>Games[[#This Row],[PreGmRate]]+Games[[#This Row],[RatingChange]]</f>
        <v>1547.8638696775929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37435</v>
      </c>
      <c r="B203" s="2">
        <v>2002</v>
      </c>
      <c r="C203" s="2">
        <f>COUNTIFS(Games[Team],Games[[#This Row],[Team]],Games[Season],Games[[#This Row],[Season]],Games[Date],"&lt;=" &amp; Games[[#This Row],[Date]])</f>
        <v>15</v>
      </c>
      <c r="D203" s="2" t="s">
        <v>23</v>
      </c>
      <c r="E203" s="2" t="s">
        <v>29</v>
      </c>
      <c r="F203" s="1" t="s">
        <v>66</v>
      </c>
      <c r="G203" s="1" t="s">
        <v>1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3" s="2">
        <f>Games[[#This Row],[DaysOff]]-Games[[#This Row],[OppDaysOff]]</f>
        <v>2</v>
      </c>
      <c r="L203" s="2">
        <f>Games[[#This Row],[OppDaysOff]]-Games[[#This Row],[DaysOff]]</f>
        <v>-2</v>
      </c>
      <c r="M203" s="1">
        <f>MAX(-16, MIN(16, Games[[#This Row],[RestDiff]]*8))</f>
        <v>16</v>
      </c>
      <c r="N203" s="1">
        <f>MAX(-16, MIN(16, Games[[#This Row],[OppRestDiff]]*8))</f>
        <v>-16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1541.0079194467021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1527.6652625330266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0.67799136376172064</v>
      </c>
      <c r="R203" s="1">
        <v>58</v>
      </c>
      <c r="S203" s="1">
        <v>67</v>
      </c>
      <c r="T203" s="1">
        <v>0</v>
      </c>
      <c r="U203" s="1">
        <f>Games[[#This Row],[PointsFor]]-Games[[#This Row],[PointsAgainst]]</f>
        <v>-9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0.40150721628453501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73.75</v>
      </c>
      <c r="Z203" s="4">
        <f>Games[[#This Row],[K]]*Games[[#This Row],[POMult]]</f>
        <v>73.75</v>
      </c>
      <c r="AA203" s="4">
        <f>(Games[[#This Row],[Keff]]*Games[[#This Row],[MOVMult]])*(Games[[#This Row],[Result]]-Games[[#This Row],[ExpectedWin%]])</f>
        <v>-20.076108853258148</v>
      </c>
      <c r="AB203" s="4">
        <f>Games[[#This Row],[PreGmRate]]+Games[[#This Row],[RatingChange]]</f>
        <v>1520.931810593444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37435</v>
      </c>
      <c r="B204" s="2">
        <v>2002</v>
      </c>
      <c r="C204" s="2">
        <f>COUNTIFS(Games[Team],Games[[#This Row],[Team]],Games[Season],Games[[#This Row],[Season]],Games[Date],"&lt;=" &amp; Games[[#This Row],[Date]])</f>
        <v>13</v>
      </c>
      <c r="D204" s="2" t="s">
        <v>23</v>
      </c>
      <c r="E204" s="2" t="s">
        <v>29</v>
      </c>
      <c r="F204" s="1" t="s">
        <v>71</v>
      </c>
      <c r="G204" s="1" t="s">
        <v>44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4" s="2">
        <f>Games[[#This Row],[DaysOff]]-Games[[#This Row],[OppDaysOff]]</f>
        <v>-1</v>
      </c>
      <c r="L204" s="2">
        <f>Games[[#This Row],[OppDaysOff]]-Games[[#This Row],[DaysOff]]</f>
        <v>1</v>
      </c>
      <c r="M204" s="1">
        <f>MAX(-16, MIN(16, Games[[#This Row],[RestDiff]]*8))</f>
        <v>-8</v>
      </c>
      <c r="N204" s="1">
        <f>MAX(-16, MIN(16, Games[[#This Row],[OppRestDiff]]*8))</f>
        <v>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1696.7643979598456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1511.4744889744163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0.62033448486866916</v>
      </c>
      <c r="R204" s="1">
        <v>84</v>
      </c>
      <c r="S204" s="1">
        <v>72</v>
      </c>
      <c r="T204" s="1">
        <v>0</v>
      </c>
      <c r="U204" s="1">
        <f>Games[[#This Row],[PointsFor]]-Games[[#This Row],[PointsAgainst]]</f>
        <v>12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0.39511969887424192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74.05</v>
      </c>
      <c r="Z204" s="4">
        <f>Games[[#This Row],[K]]*Games[[#This Row],[POMult]]</f>
        <v>74.05</v>
      </c>
      <c r="AA204" s="4">
        <f>(Games[[#This Row],[Keff]]*Games[[#This Row],[MOVMult]])*(Games[[#This Row],[Result]]-Games[[#This Row],[ExpectedWin%]])</f>
        <v>11.108486643060859</v>
      </c>
      <c r="AB204" s="4">
        <f>Games[[#This Row],[PreGmRate]]+Games[[#This Row],[RatingChange]]</f>
        <v>1707.8728846029064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37435</v>
      </c>
      <c r="B205" s="2">
        <v>2002</v>
      </c>
      <c r="C205" s="2">
        <f>COUNTIFS(Games[Team],Games[[#This Row],[Team]],Games[Season],Games[[#This Row],[Season]],Games[Date],"&lt;=" &amp; Games[[#This Row],[Date]])</f>
        <v>12</v>
      </c>
      <c r="D205" s="2" t="s">
        <v>23</v>
      </c>
      <c r="E205" s="2" t="s">
        <v>29</v>
      </c>
      <c r="F205" s="1" t="s">
        <v>44</v>
      </c>
      <c r="G205" s="1" t="s">
        <v>71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5" s="2">
        <f>Games[[#This Row],[DaysOff]]-Games[[#This Row],[OppDaysOff]]</f>
        <v>1</v>
      </c>
      <c r="L205" s="2">
        <f>Games[[#This Row],[OppDaysOff]]-Games[[#This Row],[DaysOff]]</f>
        <v>-1</v>
      </c>
      <c r="M205" s="1">
        <f>MAX(-16, MIN(16, Games[[#This Row],[RestDiff]]*8))</f>
        <v>8</v>
      </c>
      <c r="N205" s="1">
        <f>MAX(-16, MIN(16, Games[[#This Row],[OppRestDiff]]*8))</f>
        <v>-8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1511.4744889744163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1696.7643979598456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0.37966551513133084</v>
      </c>
      <c r="R205" s="1">
        <v>72</v>
      </c>
      <c r="S205" s="1">
        <v>84</v>
      </c>
      <c r="T205" s="1">
        <v>0</v>
      </c>
      <c r="U205" s="1">
        <f>Games[[#This Row],[PointsFor]]-Games[[#This Row],[PointsAgainst]]</f>
        <v>-12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0.39511969887424192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74.2</v>
      </c>
      <c r="Z205" s="4">
        <f>Games[[#This Row],[K]]*Games[[#This Row],[POMult]]</f>
        <v>74.2</v>
      </c>
      <c r="AA205" s="4">
        <f>(Games[[#This Row],[Keff]]*Games[[#This Row],[MOVMult]])*(Games[[#This Row],[Result]]-Games[[#This Row],[ExpectedWin%]])</f>
        <v>-11.130988641662604</v>
      </c>
      <c r="AB205" s="4">
        <f>Games[[#This Row],[PreGmRate]]+Games[[#This Row],[RatingChange]]</f>
        <v>1500.3435003327538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37435</v>
      </c>
      <c r="B206" s="2">
        <v>2002</v>
      </c>
      <c r="C206" s="2">
        <f>COUNTIFS(Games[Team],Games[[#This Row],[Team]],Games[Season],Games[[#This Row],[Season]],Games[Date],"&lt;=" &amp; Games[[#This Row],[Date]])</f>
        <v>14</v>
      </c>
      <c r="D206" s="2" t="s">
        <v>23</v>
      </c>
      <c r="E206" s="2" t="s">
        <v>29</v>
      </c>
      <c r="F206" s="1" t="s">
        <v>75</v>
      </c>
      <c r="G206" s="1" t="s">
        <v>89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6" s="2">
        <f>Games[[#This Row],[DaysOff]]-Games[[#This Row],[OppDaysOff]]</f>
        <v>-1</v>
      </c>
      <c r="L206" s="2">
        <f>Games[[#This Row],[OppDaysOff]]-Games[[#This Row],[DaysOff]]</f>
        <v>1</v>
      </c>
      <c r="M206" s="1">
        <f>MAX(-16, MIN(16, Games[[#This Row],[RestDiff]]*8))</f>
        <v>-8</v>
      </c>
      <c r="N206" s="1">
        <f>MAX(-16, MIN(16, Games[[#This Row],[OppRestDiff]]*8))</f>
        <v>8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1544.7429966088662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1412.4830579144179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0.54629282358730658</v>
      </c>
      <c r="R206" s="1">
        <v>66</v>
      </c>
      <c r="S206" s="1">
        <v>72</v>
      </c>
      <c r="T206" s="1">
        <v>0</v>
      </c>
      <c r="U206" s="1">
        <f>Games[[#This Row],[PointsFor]]-Games[[#This Row],[PointsAgainst]]</f>
        <v>-6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0.31640740749307245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73.900000000000006</v>
      </c>
      <c r="Z206" s="4">
        <f>Games[[#This Row],[K]]*Games[[#This Row],[POMult]]</f>
        <v>73.900000000000006</v>
      </c>
      <c r="AA206" s="4">
        <f>(Games[[#This Row],[Keff]]*Games[[#This Row],[MOVMult]])*(Games[[#This Row],[Result]]-Games[[#This Row],[ExpectedWin%]])</f>
        <v>-12.773695997602092</v>
      </c>
      <c r="AB206" s="4">
        <f>Games[[#This Row],[PreGmRate]]+Games[[#This Row],[RatingChange]]</f>
        <v>1531.9693006112641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37435</v>
      </c>
      <c r="B207" s="2">
        <v>2002</v>
      </c>
      <c r="C207" s="2">
        <f>COUNTIFS(Games[Team],Games[[#This Row],[Team]],Games[Season],Games[[#This Row],[Season]],Games[Date],"&lt;=" &amp; Games[[#This Row],[Date]])</f>
        <v>14</v>
      </c>
      <c r="D207" s="2" t="s">
        <v>23</v>
      </c>
      <c r="E207" s="2" t="s">
        <v>29</v>
      </c>
      <c r="F207" s="1" t="s">
        <v>89</v>
      </c>
      <c r="G207" s="1" t="s">
        <v>75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7" s="2">
        <f>Games[[#This Row],[DaysOff]]-Games[[#This Row],[OppDaysOff]]</f>
        <v>1</v>
      </c>
      <c r="L207" s="2">
        <f>Games[[#This Row],[OppDaysOff]]-Games[[#This Row],[DaysOff]]</f>
        <v>-1</v>
      </c>
      <c r="M207" s="1">
        <f>MAX(-16, MIN(16, Games[[#This Row],[RestDiff]]*8))</f>
        <v>8</v>
      </c>
      <c r="N207" s="1">
        <f>MAX(-16, MIN(16, Games[[#This Row],[OppRestDiff]]*8))</f>
        <v>-8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1412.4830579144179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1544.7429966088662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0.45370717641269342</v>
      </c>
      <c r="R207" s="1">
        <v>72</v>
      </c>
      <c r="S207" s="1">
        <v>66</v>
      </c>
      <c r="T207" s="1">
        <v>0</v>
      </c>
      <c r="U207" s="1">
        <f>Games[[#This Row],[PointsFor]]-Games[[#This Row],[PointsAgainst]]</f>
        <v>6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0.31640740749307245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73.900000000000006</v>
      </c>
      <c r="Z207" s="4">
        <f>Games[[#This Row],[K]]*Games[[#This Row],[POMult]]</f>
        <v>73.900000000000006</v>
      </c>
      <c r="AA207" s="4">
        <f>(Games[[#This Row],[Keff]]*Games[[#This Row],[MOVMult]])*(Games[[#This Row],[Result]]-Games[[#This Row],[ExpectedWin%]])</f>
        <v>12.773695997602092</v>
      </c>
      <c r="AB207" s="4">
        <f>Games[[#This Row],[PreGmRate]]+Games[[#This Row],[RatingChange]]</f>
        <v>1425.25675391202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37436</v>
      </c>
      <c r="B208" s="2">
        <v>2002</v>
      </c>
      <c r="C208" s="2">
        <f>COUNTIFS(Games[Team],Games[[#This Row],[Team]],Games[Season],Games[[#This Row],[Season]],Games[Date],"&lt;=" &amp; Games[[#This Row],[Date]])</f>
        <v>13</v>
      </c>
      <c r="D208" s="2" t="s">
        <v>23</v>
      </c>
      <c r="E208" s="2" t="s">
        <v>29</v>
      </c>
      <c r="F208" s="1" t="s">
        <v>79</v>
      </c>
      <c r="G208" s="1" t="s">
        <v>80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8" s="2">
        <f>Games[[#This Row],[DaysOff]]-Games[[#This Row],[OppDaysOff]]</f>
        <v>-2</v>
      </c>
      <c r="L208" s="2">
        <f>Games[[#This Row],[OppDaysOff]]-Games[[#This Row],[DaysOff]]</f>
        <v>2</v>
      </c>
      <c r="M208" s="1">
        <f>MAX(-16, MIN(16, Games[[#This Row],[RestDiff]]*8))</f>
        <v>-16</v>
      </c>
      <c r="N208" s="1">
        <f>MAX(-16, MIN(16, Games[[#This Row],[OppRestDiff]]*8))</f>
        <v>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1507.640242754042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1447.2445578103952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0.42065523575096064</v>
      </c>
      <c r="R208" s="1">
        <v>59</v>
      </c>
      <c r="S208" s="1">
        <v>67</v>
      </c>
      <c r="T208" s="1">
        <v>0</v>
      </c>
      <c r="U208" s="1">
        <f>Games[[#This Row],[PointsFor]]-Games[[#This Row],[PointsAgainst]]</f>
        <v>-8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0.36970821748286198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74.05</v>
      </c>
      <c r="Z208" s="4">
        <f>Games[[#This Row],[K]]*Games[[#This Row],[POMult]]</f>
        <v>74.05</v>
      </c>
      <c r="AA208" s="4">
        <f>(Games[[#This Row],[Keff]]*Games[[#This Row],[MOVMult]])*(Games[[#This Row],[Result]]-Games[[#This Row],[ExpectedWin%]])</f>
        <v>-11.51623359130895</v>
      </c>
      <c r="AB208" s="4">
        <f>Games[[#This Row],[PreGmRate]]+Games[[#This Row],[RatingChange]]</f>
        <v>1496.124009162733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37436</v>
      </c>
      <c r="B209" s="2">
        <v>2002</v>
      </c>
      <c r="C209" s="2">
        <f>COUNTIFS(Games[Team],Games[[#This Row],[Team]],Games[Season],Games[[#This Row],[Season]],Games[Date],"&lt;=" &amp; Games[[#This Row],[Date]])</f>
        <v>13</v>
      </c>
      <c r="D209" s="2" t="s">
        <v>23</v>
      </c>
      <c r="E209" s="2" t="s">
        <v>29</v>
      </c>
      <c r="F209" s="1" t="s">
        <v>80</v>
      </c>
      <c r="G209" s="1" t="s">
        <v>79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2</v>
      </c>
      <c r="L209" s="2">
        <f>Games[[#This Row],[OppDaysOff]]-Games[[#This Row],[DaysOff]]</f>
        <v>-2</v>
      </c>
      <c r="M209" s="1">
        <f>MAX(-16, MIN(16, Games[[#This Row],[RestDiff]]*8))</f>
        <v>16</v>
      </c>
      <c r="N209" s="1">
        <f>MAX(-16, MIN(16, Games[[#This Row],[OppRestDiff]]*8))</f>
        <v>-16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1447.2445578103952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1507.640242754042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0.57934476424903936</v>
      </c>
      <c r="R209" s="1">
        <v>67</v>
      </c>
      <c r="S209" s="1">
        <v>59</v>
      </c>
      <c r="T209" s="1">
        <v>0</v>
      </c>
      <c r="U209" s="1">
        <f>Games[[#This Row],[PointsFor]]-Games[[#This Row],[PointsAgainst]]</f>
        <v>8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0.36970821748286198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74.05</v>
      </c>
      <c r="Z209" s="4">
        <f>Games[[#This Row],[K]]*Games[[#This Row],[POMult]]</f>
        <v>74.05</v>
      </c>
      <c r="AA209" s="4">
        <f>(Games[[#This Row],[Keff]]*Games[[#This Row],[MOVMult]])*(Games[[#This Row],[Result]]-Games[[#This Row],[ExpectedWin%]])</f>
        <v>11.51623359130895</v>
      </c>
      <c r="AB209" s="4">
        <f>Games[[#This Row],[PreGmRate]]+Games[[#This Row],[RatingChange]]</f>
        <v>1458.7607914017042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37437</v>
      </c>
      <c r="B210" s="2">
        <v>2002</v>
      </c>
      <c r="C210" s="2">
        <f>COUNTIFS(Games[Team],Games[[#This Row],[Team]],Games[Season],Games[[#This Row],[Season]],Games[Date],"&lt;=" &amp; Games[[#This Row],[Date]])</f>
        <v>13</v>
      </c>
      <c r="D210" s="2" t="s">
        <v>23</v>
      </c>
      <c r="E210" s="2" t="s">
        <v>29</v>
      </c>
      <c r="F210" s="1" t="s">
        <v>43</v>
      </c>
      <c r="G210" s="1" t="s">
        <v>1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1538.8338953161785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1547.8638696775929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0.36922952460342162</v>
      </c>
      <c r="R210" s="1">
        <v>79</v>
      </c>
      <c r="S210" s="1">
        <v>62</v>
      </c>
      <c r="T210" s="1">
        <v>0</v>
      </c>
      <c r="U210" s="1">
        <f>Games[[#This Row],[PointsFor]]-Games[[#This Row],[PointsAgainst]]</f>
        <v>17</v>
      </c>
      <c r="V210" s="1">
        <f>IF(Games[[#This Row],[MOV]]&gt;0,1,IF(Games[[#This Row],[MOV]]=0,0.5,0))</f>
        <v>1</v>
      </c>
      <c r="W210" s="4">
        <f>((ABS(Games[[#This Row],[MOV]])+5)^0.6)/(12+0.01*(ABS(Games[[#This Row],[PreGmRate]]-Games[[#This Row],[OppPreGmRate]])))*IF(Games[[#This Row],[OT]]=1,0.9,1)</f>
        <v>0.5284653784004546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74.05</v>
      </c>
      <c r="Z210" s="4">
        <f>Games[[#This Row],[K]]*Games[[#This Row],[POMult]]</f>
        <v>74.05</v>
      </c>
      <c r="AA210" s="4">
        <f>(Games[[#This Row],[Keff]]*Games[[#This Row],[MOVMult]])*(Games[[#This Row],[Result]]-Games[[#This Row],[ExpectedWin%]])</f>
        <v>24.683853507255485</v>
      </c>
      <c r="AB210" s="4">
        <f>Games[[#This Row],[PreGmRate]]+Games[[#This Row],[RatingChange]]</f>
        <v>1563.517748823434</v>
      </c>
      <c r="AC210" s="2">
        <f>IF(Games[[#This Row],[Type]]="R",IF(Games[[#This Row],[Result]]&gt;0.5,1,0),0)</f>
        <v>1</v>
      </c>
      <c r="AD210" s="2">
        <f>IF(Games[[#This Row],[Type]]="R",IF(Games[[#This Row],[Result]]&lt;0.5,1,0),0)</f>
        <v>0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37437</v>
      </c>
      <c r="B211" s="2">
        <v>2002</v>
      </c>
      <c r="C211" s="2">
        <f>COUNTIFS(Games[Team],Games[[#This Row],[Team]],Games[Season],Games[[#This Row],[Season]],Games[Date],"&lt;=" &amp; Games[[#This Row],[Date]])</f>
        <v>13</v>
      </c>
      <c r="D211" s="2" t="s">
        <v>23</v>
      </c>
      <c r="E211" s="2" t="s">
        <v>29</v>
      </c>
      <c r="F211" s="1" t="s">
        <v>1</v>
      </c>
      <c r="G211" s="1" t="s">
        <v>43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1547.8638696775929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1538.8338953161785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0.63077047539657838</v>
      </c>
      <c r="R211" s="1">
        <v>62</v>
      </c>
      <c r="S211" s="1">
        <v>79</v>
      </c>
      <c r="T211" s="1">
        <v>0</v>
      </c>
      <c r="U211" s="1">
        <f>Games[[#This Row],[PointsFor]]-Games[[#This Row],[PointsAgainst]]</f>
        <v>-17</v>
      </c>
      <c r="V211" s="1">
        <f>IF(Games[[#This Row],[MOV]]&gt;0,1,IF(Games[[#This Row],[MOV]]=0,0.5,0))</f>
        <v>0</v>
      </c>
      <c r="W211" s="4">
        <f>((ABS(Games[[#This Row],[MOV]])+5)^0.6)/(12+0.01*(ABS(Games[[#This Row],[PreGmRate]]-Games[[#This Row],[OppPreGmRate]])))*IF(Games[[#This Row],[OT]]=1,0.9,1)</f>
        <v>0.5284653784004546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74.05</v>
      </c>
      <c r="Z211" s="4">
        <f>Games[[#This Row],[K]]*Games[[#This Row],[POMult]]</f>
        <v>74.05</v>
      </c>
      <c r="AA211" s="4">
        <f>(Games[[#This Row],[Keff]]*Games[[#This Row],[MOVMult]])*(Games[[#This Row],[Result]]-Games[[#This Row],[ExpectedWin%]])</f>
        <v>-24.683853507255485</v>
      </c>
      <c r="AB211" s="4">
        <f>Games[[#This Row],[PreGmRate]]+Games[[#This Row],[RatingChange]]</f>
        <v>1523.1800161703375</v>
      </c>
      <c r="AC211" s="2">
        <f>IF(Games[[#This Row],[Type]]="R",IF(Games[[#This Row],[Result]]&gt;0.5,1,0),0)</f>
        <v>0</v>
      </c>
      <c r="AD211" s="2">
        <f>IF(Games[[#This Row],[Type]]="R",IF(Games[[#This Row],[Result]]&lt;0.5,1,0),0)</f>
        <v>1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37437</v>
      </c>
      <c r="B212" s="2">
        <v>2002</v>
      </c>
      <c r="C212" s="2">
        <f>COUNTIFS(Games[Team],Games[[#This Row],[Team]],Games[Season],Games[[#This Row],[Season]],Games[Date],"&lt;=" &amp; Games[[#This Row],[Date]])</f>
        <v>14</v>
      </c>
      <c r="D212" s="2" t="s">
        <v>23</v>
      </c>
      <c r="E212" s="2" t="s">
        <v>29</v>
      </c>
      <c r="F212" s="1" t="s">
        <v>45</v>
      </c>
      <c r="G212" s="1" t="s">
        <v>77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0</v>
      </c>
      <c r="L212" s="2">
        <f>Games[[#This Row],[OppDaysOff]]-Games[[#This Row],[DaysOff]]</f>
        <v>0</v>
      </c>
      <c r="M212" s="1">
        <f>MAX(-16, MIN(16, Games[[#This Row],[RestDiff]]*8))</f>
        <v>0</v>
      </c>
      <c r="N212" s="1">
        <f>MAX(-16, MIN(16, Games[[#This Row],[OppRestDiff]]*8))</f>
        <v>0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1434.8337674406844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1321.4392935912863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0.54220140584074683</v>
      </c>
      <c r="R212" s="1">
        <v>60</v>
      </c>
      <c r="S212" s="1">
        <v>71</v>
      </c>
      <c r="T212" s="1">
        <v>0</v>
      </c>
      <c r="U212" s="1">
        <f>Games[[#This Row],[PointsFor]]-Games[[#This Row],[PointsAgainst]]</f>
        <v>-11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0.401861873807213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73.900000000000006</v>
      </c>
      <c r="Z212" s="4">
        <f>Games[[#This Row],[K]]*Games[[#This Row],[POMult]]</f>
        <v>73.900000000000006</v>
      </c>
      <c r="AA212" s="4">
        <f>(Games[[#This Row],[Keff]]*Games[[#This Row],[MOVMult]])*(Games[[#This Row],[Result]]-Games[[#This Row],[ExpectedWin%]])</f>
        <v>-16.102076389679805</v>
      </c>
      <c r="AB212" s="4">
        <f>Games[[#This Row],[PreGmRate]]+Games[[#This Row],[RatingChange]]</f>
        <v>1418.7316910510046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37437</v>
      </c>
      <c r="B213" s="2">
        <v>2002</v>
      </c>
      <c r="C213" s="2">
        <f>COUNTIFS(Games[Team],Games[[#This Row],[Team]],Games[Season],Games[[#This Row],[Season]],Games[Date],"&lt;=" &amp; Games[[#This Row],[Date]])</f>
        <v>14</v>
      </c>
      <c r="D213" s="2" t="s">
        <v>23</v>
      </c>
      <c r="E213" s="2" t="s">
        <v>29</v>
      </c>
      <c r="F213" s="1" t="s">
        <v>77</v>
      </c>
      <c r="G213" s="1" t="s">
        <v>45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3" s="2">
        <f>Games[[#This Row],[DaysOff]]-Games[[#This Row],[OppDaysOff]]</f>
        <v>0</v>
      </c>
      <c r="L213" s="2">
        <f>Games[[#This Row],[OppDaysOff]]-Games[[#This Row],[DaysOff]]</f>
        <v>0</v>
      </c>
      <c r="M213" s="1">
        <f>MAX(-16, MIN(16, Games[[#This Row],[RestDiff]]*8))</f>
        <v>0</v>
      </c>
      <c r="N213" s="1">
        <f>MAX(-16, MIN(16, Games[[#This Row],[OppRestDiff]]*8))</f>
        <v>0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1321.4392935912863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1434.8337674406844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0.45779859415925311</v>
      </c>
      <c r="R213" s="1">
        <v>71</v>
      </c>
      <c r="S213" s="1">
        <v>60</v>
      </c>
      <c r="T213" s="1">
        <v>0</v>
      </c>
      <c r="U213" s="1">
        <f>Games[[#This Row],[PointsFor]]-Games[[#This Row],[PointsAgainst]]</f>
        <v>11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0.401861873807213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73.900000000000006</v>
      </c>
      <c r="Z213" s="4">
        <f>Games[[#This Row],[K]]*Games[[#This Row],[POMult]]</f>
        <v>73.900000000000006</v>
      </c>
      <c r="AA213" s="4">
        <f>(Games[[#This Row],[Keff]]*Games[[#This Row],[MOVMult]])*(Games[[#This Row],[Result]]-Games[[#This Row],[ExpectedWin%]])</f>
        <v>16.102076389679809</v>
      </c>
      <c r="AB213" s="4">
        <f>Games[[#This Row],[PreGmRate]]+Games[[#This Row],[RatingChange]]</f>
        <v>1337.541369980966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37437</v>
      </c>
      <c r="B214" s="2">
        <v>2002</v>
      </c>
      <c r="C214" s="2">
        <f>COUNTIFS(Games[Team],Games[[#This Row],[Team]],Games[Season],Games[[#This Row],[Season]],Games[Date],"&lt;=" &amp; Games[[#This Row],[Date]])</f>
        <v>15</v>
      </c>
      <c r="D214" s="2" t="s">
        <v>23</v>
      </c>
      <c r="E214" s="2" t="s">
        <v>29</v>
      </c>
      <c r="F214" s="1" t="s">
        <v>2</v>
      </c>
      <c r="G214" s="1" t="s">
        <v>71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1617.8678345188737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1707.8728846029064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0.26861643086029563</v>
      </c>
      <c r="R214" s="1">
        <v>60</v>
      </c>
      <c r="S214" s="1">
        <v>58</v>
      </c>
      <c r="T214" s="1">
        <v>0</v>
      </c>
      <c r="U214" s="1">
        <f>Games[[#This Row],[PointsFor]]-Games[[#This Row],[PointsAgainst]]</f>
        <v>2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0.24915374164672205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73.75</v>
      </c>
      <c r="Z214" s="4">
        <f>Games[[#This Row],[K]]*Games[[#This Row],[POMult]]</f>
        <v>73.75</v>
      </c>
      <c r="AA214" s="4">
        <f>(Games[[#This Row],[Keff]]*Games[[#This Row],[MOVMult]])*(Games[[#This Row],[Result]]-Games[[#This Row],[ExpectedWin%]])</f>
        <v>13.43923777121924</v>
      </c>
      <c r="AB214" s="4">
        <f>Games[[#This Row],[PreGmRate]]+Games[[#This Row],[RatingChange]]</f>
        <v>1631.3070722900929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37437</v>
      </c>
      <c r="B215" s="2">
        <v>2002</v>
      </c>
      <c r="C215" s="2">
        <f>COUNTIFS(Games[Team],Games[[#This Row],[Team]],Games[Season],Games[[#This Row],[Season]],Games[Date],"&lt;=" &amp; Games[[#This Row],[Date]])</f>
        <v>14</v>
      </c>
      <c r="D215" s="2" t="s">
        <v>23</v>
      </c>
      <c r="E215" s="2" t="s">
        <v>29</v>
      </c>
      <c r="F215" s="1" t="s">
        <v>71</v>
      </c>
      <c r="G215" s="1" t="s">
        <v>2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1707.8728846029064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1617.8678345188737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0.73138356913970437</v>
      </c>
      <c r="R215" s="1">
        <v>58</v>
      </c>
      <c r="S215" s="1">
        <v>60</v>
      </c>
      <c r="T215" s="1">
        <v>0</v>
      </c>
      <c r="U215" s="1">
        <f>Games[[#This Row],[PointsFor]]-Games[[#This Row],[PointsAgainst]]</f>
        <v>-2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0.24915374164672205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73.900000000000006</v>
      </c>
      <c r="Z215" s="4">
        <f>Games[[#This Row],[K]]*Games[[#This Row],[POMult]]</f>
        <v>73.900000000000006</v>
      </c>
      <c r="AA215" s="4">
        <f>(Games[[#This Row],[Keff]]*Games[[#This Row],[MOVMult]])*(Games[[#This Row],[Result]]-Games[[#This Row],[ExpectedWin%]])</f>
        <v>-13.466571814143753</v>
      </c>
      <c r="AB215" s="4">
        <f>Games[[#This Row],[PreGmRate]]+Games[[#This Row],[RatingChange]]</f>
        <v>1694.4063127887628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37437</v>
      </c>
      <c r="B216" s="2">
        <v>2002</v>
      </c>
      <c r="C216" s="2">
        <f>COUNTIFS(Games[Team],Games[[#This Row],[Team]],Games[Season],Games[[#This Row],[Season]],Games[Date],"&lt;=" &amp; Games[[#This Row],[Date]])</f>
        <v>14</v>
      </c>
      <c r="D216" s="2" t="s">
        <v>23</v>
      </c>
      <c r="E216" s="2" t="s">
        <v>29</v>
      </c>
      <c r="F216" s="1" t="s">
        <v>85</v>
      </c>
      <c r="G216" s="1" t="s">
        <v>83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0</v>
      </c>
      <c r="L216" s="2">
        <f>Games[[#This Row],[OppDaysOff]]-Games[[#This Row],[DaysOff]]</f>
        <v>0</v>
      </c>
      <c r="M216" s="1">
        <f>MAX(-16, MIN(16, Games[[#This Row],[RestDiff]]*8))</f>
        <v>0</v>
      </c>
      <c r="N216" s="1">
        <f>MAX(-16, MIN(16, Games[[#This Row],[OppRestDiff]]*8))</f>
        <v>0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1440.1738766703661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1450.2345204416874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0.36784880730230302</v>
      </c>
      <c r="R216" s="1">
        <v>59</v>
      </c>
      <c r="S216" s="1">
        <v>65</v>
      </c>
      <c r="T216" s="1">
        <v>0</v>
      </c>
      <c r="U216" s="1">
        <f>Games[[#This Row],[PointsFor]]-Games[[#This Row],[PointsAgainst]]</f>
        <v>-6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0.34836015490546979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73.900000000000006</v>
      </c>
      <c r="Z216" s="4">
        <f>Games[[#This Row],[K]]*Games[[#This Row],[POMult]]</f>
        <v>73.900000000000006</v>
      </c>
      <c r="AA216" s="4">
        <f>(Games[[#This Row],[Keff]]*Games[[#This Row],[MOVMult]])*(Games[[#This Row],[Result]]-Games[[#This Row],[ExpectedWin%]])</f>
        <v>-9.4698318077787089</v>
      </c>
      <c r="AB216" s="4">
        <f>Games[[#This Row],[PreGmRate]]+Games[[#This Row],[RatingChange]]</f>
        <v>1430.7040448625874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37437</v>
      </c>
      <c r="B217" s="2">
        <v>2002</v>
      </c>
      <c r="C217" s="2">
        <f>COUNTIFS(Games[Team],Games[[#This Row],[Team]],Games[Season],Games[[#This Row],[Season]],Games[Date],"&lt;=" &amp; Games[[#This Row],[Date]])</f>
        <v>13</v>
      </c>
      <c r="D217" s="2" t="s">
        <v>23</v>
      </c>
      <c r="E217" s="2" t="s">
        <v>29</v>
      </c>
      <c r="F217" s="1" t="s">
        <v>83</v>
      </c>
      <c r="G217" s="1" t="s">
        <v>85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0</v>
      </c>
      <c r="L217" s="2">
        <f>Games[[#This Row],[OppDaysOff]]-Games[[#This Row],[DaysOff]]</f>
        <v>0</v>
      </c>
      <c r="M217" s="1">
        <f>MAX(-16, MIN(16, Games[[#This Row],[RestDiff]]*8))</f>
        <v>0</v>
      </c>
      <c r="N217" s="1">
        <f>MAX(-16, MIN(16, Games[[#This Row],[OppRestDiff]]*8))</f>
        <v>0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1450.2345204416874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1440.1738766703661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0.63215119269769704</v>
      </c>
      <c r="R217" s="1">
        <v>65</v>
      </c>
      <c r="S217" s="1">
        <v>59</v>
      </c>
      <c r="T217" s="1">
        <v>0</v>
      </c>
      <c r="U217" s="1">
        <f>Games[[#This Row],[PointsFor]]-Games[[#This Row],[PointsAgainst]]</f>
        <v>6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0.34836015490546979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74.05</v>
      </c>
      <c r="Z217" s="4">
        <f>Games[[#This Row],[K]]*Games[[#This Row],[POMult]]</f>
        <v>74.05</v>
      </c>
      <c r="AA217" s="4">
        <f>(Games[[#This Row],[Keff]]*Games[[#This Row],[MOVMult]])*(Games[[#This Row],[Result]]-Games[[#This Row],[ExpectedWin%]])</f>
        <v>9.4890533879027501</v>
      </c>
      <c r="AB217" s="4">
        <f>Games[[#This Row],[PreGmRate]]+Games[[#This Row],[RatingChange]]</f>
        <v>1459.7235738295901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37437</v>
      </c>
      <c r="B218" s="2">
        <v>2002</v>
      </c>
      <c r="C218" s="2">
        <f>COUNTIFS(Games[Team],Games[[#This Row],[Team]],Games[Season],Games[[#This Row],[Season]],Games[Date],"&lt;=" &amp; Games[[#This Row],[Date]])</f>
        <v>15</v>
      </c>
      <c r="D218" s="2" t="s">
        <v>23</v>
      </c>
      <c r="E218" s="2" t="s">
        <v>29</v>
      </c>
      <c r="F218" s="1" t="s">
        <v>89</v>
      </c>
      <c r="G218" s="1" t="s">
        <v>66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1425.25675391202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1520.931810593444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0.26225270842652543</v>
      </c>
      <c r="R218" s="1">
        <v>54</v>
      </c>
      <c r="S218" s="1">
        <v>44</v>
      </c>
      <c r="T218" s="1">
        <v>0</v>
      </c>
      <c r="U218" s="1">
        <f>Games[[#This Row],[PointsFor]]-Games[[#This Row],[PointsAgainst]]</f>
        <v>10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0.39188501513584817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73.75</v>
      </c>
      <c r="Z218" s="4">
        <f>Games[[#This Row],[K]]*Games[[#This Row],[POMult]]</f>
        <v>73.75</v>
      </c>
      <c r="AA218" s="4">
        <f>(Games[[#This Row],[Keff]]*Games[[#This Row],[MOVMult]])*(Games[[#This Row],[Result]]-Games[[#This Row],[ExpectedWin%]])</f>
        <v>21.32201800369678</v>
      </c>
      <c r="AB218" s="4">
        <f>Games[[#This Row],[PreGmRate]]+Games[[#This Row],[RatingChange]]</f>
        <v>1446.5787719157167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37437</v>
      </c>
      <c r="B219" s="2">
        <v>2002</v>
      </c>
      <c r="C219" s="2">
        <f>COUNTIFS(Games[Team],Games[[#This Row],[Team]],Games[Season],Games[[#This Row],[Season]],Games[Date],"&lt;=" &amp; Games[[#This Row],[Date]])</f>
        <v>16</v>
      </c>
      <c r="D219" s="2" t="s">
        <v>23</v>
      </c>
      <c r="E219" s="2" t="s">
        <v>29</v>
      </c>
      <c r="F219" s="1" t="s">
        <v>66</v>
      </c>
      <c r="G219" s="1" t="s">
        <v>89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1520.931810593444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1425.25675391202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0.73774729157347452</v>
      </c>
      <c r="R219" s="1">
        <v>44</v>
      </c>
      <c r="S219" s="1">
        <v>54</v>
      </c>
      <c r="T219" s="1">
        <v>0</v>
      </c>
      <c r="U219" s="1">
        <f>Games[[#This Row],[PointsFor]]-Games[[#This Row],[PointsAgainst]]</f>
        <v>-10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0.39188501513584817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73.599999999999994</v>
      </c>
      <c r="Z219" s="4">
        <f>Games[[#This Row],[K]]*Games[[#This Row],[POMult]]</f>
        <v>73.599999999999994</v>
      </c>
      <c r="AA219" s="4">
        <f>(Games[[#This Row],[Keff]]*Games[[#This Row],[MOVMult]])*(Games[[#This Row],[Result]]-Games[[#This Row],[ExpectedWin%]])</f>
        <v>-21.27865118741807</v>
      </c>
      <c r="AB219" s="4">
        <f>Games[[#This Row],[PreGmRate]]+Games[[#This Row],[RatingChange]]</f>
        <v>1499.6531594060259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37437</v>
      </c>
      <c r="B220" s="2">
        <v>2002</v>
      </c>
      <c r="C220" s="2">
        <f>COUNTIFS(Games[Team],Games[[#This Row],[Team]],Games[Season],Games[[#This Row],[Season]],Games[Date],"&lt;=" &amp; Games[[#This Row],[Date]])</f>
        <v>12</v>
      </c>
      <c r="D220" s="2" t="s">
        <v>23</v>
      </c>
      <c r="E220" s="2" t="s">
        <v>29</v>
      </c>
      <c r="F220" s="1" t="s">
        <v>64</v>
      </c>
      <c r="G220" s="1" t="s">
        <v>75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0" s="2">
        <f>Games[[#This Row],[DaysOff]]-Games[[#This Row],[OppDaysOff]]</f>
        <v>2</v>
      </c>
      <c r="L220" s="2">
        <f>Games[[#This Row],[OppDaysOff]]-Games[[#This Row],[DaysOff]]</f>
        <v>-2</v>
      </c>
      <c r="M220" s="1">
        <f>MAX(-16, MIN(16, Games[[#This Row],[RestDiff]]*8))</f>
        <v>16</v>
      </c>
      <c r="N220" s="1">
        <f>MAX(-16, MIN(16, Games[[#This Row],[OppRestDiff]]*8))</f>
        <v>-16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1550.5851628085918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1531.9693006112641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0.45210367821427666</v>
      </c>
      <c r="R220" s="1">
        <v>55</v>
      </c>
      <c r="S220" s="1">
        <v>56</v>
      </c>
      <c r="T220" s="1">
        <v>0</v>
      </c>
      <c r="U220" s="1">
        <f>Games[[#This Row],[PointsFor]]-Games[[#This Row],[PointsAgainst]]</f>
        <v>-1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0.24044952494710328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74.2</v>
      </c>
      <c r="Z220" s="4">
        <f>Games[[#This Row],[K]]*Games[[#This Row],[POMult]]</f>
        <v>74.2</v>
      </c>
      <c r="AA220" s="4">
        <f>(Games[[#This Row],[Keff]]*Games[[#This Row],[MOVMult]])*(Games[[#This Row],[Result]]-Games[[#This Row],[ExpectedWin%]])</f>
        <v>-8.0661421072867956</v>
      </c>
      <c r="AB220" s="4">
        <f>Games[[#This Row],[PreGmRate]]+Games[[#This Row],[RatingChange]]</f>
        <v>1542.519020701305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37437</v>
      </c>
      <c r="B221" s="2">
        <v>2002</v>
      </c>
      <c r="C221" s="2">
        <f>COUNTIFS(Games[Team],Games[[#This Row],[Team]],Games[Season],Games[[#This Row],[Season]],Games[Date],"&lt;=" &amp; Games[[#This Row],[Date]])</f>
        <v>15</v>
      </c>
      <c r="D221" s="2" t="s">
        <v>23</v>
      </c>
      <c r="E221" s="2" t="s">
        <v>29</v>
      </c>
      <c r="F221" s="1" t="s">
        <v>75</v>
      </c>
      <c r="G221" s="1" t="s">
        <v>64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1" s="2">
        <f>Games[[#This Row],[DaysOff]]-Games[[#This Row],[OppDaysOff]]</f>
        <v>-2</v>
      </c>
      <c r="L221" s="2">
        <f>Games[[#This Row],[OppDaysOff]]-Games[[#This Row],[DaysOff]]</f>
        <v>2</v>
      </c>
      <c r="M221" s="1">
        <f>MAX(-16, MIN(16, Games[[#This Row],[RestDiff]]*8))</f>
        <v>-16</v>
      </c>
      <c r="N221" s="1">
        <f>MAX(-16, MIN(16, Games[[#This Row],[OppRestDiff]]*8))</f>
        <v>16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1531.9693006112641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1550.5851628085918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0.54789632178572334</v>
      </c>
      <c r="R221" s="1">
        <v>56</v>
      </c>
      <c r="S221" s="1">
        <v>55</v>
      </c>
      <c r="T221" s="1">
        <v>0</v>
      </c>
      <c r="U221" s="1">
        <f>Games[[#This Row],[PointsFor]]-Games[[#This Row],[PointsAgainst]]</f>
        <v>1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0.24044952494710328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73.75</v>
      </c>
      <c r="Z221" s="4">
        <f>Games[[#This Row],[K]]*Games[[#This Row],[POMult]]</f>
        <v>73.75</v>
      </c>
      <c r="AA221" s="4">
        <f>(Games[[#This Row],[Keff]]*Games[[#This Row],[MOVMult]])*(Games[[#This Row],[Result]]-Games[[#This Row],[ExpectedWin%]])</f>
        <v>8.01722345569274</v>
      </c>
      <c r="AB221" s="4">
        <f>Games[[#This Row],[PreGmRate]]+Games[[#This Row],[RatingChange]]</f>
        <v>1539.9865240669569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37438</v>
      </c>
      <c r="B222" s="2">
        <v>2002</v>
      </c>
      <c r="C222" s="2">
        <f>COUNTIFS(Games[Team],Games[[#This Row],[Team]],Games[Season],Games[[#This Row],[Season]],Games[Date],"&lt;=" &amp; Games[[#This Row],[Date]])</f>
        <v>13</v>
      </c>
      <c r="D222" s="2" t="s">
        <v>23</v>
      </c>
      <c r="E222" s="2" t="s">
        <v>29</v>
      </c>
      <c r="F222" s="1" t="s">
        <v>44</v>
      </c>
      <c r="G222" s="1" t="s">
        <v>64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2" s="2">
        <f>Games[[#This Row],[DaysOff]]-Games[[#This Row],[OppDaysOff]]</f>
        <v>2</v>
      </c>
      <c r="L222" s="2">
        <f>Games[[#This Row],[OppDaysOff]]-Games[[#This Row],[DaysOff]]</f>
        <v>-2</v>
      </c>
      <c r="M222" s="1">
        <f>MAX(-16, MIN(16, Games[[#This Row],[RestDiff]]*8))</f>
        <v>16</v>
      </c>
      <c r="N222" s="1">
        <f>MAX(-16, MIN(16, Games[[#This Row],[OppRestDiff]]*8))</f>
        <v>-16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1500.3435003327538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1542.519020701305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0.36769504863460323</v>
      </c>
      <c r="R222" s="1">
        <v>68</v>
      </c>
      <c r="S222" s="1">
        <v>90</v>
      </c>
      <c r="T222" s="1">
        <v>0</v>
      </c>
      <c r="U222" s="1">
        <f>Games[[#This Row],[PointsFor]]-Games[[#This Row],[PointsAgainst]]</f>
        <v>-22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0.58161458967558211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74.05</v>
      </c>
      <c r="Z222" s="4">
        <f>Games[[#This Row],[K]]*Games[[#This Row],[POMult]]</f>
        <v>74.05</v>
      </c>
      <c r="AA222" s="4">
        <f>(Games[[#This Row],[Keff]]*Games[[#This Row],[MOVMult]])*(Games[[#This Row],[Result]]-Games[[#This Row],[ExpectedWin%]])</f>
        <v>-15.836096398206358</v>
      </c>
      <c r="AB222" s="4">
        <f>Games[[#This Row],[PreGmRate]]+Games[[#This Row],[RatingChange]]</f>
        <v>1484.5074039345475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37438</v>
      </c>
      <c r="B223" s="2">
        <v>2002</v>
      </c>
      <c r="C223" s="2">
        <f>COUNTIFS(Games[Team],Games[[#This Row],[Team]],Games[Season],Games[[#This Row],[Season]],Games[Date],"&lt;=" &amp; Games[[#This Row],[Date]])</f>
        <v>13</v>
      </c>
      <c r="D223" s="2" t="s">
        <v>23</v>
      </c>
      <c r="E223" s="2" t="s">
        <v>29</v>
      </c>
      <c r="F223" s="1" t="s">
        <v>64</v>
      </c>
      <c r="G223" s="1" t="s">
        <v>44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3" s="2">
        <f>Games[[#This Row],[DaysOff]]-Games[[#This Row],[OppDaysOff]]</f>
        <v>-2</v>
      </c>
      <c r="L223" s="2">
        <f>Games[[#This Row],[OppDaysOff]]-Games[[#This Row],[DaysOff]]</f>
        <v>2</v>
      </c>
      <c r="M223" s="1">
        <f>MAX(-16, MIN(16, Games[[#This Row],[RestDiff]]*8))</f>
        <v>-16</v>
      </c>
      <c r="N223" s="1">
        <f>MAX(-16, MIN(16, Games[[#This Row],[OppRestDiff]]*8))</f>
        <v>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1542.519020701305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1500.3435003327538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0.63230495136539677</v>
      </c>
      <c r="R223" s="1">
        <v>90</v>
      </c>
      <c r="S223" s="1">
        <v>68</v>
      </c>
      <c r="T223" s="1">
        <v>0</v>
      </c>
      <c r="U223" s="1">
        <f>Games[[#This Row],[PointsFor]]-Games[[#This Row],[PointsAgainst]]</f>
        <v>22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0.58161458967558211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74.05</v>
      </c>
      <c r="Z223" s="4">
        <f>Games[[#This Row],[K]]*Games[[#This Row],[POMult]]</f>
        <v>74.05</v>
      </c>
      <c r="AA223" s="4">
        <f>(Games[[#This Row],[Keff]]*Games[[#This Row],[MOVMult]])*(Games[[#This Row],[Result]]-Games[[#This Row],[ExpectedWin%]])</f>
        <v>15.836096398206358</v>
      </c>
      <c r="AB223" s="4">
        <f>Games[[#This Row],[PreGmRate]]+Games[[#This Row],[RatingChange]]</f>
        <v>1558.3551170995113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37438</v>
      </c>
      <c r="B224" s="2">
        <v>2002</v>
      </c>
      <c r="C224" s="2">
        <f>COUNTIFS(Games[Team],Games[[#This Row],[Team]],Games[Season],Games[[#This Row],[Season]],Games[Date],"&lt;=" &amp; Games[[#This Row],[Date]])</f>
        <v>15</v>
      </c>
      <c r="D224" s="2" t="s">
        <v>23</v>
      </c>
      <c r="E224" s="2" t="s">
        <v>29</v>
      </c>
      <c r="F224" s="1" t="s">
        <v>77</v>
      </c>
      <c r="G224" s="1" t="s">
        <v>80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-1</v>
      </c>
      <c r="L224" s="2">
        <f>Games[[#This Row],[OppDaysOff]]-Games[[#This Row],[DaysOff]]</f>
        <v>1</v>
      </c>
      <c r="M224" s="1">
        <f>MAX(-16, MIN(16, Games[[#This Row],[RestDiff]]*8))</f>
        <v>-8</v>
      </c>
      <c r="N224" s="1">
        <f>MAX(-16, MIN(16, Games[[#This Row],[OppRestDiff]]*8))</f>
        <v>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1337.541369980966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1458.7607914017042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0.21866871802712956</v>
      </c>
      <c r="R224" s="1">
        <v>80</v>
      </c>
      <c r="S224" s="1">
        <v>85</v>
      </c>
      <c r="T224" s="1">
        <v>1</v>
      </c>
      <c r="U224" s="1">
        <f>Games[[#This Row],[PointsFor]]-Games[[#This Row],[PointsAgainst]]</f>
        <v>-5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0.27118618428486541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73.75</v>
      </c>
      <c r="Z224" s="4">
        <f>Games[[#This Row],[K]]*Games[[#This Row],[POMult]]</f>
        <v>73.75</v>
      </c>
      <c r="AA224" s="4">
        <f>(Games[[#This Row],[Keff]]*Games[[#This Row],[MOVMult]])*(Games[[#This Row],[Result]]-Games[[#This Row],[ExpectedWin%]])</f>
        <v>-4.3733702257377312</v>
      </c>
      <c r="AB224" s="4">
        <f>Games[[#This Row],[PreGmRate]]+Games[[#This Row],[RatingChange]]</f>
        <v>1333.1679997552283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37438</v>
      </c>
      <c r="B225" s="2">
        <v>2002</v>
      </c>
      <c r="C225" s="2">
        <f>COUNTIFS(Games[Team],Games[[#This Row],[Team]],Games[Season],Games[[#This Row],[Season]],Games[Date],"&lt;=" &amp; Games[[#This Row],[Date]])</f>
        <v>14</v>
      </c>
      <c r="D225" s="2" t="s">
        <v>23</v>
      </c>
      <c r="E225" s="2" t="s">
        <v>29</v>
      </c>
      <c r="F225" s="1" t="s">
        <v>80</v>
      </c>
      <c r="G225" s="1" t="s">
        <v>77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5" s="2">
        <f>Games[[#This Row],[DaysOff]]-Games[[#This Row],[OppDaysOff]]</f>
        <v>1</v>
      </c>
      <c r="L225" s="2">
        <f>Games[[#This Row],[OppDaysOff]]-Games[[#This Row],[DaysOff]]</f>
        <v>-1</v>
      </c>
      <c r="M225" s="1">
        <f>MAX(-16, MIN(16, Games[[#This Row],[RestDiff]]*8))</f>
        <v>8</v>
      </c>
      <c r="N225" s="1">
        <f>MAX(-16, MIN(16, Games[[#This Row],[OppRestDiff]]*8))</f>
        <v>-8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1458.7607914017042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1337.541369980966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0.78133128197287049</v>
      </c>
      <c r="R225" s="1">
        <v>85</v>
      </c>
      <c r="S225" s="1">
        <v>80</v>
      </c>
      <c r="T225" s="1">
        <v>1</v>
      </c>
      <c r="U225" s="1">
        <f>Games[[#This Row],[PointsFor]]-Games[[#This Row],[PointsAgainst]]</f>
        <v>5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0.27118618428486541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73.900000000000006</v>
      </c>
      <c r="Z225" s="4">
        <f>Games[[#This Row],[K]]*Games[[#This Row],[POMult]]</f>
        <v>73.900000000000006</v>
      </c>
      <c r="AA225" s="4">
        <f>(Games[[#This Row],[Keff]]*Games[[#This Row],[MOVMult]])*(Games[[#This Row],[Result]]-Games[[#This Row],[ExpectedWin%]])</f>
        <v>4.382265216027367</v>
      </c>
      <c r="AB225" s="4">
        <f>Games[[#This Row],[PreGmRate]]+Games[[#This Row],[RatingChange]]</f>
        <v>1463.1430566177316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37439</v>
      </c>
      <c r="B226" s="2">
        <v>2002</v>
      </c>
      <c r="C226" s="2">
        <f>COUNTIFS(Games[Team],Games[[#This Row],[Team]],Games[Season],Games[[#This Row],[Season]],Games[Date],"&lt;=" &amp; Games[[#This Row],[Date]])</f>
        <v>16</v>
      </c>
      <c r="D226" s="2" t="s">
        <v>23</v>
      </c>
      <c r="E226" s="2" t="s">
        <v>29</v>
      </c>
      <c r="F226" s="1" t="s">
        <v>89</v>
      </c>
      <c r="G226" s="1" t="s">
        <v>1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1446.5787719157167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1523.1800161703375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0.28404287733131006</v>
      </c>
      <c r="R226" s="1">
        <v>68</v>
      </c>
      <c r="S226" s="1">
        <v>64</v>
      </c>
      <c r="T226" s="1">
        <v>0</v>
      </c>
      <c r="U226" s="1">
        <f>Games[[#This Row],[PointsFor]]-Games[[#This Row],[PointsAgainst]]</f>
        <v>4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0.29274550966215113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73.599999999999994</v>
      </c>
      <c r="Z226" s="4">
        <f>Games[[#This Row],[K]]*Games[[#This Row],[POMult]]</f>
        <v>73.599999999999994</v>
      </c>
      <c r="AA226" s="4">
        <f>(Games[[#This Row],[Keff]]*Games[[#This Row],[MOVMult]])*(Games[[#This Row],[Result]]-Games[[#This Row],[ExpectedWin%]])</f>
        <v>15.426061932011315</v>
      </c>
      <c r="AB226" s="4">
        <f>Games[[#This Row],[PreGmRate]]+Games[[#This Row],[RatingChange]]</f>
        <v>1462.0048338477282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37439</v>
      </c>
      <c r="B227" s="2">
        <v>2002</v>
      </c>
      <c r="C227" s="2">
        <f>COUNTIFS(Games[Team],Games[[#This Row],[Team]],Games[Season],Games[[#This Row],[Season]],Games[Date],"&lt;=" &amp; Games[[#This Row],[Date]])</f>
        <v>14</v>
      </c>
      <c r="D227" s="2" t="s">
        <v>23</v>
      </c>
      <c r="E227" s="2" t="s">
        <v>29</v>
      </c>
      <c r="F227" s="1" t="s">
        <v>1</v>
      </c>
      <c r="G227" s="1" t="s">
        <v>89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1523.1800161703375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1446.5787719157167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0.71595712266868994</v>
      </c>
      <c r="R227" s="1">
        <v>64</v>
      </c>
      <c r="S227" s="1">
        <v>68</v>
      </c>
      <c r="T227" s="1">
        <v>0</v>
      </c>
      <c r="U227" s="1">
        <f>Games[[#This Row],[PointsFor]]-Games[[#This Row],[PointsAgainst]]</f>
        <v>-4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0.29274550966215113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73.900000000000006</v>
      </c>
      <c r="Z227" s="4">
        <f>Games[[#This Row],[K]]*Games[[#This Row],[POMult]]</f>
        <v>73.900000000000006</v>
      </c>
      <c r="AA227" s="4">
        <f>(Games[[#This Row],[Keff]]*Games[[#This Row],[MOVMult]])*(Games[[#This Row],[Result]]-Games[[#This Row],[ExpectedWin%]])</f>
        <v>-15.488939901842885</v>
      </c>
      <c r="AB227" s="4">
        <f>Games[[#This Row],[PreGmRate]]+Games[[#This Row],[RatingChange]]</f>
        <v>1507.6910762684945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37439</v>
      </c>
      <c r="B228" s="2">
        <v>2002</v>
      </c>
      <c r="C228" s="2">
        <f>COUNTIFS(Games[Team],Games[[#This Row],[Team]],Games[Season],Games[[#This Row],[Season]],Games[Date],"&lt;=" &amp; Games[[#This Row],[Date]])</f>
        <v>15</v>
      </c>
      <c r="D228" s="2" t="s">
        <v>23</v>
      </c>
      <c r="E228" s="2" t="s">
        <v>29</v>
      </c>
      <c r="F228" s="1" t="s">
        <v>87</v>
      </c>
      <c r="G228" s="1" t="s">
        <v>66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3</v>
      </c>
      <c r="L228" s="2">
        <f>Games[[#This Row],[OppDaysOff]]-Games[[#This Row],[DaysOff]]</f>
        <v>-3</v>
      </c>
      <c r="M228" s="1">
        <f>MAX(-16, MIN(16, Games[[#This Row],[RestDiff]]*8))</f>
        <v>16</v>
      </c>
      <c r="N228" s="1">
        <f>MAX(-16, MIN(16, Games[[#This Row],[OppRestDiff]]*8))</f>
        <v>-16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1455.7874376790921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1499.6531594060259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0.36543589175018781</v>
      </c>
      <c r="R228" s="1">
        <v>63</v>
      </c>
      <c r="S228" s="1">
        <v>74</v>
      </c>
      <c r="T228" s="1">
        <v>0</v>
      </c>
      <c r="U228" s="1">
        <f>Games[[#This Row],[PointsFor]]-Games[[#This Row],[PointsAgainst]]</f>
        <v>-11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0.42432487292629684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73.75</v>
      </c>
      <c r="Z228" s="4">
        <f>Games[[#This Row],[K]]*Games[[#This Row],[POMult]]</f>
        <v>73.75</v>
      </c>
      <c r="AA228" s="4">
        <f>(Games[[#This Row],[Keff]]*Games[[#This Row],[MOVMult]])*(Games[[#This Row],[Result]]-Games[[#This Row],[ExpectedWin%]])</f>
        <v>-11.435935951808473</v>
      </c>
      <c r="AB228" s="4">
        <f>Games[[#This Row],[PreGmRate]]+Games[[#This Row],[RatingChange]]</f>
        <v>1444.3515017272837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37439</v>
      </c>
      <c r="B229" s="2">
        <v>2002</v>
      </c>
      <c r="C229" s="2">
        <f>COUNTIFS(Games[Team],Games[[#This Row],[Team]],Games[Season],Games[[#This Row],[Season]],Games[Date],"&lt;=" &amp; Games[[#This Row],[Date]])</f>
        <v>17</v>
      </c>
      <c r="D229" s="2" t="s">
        <v>23</v>
      </c>
      <c r="E229" s="2" t="s">
        <v>29</v>
      </c>
      <c r="F229" s="1" t="s">
        <v>66</v>
      </c>
      <c r="G229" s="1" t="s">
        <v>87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9" s="2">
        <f>Games[[#This Row],[DaysOff]]-Games[[#This Row],[OppDaysOff]]</f>
        <v>-3</v>
      </c>
      <c r="L229" s="2">
        <f>Games[[#This Row],[OppDaysOff]]-Games[[#This Row],[DaysOff]]</f>
        <v>3</v>
      </c>
      <c r="M229" s="1">
        <f>MAX(-16, MIN(16, Games[[#This Row],[RestDiff]]*8))</f>
        <v>-16</v>
      </c>
      <c r="N229" s="1">
        <f>MAX(-16, MIN(16, Games[[#This Row],[OppRestDiff]]*8))</f>
        <v>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1499.6531594060259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1455.7874376790921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0.63456410824981224</v>
      </c>
      <c r="R229" s="1">
        <v>74</v>
      </c>
      <c r="S229" s="1">
        <v>63</v>
      </c>
      <c r="T229" s="1">
        <v>0</v>
      </c>
      <c r="U229" s="1">
        <f>Games[[#This Row],[PointsFor]]-Games[[#This Row],[PointsAgainst]]</f>
        <v>11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0.42432487292629684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73.45</v>
      </c>
      <c r="Z229" s="4">
        <f>Games[[#This Row],[K]]*Games[[#This Row],[POMult]]</f>
        <v>73.45</v>
      </c>
      <c r="AA229" s="4">
        <f>(Games[[#This Row],[Keff]]*Games[[#This Row],[MOVMult]])*(Games[[#This Row],[Result]]-Games[[#This Row],[ExpectedWin%]])</f>
        <v>11.389416890309588</v>
      </c>
      <c r="AB229" s="4">
        <f>Games[[#This Row],[PreGmRate]]+Games[[#This Row],[RatingChange]]</f>
        <v>1511.0425762963355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37440</v>
      </c>
      <c r="B230" s="2">
        <v>2002</v>
      </c>
      <c r="C230" s="2">
        <f>COUNTIFS(Games[Team],Games[[#This Row],[Team]],Games[Season],Games[[#This Row],[Season]],Games[Date],"&lt;=" &amp; Games[[#This Row],[Date]])</f>
        <v>17</v>
      </c>
      <c r="D230" s="2" t="s">
        <v>23</v>
      </c>
      <c r="E230" s="2" t="s">
        <v>29</v>
      </c>
      <c r="F230" s="1" t="s">
        <v>89</v>
      </c>
      <c r="G230" s="1" t="s">
        <v>64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-1</v>
      </c>
      <c r="L230" s="2">
        <f>Games[[#This Row],[OppDaysOff]]-Games[[#This Row],[DaysOff]]</f>
        <v>1</v>
      </c>
      <c r="M230" s="1">
        <f>MAX(-16, MIN(16, Games[[#This Row],[RestDiff]]*8))</f>
        <v>-8</v>
      </c>
      <c r="N230" s="1">
        <f>MAX(-16, MIN(16, Games[[#This Row],[OppRestDiff]]*8))</f>
        <v>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1462.0048338477282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1558.3551170995113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0.24410886179178914</v>
      </c>
      <c r="R230" s="1">
        <v>76</v>
      </c>
      <c r="S230" s="1">
        <v>73</v>
      </c>
      <c r="T230" s="1">
        <v>0</v>
      </c>
      <c r="U230" s="1">
        <f>Games[[#This Row],[PointsFor]]-Games[[#This Row],[PointsAgainst]]</f>
        <v>3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0.26861584389442117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73.45</v>
      </c>
      <c r="Z230" s="4">
        <f>Games[[#This Row],[K]]*Games[[#This Row],[POMult]]</f>
        <v>73.45</v>
      </c>
      <c r="AA230" s="4">
        <f>(Games[[#This Row],[Keff]]*Games[[#This Row],[MOVMult]])*(Games[[#This Row],[Result]]-Games[[#This Row],[ExpectedWin%]])</f>
        <v>14.913606477886209</v>
      </c>
      <c r="AB230" s="4">
        <f>Games[[#This Row],[PreGmRate]]+Games[[#This Row],[RatingChange]]</f>
        <v>1476.9184403256143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37440</v>
      </c>
      <c r="B231" s="2">
        <v>2002</v>
      </c>
      <c r="C231" s="2">
        <f>COUNTIFS(Games[Team],Games[[#This Row],[Team]],Games[Season],Games[[#This Row],[Season]],Games[Date],"&lt;=" &amp; Games[[#This Row],[Date]])</f>
        <v>14</v>
      </c>
      <c r="D231" s="2" t="s">
        <v>23</v>
      </c>
      <c r="E231" s="2" t="s">
        <v>29</v>
      </c>
      <c r="F231" s="1" t="s">
        <v>64</v>
      </c>
      <c r="G231" s="1" t="s">
        <v>89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1" s="2">
        <f>Games[[#This Row],[DaysOff]]-Games[[#This Row],[OppDaysOff]]</f>
        <v>1</v>
      </c>
      <c r="L231" s="2">
        <f>Games[[#This Row],[OppDaysOff]]-Games[[#This Row],[DaysOff]]</f>
        <v>-1</v>
      </c>
      <c r="M231" s="1">
        <f>MAX(-16, MIN(16, Games[[#This Row],[RestDiff]]*8))</f>
        <v>8</v>
      </c>
      <c r="N231" s="1">
        <f>MAX(-16, MIN(16, Games[[#This Row],[OppRestDiff]]*8))</f>
        <v>-8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1558.3551170995113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1462.0048338477282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0.75589113820821086</v>
      </c>
      <c r="R231" s="1">
        <v>73</v>
      </c>
      <c r="S231" s="1">
        <v>76</v>
      </c>
      <c r="T231" s="1">
        <v>0</v>
      </c>
      <c r="U231" s="1">
        <f>Games[[#This Row],[PointsFor]]-Games[[#This Row],[PointsAgainst]]</f>
        <v>-3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0.26861584389442117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73.900000000000006</v>
      </c>
      <c r="Z231" s="4">
        <f>Games[[#This Row],[K]]*Games[[#This Row],[POMult]]</f>
        <v>73.900000000000006</v>
      </c>
      <c r="AA231" s="4">
        <f>(Games[[#This Row],[Keff]]*Games[[#This Row],[MOVMult]])*(Games[[#This Row],[Result]]-Games[[#This Row],[ExpectedWin%]])</f>
        <v>-15.004976429078159</v>
      </c>
      <c r="AB231" s="4">
        <f>Games[[#This Row],[PreGmRate]]+Games[[#This Row],[RatingChange]]</f>
        <v>1543.3501406704331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37440</v>
      </c>
      <c r="B232" s="2">
        <v>2002</v>
      </c>
      <c r="C232" s="2">
        <f>COUNTIFS(Games[Team],Games[[#This Row],[Team]],Games[Season],Games[[#This Row],[Season]],Games[Date],"&lt;=" &amp; Games[[#This Row],[Date]])</f>
        <v>14</v>
      </c>
      <c r="D232" s="2" t="s">
        <v>23</v>
      </c>
      <c r="E232" s="2" t="s">
        <v>29</v>
      </c>
      <c r="F232" s="1" t="s">
        <v>44</v>
      </c>
      <c r="G232" s="1" t="s">
        <v>83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">
        <f>MAX(-16, MIN(16, Games[[#This Row],[RestDiff]]*8))</f>
        <v>-8</v>
      </c>
      <c r="N232" s="1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1484.5074039345475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1459.7235738295901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0.39341517986673108</v>
      </c>
      <c r="R232" s="1">
        <v>61</v>
      </c>
      <c r="S232" s="1">
        <v>86</v>
      </c>
      <c r="T232" s="1">
        <v>0</v>
      </c>
      <c r="U232" s="1">
        <f>Games[[#This Row],[PointsFor]]-Games[[#This Row],[PointsAgainst]]</f>
        <v>-25</v>
      </c>
      <c r="V232" s="1">
        <f>IF(Games[[#This Row],[MOV]]&gt;0,1,IF(Games[[#This Row],[MOV]]=0,0.5,0))</f>
        <v>0</v>
      </c>
      <c r="W232" s="4">
        <f>((ABS(Games[[#This Row],[MOV]])+5)^0.6)/(12+0.01*(ABS(Games[[#This Row],[PreGmRate]]-Games[[#This Row],[OppPreGmRate]])))*IF(Games[[#This Row],[OT]]=1,0.9,1)</f>
        <v>0.628366912720146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73.900000000000006</v>
      </c>
      <c r="Z232" s="4">
        <f>Games[[#This Row],[K]]*Games[[#This Row],[POMult]]</f>
        <v>73.900000000000006</v>
      </c>
      <c r="AA232" s="4">
        <f>(Games[[#This Row],[Keff]]*Games[[#This Row],[MOVMult]])*(Games[[#This Row],[Result]]-Games[[#This Row],[ExpectedWin%]])</f>
        <v>-18.268751159068302</v>
      </c>
      <c r="AB232" s="4">
        <f>Games[[#This Row],[PreGmRate]]+Games[[#This Row],[RatingChange]]</f>
        <v>1466.2386527754793</v>
      </c>
      <c r="AC232" s="2">
        <f>IF(Games[[#This Row],[Type]]="R",IF(Games[[#This Row],[Result]]&gt;0.5,1,0),0)</f>
        <v>0</v>
      </c>
      <c r="AD232" s="2">
        <f>IF(Games[[#This Row],[Type]]="R",IF(Games[[#This Row],[Result]]&lt;0.5,1,0),0)</f>
        <v>1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37440</v>
      </c>
      <c r="B233" s="2">
        <v>2002</v>
      </c>
      <c r="C233" s="2">
        <f>COUNTIFS(Games[Team],Games[[#This Row],[Team]],Games[Season],Games[[#This Row],[Season]],Games[Date],"&lt;=" &amp; Games[[#This Row],[Date]])</f>
        <v>14</v>
      </c>
      <c r="D233" s="2" t="s">
        <v>23</v>
      </c>
      <c r="E233" s="2" t="s">
        <v>29</v>
      </c>
      <c r="F233" s="1" t="s">
        <v>83</v>
      </c>
      <c r="G233" s="1" t="s">
        <v>44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">
        <f>MAX(-16, MIN(16, Games[[#This Row],[RestDiff]]*8))</f>
        <v>8</v>
      </c>
      <c r="N233" s="1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1459.7235738295901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1484.5074039345475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0.60658482013326898</v>
      </c>
      <c r="R233" s="1">
        <v>86</v>
      </c>
      <c r="S233" s="1">
        <v>61</v>
      </c>
      <c r="T233" s="1">
        <v>0</v>
      </c>
      <c r="U233" s="1">
        <f>Games[[#This Row],[PointsFor]]-Games[[#This Row],[PointsAgainst]]</f>
        <v>25</v>
      </c>
      <c r="V233" s="1">
        <f>IF(Games[[#This Row],[MOV]]&gt;0,1,IF(Games[[#This Row],[MOV]]=0,0.5,0))</f>
        <v>1</v>
      </c>
      <c r="W233" s="4">
        <f>((ABS(Games[[#This Row],[MOV]])+5)^0.6)/(12+0.01*(ABS(Games[[#This Row],[PreGmRate]]-Games[[#This Row],[OppPreGmRate]])))*IF(Games[[#This Row],[OT]]=1,0.9,1)</f>
        <v>0.628366912720146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73.900000000000006</v>
      </c>
      <c r="Z233" s="4">
        <f>Games[[#This Row],[K]]*Games[[#This Row],[POMult]]</f>
        <v>73.900000000000006</v>
      </c>
      <c r="AA233" s="4">
        <f>(Games[[#This Row],[Keff]]*Games[[#This Row],[MOVMult]])*(Games[[#This Row],[Result]]-Games[[#This Row],[ExpectedWin%]])</f>
        <v>18.268751159068298</v>
      </c>
      <c r="AB233" s="4">
        <f>Games[[#This Row],[PreGmRate]]+Games[[#This Row],[RatingChange]]</f>
        <v>1477.9923249886583</v>
      </c>
      <c r="AC233" s="2">
        <f>IF(Games[[#This Row],[Type]]="R",IF(Games[[#This Row],[Result]]&gt;0.5,1,0),0)</f>
        <v>1</v>
      </c>
      <c r="AD233" s="2">
        <f>IF(Games[[#This Row],[Type]]="R",IF(Games[[#This Row],[Result]]&lt;0.5,1,0),0)</f>
        <v>0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37440</v>
      </c>
      <c r="B234" s="2">
        <v>2002</v>
      </c>
      <c r="C234" s="2">
        <f>COUNTIFS(Games[Team],Games[[#This Row],[Team]],Games[Season],Games[[#This Row],[Season]],Games[Date],"&lt;=" &amp; Games[[#This Row],[Date]])</f>
        <v>16</v>
      </c>
      <c r="D234" s="2" t="s">
        <v>23</v>
      </c>
      <c r="E234" s="2" t="s">
        <v>29</v>
      </c>
      <c r="F234" s="1" t="s">
        <v>75</v>
      </c>
      <c r="G234" s="1" t="s">
        <v>80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1</v>
      </c>
      <c r="L234" s="2">
        <f>Games[[#This Row],[OppDaysOff]]-Games[[#This Row],[DaysOff]]</f>
        <v>-1</v>
      </c>
      <c r="M234" s="1">
        <f>MAX(-16, MIN(16, Games[[#This Row],[RestDiff]]*8))</f>
        <v>8</v>
      </c>
      <c r="N234" s="1">
        <f>MAX(-16, MIN(16, Games[[#This Row],[OppRestDiff]]*8))</f>
        <v>-8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1539.9865240669569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1463.1430566177316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0.51272402492499902</v>
      </c>
      <c r="R234" s="1">
        <v>64</v>
      </c>
      <c r="S234" s="1">
        <v>63</v>
      </c>
      <c r="T234" s="1">
        <v>0</v>
      </c>
      <c r="U234" s="1">
        <f>Games[[#This Row],[PointsFor]]-Games[[#This Row],[PointsAgainst]]</f>
        <v>1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0.22948435938174552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73.599999999999994</v>
      </c>
      <c r="Z234" s="4">
        <f>Games[[#This Row],[K]]*Games[[#This Row],[POMult]]</f>
        <v>73.599999999999994</v>
      </c>
      <c r="AA234" s="4">
        <f>(Games[[#This Row],[Keff]]*Games[[#This Row],[MOVMult]])*(Games[[#This Row],[Result]]-Games[[#This Row],[ExpectedWin%]])</f>
        <v>8.2301150226900663</v>
      </c>
      <c r="AB234" s="4">
        <f>Games[[#This Row],[PreGmRate]]+Games[[#This Row],[RatingChange]]</f>
        <v>1548.2166390896471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37440</v>
      </c>
      <c r="B235" s="2">
        <v>2002</v>
      </c>
      <c r="C235" s="2">
        <f>COUNTIFS(Games[Team],Games[[#This Row],[Team]],Games[Season],Games[[#This Row],[Season]],Games[Date],"&lt;=" &amp; Games[[#This Row],[Date]])</f>
        <v>15</v>
      </c>
      <c r="D235" s="2" t="s">
        <v>23</v>
      </c>
      <c r="E235" s="2" t="s">
        <v>29</v>
      </c>
      <c r="F235" s="1" t="s">
        <v>80</v>
      </c>
      <c r="G235" s="1" t="s">
        <v>75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5" s="2">
        <f>Games[[#This Row],[DaysOff]]-Games[[#This Row],[OppDaysOff]]</f>
        <v>-1</v>
      </c>
      <c r="L235" s="2">
        <f>Games[[#This Row],[OppDaysOff]]-Games[[#This Row],[DaysOff]]</f>
        <v>1</v>
      </c>
      <c r="M235" s="1">
        <f>MAX(-16, MIN(16, Games[[#This Row],[RestDiff]]*8))</f>
        <v>-8</v>
      </c>
      <c r="N235" s="1">
        <f>MAX(-16, MIN(16, Games[[#This Row],[OppRestDiff]]*8))</f>
        <v>8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1463.1430566177316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1539.9865240669569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0.48727597507500103</v>
      </c>
      <c r="R235" s="1">
        <v>63</v>
      </c>
      <c r="S235" s="1">
        <v>64</v>
      </c>
      <c r="T235" s="1">
        <v>0</v>
      </c>
      <c r="U235" s="1">
        <f>Games[[#This Row],[PointsFor]]-Games[[#This Row],[PointsAgainst]]</f>
        <v>-1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0.22948435938174552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73.75</v>
      </c>
      <c r="Z235" s="4">
        <f>Games[[#This Row],[K]]*Games[[#This Row],[POMult]]</f>
        <v>73.75</v>
      </c>
      <c r="AA235" s="4">
        <f>(Games[[#This Row],[Keff]]*Games[[#This Row],[MOVMult]])*(Games[[#This Row],[Result]]-Games[[#This Row],[ExpectedWin%]])</f>
        <v>-8.2468883549373988</v>
      </c>
      <c r="AB235" s="4">
        <f>Games[[#This Row],[PreGmRate]]+Games[[#This Row],[RatingChange]]</f>
        <v>1454.8961682627942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37440</v>
      </c>
      <c r="B236" s="2">
        <v>2002</v>
      </c>
      <c r="C236" s="2">
        <f>COUNTIFS(Games[Team],Games[[#This Row],[Team]],Games[Season],Games[[#This Row],[Season]],Games[Date],"&lt;=" &amp; Games[[#This Row],[Date]])</f>
        <v>15</v>
      </c>
      <c r="D236" s="2" t="s">
        <v>23</v>
      </c>
      <c r="E236" s="2" t="s">
        <v>29</v>
      </c>
      <c r="F236" s="1" t="s">
        <v>85</v>
      </c>
      <c r="G236" s="1" t="s">
        <v>79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6" s="2">
        <f>Games[[#This Row],[DaysOff]]-Games[[#This Row],[OppDaysOff]]</f>
        <v>-1</v>
      </c>
      <c r="L236" s="2">
        <f>Games[[#This Row],[OppDaysOff]]-Games[[#This Row],[DaysOff]]</f>
        <v>1</v>
      </c>
      <c r="M236" s="1">
        <f>MAX(-16, MIN(16, Games[[#This Row],[RestDiff]]*8))</f>
        <v>-8</v>
      </c>
      <c r="N236" s="1">
        <f>MAX(-16, MIN(16, Games[[#This Row],[OppRestDiff]]*8))</f>
        <v>8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1430.7040448625874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1496.124009162733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0.2784357967240631</v>
      </c>
      <c r="R236" s="1">
        <v>71</v>
      </c>
      <c r="S236" s="1">
        <v>79</v>
      </c>
      <c r="T236" s="1">
        <v>1</v>
      </c>
      <c r="U236" s="1">
        <f>Games[[#This Row],[PointsFor]]-Games[[#This Row],[PointsAgainst]]</f>
        <v>-8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0.33141628047190569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73.75</v>
      </c>
      <c r="Z236" s="4">
        <f>Games[[#This Row],[K]]*Games[[#This Row],[POMult]]</f>
        <v>73.75</v>
      </c>
      <c r="AA236" s="4">
        <f>(Games[[#This Row],[Keff]]*Games[[#This Row],[MOVMult]])*(Games[[#This Row],[Result]]-Games[[#This Row],[ExpectedWin%]])</f>
        <v>-6.8055140124133953</v>
      </c>
      <c r="AB236" s="4">
        <f>Games[[#This Row],[PreGmRate]]+Games[[#This Row],[RatingChange]]</f>
        <v>1423.898530850174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37440</v>
      </c>
      <c r="B237" s="2">
        <v>2002</v>
      </c>
      <c r="C237" s="2">
        <f>COUNTIFS(Games[Team],Games[[#This Row],[Team]],Games[Season],Games[[#This Row],[Season]],Games[Date],"&lt;=" &amp; Games[[#This Row],[Date]])</f>
        <v>14</v>
      </c>
      <c r="D237" s="2" t="s">
        <v>23</v>
      </c>
      <c r="E237" s="2" t="s">
        <v>29</v>
      </c>
      <c r="F237" s="1" t="s">
        <v>79</v>
      </c>
      <c r="G237" s="1" t="s">
        <v>85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7" s="2">
        <f>Games[[#This Row],[DaysOff]]-Games[[#This Row],[OppDaysOff]]</f>
        <v>1</v>
      </c>
      <c r="L237" s="2">
        <f>Games[[#This Row],[OppDaysOff]]-Games[[#This Row],[DaysOff]]</f>
        <v>-1</v>
      </c>
      <c r="M237" s="1">
        <f>MAX(-16, MIN(16, Games[[#This Row],[RestDiff]]*8))</f>
        <v>8</v>
      </c>
      <c r="N237" s="1">
        <f>MAX(-16, MIN(16, Games[[#This Row],[OppRestDiff]]*8))</f>
        <v>-8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1496.124009162733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1430.7040448625874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0.72156420327593684</v>
      </c>
      <c r="R237" s="1">
        <v>79</v>
      </c>
      <c r="S237" s="1">
        <v>71</v>
      </c>
      <c r="T237" s="1">
        <v>1</v>
      </c>
      <c r="U237" s="1">
        <f>Games[[#This Row],[PointsFor]]-Games[[#This Row],[PointsAgainst]]</f>
        <v>8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0.33141628047190569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73.900000000000006</v>
      </c>
      <c r="Z237" s="4">
        <f>Games[[#This Row],[K]]*Games[[#This Row],[POMult]]</f>
        <v>73.900000000000006</v>
      </c>
      <c r="AA237" s="4">
        <f>(Games[[#This Row],[Keff]]*Games[[#This Row],[MOVMult]])*(Games[[#This Row],[Result]]-Games[[#This Row],[ExpectedWin%]])</f>
        <v>6.8193557358284753</v>
      </c>
      <c r="AB237" s="4">
        <f>Games[[#This Row],[PreGmRate]]+Games[[#This Row],[RatingChange]]</f>
        <v>1502.9433648985614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37440</v>
      </c>
      <c r="B238" s="2">
        <v>2002</v>
      </c>
      <c r="C238" s="2">
        <f>COUNTIFS(Games[Team],Games[[#This Row],[Team]],Games[Season],Games[[#This Row],[Season]],Games[Date],"&lt;=" &amp; Games[[#This Row],[Date]])</f>
        <v>16</v>
      </c>
      <c r="D238" s="2" t="s">
        <v>23</v>
      </c>
      <c r="E238" s="2" t="s">
        <v>29</v>
      </c>
      <c r="F238" s="1" t="s">
        <v>2</v>
      </c>
      <c r="G238" s="1" t="s">
        <v>43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1631.3070722900929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1563.517748823434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0.47668787535915691</v>
      </c>
      <c r="R238" s="1">
        <v>78</v>
      </c>
      <c r="S238" s="1">
        <v>67</v>
      </c>
      <c r="T238" s="1">
        <v>0</v>
      </c>
      <c r="U238" s="1">
        <f>Games[[#This Row],[PointsFor]]-Games[[#This Row],[PointsAgainst]]</f>
        <v>11</v>
      </c>
      <c r="V238" s="1">
        <f>IF(Games[[#This Row],[MOV]]&gt;0,1,IF(Games[[#This Row],[MOV]]=0,0.5,0))</f>
        <v>1</v>
      </c>
      <c r="W238" s="4">
        <f>((ABS(Games[[#This Row],[MOV]])+5)^0.6)/(12+0.01*(ABS(Games[[#This Row],[PreGmRate]]-Games[[#This Row],[OppPreGmRate]])))*IF(Games[[#This Row],[OT]]=1,0.9,1)</f>
        <v>0.4163177229367464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73.599999999999994</v>
      </c>
      <c r="Z238" s="4">
        <f>Games[[#This Row],[K]]*Games[[#This Row],[POMult]]</f>
        <v>73.599999999999994</v>
      </c>
      <c r="AA238" s="4">
        <f>(Games[[#This Row],[Keff]]*Games[[#This Row],[MOVMult]])*(Games[[#This Row],[Result]]-Games[[#This Row],[ExpectedWin%]])</f>
        <v>16.034798651713061</v>
      </c>
      <c r="AB238" s="4">
        <f>Games[[#This Row],[PreGmRate]]+Games[[#This Row],[RatingChange]]</f>
        <v>1647.3418709418061</v>
      </c>
      <c r="AC238" s="2">
        <f>IF(Games[[#This Row],[Type]]="R",IF(Games[[#This Row],[Result]]&gt;0.5,1,0),0)</f>
        <v>1</v>
      </c>
      <c r="AD238" s="2">
        <f>IF(Games[[#This Row],[Type]]="R",IF(Games[[#This Row],[Result]]&lt;0.5,1,0),0)</f>
        <v>0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37440</v>
      </c>
      <c r="B239" s="2">
        <v>2002</v>
      </c>
      <c r="C239" s="2">
        <f>COUNTIFS(Games[Team],Games[[#This Row],[Team]],Games[Season],Games[[#This Row],[Season]],Games[Date],"&lt;=" &amp; Games[[#This Row],[Date]])</f>
        <v>14</v>
      </c>
      <c r="D239" s="2" t="s">
        <v>23</v>
      </c>
      <c r="E239" s="2" t="s">
        <v>29</v>
      </c>
      <c r="F239" s="1" t="s">
        <v>43</v>
      </c>
      <c r="G239" s="1" t="s">
        <v>2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1563.517748823434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1631.3070722900929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0.52331212464084309</v>
      </c>
      <c r="R239" s="1">
        <v>67</v>
      </c>
      <c r="S239" s="1">
        <v>78</v>
      </c>
      <c r="T239" s="1">
        <v>0</v>
      </c>
      <c r="U239" s="1">
        <f>Games[[#This Row],[PointsFor]]-Games[[#This Row],[PointsAgainst]]</f>
        <v>-11</v>
      </c>
      <c r="V239" s="1">
        <f>IF(Games[[#This Row],[MOV]]&gt;0,1,IF(Games[[#This Row],[MOV]]=0,0.5,0))</f>
        <v>0</v>
      </c>
      <c r="W239" s="4">
        <f>((ABS(Games[[#This Row],[MOV]])+5)^0.6)/(12+0.01*(ABS(Games[[#This Row],[PreGmRate]]-Games[[#This Row],[OppPreGmRate]])))*IF(Games[[#This Row],[OT]]=1,0.9,1)</f>
        <v>0.4163177229367464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73.900000000000006</v>
      </c>
      <c r="Z239" s="4">
        <f>Games[[#This Row],[K]]*Games[[#This Row],[POMult]]</f>
        <v>73.900000000000006</v>
      </c>
      <c r="AA239" s="4">
        <f>(Games[[#This Row],[Keff]]*Games[[#This Row],[MOVMult]])*(Games[[#This Row],[Result]]-Games[[#This Row],[ExpectedWin%]])</f>
        <v>-16.100157885347766</v>
      </c>
      <c r="AB239" s="4">
        <f>Games[[#This Row],[PreGmRate]]+Games[[#This Row],[RatingChange]]</f>
        <v>1547.4175909380863</v>
      </c>
      <c r="AC239" s="2">
        <f>IF(Games[[#This Row],[Type]]="R",IF(Games[[#This Row],[Result]]&gt;0.5,1,0),0)</f>
        <v>0</v>
      </c>
      <c r="AD239" s="2">
        <f>IF(Games[[#This Row],[Type]]="R",IF(Games[[#This Row],[Result]]&lt;0.5,1,0),0)</f>
        <v>1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37442</v>
      </c>
      <c r="B240" s="2">
        <v>2002</v>
      </c>
      <c r="C240" s="2">
        <f>COUNTIFS(Games[Team],Games[[#This Row],[Team]],Games[Season],Games[[#This Row],[Season]],Games[Date],"&lt;=" &amp; Games[[#This Row],[Date]])</f>
        <v>16</v>
      </c>
      <c r="D240" s="2" t="s">
        <v>23</v>
      </c>
      <c r="E240" s="2" t="s">
        <v>29</v>
      </c>
      <c r="F240" s="1" t="s">
        <v>87</v>
      </c>
      <c r="G240" s="1" t="s">
        <v>1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1444.3515017272837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1507.6910762684945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0.29982007985537229</v>
      </c>
      <c r="R240" s="1">
        <v>73</v>
      </c>
      <c r="S240" s="1">
        <v>65</v>
      </c>
      <c r="T240" s="1">
        <v>0</v>
      </c>
      <c r="U240" s="1">
        <f>Games[[#This Row],[PointsFor]]-Games[[#This Row],[PointsAgainst]]</f>
        <v>8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0.36884670708809975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73.599999999999994</v>
      </c>
      <c r="Z240" s="4">
        <f>Games[[#This Row],[K]]*Games[[#This Row],[POMult]]</f>
        <v>73.599999999999994</v>
      </c>
      <c r="AA240" s="4">
        <f>(Games[[#This Row],[Keff]]*Games[[#This Row],[MOVMult]])*(Games[[#This Row],[Result]]-Games[[#This Row],[ExpectedWin%]])</f>
        <v>19.007866662511216</v>
      </c>
      <c r="AB240" s="4">
        <f>Games[[#This Row],[PreGmRate]]+Games[[#This Row],[RatingChange]]</f>
        <v>1463.3593683897948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37442</v>
      </c>
      <c r="B241" s="2">
        <v>2002</v>
      </c>
      <c r="C241" s="2">
        <f>COUNTIFS(Games[Team],Games[[#This Row],[Team]],Games[Season],Games[[#This Row],[Season]],Games[Date],"&lt;=" &amp; Games[[#This Row],[Date]])</f>
        <v>15</v>
      </c>
      <c r="D241" s="2" t="s">
        <v>23</v>
      </c>
      <c r="E241" s="2" t="s">
        <v>29</v>
      </c>
      <c r="F241" s="1" t="s">
        <v>1</v>
      </c>
      <c r="G241" s="1" t="s">
        <v>87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1507.6910762684945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1444.3515017272837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0.70017992014462771</v>
      </c>
      <c r="R241" s="1">
        <v>65</v>
      </c>
      <c r="S241" s="1">
        <v>73</v>
      </c>
      <c r="T241" s="1">
        <v>0</v>
      </c>
      <c r="U241" s="1">
        <f>Games[[#This Row],[PointsFor]]-Games[[#This Row],[PointsAgainst]]</f>
        <v>-8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0.36884670708809975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73.75</v>
      </c>
      <c r="Z241" s="4">
        <f>Games[[#This Row],[K]]*Games[[#This Row],[POMult]]</f>
        <v>73.75</v>
      </c>
      <c r="AA241" s="4">
        <f>(Games[[#This Row],[Keff]]*Games[[#This Row],[MOVMult]])*(Games[[#This Row],[Result]]-Games[[#This Row],[ExpectedWin%]])</f>
        <v>-19.046605521198398</v>
      </c>
      <c r="AB241" s="4">
        <f>Games[[#This Row],[PreGmRate]]+Games[[#This Row],[RatingChange]]</f>
        <v>1488.6444707472961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37442</v>
      </c>
      <c r="B242" s="2">
        <v>2002</v>
      </c>
      <c r="C242" s="2">
        <f>COUNTIFS(Games[Team],Games[[#This Row],[Team]],Games[Season],Games[[#This Row],[Season]],Games[Date],"&lt;=" &amp; Games[[#This Row],[Date]])</f>
        <v>15</v>
      </c>
      <c r="D242" s="2" t="s">
        <v>23</v>
      </c>
      <c r="E242" s="2" t="s">
        <v>29</v>
      </c>
      <c r="F242" s="1" t="s">
        <v>45</v>
      </c>
      <c r="G242" s="1" t="s">
        <v>71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2" s="2">
        <f>Games[[#This Row],[DaysOff]]-Games[[#This Row],[OppDaysOff]]</f>
        <v>0</v>
      </c>
      <c r="L242" s="2">
        <f>Games[[#This Row],[OppDaysOff]]-Games[[#This Row],[DaysOff]]</f>
        <v>0</v>
      </c>
      <c r="M242" s="1">
        <f>MAX(-16, MIN(16, Games[[#This Row],[RestDiff]]*8))</f>
        <v>0</v>
      </c>
      <c r="N242" s="1">
        <f>MAX(-16, MIN(16, Games[[#This Row],[OppRestDiff]]*8))</f>
        <v>0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1418.7316910510046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1694.4063127887628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0.1120019210908781</v>
      </c>
      <c r="R242" s="1">
        <v>65</v>
      </c>
      <c r="S242" s="1">
        <v>87</v>
      </c>
      <c r="T242" s="1">
        <v>0</v>
      </c>
      <c r="U242" s="1">
        <f>Games[[#This Row],[PointsFor]]-Games[[#This Row],[PointsAgainst]]</f>
        <v>-22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0.4895844889799813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73.75</v>
      </c>
      <c r="Z242" s="4">
        <f>Games[[#This Row],[K]]*Games[[#This Row],[POMult]]</f>
        <v>73.75</v>
      </c>
      <c r="AA242" s="4">
        <f>(Games[[#This Row],[Keff]]*Games[[#This Row],[MOVMult]])*(Games[[#This Row],[Result]]-Games[[#This Row],[ExpectedWin%]])</f>
        <v>-4.0440372435264633</v>
      </c>
      <c r="AB242" s="4">
        <f>Games[[#This Row],[PreGmRate]]+Games[[#This Row],[RatingChange]]</f>
        <v>1414.6876538074782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37442</v>
      </c>
      <c r="B243" s="2">
        <v>2002</v>
      </c>
      <c r="C243" s="2">
        <f>COUNTIFS(Games[Team],Games[[#This Row],[Team]],Games[Season],Games[[#This Row],[Season]],Games[Date],"&lt;=" &amp; Games[[#This Row],[Date]])</f>
        <v>15</v>
      </c>
      <c r="D243" s="2" t="s">
        <v>23</v>
      </c>
      <c r="E243" s="2" t="s">
        <v>29</v>
      </c>
      <c r="F243" s="1" t="s">
        <v>71</v>
      </c>
      <c r="G243" s="1" t="s">
        <v>45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3" s="2">
        <f>Games[[#This Row],[DaysOff]]-Games[[#This Row],[OppDaysOff]]</f>
        <v>0</v>
      </c>
      <c r="L243" s="2">
        <f>Games[[#This Row],[OppDaysOff]]-Games[[#This Row],[DaysOff]]</f>
        <v>0</v>
      </c>
      <c r="M243" s="1">
        <f>MAX(-16, MIN(16, Games[[#This Row],[RestDiff]]*8))</f>
        <v>0</v>
      </c>
      <c r="N243" s="1">
        <f>MAX(-16, MIN(16, Games[[#This Row],[OppRestDiff]]*8))</f>
        <v>0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1694.4063127887628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1418.7316910510046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0.88799807890912186</v>
      </c>
      <c r="R243" s="1">
        <v>87</v>
      </c>
      <c r="S243" s="1">
        <v>65</v>
      </c>
      <c r="T243" s="1">
        <v>0</v>
      </c>
      <c r="U243" s="1">
        <f>Games[[#This Row],[PointsFor]]-Games[[#This Row],[PointsAgainst]]</f>
        <v>22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0.4895844889799813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73.75</v>
      </c>
      <c r="Z243" s="4">
        <f>Games[[#This Row],[K]]*Games[[#This Row],[POMult]]</f>
        <v>73.75</v>
      </c>
      <c r="AA243" s="4">
        <f>(Games[[#This Row],[Keff]]*Games[[#This Row],[MOVMult]])*(Games[[#This Row],[Result]]-Games[[#This Row],[ExpectedWin%]])</f>
        <v>4.0440372435264651</v>
      </c>
      <c r="AB243" s="4">
        <f>Games[[#This Row],[PreGmRate]]+Games[[#This Row],[RatingChange]]</f>
        <v>1698.4503500322892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37442</v>
      </c>
      <c r="B244" s="2">
        <v>2002</v>
      </c>
      <c r="C244" s="2">
        <f>COUNTIFS(Games[Team],Games[[#This Row],[Team]],Games[Season],Games[[#This Row],[Season]],Games[Date],"&lt;=" &amp; Games[[#This Row],[Date]])</f>
        <v>15</v>
      </c>
      <c r="D244" s="2" t="s">
        <v>23</v>
      </c>
      <c r="E244" s="2" t="s">
        <v>29</v>
      </c>
      <c r="F244" s="1" t="s">
        <v>64</v>
      </c>
      <c r="G244" s="1" t="s">
        <v>83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">
        <f>MAX(-16, MIN(16, Games[[#This Row],[RestDiff]]*8))</f>
        <v>0</v>
      </c>
      <c r="N244" s="1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1543.3501406704331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1477.9923249886583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0.47319745694905957</v>
      </c>
      <c r="R244" s="1">
        <v>72</v>
      </c>
      <c r="S244" s="1">
        <v>68</v>
      </c>
      <c r="T244" s="1">
        <v>0</v>
      </c>
      <c r="U244" s="1">
        <f>Games[[#This Row],[PointsFor]]-Games[[#This Row],[PointsAgainst]]</f>
        <v>4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0.29534672110378146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73.75</v>
      </c>
      <c r="Z244" s="4">
        <f>Games[[#This Row],[K]]*Games[[#This Row],[POMult]]</f>
        <v>73.75</v>
      </c>
      <c r="AA244" s="4">
        <f>(Games[[#This Row],[Keff]]*Games[[#This Row],[MOVMult]])*(Games[[#This Row],[Result]]-Games[[#This Row],[ExpectedWin%]])</f>
        <v>11.474718527243134</v>
      </c>
      <c r="AB244" s="4">
        <f>Games[[#This Row],[PreGmRate]]+Games[[#This Row],[RatingChange]]</f>
        <v>1554.8248591976762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37442</v>
      </c>
      <c r="B245" s="2">
        <v>2002</v>
      </c>
      <c r="C245" s="2">
        <f>COUNTIFS(Games[Team],Games[[#This Row],[Team]],Games[Season],Games[[#This Row],[Season]],Games[Date],"&lt;=" &amp; Games[[#This Row],[Date]])</f>
        <v>15</v>
      </c>
      <c r="D245" s="2" t="s">
        <v>23</v>
      </c>
      <c r="E245" s="2" t="s">
        <v>29</v>
      </c>
      <c r="F245" s="1" t="s">
        <v>83</v>
      </c>
      <c r="G245" s="1" t="s">
        <v>64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">
        <f>MAX(-16, MIN(16, Games[[#This Row],[RestDiff]]*8))</f>
        <v>0</v>
      </c>
      <c r="N245" s="1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1477.9923249886583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1543.3501406704331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0.52680254305094043</v>
      </c>
      <c r="R245" s="1">
        <v>68</v>
      </c>
      <c r="S245" s="1">
        <v>72</v>
      </c>
      <c r="T245" s="1">
        <v>0</v>
      </c>
      <c r="U245" s="1">
        <f>Games[[#This Row],[PointsFor]]-Games[[#This Row],[PointsAgainst]]</f>
        <v>-4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0.29534672110378146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73.75</v>
      </c>
      <c r="Z245" s="4">
        <f>Games[[#This Row],[K]]*Games[[#This Row],[POMult]]</f>
        <v>73.75</v>
      </c>
      <c r="AA245" s="4">
        <f>(Games[[#This Row],[Keff]]*Games[[#This Row],[MOVMult]])*(Games[[#This Row],[Result]]-Games[[#This Row],[ExpectedWin%]])</f>
        <v>-11.474718527243134</v>
      </c>
      <c r="AB245" s="4">
        <f>Games[[#This Row],[PreGmRate]]+Games[[#This Row],[RatingChange]]</f>
        <v>1466.5176064614152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37442</v>
      </c>
      <c r="B246" s="2">
        <v>2002</v>
      </c>
      <c r="C246" s="2">
        <f>COUNTIFS(Games[Team],Games[[#This Row],[Team]],Games[Season],Games[[#This Row],[Season]],Games[Date],"&lt;=" &amp; Games[[#This Row],[Date]])</f>
        <v>16</v>
      </c>
      <c r="D246" s="2" t="s">
        <v>23</v>
      </c>
      <c r="E246" s="2" t="s">
        <v>29</v>
      </c>
      <c r="F246" s="1" t="s">
        <v>80</v>
      </c>
      <c r="G246" s="1" t="s">
        <v>43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1454.8961682627942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1547.4175909380863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0.26578016025112022</v>
      </c>
      <c r="R246" s="1">
        <v>56</v>
      </c>
      <c r="S246" s="1">
        <v>87</v>
      </c>
      <c r="T246" s="1">
        <v>0</v>
      </c>
      <c r="U246" s="1">
        <f>Games[[#This Row],[PointsFor]]-Games[[#This Row],[PointsAgainst]]</f>
        <v>-31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0.66426864081373638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73.599999999999994</v>
      </c>
      <c r="Z246" s="4">
        <f>Games[[#This Row],[K]]*Games[[#This Row],[POMult]]</f>
        <v>73.599999999999994</v>
      </c>
      <c r="AA246" s="4">
        <f>(Games[[#This Row],[Keff]]*Games[[#This Row],[MOVMult]])*(Games[[#This Row],[Result]]-Games[[#This Row],[ExpectedWin%]])</f>
        <v>-12.994037739267773</v>
      </c>
      <c r="AB246" s="4">
        <f>Games[[#This Row],[PreGmRate]]+Games[[#This Row],[RatingChange]]</f>
        <v>1441.9021305235265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37442</v>
      </c>
      <c r="B247" s="2">
        <v>2002</v>
      </c>
      <c r="C247" s="2">
        <f>COUNTIFS(Games[Team],Games[[#This Row],[Team]],Games[Season],Games[[#This Row],[Season]],Games[Date],"&lt;=" &amp; Games[[#This Row],[Date]])</f>
        <v>15</v>
      </c>
      <c r="D247" s="2" t="s">
        <v>23</v>
      </c>
      <c r="E247" s="2" t="s">
        <v>29</v>
      </c>
      <c r="F247" s="1" t="s">
        <v>43</v>
      </c>
      <c r="G247" s="1" t="s">
        <v>80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1547.4175909380863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1454.8961682627942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0.73421983974887983</v>
      </c>
      <c r="R247" s="1">
        <v>87</v>
      </c>
      <c r="S247" s="1">
        <v>56</v>
      </c>
      <c r="T247" s="1">
        <v>0</v>
      </c>
      <c r="U247" s="1">
        <f>Games[[#This Row],[PointsFor]]-Games[[#This Row],[PointsAgainst]]</f>
        <v>31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0.66426864081373638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73.75</v>
      </c>
      <c r="Z247" s="4">
        <f>Games[[#This Row],[K]]*Games[[#This Row],[POMult]]</f>
        <v>73.75</v>
      </c>
      <c r="AA247" s="4">
        <f>(Games[[#This Row],[Keff]]*Games[[#This Row],[MOVMult]])*(Games[[#This Row],[Result]]-Games[[#This Row],[ExpectedWin%]])</f>
        <v>13.020520153138563</v>
      </c>
      <c r="AB247" s="4">
        <f>Games[[#This Row],[PreGmRate]]+Games[[#This Row],[RatingChange]]</f>
        <v>1560.4381110912248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37443</v>
      </c>
      <c r="B248" s="2">
        <v>2002</v>
      </c>
      <c r="C248" s="2">
        <f>COUNTIFS(Games[Team],Games[[#This Row],[Team]],Games[Season],Games[[#This Row],[Season]],Games[Date],"&lt;=" &amp; Games[[#This Row],[Date]])</f>
        <v>16</v>
      </c>
      <c r="D248" s="2" t="s">
        <v>23</v>
      </c>
      <c r="E248" s="2" t="s">
        <v>29</v>
      </c>
      <c r="F248" s="1" t="s">
        <v>1</v>
      </c>
      <c r="G248" s="1" t="s">
        <v>64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">
        <f>MAX(-16, MIN(16, Games[[#This Row],[RestDiff]]*8))</f>
        <v>0</v>
      </c>
      <c r="N248" s="1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1488.6444707472961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1554.8248591976762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0.2963983963126276</v>
      </c>
      <c r="R248" s="1">
        <v>67</v>
      </c>
      <c r="S248" s="1">
        <v>78</v>
      </c>
      <c r="T248" s="1">
        <v>0</v>
      </c>
      <c r="U248" s="1">
        <f>Games[[#This Row],[PointsFor]]-Games[[#This Row],[PointsAgainst]]</f>
        <v>-11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0.41684673773466957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73.599999999999994</v>
      </c>
      <c r="Z248" s="4">
        <f>Games[[#This Row],[K]]*Games[[#This Row],[POMult]]</f>
        <v>73.599999999999994</v>
      </c>
      <c r="AA248" s="4">
        <f>(Games[[#This Row],[Keff]]*Games[[#This Row],[MOVMult]])*(Games[[#This Row],[Result]]-Games[[#This Row],[ExpectedWin%]])</f>
        <v>-9.0934790565511996</v>
      </c>
      <c r="AB248" s="4">
        <f>Games[[#This Row],[PreGmRate]]+Games[[#This Row],[RatingChange]]</f>
        <v>1479.5509916907449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37443</v>
      </c>
      <c r="B249" s="2">
        <v>2002</v>
      </c>
      <c r="C249" s="2">
        <f>COUNTIFS(Games[Team],Games[[#This Row],[Team]],Games[Season],Games[[#This Row],[Season]],Games[Date],"&lt;=" &amp; Games[[#This Row],[Date]])</f>
        <v>16</v>
      </c>
      <c r="D249" s="2" t="s">
        <v>23</v>
      </c>
      <c r="E249" s="2" t="s">
        <v>29</v>
      </c>
      <c r="F249" s="1" t="s">
        <v>64</v>
      </c>
      <c r="G249" s="1" t="s">
        <v>1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">
        <f>MAX(-16, MIN(16, Games[[#This Row],[RestDiff]]*8))</f>
        <v>0</v>
      </c>
      <c r="N249" s="1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1554.8248591976762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1488.6444707472961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0.70360160368737246</v>
      </c>
      <c r="R249" s="1">
        <v>78</v>
      </c>
      <c r="S249" s="1">
        <v>67</v>
      </c>
      <c r="T249" s="1">
        <v>0</v>
      </c>
      <c r="U249" s="1">
        <f>Games[[#This Row],[PointsFor]]-Games[[#This Row],[PointsAgainst]]</f>
        <v>11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0.41684673773466957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73.599999999999994</v>
      </c>
      <c r="Z249" s="4">
        <f>Games[[#This Row],[K]]*Games[[#This Row],[POMult]]</f>
        <v>73.599999999999994</v>
      </c>
      <c r="AA249" s="4">
        <f>(Games[[#This Row],[Keff]]*Games[[#This Row],[MOVMult]])*(Games[[#This Row],[Result]]-Games[[#This Row],[ExpectedWin%]])</f>
        <v>9.0934790565511978</v>
      </c>
      <c r="AB249" s="4">
        <f>Games[[#This Row],[PreGmRate]]+Games[[#This Row],[RatingChange]]</f>
        <v>1563.9183382542274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37443</v>
      </c>
      <c r="B250" s="2">
        <v>2002</v>
      </c>
      <c r="C250" s="2">
        <f>COUNTIFS(Games[Team],Games[[#This Row],[Team]],Games[Season],Games[[#This Row],[Season]],Games[Date],"&lt;=" &amp; Games[[#This Row],[Date]])</f>
        <v>16</v>
      </c>
      <c r="D250" s="2" t="s">
        <v>23</v>
      </c>
      <c r="E250" s="2" t="s">
        <v>29</v>
      </c>
      <c r="F250" s="1" t="s">
        <v>77</v>
      </c>
      <c r="G250" s="1" t="s">
        <v>2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0" s="2">
        <f>Games[[#This Row],[DaysOff]]-Games[[#This Row],[OppDaysOff]]</f>
        <v>2</v>
      </c>
      <c r="L250" s="2">
        <f>Games[[#This Row],[OppDaysOff]]-Games[[#This Row],[DaysOff]]</f>
        <v>-2</v>
      </c>
      <c r="M250" s="1">
        <f>MAX(-16, MIN(16, Games[[#This Row],[RestDiff]]*8))</f>
        <v>16</v>
      </c>
      <c r="N250" s="1">
        <f>MAX(-16, MIN(16, Games[[#This Row],[OppRestDiff]]*8))</f>
        <v>-16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1333.1679997552283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1647.3418709418061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0.10833461169842444</v>
      </c>
      <c r="R250" s="1">
        <v>40</v>
      </c>
      <c r="S250" s="1">
        <v>61</v>
      </c>
      <c r="T250" s="1">
        <v>0</v>
      </c>
      <c r="U250" s="1">
        <f>Games[[#This Row],[PointsFor]]-Games[[#This Row],[PointsAgainst]]</f>
        <v>-21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0.46645339796505758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73.599999999999994</v>
      </c>
      <c r="Z250" s="4">
        <f>Games[[#This Row],[K]]*Games[[#This Row],[POMult]]</f>
        <v>73.599999999999994</v>
      </c>
      <c r="AA250" s="4">
        <f>(Games[[#This Row],[Keff]]*Games[[#This Row],[MOVMult]])*(Games[[#This Row],[Result]]-Games[[#This Row],[ExpectedWin%]])</f>
        <v>-3.7192323139550991</v>
      </c>
      <c r="AB250" s="4">
        <f>Games[[#This Row],[PreGmRate]]+Games[[#This Row],[RatingChange]]</f>
        <v>1329.4487674412733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37443</v>
      </c>
      <c r="B251" s="2">
        <v>2002</v>
      </c>
      <c r="C251" s="2">
        <f>COUNTIFS(Games[Team],Games[[#This Row],[Team]],Games[Season],Games[[#This Row],[Season]],Games[Date],"&lt;=" &amp; Games[[#This Row],[Date]])</f>
        <v>17</v>
      </c>
      <c r="D251" s="2" t="s">
        <v>23</v>
      </c>
      <c r="E251" s="2" t="s">
        <v>29</v>
      </c>
      <c r="F251" s="1" t="s">
        <v>2</v>
      </c>
      <c r="G251" s="1" t="s">
        <v>77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51" s="2">
        <f>Games[[#This Row],[DaysOff]]-Games[[#This Row],[OppDaysOff]]</f>
        <v>-2</v>
      </c>
      <c r="L251" s="2">
        <f>Games[[#This Row],[OppDaysOff]]-Games[[#This Row],[DaysOff]]</f>
        <v>2</v>
      </c>
      <c r="M251" s="1">
        <f>MAX(-16, MIN(16, Games[[#This Row],[RestDiff]]*8))</f>
        <v>-16</v>
      </c>
      <c r="N251" s="1">
        <f>MAX(-16, MIN(16, Games[[#This Row],[OppRestDiff]]*8))</f>
        <v>16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1647.3418709418061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1333.1679997552283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0.8916653883015756</v>
      </c>
      <c r="R251" s="1">
        <v>61</v>
      </c>
      <c r="S251" s="1">
        <v>40</v>
      </c>
      <c r="T251" s="1">
        <v>0</v>
      </c>
      <c r="U251" s="1">
        <f>Games[[#This Row],[PointsFor]]-Games[[#This Row],[PointsAgainst]]</f>
        <v>21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0.46645339796505758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73.45</v>
      </c>
      <c r="Z251" s="4">
        <f>Games[[#This Row],[K]]*Games[[#This Row],[POMult]]</f>
        <v>73.45</v>
      </c>
      <c r="AA251" s="4">
        <f>(Games[[#This Row],[Keff]]*Games[[#This Row],[MOVMult]])*(Games[[#This Row],[Result]]-Games[[#This Row],[ExpectedWin%]])</f>
        <v>3.7116523567935049</v>
      </c>
      <c r="AB251" s="4">
        <f>Games[[#This Row],[PreGmRate]]+Games[[#This Row],[RatingChange]]</f>
        <v>1651.0535232985997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37443</v>
      </c>
      <c r="B252" s="2">
        <v>2002</v>
      </c>
      <c r="C252" s="2">
        <f>COUNTIFS(Games[Team],Games[[#This Row],[Team]],Games[Season],Games[[#This Row],[Season]],Games[Date],"&lt;=" &amp; Games[[#This Row],[Date]])</f>
        <v>17</v>
      </c>
      <c r="D252" s="2" t="s">
        <v>23</v>
      </c>
      <c r="E252" s="2" t="s">
        <v>29</v>
      </c>
      <c r="F252" s="1" t="s">
        <v>75</v>
      </c>
      <c r="G252" s="1" t="s">
        <v>85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1548.2166390896471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1423.898530850174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0.55776336605331789</v>
      </c>
      <c r="R252" s="1">
        <v>45</v>
      </c>
      <c r="S252" s="1">
        <v>50</v>
      </c>
      <c r="T252" s="1">
        <v>0</v>
      </c>
      <c r="U252" s="1">
        <f>Games[[#This Row],[PointsFor]]-Games[[#This Row],[PointsAgainst]]</f>
        <v>-5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0.30061294795910815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73.45</v>
      </c>
      <c r="Z252" s="4">
        <f>Games[[#This Row],[K]]*Games[[#This Row],[POMult]]</f>
        <v>73.45</v>
      </c>
      <c r="AA252" s="4">
        <f>(Games[[#This Row],[Keff]]*Games[[#This Row],[MOVMult]])*(Games[[#This Row],[Result]]-Games[[#This Row],[ExpectedWin%]])</f>
        <v>-12.315426850880259</v>
      </c>
      <c r="AB252" s="4">
        <f>Games[[#This Row],[PreGmRate]]+Games[[#This Row],[RatingChange]]</f>
        <v>1535.9012122387669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37443</v>
      </c>
      <c r="B253" s="2">
        <v>2002</v>
      </c>
      <c r="C253" s="2">
        <f>COUNTIFS(Games[Team],Games[[#This Row],[Team]],Games[Season],Games[[#This Row],[Season]],Games[Date],"&lt;=" &amp; Games[[#This Row],[Date]])</f>
        <v>16</v>
      </c>
      <c r="D253" s="2" t="s">
        <v>23</v>
      </c>
      <c r="E253" s="2" t="s">
        <v>29</v>
      </c>
      <c r="F253" s="1" t="s">
        <v>85</v>
      </c>
      <c r="G253" s="1" t="s">
        <v>75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1423.898530850174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1548.2166390896471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0.44223663394668211</v>
      </c>
      <c r="R253" s="1">
        <v>50</v>
      </c>
      <c r="S253" s="1">
        <v>45</v>
      </c>
      <c r="T253" s="1">
        <v>0</v>
      </c>
      <c r="U253" s="1">
        <f>Games[[#This Row],[PointsFor]]-Games[[#This Row],[PointsAgainst]]</f>
        <v>5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0.30061294795910815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73.599999999999994</v>
      </c>
      <c r="Z253" s="4">
        <f>Games[[#This Row],[K]]*Games[[#This Row],[POMult]]</f>
        <v>73.599999999999994</v>
      </c>
      <c r="AA253" s="4">
        <f>(Games[[#This Row],[Keff]]*Games[[#This Row],[MOVMult]])*(Games[[#This Row],[Result]]-Games[[#This Row],[ExpectedWin%]])</f>
        <v>12.340577484340191</v>
      </c>
      <c r="AB253" s="4">
        <f>Games[[#This Row],[PreGmRate]]+Games[[#This Row],[RatingChange]]</f>
        <v>1436.2391083345142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37443</v>
      </c>
      <c r="B254" s="2">
        <v>2002</v>
      </c>
      <c r="C254" s="2">
        <f>COUNTIFS(Games[Team],Games[[#This Row],[Team]],Games[Season],Games[[#This Row],[Season]],Games[Date],"&lt;=" &amp; Games[[#This Row],[Date]])</f>
        <v>15</v>
      </c>
      <c r="D254" s="2" t="s">
        <v>23</v>
      </c>
      <c r="E254" s="2" t="s">
        <v>29</v>
      </c>
      <c r="F254" s="1" t="s">
        <v>44</v>
      </c>
      <c r="G254" s="1" t="s">
        <v>79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1466.2386527754793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1502.9433648985614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0.33295899490129444</v>
      </c>
      <c r="R254" s="1">
        <v>70</v>
      </c>
      <c r="S254" s="1">
        <v>72</v>
      </c>
      <c r="T254" s="1">
        <v>0</v>
      </c>
      <c r="U254" s="1">
        <f>Games[[#This Row],[PointsFor]]-Games[[#This Row],[PointsAgainst]]</f>
        <v>-2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0.25989193848855957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73.75</v>
      </c>
      <c r="Z254" s="4">
        <f>Games[[#This Row],[K]]*Games[[#This Row],[POMult]]</f>
        <v>73.75</v>
      </c>
      <c r="AA254" s="4">
        <f>(Games[[#This Row],[Keff]]*Games[[#This Row],[MOVMult]])*(Games[[#This Row],[Result]]-Games[[#This Row],[ExpectedWin%]])</f>
        <v>-6.3818351983798625</v>
      </c>
      <c r="AB254" s="4">
        <f>Games[[#This Row],[PreGmRate]]+Games[[#This Row],[RatingChange]]</f>
        <v>1459.8568175770995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37443</v>
      </c>
      <c r="B255" s="2">
        <v>2002</v>
      </c>
      <c r="C255" s="2">
        <f>COUNTIFS(Games[Team],Games[[#This Row],[Team]],Games[Season],Games[[#This Row],[Season]],Games[Date],"&lt;=" &amp; Games[[#This Row],[Date]])</f>
        <v>15</v>
      </c>
      <c r="D255" s="2" t="s">
        <v>23</v>
      </c>
      <c r="E255" s="2" t="s">
        <v>29</v>
      </c>
      <c r="F255" s="1" t="s">
        <v>79</v>
      </c>
      <c r="G255" s="1" t="s">
        <v>44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1502.9433648985614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1466.2386527754793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0.66704100509870556</v>
      </c>
      <c r="R255" s="1">
        <v>72</v>
      </c>
      <c r="S255" s="1">
        <v>70</v>
      </c>
      <c r="T255" s="1">
        <v>0</v>
      </c>
      <c r="U255" s="1">
        <f>Games[[#This Row],[PointsFor]]-Games[[#This Row],[PointsAgainst]]</f>
        <v>2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0.25989193848855957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73.75</v>
      </c>
      <c r="Z255" s="4">
        <f>Games[[#This Row],[K]]*Games[[#This Row],[POMult]]</f>
        <v>73.75</v>
      </c>
      <c r="AA255" s="4">
        <f>(Games[[#This Row],[Keff]]*Games[[#This Row],[MOVMult]])*(Games[[#This Row],[Result]]-Games[[#This Row],[ExpectedWin%]])</f>
        <v>6.3818351983798625</v>
      </c>
      <c r="AB255" s="4">
        <f>Games[[#This Row],[PreGmRate]]+Games[[#This Row],[RatingChange]]</f>
        <v>1509.3252000969412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37444</v>
      </c>
      <c r="B256" s="2">
        <v>2002</v>
      </c>
      <c r="C256" s="2">
        <f>COUNTIFS(Games[Team],Games[[#This Row],[Team]],Games[Season],Games[[#This Row],[Season]],Games[Date],"&lt;=" &amp; Games[[#This Row],[Date]])</f>
        <v>16</v>
      </c>
      <c r="D256" s="2" t="s">
        <v>23</v>
      </c>
      <c r="E256" s="2" t="s">
        <v>29</v>
      </c>
      <c r="F256" s="1" t="s">
        <v>43</v>
      </c>
      <c r="G256" s="1" t="s">
        <v>71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1560.4381110912248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1698.4503500322892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0.21788997745569352</v>
      </c>
      <c r="R256" s="1">
        <v>75</v>
      </c>
      <c r="S256" s="1">
        <v>102</v>
      </c>
      <c r="T256" s="1">
        <v>0</v>
      </c>
      <c r="U256" s="1">
        <f>Games[[#This Row],[PointsFor]]-Games[[#This Row],[PointsAgainst]]</f>
        <v>-27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0.59790185524247474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73.599999999999994</v>
      </c>
      <c r="Z256" s="4">
        <f>Games[[#This Row],[K]]*Games[[#This Row],[POMult]]</f>
        <v>73.599999999999994</v>
      </c>
      <c r="AA256" s="4">
        <f>(Games[[#This Row],[Keff]]*Games[[#This Row],[MOVMult]])*(Games[[#This Row],[Result]]-Games[[#This Row],[ExpectedWin%]])</f>
        <v>-9.5883740814992109</v>
      </c>
      <c r="AB256" s="4">
        <f>Games[[#This Row],[PreGmRate]]+Games[[#This Row],[RatingChange]]</f>
        <v>1550.8497370097255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37444</v>
      </c>
      <c r="B257" s="2">
        <v>2002</v>
      </c>
      <c r="C257" s="2">
        <f>COUNTIFS(Games[Team],Games[[#This Row],[Team]],Games[Season],Games[[#This Row],[Season]],Games[Date],"&lt;=" &amp; Games[[#This Row],[Date]])</f>
        <v>16</v>
      </c>
      <c r="D257" s="2" t="s">
        <v>23</v>
      </c>
      <c r="E257" s="2" t="s">
        <v>29</v>
      </c>
      <c r="F257" s="1" t="s">
        <v>71</v>
      </c>
      <c r="G257" s="1" t="s">
        <v>43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1698.4503500322892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1560.4381110912248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0.78211002254430639</v>
      </c>
      <c r="R257" s="1">
        <v>102</v>
      </c>
      <c r="S257" s="1">
        <v>75</v>
      </c>
      <c r="T257" s="1">
        <v>0</v>
      </c>
      <c r="U257" s="1">
        <f>Games[[#This Row],[PointsFor]]-Games[[#This Row],[PointsAgainst]]</f>
        <v>27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0.59790185524247474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73.599999999999994</v>
      </c>
      <c r="Z257" s="4">
        <f>Games[[#This Row],[K]]*Games[[#This Row],[POMult]]</f>
        <v>73.599999999999994</v>
      </c>
      <c r="AA257" s="4">
        <f>(Games[[#This Row],[Keff]]*Games[[#This Row],[MOVMult]])*(Games[[#This Row],[Result]]-Games[[#This Row],[ExpectedWin%]])</f>
        <v>9.5883740814992144</v>
      </c>
      <c r="AB257" s="4">
        <f>Games[[#This Row],[PreGmRate]]+Games[[#This Row],[RatingChange]]</f>
        <v>1708.0387241137885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37444</v>
      </c>
      <c r="B258" s="2">
        <v>2002</v>
      </c>
      <c r="C258" s="2">
        <f>COUNTIFS(Games[Team],Games[[#This Row],[Team]],Games[Season],Games[[#This Row],[Season]],Games[Date],"&lt;=" &amp; Games[[#This Row],[Date]])</f>
        <v>17</v>
      </c>
      <c r="D258" s="2" t="s">
        <v>23</v>
      </c>
      <c r="E258" s="2" t="s">
        <v>29</v>
      </c>
      <c r="F258" s="1" t="s">
        <v>87</v>
      </c>
      <c r="G258" s="1" t="s">
        <v>83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1463.3593683897948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1466.5176064614152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0.37713580785090361</v>
      </c>
      <c r="R258" s="1">
        <v>61</v>
      </c>
      <c r="S258" s="1">
        <v>65</v>
      </c>
      <c r="T258" s="1">
        <v>1</v>
      </c>
      <c r="U258" s="1">
        <f>Games[[#This Row],[PointsFor]]-Games[[#This Row],[PointsAgainst]]</f>
        <v>-4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0.27955371376193661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73.45</v>
      </c>
      <c r="Z258" s="4">
        <f>Games[[#This Row],[K]]*Games[[#This Row],[POMult]]</f>
        <v>73.45</v>
      </c>
      <c r="AA258" s="4">
        <f>(Games[[#This Row],[Keff]]*Games[[#This Row],[MOVMult]])*(Games[[#This Row],[Result]]-Games[[#This Row],[ExpectedWin%]])</f>
        <v>-7.7438126164997589</v>
      </c>
      <c r="AB258" s="4">
        <f>Games[[#This Row],[PreGmRate]]+Games[[#This Row],[RatingChange]]</f>
        <v>1455.615555773295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37444</v>
      </c>
      <c r="B259" s="2">
        <v>2002</v>
      </c>
      <c r="C259" s="2">
        <f>COUNTIFS(Games[Team],Games[[#This Row],[Team]],Games[Season],Games[[#This Row],[Season]],Games[Date],"&lt;=" &amp; Games[[#This Row],[Date]])</f>
        <v>16</v>
      </c>
      <c r="D259" s="2" t="s">
        <v>23</v>
      </c>
      <c r="E259" s="2" t="s">
        <v>29</v>
      </c>
      <c r="F259" s="1" t="s">
        <v>83</v>
      </c>
      <c r="G259" s="1" t="s">
        <v>87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1466.5176064614152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1463.3593683897948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0.62286419214909639</v>
      </c>
      <c r="R259" s="1">
        <v>65</v>
      </c>
      <c r="S259" s="1">
        <v>61</v>
      </c>
      <c r="T259" s="1">
        <v>1</v>
      </c>
      <c r="U259" s="1">
        <f>Games[[#This Row],[PointsFor]]-Games[[#This Row],[PointsAgainst]]</f>
        <v>4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0.27955371376193661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73.599999999999994</v>
      </c>
      <c r="Z259" s="4">
        <f>Games[[#This Row],[K]]*Games[[#This Row],[POMult]]</f>
        <v>73.599999999999994</v>
      </c>
      <c r="AA259" s="4">
        <f>(Games[[#This Row],[Keff]]*Games[[#This Row],[MOVMult]])*(Games[[#This Row],[Result]]-Games[[#This Row],[ExpectedWin%]])</f>
        <v>7.7596270738513571</v>
      </c>
      <c r="AB259" s="4">
        <f>Games[[#This Row],[PreGmRate]]+Games[[#This Row],[RatingChange]]</f>
        <v>1474.2772335352665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37444</v>
      </c>
      <c r="B260" s="2">
        <v>2002</v>
      </c>
      <c r="C260" s="2">
        <f>COUNTIFS(Games[Team],Games[[#This Row],[Team]],Games[Season],Games[[#This Row],[Season]],Games[Date],"&lt;=" &amp; Games[[#This Row],[Date]])</f>
        <v>16</v>
      </c>
      <c r="D260" s="2" t="s">
        <v>23</v>
      </c>
      <c r="E260" s="2" t="s">
        <v>29</v>
      </c>
      <c r="F260" s="1" t="s">
        <v>45</v>
      </c>
      <c r="G260" s="1" t="s">
        <v>89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0" s="2">
        <f>Games[[#This Row],[DaysOff]]-Games[[#This Row],[OppDaysOff]]</f>
        <v>-2</v>
      </c>
      <c r="L260" s="2">
        <f>Games[[#This Row],[OppDaysOff]]-Games[[#This Row],[DaysOff]]</f>
        <v>2</v>
      </c>
      <c r="M260" s="1">
        <f>MAX(-16, MIN(16, Games[[#This Row],[RestDiff]]*8))</f>
        <v>-16</v>
      </c>
      <c r="N260" s="1">
        <f>MAX(-16, MIN(16, Games[[#This Row],[OppRestDiff]]*8))</f>
        <v>16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1414.6876538074782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1476.9184403256143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0.26386442441399843</v>
      </c>
      <c r="R260" s="1">
        <v>59</v>
      </c>
      <c r="S260" s="1">
        <v>74</v>
      </c>
      <c r="T260" s="1">
        <v>0</v>
      </c>
      <c r="U260" s="1">
        <f>Games[[#This Row],[PointsFor]]-Games[[#This Row],[PointsAgainst]]</f>
        <v>-15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0.4780565013146636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73.599999999999994</v>
      </c>
      <c r="Z260" s="4">
        <f>Games[[#This Row],[K]]*Games[[#This Row],[POMult]]</f>
        <v>73.599999999999994</v>
      </c>
      <c r="AA260" s="4">
        <f>(Games[[#This Row],[Keff]]*Games[[#This Row],[MOVMult]])*(Games[[#This Row],[Result]]-Games[[#This Row],[ExpectedWin%]])</f>
        <v>-9.2840588217777995</v>
      </c>
      <c r="AB260" s="4">
        <f>Games[[#This Row],[PreGmRate]]+Games[[#This Row],[RatingChange]]</f>
        <v>1405.4035949857005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37444</v>
      </c>
      <c r="B261" s="2">
        <v>2002</v>
      </c>
      <c r="C261" s="2">
        <f>COUNTIFS(Games[Team],Games[[#This Row],[Team]],Games[Season],Games[[#This Row],[Season]],Games[Date],"&lt;=" &amp; Games[[#This Row],[Date]])</f>
        <v>18</v>
      </c>
      <c r="D261" s="2" t="s">
        <v>23</v>
      </c>
      <c r="E261" s="2" t="s">
        <v>29</v>
      </c>
      <c r="F261" s="1" t="s">
        <v>89</v>
      </c>
      <c r="G261" s="1" t="s">
        <v>45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2</v>
      </c>
      <c r="L261" s="2">
        <f>Games[[#This Row],[OppDaysOff]]-Games[[#This Row],[DaysOff]]</f>
        <v>-2</v>
      </c>
      <c r="M261" s="1">
        <f>MAX(-16, MIN(16, Games[[#This Row],[RestDiff]]*8))</f>
        <v>16</v>
      </c>
      <c r="N261" s="1">
        <f>MAX(-16, MIN(16, Games[[#This Row],[OppRestDiff]]*8))</f>
        <v>-16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1476.9184403256143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1414.6876538074782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0.73613557558600151</v>
      </c>
      <c r="R261" s="1">
        <v>74</v>
      </c>
      <c r="S261" s="1">
        <v>59</v>
      </c>
      <c r="T261" s="1">
        <v>0</v>
      </c>
      <c r="U261" s="1">
        <f>Games[[#This Row],[PointsFor]]-Games[[#This Row],[PointsAgainst]]</f>
        <v>15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0.4780565013146636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73.3</v>
      </c>
      <c r="Z261" s="4">
        <f>Games[[#This Row],[K]]*Games[[#This Row],[POMult]]</f>
        <v>73.3</v>
      </c>
      <c r="AA261" s="4">
        <f>(Games[[#This Row],[Keff]]*Games[[#This Row],[MOVMult]])*(Games[[#This Row],[Result]]-Games[[#This Row],[ExpectedWin%]])</f>
        <v>9.2462161907107738</v>
      </c>
      <c r="AB261" s="4">
        <f>Games[[#This Row],[PreGmRate]]+Games[[#This Row],[RatingChange]]</f>
        <v>1486.1646565163251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37445</v>
      </c>
      <c r="B262" s="2">
        <v>2002</v>
      </c>
      <c r="C262" s="2">
        <f>COUNTIFS(Games[Team],Games[[#This Row],[Team]],Games[Season],Games[[#This Row],[Season]],Games[Date],"&lt;=" &amp; Games[[#This Row],[Date]])</f>
        <v>17</v>
      </c>
      <c r="D262" s="2" t="s">
        <v>23</v>
      </c>
      <c r="E262" s="2" t="s">
        <v>29</v>
      </c>
      <c r="F262" s="1" t="s">
        <v>1</v>
      </c>
      <c r="G262" s="1" t="s">
        <v>85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1479.5509916907449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1436.2391083345142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0.44171132064855811</v>
      </c>
      <c r="R262" s="1">
        <v>57</v>
      </c>
      <c r="S262" s="1">
        <v>68</v>
      </c>
      <c r="T262" s="1">
        <v>0</v>
      </c>
      <c r="U262" s="1">
        <f>Games[[#This Row],[PointsFor]]-Games[[#This Row],[PointsAgainst]]</f>
        <v>-11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0.42451389017885932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73.45</v>
      </c>
      <c r="Z262" s="4">
        <f>Games[[#This Row],[K]]*Games[[#This Row],[POMult]]</f>
        <v>73.45</v>
      </c>
      <c r="AA262" s="4">
        <f>(Games[[#This Row],[Keff]]*Games[[#This Row],[MOVMult]])*(Games[[#This Row],[Result]]-Games[[#This Row],[ExpectedWin%]])</f>
        <v>-13.772799813692</v>
      </c>
      <c r="AB262" s="4">
        <f>Games[[#This Row],[PreGmRate]]+Games[[#This Row],[RatingChange]]</f>
        <v>1465.7781918770529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37445</v>
      </c>
      <c r="B263" s="2">
        <v>2002</v>
      </c>
      <c r="C263" s="2">
        <f>COUNTIFS(Games[Team],Games[[#This Row],[Team]],Games[Season],Games[[#This Row],[Season]],Games[Date],"&lt;=" &amp; Games[[#This Row],[Date]])</f>
        <v>17</v>
      </c>
      <c r="D263" s="2" t="s">
        <v>23</v>
      </c>
      <c r="E263" s="2" t="s">
        <v>29</v>
      </c>
      <c r="F263" s="1" t="s">
        <v>85</v>
      </c>
      <c r="G263" s="1" t="s">
        <v>1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1436.2391083345142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1479.5509916907449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0.55828867935144189</v>
      </c>
      <c r="R263" s="1">
        <v>68</v>
      </c>
      <c r="S263" s="1">
        <v>57</v>
      </c>
      <c r="T263" s="1">
        <v>0</v>
      </c>
      <c r="U263" s="1">
        <f>Games[[#This Row],[PointsFor]]-Games[[#This Row],[PointsAgainst]]</f>
        <v>11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0.42451389017885932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73.45</v>
      </c>
      <c r="Z263" s="4">
        <f>Games[[#This Row],[K]]*Games[[#This Row],[POMult]]</f>
        <v>73.45</v>
      </c>
      <c r="AA263" s="4">
        <f>(Games[[#This Row],[Keff]]*Games[[#This Row],[MOVMult]])*(Games[[#This Row],[Result]]-Games[[#This Row],[ExpectedWin%]])</f>
        <v>13.772799813692</v>
      </c>
      <c r="AB263" s="4">
        <f>Games[[#This Row],[PreGmRate]]+Games[[#This Row],[RatingChange]]</f>
        <v>1450.0119081482062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37445</v>
      </c>
      <c r="B264" s="2">
        <v>2002</v>
      </c>
      <c r="C264" s="2">
        <f>COUNTIFS(Games[Team],Games[[#This Row],[Team]],Games[Season],Games[[#This Row],[Season]],Games[Date],"&lt;=" &amp; Games[[#This Row],[Date]])</f>
        <v>16</v>
      </c>
      <c r="D264" s="2" t="s">
        <v>23</v>
      </c>
      <c r="E264" s="2" t="s">
        <v>29</v>
      </c>
      <c r="F264" s="1" t="s">
        <v>44</v>
      </c>
      <c r="G264" s="1" t="s">
        <v>66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64" s="2">
        <f>Games[[#This Row],[DaysOff]]-Games[[#This Row],[OppDaysOff]]</f>
        <v>-4</v>
      </c>
      <c r="L264" s="2">
        <f>Games[[#This Row],[OppDaysOff]]-Games[[#This Row],[DaysOff]]</f>
        <v>4</v>
      </c>
      <c r="M264" s="1">
        <f>MAX(-16, MIN(16, Games[[#This Row],[RestDiff]]*8))</f>
        <v>-16</v>
      </c>
      <c r="N264" s="1">
        <f>MAX(-16, MIN(16, Games[[#This Row],[OppRestDiff]]*8))</f>
        <v>16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1459.8568175770995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1511.0425762963355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0.27639821440804285</v>
      </c>
      <c r="R264" s="1">
        <v>71</v>
      </c>
      <c r="S264" s="1">
        <v>77</v>
      </c>
      <c r="T264" s="1">
        <v>0</v>
      </c>
      <c r="U264" s="1">
        <f>Games[[#This Row],[PointsFor]]-Games[[#This Row],[PointsAgainst]]</f>
        <v>-6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0.33690993553242815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73.599999999999994</v>
      </c>
      <c r="Z264" s="4">
        <f>Games[[#This Row],[K]]*Games[[#This Row],[POMult]]</f>
        <v>73.599999999999994</v>
      </c>
      <c r="AA264" s="4">
        <f>(Games[[#This Row],[Keff]]*Games[[#This Row],[MOVMult]])*(Games[[#This Row],[Result]]-Games[[#This Row],[ExpectedWin%]])</f>
        <v>-6.8537280183754081</v>
      </c>
      <c r="AB264" s="4">
        <f>Games[[#This Row],[PreGmRate]]+Games[[#This Row],[RatingChange]]</f>
        <v>1453.003089558724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37445</v>
      </c>
      <c r="B265" s="2">
        <v>2002</v>
      </c>
      <c r="C265" s="2">
        <f>COUNTIFS(Games[Team],Games[[#This Row],[Team]],Games[Season],Games[[#This Row],[Season]],Games[Date],"&lt;=" &amp; Games[[#This Row],[Date]])</f>
        <v>18</v>
      </c>
      <c r="D265" s="2" t="s">
        <v>23</v>
      </c>
      <c r="E265" s="2" t="s">
        <v>29</v>
      </c>
      <c r="F265" s="1" t="s">
        <v>66</v>
      </c>
      <c r="G265" s="1" t="s">
        <v>44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5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5" s="2">
        <f>Games[[#This Row],[DaysOff]]-Games[[#This Row],[OppDaysOff]]</f>
        <v>4</v>
      </c>
      <c r="L265" s="2">
        <f>Games[[#This Row],[OppDaysOff]]-Games[[#This Row],[DaysOff]]</f>
        <v>-4</v>
      </c>
      <c r="M265" s="1">
        <f>MAX(-16, MIN(16, Games[[#This Row],[RestDiff]]*8))</f>
        <v>16</v>
      </c>
      <c r="N265" s="1">
        <f>MAX(-16, MIN(16, Games[[#This Row],[OppRestDiff]]*8))</f>
        <v>-16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1511.0425762963355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1459.8568175770995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0.72360178559195709</v>
      </c>
      <c r="R265" s="1">
        <v>77</v>
      </c>
      <c r="S265" s="1">
        <v>71</v>
      </c>
      <c r="T265" s="1">
        <v>0</v>
      </c>
      <c r="U265" s="1">
        <f>Games[[#This Row],[PointsFor]]-Games[[#This Row],[PointsAgainst]]</f>
        <v>6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0.33690993553242815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73.3</v>
      </c>
      <c r="Z265" s="4">
        <f>Games[[#This Row],[K]]*Games[[#This Row],[POMult]]</f>
        <v>73.3</v>
      </c>
      <c r="AA265" s="4">
        <f>(Games[[#This Row],[Keff]]*Games[[#This Row],[MOVMult]])*(Games[[#This Row],[Result]]-Games[[#This Row],[ExpectedWin%]])</f>
        <v>6.8257916269961632</v>
      </c>
      <c r="AB265" s="4">
        <f>Games[[#This Row],[PreGmRate]]+Games[[#This Row],[RatingChange]]</f>
        <v>1517.8683679233316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37445</v>
      </c>
      <c r="B266" s="2">
        <v>2002</v>
      </c>
      <c r="C266" s="2">
        <f>COUNTIFS(Games[Team],Games[[#This Row],[Team]],Games[Season],Games[[#This Row],[Season]],Games[Date],"&lt;=" &amp; Games[[#This Row],[Date]])</f>
        <v>18</v>
      </c>
      <c r="D266" s="2" t="s">
        <v>23</v>
      </c>
      <c r="E266" s="2" t="s">
        <v>29</v>
      </c>
      <c r="F266" s="1" t="s">
        <v>75</v>
      </c>
      <c r="G266" s="1" t="s">
        <v>79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1535.9012122387669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1509.3252000969412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0.41810460486152967</v>
      </c>
      <c r="R266" s="1">
        <v>63</v>
      </c>
      <c r="S266" s="1">
        <v>51</v>
      </c>
      <c r="T266" s="1">
        <v>0</v>
      </c>
      <c r="U266" s="1">
        <f>Games[[#This Row],[PointsFor]]-Games[[#This Row],[PointsAgainst]]</f>
        <v>12</v>
      </c>
      <c r="V266" s="1">
        <f>IF(Games[[#This Row],[MOV]]&gt;0,1,IF(Games[[#This Row],[MOV]]=0,0.5,0))</f>
        <v>1</v>
      </c>
      <c r="W266" s="4">
        <f>((ABS(Games[[#This Row],[MOV]])+5)^0.6)/(12+0.01*(ABS(Games[[#This Row],[PreGmRate]]-Games[[#This Row],[OppPreGmRate]])))*IF(Games[[#This Row],[OT]]=1,0.9,1)</f>
        <v>0.44624656464303952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73.3</v>
      </c>
      <c r="Z266" s="4">
        <f>Games[[#This Row],[K]]*Games[[#This Row],[POMult]]</f>
        <v>73.3</v>
      </c>
      <c r="AA266" s="4">
        <f>(Games[[#This Row],[Keff]]*Games[[#This Row],[MOVMult]])*(Games[[#This Row],[Result]]-Games[[#This Row],[ExpectedWin%]])</f>
        <v>19.033724583855332</v>
      </c>
      <c r="AB266" s="4">
        <f>Games[[#This Row],[PreGmRate]]+Games[[#This Row],[RatingChange]]</f>
        <v>1554.9349368226221</v>
      </c>
      <c r="AC266" s="2">
        <f>IF(Games[[#This Row],[Type]]="R",IF(Games[[#This Row],[Result]]&gt;0.5,1,0),0)</f>
        <v>1</v>
      </c>
      <c r="AD266" s="2">
        <f>IF(Games[[#This Row],[Type]]="R",IF(Games[[#This Row],[Result]]&lt;0.5,1,0),0)</f>
        <v>0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37445</v>
      </c>
      <c r="B267" s="2">
        <v>2002</v>
      </c>
      <c r="C267" s="2">
        <f>COUNTIFS(Games[Team],Games[[#This Row],[Team]],Games[Season],Games[[#This Row],[Season]],Games[Date],"&lt;=" &amp; Games[[#This Row],[Date]])</f>
        <v>16</v>
      </c>
      <c r="D267" s="2" t="s">
        <v>23</v>
      </c>
      <c r="E267" s="2" t="s">
        <v>29</v>
      </c>
      <c r="F267" s="1" t="s">
        <v>79</v>
      </c>
      <c r="G267" s="1" t="s">
        <v>75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1509.3252000969412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1535.9012122387669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0.58189539513847033</v>
      </c>
      <c r="R267" s="1">
        <v>51</v>
      </c>
      <c r="S267" s="1">
        <v>63</v>
      </c>
      <c r="T267" s="1">
        <v>0</v>
      </c>
      <c r="U267" s="1">
        <f>Games[[#This Row],[PointsFor]]-Games[[#This Row],[PointsAgainst]]</f>
        <v>-12</v>
      </c>
      <c r="V267" s="1">
        <f>IF(Games[[#This Row],[MOV]]&gt;0,1,IF(Games[[#This Row],[MOV]]=0,0.5,0))</f>
        <v>0</v>
      </c>
      <c r="W267" s="4">
        <f>((ABS(Games[[#This Row],[MOV]])+5)^0.6)/(12+0.01*(ABS(Games[[#This Row],[PreGmRate]]-Games[[#This Row],[OppPreGmRate]])))*IF(Games[[#This Row],[OT]]=1,0.9,1)</f>
        <v>0.44624656464303952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73.599999999999994</v>
      </c>
      <c r="Z267" s="4">
        <f>Games[[#This Row],[K]]*Games[[#This Row],[POMult]]</f>
        <v>73.599999999999994</v>
      </c>
      <c r="AA267" s="4">
        <f>(Games[[#This Row],[Keff]]*Games[[#This Row],[MOVMult]])*(Games[[#This Row],[Result]]-Games[[#This Row],[ExpectedWin%]])</f>
        <v>-19.111625230173974</v>
      </c>
      <c r="AB267" s="4">
        <f>Games[[#This Row],[PreGmRate]]+Games[[#This Row],[RatingChange]]</f>
        <v>1490.2135748667672</v>
      </c>
      <c r="AC267" s="2">
        <f>IF(Games[[#This Row],[Type]]="R",IF(Games[[#This Row],[Result]]&gt;0.5,1,0),0)</f>
        <v>0</v>
      </c>
      <c r="AD267" s="2">
        <f>IF(Games[[#This Row],[Type]]="R",IF(Games[[#This Row],[Result]]&lt;0.5,1,0),0)</f>
        <v>1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37445</v>
      </c>
      <c r="B268" s="2">
        <v>2002</v>
      </c>
      <c r="C268" s="2">
        <f>COUNTIFS(Games[Team],Games[[#This Row],[Team]],Games[Season],Games[[#This Row],[Season]],Games[Date],"&lt;=" &amp; Games[[#This Row],[Date]])</f>
        <v>17</v>
      </c>
      <c r="D268" s="2" t="s">
        <v>23</v>
      </c>
      <c r="E268" s="2" t="s">
        <v>29</v>
      </c>
      <c r="F268" s="1" t="s">
        <v>77</v>
      </c>
      <c r="G268" s="1" t="s">
        <v>43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8" s="2">
        <f>Games[[#This Row],[DaysOff]]-Games[[#This Row],[OppDaysOff]]</f>
        <v>1</v>
      </c>
      <c r="L268" s="2">
        <f>Games[[#This Row],[OppDaysOff]]-Games[[#This Row],[DaysOff]]</f>
        <v>-1</v>
      </c>
      <c r="M268" s="1">
        <f>MAX(-16, MIN(16, Games[[#This Row],[RestDiff]]*8))</f>
        <v>8</v>
      </c>
      <c r="N268" s="1">
        <f>MAX(-16, MIN(16, Games[[#This Row],[OppRestDiff]]*8))</f>
        <v>-8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1329.4487674412733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1550.8497370097255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0.15896811885953135</v>
      </c>
      <c r="R268" s="1">
        <v>76</v>
      </c>
      <c r="S268" s="1">
        <v>94</v>
      </c>
      <c r="T268" s="1">
        <v>0</v>
      </c>
      <c r="U268" s="1">
        <f>Games[[#This Row],[PointsFor]]-Games[[#This Row],[PointsAgainst]]</f>
        <v>-18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0.4616577113710657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73.45</v>
      </c>
      <c r="Z268" s="4">
        <f>Games[[#This Row],[K]]*Games[[#This Row],[POMult]]</f>
        <v>73.45</v>
      </c>
      <c r="AA268" s="4">
        <f>(Games[[#This Row],[Keff]]*Games[[#This Row],[MOVMult]])*(Games[[#This Row],[Result]]-Games[[#This Row],[ExpectedWin%]])</f>
        <v>-5.3904116152269452</v>
      </c>
      <c r="AB268" s="4">
        <f>Games[[#This Row],[PreGmRate]]+Games[[#This Row],[RatingChange]]</f>
        <v>1324.0583558260464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37445</v>
      </c>
      <c r="B269" s="2">
        <v>2002</v>
      </c>
      <c r="C269" s="2">
        <f>COUNTIFS(Games[Team],Games[[#This Row],[Team]],Games[Season],Games[[#This Row],[Season]],Games[Date],"&lt;=" &amp; Games[[#This Row],[Date]])</f>
        <v>17</v>
      </c>
      <c r="D269" s="2" t="s">
        <v>23</v>
      </c>
      <c r="E269" s="2" t="s">
        <v>29</v>
      </c>
      <c r="F269" s="1" t="s">
        <v>43</v>
      </c>
      <c r="G269" s="1" t="s">
        <v>77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-1</v>
      </c>
      <c r="L269" s="2">
        <f>Games[[#This Row],[OppDaysOff]]-Games[[#This Row],[DaysOff]]</f>
        <v>1</v>
      </c>
      <c r="M269" s="1">
        <f>MAX(-16, MIN(16, Games[[#This Row],[RestDiff]]*8))</f>
        <v>-8</v>
      </c>
      <c r="N269" s="1">
        <f>MAX(-16, MIN(16, Games[[#This Row],[OppRestDiff]]*8))</f>
        <v>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1550.8497370097255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1329.4487674412733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0.84103188114046867</v>
      </c>
      <c r="R269" s="1">
        <v>94</v>
      </c>
      <c r="S269" s="1">
        <v>76</v>
      </c>
      <c r="T269" s="1">
        <v>0</v>
      </c>
      <c r="U269" s="1">
        <f>Games[[#This Row],[PointsFor]]-Games[[#This Row],[PointsAgainst]]</f>
        <v>18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0.4616577113710657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73.45</v>
      </c>
      <c r="Z269" s="4">
        <f>Games[[#This Row],[K]]*Games[[#This Row],[POMult]]</f>
        <v>73.45</v>
      </c>
      <c r="AA269" s="4">
        <f>(Games[[#This Row],[Keff]]*Games[[#This Row],[MOVMult]])*(Games[[#This Row],[Result]]-Games[[#This Row],[ExpectedWin%]])</f>
        <v>5.3904116152269443</v>
      </c>
      <c r="AB269" s="4">
        <f>Games[[#This Row],[PreGmRate]]+Games[[#This Row],[RatingChange]]</f>
        <v>1556.2401486249523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37446</v>
      </c>
      <c r="B270" s="2">
        <v>2002</v>
      </c>
      <c r="C270" s="2">
        <f>COUNTIFS(Games[Team],Games[[#This Row],[Team]],Games[Season],Games[[#This Row],[Season]],Games[Date],"&lt;=" &amp; Games[[#This Row],[Date]])</f>
        <v>17</v>
      </c>
      <c r="D270" s="2" t="s">
        <v>23</v>
      </c>
      <c r="E270" s="2" t="s">
        <v>29</v>
      </c>
      <c r="F270" s="1" t="s">
        <v>83</v>
      </c>
      <c r="G270" s="1" t="s">
        <v>64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">
        <f>MAX(-16, MIN(16, Games[[#This Row],[RestDiff]]*8))</f>
        <v>-8</v>
      </c>
      <c r="N270" s="1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1474.2772335352665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1563.9183382542274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0.25130545122735493</v>
      </c>
      <c r="R270" s="1">
        <v>66</v>
      </c>
      <c r="S270" s="1">
        <v>55</v>
      </c>
      <c r="T270" s="1">
        <v>0</v>
      </c>
      <c r="U270" s="1">
        <f>Games[[#This Row],[PointsFor]]-Games[[#This Row],[PointsAgainst]]</f>
        <v>11</v>
      </c>
      <c r="V270" s="1">
        <f>IF(Games[[#This Row],[MOV]]&gt;0,1,IF(Games[[#This Row],[MOV]]=0,0.5,0))</f>
        <v>1</v>
      </c>
      <c r="W270" s="4">
        <f>((ABS(Games[[#This Row],[MOV]])+5)^0.6)/(12+0.01*(ABS(Games[[#This Row],[PreGmRate]]-Games[[#This Row],[OppPreGmRate]])))*IF(Games[[#This Row],[OT]]=1,0.9,1)</f>
        <v>0.40926360239128445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73.45</v>
      </c>
      <c r="Z270" s="4">
        <f>Games[[#This Row],[K]]*Games[[#This Row],[POMult]]</f>
        <v>73.45</v>
      </c>
      <c r="AA270" s="4">
        <f>(Games[[#This Row],[Keff]]*Games[[#This Row],[MOVMult]])*(Games[[#This Row],[Result]]-Games[[#This Row],[ExpectedWin%]])</f>
        <v>22.506066295517563</v>
      </c>
      <c r="AB270" s="4">
        <f>Games[[#This Row],[PreGmRate]]+Games[[#This Row],[RatingChange]]</f>
        <v>1496.783299830784</v>
      </c>
      <c r="AC270" s="2">
        <f>IF(Games[[#This Row],[Type]]="R",IF(Games[[#This Row],[Result]]&gt;0.5,1,0),0)</f>
        <v>1</v>
      </c>
      <c r="AD270" s="2">
        <f>IF(Games[[#This Row],[Type]]="R",IF(Games[[#This Row],[Result]]&lt;0.5,1,0),0)</f>
        <v>0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37446</v>
      </c>
      <c r="B271" s="2">
        <v>2002</v>
      </c>
      <c r="C271" s="2">
        <f>COUNTIFS(Games[Team],Games[[#This Row],[Team]],Games[Season],Games[[#This Row],[Season]],Games[Date],"&lt;=" &amp; Games[[#This Row],[Date]])</f>
        <v>17</v>
      </c>
      <c r="D271" s="2" t="s">
        <v>23</v>
      </c>
      <c r="E271" s="2" t="s">
        <v>29</v>
      </c>
      <c r="F271" s="1" t="s">
        <v>64</v>
      </c>
      <c r="G271" s="1" t="s">
        <v>83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">
        <f>MAX(-16, MIN(16, Games[[#This Row],[RestDiff]]*8))</f>
        <v>8</v>
      </c>
      <c r="N271" s="1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1563.9183382542274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1474.2772335352665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0.74869454877264507</v>
      </c>
      <c r="R271" s="1">
        <v>55</v>
      </c>
      <c r="S271" s="1">
        <v>66</v>
      </c>
      <c r="T271" s="1">
        <v>0</v>
      </c>
      <c r="U271" s="1">
        <f>Games[[#This Row],[PointsFor]]-Games[[#This Row],[PointsAgainst]]</f>
        <v>-11</v>
      </c>
      <c r="V271" s="1">
        <f>IF(Games[[#This Row],[MOV]]&gt;0,1,IF(Games[[#This Row],[MOV]]=0,0.5,0))</f>
        <v>0</v>
      </c>
      <c r="W271" s="4">
        <f>((ABS(Games[[#This Row],[MOV]])+5)^0.6)/(12+0.01*(ABS(Games[[#This Row],[PreGmRate]]-Games[[#This Row],[OppPreGmRate]])))*IF(Games[[#This Row],[OT]]=1,0.9,1)</f>
        <v>0.40926360239128445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73.45</v>
      </c>
      <c r="Z271" s="4">
        <f>Games[[#This Row],[K]]*Games[[#This Row],[POMult]]</f>
        <v>73.45</v>
      </c>
      <c r="AA271" s="4">
        <f>(Games[[#This Row],[Keff]]*Games[[#This Row],[MOVMult]])*(Games[[#This Row],[Result]]-Games[[#This Row],[ExpectedWin%]])</f>
        <v>-22.506066295517563</v>
      </c>
      <c r="AB271" s="4">
        <f>Games[[#This Row],[PreGmRate]]+Games[[#This Row],[RatingChange]]</f>
        <v>1541.4122719587099</v>
      </c>
      <c r="AC271" s="2">
        <f>IF(Games[[#This Row],[Type]]="R",IF(Games[[#This Row],[Result]]&gt;0.5,1,0),0)</f>
        <v>0</v>
      </c>
      <c r="AD271" s="2">
        <f>IF(Games[[#This Row],[Type]]="R",IF(Games[[#This Row],[Result]]&lt;0.5,1,0),0)</f>
        <v>1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37446</v>
      </c>
      <c r="B272" s="2">
        <v>2002</v>
      </c>
      <c r="C272" s="2">
        <f>COUNTIFS(Games[Team],Games[[#This Row],[Team]],Games[Season],Games[[#This Row],[Season]],Games[Date],"&lt;=" &amp; Games[[#This Row],[Date]])</f>
        <v>18</v>
      </c>
      <c r="D272" s="2" t="s">
        <v>23</v>
      </c>
      <c r="E272" s="2" t="s">
        <v>29</v>
      </c>
      <c r="F272" s="1" t="s">
        <v>87</v>
      </c>
      <c r="G272" s="1" t="s">
        <v>2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-1</v>
      </c>
      <c r="L272" s="2">
        <f>Games[[#This Row],[OppDaysOff]]-Games[[#This Row],[DaysOff]]</f>
        <v>1</v>
      </c>
      <c r="M272" s="1">
        <f>MAX(-16, MIN(16, Games[[#This Row],[RestDiff]]*8))</f>
        <v>-8</v>
      </c>
      <c r="N272" s="1">
        <f>MAX(-16, MIN(16, Games[[#This Row],[OppRestDiff]]*8))</f>
        <v>8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1455.615555773295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1651.0535232985997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0.15437678084464629</v>
      </c>
      <c r="R272" s="1">
        <v>59</v>
      </c>
      <c r="S272" s="1">
        <v>67</v>
      </c>
      <c r="T272" s="1">
        <v>0</v>
      </c>
      <c r="U272" s="1">
        <f>Games[[#This Row],[PointsFor]]-Games[[#This Row],[PointsAgainst]]</f>
        <v>-8</v>
      </c>
      <c r="V272" s="1">
        <f>IF(Games[[#This Row],[MOV]]&gt;0,1,IF(Games[[#This Row],[MOV]]=0,0.5,0))</f>
        <v>0</v>
      </c>
      <c r="W272" s="4">
        <f>((ABS(Games[[#This Row],[MOV]])+5)^0.6)/(12+0.01*(ABS(Games[[#This Row],[PreGmRate]]-Games[[#This Row],[OppPreGmRate]])))*IF(Games[[#This Row],[OT]]=1,0.9,1)</f>
        <v>0.33393002974541508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73.3</v>
      </c>
      <c r="Z272" s="4">
        <f>Games[[#This Row],[K]]*Games[[#This Row],[POMult]]</f>
        <v>73.3</v>
      </c>
      <c r="AA272" s="4">
        <f>(Games[[#This Row],[Keff]]*Games[[#This Row],[MOVMult]])*(Games[[#This Row],[Result]]-Games[[#This Row],[ExpectedWin%]])</f>
        <v>-3.7786914533259899</v>
      </c>
      <c r="AB272" s="4">
        <f>Games[[#This Row],[PreGmRate]]+Games[[#This Row],[RatingChange]]</f>
        <v>1451.836864319969</v>
      </c>
      <c r="AC272" s="2">
        <f>IF(Games[[#This Row],[Type]]="R",IF(Games[[#This Row],[Result]]&gt;0.5,1,0),0)</f>
        <v>0</v>
      </c>
      <c r="AD272" s="2">
        <f>IF(Games[[#This Row],[Type]]="R",IF(Games[[#This Row],[Result]]&lt;0.5,1,0),0)</f>
        <v>1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37446</v>
      </c>
      <c r="B273" s="2">
        <v>2002</v>
      </c>
      <c r="C273" s="2">
        <f>COUNTIFS(Games[Team],Games[[#This Row],[Team]],Games[Season],Games[[#This Row],[Season]],Games[Date],"&lt;=" &amp; Games[[#This Row],[Date]])</f>
        <v>18</v>
      </c>
      <c r="D273" s="2" t="s">
        <v>23</v>
      </c>
      <c r="E273" s="2" t="s">
        <v>29</v>
      </c>
      <c r="F273" s="1" t="s">
        <v>2</v>
      </c>
      <c r="G273" s="1" t="s">
        <v>87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1</v>
      </c>
      <c r="L273" s="2">
        <f>Games[[#This Row],[OppDaysOff]]-Games[[#This Row],[DaysOff]]</f>
        <v>-1</v>
      </c>
      <c r="M273" s="1">
        <f>MAX(-16, MIN(16, Games[[#This Row],[RestDiff]]*8))</f>
        <v>8</v>
      </c>
      <c r="N273" s="1">
        <f>MAX(-16, MIN(16, Games[[#This Row],[OppRestDiff]]*8))</f>
        <v>-8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1651.0535232985997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1455.615555773295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0.84562321915535366</v>
      </c>
      <c r="R273" s="1">
        <v>67</v>
      </c>
      <c r="S273" s="1">
        <v>59</v>
      </c>
      <c r="T273" s="1">
        <v>0</v>
      </c>
      <c r="U273" s="1">
        <f>Games[[#This Row],[PointsFor]]-Games[[#This Row],[PointsAgainst]]</f>
        <v>8</v>
      </c>
      <c r="V273" s="1">
        <f>IF(Games[[#This Row],[MOV]]&gt;0,1,IF(Games[[#This Row],[MOV]]=0,0.5,0))</f>
        <v>1</v>
      </c>
      <c r="W273" s="4">
        <f>((ABS(Games[[#This Row],[MOV]])+5)^0.6)/(12+0.01*(ABS(Games[[#This Row],[PreGmRate]]-Games[[#This Row],[OppPreGmRate]])))*IF(Games[[#This Row],[OT]]=1,0.9,1)</f>
        <v>0.33393002974541508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73.3</v>
      </c>
      <c r="Z273" s="4">
        <f>Games[[#This Row],[K]]*Games[[#This Row],[POMult]]</f>
        <v>73.3</v>
      </c>
      <c r="AA273" s="4">
        <f>(Games[[#This Row],[Keff]]*Games[[#This Row],[MOVMult]])*(Games[[#This Row],[Result]]-Games[[#This Row],[ExpectedWin%]])</f>
        <v>3.7786914533259912</v>
      </c>
      <c r="AB273" s="4">
        <f>Games[[#This Row],[PreGmRate]]+Games[[#This Row],[RatingChange]]</f>
        <v>1654.8322147519257</v>
      </c>
      <c r="AC273" s="2">
        <f>IF(Games[[#This Row],[Type]]="R",IF(Games[[#This Row],[Result]]&gt;0.5,1,0),0)</f>
        <v>1</v>
      </c>
      <c r="AD273" s="2">
        <f>IF(Games[[#This Row],[Type]]="R",IF(Games[[#This Row],[Result]]&lt;0.5,1,0),0)</f>
        <v>0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37446</v>
      </c>
      <c r="B274" s="2">
        <v>2002</v>
      </c>
      <c r="C274" s="2">
        <f>COUNTIFS(Games[Team],Games[[#This Row],[Team]],Games[Season],Games[[#This Row],[Season]],Games[Date],"&lt;=" &amp; Games[[#This Row],[Date]])</f>
        <v>17</v>
      </c>
      <c r="D274" s="2" t="s">
        <v>23</v>
      </c>
      <c r="E274" s="2" t="s">
        <v>29</v>
      </c>
      <c r="F274" s="1" t="s">
        <v>44</v>
      </c>
      <c r="G274" s="1" t="s">
        <v>75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1453.003089558724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1554.9349368226221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0.25534418283484761</v>
      </c>
      <c r="R274" s="1">
        <v>54</v>
      </c>
      <c r="S274" s="1">
        <v>68</v>
      </c>
      <c r="T274" s="1">
        <v>0</v>
      </c>
      <c r="U274" s="1">
        <f>Games[[#This Row],[PointsFor]]-Games[[#This Row],[PointsAgainst]]</f>
        <v>-14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0.44943191571095903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73.45</v>
      </c>
      <c r="Z274" s="4">
        <f>Games[[#This Row],[K]]*Games[[#This Row],[POMult]]</f>
        <v>73.45</v>
      </c>
      <c r="AA274" s="4">
        <f>(Games[[#This Row],[Keff]]*Games[[#This Row],[MOVMult]])*(Games[[#This Row],[Result]]-Games[[#This Row],[ExpectedWin%]])</f>
        <v>-8.4291091651350936</v>
      </c>
      <c r="AB274" s="4">
        <f>Games[[#This Row],[PreGmRate]]+Games[[#This Row],[RatingChange]]</f>
        <v>1444.573980393589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37446</v>
      </c>
      <c r="B275" s="2">
        <v>2002</v>
      </c>
      <c r="C275" s="2">
        <f>COUNTIFS(Games[Team],Games[[#This Row],[Team]],Games[Season],Games[[#This Row],[Season]],Games[Date],"&lt;=" &amp; Games[[#This Row],[Date]])</f>
        <v>19</v>
      </c>
      <c r="D275" s="2" t="s">
        <v>23</v>
      </c>
      <c r="E275" s="2" t="s">
        <v>29</v>
      </c>
      <c r="F275" s="1" t="s">
        <v>75</v>
      </c>
      <c r="G275" s="1" t="s">
        <v>44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1554.9349368226221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1453.003089558724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0.74465581716515239</v>
      </c>
      <c r="R275" s="1">
        <v>68</v>
      </c>
      <c r="S275" s="1">
        <v>54</v>
      </c>
      <c r="T275" s="1">
        <v>0</v>
      </c>
      <c r="U275" s="1">
        <f>Games[[#This Row],[PointsFor]]-Games[[#This Row],[PointsAgainst]]</f>
        <v>14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0.44943191571095903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73.150000000000006</v>
      </c>
      <c r="Z275" s="4">
        <f>Games[[#This Row],[K]]*Games[[#This Row],[POMult]]</f>
        <v>73.150000000000006</v>
      </c>
      <c r="AA275" s="4">
        <f>(Games[[#This Row],[Keff]]*Games[[#This Row],[MOVMult]])*(Games[[#This Row],[Result]]-Games[[#This Row],[ExpectedWin%]])</f>
        <v>8.3946812175579577</v>
      </c>
      <c r="AB275" s="4">
        <f>Games[[#This Row],[PreGmRate]]+Games[[#This Row],[RatingChange]]</f>
        <v>1563.3296180401801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37447</v>
      </c>
      <c r="B276" s="2">
        <v>2002</v>
      </c>
      <c r="C276" s="2">
        <f>COUNTIFS(Games[Team],Games[[#This Row],[Team]],Games[Season],Games[[#This Row],[Season]],Games[Date],"&lt;=" &amp; Games[[#This Row],[Date]])</f>
        <v>19</v>
      </c>
      <c r="D276" s="2" t="s">
        <v>23</v>
      </c>
      <c r="E276" s="2" t="s">
        <v>29</v>
      </c>
      <c r="F276" s="1" t="s">
        <v>66</v>
      </c>
      <c r="G276" s="1" t="s">
        <v>77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1517.8683679233316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1324.0583558260464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0.65296938532839466</v>
      </c>
      <c r="R276" s="1">
        <v>63</v>
      </c>
      <c r="S276" s="1">
        <v>66</v>
      </c>
      <c r="T276" s="1">
        <v>0</v>
      </c>
      <c r="U276" s="1">
        <f>Games[[#This Row],[PointsFor]]-Games[[#This Row],[PointsAgainst]]</f>
        <v>-3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0.24983335052564148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73.150000000000006</v>
      </c>
      <c r="Z276" s="4">
        <f>Games[[#This Row],[K]]*Games[[#This Row],[POMult]]</f>
        <v>73.150000000000006</v>
      </c>
      <c r="AA276" s="4">
        <f>(Games[[#This Row],[Keff]]*Games[[#This Row],[MOVMult]])*(Games[[#This Row],[Result]]-Games[[#This Row],[ExpectedWin%]])</f>
        <v>-11.93321767028918</v>
      </c>
      <c r="AB276" s="4">
        <f>Games[[#This Row],[PreGmRate]]+Games[[#This Row],[RatingChange]]</f>
        <v>1505.9351502530424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37447</v>
      </c>
      <c r="B277" s="2">
        <v>2002</v>
      </c>
      <c r="C277" s="2">
        <f>COUNTIFS(Games[Team],Games[[#This Row],[Team]],Games[Season],Games[[#This Row],[Season]],Games[Date],"&lt;=" &amp; Games[[#This Row],[Date]])</f>
        <v>18</v>
      </c>
      <c r="D277" s="2" t="s">
        <v>23</v>
      </c>
      <c r="E277" s="2" t="s">
        <v>29</v>
      </c>
      <c r="F277" s="1" t="s">
        <v>77</v>
      </c>
      <c r="G277" s="1" t="s">
        <v>66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1324.0583558260464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1517.8683679233316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0.34703061467160534</v>
      </c>
      <c r="R277" s="1">
        <v>66</v>
      </c>
      <c r="S277" s="1">
        <v>63</v>
      </c>
      <c r="T277" s="1">
        <v>0</v>
      </c>
      <c r="U277" s="1">
        <f>Games[[#This Row],[PointsFor]]-Games[[#This Row],[PointsAgainst]]</f>
        <v>3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0.24983335052564148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73.3</v>
      </c>
      <c r="Z277" s="4">
        <f>Games[[#This Row],[K]]*Games[[#This Row],[POMult]]</f>
        <v>73.3</v>
      </c>
      <c r="AA277" s="4">
        <f>(Games[[#This Row],[Keff]]*Games[[#This Row],[MOVMult]])*(Games[[#This Row],[Result]]-Games[[#This Row],[ExpectedWin%]])</f>
        <v>11.957687699688266</v>
      </c>
      <c r="AB277" s="4">
        <f>Games[[#This Row],[PreGmRate]]+Games[[#This Row],[RatingChange]]</f>
        <v>1336.0160435257346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37447</v>
      </c>
      <c r="B278" s="2">
        <v>2002</v>
      </c>
      <c r="C278" s="2">
        <f>COUNTIFS(Games[Team],Games[[#This Row],[Team]],Games[Season],Games[[#This Row],[Season]],Games[Date],"&lt;=" &amp; Games[[#This Row],[Date]])</f>
        <v>18</v>
      </c>
      <c r="D278" s="2" t="s">
        <v>23</v>
      </c>
      <c r="E278" s="2" t="s">
        <v>29</v>
      </c>
      <c r="F278" s="1" t="s">
        <v>43</v>
      </c>
      <c r="G278" s="1" t="s">
        <v>85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8" s="2">
        <f>Games[[#This Row],[DaysOff]]-Games[[#This Row],[OppDaysOff]]</f>
        <v>0</v>
      </c>
      <c r="L278" s="2">
        <f>Games[[#This Row],[OppDaysOff]]-Games[[#This Row],[DaysOff]]</f>
        <v>0</v>
      </c>
      <c r="M278" s="1">
        <f>MAX(-16, MIN(16, Games[[#This Row],[RestDiff]]*8))</f>
        <v>0</v>
      </c>
      <c r="N278" s="1">
        <f>MAX(-16, MIN(16, Games[[#This Row],[OppRestDiff]]*8))</f>
        <v>0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1556.2401486249523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1450.0119081482062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0.53194543515507675</v>
      </c>
      <c r="R278" s="1">
        <v>82</v>
      </c>
      <c r="S278" s="1">
        <v>69</v>
      </c>
      <c r="T278" s="1">
        <v>0</v>
      </c>
      <c r="U278" s="1">
        <f>Games[[#This Row],[PointsFor]]-Games[[#This Row],[PointsAgainst]]</f>
        <v>13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0.43365507590786562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73.3</v>
      </c>
      <c r="Z278" s="4">
        <f>Games[[#This Row],[K]]*Games[[#This Row],[POMult]]</f>
        <v>73.3</v>
      </c>
      <c r="AA278" s="4">
        <f>(Games[[#This Row],[Keff]]*Games[[#This Row],[MOVMult]])*(Games[[#This Row],[Result]]-Games[[#This Row],[ExpectedWin%]])</f>
        <v>14.878011634173973</v>
      </c>
      <c r="AB278" s="4">
        <f>Games[[#This Row],[PreGmRate]]+Games[[#This Row],[RatingChange]]</f>
        <v>1571.1181602591264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37447</v>
      </c>
      <c r="B279" s="2">
        <v>2002</v>
      </c>
      <c r="C279" s="2">
        <f>COUNTIFS(Games[Team],Games[[#This Row],[Team]],Games[Season],Games[[#This Row],[Season]],Games[Date],"&lt;=" &amp; Games[[#This Row],[Date]])</f>
        <v>18</v>
      </c>
      <c r="D279" s="2" t="s">
        <v>23</v>
      </c>
      <c r="E279" s="2" t="s">
        <v>29</v>
      </c>
      <c r="F279" s="1" t="s">
        <v>85</v>
      </c>
      <c r="G279" s="1" t="s">
        <v>43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0</v>
      </c>
      <c r="L279" s="2">
        <f>Games[[#This Row],[OppDaysOff]]-Games[[#This Row],[DaysOff]]</f>
        <v>0</v>
      </c>
      <c r="M279" s="1">
        <f>MAX(-16, MIN(16, Games[[#This Row],[RestDiff]]*8))</f>
        <v>0</v>
      </c>
      <c r="N279" s="1">
        <f>MAX(-16, MIN(16, Games[[#This Row],[OppRestDiff]]*8))</f>
        <v>0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1450.0119081482062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1556.2401486249523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0.4680545648449233</v>
      </c>
      <c r="R279" s="1">
        <v>69</v>
      </c>
      <c r="S279" s="1">
        <v>82</v>
      </c>
      <c r="T279" s="1">
        <v>0</v>
      </c>
      <c r="U279" s="1">
        <f>Games[[#This Row],[PointsFor]]-Games[[#This Row],[PointsAgainst]]</f>
        <v>-13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0.43365507590786562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73.3</v>
      </c>
      <c r="Z279" s="4">
        <f>Games[[#This Row],[K]]*Games[[#This Row],[POMult]]</f>
        <v>73.3</v>
      </c>
      <c r="AA279" s="4">
        <f>(Games[[#This Row],[Keff]]*Games[[#This Row],[MOVMult]])*(Games[[#This Row],[Result]]-Games[[#This Row],[ExpectedWin%]])</f>
        <v>-14.878011634173975</v>
      </c>
      <c r="AB279" s="4">
        <f>Games[[#This Row],[PreGmRate]]+Games[[#This Row],[RatingChange]]</f>
        <v>1435.1338965140321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37447</v>
      </c>
      <c r="B280" s="2">
        <v>2002</v>
      </c>
      <c r="C280" s="2">
        <f>COUNTIFS(Games[Team],Games[[#This Row],[Team]],Games[Season],Games[[#This Row],[Season]],Games[Date],"&lt;=" &amp; Games[[#This Row],[Date]])</f>
        <v>19</v>
      </c>
      <c r="D280" s="2" t="s">
        <v>23</v>
      </c>
      <c r="E280" s="2" t="s">
        <v>29</v>
      </c>
      <c r="F280" s="1" t="s">
        <v>89</v>
      </c>
      <c r="G280" s="1" t="s">
        <v>80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0" s="2">
        <f>Games[[#This Row],[DaysOff]]-Games[[#This Row],[OppDaysOff]]</f>
        <v>-2</v>
      </c>
      <c r="L280" s="2">
        <f>Games[[#This Row],[OppDaysOff]]-Games[[#This Row],[DaysOff]]</f>
        <v>2</v>
      </c>
      <c r="M280" s="1">
        <f>MAX(-16, MIN(16, Games[[#This Row],[RestDiff]]*8))</f>
        <v>-16</v>
      </c>
      <c r="N280" s="1">
        <f>MAX(-16, MIN(16, Games[[#This Row],[OppRestDiff]]*8))</f>
        <v>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1486.1646565163251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1441.9021305235265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0.39820399641004584</v>
      </c>
      <c r="R280" s="1">
        <v>75</v>
      </c>
      <c r="S280" s="1">
        <v>72</v>
      </c>
      <c r="T280" s="1">
        <v>0</v>
      </c>
      <c r="U280" s="1">
        <f>Games[[#This Row],[PointsFor]]-Games[[#This Row],[PointsAgainst]]</f>
        <v>3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0.27986073520988208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73.150000000000006</v>
      </c>
      <c r="Z280" s="4">
        <f>Games[[#This Row],[K]]*Games[[#This Row],[POMult]]</f>
        <v>73.150000000000006</v>
      </c>
      <c r="AA280" s="4">
        <f>(Games[[#This Row],[Keff]]*Games[[#This Row],[MOVMult]])*(Games[[#This Row],[Result]]-Games[[#This Row],[ExpectedWin%]])</f>
        <v>12.319855117608556</v>
      </c>
      <c r="AB280" s="4">
        <f>Games[[#This Row],[PreGmRate]]+Games[[#This Row],[RatingChange]]</f>
        <v>1498.4845116339336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37447</v>
      </c>
      <c r="B281" s="2">
        <v>2002</v>
      </c>
      <c r="C281" s="2">
        <f>COUNTIFS(Games[Team],Games[[#This Row],[Team]],Games[Season],Games[[#This Row],[Season]],Games[Date],"&lt;=" &amp; Games[[#This Row],[Date]])</f>
        <v>17</v>
      </c>
      <c r="D281" s="2" t="s">
        <v>23</v>
      </c>
      <c r="E281" s="2" t="s">
        <v>29</v>
      </c>
      <c r="F281" s="1" t="s">
        <v>80</v>
      </c>
      <c r="G281" s="1" t="s">
        <v>89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1" s="2">
        <f>Games[[#This Row],[DaysOff]]-Games[[#This Row],[OppDaysOff]]</f>
        <v>2</v>
      </c>
      <c r="L281" s="2">
        <f>Games[[#This Row],[OppDaysOff]]-Games[[#This Row],[DaysOff]]</f>
        <v>-2</v>
      </c>
      <c r="M281" s="1">
        <f>MAX(-16, MIN(16, Games[[#This Row],[RestDiff]]*8))</f>
        <v>16</v>
      </c>
      <c r="N281" s="1">
        <f>MAX(-16, MIN(16, Games[[#This Row],[OppRestDiff]]*8))</f>
        <v>-16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1441.9021305235265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1486.1646565163251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0.60179600358995422</v>
      </c>
      <c r="R281" s="1">
        <v>72</v>
      </c>
      <c r="S281" s="1">
        <v>75</v>
      </c>
      <c r="T281" s="1">
        <v>0</v>
      </c>
      <c r="U281" s="1">
        <f>Games[[#This Row],[PointsFor]]-Games[[#This Row],[PointsAgainst]]</f>
        <v>-3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0.27986073520988208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73.45</v>
      </c>
      <c r="Z281" s="4">
        <f>Games[[#This Row],[K]]*Games[[#This Row],[POMult]]</f>
        <v>73.45</v>
      </c>
      <c r="AA281" s="4">
        <f>(Games[[#This Row],[Keff]]*Games[[#This Row],[MOVMult]])*(Games[[#This Row],[Result]]-Games[[#This Row],[ExpectedWin%]])</f>
        <v>-12.370380839211876</v>
      </c>
      <c r="AB281" s="4">
        <f>Games[[#This Row],[PreGmRate]]+Games[[#This Row],[RatingChange]]</f>
        <v>1429.5317496843145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37448</v>
      </c>
      <c r="B282" s="2">
        <v>2002</v>
      </c>
      <c r="C282" s="2">
        <f>COUNTIFS(Games[Team],Games[[#This Row],[Team]],Games[Season],Games[[#This Row],[Season]],Games[Date],"&lt;=" &amp; Games[[#This Row],[Date]])</f>
        <v>19</v>
      </c>
      <c r="D282" s="2" t="s">
        <v>23</v>
      </c>
      <c r="E282" s="2" t="s">
        <v>29</v>
      </c>
      <c r="F282" s="1" t="s">
        <v>2</v>
      </c>
      <c r="G282" s="1" t="s">
        <v>44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1654.8322147519257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1444.573980393589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0.67410284249430508</v>
      </c>
      <c r="R282" s="1">
        <v>52</v>
      </c>
      <c r="S282" s="1">
        <v>58</v>
      </c>
      <c r="T282" s="1">
        <v>0</v>
      </c>
      <c r="U282" s="1">
        <f>Games[[#This Row],[PointsFor]]-Games[[#This Row],[PointsAgainst]]</f>
        <v>-6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0.29890760645052217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73.150000000000006</v>
      </c>
      <c r="Z282" s="4">
        <f>Games[[#This Row],[K]]*Games[[#This Row],[POMult]]</f>
        <v>73.150000000000006</v>
      </c>
      <c r="AA282" s="4">
        <f>(Games[[#This Row],[Keff]]*Games[[#This Row],[MOVMult]])*(Games[[#This Row],[Result]]-Games[[#This Row],[ExpectedWin%]])</f>
        <v>-14.739320272129744</v>
      </c>
      <c r="AB282" s="4">
        <f>Games[[#This Row],[PreGmRate]]+Games[[#This Row],[RatingChange]]</f>
        <v>1640.0928944797959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37448</v>
      </c>
      <c r="B283" s="2">
        <v>2002</v>
      </c>
      <c r="C283" s="2">
        <f>COUNTIFS(Games[Team],Games[[#This Row],[Team]],Games[Season],Games[[#This Row],[Season]],Games[Date],"&lt;=" &amp; Games[[#This Row],[Date]])</f>
        <v>18</v>
      </c>
      <c r="D283" s="2" t="s">
        <v>23</v>
      </c>
      <c r="E283" s="2" t="s">
        <v>29</v>
      </c>
      <c r="F283" s="1" t="s">
        <v>44</v>
      </c>
      <c r="G283" s="1" t="s">
        <v>2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1444.573980393589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1654.8322147519257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0.32589715750569492</v>
      </c>
      <c r="R283" s="1">
        <v>58</v>
      </c>
      <c r="S283" s="1">
        <v>52</v>
      </c>
      <c r="T283" s="1">
        <v>0</v>
      </c>
      <c r="U283" s="1">
        <f>Games[[#This Row],[PointsFor]]-Games[[#This Row],[PointsAgainst]]</f>
        <v>6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0.29890760645052217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73.3</v>
      </c>
      <c r="Z283" s="4">
        <f>Games[[#This Row],[K]]*Games[[#This Row],[POMult]]</f>
        <v>73.3</v>
      </c>
      <c r="AA283" s="4">
        <f>(Games[[#This Row],[Keff]]*Games[[#This Row],[MOVMult]])*(Games[[#This Row],[Result]]-Games[[#This Row],[ExpectedWin%]])</f>
        <v>14.769544442202461</v>
      </c>
      <c r="AB283" s="4">
        <f>Games[[#This Row],[PreGmRate]]+Games[[#This Row],[RatingChange]]</f>
        <v>1459.3435248357914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37448</v>
      </c>
      <c r="B284" s="2">
        <v>2002</v>
      </c>
      <c r="C284" s="2">
        <f>COUNTIFS(Games[Team],Games[[#This Row],[Team]],Games[Season],Games[[#This Row],[Season]],Games[Date],"&lt;=" &amp; Games[[#This Row],[Date]])</f>
        <v>18</v>
      </c>
      <c r="D284" s="2" t="s">
        <v>23</v>
      </c>
      <c r="E284" s="2" t="s">
        <v>29</v>
      </c>
      <c r="F284" s="1" t="s">
        <v>1</v>
      </c>
      <c r="G284" s="1" t="s">
        <v>45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4" s="2">
        <f>Games[[#This Row],[DaysOff]]-Games[[#This Row],[OppDaysOff]]</f>
        <v>-1</v>
      </c>
      <c r="L284" s="2">
        <f>Games[[#This Row],[OppDaysOff]]-Games[[#This Row],[DaysOff]]</f>
        <v>1</v>
      </c>
      <c r="M284" s="1">
        <f>MAX(-16, MIN(16, Games[[#This Row],[RestDiff]]*8))</f>
        <v>-8</v>
      </c>
      <c r="N284" s="1">
        <f>MAX(-16, MIN(16, Games[[#This Row],[OppRestDiff]]*8))</f>
        <v>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1465.7781918770529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1405.4035949857005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0.4432204372406614</v>
      </c>
      <c r="R284" s="1">
        <v>69</v>
      </c>
      <c r="S284" s="1">
        <v>71</v>
      </c>
      <c r="T284" s="1">
        <v>0</v>
      </c>
      <c r="U284" s="1">
        <f>Games[[#This Row],[PointsFor]]-Games[[#This Row],[PointsAgainst]]</f>
        <v>-2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0.25501115760690801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73.3</v>
      </c>
      <c r="Z284" s="4">
        <f>Games[[#This Row],[K]]*Games[[#This Row],[POMult]]</f>
        <v>73.3</v>
      </c>
      <c r="AA284" s="4">
        <f>(Games[[#This Row],[Keff]]*Games[[#This Row],[MOVMult]])*(Games[[#This Row],[Result]]-Games[[#This Row],[ExpectedWin%]])</f>
        <v>-8.284817291664746</v>
      </c>
      <c r="AB284" s="4">
        <f>Games[[#This Row],[PreGmRate]]+Games[[#This Row],[RatingChange]]</f>
        <v>1457.4933745853882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37448</v>
      </c>
      <c r="B285" s="2">
        <v>2002</v>
      </c>
      <c r="C285" s="2">
        <f>COUNTIFS(Games[Team],Games[[#This Row],[Team]],Games[Season],Games[[#This Row],[Season]],Games[Date],"&lt;=" &amp; Games[[#This Row],[Date]])</f>
        <v>17</v>
      </c>
      <c r="D285" s="2" t="s">
        <v>23</v>
      </c>
      <c r="E285" s="2" t="s">
        <v>29</v>
      </c>
      <c r="F285" s="1" t="s">
        <v>45</v>
      </c>
      <c r="G285" s="1" t="s">
        <v>1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5" s="2">
        <f>Games[[#This Row],[DaysOff]]-Games[[#This Row],[OppDaysOff]]</f>
        <v>1</v>
      </c>
      <c r="L285" s="2">
        <f>Games[[#This Row],[OppDaysOff]]-Games[[#This Row],[DaysOff]]</f>
        <v>-1</v>
      </c>
      <c r="M285" s="1">
        <f>MAX(-16, MIN(16, Games[[#This Row],[RestDiff]]*8))</f>
        <v>8</v>
      </c>
      <c r="N285" s="1">
        <f>MAX(-16, MIN(16, Games[[#This Row],[OppRestDiff]]*8))</f>
        <v>-8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1405.4035949857005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1465.7781918770529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0.5567795627593386</v>
      </c>
      <c r="R285" s="1">
        <v>71</v>
      </c>
      <c r="S285" s="1">
        <v>69</v>
      </c>
      <c r="T285" s="1">
        <v>0</v>
      </c>
      <c r="U285" s="1">
        <f>Games[[#This Row],[PointsFor]]-Games[[#This Row],[PointsAgainst]]</f>
        <v>2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0.25501115760690801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73.45</v>
      </c>
      <c r="Z285" s="4">
        <f>Games[[#This Row],[K]]*Games[[#This Row],[POMult]]</f>
        <v>73.45</v>
      </c>
      <c r="AA285" s="4">
        <f>(Games[[#This Row],[Keff]]*Games[[#This Row],[MOVMult]])*(Games[[#This Row],[Result]]-Games[[#This Row],[ExpectedWin%]])</f>
        <v>8.3017712151811143</v>
      </c>
      <c r="AB285" s="4">
        <f>Games[[#This Row],[PreGmRate]]+Games[[#This Row],[RatingChange]]</f>
        <v>1413.7053662008816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37448</v>
      </c>
      <c r="B286" s="2">
        <v>2002</v>
      </c>
      <c r="C286" s="2">
        <f>COUNTIFS(Games[Team],Games[[#This Row],[Team]],Games[Season],Games[[#This Row],[Season]],Games[Date],"&lt;=" &amp; Games[[#This Row],[Date]])</f>
        <v>17</v>
      </c>
      <c r="D286" s="2" t="s">
        <v>23</v>
      </c>
      <c r="E286" s="2" t="s">
        <v>29</v>
      </c>
      <c r="F286" s="1" t="s">
        <v>71</v>
      </c>
      <c r="G286" s="1" t="s">
        <v>87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2</v>
      </c>
      <c r="L286" s="2">
        <f>Games[[#This Row],[OppDaysOff]]-Games[[#This Row],[DaysOff]]</f>
        <v>-2</v>
      </c>
      <c r="M286" s="1">
        <f>MAX(-16, MIN(16, Games[[#This Row],[RestDiff]]*8))</f>
        <v>16</v>
      </c>
      <c r="N286" s="1">
        <f>MAX(-16, MIN(16, Games[[#This Row],[OppRestDiff]]*8))</f>
        <v>-16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1708.0387241137885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1451.836864319969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0.76413419402245752</v>
      </c>
      <c r="R286" s="1">
        <v>60</v>
      </c>
      <c r="S286" s="1">
        <v>79</v>
      </c>
      <c r="T286" s="1">
        <v>0</v>
      </c>
      <c r="U286" s="1">
        <f>Games[[#This Row],[PointsFor]]-Games[[#This Row],[PointsAgainst]]</f>
        <v>-19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0.46228006284996287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73.45</v>
      </c>
      <c r="Z286" s="4">
        <f>Games[[#This Row],[K]]*Games[[#This Row],[POMult]]</f>
        <v>73.45</v>
      </c>
      <c r="AA286" s="4">
        <f>(Games[[#This Row],[Keff]]*Games[[#This Row],[MOVMult]])*(Games[[#This Row],[Result]]-Games[[#This Row],[ExpectedWin%]])</f>
        <v>-25.945772037868366</v>
      </c>
      <c r="AB286" s="4">
        <f>Games[[#This Row],[PreGmRate]]+Games[[#This Row],[RatingChange]]</f>
        <v>1682.09295207592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37448</v>
      </c>
      <c r="B287" s="2">
        <v>2002</v>
      </c>
      <c r="C287" s="2">
        <f>COUNTIFS(Games[Team],Games[[#This Row],[Team]],Games[Season],Games[[#This Row],[Season]],Games[Date],"&lt;=" &amp; Games[[#This Row],[Date]])</f>
        <v>19</v>
      </c>
      <c r="D287" s="2" t="s">
        <v>23</v>
      </c>
      <c r="E287" s="2" t="s">
        <v>29</v>
      </c>
      <c r="F287" s="1" t="s">
        <v>87</v>
      </c>
      <c r="G287" s="1" t="s">
        <v>71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87" s="2">
        <f>Games[[#This Row],[DaysOff]]-Games[[#This Row],[OppDaysOff]]</f>
        <v>-2</v>
      </c>
      <c r="L287" s="2">
        <f>Games[[#This Row],[OppDaysOff]]-Games[[#This Row],[DaysOff]]</f>
        <v>2</v>
      </c>
      <c r="M287" s="1">
        <f>MAX(-16, MIN(16, Games[[#This Row],[RestDiff]]*8))</f>
        <v>-16</v>
      </c>
      <c r="N287" s="1">
        <f>MAX(-16, MIN(16, Games[[#This Row],[OppRestDiff]]*8))</f>
        <v>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1451.836864319969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1708.0387241137885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0.23586580597754248</v>
      </c>
      <c r="R287" s="1">
        <v>79</v>
      </c>
      <c r="S287" s="1">
        <v>60</v>
      </c>
      <c r="T287" s="1">
        <v>0</v>
      </c>
      <c r="U287" s="1">
        <f>Games[[#This Row],[PointsFor]]-Games[[#This Row],[PointsAgainst]]</f>
        <v>19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0.46228006284996287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73.150000000000006</v>
      </c>
      <c r="Z287" s="4">
        <f>Games[[#This Row],[K]]*Games[[#This Row],[POMult]]</f>
        <v>73.150000000000006</v>
      </c>
      <c r="AA287" s="4">
        <f>(Games[[#This Row],[Keff]]*Games[[#This Row],[MOVMult]])*(Games[[#This Row],[Result]]-Games[[#This Row],[ExpectedWin%]])</f>
        <v>25.839798836896815</v>
      </c>
      <c r="AB287" s="4">
        <f>Games[[#This Row],[PreGmRate]]+Games[[#This Row],[RatingChange]]</f>
        <v>1477.6766631568657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37449</v>
      </c>
      <c r="B288" s="2">
        <v>2002</v>
      </c>
      <c r="C288" s="2">
        <f>COUNTIFS(Games[Team],Games[[#This Row],[Team]],Games[Season],Games[[#This Row],[Season]],Games[Date],"&lt;=" &amp; Games[[#This Row],[Date]])</f>
        <v>18</v>
      </c>
      <c r="D288" s="2" t="s">
        <v>23</v>
      </c>
      <c r="E288" s="2" t="s">
        <v>29</v>
      </c>
      <c r="F288" s="1" t="s">
        <v>80</v>
      </c>
      <c r="G288" s="1" t="s">
        <v>77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">
        <f>MAX(-16, MIN(16, Games[[#This Row],[RestDiff]]*8))</f>
        <v>0</v>
      </c>
      <c r="N288" s="1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1429.5317496843145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1336.0160435257346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0.5136907788763021</v>
      </c>
      <c r="R288" s="1">
        <v>69</v>
      </c>
      <c r="S288" s="1">
        <v>72</v>
      </c>
      <c r="T288" s="1">
        <v>0</v>
      </c>
      <c r="U288" s="1">
        <f>Games[[#This Row],[PointsFor]]-Games[[#This Row],[PointsAgainst]]</f>
        <v>-3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0.26920448175505901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73.3</v>
      </c>
      <c r="Z288" s="4">
        <f>Games[[#This Row],[K]]*Games[[#This Row],[POMult]]</f>
        <v>73.3</v>
      </c>
      <c r="AA288" s="4">
        <f>(Games[[#This Row],[Keff]]*Games[[#This Row],[MOVMult]])*(Games[[#This Row],[Result]]-Games[[#This Row],[ExpectedWin%]])</f>
        <v>-10.136500131384494</v>
      </c>
      <c r="AB288" s="4">
        <f>Games[[#This Row],[PreGmRate]]+Games[[#This Row],[RatingChange]]</f>
        <v>1419.39524955293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37449</v>
      </c>
      <c r="B289" s="2">
        <v>2002</v>
      </c>
      <c r="C289" s="2">
        <f>COUNTIFS(Games[Team],Games[[#This Row],[Team]],Games[Season],Games[[#This Row],[Season]],Games[Date],"&lt;=" &amp; Games[[#This Row],[Date]])</f>
        <v>19</v>
      </c>
      <c r="D289" s="2" t="s">
        <v>23</v>
      </c>
      <c r="E289" s="2" t="s">
        <v>29</v>
      </c>
      <c r="F289" s="1" t="s">
        <v>77</v>
      </c>
      <c r="G289" s="1" t="s">
        <v>80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">
        <f>MAX(-16, MIN(16, Games[[#This Row],[RestDiff]]*8))</f>
        <v>0</v>
      </c>
      <c r="N289" s="1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1336.0160435257346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1429.5317496843145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0.4863092211236979</v>
      </c>
      <c r="R289" s="1">
        <v>72</v>
      </c>
      <c r="S289" s="1">
        <v>69</v>
      </c>
      <c r="T289" s="1">
        <v>0</v>
      </c>
      <c r="U289" s="1">
        <f>Games[[#This Row],[PointsFor]]-Games[[#This Row],[PointsAgainst]]</f>
        <v>3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0.26920448175505901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73.150000000000006</v>
      </c>
      <c r="Z289" s="4">
        <f>Games[[#This Row],[K]]*Games[[#This Row],[POMult]]</f>
        <v>73.150000000000006</v>
      </c>
      <c r="AA289" s="4">
        <f>(Games[[#This Row],[Keff]]*Games[[#This Row],[MOVMult]])*(Games[[#This Row],[Result]]-Games[[#This Row],[ExpectedWin%]])</f>
        <v>10.115756952398032</v>
      </c>
      <c r="AB289" s="4">
        <f>Games[[#This Row],[PreGmRate]]+Games[[#This Row],[RatingChange]]</f>
        <v>1346.1318004781326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37449</v>
      </c>
      <c r="B290" s="2">
        <v>2002</v>
      </c>
      <c r="C290" s="2">
        <f>COUNTIFS(Games[Team],Games[[#This Row],[Team]],Games[Season],Games[[#This Row],[Season]],Games[Date],"&lt;=" &amp; Games[[#This Row],[Date]])</f>
        <v>18</v>
      </c>
      <c r="D290" s="2" t="s">
        <v>23</v>
      </c>
      <c r="E290" s="2" t="s">
        <v>29</v>
      </c>
      <c r="F290" s="1" t="s">
        <v>83</v>
      </c>
      <c r="G290" s="1" t="s">
        <v>85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1</v>
      </c>
      <c r="L290" s="2">
        <f>Games[[#This Row],[OppDaysOff]]-Games[[#This Row],[DaysOff]]</f>
        <v>-1</v>
      </c>
      <c r="M290" s="1">
        <f>MAX(-16, MIN(16, Games[[#This Row],[RestDiff]]*8))</f>
        <v>8</v>
      </c>
      <c r="N290" s="1">
        <f>MAX(-16, MIN(16, Games[[#This Row],[OppRestDiff]]*8))</f>
        <v>-8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1496.783299830784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1435.1338965140321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0.49086177439637246</v>
      </c>
      <c r="R290" s="1">
        <v>68</v>
      </c>
      <c r="S290" s="1">
        <v>62</v>
      </c>
      <c r="T290" s="1">
        <v>0</v>
      </c>
      <c r="U290" s="1">
        <f>Games[[#This Row],[PointsFor]]-Games[[#This Row],[PointsAgainst]]</f>
        <v>6</v>
      </c>
      <c r="V290" s="1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0.33411573151860652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73.3</v>
      </c>
      <c r="Z290" s="4">
        <f>Games[[#This Row],[K]]*Games[[#This Row],[POMult]]</f>
        <v>73.3</v>
      </c>
      <c r="AA290" s="4">
        <f>(Games[[#This Row],[Keff]]*Games[[#This Row],[MOVMult]])*(Games[[#This Row],[Result]]-Games[[#This Row],[ExpectedWin%]])</f>
        <v>12.469142947697309</v>
      </c>
      <c r="AB290" s="4">
        <f>Games[[#This Row],[PreGmRate]]+Games[[#This Row],[RatingChange]]</f>
        <v>1509.2524427784813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37449</v>
      </c>
      <c r="B291" s="2">
        <v>2002</v>
      </c>
      <c r="C291" s="2">
        <f>COUNTIFS(Games[Team],Games[[#This Row],[Team]],Games[Season],Games[[#This Row],[Season]],Games[Date],"&lt;=" &amp; Games[[#This Row],[Date]])</f>
        <v>19</v>
      </c>
      <c r="D291" s="2" t="s">
        <v>23</v>
      </c>
      <c r="E291" s="2" t="s">
        <v>29</v>
      </c>
      <c r="F291" s="1" t="s">
        <v>85</v>
      </c>
      <c r="G291" s="1" t="s">
        <v>83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1" s="2">
        <f>Games[[#This Row],[DaysOff]]-Games[[#This Row],[OppDaysOff]]</f>
        <v>-1</v>
      </c>
      <c r="L291" s="2">
        <f>Games[[#This Row],[OppDaysOff]]-Games[[#This Row],[DaysOff]]</f>
        <v>1</v>
      </c>
      <c r="M291" s="1">
        <f>MAX(-16, MIN(16, Games[[#This Row],[RestDiff]]*8))</f>
        <v>-8</v>
      </c>
      <c r="N291" s="1">
        <f>MAX(-16, MIN(16, Games[[#This Row],[OppRestDiff]]*8))</f>
        <v>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1435.1338965140321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1496.783299830784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0.50913822560362754</v>
      </c>
      <c r="R291" s="1">
        <v>62</v>
      </c>
      <c r="S291" s="1">
        <v>68</v>
      </c>
      <c r="T291" s="1">
        <v>0</v>
      </c>
      <c r="U291" s="1">
        <f>Games[[#This Row],[PointsFor]]-Games[[#This Row],[PointsAgainst]]</f>
        <v>-6</v>
      </c>
      <c r="V291" s="1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0.33411573151860652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73.150000000000006</v>
      </c>
      <c r="Z291" s="4">
        <f>Games[[#This Row],[K]]*Games[[#This Row],[POMult]]</f>
        <v>73.150000000000006</v>
      </c>
      <c r="AA291" s="4">
        <f>(Games[[#This Row],[Keff]]*Games[[#This Row],[MOVMult]])*(Games[[#This Row],[Result]]-Games[[#This Row],[ExpectedWin%]])</f>
        <v>-12.443626284093565</v>
      </c>
      <c r="AB291" s="4">
        <f>Games[[#This Row],[PreGmRate]]+Games[[#This Row],[RatingChange]]</f>
        <v>1422.6902702299385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37449</v>
      </c>
      <c r="B292" s="2">
        <v>2002</v>
      </c>
      <c r="C292" s="2">
        <f>COUNTIFS(Games[Team],Games[[#This Row],[Team]],Games[Season],Games[[#This Row],[Season]],Games[Date],"&lt;=" &amp; Games[[#This Row],[Date]])</f>
        <v>18</v>
      </c>
      <c r="D292" s="2" t="s">
        <v>23</v>
      </c>
      <c r="E292" s="2" t="s">
        <v>29</v>
      </c>
      <c r="F292" s="1" t="s">
        <v>64</v>
      </c>
      <c r="G292" s="1" t="s">
        <v>79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1541.4122719587099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1490.2135748667672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0.43022753390587953</v>
      </c>
      <c r="R292" s="1">
        <v>72</v>
      </c>
      <c r="S292" s="1">
        <v>67</v>
      </c>
      <c r="T292" s="1">
        <v>0</v>
      </c>
      <c r="U292" s="1">
        <f>Games[[#This Row],[PointsFor]]-Games[[#This Row],[PointsAgainst]]</f>
        <v>5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0.31818061470075437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73.3</v>
      </c>
      <c r="Z292" s="4">
        <f>Games[[#This Row],[K]]*Games[[#This Row],[POMult]]</f>
        <v>73.3</v>
      </c>
      <c r="AA292" s="4">
        <f>(Games[[#This Row],[Keff]]*Games[[#This Row],[MOVMult]])*(Games[[#This Row],[Result]]-Games[[#This Row],[ExpectedWin%]])</f>
        <v>13.288597571652032</v>
      </c>
      <c r="AB292" s="4">
        <f>Games[[#This Row],[PreGmRate]]+Games[[#This Row],[RatingChange]]</f>
        <v>1554.7008695303618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37449</v>
      </c>
      <c r="B293" s="2">
        <v>2002</v>
      </c>
      <c r="C293" s="2">
        <f>COUNTIFS(Games[Team],Games[[#This Row],[Team]],Games[Season],Games[[#This Row],[Season]],Games[Date],"&lt;=" &amp; Games[[#This Row],[Date]])</f>
        <v>17</v>
      </c>
      <c r="D293" s="2" t="s">
        <v>23</v>
      </c>
      <c r="E293" s="2" t="s">
        <v>29</v>
      </c>
      <c r="F293" s="1" t="s">
        <v>79</v>
      </c>
      <c r="G293" s="1" t="s">
        <v>64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1490.2135748667672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1541.4122719587099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0.56977246609412047</v>
      </c>
      <c r="R293" s="1">
        <v>67</v>
      </c>
      <c r="S293" s="1">
        <v>72</v>
      </c>
      <c r="T293" s="1">
        <v>0</v>
      </c>
      <c r="U293" s="1">
        <f>Games[[#This Row],[PointsFor]]-Games[[#This Row],[PointsAgainst]]</f>
        <v>-5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0.31818061470075437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73.45</v>
      </c>
      <c r="Z293" s="4">
        <f>Games[[#This Row],[K]]*Games[[#This Row],[POMult]]</f>
        <v>73.45</v>
      </c>
      <c r="AA293" s="4">
        <f>(Games[[#This Row],[Keff]]*Games[[#This Row],[MOVMult]])*(Games[[#This Row],[Result]]-Games[[#This Row],[ExpectedWin%]])</f>
        <v>-13.315791154677241</v>
      </c>
      <c r="AB293" s="4">
        <f>Games[[#This Row],[PreGmRate]]+Games[[#This Row],[RatingChange]]</f>
        <v>1476.8977837120899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37449</v>
      </c>
      <c r="B294" s="2">
        <v>2002</v>
      </c>
      <c r="C294" s="2">
        <f>COUNTIFS(Games[Team],Games[[#This Row],[Team]],Games[Season],Games[[#This Row],[Season]],Games[Date],"&lt;=" &amp; Games[[#This Row],[Date]])</f>
        <v>18</v>
      </c>
      <c r="D294" s="2" t="s">
        <v>23</v>
      </c>
      <c r="E294" s="2" t="s">
        <v>29</v>
      </c>
      <c r="F294" s="1" t="s">
        <v>71</v>
      </c>
      <c r="G294" s="1" t="s">
        <v>89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1682.09295207592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1498.4845116339336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0.61805217678785884</v>
      </c>
      <c r="R294" s="1">
        <v>82</v>
      </c>
      <c r="S294" s="1">
        <v>76</v>
      </c>
      <c r="T294" s="1">
        <v>1</v>
      </c>
      <c r="U294" s="1">
        <f>Games[[#This Row],[PointsFor]]-Games[[#This Row],[PointsAgainst]]</f>
        <v>6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0.27419840099925891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73.3</v>
      </c>
      <c r="Z294" s="4">
        <f>Games[[#This Row],[K]]*Games[[#This Row],[POMult]]</f>
        <v>73.3</v>
      </c>
      <c r="AA294" s="4">
        <f>(Games[[#This Row],[Keff]]*Games[[#This Row],[MOVMult]])*(Games[[#This Row],[Result]]-Games[[#This Row],[ExpectedWin%]])</f>
        <v>7.6766710591808955</v>
      </c>
      <c r="AB294" s="4">
        <f>Games[[#This Row],[PreGmRate]]+Games[[#This Row],[RatingChange]]</f>
        <v>1689.769623135101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37449</v>
      </c>
      <c r="B295" s="2">
        <v>2002</v>
      </c>
      <c r="C295" s="2">
        <f>COUNTIFS(Games[Team],Games[[#This Row],[Team]],Games[Season],Games[[#This Row],[Season]],Games[Date],"&lt;=" &amp; Games[[#This Row],[Date]])</f>
        <v>20</v>
      </c>
      <c r="D295" s="2" t="s">
        <v>23</v>
      </c>
      <c r="E295" s="2" t="s">
        <v>29</v>
      </c>
      <c r="F295" s="1" t="s">
        <v>89</v>
      </c>
      <c r="G295" s="1" t="s">
        <v>71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1498.4845116339336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1682.09295207592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0.38194782321214121</v>
      </c>
      <c r="R295" s="1">
        <v>76</v>
      </c>
      <c r="S295" s="1">
        <v>82</v>
      </c>
      <c r="T295" s="1">
        <v>1</v>
      </c>
      <c r="U295" s="1">
        <f>Games[[#This Row],[PointsFor]]-Games[[#This Row],[PointsAgainst]]</f>
        <v>-6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0.27419840099925891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73</v>
      </c>
      <c r="Z295" s="4">
        <f>Games[[#This Row],[K]]*Games[[#This Row],[POMult]]</f>
        <v>73</v>
      </c>
      <c r="AA295" s="4">
        <f>(Games[[#This Row],[Keff]]*Games[[#This Row],[MOVMult]])*(Games[[#This Row],[Result]]-Games[[#This Row],[ExpectedWin%]])</f>
        <v>-7.6452522144639232</v>
      </c>
      <c r="AB295" s="4">
        <f>Games[[#This Row],[PreGmRate]]+Games[[#This Row],[RatingChange]]</f>
        <v>1490.8392594194697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37449</v>
      </c>
      <c r="B296" s="2">
        <v>2002</v>
      </c>
      <c r="C296" s="2">
        <f>COUNTIFS(Games[Team],Games[[#This Row],[Team]],Games[Season],Games[[#This Row],[Season]],Games[Date],"&lt;=" &amp; Games[[#This Row],[Date]])</f>
        <v>20</v>
      </c>
      <c r="D296" s="2" t="s">
        <v>23</v>
      </c>
      <c r="E296" s="2" t="s">
        <v>29</v>
      </c>
      <c r="F296" s="1" t="s">
        <v>2</v>
      </c>
      <c r="G296" s="1" t="s">
        <v>45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1640.0928944797959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1413.7053662008816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0.69416172134341991</v>
      </c>
      <c r="R296" s="1">
        <v>74</v>
      </c>
      <c r="S296" s="1">
        <v>60</v>
      </c>
      <c r="T296" s="1">
        <v>0</v>
      </c>
      <c r="U296" s="1">
        <f>Games[[#This Row],[PointsFor]]-Games[[#This Row],[PointsAgainst]]</f>
        <v>14</v>
      </c>
      <c r="V296" s="1">
        <f>IF(Games[[#This Row],[MOV]]&gt;0,1,IF(Games[[#This Row],[MOV]]=0,0.5,0))</f>
        <v>1</v>
      </c>
      <c r="W296" s="4">
        <f>((ABS(Games[[#This Row],[MOV]])+5)^0.6)/(12+0.01*(ABS(Games[[#This Row],[PreGmRate]]-Games[[#This Row],[OppPreGmRate]])))*IF(Games[[#This Row],[OT]]=1,0.9,1)</f>
        <v>0.41021791949270736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73</v>
      </c>
      <c r="Z296" s="4">
        <f>Games[[#This Row],[K]]*Games[[#This Row],[POMult]]</f>
        <v>73</v>
      </c>
      <c r="AA296" s="4">
        <f>(Games[[#This Row],[Keff]]*Games[[#This Row],[MOVMult]])*(Games[[#This Row],[Result]]-Games[[#This Row],[ExpectedWin%]])</f>
        <v>9.158604993136521</v>
      </c>
      <c r="AB296" s="4">
        <f>Games[[#This Row],[PreGmRate]]+Games[[#This Row],[RatingChange]]</f>
        <v>1649.2514994729324</v>
      </c>
      <c r="AC296" s="2">
        <f>IF(Games[[#This Row],[Type]]="R",IF(Games[[#This Row],[Result]]&gt;0.5,1,0),0)</f>
        <v>1</v>
      </c>
      <c r="AD296" s="2">
        <f>IF(Games[[#This Row],[Type]]="R",IF(Games[[#This Row],[Result]]&lt;0.5,1,0),0)</f>
        <v>0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37449</v>
      </c>
      <c r="B297" s="2">
        <v>2002</v>
      </c>
      <c r="C297" s="2">
        <f>COUNTIFS(Games[Team],Games[[#This Row],[Team]],Games[Season],Games[[#This Row],[Season]],Games[Date],"&lt;=" &amp; Games[[#This Row],[Date]])</f>
        <v>18</v>
      </c>
      <c r="D297" s="2" t="s">
        <v>23</v>
      </c>
      <c r="E297" s="2" t="s">
        <v>29</v>
      </c>
      <c r="F297" s="1" t="s">
        <v>45</v>
      </c>
      <c r="G297" s="1" t="s">
        <v>2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1413.7053662008816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1640.0928944797959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0.30583827865658003</v>
      </c>
      <c r="R297" s="1">
        <v>60</v>
      </c>
      <c r="S297" s="1">
        <v>74</v>
      </c>
      <c r="T297" s="1">
        <v>0</v>
      </c>
      <c r="U297" s="1">
        <f>Games[[#This Row],[PointsFor]]-Games[[#This Row],[PointsAgainst]]</f>
        <v>-14</v>
      </c>
      <c r="V297" s="1">
        <f>IF(Games[[#This Row],[MOV]]&gt;0,1,IF(Games[[#This Row],[MOV]]=0,0.5,0))</f>
        <v>0</v>
      </c>
      <c r="W297" s="4">
        <f>((ABS(Games[[#This Row],[MOV]])+5)^0.6)/(12+0.01*(ABS(Games[[#This Row],[PreGmRate]]-Games[[#This Row],[OppPreGmRate]])))*IF(Games[[#This Row],[OT]]=1,0.9,1)</f>
        <v>0.41021791949270736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73.3</v>
      </c>
      <c r="Z297" s="4">
        <f>Games[[#This Row],[K]]*Games[[#This Row],[POMult]]</f>
        <v>73.3</v>
      </c>
      <c r="AA297" s="4">
        <f>(Games[[#This Row],[Keff]]*Games[[#This Row],[MOVMult]])*(Games[[#This Row],[Result]]-Games[[#This Row],[ExpectedWin%]])</f>
        <v>-9.1962430958480397</v>
      </c>
      <c r="AB297" s="4">
        <f>Games[[#This Row],[PreGmRate]]+Games[[#This Row],[RatingChange]]</f>
        <v>1404.5091231050335</v>
      </c>
      <c r="AC297" s="2">
        <f>IF(Games[[#This Row],[Type]]="R",IF(Games[[#This Row],[Result]]&gt;0.5,1,0),0)</f>
        <v>0</v>
      </c>
      <c r="AD297" s="2">
        <f>IF(Games[[#This Row],[Type]]="R",IF(Games[[#This Row],[Result]]&lt;0.5,1,0),0)</f>
        <v>1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37449</v>
      </c>
      <c r="B298" s="2">
        <v>2002</v>
      </c>
      <c r="C298" s="2">
        <f>COUNTIFS(Games[Team],Games[[#This Row],[Team]],Games[Season],Games[[#This Row],[Season]],Games[Date],"&lt;=" &amp; Games[[#This Row],[Date]])</f>
        <v>19</v>
      </c>
      <c r="D298" s="2" t="s">
        <v>23</v>
      </c>
      <c r="E298" s="2" t="s">
        <v>29</v>
      </c>
      <c r="F298" s="1" t="s">
        <v>1</v>
      </c>
      <c r="G298" s="1" t="s">
        <v>87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8" s="2">
        <f>Games[[#This Row],[DaysOff]]-Games[[#This Row],[OppDaysOff]]</f>
        <v>0</v>
      </c>
      <c r="L298" s="2">
        <f>Games[[#This Row],[OppDaysOff]]-Games[[#This Row],[DaysOff]]</f>
        <v>0</v>
      </c>
      <c r="M298" s="1">
        <f>MAX(-16, MIN(16, Games[[#This Row],[RestDiff]]*8))</f>
        <v>0</v>
      </c>
      <c r="N298" s="1">
        <f>MAX(-16, MIN(16, Games[[#This Row],[OppRestDiff]]*8))</f>
        <v>0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1457.4933745853882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1477.6766631568657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0.35440610447406312</v>
      </c>
      <c r="R298" s="1">
        <v>62</v>
      </c>
      <c r="S298" s="1">
        <v>58</v>
      </c>
      <c r="T298" s="1">
        <v>0</v>
      </c>
      <c r="U298" s="1">
        <f>Games[[#This Row],[PointsFor]]-Games[[#This Row],[PointsAgainst]]</f>
        <v>4</v>
      </c>
      <c r="V298" s="1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0.30628126559755203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73.150000000000006</v>
      </c>
      <c r="Z298" s="4">
        <f>Games[[#This Row],[K]]*Games[[#This Row],[POMult]]</f>
        <v>73.150000000000006</v>
      </c>
      <c r="AA298" s="4">
        <f>(Games[[#This Row],[Keff]]*Games[[#This Row],[MOVMult]])*(Games[[#This Row],[Result]]-Games[[#This Row],[ExpectedWin%]])</f>
        <v>14.464192020320414</v>
      </c>
      <c r="AB298" s="4">
        <f>Games[[#This Row],[PreGmRate]]+Games[[#This Row],[RatingChange]]</f>
        <v>1471.9575666057087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37449</v>
      </c>
      <c r="B299" s="2">
        <v>2002</v>
      </c>
      <c r="C299" s="2">
        <f>COUNTIFS(Games[Team],Games[[#This Row],[Team]],Games[Season],Games[[#This Row],[Season]],Games[Date],"&lt;=" &amp; Games[[#This Row],[Date]])</f>
        <v>20</v>
      </c>
      <c r="D299" s="2" t="s">
        <v>23</v>
      </c>
      <c r="E299" s="2" t="s">
        <v>29</v>
      </c>
      <c r="F299" s="1" t="s">
        <v>87</v>
      </c>
      <c r="G299" s="1" t="s">
        <v>1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9" s="2">
        <f>Games[[#This Row],[DaysOff]]-Games[[#This Row],[OppDaysOff]]</f>
        <v>0</v>
      </c>
      <c r="L299" s="2">
        <f>Games[[#This Row],[OppDaysOff]]-Games[[#This Row],[DaysOff]]</f>
        <v>0</v>
      </c>
      <c r="M299" s="1">
        <f>MAX(-16, MIN(16, Games[[#This Row],[RestDiff]]*8))</f>
        <v>0</v>
      </c>
      <c r="N299" s="1">
        <f>MAX(-16, MIN(16, Games[[#This Row],[OppRestDiff]]*8))</f>
        <v>0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1477.6766631568657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1457.4933745853882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0.64559389552593693</v>
      </c>
      <c r="R299" s="1">
        <v>58</v>
      </c>
      <c r="S299" s="1">
        <v>62</v>
      </c>
      <c r="T299" s="1">
        <v>0</v>
      </c>
      <c r="U299" s="1">
        <f>Games[[#This Row],[PointsFor]]-Games[[#This Row],[PointsAgainst]]</f>
        <v>-4</v>
      </c>
      <c r="V299" s="1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0.30628126559755203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73</v>
      </c>
      <c r="Z299" s="4">
        <f>Games[[#This Row],[K]]*Games[[#This Row],[POMult]]</f>
        <v>73</v>
      </c>
      <c r="AA299" s="4">
        <f>(Games[[#This Row],[Keff]]*Games[[#This Row],[MOVMult]])*(Games[[#This Row],[Result]]-Games[[#This Row],[ExpectedWin%]])</f>
        <v>-14.434532023012856</v>
      </c>
      <c r="AB299" s="4">
        <f>Games[[#This Row],[PreGmRate]]+Games[[#This Row],[RatingChange]]</f>
        <v>1463.2421311338528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37450</v>
      </c>
      <c r="B300" s="2">
        <v>2002</v>
      </c>
      <c r="C300" s="2">
        <f>COUNTIFS(Games[Team],Games[[#This Row],[Team]],Games[Season],Games[[#This Row],[Season]],Games[Date],"&lt;=" &amp; Games[[#This Row],[Date]])</f>
        <v>19</v>
      </c>
      <c r="D300" s="2" t="s">
        <v>23</v>
      </c>
      <c r="E300" s="2" t="s">
        <v>29</v>
      </c>
      <c r="F300" s="1" t="s">
        <v>80</v>
      </c>
      <c r="G300" s="1" t="s">
        <v>64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1419.39524955293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1554.7008695303618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0.22055678832878148</v>
      </c>
      <c r="R300" s="1">
        <v>60</v>
      </c>
      <c r="S300" s="1">
        <v>63</v>
      </c>
      <c r="T300" s="1">
        <v>0</v>
      </c>
      <c r="U300" s="1">
        <f>Games[[#This Row],[PointsFor]]-Games[[#This Row],[PointsAgainst]]</f>
        <v>-3</v>
      </c>
      <c r="V300" s="1">
        <f>IF(Games[[#This Row],[MOV]]&gt;0,1,IF(Games[[#This Row],[MOV]]=0,0.5,0))</f>
        <v>0</v>
      </c>
      <c r="W300" s="4">
        <f>((ABS(Games[[#This Row],[MOV]])+5)^0.6)/(12+0.01*(ABS(Games[[#This Row],[PreGmRate]]-Games[[#This Row],[OppPreGmRate]])))*IF(Games[[#This Row],[OT]]=1,0.9,1)</f>
        <v>0.26077942016325445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73.150000000000006</v>
      </c>
      <c r="Z300" s="4">
        <f>Games[[#This Row],[K]]*Games[[#This Row],[POMult]]</f>
        <v>73.150000000000006</v>
      </c>
      <c r="AA300" s="4">
        <f>(Games[[#This Row],[Keff]]*Games[[#This Row],[MOVMult]])*(Games[[#This Row],[Result]]-Games[[#This Row],[ExpectedWin%]])</f>
        <v>-4.2073445109678156</v>
      </c>
      <c r="AB300" s="4">
        <f>Games[[#This Row],[PreGmRate]]+Games[[#This Row],[RatingChange]]</f>
        <v>1415.187905041962</v>
      </c>
      <c r="AC300" s="2">
        <f>IF(Games[[#This Row],[Type]]="R",IF(Games[[#This Row],[Result]]&gt;0.5,1,0),0)</f>
        <v>0</v>
      </c>
      <c r="AD300" s="2">
        <f>IF(Games[[#This Row],[Type]]="R",IF(Games[[#This Row],[Result]]&lt;0.5,1,0),0)</f>
        <v>1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37450</v>
      </c>
      <c r="B301" s="2">
        <v>2002</v>
      </c>
      <c r="C301" s="2">
        <f>COUNTIFS(Games[Team],Games[[#This Row],[Team]],Games[Season],Games[[#This Row],[Season]],Games[Date],"&lt;=" &amp; Games[[#This Row],[Date]])</f>
        <v>19</v>
      </c>
      <c r="D301" s="2" t="s">
        <v>23</v>
      </c>
      <c r="E301" s="2" t="s">
        <v>29</v>
      </c>
      <c r="F301" s="1" t="s">
        <v>64</v>
      </c>
      <c r="G301" s="1" t="s">
        <v>80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1554.7008695303618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1419.39524955293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0.77944321167121855</v>
      </c>
      <c r="R301" s="1">
        <v>63</v>
      </c>
      <c r="S301" s="1">
        <v>60</v>
      </c>
      <c r="T301" s="1">
        <v>0</v>
      </c>
      <c r="U301" s="1">
        <f>Games[[#This Row],[PointsFor]]-Games[[#This Row],[PointsAgainst]]</f>
        <v>3</v>
      </c>
      <c r="V301" s="1">
        <f>IF(Games[[#This Row],[MOV]]&gt;0,1,IF(Games[[#This Row],[MOV]]=0,0.5,0))</f>
        <v>1</v>
      </c>
      <c r="W301" s="4">
        <f>((ABS(Games[[#This Row],[MOV]])+5)^0.6)/(12+0.01*(ABS(Games[[#This Row],[PreGmRate]]-Games[[#This Row],[OppPreGmRate]])))*IF(Games[[#This Row],[OT]]=1,0.9,1)</f>
        <v>0.26077942016325445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73.150000000000006</v>
      </c>
      <c r="Z301" s="4">
        <f>Games[[#This Row],[K]]*Games[[#This Row],[POMult]]</f>
        <v>73.150000000000006</v>
      </c>
      <c r="AA301" s="4">
        <f>(Games[[#This Row],[Keff]]*Games[[#This Row],[MOVMult]])*(Games[[#This Row],[Result]]-Games[[#This Row],[ExpectedWin%]])</f>
        <v>4.2073445109678147</v>
      </c>
      <c r="AB301" s="4">
        <f>Games[[#This Row],[PreGmRate]]+Games[[#This Row],[RatingChange]]</f>
        <v>1558.9082140413298</v>
      </c>
      <c r="AC301" s="2">
        <f>IF(Games[[#This Row],[Type]]="R",IF(Games[[#This Row],[Result]]&gt;0.5,1,0),0)</f>
        <v>1</v>
      </c>
      <c r="AD301" s="2">
        <f>IF(Games[[#This Row],[Type]]="R",IF(Games[[#This Row],[Result]]&lt;0.5,1,0),0)</f>
        <v>0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37450</v>
      </c>
      <c r="B302" s="2">
        <v>2002</v>
      </c>
      <c r="C302" s="2">
        <f>COUNTIFS(Games[Team],Games[[#This Row],[Team]],Games[Season],Games[[#This Row],[Season]],Games[Date],"&lt;=" &amp; Games[[#This Row],[Date]])</f>
        <v>18</v>
      </c>
      <c r="D302" s="2" t="s">
        <v>23</v>
      </c>
      <c r="E302" s="2" t="s">
        <v>29</v>
      </c>
      <c r="F302" s="1" t="s">
        <v>79</v>
      </c>
      <c r="G302" s="1" t="s">
        <v>83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1476.8977837120899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1509.2524427784813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0.33854358304935023</v>
      </c>
      <c r="R302" s="1">
        <v>56</v>
      </c>
      <c r="S302" s="1">
        <v>70</v>
      </c>
      <c r="T302" s="1">
        <v>0</v>
      </c>
      <c r="U302" s="1">
        <f>Games[[#This Row],[PointsFor]]-Games[[#This Row],[PointsAgainst]]</f>
        <v>-14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0.47480627426215494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73.3</v>
      </c>
      <c r="Z302" s="4">
        <f>Games[[#This Row],[K]]*Games[[#This Row],[POMult]]</f>
        <v>73.3</v>
      </c>
      <c r="AA302" s="4">
        <f>(Games[[#This Row],[Keff]]*Games[[#This Row],[MOVMult]])*(Games[[#This Row],[Result]]-Games[[#This Row],[ExpectedWin%]])</f>
        <v>-11.782433851243542</v>
      </c>
      <c r="AB302" s="4">
        <f>Games[[#This Row],[PreGmRate]]+Games[[#This Row],[RatingChange]]</f>
        <v>1465.1153498608464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37450</v>
      </c>
      <c r="B303" s="2">
        <v>2002</v>
      </c>
      <c r="C303" s="2">
        <f>COUNTIFS(Games[Team],Games[[#This Row],[Team]],Games[Season],Games[[#This Row],[Season]],Games[Date],"&lt;=" &amp; Games[[#This Row],[Date]])</f>
        <v>19</v>
      </c>
      <c r="D303" s="2" t="s">
        <v>23</v>
      </c>
      <c r="E303" s="2" t="s">
        <v>29</v>
      </c>
      <c r="F303" s="1" t="s">
        <v>83</v>
      </c>
      <c r="G303" s="1" t="s">
        <v>79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1509.2524427784813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1476.8977837120899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0.66145641695064972</v>
      </c>
      <c r="R303" s="1">
        <v>70</v>
      </c>
      <c r="S303" s="1">
        <v>56</v>
      </c>
      <c r="T303" s="1">
        <v>0</v>
      </c>
      <c r="U303" s="1">
        <f>Games[[#This Row],[PointsFor]]-Games[[#This Row],[PointsAgainst]]</f>
        <v>14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0.47480627426215494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73.150000000000006</v>
      </c>
      <c r="Z303" s="4">
        <f>Games[[#This Row],[K]]*Games[[#This Row],[POMult]]</f>
        <v>73.150000000000006</v>
      </c>
      <c r="AA303" s="4">
        <f>(Games[[#This Row],[Keff]]*Games[[#This Row],[MOVMult]])*(Games[[#This Row],[Result]]-Games[[#This Row],[ExpectedWin%]])</f>
        <v>11.758322458642093</v>
      </c>
      <c r="AB303" s="4">
        <f>Games[[#This Row],[PreGmRate]]+Games[[#This Row],[RatingChange]]</f>
        <v>1521.0107652371235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37450</v>
      </c>
      <c r="B304" s="2">
        <v>2002</v>
      </c>
      <c r="C304" s="2">
        <f>COUNTIFS(Games[Team],Games[[#This Row],[Team]],Games[Season],Games[[#This Row],[Season]],Games[Date],"&lt;=" &amp; Games[[#This Row],[Date]])</f>
        <v>19</v>
      </c>
      <c r="D304" s="2" t="s">
        <v>23</v>
      </c>
      <c r="E304" s="2" t="s">
        <v>29</v>
      </c>
      <c r="F304" s="1" t="s">
        <v>44</v>
      </c>
      <c r="G304" s="1" t="s">
        <v>43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-1</v>
      </c>
      <c r="L304" s="2">
        <f>Games[[#This Row],[OppDaysOff]]-Games[[#This Row],[DaysOff]]</f>
        <v>1</v>
      </c>
      <c r="M304" s="1">
        <f>MAX(-16, MIN(16, Games[[#This Row],[RestDiff]]*8))</f>
        <v>-8</v>
      </c>
      <c r="N304" s="1">
        <f>MAX(-16, MIN(16, Games[[#This Row],[OppRestDiff]]*8))</f>
        <v>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1459.3435248357914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1571.1181602591264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0.22809966232629295</v>
      </c>
      <c r="R304" s="1">
        <v>66</v>
      </c>
      <c r="S304" s="1">
        <v>75</v>
      </c>
      <c r="T304" s="1">
        <v>0</v>
      </c>
      <c r="U304" s="1">
        <f>Games[[#This Row],[PointsFor]]-Games[[#This Row],[PointsAgainst]]</f>
        <v>-9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0.37137921364021004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73.150000000000006</v>
      </c>
      <c r="Z304" s="4">
        <f>Games[[#This Row],[K]]*Games[[#This Row],[POMult]]</f>
        <v>73.150000000000006</v>
      </c>
      <c r="AA304" s="4">
        <f>(Games[[#This Row],[Keff]]*Games[[#This Row],[MOVMult]])*(Games[[#This Row],[Result]]-Games[[#This Row],[ExpectedWin%]])</f>
        <v>-6.1966442665064871</v>
      </c>
      <c r="AB304" s="4">
        <f>Games[[#This Row],[PreGmRate]]+Games[[#This Row],[RatingChange]]</f>
        <v>1453.146880569285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37450</v>
      </c>
      <c r="B305" s="2">
        <v>2002</v>
      </c>
      <c r="C305" s="2">
        <f>COUNTIFS(Games[Team],Games[[#This Row],[Team]],Games[Season],Games[[#This Row],[Season]],Games[Date],"&lt;=" &amp; Games[[#This Row],[Date]])</f>
        <v>19</v>
      </c>
      <c r="D305" s="2" t="s">
        <v>23</v>
      </c>
      <c r="E305" s="2" t="s">
        <v>29</v>
      </c>
      <c r="F305" s="1" t="s">
        <v>43</v>
      </c>
      <c r="G305" s="1" t="s">
        <v>44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1</v>
      </c>
      <c r="L305" s="2">
        <f>Games[[#This Row],[OppDaysOff]]-Games[[#This Row],[DaysOff]]</f>
        <v>-1</v>
      </c>
      <c r="M305" s="1">
        <f>MAX(-16, MIN(16, Games[[#This Row],[RestDiff]]*8))</f>
        <v>8</v>
      </c>
      <c r="N305" s="1">
        <f>MAX(-16, MIN(16, Games[[#This Row],[OppRestDiff]]*8))</f>
        <v>-8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1571.1181602591264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1459.3435248357914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0.77190033767370703</v>
      </c>
      <c r="R305" s="1">
        <v>75</v>
      </c>
      <c r="S305" s="1">
        <v>66</v>
      </c>
      <c r="T305" s="1">
        <v>0</v>
      </c>
      <c r="U305" s="1">
        <f>Games[[#This Row],[PointsFor]]-Games[[#This Row],[PointsAgainst]]</f>
        <v>9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0.37137921364021004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73.150000000000006</v>
      </c>
      <c r="Z305" s="4">
        <f>Games[[#This Row],[K]]*Games[[#This Row],[POMult]]</f>
        <v>73.150000000000006</v>
      </c>
      <c r="AA305" s="4">
        <f>(Games[[#This Row],[Keff]]*Games[[#This Row],[MOVMult]])*(Games[[#This Row],[Result]]-Games[[#This Row],[ExpectedWin%]])</f>
        <v>6.196644266506488</v>
      </c>
      <c r="AB305" s="4">
        <f>Games[[#This Row],[PreGmRate]]+Games[[#This Row],[RatingChange]]</f>
        <v>1577.3148045256328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37450</v>
      </c>
      <c r="B306" s="2">
        <v>2002</v>
      </c>
      <c r="C306" s="2">
        <f>COUNTIFS(Games[Team],Games[[#This Row],[Team]],Games[Season],Games[[#This Row],[Season]],Games[Date],"&lt;=" &amp; Games[[#This Row],[Date]])</f>
        <v>20</v>
      </c>
      <c r="D306" s="2" t="s">
        <v>23</v>
      </c>
      <c r="E306" s="2" t="s">
        <v>29</v>
      </c>
      <c r="F306" s="1" t="s">
        <v>66</v>
      </c>
      <c r="G306" s="1" t="s">
        <v>75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6" s="2">
        <f>Games[[#This Row],[DaysOff]]-Games[[#This Row],[OppDaysOff]]</f>
        <v>-1</v>
      </c>
      <c r="L306" s="2">
        <f>Games[[#This Row],[OppDaysOff]]-Games[[#This Row],[DaysOff]]</f>
        <v>1</v>
      </c>
      <c r="M306" s="1">
        <f>MAX(-16, MIN(16, Games[[#This Row],[RestDiff]]*8))</f>
        <v>-8</v>
      </c>
      <c r="N306" s="1">
        <f>MAX(-16, MIN(16, Games[[#This Row],[OppRestDiff]]*8))</f>
        <v>8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1505.9351502530424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1563.3296180401801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0.28781180407965617</v>
      </c>
      <c r="R306" s="1">
        <v>67</v>
      </c>
      <c r="S306" s="1">
        <v>53</v>
      </c>
      <c r="T306" s="1">
        <v>0</v>
      </c>
      <c r="U306" s="1">
        <f>Games[[#This Row],[PointsFor]]-Games[[#This Row],[PointsAgainst]]</f>
        <v>14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0.46535096123866287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73</v>
      </c>
      <c r="Z306" s="4">
        <f>Games[[#This Row],[K]]*Games[[#This Row],[POMult]]</f>
        <v>73</v>
      </c>
      <c r="AA306" s="4">
        <f>(Games[[#This Row],[Keff]]*Games[[#This Row],[MOVMult]])*(Games[[#This Row],[Result]]-Games[[#This Row],[ExpectedWin%]])</f>
        <v>24.193474693468364</v>
      </c>
      <c r="AB306" s="4">
        <f>Games[[#This Row],[PreGmRate]]+Games[[#This Row],[RatingChange]]</f>
        <v>1530.1286249465106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37450</v>
      </c>
      <c r="B307" s="2">
        <v>2002</v>
      </c>
      <c r="C307" s="2">
        <f>COUNTIFS(Games[Team],Games[[#This Row],[Team]],Games[Season],Games[[#This Row],[Season]],Games[Date],"&lt;=" &amp; Games[[#This Row],[Date]])</f>
        <v>20</v>
      </c>
      <c r="D307" s="2" t="s">
        <v>23</v>
      </c>
      <c r="E307" s="2" t="s">
        <v>29</v>
      </c>
      <c r="F307" s="1" t="s">
        <v>75</v>
      </c>
      <c r="G307" s="1" t="s">
        <v>66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7" s="2">
        <f>Games[[#This Row],[DaysOff]]-Games[[#This Row],[OppDaysOff]]</f>
        <v>1</v>
      </c>
      <c r="L307" s="2">
        <f>Games[[#This Row],[OppDaysOff]]-Games[[#This Row],[DaysOff]]</f>
        <v>-1</v>
      </c>
      <c r="M307" s="1">
        <f>MAX(-16, MIN(16, Games[[#This Row],[RestDiff]]*8))</f>
        <v>8</v>
      </c>
      <c r="N307" s="1">
        <f>MAX(-16, MIN(16, Games[[#This Row],[OppRestDiff]]*8))</f>
        <v>-8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1563.3296180401801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1505.9351502530424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0.71218819592034377</v>
      </c>
      <c r="R307" s="1">
        <v>53</v>
      </c>
      <c r="S307" s="1">
        <v>67</v>
      </c>
      <c r="T307" s="1">
        <v>0</v>
      </c>
      <c r="U307" s="1">
        <f>Games[[#This Row],[PointsFor]]-Games[[#This Row],[PointsAgainst]]</f>
        <v>-14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0.46535096123866287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73</v>
      </c>
      <c r="Z307" s="4">
        <f>Games[[#This Row],[K]]*Games[[#This Row],[POMult]]</f>
        <v>73</v>
      </c>
      <c r="AA307" s="4">
        <f>(Games[[#This Row],[Keff]]*Games[[#This Row],[MOVMult]])*(Games[[#This Row],[Result]]-Games[[#This Row],[ExpectedWin%]])</f>
        <v>-24.193474693468364</v>
      </c>
      <c r="AB307" s="4">
        <f>Games[[#This Row],[PreGmRate]]+Games[[#This Row],[RatingChange]]</f>
        <v>1539.1361433467118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37454</v>
      </c>
      <c r="B308" s="2">
        <v>2002</v>
      </c>
      <c r="C308" s="2">
        <f>COUNTIFS(Games[Team],Games[[#This Row],[Team]],Games[Season],Games[[#This Row],[Season]],Games[Date],"&lt;=" &amp; Games[[#This Row],[Date]])</f>
        <v>19</v>
      </c>
      <c r="D308" s="2" t="s">
        <v>23</v>
      </c>
      <c r="E308" s="2" t="s">
        <v>29</v>
      </c>
      <c r="F308" s="1" t="s">
        <v>79</v>
      </c>
      <c r="G308" s="1" t="s">
        <v>64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1465.1153498608464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1558.9082140413298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0.26435437221421226</v>
      </c>
      <c r="R308" s="1">
        <v>62</v>
      </c>
      <c r="S308" s="1">
        <v>89</v>
      </c>
      <c r="T308" s="1">
        <v>0</v>
      </c>
      <c r="U308" s="1">
        <f>Games[[#This Row],[PointsFor]]-Games[[#This Row],[PointsAgainst]]</f>
        <v>-27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0.61833700134583547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73.150000000000006</v>
      </c>
      <c r="Z308" s="4">
        <f>Games[[#This Row],[K]]*Games[[#This Row],[POMult]]</f>
        <v>73.150000000000006</v>
      </c>
      <c r="AA308" s="4">
        <f>(Games[[#This Row],[Keff]]*Games[[#This Row],[MOVMult]])*(Games[[#This Row],[Result]]-Games[[#This Row],[ExpectedWin%]])</f>
        <v>-11.957105569425712</v>
      </c>
      <c r="AB308" s="4">
        <f>Games[[#This Row],[PreGmRate]]+Games[[#This Row],[RatingChange]]</f>
        <v>1453.1582442914207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37454</v>
      </c>
      <c r="B309" s="2">
        <v>2002</v>
      </c>
      <c r="C309" s="2">
        <f>COUNTIFS(Games[Team],Games[[#This Row],[Team]],Games[Season],Games[[#This Row],[Season]],Games[Date],"&lt;=" &amp; Games[[#This Row],[Date]])</f>
        <v>20</v>
      </c>
      <c r="D309" s="2" t="s">
        <v>23</v>
      </c>
      <c r="E309" s="2" t="s">
        <v>29</v>
      </c>
      <c r="F309" s="1" t="s">
        <v>64</v>
      </c>
      <c r="G309" s="1" t="s">
        <v>79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1558.9082140413298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1465.1153498608464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0.73564562778578779</v>
      </c>
      <c r="R309" s="1">
        <v>89</v>
      </c>
      <c r="S309" s="1">
        <v>62</v>
      </c>
      <c r="T309" s="1">
        <v>0</v>
      </c>
      <c r="U309" s="1">
        <f>Games[[#This Row],[PointsFor]]-Games[[#This Row],[PointsAgainst]]</f>
        <v>27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0.61833700134583547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73</v>
      </c>
      <c r="Z309" s="4">
        <f>Games[[#This Row],[K]]*Games[[#This Row],[POMult]]</f>
        <v>73</v>
      </c>
      <c r="AA309" s="4">
        <f>(Games[[#This Row],[Keff]]*Games[[#This Row],[MOVMult]])*(Games[[#This Row],[Result]]-Games[[#This Row],[ExpectedWin%]])</f>
        <v>11.932586555954568</v>
      </c>
      <c r="AB309" s="4">
        <f>Games[[#This Row],[PreGmRate]]+Games[[#This Row],[RatingChange]]</f>
        <v>1570.8408005972842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37454</v>
      </c>
      <c r="B310" s="2">
        <v>2002</v>
      </c>
      <c r="C310" s="2">
        <f>COUNTIFS(Games[Team],Games[[#This Row],[Team]],Games[Season],Games[[#This Row],[Season]],Games[Date],"&lt;=" &amp; Games[[#This Row],[Date]])</f>
        <v>19</v>
      </c>
      <c r="D310" s="2" t="s">
        <v>23</v>
      </c>
      <c r="E310" s="2" t="s">
        <v>29</v>
      </c>
      <c r="F310" s="1" t="s">
        <v>71</v>
      </c>
      <c r="G310" s="1" t="s">
        <v>85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1689.769623135101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1422.6902702299385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0.74152108484655965</v>
      </c>
      <c r="R310" s="1">
        <v>73</v>
      </c>
      <c r="S310" s="1">
        <v>58</v>
      </c>
      <c r="T310" s="1">
        <v>0</v>
      </c>
      <c r="U310" s="1">
        <f>Games[[#This Row],[PointsFor]]-Games[[#This Row],[PointsAgainst]]</f>
        <v>15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0.41130538198878419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73.150000000000006</v>
      </c>
      <c r="Z310" s="4">
        <f>Games[[#This Row],[K]]*Games[[#This Row],[POMult]]</f>
        <v>73.150000000000006</v>
      </c>
      <c r="AA310" s="4">
        <f>(Games[[#This Row],[Keff]]*Games[[#This Row],[MOVMult]])*(Games[[#This Row],[Result]]-Games[[#This Row],[ExpectedWin%]])</f>
        <v>7.7768521974659448</v>
      </c>
      <c r="AB310" s="4">
        <f>Games[[#This Row],[PreGmRate]]+Games[[#This Row],[RatingChange]]</f>
        <v>1697.5464753325671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37454</v>
      </c>
      <c r="B311" s="2">
        <v>2002</v>
      </c>
      <c r="C311" s="2">
        <f>COUNTIFS(Games[Team],Games[[#This Row],[Team]],Games[Season],Games[[#This Row],[Season]],Games[Date],"&lt;=" &amp; Games[[#This Row],[Date]])</f>
        <v>20</v>
      </c>
      <c r="D311" s="2" t="s">
        <v>23</v>
      </c>
      <c r="E311" s="2" t="s">
        <v>29</v>
      </c>
      <c r="F311" s="1" t="s">
        <v>85</v>
      </c>
      <c r="G311" s="1" t="s">
        <v>71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1422.6902702299385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1689.769623135101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0.25847891515344035</v>
      </c>
      <c r="R311" s="1">
        <v>58</v>
      </c>
      <c r="S311" s="1">
        <v>73</v>
      </c>
      <c r="T311" s="1">
        <v>0</v>
      </c>
      <c r="U311" s="1">
        <f>Games[[#This Row],[PointsFor]]-Games[[#This Row],[PointsAgainst]]</f>
        <v>-15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0.41130538198878419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73</v>
      </c>
      <c r="Z311" s="4">
        <f>Games[[#This Row],[K]]*Games[[#This Row],[POMult]]</f>
        <v>73</v>
      </c>
      <c r="AA311" s="4">
        <f>(Games[[#This Row],[Keff]]*Games[[#This Row],[MOVMult]])*(Games[[#This Row],[Result]]-Games[[#This Row],[ExpectedWin%]])</f>
        <v>-7.7609051321259592</v>
      </c>
      <c r="AB311" s="4">
        <f>Games[[#This Row],[PreGmRate]]+Games[[#This Row],[RatingChange]]</f>
        <v>1414.9293650978125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37454</v>
      </c>
      <c r="B312" s="2">
        <v>2002</v>
      </c>
      <c r="C312" s="2">
        <f>COUNTIFS(Games[Team],Games[[#This Row],[Team]],Games[Season],Games[[#This Row],[Season]],Games[Date],"&lt;=" &amp; Games[[#This Row],[Date]])</f>
        <v>19</v>
      </c>
      <c r="D312" s="2" t="s">
        <v>23</v>
      </c>
      <c r="E312" s="2" t="s">
        <v>29</v>
      </c>
      <c r="F312" s="1" t="s">
        <v>45</v>
      </c>
      <c r="G312" s="1" t="s">
        <v>83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2" s="2">
        <f>Games[[#This Row],[DaysOff]]-Games[[#This Row],[OppDaysOff]]</f>
        <v>1</v>
      </c>
      <c r="L312" s="2">
        <f>Games[[#This Row],[OppDaysOff]]-Games[[#This Row],[DaysOff]]</f>
        <v>-1</v>
      </c>
      <c r="M312" s="1">
        <f>MAX(-16, MIN(16, Games[[#This Row],[RestDiff]]*8))</f>
        <v>8</v>
      </c>
      <c r="N312" s="1">
        <f>MAX(-16, MIN(16, Games[[#This Row],[OppRestDiff]]*8))</f>
        <v>-8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1404.5091231050335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1521.0107652371235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0.25691277043823463</v>
      </c>
      <c r="R312" s="1">
        <v>78</v>
      </c>
      <c r="S312" s="1">
        <v>62</v>
      </c>
      <c r="T312" s="1">
        <v>0</v>
      </c>
      <c r="U312" s="1">
        <f>Games[[#This Row],[PointsFor]]-Games[[#This Row],[PointsAgainst]]</f>
        <v>16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0.47196541109496953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73.150000000000006</v>
      </c>
      <c r="Z312" s="4">
        <f>Games[[#This Row],[K]]*Games[[#This Row],[POMult]]</f>
        <v>73.150000000000006</v>
      </c>
      <c r="AA312" s="4">
        <f>(Games[[#This Row],[Keff]]*Games[[#This Row],[MOVMult]])*(Games[[#This Row],[Result]]-Games[[#This Row],[ExpectedWin%]])</f>
        <v>25.654544014373396</v>
      </c>
      <c r="AB312" s="4">
        <f>Games[[#This Row],[PreGmRate]]+Games[[#This Row],[RatingChange]]</f>
        <v>1430.1636671194069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37454</v>
      </c>
      <c r="B313" s="2">
        <v>2002</v>
      </c>
      <c r="C313" s="2">
        <f>COUNTIFS(Games[Team],Games[[#This Row],[Team]],Games[Season],Games[[#This Row],[Season]],Games[Date],"&lt;=" &amp; Games[[#This Row],[Date]])</f>
        <v>20</v>
      </c>
      <c r="D313" s="2" t="s">
        <v>23</v>
      </c>
      <c r="E313" s="2" t="s">
        <v>29</v>
      </c>
      <c r="F313" s="1" t="s">
        <v>83</v>
      </c>
      <c r="G313" s="1" t="s">
        <v>45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3" s="2">
        <f>Games[[#This Row],[DaysOff]]-Games[[#This Row],[OppDaysOff]]</f>
        <v>-1</v>
      </c>
      <c r="L313" s="2">
        <f>Games[[#This Row],[OppDaysOff]]-Games[[#This Row],[DaysOff]]</f>
        <v>1</v>
      </c>
      <c r="M313" s="1">
        <f>MAX(-16, MIN(16, Games[[#This Row],[RestDiff]]*8))</f>
        <v>-8</v>
      </c>
      <c r="N313" s="1">
        <f>MAX(-16, MIN(16, Games[[#This Row],[OppRestDiff]]*8))</f>
        <v>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1521.0107652371235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1404.5091231050335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0.74308722956176532</v>
      </c>
      <c r="R313" s="1">
        <v>62</v>
      </c>
      <c r="S313" s="1">
        <v>78</v>
      </c>
      <c r="T313" s="1">
        <v>0</v>
      </c>
      <c r="U313" s="1">
        <f>Games[[#This Row],[PointsFor]]-Games[[#This Row],[PointsAgainst]]</f>
        <v>-16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0.47196541109496953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73</v>
      </c>
      <c r="Z313" s="4">
        <f>Games[[#This Row],[K]]*Games[[#This Row],[POMult]]</f>
        <v>73</v>
      </c>
      <c r="AA313" s="4">
        <f>(Games[[#This Row],[Keff]]*Games[[#This Row],[MOVMult]])*(Games[[#This Row],[Result]]-Games[[#This Row],[ExpectedWin%]])</f>
        <v>-25.60193729390646</v>
      </c>
      <c r="AB313" s="4">
        <f>Games[[#This Row],[PreGmRate]]+Games[[#This Row],[RatingChange]]</f>
        <v>1495.4088279432169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37454</v>
      </c>
      <c r="B314" s="2">
        <v>2002</v>
      </c>
      <c r="C314" s="2">
        <f>COUNTIFS(Games[Team],Games[[#This Row],[Team]],Games[Season],Games[[#This Row],[Season]],Games[Date],"&lt;=" &amp; Games[[#This Row],[Date]])</f>
        <v>20</v>
      </c>
      <c r="D314" s="2" t="s">
        <v>23</v>
      </c>
      <c r="E314" s="2" t="s">
        <v>29</v>
      </c>
      <c r="F314" s="1" t="s">
        <v>1</v>
      </c>
      <c r="G314" s="1" t="s">
        <v>80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4" s="2">
        <f>Games[[#This Row],[DaysOff]]-Games[[#This Row],[OppDaysOff]]</f>
        <v>1</v>
      </c>
      <c r="L314" s="2">
        <f>Games[[#This Row],[OppDaysOff]]-Games[[#This Row],[DaysOff]]</f>
        <v>-1</v>
      </c>
      <c r="M314" s="1">
        <f>MAX(-16, MIN(16, Games[[#This Row],[RestDiff]]*8))</f>
        <v>8</v>
      </c>
      <c r="N314" s="1">
        <f>MAX(-16, MIN(16, Games[[#This Row],[OppRestDiff]]*8))</f>
        <v>-8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1471.9575666057087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1415.187905041962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0.4838438701301338</v>
      </c>
      <c r="R314" s="1">
        <v>58</v>
      </c>
      <c r="S314" s="1">
        <v>48</v>
      </c>
      <c r="T314" s="1">
        <v>0</v>
      </c>
      <c r="U314" s="1">
        <f>Games[[#This Row],[PointsFor]]-Games[[#This Row],[PointsAgainst]]</f>
        <v>10</v>
      </c>
      <c r="V314" s="1">
        <f>IF(Games[[#This Row],[MOV]]&gt;0,1,IF(Games[[#This Row],[MOV]]=0,0.5,0))</f>
        <v>1</v>
      </c>
      <c r="W314" s="4">
        <f>((ABS(Games[[#This Row],[MOV]])+5)^0.6)/(12+0.01*(ABS(Games[[#This Row],[PreGmRate]]-Games[[#This Row],[OppPreGmRate]])))*IF(Games[[#This Row],[OT]]=1,0.9,1)</f>
        <v>0.40401646755775544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73</v>
      </c>
      <c r="Z314" s="4">
        <f>Games[[#This Row],[K]]*Games[[#This Row],[POMult]]</f>
        <v>73</v>
      </c>
      <c r="AA314" s="4">
        <f>(Games[[#This Row],[Keff]]*Games[[#This Row],[MOVMult]])*(Games[[#This Row],[Result]]-Games[[#This Row],[ExpectedWin%]])</f>
        <v>15.223097069776296</v>
      </c>
      <c r="AB314" s="4">
        <f>Games[[#This Row],[PreGmRate]]+Games[[#This Row],[RatingChange]]</f>
        <v>1487.180663675485</v>
      </c>
      <c r="AC314" s="2">
        <f>IF(Games[[#This Row],[Type]]="R",IF(Games[[#This Row],[Result]]&gt;0.5,1,0),0)</f>
        <v>1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37454</v>
      </c>
      <c r="B315" s="2">
        <v>2002</v>
      </c>
      <c r="C315" s="2">
        <f>COUNTIFS(Games[Team],Games[[#This Row],[Team]],Games[Season],Games[[#This Row],[Season]],Games[Date],"&lt;=" &amp; Games[[#This Row],[Date]])</f>
        <v>20</v>
      </c>
      <c r="D315" s="2" t="s">
        <v>23</v>
      </c>
      <c r="E315" s="2" t="s">
        <v>29</v>
      </c>
      <c r="F315" s="1" t="s">
        <v>80</v>
      </c>
      <c r="G315" s="1" t="s">
        <v>1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5" s="2">
        <f>Games[[#This Row],[DaysOff]]-Games[[#This Row],[OppDaysOff]]</f>
        <v>-1</v>
      </c>
      <c r="L315" s="2">
        <f>Games[[#This Row],[OppDaysOff]]-Games[[#This Row],[DaysOff]]</f>
        <v>1</v>
      </c>
      <c r="M315" s="1">
        <f>MAX(-16, MIN(16, Games[[#This Row],[RestDiff]]*8))</f>
        <v>-8</v>
      </c>
      <c r="N315" s="1">
        <f>MAX(-16, MIN(16, Games[[#This Row],[OppRestDiff]]*8))</f>
        <v>8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1415.187905041962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1471.9575666057087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0.51615612986986625</v>
      </c>
      <c r="R315" s="1">
        <v>48</v>
      </c>
      <c r="S315" s="1">
        <v>58</v>
      </c>
      <c r="T315" s="1">
        <v>0</v>
      </c>
      <c r="U315" s="1">
        <f>Games[[#This Row],[PointsFor]]-Games[[#This Row],[PointsAgainst]]</f>
        <v>-10</v>
      </c>
      <c r="V315" s="1">
        <f>IF(Games[[#This Row],[MOV]]&gt;0,1,IF(Games[[#This Row],[MOV]]=0,0.5,0))</f>
        <v>0</v>
      </c>
      <c r="W315" s="4">
        <f>((ABS(Games[[#This Row],[MOV]])+5)^0.6)/(12+0.01*(ABS(Games[[#This Row],[PreGmRate]]-Games[[#This Row],[OppPreGmRate]])))*IF(Games[[#This Row],[OT]]=1,0.9,1)</f>
        <v>0.40401646755775544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73</v>
      </c>
      <c r="Z315" s="4">
        <f>Games[[#This Row],[K]]*Games[[#This Row],[POMult]]</f>
        <v>73</v>
      </c>
      <c r="AA315" s="4">
        <f>(Games[[#This Row],[Keff]]*Games[[#This Row],[MOVMult]])*(Games[[#This Row],[Result]]-Games[[#This Row],[ExpectedWin%]])</f>
        <v>-15.223097069776296</v>
      </c>
      <c r="AB315" s="4">
        <f>Games[[#This Row],[PreGmRate]]+Games[[#This Row],[RatingChange]]</f>
        <v>1399.9648079721858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1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37454</v>
      </c>
      <c r="B316" s="2">
        <v>2002</v>
      </c>
      <c r="C316" s="2">
        <f>COUNTIFS(Games[Team],Games[[#This Row],[Team]],Games[Season],Games[[#This Row],[Season]],Games[Date],"&lt;=" &amp; Games[[#This Row],[Date]])</f>
        <v>20</v>
      </c>
      <c r="D316" s="2" t="s">
        <v>23</v>
      </c>
      <c r="E316" s="2" t="s">
        <v>29</v>
      </c>
      <c r="F316" s="1" t="s">
        <v>44</v>
      </c>
      <c r="G316" s="1" t="s">
        <v>89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6" s="2">
        <f>Games[[#This Row],[DaysOff]]-Games[[#This Row],[OppDaysOff]]</f>
        <v>-1</v>
      </c>
      <c r="L316" s="2">
        <f>Games[[#This Row],[OppDaysOff]]-Games[[#This Row],[DaysOff]]</f>
        <v>1</v>
      </c>
      <c r="M316" s="1">
        <f>MAX(-16, MIN(16, Games[[#This Row],[RestDiff]]*8))</f>
        <v>-8</v>
      </c>
      <c r="N316" s="1">
        <f>MAX(-16, MIN(16, Games[[#This Row],[OppRestDiff]]*8))</f>
        <v>8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1453.146880569285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1490.8392594194697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0.31160615697060046</v>
      </c>
      <c r="R316" s="1">
        <v>61</v>
      </c>
      <c r="S316" s="1">
        <v>73</v>
      </c>
      <c r="T316" s="1">
        <v>0</v>
      </c>
      <c r="U316" s="1">
        <f>Games[[#This Row],[PointsFor]]-Games[[#This Row],[PointsAgainst]]</f>
        <v>-12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0.44223858936607624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73</v>
      </c>
      <c r="Z316" s="4">
        <f>Games[[#This Row],[K]]*Games[[#This Row],[POMult]]</f>
        <v>73</v>
      </c>
      <c r="AA316" s="4">
        <f>(Games[[#This Row],[Keff]]*Games[[#This Row],[MOVMult]])*(Games[[#This Row],[Result]]-Games[[#This Row],[ExpectedWin%]])</f>
        <v>-10.05971151264176</v>
      </c>
      <c r="AB316" s="4">
        <f>Games[[#This Row],[PreGmRate]]+Games[[#This Row],[RatingChange]]</f>
        <v>1443.0871690566432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37454</v>
      </c>
      <c r="B317" s="2">
        <v>2002</v>
      </c>
      <c r="C317" s="2">
        <f>COUNTIFS(Games[Team],Games[[#This Row],[Team]],Games[Season],Games[[#This Row],[Season]],Games[Date],"&lt;=" &amp; Games[[#This Row],[Date]])</f>
        <v>21</v>
      </c>
      <c r="D317" s="2" t="s">
        <v>23</v>
      </c>
      <c r="E317" s="2" t="s">
        <v>29</v>
      </c>
      <c r="F317" s="1" t="s">
        <v>89</v>
      </c>
      <c r="G317" s="1" t="s">
        <v>44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7" s="2">
        <f>Games[[#This Row],[DaysOff]]-Games[[#This Row],[OppDaysOff]]</f>
        <v>1</v>
      </c>
      <c r="L317" s="2">
        <f>Games[[#This Row],[OppDaysOff]]-Games[[#This Row],[DaysOff]]</f>
        <v>-1</v>
      </c>
      <c r="M317" s="1">
        <f>MAX(-16, MIN(16, Games[[#This Row],[RestDiff]]*8))</f>
        <v>8</v>
      </c>
      <c r="N317" s="1">
        <f>MAX(-16, MIN(16, Games[[#This Row],[OppRestDiff]]*8))</f>
        <v>-8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1490.8392594194697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1453.146880569285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0.68839384302939943</v>
      </c>
      <c r="R317" s="1">
        <v>73</v>
      </c>
      <c r="S317" s="1">
        <v>61</v>
      </c>
      <c r="T317" s="1">
        <v>0</v>
      </c>
      <c r="U317" s="1">
        <f>Games[[#This Row],[PointsFor]]-Games[[#This Row],[PointsAgainst]]</f>
        <v>12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0.44223858936607624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72.849999999999994</v>
      </c>
      <c r="Z317" s="4">
        <f>Games[[#This Row],[K]]*Games[[#This Row],[POMult]]</f>
        <v>72.849999999999994</v>
      </c>
      <c r="AA317" s="4">
        <f>(Games[[#This Row],[Keff]]*Games[[#This Row],[MOVMult]])*(Games[[#This Row],[Result]]-Games[[#This Row],[ExpectedWin%]])</f>
        <v>10.039040872547293</v>
      </c>
      <c r="AB317" s="4">
        <f>Games[[#This Row],[PreGmRate]]+Games[[#This Row],[RatingChange]]</f>
        <v>1500.878300292017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37454</v>
      </c>
      <c r="B318" s="2">
        <v>2002</v>
      </c>
      <c r="C318" s="2">
        <f>COUNTIFS(Games[Team],Games[[#This Row],[Team]],Games[Season],Games[[#This Row],[Season]],Games[Date],"&lt;=" &amp; Games[[#This Row],[Date]])</f>
        <v>21</v>
      </c>
      <c r="D318" s="2" t="s">
        <v>23</v>
      </c>
      <c r="E318" s="2" t="s">
        <v>29</v>
      </c>
      <c r="F318" s="1" t="s">
        <v>2</v>
      </c>
      <c r="G318" s="1" t="s">
        <v>43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8" s="2">
        <f>Games[[#This Row],[DaysOff]]-Games[[#This Row],[OppDaysOff]]</f>
        <v>1</v>
      </c>
      <c r="L318" s="2">
        <f>Games[[#This Row],[OppDaysOff]]-Games[[#This Row],[DaysOff]]</f>
        <v>-1</v>
      </c>
      <c r="M318" s="1">
        <f>MAX(-16, MIN(16, Games[[#This Row],[RestDiff]]*8))</f>
        <v>8</v>
      </c>
      <c r="N318" s="1">
        <f>MAX(-16, MIN(16, Games[[#This Row],[OppRestDiff]]*8))</f>
        <v>-8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1649.2514994729324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1577.3148045256328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0.50566511700135686</v>
      </c>
      <c r="R318" s="1">
        <v>67</v>
      </c>
      <c r="S318" s="1">
        <v>75</v>
      </c>
      <c r="T318" s="1">
        <v>0</v>
      </c>
      <c r="U318" s="1">
        <f>Games[[#This Row],[PointsFor]]-Games[[#This Row],[PointsAgainst]]</f>
        <v>-8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0.36635364311343621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72.849999999999994</v>
      </c>
      <c r="Z318" s="4">
        <f>Games[[#This Row],[K]]*Games[[#This Row],[POMult]]</f>
        <v>72.849999999999994</v>
      </c>
      <c r="AA318" s="4">
        <f>(Games[[#This Row],[Keff]]*Games[[#This Row],[MOVMult]])*(Games[[#This Row],[Result]]-Games[[#This Row],[ExpectedWin%]])</f>
        <v>-13.495626981373196</v>
      </c>
      <c r="AB318" s="4">
        <f>Games[[#This Row],[PreGmRate]]+Games[[#This Row],[RatingChange]]</f>
        <v>1635.7558724915593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37454</v>
      </c>
      <c r="B319" s="2">
        <v>2002</v>
      </c>
      <c r="C319" s="2">
        <f>COUNTIFS(Games[Team],Games[[#This Row],[Team]],Games[Season],Games[[#This Row],[Season]],Games[Date],"&lt;=" &amp; Games[[#This Row],[Date]])</f>
        <v>20</v>
      </c>
      <c r="D319" s="2" t="s">
        <v>23</v>
      </c>
      <c r="E319" s="2" t="s">
        <v>29</v>
      </c>
      <c r="F319" s="1" t="s">
        <v>43</v>
      </c>
      <c r="G319" s="1" t="s">
        <v>2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19" s="2">
        <f>Games[[#This Row],[DaysOff]]-Games[[#This Row],[OppDaysOff]]</f>
        <v>-1</v>
      </c>
      <c r="L319" s="2">
        <f>Games[[#This Row],[OppDaysOff]]-Games[[#This Row],[DaysOff]]</f>
        <v>1</v>
      </c>
      <c r="M319" s="1">
        <f>MAX(-16, MIN(16, Games[[#This Row],[RestDiff]]*8))</f>
        <v>-8</v>
      </c>
      <c r="N319" s="1">
        <f>MAX(-16, MIN(16, Games[[#This Row],[OppRestDiff]]*8))</f>
        <v>8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1577.3148045256328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1649.2514994729324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0.49433488299864309</v>
      </c>
      <c r="R319" s="1">
        <v>75</v>
      </c>
      <c r="S319" s="1">
        <v>67</v>
      </c>
      <c r="T319" s="1">
        <v>0</v>
      </c>
      <c r="U319" s="1">
        <f>Games[[#This Row],[PointsFor]]-Games[[#This Row],[PointsAgainst]]</f>
        <v>8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0.36635364311343621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73</v>
      </c>
      <c r="Z319" s="4">
        <f>Games[[#This Row],[K]]*Games[[#This Row],[POMult]]</f>
        <v>73</v>
      </c>
      <c r="AA319" s="4">
        <f>(Games[[#This Row],[Keff]]*Games[[#This Row],[MOVMult]])*(Games[[#This Row],[Result]]-Games[[#This Row],[ExpectedWin%]])</f>
        <v>13.523414820044522</v>
      </c>
      <c r="AB319" s="4">
        <f>Games[[#This Row],[PreGmRate]]+Games[[#This Row],[RatingChange]]</f>
        <v>1590.8382193456773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37455</v>
      </c>
      <c r="B320" s="2">
        <v>2002</v>
      </c>
      <c r="C320" s="2">
        <f>COUNTIFS(Games[Team],Games[[#This Row],[Team]],Games[Season],Games[[#This Row],[Season]],Games[Date],"&lt;=" &amp; Games[[#This Row],[Date]])</f>
        <v>20</v>
      </c>
      <c r="D320" s="2" t="s">
        <v>23</v>
      </c>
      <c r="E320" s="2" t="s">
        <v>29</v>
      </c>
      <c r="F320" s="1" t="s">
        <v>71</v>
      </c>
      <c r="G320" s="1" t="s">
        <v>66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0" s="2">
        <f>Games[[#This Row],[DaysOff]]-Games[[#This Row],[OppDaysOff]]</f>
        <v>-4</v>
      </c>
      <c r="L320" s="2">
        <f>Games[[#This Row],[OppDaysOff]]-Games[[#This Row],[DaysOff]]</f>
        <v>4</v>
      </c>
      <c r="M320" s="1">
        <f>MAX(-16, MIN(16, Games[[#This Row],[RestDiff]]*8))</f>
        <v>-16</v>
      </c>
      <c r="N320" s="1">
        <f>MAX(-16, MIN(16, Games[[#This Row],[OppRestDiff]]*8))</f>
        <v>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1697.5464753325671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1530.1286249465106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0.57346070977373553</v>
      </c>
      <c r="R320" s="1">
        <v>59</v>
      </c>
      <c r="S320" s="1">
        <v>72</v>
      </c>
      <c r="T320" s="1">
        <v>0</v>
      </c>
      <c r="U320" s="1">
        <f>Games[[#This Row],[PointsFor]]-Games[[#This Row],[PointsAgainst]]</f>
        <v>-13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0.4142497530049189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73</v>
      </c>
      <c r="Z320" s="4">
        <f>Games[[#This Row],[K]]*Games[[#This Row],[POMult]]</f>
        <v>73</v>
      </c>
      <c r="AA320" s="4">
        <f>(Games[[#This Row],[Keff]]*Games[[#This Row],[MOVMult]])*(Games[[#This Row],[Result]]-Games[[#This Row],[ExpectedWin%]])</f>
        <v>-17.341584888871065</v>
      </c>
      <c r="AB320" s="4">
        <f>Games[[#This Row],[PreGmRate]]+Games[[#This Row],[RatingChange]]</f>
        <v>1680.2048904436961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37455</v>
      </c>
      <c r="B321" s="2">
        <v>2002</v>
      </c>
      <c r="C321" s="2">
        <f>COUNTIFS(Games[Team],Games[[#This Row],[Team]],Games[Season],Games[[#This Row],[Season]],Games[Date],"&lt;=" &amp; Games[[#This Row],[Date]])</f>
        <v>21</v>
      </c>
      <c r="D321" s="2" t="s">
        <v>23</v>
      </c>
      <c r="E321" s="2" t="s">
        <v>29</v>
      </c>
      <c r="F321" s="1" t="s">
        <v>66</v>
      </c>
      <c r="G321" s="1" t="s">
        <v>71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1" s="2">
        <f>Games[[#This Row],[DaysOff]]-Games[[#This Row],[OppDaysOff]]</f>
        <v>4</v>
      </c>
      <c r="L321" s="2">
        <f>Games[[#This Row],[OppDaysOff]]-Games[[#This Row],[DaysOff]]</f>
        <v>-4</v>
      </c>
      <c r="M321" s="1">
        <f>MAX(-16, MIN(16, Games[[#This Row],[RestDiff]]*8))</f>
        <v>16</v>
      </c>
      <c r="N321" s="1">
        <f>MAX(-16, MIN(16, Games[[#This Row],[OppRestDiff]]*8))</f>
        <v>-16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1530.1286249465106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1697.5464753325671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0.42653929022626441</v>
      </c>
      <c r="R321" s="1">
        <v>72</v>
      </c>
      <c r="S321" s="1">
        <v>59</v>
      </c>
      <c r="T321" s="1">
        <v>0</v>
      </c>
      <c r="U321" s="1">
        <f>Games[[#This Row],[PointsFor]]-Games[[#This Row],[PointsAgainst]]</f>
        <v>13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0.4142497530049189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72.849999999999994</v>
      </c>
      <c r="Z321" s="4">
        <f>Games[[#This Row],[K]]*Games[[#This Row],[POMult]]</f>
        <v>72.849999999999994</v>
      </c>
      <c r="AA321" s="4">
        <f>(Games[[#This Row],[Keff]]*Games[[#This Row],[MOVMult]])*(Games[[#This Row],[Result]]-Games[[#This Row],[ExpectedWin%]])</f>
        <v>17.305951495263798</v>
      </c>
      <c r="AB321" s="4">
        <f>Games[[#This Row],[PreGmRate]]+Games[[#This Row],[RatingChange]]</f>
        <v>1547.4345764417744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37455</v>
      </c>
      <c r="B322" s="2">
        <v>2002</v>
      </c>
      <c r="C322" s="2">
        <f>COUNTIFS(Games[Team],Games[[#This Row],[Team]],Games[Season],Games[[#This Row],[Season]],Games[Date],"&lt;=" &amp; Games[[#This Row],[Date]])</f>
        <v>20</v>
      </c>
      <c r="D322" s="2" t="s">
        <v>23</v>
      </c>
      <c r="E322" s="2" t="s">
        <v>29</v>
      </c>
      <c r="F322" s="1" t="s">
        <v>77</v>
      </c>
      <c r="G322" s="1" t="s">
        <v>75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2" s="2">
        <f>Games[[#This Row],[DaysOff]]-Games[[#This Row],[OppDaysOff]]</f>
        <v>1</v>
      </c>
      <c r="L322" s="2">
        <f>Games[[#This Row],[OppDaysOff]]-Games[[#This Row],[DaysOff]]</f>
        <v>-1</v>
      </c>
      <c r="M322" s="1">
        <f>MAX(-16, MIN(16, Games[[#This Row],[RestDiff]]*8))</f>
        <v>8</v>
      </c>
      <c r="N322" s="1">
        <f>MAX(-16, MIN(16, Games[[#This Row],[OppRestDiff]]*8))</f>
        <v>-8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1346.1318004781326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1539.1361433467118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0.18205864614526032</v>
      </c>
      <c r="R322" s="1">
        <v>59</v>
      </c>
      <c r="S322" s="1">
        <v>63</v>
      </c>
      <c r="T322" s="1">
        <v>0</v>
      </c>
      <c r="U322" s="1">
        <f>Games[[#This Row],[PointsFor]]-Games[[#This Row],[PointsAgainst]]</f>
        <v>-4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0.26828292660959291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73</v>
      </c>
      <c r="Z322" s="4">
        <f>Games[[#This Row],[K]]*Games[[#This Row],[POMult]]</f>
        <v>73</v>
      </c>
      <c r="AA322" s="4">
        <f>(Games[[#This Row],[Keff]]*Games[[#This Row],[MOVMult]])*(Games[[#This Row],[Result]]-Games[[#This Row],[ExpectedWin%]])</f>
        <v>-3.5655555273774424</v>
      </c>
      <c r="AB322" s="4">
        <f>Games[[#This Row],[PreGmRate]]+Games[[#This Row],[RatingChange]]</f>
        <v>1342.5662449507552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37455</v>
      </c>
      <c r="B323" s="2">
        <v>2002</v>
      </c>
      <c r="C323" s="2">
        <f>COUNTIFS(Games[Team],Games[[#This Row],[Team]],Games[Season],Games[[#This Row],[Season]],Games[Date],"&lt;=" &amp; Games[[#This Row],[Date]])</f>
        <v>21</v>
      </c>
      <c r="D323" s="2" t="s">
        <v>23</v>
      </c>
      <c r="E323" s="2" t="s">
        <v>29</v>
      </c>
      <c r="F323" s="1" t="s">
        <v>75</v>
      </c>
      <c r="G323" s="1" t="s">
        <v>77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23" s="2">
        <f>Games[[#This Row],[DaysOff]]-Games[[#This Row],[OppDaysOff]]</f>
        <v>-1</v>
      </c>
      <c r="L323" s="2">
        <f>Games[[#This Row],[OppDaysOff]]-Games[[#This Row],[DaysOff]]</f>
        <v>1</v>
      </c>
      <c r="M323" s="1">
        <f>MAX(-16, MIN(16, Games[[#This Row],[RestDiff]]*8))</f>
        <v>-8</v>
      </c>
      <c r="N323" s="1">
        <f>MAX(-16, MIN(16, Games[[#This Row],[OppRestDiff]]*8))</f>
        <v>8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1539.1361433467118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1346.1318004781326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0.81794135385473965</v>
      </c>
      <c r="R323" s="1">
        <v>63</v>
      </c>
      <c r="S323" s="1">
        <v>59</v>
      </c>
      <c r="T323" s="1">
        <v>0</v>
      </c>
      <c r="U323" s="1">
        <f>Games[[#This Row],[PointsFor]]-Games[[#This Row],[PointsAgainst]]</f>
        <v>4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0.26828292660959291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72.849999999999994</v>
      </c>
      <c r="Z323" s="4">
        <f>Games[[#This Row],[K]]*Games[[#This Row],[POMult]]</f>
        <v>72.849999999999994</v>
      </c>
      <c r="AA323" s="4">
        <f>(Games[[#This Row],[Keff]]*Games[[#This Row],[MOVMult]])*(Games[[#This Row],[Result]]-Games[[#This Row],[ExpectedWin%]])</f>
        <v>3.5582290434170778</v>
      </c>
      <c r="AB323" s="4">
        <f>Games[[#This Row],[PreGmRate]]+Games[[#This Row],[RatingChange]]</f>
        <v>1542.6943723901288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37456</v>
      </c>
      <c r="B324" s="2">
        <v>2002</v>
      </c>
      <c r="C324" s="2">
        <f>COUNTIFS(Games[Team],Games[[#This Row],[Team]],Games[Season],Games[[#This Row],[Season]],Games[Date],"&lt;=" &amp; Games[[#This Row],[Date]])</f>
        <v>20</v>
      </c>
      <c r="D324" s="2" t="s">
        <v>23</v>
      </c>
      <c r="E324" s="2" t="s">
        <v>29</v>
      </c>
      <c r="F324" s="1" t="s">
        <v>45</v>
      </c>
      <c r="G324" s="1" t="s">
        <v>64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1430.1636671194069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1570.8408005972842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0.21528708082807177</v>
      </c>
      <c r="R324" s="1">
        <v>51</v>
      </c>
      <c r="S324" s="1">
        <v>70</v>
      </c>
      <c r="T324" s="1">
        <v>0</v>
      </c>
      <c r="U324" s="1">
        <f>Games[[#This Row],[PointsFor]]-Games[[#This Row],[PointsAgainst]]</f>
        <v>-19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0.50211424544955729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73</v>
      </c>
      <c r="Z324" s="4">
        <f>Games[[#This Row],[K]]*Games[[#This Row],[POMult]]</f>
        <v>73</v>
      </c>
      <c r="AA324" s="4">
        <f>(Games[[#This Row],[Keff]]*Games[[#This Row],[MOVMult]])*(Games[[#This Row],[Result]]-Games[[#This Row],[ExpectedWin%]])</f>
        <v>-7.8912058405868324</v>
      </c>
      <c r="AB324" s="4">
        <f>Games[[#This Row],[PreGmRate]]+Games[[#This Row],[RatingChange]]</f>
        <v>1422.2724612788202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37456</v>
      </c>
      <c r="B325" s="2">
        <v>2002</v>
      </c>
      <c r="C325" s="2">
        <f>COUNTIFS(Games[Team],Games[[#This Row],[Team]],Games[Season],Games[[#This Row],[Season]],Games[Date],"&lt;=" &amp; Games[[#This Row],[Date]])</f>
        <v>21</v>
      </c>
      <c r="D325" s="2" t="s">
        <v>23</v>
      </c>
      <c r="E325" s="2" t="s">
        <v>29</v>
      </c>
      <c r="F325" s="1" t="s">
        <v>64</v>
      </c>
      <c r="G325" s="1" t="s">
        <v>45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1570.8408005972842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1430.1636671194069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0.78471291917192831</v>
      </c>
      <c r="R325" s="1">
        <v>70</v>
      </c>
      <c r="S325" s="1">
        <v>51</v>
      </c>
      <c r="T325" s="1">
        <v>0</v>
      </c>
      <c r="U325" s="1">
        <f>Games[[#This Row],[PointsFor]]-Games[[#This Row],[PointsAgainst]]</f>
        <v>19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0.50211424544955729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72.849999999999994</v>
      </c>
      <c r="Z325" s="4">
        <f>Games[[#This Row],[K]]*Games[[#This Row],[POMult]]</f>
        <v>72.849999999999994</v>
      </c>
      <c r="AA325" s="4">
        <f>(Games[[#This Row],[Keff]]*Games[[#This Row],[MOVMult]])*(Games[[#This Row],[Result]]-Games[[#This Row],[ExpectedWin%]])</f>
        <v>7.8749910340650757</v>
      </c>
      <c r="AB325" s="4">
        <f>Games[[#This Row],[PreGmRate]]+Games[[#This Row],[RatingChange]]</f>
        <v>1578.7157916313492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37456</v>
      </c>
      <c r="B326" s="2">
        <v>2002</v>
      </c>
      <c r="C326" s="2">
        <f>COUNTIFS(Games[Team],Games[[#This Row],[Team]],Games[Season],Games[[#This Row],[Season]],Games[Date],"&lt;=" &amp; Games[[#This Row],[Date]])</f>
        <v>22</v>
      </c>
      <c r="D326" s="2" t="s">
        <v>23</v>
      </c>
      <c r="E326" s="2" t="s">
        <v>29</v>
      </c>
      <c r="F326" s="1" t="s">
        <v>66</v>
      </c>
      <c r="G326" s="1" t="s">
        <v>85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6" s="2">
        <f>Games[[#This Row],[DaysOff]]-Games[[#This Row],[OppDaysOff]]</f>
        <v>-1</v>
      </c>
      <c r="L326" s="2">
        <f>Games[[#This Row],[OppDaysOff]]-Games[[#This Row],[DaysOff]]</f>
        <v>1</v>
      </c>
      <c r="M326" s="1">
        <f>MAX(-16, MIN(16, Games[[#This Row],[RestDiff]]*8))</f>
        <v>-8</v>
      </c>
      <c r="N326" s="1">
        <f>MAX(-16, MIN(16, Games[[#This Row],[OppRestDiff]]*8))</f>
        <v>8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1547.4345764417744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1414.9293650978125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0.54664275063029266</v>
      </c>
      <c r="R326" s="1">
        <v>70</v>
      </c>
      <c r="S326" s="1">
        <v>62</v>
      </c>
      <c r="T326" s="1">
        <v>0</v>
      </c>
      <c r="U326" s="1">
        <f>Games[[#This Row],[PointsFor]]-Games[[#This Row],[PointsAgainst]]</f>
        <v>8</v>
      </c>
      <c r="V326" s="1">
        <f>IF(Games[[#This Row],[MOV]]&gt;0,1,IF(Games[[#This Row],[MOV]]=0,0.5,0))</f>
        <v>1</v>
      </c>
      <c r="W326" s="4">
        <f>((ABS(Games[[#This Row],[MOV]])+5)^0.6)/(12+0.01*(ABS(Games[[#This Row],[PreGmRate]]-Games[[#This Row],[OppPreGmRate]])))*IF(Games[[#This Row],[OT]]=1,0.9,1)</f>
        <v>0.34970117792906902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72.7</v>
      </c>
      <c r="Z326" s="4">
        <f>Games[[#This Row],[K]]*Games[[#This Row],[POMult]]</f>
        <v>72.7</v>
      </c>
      <c r="AA326" s="4">
        <f>(Games[[#This Row],[Keff]]*Games[[#This Row],[MOVMult]])*(Games[[#This Row],[Result]]-Games[[#This Row],[ExpectedWin%]])</f>
        <v>11.52582631205248</v>
      </c>
      <c r="AB326" s="4">
        <f>Games[[#This Row],[PreGmRate]]+Games[[#This Row],[RatingChange]]</f>
        <v>1558.9604027538269</v>
      </c>
      <c r="AC326" s="2">
        <f>IF(Games[[#This Row],[Type]]="R",IF(Games[[#This Row],[Result]]&gt;0.5,1,0),0)</f>
        <v>1</v>
      </c>
      <c r="AD326" s="2">
        <f>IF(Games[[#This Row],[Type]]="R",IF(Games[[#This Row],[Result]]&lt;0.5,1,0),0)</f>
        <v>0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37456</v>
      </c>
      <c r="B327" s="2">
        <v>2002</v>
      </c>
      <c r="C327" s="2">
        <f>COUNTIFS(Games[Team],Games[[#This Row],[Team]],Games[Season],Games[[#This Row],[Season]],Games[Date],"&lt;=" &amp; Games[[#This Row],[Date]])</f>
        <v>21</v>
      </c>
      <c r="D327" s="2" t="s">
        <v>23</v>
      </c>
      <c r="E327" s="2" t="s">
        <v>29</v>
      </c>
      <c r="F327" s="1" t="s">
        <v>85</v>
      </c>
      <c r="G327" s="1" t="s">
        <v>66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27" s="2">
        <f>Games[[#This Row],[DaysOff]]-Games[[#This Row],[OppDaysOff]]</f>
        <v>1</v>
      </c>
      <c r="L327" s="2">
        <f>Games[[#This Row],[OppDaysOff]]-Games[[#This Row],[DaysOff]]</f>
        <v>-1</v>
      </c>
      <c r="M327" s="1">
        <f>MAX(-16, MIN(16, Games[[#This Row],[RestDiff]]*8))</f>
        <v>8</v>
      </c>
      <c r="N327" s="1">
        <f>MAX(-16, MIN(16, Games[[#This Row],[OppRestDiff]]*8))</f>
        <v>-8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1414.9293650978125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1547.4345764417744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0.45335724936970734</v>
      </c>
      <c r="R327" s="1">
        <v>62</v>
      </c>
      <c r="S327" s="1">
        <v>70</v>
      </c>
      <c r="T327" s="1">
        <v>0</v>
      </c>
      <c r="U327" s="1">
        <f>Games[[#This Row],[PointsFor]]-Games[[#This Row],[PointsAgainst]]</f>
        <v>-8</v>
      </c>
      <c r="V327" s="1">
        <f>IF(Games[[#This Row],[MOV]]&gt;0,1,IF(Games[[#This Row],[MOV]]=0,0.5,0))</f>
        <v>0</v>
      </c>
      <c r="W327" s="4">
        <f>((ABS(Games[[#This Row],[MOV]])+5)^0.6)/(12+0.01*(ABS(Games[[#This Row],[PreGmRate]]-Games[[#This Row],[OppPreGmRate]])))*IF(Games[[#This Row],[OT]]=1,0.9,1)</f>
        <v>0.34970117792906902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72.849999999999994</v>
      </c>
      <c r="Z327" s="4">
        <f>Games[[#This Row],[K]]*Games[[#This Row],[POMult]]</f>
        <v>72.849999999999994</v>
      </c>
      <c r="AA327" s="4">
        <f>(Games[[#This Row],[Keff]]*Games[[#This Row],[MOVMult]])*(Games[[#This Row],[Result]]-Games[[#This Row],[ExpectedWin%]])</f>
        <v>-11.54960724667157</v>
      </c>
      <c r="AB327" s="4">
        <f>Games[[#This Row],[PreGmRate]]+Games[[#This Row],[RatingChange]]</f>
        <v>1403.379757851141</v>
      </c>
      <c r="AC327" s="2">
        <f>IF(Games[[#This Row],[Type]]="R",IF(Games[[#This Row],[Result]]&gt;0.5,1,0),0)</f>
        <v>0</v>
      </c>
      <c r="AD327" s="2">
        <f>IF(Games[[#This Row],[Type]]="R",IF(Games[[#This Row],[Result]]&lt;0.5,1,0),0)</f>
        <v>1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37456</v>
      </c>
      <c r="B328" s="2">
        <v>2002</v>
      </c>
      <c r="C328" s="2">
        <f>COUNTIFS(Games[Team],Games[[#This Row],[Team]],Games[Season],Games[[#This Row],[Season]],Games[Date],"&lt;=" &amp; Games[[#This Row],[Date]])</f>
        <v>21</v>
      </c>
      <c r="D328" s="2" t="s">
        <v>23</v>
      </c>
      <c r="E328" s="2" t="s">
        <v>29</v>
      </c>
      <c r="F328" s="1" t="s">
        <v>83</v>
      </c>
      <c r="G328" s="1" t="s">
        <v>80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1495.4088279432169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1399.9648079721858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0.51646331510613108</v>
      </c>
      <c r="R328" s="1">
        <v>61</v>
      </c>
      <c r="S328" s="1">
        <v>58</v>
      </c>
      <c r="T328" s="1">
        <v>0</v>
      </c>
      <c r="U328" s="1">
        <f>Games[[#This Row],[PointsFor]]-Games[[#This Row],[PointsAgainst]]</f>
        <v>3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0.26880376145179669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72.849999999999994</v>
      </c>
      <c r="Z328" s="4">
        <f>Games[[#This Row],[K]]*Games[[#This Row],[POMult]]</f>
        <v>72.849999999999994</v>
      </c>
      <c r="AA328" s="4">
        <f>(Games[[#This Row],[Keff]]*Games[[#This Row],[MOVMult]])*(Games[[#This Row],[Result]]-Games[[#This Row],[ExpectedWin%]])</f>
        <v>9.4687865461015885</v>
      </c>
      <c r="AB328" s="4">
        <f>Games[[#This Row],[PreGmRate]]+Games[[#This Row],[RatingChange]]</f>
        <v>1504.8776144893186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37456</v>
      </c>
      <c r="B329" s="2">
        <v>2002</v>
      </c>
      <c r="C329" s="2">
        <f>COUNTIFS(Games[Team],Games[[#This Row],[Team]],Games[Season],Games[[#This Row],[Season]],Games[Date],"&lt;=" &amp; Games[[#This Row],[Date]])</f>
        <v>21</v>
      </c>
      <c r="D329" s="2" t="s">
        <v>23</v>
      </c>
      <c r="E329" s="2" t="s">
        <v>29</v>
      </c>
      <c r="F329" s="1" t="s">
        <v>80</v>
      </c>
      <c r="G329" s="1" t="s">
        <v>83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1399.9648079721858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1495.4088279432169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0.48353668489386886</v>
      </c>
      <c r="R329" s="1">
        <v>58</v>
      </c>
      <c r="S329" s="1">
        <v>61</v>
      </c>
      <c r="T329" s="1">
        <v>0</v>
      </c>
      <c r="U329" s="1">
        <f>Games[[#This Row],[PointsFor]]-Games[[#This Row],[PointsAgainst]]</f>
        <v>-3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0.26880376145179669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72.849999999999994</v>
      </c>
      <c r="Z329" s="4">
        <f>Games[[#This Row],[K]]*Games[[#This Row],[POMult]]</f>
        <v>72.849999999999994</v>
      </c>
      <c r="AA329" s="4">
        <f>(Games[[#This Row],[Keff]]*Games[[#This Row],[MOVMult]])*(Games[[#This Row],[Result]]-Games[[#This Row],[ExpectedWin%]])</f>
        <v>-9.4687865461015885</v>
      </c>
      <c r="AB329" s="4">
        <f>Games[[#This Row],[PreGmRate]]+Games[[#This Row],[RatingChange]]</f>
        <v>1390.4960214260841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37456</v>
      </c>
      <c r="B330" s="2">
        <v>2002</v>
      </c>
      <c r="C330" s="2">
        <f>COUNTIFS(Games[Team],Games[[#This Row],[Team]],Games[Season],Games[[#This Row],[Season]],Games[Date],"&lt;=" &amp; Games[[#This Row],[Date]])</f>
        <v>21</v>
      </c>
      <c r="D330" s="2" t="s">
        <v>23</v>
      </c>
      <c r="E330" s="2" t="s">
        <v>29</v>
      </c>
      <c r="F330" s="1" t="s">
        <v>43</v>
      </c>
      <c r="G330" s="1" t="s">
        <v>79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1590.8382193456773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1453.1582442914207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0.57664280789616962</v>
      </c>
      <c r="R330" s="1">
        <v>73</v>
      </c>
      <c r="S330" s="1">
        <v>84</v>
      </c>
      <c r="T330" s="1">
        <v>0</v>
      </c>
      <c r="U330" s="1">
        <f>Games[[#This Row],[PointsFor]]-Games[[#This Row],[PointsAgainst]]</f>
        <v>-11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0.39456609514375801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72.849999999999994</v>
      </c>
      <c r="Z330" s="4">
        <f>Games[[#This Row],[K]]*Games[[#This Row],[POMult]]</f>
        <v>72.849999999999994</v>
      </c>
      <c r="AA330" s="4">
        <f>(Games[[#This Row],[Keff]]*Games[[#This Row],[MOVMult]])*(Games[[#This Row],[Result]]-Games[[#This Row],[ExpectedWin%]])</f>
        <v>-16.57510161816499</v>
      </c>
      <c r="AB330" s="4">
        <f>Games[[#This Row],[PreGmRate]]+Games[[#This Row],[RatingChange]]</f>
        <v>1574.2631177275123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37456</v>
      </c>
      <c r="B331" s="2">
        <v>2002</v>
      </c>
      <c r="C331" s="2">
        <f>COUNTIFS(Games[Team],Games[[#This Row],[Team]],Games[Season],Games[[#This Row],[Season]],Games[Date],"&lt;=" &amp; Games[[#This Row],[Date]])</f>
        <v>20</v>
      </c>
      <c r="D331" s="2" t="s">
        <v>23</v>
      </c>
      <c r="E331" s="2" t="s">
        <v>29</v>
      </c>
      <c r="F331" s="1" t="s">
        <v>79</v>
      </c>
      <c r="G331" s="1" t="s">
        <v>43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1453.1582442914207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1590.8382193456773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0.42335719210383038</v>
      </c>
      <c r="R331" s="1">
        <v>84</v>
      </c>
      <c r="S331" s="1">
        <v>73</v>
      </c>
      <c r="T331" s="1">
        <v>0</v>
      </c>
      <c r="U331" s="1">
        <f>Games[[#This Row],[PointsFor]]-Games[[#This Row],[PointsAgainst]]</f>
        <v>11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0.39456609514375801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73</v>
      </c>
      <c r="Z331" s="4">
        <f>Games[[#This Row],[K]]*Games[[#This Row],[POMult]]</f>
        <v>73</v>
      </c>
      <c r="AA331" s="4">
        <f>(Games[[#This Row],[Keff]]*Games[[#This Row],[MOVMult]])*(Games[[#This Row],[Result]]-Games[[#This Row],[ExpectedWin%]])</f>
        <v>16.609230173315641</v>
      </c>
      <c r="AB331" s="4">
        <f>Games[[#This Row],[PreGmRate]]+Games[[#This Row],[RatingChange]]</f>
        <v>1469.7674744647363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37456</v>
      </c>
      <c r="B332" s="2">
        <v>2002</v>
      </c>
      <c r="C332" s="2">
        <f>COUNTIFS(Games[Team],Games[[#This Row],[Team]],Games[Season],Games[[#This Row],[Season]],Games[Date],"&lt;=" &amp; Games[[#This Row],[Date]])</f>
        <v>22</v>
      </c>
      <c r="D332" s="2" t="s">
        <v>23</v>
      </c>
      <c r="E332" s="2" t="s">
        <v>29</v>
      </c>
      <c r="F332" s="1" t="s">
        <v>2</v>
      </c>
      <c r="G332" s="1" t="s">
        <v>89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1635.7558724915593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1500.878300292017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0.57269979726269793</v>
      </c>
      <c r="R332" s="1">
        <v>60</v>
      </c>
      <c r="S332" s="1">
        <v>70</v>
      </c>
      <c r="T332" s="1">
        <v>0</v>
      </c>
      <c r="U332" s="1">
        <f>Games[[#This Row],[PointsFor]]-Games[[#This Row],[PointsAgainst]]</f>
        <v>-10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0.38037618563183079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72.7</v>
      </c>
      <c r="Z332" s="4">
        <f>Games[[#This Row],[K]]*Games[[#This Row],[POMult]]</f>
        <v>72.7</v>
      </c>
      <c r="AA332" s="4">
        <f>(Games[[#This Row],[Keff]]*Games[[#This Row],[MOVMult]])*(Games[[#This Row],[Result]]-Games[[#This Row],[ExpectedWin%]])</f>
        <v>-15.837067191509801</v>
      </c>
      <c r="AB332" s="4">
        <f>Games[[#This Row],[PreGmRate]]+Games[[#This Row],[RatingChange]]</f>
        <v>1619.9188053000496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37456</v>
      </c>
      <c r="B333" s="2">
        <v>2002</v>
      </c>
      <c r="C333" s="2">
        <f>COUNTIFS(Games[Team],Games[[#This Row],[Team]],Games[Season],Games[[#This Row],[Season]],Games[Date],"&lt;=" &amp; Games[[#This Row],[Date]])</f>
        <v>22</v>
      </c>
      <c r="D333" s="2" t="s">
        <v>23</v>
      </c>
      <c r="E333" s="2" t="s">
        <v>29</v>
      </c>
      <c r="F333" s="1" t="s">
        <v>89</v>
      </c>
      <c r="G333" s="1" t="s">
        <v>2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1500.878300292017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1635.7558724915593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0.42730020273730213</v>
      </c>
      <c r="R333" s="1">
        <v>70</v>
      </c>
      <c r="S333" s="1">
        <v>60</v>
      </c>
      <c r="T333" s="1">
        <v>0</v>
      </c>
      <c r="U333" s="1">
        <f>Games[[#This Row],[PointsFor]]-Games[[#This Row],[PointsAgainst]]</f>
        <v>10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0.38037618563183079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72.7</v>
      </c>
      <c r="Z333" s="4">
        <f>Games[[#This Row],[K]]*Games[[#This Row],[POMult]]</f>
        <v>72.7</v>
      </c>
      <c r="AA333" s="4">
        <f>(Games[[#This Row],[Keff]]*Games[[#This Row],[MOVMult]])*(Games[[#This Row],[Result]]-Games[[#This Row],[ExpectedWin%]])</f>
        <v>15.837067191509801</v>
      </c>
      <c r="AB333" s="4">
        <f>Games[[#This Row],[PreGmRate]]+Games[[#This Row],[RatingChange]]</f>
        <v>1516.7153674835267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37456</v>
      </c>
      <c r="B334" s="2">
        <v>2002</v>
      </c>
      <c r="C334" s="2">
        <f>COUNTIFS(Games[Team],Games[[#This Row],[Team]],Games[Season],Games[[#This Row],[Season]],Games[Date],"&lt;=" &amp; Games[[#This Row],[Date]])</f>
        <v>21</v>
      </c>
      <c r="D334" s="2" t="s">
        <v>23</v>
      </c>
      <c r="E334" s="2" t="s">
        <v>29</v>
      </c>
      <c r="F334" s="1" t="s">
        <v>44</v>
      </c>
      <c r="G334" s="1" t="s">
        <v>87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34" s="2">
        <f>Games[[#This Row],[DaysOff]]-Games[[#This Row],[OppDaysOff]]</f>
        <v>-5</v>
      </c>
      <c r="L334" s="2">
        <f>Games[[#This Row],[OppDaysOff]]-Games[[#This Row],[DaysOff]]</f>
        <v>5</v>
      </c>
      <c r="M334" s="1">
        <f>MAX(-16, MIN(16, Games[[#This Row],[RestDiff]]*8))</f>
        <v>-16</v>
      </c>
      <c r="N334" s="1">
        <f>MAX(-16, MIN(16, Games[[#This Row],[OppRestDiff]]*8))</f>
        <v>16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1443.0871690566432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1463.2421311338528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0.31350772638932972</v>
      </c>
      <c r="R334" s="1">
        <v>48</v>
      </c>
      <c r="S334" s="1">
        <v>89</v>
      </c>
      <c r="T334" s="1">
        <v>0</v>
      </c>
      <c r="U334" s="1">
        <f>Games[[#This Row],[PointsFor]]-Games[[#This Row],[PointsAgainst]]</f>
        <v>-41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0.81515408368410813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72.849999999999994</v>
      </c>
      <c r="Z334" s="4">
        <f>Games[[#This Row],[K]]*Games[[#This Row],[POMult]]</f>
        <v>72.849999999999994</v>
      </c>
      <c r="AA334" s="4">
        <f>(Games[[#This Row],[Keff]]*Games[[#This Row],[MOVMult]])*(Games[[#This Row],[Result]]-Games[[#This Row],[ExpectedWin%]])</f>
        <v>-18.61733498507818</v>
      </c>
      <c r="AB334" s="4">
        <f>Games[[#This Row],[PreGmRate]]+Games[[#This Row],[RatingChange]]</f>
        <v>1424.4698340715649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37456</v>
      </c>
      <c r="B335" s="2">
        <v>2002</v>
      </c>
      <c r="C335" s="2">
        <f>COUNTIFS(Games[Team],Games[[#This Row],[Team]],Games[Season],Games[[#This Row],[Season]],Games[Date],"&lt;=" &amp; Games[[#This Row],[Date]])</f>
        <v>21</v>
      </c>
      <c r="D335" s="2" t="s">
        <v>23</v>
      </c>
      <c r="E335" s="2" t="s">
        <v>29</v>
      </c>
      <c r="F335" s="1" t="s">
        <v>87</v>
      </c>
      <c r="G335" s="1" t="s">
        <v>44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6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5</v>
      </c>
      <c r="L335" s="2">
        <f>Games[[#This Row],[OppDaysOff]]-Games[[#This Row],[DaysOff]]</f>
        <v>-5</v>
      </c>
      <c r="M335" s="1">
        <f>MAX(-16, MIN(16, Games[[#This Row],[RestDiff]]*8))</f>
        <v>16</v>
      </c>
      <c r="N335" s="1">
        <f>MAX(-16, MIN(16, Games[[#This Row],[OppRestDiff]]*8))</f>
        <v>-16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1463.2421311338528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1443.0871690566432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0.68649227361067033</v>
      </c>
      <c r="R335" s="1">
        <v>89</v>
      </c>
      <c r="S335" s="1">
        <v>48</v>
      </c>
      <c r="T335" s="1">
        <v>0</v>
      </c>
      <c r="U335" s="1">
        <f>Games[[#This Row],[PointsFor]]-Games[[#This Row],[PointsAgainst]]</f>
        <v>41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0.81515408368410813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72.849999999999994</v>
      </c>
      <c r="Z335" s="4">
        <f>Games[[#This Row],[K]]*Games[[#This Row],[POMult]]</f>
        <v>72.849999999999994</v>
      </c>
      <c r="AA335" s="4">
        <f>(Games[[#This Row],[Keff]]*Games[[#This Row],[MOVMult]])*(Games[[#This Row],[Result]]-Games[[#This Row],[ExpectedWin%]])</f>
        <v>18.617334985078177</v>
      </c>
      <c r="AB335" s="4">
        <f>Games[[#This Row],[PreGmRate]]+Games[[#This Row],[RatingChange]]</f>
        <v>1481.8594661189311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37457</v>
      </c>
      <c r="B336" s="2">
        <v>2002</v>
      </c>
      <c r="C336" s="2">
        <f>COUNTIFS(Games[Team],Games[[#This Row],[Team]],Games[Season],Games[[#This Row],[Season]],Games[Date],"&lt;=" &amp; Games[[#This Row],[Date]])</f>
        <v>21</v>
      </c>
      <c r="D336" s="2" t="s">
        <v>23</v>
      </c>
      <c r="E336" s="2" t="s">
        <v>29</v>
      </c>
      <c r="F336" s="1" t="s">
        <v>71</v>
      </c>
      <c r="G336" s="1" t="s">
        <v>1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6" s="2">
        <f>Games[[#This Row],[DaysOff]]-Games[[#This Row],[OppDaysOff]]</f>
        <v>-1</v>
      </c>
      <c r="L336" s="2">
        <f>Games[[#This Row],[OppDaysOff]]-Games[[#This Row],[DaysOff]]</f>
        <v>1</v>
      </c>
      <c r="M336" s="1">
        <f>MAX(-16, MIN(16, Games[[#This Row],[RestDiff]]*8))</f>
        <v>-8</v>
      </c>
      <c r="N336" s="1">
        <f>MAX(-16, MIN(16, Games[[#This Row],[OppRestDiff]]*8))</f>
        <v>8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1680.2048904436961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1487.180663675485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0.63076276970935163</v>
      </c>
      <c r="R336" s="1">
        <v>63</v>
      </c>
      <c r="S336" s="1">
        <v>50</v>
      </c>
      <c r="T336" s="1">
        <v>0</v>
      </c>
      <c r="U336" s="1">
        <f>Games[[#This Row],[PointsFor]]-Games[[#This Row],[PointsAgainst]]</f>
        <v>13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0.40663507201960142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72.849999999999994</v>
      </c>
      <c r="Z336" s="4">
        <f>Games[[#This Row],[K]]*Games[[#This Row],[POMult]]</f>
        <v>72.849999999999994</v>
      </c>
      <c r="AA336" s="4">
        <f>(Games[[#This Row],[Keff]]*Games[[#This Row],[MOVMult]])*(Games[[#This Row],[Result]]-Games[[#This Row],[ExpectedWin%]])</f>
        <v>10.938049243243849</v>
      </c>
      <c r="AB336" s="4">
        <f>Games[[#This Row],[PreGmRate]]+Games[[#This Row],[RatingChange]]</f>
        <v>1691.1429396869398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37457</v>
      </c>
      <c r="B337" s="2">
        <v>2002</v>
      </c>
      <c r="C337" s="2">
        <f>COUNTIFS(Games[Team],Games[[#This Row],[Team]],Games[Season],Games[[#This Row],[Season]],Games[Date],"&lt;=" &amp; Games[[#This Row],[Date]])</f>
        <v>21</v>
      </c>
      <c r="D337" s="2" t="s">
        <v>23</v>
      </c>
      <c r="E337" s="2" t="s">
        <v>29</v>
      </c>
      <c r="F337" s="1" t="s">
        <v>1</v>
      </c>
      <c r="G337" s="1" t="s">
        <v>71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1</v>
      </c>
      <c r="L337" s="2">
        <f>Games[[#This Row],[OppDaysOff]]-Games[[#This Row],[DaysOff]]</f>
        <v>-1</v>
      </c>
      <c r="M337" s="1">
        <f>MAX(-16, MIN(16, Games[[#This Row],[RestDiff]]*8))</f>
        <v>8</v>
      </c>
      <c r="N337" s="1">
        <f>MAX(-16, MIN(16, Games[[#This Row],[OppRestDiff]]*8))</f>
        <v>-8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1487.180663675485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1680.2048904436961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0.36923723029064837</v>
      </c>
      <c r="R337" s="1">
        <v>50</v>
      </c>
      <c r="S337" s="1">
        <v>63</v>
      </c>
      <c r="T337" s="1">
        <v>0</v>
      </c>
      <c r="U337" s="1">
        <f>Games[[#This Row],[PointsFor]]-Games[[#This Row],[PointsAgainst]]</f>
        <v>-13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0.40663507201960142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72.849999999999994</v>
      </c>
      <c r="Z337" s="4">
        <f>Games[[#This Row],[K]]*Games[[#This Row],[POMult]]</f>
        <v>72.849999999999994</v>
      </c>
      <c r="AA337" s="4">
        <f>(Games[[#This Row],[Keff]]*Games[[#This Row],[MOVMult]])*(Games[[#This Row],[Result]]-Games[[#This Row],[ExpectedWin%]])</f>
        <v>-10.938049243243849</v>
      </c>
      <c r="AB337" s="4">
        <f>Games[[#This Row],[PreGmRate]]+Games[[#This Row],[RatingChange]]</f>
        <v>1476.2426144322412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37457</v>
      </c>
      <c r="B338" s="2">
        <v>2002</v>
      </c>
      <c r="C338" s="2">
        <f>COUNTIFS(Games[Team],Games[[#This Row],[Team]],Games[Season],Games[[#This Row],[Season]],Games[Date],"&lt;=" &amp; Games[[#This Row],[Date]])</f>
        <v>22</v>
      </c>
      <c r="D338" s="2" t="s">
        <v>23</v>
      </c>
      <c r="E338" s="2" t="s">
        <v>29</v>
      </c>
      <c r="F338" s="1" t="s">
        <v>83</v>
      </c>
      <c r="G338" s="1" t="s">
        <v>77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-1</v>
      </c>
      <c r="L338" s="2">
        <f>Games[[#This Row],[OppDaysOff]]-Games[[#This Row],[DaysOff]]</f>
        <v>1</v>
      </c>
      <c r="M338" s="1">
        <f>MAX(-16, MIN(16, Games[[#This Row],[RestDiff]]*8))</f>
        <v>-8</v>
      </c>
      <c r="N338" s="1">
        <f>MAX(-16, MIN(16, Games[[#This Row],[OppRestDiff]]*8))</f>
        <v>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1504.8776144893186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1342.5662449507552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0.58872402797252932</v>
      </c>
      <c r="R338" s="1">
        <v>48</v>
      </c>
      <c r="S338" s="1">
        <v>69</v>
      </c>
      <c r="T338" s="1">
        <v>0</v>
      </c>
      <c r="U338" s="1">
        <f>Games[[#This Row],[PointsFor]]-Games[[#This Row],[PointsAgainst]]</f>
        <v>-21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0.5184508939128335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72.7</v>
      </c>
      <c r="Z338" s="4">
        <f>Games[[#This Row],[K]]*Games[[#This Row],[POMult]]</f>
        <v>72.7</v>
      </c>
      <c r="AA338" s="4">
        <f>(Games[[#This Row],[Keff]]*Games[[#This Row],[MOVMult]])*(Games[[#This Row],[Result]]-Games[[#This Row],[ExpectedWin%]])</f>
        <v>-22.189821046062395</v>
      </c>
      <c r="AB338" s="4">
        <f>Games[[#This Row],[PreGmRate]]+Games[[#This Row],[RatingChange]]</f>
        <v>1482.6877934432562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37457</v>
      </c>
      <c r="B339" s="2">
        <v>2002</v>
      </c>
      <c r="C339" s="2">
        <f>COUNTIFS(Games[Team],Games[[#This Row],[Team]],Games[Season],Games[[#This Row],[Season]],Games[Date],"&lt;=" &amp; Games[[#This Row],[Date]])</f>
        <v>21</v>
      </c>
      <c r="D339" s="2" t="s">
        <v>23</v>
      </c>
      <c r="E339" s="2" t="s">
        <v>29</v>
      </c>
      <c r="F339" s="1" t="s">
        <v>77</v>
      </c>
      <c r="G339" s="1" t="s">
        <v>83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39" s="2">
        <f>Games[[#This Row],[DaysOff]]-Games[[#This Row],[OppDaysOff]]</f>
        <v>1</v>
      </c>
      <c r="L339" s="2">
        <f>Games[[#This Row],[OppDaysOff]]-Games[[#This Row],[DaysOff]]</f>
        <v>-1</v>
      </c>
      <c r="M339" s="1">
        <f>MAX(-16, MIN(16, Games[[#This Row],[RestDiff]]*8))</f>
        <v>8</v>
      </c>
      <c r="N339" s="1">
        <f>MAX(-16, MIN(16, Games[[#This Row],[OppRestDiff]]*8))</f>
        <v>-8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1342.5662449507552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1504.8776144893186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0.41127597202747074</v>
      </c>
      <c r="R339" s="1">
        <v>69</v>
      </c>
      <c r="S339" s="1">
        <v>48</v>
      </c>
      <c r="T339" s="1">
        <v>0</v>
      </c>
      <c r="U339" s="1">
        <f>Games[[#This Row],[PointsFor]]-Games[[#This Row],[PointsAgainst]]</f>
        <v>21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0.5184508939128335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72.849999999999994</v>
      </c>
      <c r="Z339" s="4">
        <f>Games[[#This Row],[K]]*Games[[#This Row],[POMult]]</f>
        <v>72.849999999999994</v>
      </c>
      <c r="AA339" s="4">
        <f>(Games[[#This Row],[Keff]]*Games[[#This Row],[MOVMult]])*(Games[[#This Row],[Result]]-Games[[#This Row],[ExpectedWin%]])</f>
        <v>22.235604720847938</v>
      </c>
      <c r="AB339" s="4">
        <f>Games[[#This Row],[PreGmRate]]+Games[[#This Row],[RatingChange]]</f>
        <v>1364.8018496716031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37457</v>
      </c>
      <c r="B340" s="2">
        <v>2002</v>
      </c>
      <c r="C340" s="2">
        <f>COUNTIFS(Games[Team],Games[[#This Row],[Team]],Games[Season],Games[[#This Row],[Season]],Games[Date],"&lt;=" &amp; Games[[#This Row],[Date]])</f>
        <v>23</v>
      </c>
      <c r="D340" s="2" t="s">
        <v>23</v>
      </c>
      <c r="E340" s="2" t="s">
        <v>29</v>
      </c>
      <c r="F340" s="1" t="s">
        <v>2</v>
      </c>
      <c r="G340" s="1" t="s">
        <v>87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1619.9188053000496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1481.8594661189311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0.57717583945766027</v>
      </c>
      <c r="R340" s="1">
        <v>56</v>
      </c>
      <c r="S340" s="1">
        <v>54</v>
      </c>
      <c r="T340" s="1">
        <v>0</v>
      </c>
      <c r="U340" s="1">
        <f>Games[[#This Row],[PointsFor]]-Games[[#This Row],[PointsAgainst]]</f>
        <v>2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0.2402057782940358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72.55</v>
      </c>
      <c r="Z340" s="4">
        <f>Games[[#This Row],[K]]*Games[[#This Row],[POMult]]</f>
        <v>72.55</v>
      </c>
      <c r="AA340" s="4">
        <f>(Games[[#This Row],[Keff]]*Games[[#This Row],[MOVMult]])*(Games[[#This Row],[Result]]-Games[[#This Row],[ExpectedWin%]])</f>
        <v>7.3685267162613703</v>
      </c>
      <c r="AB340" s="4">
        <f>Games[[#This Row],[PreGmRate]]+Games[[#This Row],[RatingChange]]</f>
        <v>1627.287332016311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37457</v>
      </c>
      <c r="B341" s="2">
        <v>2002</v>
      </c>
      <c r="C341" s="2">
        <f>COUNTIFS(Games[Team],Games[[#This Row],[Team]],Games[Season],Games[[#This Row],[Season]],Games[Date],"&lt;=" &amp; Games[[#This Row],[Date]])</f>
        <v>22</v>
      </c>
      <c r="D341" s="2" t="s">
        <v>23</v>
      </c>
      <c r="E341" s="2" t="s">
        <v>29</v>
      </c>
      <c r="F341" s="1" t="s">
        <v>87</v>
      </c>
      <c r="G341" s="1" t="s">
        <v>2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1481.8594661189311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1619.9188053000496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0.42282416054233973</v>
      </c>
      <c r="R341" s="1">
        <v>54</v>
      </c>
      <c r="S341" s="1">
        <v>56</v>
      </c>
      <c r="T341" s="1">
        <v>0</v>
      </c>
      <c r="U341" s="1">
        <f>Games[[#This Row],[PointsFor]]-Games[[#This Row],[PointsAgainst]]</f>
        <v>-2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0.2402057782940358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72.7</v>
      </c>
      <c r="Z341" s="4">
        <f>Games[[#This Row],[K]]*Games[[#This Row],[POMult]]</f>
        <v>72.7</v>
      </c>
      <c r="AA341" s="4">
        <f>(Games[[#This Row],[Keff]]*Games[[#This Row],[MOVMult]])*(Games[[#This Row],[Result]]-Games[[#This Row],[ExpectedWin%]])</f>
        <v>-7.3837614372460614</v>
      </c>
      <c r="AB341" s="4">
        <f>Games[[#This Row],[PreGmRate]]+Games[[#This Row],[RatingChange]]</f>
        <v>1474.4757046816851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37457</v>
      </c>
      <c r="B342" s="2">
        <v>2002</v>
      </c>
      <c r="C342" s="2">
        <f>COUNTIFS(Games[Team],Games[[#This Row],[Team]],Games[Season],Games[[#This Row],[Season]],Games[Date],"&lt;=" &amp; Games[[#This Row],[Date]])</f>
        <v>22</v>
      </c>
      <c r="D342" s="2" t="s">
        <v>23</v>
      </c>
      <c r="E342" s="2" t="s">
        <v>29</v>
      </c>
      <c r="F342" s="1" t="s">
        <v>43</v>
      </c>
      <c r="G342" s="1" t="s">
        <v>75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1574.2631177275123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1542.6943723901288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0.40277352453955673</v>
      </c>
      <c r="R342" s="1">
        <v>83</v>
      </c>
      <c r="S342" s="1">
        <v>73</v>
      </c>
      <c r="T342" s="1">
        <v>0</v>
      </c>
      <c r="U342" s="1">
        <f>Games[[#This Row],[PointsFor]]-Games[[#This Row],[PointsAgainst]]</f>
        <v>10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0.41228363509634458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72.7</v>
      </c>
      <c r="Z342" s="4">
        <f>Games[[#This Row],[K]]*Games[[#This Row],[POMult]]</f>
        <v>72.7</v>
      </c>
      <c r="AA342" s="4">
        <f>(Games[[#This Row],[Keff]]*Games[[#This Row],[MOVMult]])*(Games[[#This Row],[Result]]-Games[[#This Row],[ExpectedWin%]])</f>
        <v>17.900681255654906</v>
      </c>
      <c r="AB342" s="4">
        <f>Games[[#This Row],[PreGmRate]]+Games[[#This Row],[RatingChange]]</f>
        <v>1592.1637989831672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37457</v>
      </c>
      <c r="B343" s="2">
        <v>2002</v>
      </c>
      <c r="C343" s="2">
        <f>COUNTIFS(Games[Team],Games[[#This Row],[Team]],Games[Season],Games[[#This Row],[Season]],Games[Date],"&lt;=" &amp; Games[[#This Row],[Date]])</f>
        <v>22</v>
      </c>
      <c r="D343" s="2" t="s">
        <v>23</v>
      </c>
      <c r="E343" s="2" t="s">
        <v>29</v>
      </c>
      <c r="F343" s="1" t="s">
        <v>75</v>
      </c>
      <c r="G343" s="1" t="s">
        <v>43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1542.6943723901288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1574.2631177275123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0.59722647546044316</v>
      </c>
      <c r="R343" s="1">
        <v>73</v>
      </c>
      <c r="S343" s="1">
        <v>83</v>
      </c>
      <c r="T343" s="1">
        <v>0</v>
      </c>
      <c r="U343" s="1">
        <f>Games[[#This Row],[PointsFor]]-Games[[#This Row],[PointsAgainst]]</f>
        <v>-10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0.41228363509634458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72.7</v>
      </c>
      <c r="Z343" s="4">
        <f>Games[[#This Row],[K]]*Games[[#This Row],[POMult]]</f>
        <v>72.7</v>
      </c>
      <c r="AA343" s="4">
        <f>(Games[[#This Row],[Keff]]*Games[[#This Row],[MOVMult]])*(Games[[#This Row],[Result]]-Games[[#This Row],[ExpectedWin%]])</f>
        <v>-17.900681255654902</v>
      </c>
      <c r="AB343" s="4">
        <f>Games[[#This Row],[PreGmRate]]+Games[[#This Row],[RatingChange]]</f>
        <v>1524.7936911344739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37458</v>
      </c>
      <c r="B344" s="2">
        <v>2002</v>
      </c>
      <c r="C344" s="2">
        <f>COUNTIFS(Games[Team],Games[[#This Row],[Team]],Games[Season],Games[[#This Row],[Season]],Games[Date],"&lt;=" &amp; Games[[#This Row],[Date]])</f>
        <v>23</v>
      </c>
      <c r="D344" s="2" t="s">
        <v>23</v>
      </c>
      <c r="E344" s="2" t="s">
        <v>29</v>
      </c>
      <c r="F344" s="1" t="s">
        <v>89</v>
      </c>
      <c r="G344" s="1" t="s">
        <v>44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1516.7153674835267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1424.4698340715649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0.51186404912027472</v>
      </c>
      <c r="R344" s="1">
        <v>87</v>
      </c>
      <c r="S344" s="1">
        <v>75</v>
      </c>
      <c r="T344" s="1">
        <v>0</v>
      </c>
      <c r="U344" s="1">
        <f>Games[[#This Row],[PointsFor]]-Games[[#This Row],[PointsAgainst]]</f>
        <v>12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0.42356914188486078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72.55</v>
      </c>
      <c r="Z344" s="4">
        <f>Games[[#This Row],[K]]*Games[[#This Row],[POMult]]</f>
        <v>72.55</v>
      </c>
      <c r="AA344" s="4">
        <f>(Games[[#This Row],[Keff]]*Games[[#This Row],[MOVMult]])*(Games[[#This Row],[Result]]-Games[[#This Row],[ExpectedWin%]])</f>
        <v>15.000389089494357</v>
      </c>
      <c r="AB344" s="4">
        <f>Games[[#This Row],[PreGmRate]]+Games[[#This Row],[RatingChange]]</f>
        <v>1531.7157565730211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37458</v>
      </c>
      <c r="B345" s="2">
        <v>2002</v>
      </c>
      <c r="C345" s="2">
        <f>COUNTIFS(Games[Team],Games[[#This Row],[Team]],Games[Season],Games[[#This Row],[Season]],Games[Date],"&lt;=" &amp; Games[[#This Row],[Date]])</f>
        <v>22</v>
      </c>
      <c r="D345" s="2" t="s">
        <v>23</v>
      </c>
      <c r="E345" s="2" t="s">
        <v>29</v>
      </c>
      <c r="F345" s="1" t="s">
        <v>44</v>
      </c>
      <c r="G345" s="1" t="s">
        <v>89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1424.4698340715649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1516.7153674835267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0.48813595087972533</v>
      </c>
      <c r="R345" s="1">
        <v>75</v>
      </c>
      <c r="S345" s="1">
        <v>87</v>
      </c>
      <c r="T345" s="1">
        <v>0</v>
      </c>
      <c r="U345" s="1">
        <f>Games[[#This Row],[PointsFor]]-Games[[#This Row],[PointsAgainst]]</f>
        <v>-12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0.42356914188486078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72.7</v>
      </c>
      <c r="Z345" s="4">
        <f>Games[[#This Row],[K]]*Games[[#This Row],[POMult]]</f>
        <v>72.7</v>
      </c>
      <c r="AA345" s="4">
        <f>(Games[[#This Row],[Keff]]*Games[[#This Row],[MOVMult]])*(Games[[#This Row],[Result]]-Games[[#This Row],[ExpectedWin%]])</f>
        <v>-15.031402988369953</v>
      </c>
      <c r="AB345" s="4">
        <f>Games[[#This Row],[PreGmRate]]+Games[[#This Row],[RatingChange]]</f>
        <v>1409.4384310831949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37458</v>
      </c>
      <c r="B346" s="2">
        <v>2002</v>
      </c>
      <c r="C346" s="2">
        <f>COUNTIFS(Games[Team],Games[[#This Row],[Team]],Games[Season],Games[[#This Row],[Season]],Games[Date],"&lt;=" &amp; Games[[#This Row],[Date]])</f>
        <v>21</v>
      </c>
      <c r="D346" s="2" t="s">
        <v>23</v>
      </c>
      <c r="E346" s="2" t="s">
        <v>29</v>
      </c>
      <c r="F346" s="1" t="s">
        <v>79</v>
      </c>
      <c r="G346" s="1" t="s">
        <v>45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1469.7674744647363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1422.2724612788202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0.44765757359293079</v>
      </c>
      <c r="R346" s="1">
        <v>60</v>
      </c>
      <c r="S346" s="1">
        <v>62</v>
      </c>
      <c r="T346" s="1">
        <v>0</v>
      </c>
      <c r="U346" s="1">
        <f>Games[[#This Row],[PointsFor]]-Games[[#This Row],[PointsAgainst]]</f>
        <v>-2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0.25764398380300674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72.849999999999994</v>
      </c>
      <c r="Z346" s="4">
        <f>Games[[#This Row],[K]]*Games[[#This Row],[POMult]]</f>
        <v>72.849999999999994</v>
      </c>
      <c r="AA346" s="4">
        <f>(Games[[#This Row],[Keff]]*Games[[#This Row],[MOVMult]])*(Games[[#This Row],[Result]]-Games[[#This Row],[ExpectedWin%]])</f>
        <v>-8.4022480446291237</v>
      </c>
      <c r="AB346" s="4">
        <f>Games[[#This Row],[PreGmRate]]+Games[[#This Row],[RatingChange]]</f>
        <v>1461.3652264201071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37458</v>
      </c>
      <c r="B347" s="2">
        <v>2002</v>
      </c>
      <c r="C347" s="2">
        <f>COUNTIFS(Games[Team],Games[[#This Row],[Team]],Games[Season],Games[[#This Row],[Season]],Games[Date],"&lt;=" &amp; Games[[#This Row],[Date]])</f>
        <v>21</v>
      </c>
      <c r="D347" s="2" t="s">
        <v>23</v>
      </c>
      <c r="E347" s="2" t="s">
        <v>29</v>
      </c>
      <c r="F347" s="1" t="s">
        <v>45</v>
      </c>
      <c r="G347" s="1" t="s">
        <v>79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1422.2724612788202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1469.7674744647363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0.55234242640706921</v>
      </c>
      <c r="R347" s="1">
        <v>62</v>
      </c>
      <c r="S347" s="1">
        <v>60</v>
      </c>
      <c r="T347" s="1">
        <v>0</v>
      </c>
      <c r="U347" s="1">
        <f>Games[[#This Row],[PointsFor]]-Games[[#This Row],[PointsAgainst]]</f>
        <v>2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0.25764398380300674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72.849999999999994</v>
      </c>
      <c r="Z347" s="4">
        <f>Games[[#This Row],[K]]*Games[[#This Row],[POMult]]</f>
        <v>72.849999999999994</v>
      </c>
      <c r="AA347" s="4">
        <f>(Games[[#This Row],[Keff]]*Games[[#This Row],[MOVMult]])*(Games[[#This Row],[Result]]-Games[[#This Row],[ExpectedWin%]])</f>
        <v>8.4022480446291237</v>
      </c>
      <c r="AB347" s="4">
        <f>Games[[#This Row],[PreGmRate]]+Games[[#This Row],[RatingChange]]</f>
        <v>1430.6747093234494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37459</v>
      </c>
      <c r="B348" s="2">
        <v>2002</v>
      </c>
      <c r="C348" s="2">
        <f>COUNTIFS(Games[Team],Games[[#This Row],[Team]],Games[Season],Games[[#This Row],[Season]],Games[Date],"&lt;=" &amp; Games[[#This Row],[Date]])</f>
        <v>22</v>
      </c>
      <c r="D348" s="2" t="s">
        <v>23</v>
      </c>
      <c r="E348" s="2" t="s">
        <v>29</v>
      </c>
      <c r="F348" s="1" t="s">
        <v>64</v>
      </c>
      <c r="G348" s="1" t="s">
        <v>85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1578.7157916313492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1403.379757851141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0.62849657022572181</v>
      </c>
      <c r="R348" s="1">
        <v>72</v>
      </c>
      <c r="S348" s="1">
        <v>73</v>
      </c>
      <c r="T348" s="1">
        <v>0</v>
      </c>
      <c r="U348" s="1">
        <f>Games[[#This Row],[PointsFor]]-Games[[#This Row],[PointsAgainst]]</f>
        <v>-1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0.2130501913434043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72.7</v>
      </c>
      <c r="Z348" s="4">
        <f>Games[[#This Row],[K]]*Games[[#This Row],[POMult]]</f>
        <v>72.7</v>
      </c>
      <c r="AA348" s="4">
        <f>(Games[[#This Row],[Keff]]*Games[[#This Row],[MOVMult]])*(Games[[#This Row],[Result]]-Games[[#This Row],[ExpectedWin%]])</f>
        <v>-9.7346255674406486</v>
      </c>
      <c r="AB348" s="4">
        <f>Games[[#This Row],[PreGmRate]]+Games[[#This Row],[RatingChange]]</f>
        <v>1568.9811660639086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37459</v>
      </c>
      <c r="B349" s="2">
        <v>2002</v>
      </c>
      <c r="C349" s="2">
        <f>COUNTIFS(Games[Team],Games[[#This Row],[Team]],Games[Season],Games[[#This Row],[Season]],Games[Date],"&lt;=" &amp; Games[[#This Row],[Date]])</f>
        <v>22</v>
      </c>
      <c r="D349" s="2" t="s">
        <v>23</v>
      </c>
      <c r="E349" s="2" t="s">
        <v>29</v>
      </c>
      <c r="F349" s="1" t="s">
        <v>85</v>
      </c>
      <c r="G349" s="1" t="s">
        <v>64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1403.379757851141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1578.7157916313492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0.3715034297742783</v>
      </c>
      <c r="R349" s="1">
        <v>73</v>
      </c>
      <c r="S349" s="1">
        <v>72</v>
      </c>
      <c r="T349" s="1">
        <v>0</v>
      </c>
      <c r="U349" s="1">
        <f>Games[[#This Row],[PointsFor]]-Games[[#This Row],[PointsAgainst]]</f>
        <v>1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0.2130501913434043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72.7</v>
      </c>
      <c r="Z349" s="4">
        <f>Games[[#This Row],[K]]*Games[[#This Row],[POMult]]</f>
        <v>72.7</v>
      </c>
      <c r="AA349" s="4">
        <f>(Games[[#This Row],[Keff]]*Games[[#This Row],[MOVMult]])*(Games[[#This Row],[Result]]-Games[[#This Row],[ExpectedWin%]])</f>
        <v>9.7346255674406468</v>
      </c>
      <c r="AB349" s="4">
        <f>Games[[#This Row],[PreGmRate]]+Games[[#This Row],[RatingChange]]</f>
        <v>1413.1143834185816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37459</v>
      </c>
      <c r="B350" s="2">
        <v>2002</v>
      </c>
      <c r="C350" s="2">
        <f>COUNTIFS(Games[Team],Games[[#This Row],[Team]],Games[Season],Games[[#This Row],[Season]],Games[Date],"&lt;=" &amp; Games[[#This Row],[Date]])</f>
        <v>22</v>
      </c>
      <c r="D350" s="2" t="s">
        <v>23</v>
      </c>
      <c r="E350" s="2" t="s">
        <v>29</v>
      </c>
      <c r="F350" s="1" t="s">
        <v>79</v>
      </c>
      <c r="G350" s="1" t="s">
        <v>71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-1</v>
      </c>
      <c r="L350" s="2">
        <f>Games[[#This Row],[OppDaysOff]]-Games[[#This Row],[DaysOff]]</f>
        <v>1</v>
      </c>
      <c r="M350" s="1">
        <f>MAX(-16, MIN(16, Games[[#This Row],[RestDiff]]*8))</f>
        <v>-8</v>
      </c>
      <c r="N350" s="1">
        <f>MAX(-16, MIN(16, Games[[#This Row],[OppRestDiff]]*8))</f>
        <v>8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1461.3652264201071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1691.1429396869398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0.13029498264580139</v>
      </c>
      <c r="R350" s="1">
        <v>84</v>
      </c>
      <c r="S350" s="1">
        <v>92</v>
      </c>
      <c r="T350" s="1">
        <v>0</v>
      </c>
      <c r="U350" s="1">
        <f>Games[[#This Row],[PointsFor]]-Games[[#This Row],[PointsAgainst]]</f>
        <v>-8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0.32590985135648365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72.7</v>
      </c>
      <c r="Z350" s="4">
        <f>Games[[#This Row],[K]]*Games[[#This Row],[POMult]]</f>
        <v>72.7</v>
      </c>
      <c r="AA350" s="4">
        <f>(Games[[#This Row],[Keff]]*Games[[#This Row],[MOVMult]])*(Games[[#This Row],[Result]]-Games[[#This Row],[ExpectedWin%]])</f>
        <v>-3.0871632196130023</v>
      </c>
      <c r="AB350" s="4">
        <f>Games[[#This Row],[PreGmRate]]+Games[[#This Row],[RatingChange]]</f>
        <v>1458.278063200494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37459</v>
      </c>
      <c r="B351" s="2">
        <v>2002</v>
      </c>
      <c r="C351" s="2">
        <f>COUNTIFS(Games[Team],Games[[#This Row],[Team]],Games[Season],Games[[#This Row],[Season]],Games[Date],"&lt;=" &amp; Games[[#This Row],[Date]])</f>
        <v>22</v>
      </c>
      <c r="D351" s="2" t="s">
        <v>23</v>
      </c>
      <c r="E351" s="2" t="s">
        <v>29</v>
      </c>
      <c r="F351" s="1" t="s">
        <v>71</v>
      </c>
      <c r="G351" s="1" t="s">
        <v>79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1" s="2">
        <f>Games[[#This Row],[DaysOff]]-Games[[#This Row],[OppDaysOff]]</f>
        <v>1</v>
      </c>
      <c r="L351" s="2">
        <f>Games[[#This Row],[OppDaysOff]]-Games[[#This Row],[DaysOff]]</f>
        <v>-1</v>
      </c>
      <c r="M351" s="1">
        <f>MAX(-16, MIN(16, Games[[#This Row],[RestDiff]]*8))</f>
        <v>8</v>
      </c>
      <c r="N351" s="1">
        <f>MAX(-16, MIN(16, Games[[#This Row],[OppRestDiff]]*8))</f>
        <v>-8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1691.1429396869398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1461.3652264201071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0.86970501735419858</v>
      </c>
      <c r="R351" s="1">
        <v>92</v>
      </c>
      <c r="S351" s="1">
        <v>84</v>
      </c>
      <c r="T351" s="1">
        <v>0</v>
      </c>
      <c r="U351" s="1">
        <f>Games[[#This Row],[PointsFor]]-Games[[#This Row],[PointsAgainst]]</f>
        <v>8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0.32590985135648365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72.7</v>
      </c>
      <c r="Z351" s="4">
        <f>Games[[#This Row],[K]]*Games[[#This Row],[POMult]]</f>
        <v>72.7</v>
      </c>
      <c r="AA351" s="4">
        <f>(Games[[#This Row],[Keff]]*Games[[#This Row],[MOVMult]])*(Games[[#This Row],[Result]]-Games[[#This Row],[ExpectedWin%]])</f>
        <v>3.0871632196130028</v>
      </c>
      <c r="AB351" s="4">
        <f>Games[[#This Row],[PreGmRate]]+Games[[#This Row],[RatingChange]]</f>
        <v>1694.2301029065529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37459</v>
      </c>
      <c r="B352" s="2">
        <v>2002</v>
      </c>
      <c r="C352" s="2">
        <f>COUNTIFS(Games[Team],Games[[#This Row],[Team]],Games[Season],Games[[#This Row],[Season]],Games[Date],"&lt;=" &amp; Games[[#This Row],[Date]])</f>
        <v>22</v>
      </c>
      <c r="D352" s="2" t="s">
        <v>23</v>
      </c>
      <c r="E352" s="2" t="s">
        <v>29</v>
      </c>
      <c r="F352" s="1" t="s">
        <v>1</v>
      </c>
      <c r="G352" s="1" t="s">
        <v>66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2" s="2">
        <f>Games[[#This Row],[DaysOff]]-Games[[#This Row],[OppDaysOff]]</f>
        <v>-1</v>
      </c>
      <c r="L352" s="2">
        <f>Games[[#This Row],[OppDaysOff]]-Games[[#This Row],[DaysOff]]</f>
        <v>1</v>
      </c>
      <c r="M352" s="1">
        <f>MAX(-16, MIN(16, Games[[#This Row],[RestDiff]]*8))</f>
        <v>-8</v>
      </c>
      <c r="N352" s="1">
        <f>MAX(-16, MIN(16, Games[[#This Row],[OppRestDiff]]*8))</f>
        <v>8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1476.2426144322412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1558.9604027538269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0.25887803968258438</v>
      </c>
      <c r="R352" s="1">
        <v>52</v>
      </c>
      <c r="S352" s="1">
        <v>73</v>
      </c>
      <c r="T352" s="1">
        <v>0</v>
      </c>
      <c r="U352" s="1">
        <f>Games[[#This Row],[PointsFor]]-Games[[#This Row],[PointsAgainst]]</f>
        <v>-21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0.55062115280170476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72.7</v>
      </c>
      <c r="Z352" s="4">
        <f>Games[[#This Row],[K]]*Games[[#This Row],[POMult]]</f>
        <v>72.7</v>
      </c>
      <c r="AA352" s="4">
        <f>(Games[[#This Row],[Keff]]*Games[[#This Row],[MOVMult]])*(Games[[#This Row],[Result]]-Games[[#This Row],[ExpectedWin%]])</f>
        <v>-10.362928781696596</v>
      </c>
      <c r="AB352" s="4">
        <f>Games[[#This Row],[PreGmRate]]+Games[[#This Row],[RatingChange]]</f>
        <v>1465.8796856505446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37459</v>
      </c>
      <c r="B353" s="2">
        <v>2002</v>
      </c>
      <c r="C353" s="2">
        <f>COUNTIFS(Games[Team],Games[[#This Row],[Team]],Games[Season],Games[[#This Row],[Season]],Games[Date],"&lt;=" &amp; Games[[#This Row],[Date]])</f>
        <v>23</v>
      </c>
      <c r="D353" s="2" t="s">
        <v>23</v>
      </c>
      <c r="E353" s="2" t="s">
        <v>29</v>
      </c>
      <c r="F353" s="1" t="s">
        <v>66</v>
      </c>
      <c r="G353" s="1" t="s">
        <v>1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3" s="2">
        <f>Games[[#This Row],[DaysOff]]-Games[[#This Row],[OppDaysOff]]</f>
        <v>1</v>
      </c>
      <c r="L353" s="2">
        <f>Games[[#This Row],[OppDaysOff]]-Games[[#This Row],[DaysOff]]</f>
        <v>-1</v>
      </c>
      <c r="M353" s="1">
        <f>MAX(-16, MIN(16, Games[[#This Row],[RestDiff]]*8))</f>
        <v>8</v>
      </c>
      <c r="N353" s="1">
        <f>MAX(-16, MIN(16, Games[[#This Row],[OppRestDiff]]*8))</f>
        <v>-8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1558.9604027538269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1476.2426144322412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0.74112196031741551</v>
      </c>
      <c r="R353" s="1">
        <v>73</v>
      </c>
      <c r="S353" s="1">
        <v>52</v>
      </c>
      <c r="T353" s="1">
        <v>0</v>
      </c>
      <c r="U353" s="1">
        <f>Games[[#This Row],[PointsFor]]-Games[[#This Row],[PointsAgainst]]</f>
        <v>21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0.55062115280170476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72.55</v>
      </c>
      <c r="Z353" s="4">
        <f>Games[[#This Row],[K]]*Games[[#This Row],[POMult]]</f>
        <v>72.55</v>
      </c>
      <c r="AA353" s="4">
        <f>(Games[[#This Row],[Keff]]*Games[[#This Row],[MOVMult]])*(Games[[#This Row],[Result]]-Games[[#This Row],[ExpectedWin%]])</f>
        <v>10.341547222999838</v>
      </c>
      <c r="AB353" s="4">
        <f>Games[[#This Row],[PreGmRate]]+Games[[#This Row],[RatingChange]]</f>
        <v>1569.3019499768268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37460</v>
      </c>
      <c r="B354" s="2">
        <v>2002</v>
      </c>
      <c r="C354" s="2">
        <f>COUNTIFS(Games[Team],Games[[#This Row],[Team]],Games[Season],Games[[#This Row],[Season]],Games[Date],"&lt;=" &amp; Games[[#This Row],[Date]])</f>
        <v>23</v>
      </c>
      <c r="D354" s="2" t="s">
        <v>23</v>
      </c>
      <c r="E354" s="2" t="s">
        <v>29</v>
      </c>
      <c r="F354" s="1" t="s">
        <v>43</v>
      </c>
      <c r="G354" s="1" t="s">
        <v>77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1592.1637989831672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1364.8018496716031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0.69535126663066538</v>
      </c>
      <c r="R354" s="1">
        <v>86</v>
      </c>
      <c r="S354" s="1">
        <v>75</v>
      </c>
      <c r="T354" s="1">
        <v>0</v>
      </c>
      <c r="U354" s="1">
        <f>Games[[#This Row],[PointsFor]]-Games[[#This Row],[PointsAgainst]]</f>
        <v>11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0.36977527988869557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72.55</v>
      </c>
      <c r="Z354" s="4">
        <f>Games[[#This Row],[K]]*Games[[#This Row],[POMult]]</f>
        <v>72.55</v>
      </c>
      <c r="AA354" s="4">
        <f>(Games[[#This Row],[Keff]]*Games[[#This Row],[MOVMult]])*(Games[[#This Row],[Result]]-Games[[#This Row],[ExpectedWin%]])</f>
        <v>8.1728714506126856</v>
      </c>
      <c r="AB354" s="4">
        <f>Games[[#This Row],[PreGmRate]]+Games[[#This Row],[RatingChange]]</f>
        <v>1600.33667043378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37460</v>
      </c>
      <c r="B355" s="2">
        <v>2002</v>
      </c>
      <c r="C355" s="2">
        <f>COUNTIFS(Games[Team],Games[[#This Row],[Team]],Games[Season],Games[[#This Row],[Season]],Games[Date],"&lt;=" &amp; Games[[#This Row],[Date]])</f>
        <v>22</v>
      </c>
      <c r="D355" s="2" t="s">
        <v>23</v>
      </c>
      <c r="E355" s="2" t="s">
        <v>29</v>
      </c>
      <c r="F355" s="1" t="s">
        <v>77</v>
      </c>
      <c r="G355" s="1" t="s">
        <v>43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1364.8018496716031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1592.1637989831672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0.30464873336933462</v>
      </c>
      <c r="R355" s="1">
        <v>75</v>
      </c>
      <c r="S355" s="1">
        <v>86</v>
      </c>
      <c r="T355" s="1">
        <v>0</v>
      </c>
      <c r="U355" s="1">
        <f>Games[[#This Row],[PointsFor]]-Games[[#This Row],[PointsAgainst]]</f>
        <v>-11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0.36977527988869557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72.7</v>
      </c>
      <c r="Z355" s="4">
        <f>Games[[#This Row],[K]]*Games[[#This Row],[POMult]]</f>
        <v>72.7</v>
      </c>
      <c r="AA355" s="4">
        <f>(Games[[#This Row],[Keff]]*Games[[#This Row],[MOVMult]])*(Games[[#This Row],[Result]]-Games[[#This Row],[ExpectedWin%]])</f>
        <v>-8.1897691862100928</v>
      </c>
      <c r="AB355" s="4">
        <f>Games[[#This Row],[PreGmRate]]+Games[[#This Row],[RatingChange]]</f>
        <v>1356.6120804853931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37460</v>
      </c>
      <c r="B356" s="2">
        <v>2002</v>
      </c>
      <c r="C356" s="2">
        <f>COUNTIFS(Games[Team],Games[[#This Row],[Team]],Games[Season],Games[[#This Row],[Season]],Games[Date],"&lt;=" &amp; Games[[#This Row],[Date]])</f>
        <v>23</v>
      </c>
      <c r="D356" s="2" t="s">
        <v>23</v>
      </c>
      <c r="E356" s="2" t="s">
        <v>29</v>
      </c>
      <c r="F356" s="1" t="s">
        <v>87</v>
      </c>
      <c r="G356" s="1" t="s">
        <v>2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1474.4757046816851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1627.287332016311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0.20372114743608966</v>
      </c>
      <c r="R356" s="1">
        <v>54</v>
      </c>
      <c r="S356" s="1">
        <v>66</v>
      </c>
      <c r="T356" s="1">
        <v>0</v>
      </c>
      <c r="U356" s="1">
        <f>Games[[#This Row],[PointsFor]]-Games[[#This Row],[PointsAgainst]]</f>
        <v>-12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0.40460572679307505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72.55</v>
      </c>
      <c r="Z356" s="4">
        <f>Games[[#This Row],[K]]*Games[[#This Row],[POMult]]</f>
        <v>72.55</v>
      </c>
      <c r="AA356" s="4">
        <f>(Games[[#This Row],[Keff]]*Games[[#This Row],[MOVMult]])*(Games[[#This Row],[Result]]-Games[[#This Row],[ExpectedWin%]])</f>
        <v>-5.980060198954698</v>
      </c>
      <c r="AB356" s="4">
        <f>Games[[#This Row],[PreGmRate]]+Games[[#This Row],[RatingChange]]</f>
        <v>1468.4956444827303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37460</v>
      </c>
      <c r="B357" s="2">
        <v>2002</v>
      </c>
      <c r="C357" s="2">
        <f>COUNTIFS(Games[Team],Games[[#This Row],[Team]],Games[Season],Games[[#This Row],[Season]],Games[Date],"&lt;=" &amp; Games[[#This Row],[Date]])</f>
        <v>24</v>
      </c>
      <c r="D357" s="2" t="s">
        <v>23</v>
      </c>
      <c r="E357" s="2" t="s">
        <v>29</v>
      </c>
      <c r="F357" s="1" t="s">
        <v>2</v>
      </c>
      <c r="G357" s="1" t="s">
        <v>87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1627.287332016311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1474.4757046816851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0.79627885256391029</v>
      </c>
      <c r="R357" s="1">
        <v>66</v>
      </c>
      <c r="S357" s="1">
        <v>54</v>
      </c>
      <c r="T357" s="1">
        <v>0</v>
      </c>
      <c r="U357" s="1">
        <f>Games[[#This Row],[PointsFor]]-Games[[#This Row],[PointsAgainst]]</f>
        <v>12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0.40460572679307505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72.400000000000006</v>
      </c>
      <c r="Z357" s="4">
        <f>Games[[#This Row],[K]]*Games[[#This Row],[POMult]]</f>
        <v>72.400000000000006</v>
      </c>
      <c r="AA357" s="4">
        <f>(Games[[#This Row],[Keff]]*Games[[#This Row],[MOVMult]])*(Games[[#This Row],[Result]]-Games[[#This Row],[ExpectedWin%]])</f>
        <v>5.9676961875164753</v>
      </c>
      <c r="AB357" s="4">
        <f>Games[[#This Row],[PreGmRate]]+Games[[#This Row],[RatingChange]]</f>
        <v>1633.2550282038274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37460</v>
      </c>
      <c r="B358" s="2">
        <v>2002</v>
      </c>
      <c r="C358" s="2">
        <f>COUNTIFS(Games[Team],Games[[#This Row],[Team]],Games[Season],Games[[#This Row],[Season]],Games[Date],"&lt;=" &amp; Games[[#This Row],[Date]])</f>
        <v>24</v>
      </c>
      <c r="D358" s="2" t="s">
        <v>23</v>
      </c>
      <c r="E358" s="2" t="s">
        <v>29</v>
      </c>
      <c r="F358" s="1" t="s">
        <v>66</v>
      </c>
      <c r="G358" s="1" t="s">
        <v>83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-2</v>
      </c>
      <c r="L358" s="2">
        <f>Games[[#This Row],[OppDaysOff]]-Games[[#This Row],[DaysOff]]</f>
        <v>2</v>
      </c>
      <c r="M358" s="1">
        <f>MAX(-16, MIN(16, Games[[#This Row],[RestDiff]]*8))</f>
        <v>-16</v>
      </c>
      <c r="N358" s="1">
        <f>MAX(-16, MIN(16, Games[[#This Row],[OppRestDiff]]*8))</f>
        <v>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1569.3019499768268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1482.6877934432562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0.45781092582570942</v>
      </c>
      <c r="R358" s="1">
        <v>46</v>
      </c>
      <c r="S358" s="1">
        <v>54</v>
      </c>
      <c r="T358" s="1">
        <v>0</v>
      </c>
      <c r="U358" s="1">
        <f>Games[[#This Row],[PointsFor]]-Games[[#This Row],[PointsAgainst]]</f>
        <v>-8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0.36217434701562617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72.400000000000006</v>
      </c>
      <c r="Z358" s="4">
        <f>Games[[#This Row],[K]]*Games[[#This Row],[POMult]]</f>
        <v>72.400000000000006</v>
      </c>
      <c r="AA358" s="4">
        <f>(Games[[#This Row],[Keff]]*Games[[#This Row],[MOVMult]])*(Games[[#This Row],[Result]]-Games[[#This Row],[ExpectedWin%]])</f>
        <v>-12.004453813710301</v>
      </c>
      <c r="AB358" s="4">
        <f>Games[[#This Row],[PreGmRate]]+Games[[#This Row],[RatingChange]]</f>
        <v>1557.2974961631164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37460</v>
      </c>
      <c r="B359" s="2">
        <v>2002</v>
      </c>
      <c r="C359" s="2">
        <f>COUNTIFS(Games[Team],Games[[#This Row],[Team]],Games[Season],Games[[#This Row],[Season]],Games[Date],"&lt;=" &amp; Games[[#This Row],[Date]])</f>
        <v>23</v>
      </c>
      <c r="D359" s="2" t="s">
        <v>23</v>
      </c>
      <c r="E359" s="2" t="s">
        <v>29</v>
      </c>
      <c r="F359" s="1" t="s">
        <v>83</v>
      </c>
      <c r="G359" s="1" t="s">
        <v>66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9" s="2">
        <f>Games[[#This Row],[DaysOff]]-Games[[#This Row],[OppDaysOff]]</f>
        <v>2</v>
      </c>
      <c r="L359" s="2">
        <f>Games[[#This Row],[OppDaysOff]]-Games[[#This Row],[DaysOff]]</f>
        <v>-2</v>
      </c>
      <c r="M359" s="1">
        <f>MAX(-16, MIN(16, Games[[#This Row],[RestDiff]]*8))</f>
        <v>16</v>
      </c>
      <c r="N359" s="1">
        <f>MAX(-16, MIN(16, Games[[#This Row],[OppRestDiff]]*8))</f>
        <v>-16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1482.6877934432562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1569.3019499768268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0.54218907417429063</v>
      </c>
      <c r="R359" s="1">
        <v>54</v>
      </c>
      <c r="S359" s="1">
        <v>46</v>
      </c>
      <c r="T359" s="1">
        <v>0</v>
      </c>
      <c r="U359" s="1">
        <f>Games[[#This Row],[PointsFor]]-Games[[#This Row],[PointsAgainst]]</f>
        <v>8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0.36217434701562617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72.55</v>
      </c>
      <c r="Z359" s="4">
        <f>Games[[#This Row],[K]]*Games[[#This Row],[POMult]]</f>
        <v>72.55</v>
      </c>
      <c r="AA359" s="4">
        <f>(Games[[#This Row],[Keff]]*Games[[#This Row],[MOVMult]])*(Games[[#This Row],[Result]]-Games[[#This Row],[ExpectedWin%]])</f>
        <v>12.029324919677929</v>
      </c>
      <c r="AB359" s="4">
        <f>Games[[#This Row],[PreGmRate]]+Games[[#This Row],[RatingChange]]</f>
        <v>1494.7171183629341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37461</v>
      </c>
      <c r="B360" s="2">
        <v>2002</v>
      </c>
      <c r="C360" s="2">
        <f>COUNTIFS(Games[Team],Games[[#This Row],[Team]],Games[Season],Games[[#This Row],[Season]],Games[Date],"&lt;=" &amp; Games[[#This Row],[Date]])</f>
        <v>23</v>
      </c>
      <c r="D360" s="2" t="s">
        <v>23</v>
      </c>
      <c r="E360" s="2" t="s">
        <v>29</v>
      </c>
      <c r="F360" s="1" t="s">
        <v>64</v>
      </c>
      <c r="G360" s="1" t="s">
        <v>1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1568.9811660639086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1465.8796856505446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0.52746157684898731</v>
      </c>
      <c r="R360" s="1">
        <v>73</v>
      </c>
      <c r="S360" s="1">
        <v>66</v>
      </c>
      <c r="T360" s="1">
        <v>1</v>
      </c>
      <c r="U360" s="1">
        <f>Games[[#This Row],[PointsFor]]-Games[[#This Row],[PointsAgainst]]</f>
        <v>7</v>
      </c>
      <c r="V360" s="1">
        <f>IF(Games[[#This Row],[MOV]]&gt;0,1,IF(Games[[#This Row],[MOV]]=0,0.5,0))</f>
        <v>1</v>
      </c>
      <c r="W360" s="4">
        <f>((ABS(Games[[#This Row],[MOV]])+5)^0.6)/(12+0.01*(ABS(Games[[#This Row],[PreGmRate]]-Games[[#This Row],[OppPreGmRate]])))*IF(Games[[#This Row],[OT]]=1,0.9,1)</f>
        <v>0.30674184036636165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72.55</v>
      </c>
      <c r="Z360" s="4">
        <f>Games[[#This Row],[K]]*Games[[#This Row],[POMult]]</f>
        <v>72.55</v>
      </c>
      <c r="AA360" s="4">
        <f>(Games[[#This Row],[Keff]]*Games[[#This Row],[MOVMult]])*(Games[[#This Row],[Result]]-Games[[#This Row],[ExpectedWin%]])</f>
        <v>10.515927018462172</v>
      </c>
      <c r="AB360" s="4">
        <f>Games[[#This Row],[PreGmRate]]+Games[[#This Row],[RatingChange]]</f>
        <v>1579.4970930823708</v>
      </c>
      <c r="AC360" s="2">
        <f>IF(Games[[#This Row],[Type]]="R",IF(Games[[#This Row],[Result]]&gt;0.5,1,0),0)</f>
        <v>1</v>
      </c>
      <c r="AD360" s="2">
        <f>IF(Games[[#This Row],[Type]]="R",IF(Games[[#This Row],[Result]]&lt;0.5,1,0),0)</f>
        <v>0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37461</v>
      </c>
      <c r="B361" s="2">
        <v>2002</v>
      </c>
      <c r="C361" s="2">
        <f>COUNTIFS(Games[Team],Games[[#This Row],[Team]],Games[Season],Games[[#This Row],[Season]],Games[Date],"&lt;=" &amp; Games[[#This Row],[Date]])</f>
        <v>23</v>
      </c>
      <c r="D361" s="2" t="s">
        <v>23</v>
      </c>
      <c r="E361" s="2" t="s">
        <v>29</v>
      </c>
      <c r="F361" s="1" t="s">
        <v>1</v>
      </c>
      <c r="G361" s="1" t="s">
        <v>64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1465.8796856505446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1568.9811660639086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0.47253842315101269</v>
      </c>
      <c r="R361" s="1">
        <v>66</v>
      </c>
      <c r="S361" s="1">
        <v>73</v>
      </c>
      <c r="T361" s="1">
        <v>1</v>
      </c>
      <c r="U361" s="1">
        <f>Games[[#This Row],[PointsFor]]-Games[[#This Row],[PointsAgainst]]</f>
        <v>-7</v>
      </c>
      <c r="V361" s="1">
        <f>IF(Games[[#This Row],[MOV]]&gt;0,1,IF(Games[[#This Row],[MOV]]=0,0.5,0))</f>
        <v>0</v>
      </c>
      <c r="W361" s="4">
        <f>((ABS(Games[[#This Row],[MOV]])+5)^0.6)/(12+0.01*(ABS(Games[[#This Row],[PreGmRate]]-Games[[#This Row],[OppPreGmRate]])))*IF(Games[[#This Row],[OT]]=1,0.9,1)</f>
        <v>0.30674184036636165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72.55</v>
      </c>
      <c r="Z361" s="4">
        <f>Games[[#This Row],[K]]*Games[[#This Row],[POMult]]</f>
        <v>72.55</v>
      </c>
      <c r="AA361" s="4">
        <f>(Games[[#This Row],[Keff]]*Games[[#This Row],[MOVMult]])*(Games[[#This Row],[Result]]-Games[[#This Row],[ExpectedWin%]])</f>
        <v>-10.515927018462172</v>
      </c>
      <c r="AB361" s="4">
        <f>Games[[#This Row],[PreGmRate]]+Games[[#This Row],[RatingChange]]</f>
        <v>1455.3637586320824</v>
      </c>
      <c r="AC361" s="2">
        <f>IF(Games[[#This Row],[Type]]="R",IF(Games[[#This Row],[Result]]&gt;0.5,1,0),0)</f>
        <v>0</v>
      </c>
      <c r="AD361" s="2">
        <f>IF(Games[[#This Row],[Type]]="R",IF(Games[[#This Row],[Result]]&lt;0.5,1,0),0)</f>
        <v>1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37461</v>
      </c>
      <c r="B362" s="2">
        <v>2002</v>
      </c>
      <c r="C362" s="2">
        <f>COUNTIFS(Games[Team],Games[[#This Row],[Team]],Games[Season],Games[[#This Row],[Season]],Games[Date],"&lt;=" &amp; Games[[#This Row],[Date]])</f>
        <v>24</v>
      </c>
      <c r="D362" s="2" t="s">
        <v>23</v>
      </c>
      <c r="E362" s="2" t="s">
        <v>29</v>
      </c>
      <c r="F362" s="1" t="s">
        <v>89</v>
      </c>
      <c r="G362" s="1" t="s">
        <v>71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1</v>
      </c>
      <c r="L362" s="2">
        <f>Games[[#This Row],[OppDaysOff]]-Games[[#This Row],[DaysOff]]</f>
        <v>-1</v>
      </c>
      <c r="M362" s="1">
        <f>MAX(-16, MIN(16, Games[[#This Row],[RestDiff]]*8))</f>
        <v>8</v>
      </c>
      <c r="N362" s="1">
        <f>MAX(-16, MIN(16, Games[[#This Row],[OppRestDiff]]*8))</f>
        <v>-8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1531.7157565730211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1694.2301029065529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0.20966477519769658</v>
      </c>
      <c r="R362" s="1">
        <v>69</v>
      </c>
      <c r="S362" s="1">
        <v>73</v>
      </c>
      <c r="T362" s="1">
        <v>0</v>
      </c>
      <c r="U362" s="1">
        <f>Games[[#This Row],[PointsFor]]-Games[[#This Row],[PointsAgainst]]</f>
        <v>-4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0.2742864931223058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72.400000000000006</v>
      </c>
      <c r="Z362" s="4">
        <f>Games[[#This Row],[K]]*Games[[#This Row],[POMult]]</f>
        <v>72.400000000000006</v>
      </c>
      <c r="AA362" s="4">
        <f>(Games[[#This Row],[Keff]]*Games[[#This Row],[MOVMult]])*(Games[[#This Row],[Result]]-Games[[#This Row],[ExpectedWin%]])</f>
        <v>-4.1635948326263028</v>
      </c>
      <c r="AB362" s="4">
        <f>Games[[#This Row],[PreGmRate]]+Games[[#This Row],[RatingChange]]</f>
        <v>1527.5521617403947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37461</v>
      </c>
      <c r="B363" s="2">
        <v>2002</v>
      </c>
      <c r="C363" s="2">
        <f>COUNTIFS(Games[Team],Games[[#This Row],[Team]],Games[Season],Games[[#This Row],[Season]],Games[Date],"&lt;=" &amp; Games[[#This Row],[Date]])</f>
        <v>23</v>
      </c>
      <c r="D363" s="2" t="s">
        <v>23</v>
      </c>
      <c r="E363" s="2" t="s">
        <v>29</v>
      </c>
      <c r="F363" s="1" t="s">
        <v>71</v>
      </c>
      <c r="G363" s="1" t="s">
        <v>89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3" s="2">
        <f>Games[[#This Row],[DaysOff]]-Games[[#This Row],[OppDaysOff]]</f>
        <v>-1</v>
      </c>
      <c r="L363" s="2">
        <f>Games[[#This Row],[OppDaysOff]]-Games[[#This Row],[DaysOff]]</f>
        <v>1</v>
      </c>
      <c r="M363" s="1">
        <f>MAX(-16, MIN(16, Games[[#This Row],[RestDiff]]*8))</f>
        <v>-8</v>
      </c>
      <c r="N363" s="1">
        <f>MAX(-16, MIN(16, Games[[#This Row],[OppRestDiff]]*8))</f>
        <v>8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1694.2301029065529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1531.7157565730211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0.79033522480230345</v>
      </c>
      <c r="R363" s="1">
        <v>73</v>
      </c>
      <c r="S363" s="1">
        <v>69</v>
      </c>
      <c r="T363" s="1">
        <v>0</v>
      </c>
      <c r="U363" s="1">
        <f>Games[[#This Row],[PointsFor]]-Games[[#This Row],[PointsAgainst]]</f>
        <v>4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0.2742864931223058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72.55</v>
      </c>
      <c r="Z363" s="4">
        <f>Games[[#This Row],[K]]*Games[[#This Row],[POMult]]</f>
        <v>72.55</v>
      </c>
      <c r="AA363" s="4">
        <f>(Games[[#This Row],[Keff]]*Games[[#This Row],[MOVMult]])*(Games[[#This Row],[Result]]-Games[[#This Row],[ExpectedWin%]])</f>
        <v>4.1722210650143401</v>
      </c>
      <c r="AB363" s="4">
        <f>Games[[#This Row],[PreGmRate]]+Games[[#This Row],[RatingChange]]</f>
        <v>1698.4023239715673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37461</v>
      </c>
      <c r="B364" s="2">
        <v>2002</v>
      </c>
      <c r="C364" s="2">
        <f>COUNTIFS(Games[Team],Games[[#This Row],[Team]],Games[Season],Games[[#This Row],[Season]],Games[Date],"&lt;=" &amp; Games[[#This Row],[Date]])</f>
        <v>24</v>
      </c>
      <c r="D364" s="2" t="s">
        <v>23</v>
      </c>
      <c r="E364" s="2" t="s">
        <v>29</v>
      </c>
      <c r="F364" s="1" t="s">
        <v>43</v>
      </c>
      <c r="G364" s="1" t="s">
        <v>80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4" s="2">
        <f>Games[[#This Row],[DaysOff]]-Games[[#This Row],[OppDaysOff]]</f>
        <v>-4</v>
      </c>
      <c r="L364" s="2">
        <f>Games[[#This Row],[OppDaysOff]]-Games[[#This Row],[DaysOff]]</f>
        <v>4</v>
      </c>
      <c r="M364" s="1">
        <f>MAX(-16, MIN(16, Games[[#This Row],[RestDiff]]*8))</f>
        <v>-16</v>
      </c>
      <c r="N364" s="1">
        <f>MAX(-16, MIN(16, Games[[#This Row],[OppRestDiff]]*8))</f>
        <v>16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1600.33667043378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1390.4960214260841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0.6318566617163015</v>
      </c>
      <c r="R364" s="1">
        <v>62</v>
      </c>
      <c r="S364" s="1">
        <v>70</v>
      </c>
      <c r="T364" s="1">
        <v>0</v>
      </c>
      <c r="U364" s="1">
        <f>Games[[#This Row],[PointsFor]]-Games[[#This Row],[PointsAgainst]]</f>
        <v>-8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0.3305186599149213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72.400000000000006</v>
      </c>
      <c r="Z364" s="4">
        <f>Games[[#This Row],[K]]*Games[[#This Row],[POMult]]</f>
        <v>72.400000000000006</v>
      </c>
      <c r="AA364" s="4">
        <f>(Games[[#This Row],[Keff]]*Games[[#This Row],[MOVMult]])*(Games[[#This Row],[Result]]-Games[[#This Row],[ExpectedWin%]])</f>
        <v>-15.120046197228232</v>
      </c>
      <c r="AB364" s="4">
        <f>Games[[#This Row],[PreGmRate]]+Games[[#This Row],[RatingChange]]</f>
        <v>1585.2166242365518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37461</v>
      </c>
      <c r="B365" s="2">
        <v>2002</v>
      </c>
      <c r="C365" s="2">
        <f>COUNTIFS(Games[Team],Games[[#This Row],[Team]],Games[Season],Games[[#This Row],[Season]],Games[Date],"&lt;=" &amp; Games[[#This Row],[Date]])</f>
        <v>22</v>
      </c>
      <c r="D365" s="2" t="s">
        <v>23</v>
      </c>
      <c r="E365" s="2" t="s">
        <v>29</v>
      </c>
      <c r="F365" s="1" t="s">
        <v>80</v>
      </c>
      <c r="G365" s="1" t="s">
        <v>43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5" s="2">
        <f>Games[[#This Row],[DaysOff]]-Games[[#This Row],[OppDaysOff]]</f>
        <v>4</v>
      </c>
      <c r="L365" s="2">
        <f>Games[[#This Row],[OppDaysOff]]-Games[[#This Row],[DaysOff]]</f>
        <v>-4</v>
      </c>
      <c r="M365" s="1">
        <f>MAX(-16, MIN(16, Games[[#This Row],[RestDiff]]*8))</f>
        <v>16</v>
      </c>
      <c r="N365" s="1">
        <f>MAX(-16, MIN(16, Games[[#This Row],[OppRestDiff]]*8))</f>
        <v>-16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1390.4960214260841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1600.33667043378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0.3681433382836985</v>
      </c>
      <c r="R365" s="1">
        <v>70</v>
      </c>
      <c r="S365" s="1">
        <v>62</v>
      </c>
      <c r="T365" s="1">
        <v>0</v>
      </c>
      <c r="U365" s="1">
        <f>Games[[#This Row],[PointsFor]]-Games[[#This Row],[PointsAgainst]]</f>
        <v>8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0.3305186599149213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72.7</v>
      </c>
      <c r="Z365" s="4">
        <f>Games[[#This Row],[K]]*Games[[#This Row],[POMult]]</f>
        <v>72.7</v>
      </c>
      <c r="AA365" s="4">
        <f>(Games[[#This Row],[Keff]]*Games[[#This Row],[MOVMult]])*(Games[[#This Row],[Result]]-Games[[#This Row],[ExpectedWin%]])</f>
        <v>15.182698322354868</v>
      </c>
      <c r="AB365" s="4">
        <f>Games[[#This Row],[PreGmRate]]+Games[[#This Row],[RatingChange]]</f>
        <v>1405.6787197484389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37462</v>
      </c>
      <c r="B366" s="2">
        <v>2002</v>
      </c>
      <c r="C366" s="2">
        <f>COUNTIFS(Games[Team],Games[[#This Row],[Team]],Games[Season],Games[[#This Row],[Season]],Games[Date],"&lt;=" &amp; Games[[#This Row],[Date]])</f>
        <v>24</v>
      </c>
      <c r="D366" s="2" t="s">
        <v>23</v>
      </c>
      <c r="E366" s="2" t="s">
        <v>29</v>
      </c>
      <c r="F366" s="1" t="s">
        <v>1</v>
      </c>
      <c r="G366" s="1" t="s">
        <v>64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1455.3637586320824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1579.4970930823708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0.23181129008171553</v>
      </c>
      <c r="R366" s="1">
        <v>83</v>
      </c>
      <c r="S366" s="1">
        <v>73</v>
      </c>
      <c r="T366" s="1">
        <v>0</v>
      </c>
      <c r="U366" s="1">
        <f>Games[[#This Row],[PointsFor]]-Games[[#This Row],[PointsAgainst]]</f>
        <v>10</v>
      </c>
      <c r="V366" s="1">
        <f>IF(Games[[#This Row],[MOV]]&gt;0,1,IF(Games[[#This Row],[MOV]]=0,0.5,0))</f>
        <v>1</v>
      </c>
      <c r="W366" s="4">
        <f>((ABS(Games[[#This Row],[MOV]])+5)^0.6)/(12+0.01*(ABS(Games[[#This Row],[PreGmRate]]-Games[[#This Row],[OppPreGmRate]])))*IF(Games[[#This Row],[OT]]=1,0.9,1)</f>
        <v>0.38346262116385327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72.400000000000006</v>
      </c>
      <c r="Z366" s="4">
        <f>Games[[#This Row],[K]]*Games[[#This Row],[POMult]]</f>
        <v>72.400000000000006</v>
      </c>
      <c r="AA366" s="4">
        <f>(Games[[#This Row],[Keff]]*Games[[#This Row],[MOVMult]])*(Games[[#This Row],[Result]]-Games[[#This Row],[ExpectedWin%]])</f>
        <v>21.326987912771088</v>
      </c>
      <c r="AB366" s="4">
        <f>Games[[#This Row],[PreGmRate]]+Games[[#This Row],[RatingChange]]</f>
        <v>1476.6907465448535</v>
      </c>
      <c r="AC366" s="2">
        <f>IF(Games[[#This Row],[Type]]="R",IF(Games[[#This Row],[Result]]&gt;0.5,1,0),0)</f>
        <v>1</v>
      </c>
      <c r="AD366" s="2">
        <f>IF(Games[[#This Row],[Type]]="R",IF(Games[[#This Row],[Result]]&lt;0.5,1,0),0)</f>
        <v>0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37462</v>
      </c>
      <c r="B367" s="2">
        <v>2002</v>
      </c>
      <c r="C367" s="2">
        <f>COUNTIFS(Games[Team],Games[[#This Row],[Team]],Games[Season],Games[[#This Row],[Season]],Games[Date],"&lt;=" &amp; Games[[#This Row],[Date]])</f>
        <v>24</v>
      </c>
      <c r="D367" s="2" t="s">
        <v>23</v>
      </c>
      <c r="E367" s="2" t="s">
        <v>29</v>
      </c>
      <c r="F367" s="1" t="s">
        <v>64</v>
      </c>
      <c r="G367" s="1" t="s">
        <v>1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1579.4970930823708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1455.3637586320824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0.76818870991828447</v>
      </c>
      <c r="R367" s="1">
        <v>73</v>
      </c>
      <c r="S367" s="1">
        <v>83</v>
      </c>
      <c r="T367" s="1">
        <v>0</v>
      </c>
      <c r="U367" s="1">
        <f>Games[[#This Row],[PointsFor]]-Games[[#This Row],[PointsAgainst]]</f>
        <v>-10</v>
      </c>
      <c r="V367" s="1">
        <f>IF(Games[[#This Row],[MOV]]&gt;0,1,IF(Games[[#This Row],[MOV]]=0,0.5,0))</f>
        <v>0</v>
      </c>
      <c r="W367" s="4">
        <f>((ABS(Games[[#This Row],[MOV]])+5)^0.6)/(12+0.01*(ABS(Games[[#This Row],[PreGmRate]]-Games[[#This Row],[OppPreGmRate]])))*IF(Games[[#This Row],[OT]]=1,0.9,1)</f>
        <v>0.38346262116385327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72.400000000000006</v>
      </c>
      <c r="Z367" s="4">
        <f>Games[[#This Row],[K]]*Games[[#This Row],[POMult]]</f>
        <v>72.400000000000006</v>
      </c>
      <c r="AA367" s="4">
        <f>(Games[[#This Row],[Keff]]*Games[[#This Row],[MOVMult]])*(Games[[#This Row],[Result]]-Games[[#This Row],[ExpectedWin%]])</f>
        <v>-21.326987912771088</v>
      </c>
      <c r="AB367" s="4">
        <f>Games[[#This Row],[PreGmRate]]+Games[[#This Row],[RatingChange]]</f>
        <v>1558.1701051695998</v>
      </c>
      <c r="AC367" s="2">
        <f>IF(Games[[#This Row],[Type]]="R",IF(Games[[#This Row],[Result]]&gt;0.5,1,0),0)</f>
        <v>0</v>
      </c>
      <c r="AD367" s="2">
        <f>IF(Games[[#This Row],[Type]]="R",IF(Games[[#This Row],[Result]]&lt;0.5,1,0),0)</f>
        <v>1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37462</v>
      </c>
      <c r="B368" s="2">
        <v>2002</v>
      </c>
      <c r="C368" s="2">
        <f>COUNTIFS(Games[Team],Games[[#This Row],[Team]],Games[Season],Games[[#This Row],[Season]],Games[Date],"&lt;=" &amp; Games[[#This Row],[Date]])</f>
        <v>23</v>
      </c>
      <c r="D368" s="2" t="s">
        <v>23</v>
      </c>
      <c r="E368" s="2" t="s">
        <v>29</v>
      </c>
      <c r="F368" s="1" t="s">
        <v>75</v>
      </c>
      <c r="G368" s="1" t="s">
        <v>77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3</v>
      </c>
      <c r="L368" s="2">
        <f>Games[[#This Row],[OppDaysOff]]-Games[[#This Row],[DaysOff]]</f>
        <v>-3</v>
      </c>
      <c r="M368" s="1">
        <f>MAX(-16, MIN(16, Games[[#This Row],[RestDiff]]*8))</f>
        <v>16</v>
      </c>
      <c r="N368" s="1">
        <f>MAX(-16, MIN(16, Games[[#This Row],[OppRestDiff]]*8))</f>
        <v>-16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1524.7936911344739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1356.6120804853931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0.66123331212267789</v>
      </c>
      <c r="R368" s="1">
        <v>58</v>
      </c>
      <c r="S368" s="1">
        <v>64</v>
      </c>
      <c r="T368" s="1">
        <v>0</v>
      </c>
      <c r="U368" s="1">
        <f>Games[[#This Row],[PointsFor]]-Games[[#This Row],[PointsAgainst]]</f>
        <v>-6</v>
      </c>
      <c r="V368" s="1">
        <f>IF(Games[[#This Row],[MOV]]&gt;0,1,IF(Games[[#This Row],[MOV]]=0,0.5,0))</f>
        <v>0</v>
      </c>
      <c r="W368" s="4">
        <f>((ABS(Games[[#This Row],[MOV]])+5)^0.6)/(12+0.01*(ABS(Games[[#This Row],[PreGmRate]]-Games[[#This Row],[OppPreGmRate]])))*IF(Games[[#This Row],[OT]]=1,0.9,1)</f>
        <v>0.30810011626249545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72.55</v>
      </c>
      <c r="Z368" s="4">
        <f>Games[[#This Row],[K]]*Games[[#This Row],[POMult]]</f>
        <v>72.55</v>
      </c>
      <c r="AA368" s="4">
        <f>(Games[[#This Row],[Keff]]*Games[[#This Row],[MOVMult]])*(Games[[#This Row],[Result]]-Games[[#This Row],[ExpectedWin%]])</f>
        <v>-14.780325677785401</v>
      </c>
      <c r="AB368" s="4">
        <f>Games[[#This Row],[PreGmRate]]+Games[[#This Row],[RatingChange]]</f>
        <v>1510.0133654566885</v>
      </c>
      <c r="AC368" s="2">
        <f>IF(Games[[#This Row],[Type]]="R",IF(Games[[#This Row],[Result]]&gt;0.5,1,0),0)</f>
        <v>0</v>
      </c>
      <c r="AD368" s="2">
        <f>IF(Games[[#This Row],[Type]]="R",IF(Games[[#This Row],[Result]]&lt;0.5,1,0),0)</f>
        <v>1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37462</v>
      </c>
      <c r="B369" s="2">
        <v>2002</v>
      </c>
      <c r="C369" s="2">
        <f>COUNTIFS(Games[Team],Games[[#This Row],[Team]],Games[Season],Games[[#This Row],[Season]],Games[Date],"&lt;=" &amp; Games[[#This Row],[Date]])</f>
        <v>23</v>
      </c>
      <c r="D369" s="2" t="s">
        <v>23</v>
      </c>
      <c r="E369" s="2" t="s">
        <v>29</v>
      </c>
      <c r="F369" s="1" t="s">
        <v>77</v>
      </c>
      <c r="G369" s="1" t="s">
        <v>75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9" s="2">
        <f>Games[[#This Row],[DaysOff]]-Games[[#This Row],[OppDaysOff]]</f>
        <v>-3</v>
      </c>
      <c r="L369" s="2">
        <f>Games[[#This Row],[OppDaysOff]]-Games[[#This Row],[DaysOff]]</f>
        <v>3</v>
      </c>
      <c r="M369" s="1">
        <f>MAX(-16, MIN(16, Games[[#This Row],[RestDiff]]*8))</f>
        <v>-16</v>
      </c>
      <c r="N369" s="1">
        <f>MAX(-16, MIN(16, Games[[#This Row],[OppRestDiff]]*8))</f>
        <v>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1356.6120804853931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1524.7936911344739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0.33876668787732211</v>
      </c>
      <c r="R369" s="1">
        <v>64</v>
      </c>
      <c r="S369" s="1">
        <v>58</v>
      </c>
      <c r="T369" s="1">
        <v>0</v>
      </c>
      <c r="U369" s="1">
        <f>Games[[#This Row],[PointsFor]]-Games[[#This Row],[PointsAgainst]]</f>
        <v>6</v>
      </c>
      <c r="V369" s="1">
        <f>IF(Games[[#This Row],[MOV]]&gt;0,1,IF(Games[[#This Row],[MOV]]=0,0.5,0))</f>
        <v>1</v>
      </c>
      <c r="W369" s="4">
        <f>((ABS(Games[[#This Row],[MOV]])+5)^0.6)/(12+0.01*(ABS(Games[[#This Row],[PreGmRate]]-Games[[#This Row],[OppPreGmRate]])))*IF(Games[[#This Row],[OT]]=1,0.9,1)</f>
        <v>0.30810011626249545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72.55</v>
      </c>
      <c r="Z369" s="4">
        <f>Games[[#This Row],[K]]*Games[[#This Row],[POMult]]</f>
        <v>72.55</v>
      </c>
      <c r="AA369" s="4">
        <f>(Games[[#This Row],[Keff]]*Games[[#This Row],[MOVMult]])*(Games[[#This Row],[Result]]-Games[[#This Row],[ExpectedWin%]])</f>
        <v>14.780325677785401</v>
      </c>
      <c r="AB369" s="4">
        <f>Games[[#This Row],[PreGmRate]]+Games[[#This Row],[RatingChange]]</f>
        <v>1371.3924061631785</v>
      </c>
      <c r="AC369" s="2">
        <f>IF(Games[[#This Row],[Type]]="R",IF(Games[[#This Row],[Result]]&gt;0.5,1,0),0)</f>
        <v>1</v>
      </c>
      <c r="AD369" s="2">
        <f>IF(Games[[#This Row],[Type]]="R",IF(Games[[#This Row],[Result]]&lt;0.5,1,0),0)</f>
        <v>0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37462</v>
      </c>
      <c r="B370" s="2">
        <v>2002</v>
      </c>
      <c r="C370" s="2">
        <f>COUNTIFS(Games[Team],Games[[#This Row],[Team]],Games[Season],Games[[#This Row],[Season]],Games[Date],"&lt;=" &amp; Games[[#This Row],[Date]])</f>
        <v>24</v>
      </c>
      <c r="D370" s="2" t="s">
        <v>23</v>
      </c>
      <c r="E370" s="2" t="s">
        <v>29</v>
      </c>
      <c r="F370" s="1" t="s">
        <v>83</v>
      </c>
      <c r="G370" s="1" t="s">
        <v>2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1494.7171183629341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1633.2550282038274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0.21737474427560874</v>
      </c>
      <c r="R370" s="1">
        <v>60</v>
      </c>
      <c r="S370" s="1">
        <v>69</v>
      </c>
      <c r="T370" s="1">
        <v>0</v>
      </c>
      <c r="U370" s="1">
        <f>Games[[#This Row],[PointsFor]]-Games[[#This Row],[PointsAgainst]]</f>
        <v>-9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0.3639537057524197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72.400000000000006</v>
      </c>
      <c r="Z370" s="4">
        <f>Games[[#This Row],[K]]*Games[[#This Row],[POMult]]</f>
        <v>72.400000000000006</v>
      </c>
      <c r="AA370" s="4">
        <f>(Games[[#This Row],[Keff]]*Games[[#This Row],[MOVMult]])*(Games[[#This Row],[Result]]-Games[[#This Row],[ExpectedWin%]])</f>
        <v>-5.727878485045089</v>
      </c>
      <c r="AB370" s="4">
        <f>Games[[#This Row],[PreGmRate]]+Games[[#This Row],[RatingChange]]</f>
        <v>1488.9892398778891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37462</v>
      </c>
      <c r="B371" s="2">
        <v>2002</v>
      </c>
      <c r="C371" s="2">
        <f>COUNTIFS(Games[Team],Games[[#This Row],[Team]],Games[Season],Games[[#This Row],[Season]],Games[Date],"&lt;=" &amp; Games[[#This Row],[Date]])</f>
        <v>25</v>
      </c>
      <c r="D371" s="2" t="s">
        <v>23</v>
      </c>
      <c r="E371" s="2" t="s">
        <v>29</v>
      </c>
      <c r="F371" s="1" t="s">
        <v>2</v>
      </c>
      <c r="G371" s="1" t="s">
        <v>83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1633.2550282038274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1494.7171183629341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0.78262525572439123</v>
      </c>
      <c r="R371" s="1">
        <v>69</v>
      </c>
      <c r="S371" s="1">
        <v>60</v>
      </c>
      <c r="T371" s="1">
        <v>0</v>
      </c>
      <c r="U371" s="1">
        <f>Games[[#This Row],[PointsFor]]-Games[[#This Row],[PointsAgainst]]</f>
        <v>9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0.3639537057524197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72.25</v>
      </c>
      <c r="Z371" s="4">
        <f>Games[[#This Row],[K]]*Games[[#This Row],[POMult]]</f>
        <v>72.25</v>
      </c>
      <c r="AA371" s="4">
        <f>(Games[[#This Row],[Keff]]*Games[[#This Row],[MOVMult]])*(Games[[#This Row],[Result]]-Games[[#This Row],[ExpectedWin%]])</f>
        <v>5.7160113334876756</v>
      </c>
      <c r="AB371" s="4">
        <f>Games[[#This Row],[PreGmRate]]+Games[[#This Row],[RatingChange]]</f>
        <v>1638.9710395373149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37462</v>
      </c>
      <c r="B372" s="2">
        <v>2002</v>
      </c>
      <c r="C372" s="2">
        <f>COUNTIFS(Games[Team],Games[[#This Row],[Team]],Games[Season],Games[[#This Row],[Season]],Games[Date],"&lt;=" &amp; Games[[#This Row],[Date]])</f>
        <v>24</v>
      </c>
      <c r="D372" s="2" t="s">
        <v>23</v>
      </c>
      <c r="E372" s="2" t="s">
        <v>29</v>
      </c>
      <c r="F372" s="1" t="s">
        <v>87</v>
      </c>
      <c r="G372" s="1" t="s">
        <v>79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2" s="2">
        <f>Games[[#This Row],[DaysOff]]-Games[[#This Row],[OppDaysOff]]</f>
        <v>-1</v>
      </c>
      <c r="L372" s="2">
        <f>Games[[#This Row],[OppDaysOff]]-Games[[#This Row],[DaysOff]]</f>
        <v>1</v>
      </c>
      <c r="M372" s="1">
        <f>MAX(-16, MIN(16, Games[[#This Row],[RestDiff]]*8))</f>
        <v>-8</v>
      </c>
      <c r="N372" s="1">
        <f>MAX(-16, MIN(16, Games[[#This Row],[OppRestDiff]]*8))</f>
        <v>8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1468.4956444827303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1458.278063200494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0.37359398350734463</v>
      </c>
      <c r="R372" s="1">
        <v>79</v>
      </c>
      <c r="S372" s="1">
        <v>76</v>
      </c>
      <c r="T372" s="1">
        <v>0</v>
      </c>
      <c r="U372" s="1">
        <f>Games[[#This Row],[PointsFor]]-Games[[#This Row],[PointsAgainst]]</f>
        <v>3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0.28773357014819367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72.400000000000006</v>
      </c>
      <c r="Z372" s="4">
        <f>Games[[#This Row],[K]]*Games[[#This Row],[POMult]]</f>
        <v>72.400000000000006</v>
      </c>
      <c r="AA372" s="4">
        <f>(Games[[#This Row],[Keff]]*Games[[#This Row],[MOVMult]])*(Games[[#This Row],[Result]]-Games[[#This Row],[ExpectedWin%]])</f>
        <v>13.049234058912379</v>
      </c>
      <c r="AB372" s="4">
        <f>Games[[#This Row],[PreGmRate]]+Games[[#This Row],[RatingChange]]</f>
        <v>1481.5448785416427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37462</v>
      </c>
      <c r="B373" s="2">
        <v>2002</v>
      </c>
      <c r="C373" s="2">
        <f>COUNTIFS(Games[Team],Games[[#This Row],[Team]],Games[Season],Games[[#This Row],[Season]],Games[Date],"&lt;=" &amp; Games[[#This Row],[Date]])</f>
        <v>23</v>
      </c>
      <c r="D373" s="2" t="s">
        <v>23</v>
      </c>
      <c r="E373" s="2" t="s">
        <v>29</v>
      </c>
      <c r="F373" s="1" t="s">
        <v>79</v>
      </c>
      <c r="G373" s="1" t="s">
        <v>87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1</v>
      </c>
      <c r="L373" s="2">
        <f>Games[[#This Row],[OppDaysOff]]-Games[[#This Row],[DaysOff]]</f>
        <v>-1</v>
      </c>
      <c r="M373" s="1">
        <f>MAX(-16, MIN(16, Games[[#This Row],[RestDiff]]*8))</f>
        <v>8</v>
      </c>
      <c r="N373" s="1">
        <f>MAX(-16, MIN(16, Games[[#This Row],[OppRestDiff]]*8))</f>
        <v>-8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1458.278063200494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1468.4956444827303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0.62640601649265537</v>
      </c>
      <c r="R373" s="1">
        <v>76</v>
      </c>
      <c r="S373" s="1">
        <v>79</v>
      </c>
      <c r="T373" s="1">
        <v>0</v>
      </c>
      <c r="U373" s="1">
        <f>Games[[#This Row],[PointsFor]]-Games[[#This Row],[PointsAgainst]]</f>
        <v>-3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0.28773357014819367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72.55</v>
      </c>
      <c r="Z373" s="4">
        <f>Games[[#This Row],[K]]*Games[[#This Row],[POMult]]</f>
        <v>72.55</v>
      </c>
      <c r="AA373" s="4">
        <f>(Games[[#This Row],[Keff]]*Games[[#This Row],[MOVMult]])*(Games[[#This Row],[Result]]-Games[[#This Row],[ExpectedWin%]])</f>
        <v>-13.076269764835539</v>
      </c>
      <c r="AB373" s="4">
        <f>Games[[#This Row],[PreGmRate]]+Games[[#This Row],[RatingChange]]</f>
        <v>1445.2017934356584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37462</v>
      </c>
      <c r="B374" s="2">
        <v>2002</v>
      </c>
      <c r="C374" s="2">
        <f>COUNTIFS(Games[Team],Games[[#This Row],[Team]],Games[Season],Games[[#This Row],[Season]],Games[Date],"&lt;=" &amp; Games[[#This Row],[Date]])</f>
        <v>25</v>
      </c>
      <c r="D374" s="2" t="s">
        <v>23</v>
      </c>
      <c r="E374" s="2" t="s">
        <v>29</v>
      </c>
      <c r="F374" s="1" t="s">
        <v>89</v>
      </c>
      <c r="G374" s="1" t="s">
        <v>45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4" s="2">
        <f>Games[[#This Row],[DaysOff]]-Games[[#This Row],[OppDaysOff]]</f>
        <v>-3</v>
      </c>
      <c r="L374" s="2">
        <f>Games[[#This Row],[OppDaysOff]]-Games[[#This Row],[DaysOff]]</f>
        <v>3</v>
      </c>
      <c r="M374" s="1">
        <f>MAX(-16, MIN(16, Games[[#This Row],[RestDiff]]*8))</f>
        <v>-16</v>
      </c>
      <c r="N374" s="1">
        <f>MAX(-16, MIN(16, Games[[#This Row],[OppRestDiff]]*8))</f>
        <v>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1527.5521617403947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1430.6747093234494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0.47250819661354587</v>
      </c>
      <c r="R374" s="1">
        <v>80</v>
      </c>
      <c r="S374" s="1">
        <v>81</v>
      </c>
      <c r="T374" s="1">
        <v>1</v>
      </c>
      <c r="U374" s="1">
        <f>Games[[#This Row],[PointsFor]]-Games[[#This Row],[PointsAgainst]]</f>
        <v>-1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0.20334538483265496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72.25</v>
      </c>
      <c r="Z374" s="4">
        <f>Games[[#This Row],[K]]*Games[[#This Row],[POMult]]</f>
        <v>72.25</v>
      </c>
      <c r="AA374" s="4">
        <f>(Games[[#This Row],[Keff]]*Games[[#This Row],[MOVMult]])*(Games[[#This Row],[Result]]-Games[[#This Row],[ExpectedWin%]])</f>
        <v>-6.9419505878107408</v>
      </c>
      <c r="AB374" s="4">
        <f>Games[[#This Row],[PreGmRate]]+Games[[#This Row],[RatingChange]]</f>
        <v>1520.610211152584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37462</v>
      </c>
      <c r="B375" s="2">
        <v>2002</v>
      </c>
      <c r="C375" s="2">
        <f>COUNTIFS(Games[Team],Games[[#This Row],[Team]],Games[Season],Games[[#This Row],[Season]],Games[Date],"&lt;=" &amp; Games[[#This Row],[Date]])</f>
        <v>22</v>
      </c>
      <c r="D375" s="2" t="s">
        <v>23</v>
      </c>
      <c r="E375" s="2" t="s">
        <v>29</v>
      </c>
      <c r="F375" s="1" t="s">
        <v>45</v>
      </c>
      <c r="G375" s="1" t="s">
        <v>89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5" s="2">
        <f>Games[[#This Row],[DaysOff]]-Games[[#This Row],[OppDaysOff]]</f>
        <v>3</v>
      </c>
      <c r="L375" s="2">
        <f>Games[[#This Row],[OppDaysOff]]-Games[[#This Row],[DaysOff]]</f>
        <v>-3</v>
      </c>
      <c r="M375" s="1">
        <f>MAX(-16, MIN(16, Games[[#This Row],[RestDiff]]*8))</f>
        <v>16</v>
      </c>
      <c r="N375" s="1">
        <f>MAX(-16, MIN(16, Games[[#This Row],[OppRestDiff]]*8))</f>
        <v>-16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1430.6747093234494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1527.5521617403947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0.52749180338645418</v>
      </c>
      <c r="R375" s="1">
        <v>81</v>
      </c>
      <c r="S375" s="1">
        <v>80</v>
      </c>
      <c r="T375" s="1">
        <v>1</v>
      </c>
      <c r="U375" s="1">
        <f>Games[[#This Row],[PointsFor]]-Games[[#This Row],[PointsAgainst]]</f>
        <v>1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0.20334538483265496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72.7</v>
      </c>
      <c r="Z375" s="4">
        <f>Games[[#This Row],[K]]*Games[[#This Row],[POMult]]</f>
        <v>72.7</v>
      </c>
      <c r="AA375" s="4">
        <f>(Games[[#This Row],[Keff]]*Games[[#This Row],[MOVMult]])*(Games[[#This Row],[Result]]-Games[[#This Row],[ExpectedWin%]])</f>
        <v>6.9851876502953756</v>
      </c>
      <c r="AB375" s="4">
        <f>Games[[#This Row],[PreGmRate]]+Games[[#This Row],[RatingChange]]</f>
        <v>1437.6598969737447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37463</v>
      </c>
      <c r="B376" s="2">
        <v>2002</v>
      </c>
      <c r="C376" s="2">
        <f>COUNTIFS(Games[Team],Games[[#This Row],[Team]],Games[Season],Games[[#This Row],[Season]],Games[Date],"&lt;=" &amp; Games[[#This Row],[Date]])</f>
        <v>23</v>
      </c>
      <c r="D376" s="2" t="s">
        <v>23</v>
      </c>
      <c r="E376" s="2" t="s">
        <v>29</v>
      </c>
      <c r="F376" s="1" t="s">
        <v>80</v>
      </c>
      <c r="G376" s="1" t="s">
        <v>85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6" s="2">
        <f>Games[[#This Row],[DaysOff]]-Games[[#This Row],[OppDaysOff]]</f>
        <v>-2</v>
      </c>
      <c r="L376" s="2">
        <f>Games[[#This Row],[OppDaysOff]]-Games[[#This Row],[DaysOff]]</f>
        <v>2</v>
      </c>
      <c r="M376" s="1">
        <f>MAX(-16, MIN(16, Games[[#This Row],[RestDiff]]*8))</f>
        <v>-16</v>
      </c>
      <c r="N376" s="1">
        <f>MAX(-16, MIN(16, Games[[#This Row],[OppRestDiff]]*8))</f>
        <v>16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1405.6787197484389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1413.1143834185816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0.32947670359819747</v>
      </c>
      <c r="R376" s="1">
        <v>63</v>
      </c>
      <c r="S376" s="1">
        <v>73</v>
      </c>
      <c r="T376" s="1">
        <v>0</v>
      </c>
      <c r="U376" s="1">
        <f>Games[[#This Row],[PointsFor]]-Games[[#This Row],[PointsAgainst]]</f>
        <v>-10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0.42052397032514161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72.55</v>
      </c>
      <c r="Z376" s="4">
        <f>Games[[#This Row],[K]]*Games[[#This Row],[POMult]]</f>
        <v>72.55</v>
      </c>
      <c r="AA376" s="4">
        <f>(Games[[#This Row],[Keff]]*Games[[#This Row],[MOVMult]])*(Games[[#This Row],[Result]]-Games[[#This Row],[ExpectedWin%]])</f>
        <v>-10.052009378265993</v>
      </c>
      <c r="AB376" s="4">
        <f>Games[[#This Row],[PreGmRate]]+Games[[#This Row],[RatingChange]]</f>
        <v>1395.626710370173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37463</v>
      </c>
      <c r="B377" s="2">
        <v>2002</v>
      </c>
      <c r="C377" s="2">
        <f>COUNTIFS(Games[Team],Games[[#This Row],[Team]],Games[Season],Games[[#This Row],[Season]],Games[Date],"&lt;=" &amp; Games[[#This Row],[Date]])</f>
        <v>23</v>
      </c>
      <c r="D377" s="2" t="s">
        <v>23</v>
      </c>
      <c r="E377" s="2" t="s">
        <v>29</v>
      </c>
      <c r="F377" s="1" t="s">
        <v>85</v>
      </c>
      <c r="G377" s="1" t="s">
        <v>80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2</v>
      </c>
      <c r="L377" s="2">
        <f>Games[[#This Row],[OppDaysOff]]-Games[[#This Row],[DaysOff]]</f>
        <v>-2</v>
      </c>
      <c r="M377" s="1">
        <f>MAX(-16, MIN(16, Games[[#This Row],[RestDiff]]*8))</f>
        <v>16</v>
      </c>
      <c r="N377" s="1">
        <f>MAX(-16, MIN(16, Games[[#This Row],[OppRestDiff]]*8))</f>
        <v>-16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1413.1143834185816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1405.6787197484389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0.67052329640180253</v>
      </c>
      <c r="R377" s="1">
        <v>73</v>
      </c>
      <c r="S377" s="1">
        <v>63</v>
      </c>
      <c r="T377" s="1">
        <v>0</v>
      </c>
      <c r="U377" s="1">
        <f>Games[[#This Row],[PointsFor]]-Games[[#This Row],[PointsAgainst]]</f>
        <v>10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0.42052397032514161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72.55</v>
      </c>
      <c r="Z377" s="4">
        <f>Games[[#This Row],[K]]*Games[[#This Row],[POMult]]</f>
        <v>72.55</v>
      </c>
      <c r="AA377" s="4">
        <f>(Games[[#This Row],[Keff]]*Games[[#This Row],[MOVMult]])*(Games[[#This Row],[Result]]-Games[[#This Row],[ExpectedWin%]])</f>
        <v>10.052009378265993</v>
      </c>
      <c r="AB377" s="4">
        <f>Games[[#This Row],[PreGmRate]]+Games[[#This Row],[RatingChange]]</f>
        <v>1423.1663927968475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37463</v>
      </c>
      <c r="B378" s="2">
        <v>2002</v>
      </c>
      <c r="C378" s="2">
        <f>COUNTIFS(Games[Team],Games[[#This Row],[Team]],Games[Season],Games[[#This Row],[Season]],Games[Date],"&lt;=" &amp; Games[[#This Row],[Date]])</f>
        <v>23</v>
      </c>
      <c r="D378" s="2" t="s">
        <v>23</v>
      </c>
      <c r="E378" s="2" t="s">
        <v>29</v>
      </c>
      <c r="F378" s="1" t="s">
        <v>44</v>
      </c>
      <c r="G378" s="1" t="s">
        <v>43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3</v>
      </c>
      <c r="L378" s="2">
        <f>Games[[#This Row],[OppDaysOff]]-Games[[#This Row],[DaysOff]]</f>
        <v>-3</v>
      </c>
      <c r="M378" s="1">
        <f>MAX(-16, MIN(16, Games[[#This Row],[RestDiff]]*8))</f>
        <v>16</v>
      </c>
      <c r="N378" s="1">
        <f>MAX(-16, MIN(16, Games[[#This Row],[OppRestDiff]]*8))</f>
        <v>-16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1409.4384310831949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1585.2166242365518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0.21228666512737945</v>
      </c>
      <c r="R378" s="1">
        <v>61</v>
      </c>
      <c r="S378" s="1">
        <v>74</v>
      </c>
      <c r="T378" s="1">
        <v>0</v>
      </c>
      <c r="U378" s="1">
        <f>Games[[#This Row],[PointsFor]]-Games[[#This Row],[PointsAgainst]]</f>
        <v>-13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0.41173243593765779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72.55</v>
      </c>
      <c r="Z378" s="4">
        <f>Games[[#This Row],[K]]*Games[[#This Row],[POMult]]</f>
        <v>72.55</v>
      </c>
      <c r="AA378" s="4">
        <f>(Games[[#This Row],[Keff]]*Games[[#This Row],[MOVMult]])*(Games[[#This Row],[Result]]-Games[[#This Row],[ExpectedWin%]])</f>
        <v>-6.3412549321608873</v>
      </c>
      <c r="AB378" s="4">
        <f>Games[[#This Row],[PreGmRate]]+Games[[#This Row],[RatingChange]]</f>
        <v>1403.0971761510341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37463</v>
      </c>
      <c r="B379" s="2">
        <v>2002</v>
      </c>
      <c r="C379" s="2">
        <f>COUNTIFS(Games[Team],Games[[#This Row],[Team]],Games[Season],Games[[#This Row],[Season]],Games[Date],"&lt;=" &amp; Games[[#This Row],[Date]])</f>
        <v>25</v>
      </c>
      <c r="D379" s="2" t="s">
        <v>23</v>
      </c>
      <c r="E379" s="2" t="s">
        <v>29</v>
      </c>
      <c r="F379" s="1" t="s">
        <v>43</v>
      </c>
      <c r="G379" s="1" t="s">
        <v>44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9" s="2">
        <f>Games[[#This Row],[DaysOff]]-Games[[#This Row],[OppDaysOff]]</f>
        <v>-3</v>
      </c>
      <c r="L379" s="2">
        <f>Games[[#This Row],[OppDaysOff]]-Games[[#This Row],[DaysOff]]</f>
        <v>3</v>
      </c>
      <c r="M379" s="1">
        <f>MAX(-16, MIN(16, Games[[#This Row],[RestDiff]]*8))</f>
        <v>-16</v>
      </c>
      <c r="N379" s="1">
        <f>MAX(-16, MIN(16, Games[[#This Row],[OppRestDiff]]*8))</f>
        <v>16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1585.2166242365518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1409.4384310831949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0.78771333487262052</v>
      </c>
      <c r="R379" s="1">
        <v>74</v>
      </c>
      <c r="S379" s="1">
        <v>61</v>
      </c>
      <c r="T379" s="1">
        <v>0</v>
      </c>
      <c r="U379" s="1">
        <f>Games[[#This Row],[PointsFor]]-Games[[#This Row],[PointsAgainst]]</f>
        <v>13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0.41173243593765779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72.25</v>
      </c>
      <c r="Z379" s="4">
        <f>Games[[#This Row],[K]]*Games[[#This Row],[POMult]]</f>
        <v>72.25</v>
      </c>
      <c r="AA379" s="4">
        <f>(Games[[#This Row],[Keff]]*Games[[#This Row],[MOVMult]])*(Games[[#This Row],[Result]]-Games[[#This Row],[ExpectedWin%]])</f>
        <v>6.3150333404358951</v>
      </c>
      <c r="AB379" s="4">
        <f>Games[[#This Row],[PreGmRate]]+Games[[#This Row],[RatingChange]]</f>
        <v>1591.5316575769878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37464</v>
      </c>
      <c r="B380" s="2">
        <v>2002</v>
      </c>
      <c r="C380" s="2">
        <f>COUNTIFS(Games[Team],Games[[#This Row],[Team]],Games[Season],Games[[#This Row],[Season]],Games[Date],"&lt;=" &amp; Games[[#This Row],[Date]])</f>
        <v>24</v>
      </c>
      <c r="D380" s="2" t="s">
        <v>23</v>
      </c>
      <c r="E380" s="2" t="s">
        <v>29</v>
      </c>
      <c r="F380" s="1" t="s">
        <v>77</v>
      </c>
      <c r="G380" s="1" t="s">
        <v>64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0" s="2">
        <f>Games[[#This Row],[DaysOff]]-Games[[#This Row],[OppDaysOff]]</f>
        <v>0</v>
      </c>
      <c r="L380" s="2">
        <f>Games[[#This Row],[OppDaysOff]]-Games[[#This Row],[DaysOff]]</f>
        <v>0</v>
      </c>
      <c r="M380" s="1">
        <f>MAX(-16, MIN(16, Games[[#This Row],[RestDiff]]*8))</f>
        <v>0</v>
      </c>
      <c r="N380" s="1">
        <f>MAX(-16, MIN(16, Games[[#This Row],[OppRestDiff]]*8))</f>
        <v>0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1371.3924061631785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1558.1701051695998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0.17383014651858858</v>
      </c>
      <c r="R380" s="1">
        <v>74</v>
      </c>
      <c r="S380" s="1">
        <v>66</v>
      </c>
      <c r="T380" s="1">
        <v>0</v>
      </c>
      <c r="U380" s="1">
        <f>Games[[#This Row],[PointsFor]]-Games[[#This Row],[PointsAgainst]]</f>
        <v>8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0.33601538468455638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72.400000000000006</v>
      </c>
      <c r="Z380" s="4">
        <f>Games[[#This Row],[K]]*Games[[#This Row],[POMult]]</f>
        <v>72.400000000000006</v>
      </c>
      <c r="AA380" s="4">
        <f>(Games[[#This Row],[Keff]]*Games[[#This Row],[MOVMult]])*(Games[[#This Row],[Result]]-Games[[#This Row],[ExpectedWin%]])</f>
        <v>20.098658553981423</v>
      </c>
      <c r="AB380" s="4">
        <f>Games[[#This Row],[PreGmRate]]+Games[[#This Row],[RatingChange]]</f>
        <v>1391.49106471716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37464</v>
      </c>
      <c r="B381" s="2">
        <v>2002</v>
      </c>
      <c r="C381" s="2">
        <f>COUNTIFS(Games[Team],Games[[#This Row],[Team]],Games[Season],Games[[#This Row],[Season]],Games[Date],"&lt;=" &amp; Games[[#This Row],[Date]])</f>
        <v>25</v>
      </c>
      <c r="D381" s="2" t="s">
        <v>23</v>
      </c>
      <c r="E381" s="2" t="s">
        <v>29</v>
      </c>
      <c r="F381" s="1" t="s">
        <v>64</v>
      </c>
      <c r="G381" s="1" t="s">
        <v>77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1" s="2">
        <f>Games[[#This Row],[DaysOff]]-Games[[#This Row],[OppDaysOff]]</f>
        <v>0</v>
      </c>
      <c r="L381" s="2">
        <f>Games[[#This Row],[OppDaysOff]]-Games[[#This Row],[DaysOff]]</f>
        <v>0</v>
      </c>
      <c r="M381" s="1">
        <f>MAX(-16, MIN(16, Games[[#This Row],[RestDiff]]*8))</f>
        <v>0</v>
      </c>
      <c r="N381" s="1">
        <f>MAX(-16, MIN(16, Games[[#This Row],[OppRestDiff]]*8))</f>
        <v>0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1558.1701051695998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1371.3924061631785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0.82616985348141148</v>
      </c>
      <c r="R381" s="1">
        <v>66</v>
      </c>
      <c r="S381" s="1">
        <v>74</v>
      </c>
      <c r="T381" s="1">
        <v>0</v>
      </c>
      <c r="U381" s="1">
        <f>Games[[#This Row],[PointsFor]]-Games[[#This Row],[PointsAgainst]]</f>
        <v>-8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0.33601538468455638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72.25</v>
      </c>
      <c r="Z381" s="4">
        <f>Games[[#This Row],[K]]*Games[[#This Row],[POMult]]</f>
        <v>72.25</v>
      </c>
      <c r="AA381" s="4">
        <f>(Games[[#This Row],[Keff]]*Games[[#This Row],[MOVMult]])*(Games[[#This Row],[Result]]-Games[[#This Row],[ExpectedWin%]])</f>
        <v>-20.057017686811569</v>
      </c>
      <c r="AB381" s="4">
        <f>Games[[#This Row],[PreGmRate]]+Games[[#This Row],[RatingChange]]</f>
        <v>1538.1130874827882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37464</v>
      </c>
      <c r="B382" s="2">
        <v>2002</v>
      </c>
      <c r="C382" s="2">
        <f>COUNTIFS(Games[Team],Games[[#This Row],[Team]],Games[Season],Games[[#This Row],[Season]],Games[Date],"&lt;=" &amp; Games[[#This Row],[Date]])</f>
        <v>23</v>
      </c>
      <c r="D382" s="2" t="s">
        <v>23</v>
      </c>
      <c r="E382" s="2" t="s">
        <v>29</v>
      </c>
      <c r="F382" s="1" t="s">
        <v>45</v>
      </c>
      <c r="G382" s="1" t="s">
        <v>44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2" s="2">
        <f>Games[[#This Row],[DaysOff]]-Games[[#This Row],[OppDaysOff]]</f>
        <v>1</v>
      </c>
      <c r="L382" s="2">
        <f>Games[[#This Row],[OppDaysOff]]-Games[[#This Row],[DaysOff]]</f>
        <v>-1</v>
      </c>
      <c r="M382" s="1">
        <f>MAX(-16, MIN(16, Games[[#This Row],[RestDiff]]*8))</f>
        <v>8</v>
      </c>
      <c r="N382" s="1">
        <f>MAX(-16, MIN(16, Games[[#This Row],[OppRestDiff]]*8))</f>
        <v>-8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1437.6598969737447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1403.0971761510341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0.4520279045062362</v>
      </c>
      <c r="R382" s="1">
        <v>79</v>
      </c>
      <c r="S382" s="1">
        <v>64</v>
      </c>
      <c r="T382" s="1">
        <v>0</v>
      </c>
      <c r="U382" s="1">
        <f>Games[[#This Row],[PointsFor]]-Games[[#This Row],[PointsAgainst]]</f>
        <v>15</v>
      </c>
      <c r="V382" s="1">
        <f>IF(Games[[#This Row],[MOV]]&gt;0,1,IF(Games[[#This Row],[MOV]]=0,0.5,0))</f>
        <v>1</v>
      </c>
      <c r="W382" s="4">
        <f>((ABS(Games[[#This Row],[MOV]])+5)^0.6)/(12+0.01*(ABS(Games[[#This Row],[PreGmRate]]-Games[[#This Row],[OppPreGmRate]])))*IF(Games[[#This Row],[OT]]=1,0.9,1)</f>
        <v>0.48877033420578225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72.55</v>
      </c>
      <c r="Z382" s="4">
        <f>Games[[#This Row],[K]]*Games[[#This Row],[POMult]]</f>
        <v>72.55</v>
      </c>
      <c r="AA382" s="4">
        <f>(Games[[#This Row],[Keff]]*Games[[#This Row],[MOVMult]])*(Games[[#This Row],[Result]]-Games[[#This Row],[ExpectedWin%]])</f>
        <v>19.431248183332404</v>
      </c>
      <c r="AB382" s="4">
        <f>Games[[#This Row],[PreGmRate]]+Games[[#This Row],[RatingChange]]</f>
        <v>1457.0911451570771</v>
      </c>
      <c r="AC382" s="2">
        <f>IF(Games[[#This Row],[Type]]="R",IF(Games[[#This Row],[Result]]&gt;0.5,1,0),0)</f>
        <v>1</v>
      </c>
      <c r="AD382" s="2">
        <f>IF(Games[[#This Row],[Type]]="R",IF(Games[[#This Row],[Result]]&lt;0.5,1,0),0)</f>
        <v>0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37464</v>
      </c>
      <c r="B383" s="2">
        <v>2002</v>
      </c>
      <c r="C383" s="2">
        <f>COUNTIFS(Games[Team],Games[[#This Row],[Team]],Games[Season],Games[[#This Row],[Season]],Games[Date],"&lt;=" &amp; Games[[#This Row],[Date]])</f>
        <v>24</v>
      </c>
      <c r="D383" s="2" t="s">
        <v>23</v>
      </c>
      <c r="E383" s="2" t="s">
        <v>29</v>
      </c>
      <c r="F383" s="1" t="s">
        <v>44</v>
      </c>
      <c r="G383" s="1" t="s">
        <v>45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3" s="2">
        <f>Games[[#This Row],[DaysOff]]-Games[[#This Row],[OppDaysOff]]</f>
        <v>-1</v>
      </c>
      <c r="L383" s="2">
        <f>Games[[#This Row],[OppDaysOff]]-Games[[#This Row],[DaysOff]]</f>
        <v>1</v>
      </c>
      <c r="M383" s="1">
        <f>MAX(-16, MIN(16, Games[[#This Row],[RestDiff]]*8))</f>
        <v>-8</v>
      </c>
      <c r="N383" s="1">
        <f>MAX(-16, MIN(16, Games[[#This Row],[OppRestDiff]]*8))</f>
        <v>8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1403.0971761510341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1437.6598969737447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0.5479720954937638</v>
      </c>
      <c r="R383" s="1">
        <v>64</v>
      </c>
      <c r="S383" s="1">
        <v>79</v>
      </c>
      <c r="T383" s="1">
        <v>0</v>
      </c>
      <c r="U383" s="1">
        <f>Games[[#This Row],[PointsFor]]-Games[[#This Row],[PointsAgainst]]</f>
        <v>-15</v>
      </c>
      <c r="V383" s="1">
        <f>IF(Games[[#This Row],[MOV]]&gt;0,1,IF(Games[[#This Row],[MOV]]=0,0.5,0))</f>
        <v>0</v>
      </c>
      <c r="W383" s="4">
        <f>((ABS(Games[[#This Row],[MOV]])+5)^0.6)/(12+0.01*(ABS(Games[[#This Row],[PreGmRate]]-Games[[#This Row],[OppPreGmRate]])))*IF(Games[[#This Row],[OT]]=1,0.9,1)</f>
        <v>0.48877033420578225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72.400000000000006</v>
      </c>
      <c r="Z383" s="4">
        <f>Games[[#This Row],[K]]*Games[[#This Row],[POMult]]</f>
        <v>72.400000000000006</v>
      </c>
      <c r="AA383" s="4">
        <f>(Games[[#This Row],[Keff]]*Games[[#This Row],[MOVMult]])*(Games[[#This Row],[Result]]-Games[[#This Row],[ExpectedWin%]])</f>
        <v>-19.391073307694917</v>
      </c>
      <c r="AB383" s="4">
        <f>Games[[#This Row],[PreGmRate]]+Games[[#This Row],[RatingChange]]</f>
        <v>1383.7061028433391</v>
      </c>
      <c r="AC383" s="2">
        <f>IF(Games[[#This Row],[Type]]="R",IF(Games[[#This Row],[Result]]&gt;0.5,1,0),0)</f>
        <v>0</v>
      </c>
      <c r="AD383" s="2">
        <f>IF(Games[[#This Row],[Type]]="R",IF(Games[[#This Row],[Result]]&lt;0.5,1,0),0)</f>
        <v>1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37464</v>
      </c>
      <c r="B384" s="2">
        <v>2002</v>
      </c>
      <c r="C384" s="2">
        <f>COUNTIFS(Games[Team],Games[[#This Row],[Team]],Games[Season],Games[[#This Row],[Season]],Games[Date],"&lt;=" &amp; Games[[#This Row],[Date]])</f>
        <v>25</v>
      </c>
      <c r="D384" s="2" t="s">
        <v>23</v>
      </c>
      <c r="E384" s="2" t="s">
        <v>29</v>
      </c>
      <c r="F384" s="1" t="s">
        <v>83</v>
      </c>
      <c r="G384" s="1" t="s">
        <v>89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1488.9892398778891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1520.610211152584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0.33948999106927247</v>
      </c>
      <c r="R384" s="1">
        <v>61</v>
      </c>
      <c r="S384" s="1">
        <v>71</v>
      </c>
      <c r="T384" s="1">
        <v>0</v>
      </c>
      <c r="U384" s="1">
        <f>Games[[#This Row],[PointsFor]]-Games[[#This Row],[PointsAgainst]]</f>
        <v>-10</v>
      </c>
      <c r="V384" s="1">
        <f>IF(Games[[#This Row],[MOV]]&gt;0,1,IF(Games[[#This Row],[MOV]]=0,0.5,0))</f>
        <v>0</v>
      </c>
      <c r="W384" s="4">
        <f>((ABS(Games[[#This Row],[MOV]])+5)^0.6)/(12+0.01*(ABS(Games[[#This Row],[PreGmRate]]-Games[[#This Row],[OppPreGmRate]])))*IF(Games[[#This Row],[OT]]=1,0.9,1)</f>
        <v>0.41226615252680143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72.25</v>
      </c>
      <c r="Z384" s="4">
        <f>Games[[#This Row],[K]]*Games[[#This Row],[POMult]]</f>
        <v>72.25</v>
      </c>
      <c r="AA384" s="4">
        <f>(Games[[#This Row],[Keff]]*Games[[#This Row],[MOVMult]])*(Games[[#This Row],[Result]]-Games[[#This Row],[ExpectedWin%]])</f>
        <v>-10.112126793752946</v>
      </c>
      <c r="AB384" s="4">
        <f>Games[[#This Row],[PreGmRate]]+Games[[#This Row],[RatingChange]]</f>
        <v>1478.8771130841362</v>
      </c>
      <c r="AC384" s="2">
        <f>IF(Games[[#This Row],[Type]]="R",IF(Games[[#This Row],[Result]]&gt;0.5,1,0),0)</f>
        <v>0</v>
      </c>
      <c r="AD384" s="2">
        <f>IF(Games[[#This Row],[Type]]="R",IF(Games[[#This Row],[Result]]&lt;0.5,1,0),0)</f>
        <v>1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37464</v>
      </c>
      <c r="B385" s="2">
        <v>2002</v>
      </c>
      <c r="C385" s="2">
        <f>COUNTIFS(Games[Team],Games[[#This Row],[Team]],Games[Season],Games[[#This Row],[Season]],Games[Date],"&lt;=" &amp; Games[[#This Row],[Date]])</f>
        <v>26</v>
      </c>
      <c r="D385" s="2" t="s">
        <v>23</v>
      </c>
      <c r="E385" s="2" t="s">
        <v>29</v>
      </c>
      <c r="F385" s="1" t="s">
        <v>89</v>
      </c>
      <c r="G385" s="1" t="s">
        <v>83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1520.610211152584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1488.9892398778891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0.66051000893072742</v>
      </c>
      <c r="R385" s="1">
        <v>71</v>
      </c>
      <c r="S385" s="1">
        <v>61</v>
      </c>
      <c r="T385" s="1">
        <v>0</v>
      </c>
      <c r="U385" s="1">
        <f>Games[[#This Row],[PointsFor]]-Games[[#This Row],[PointsAgainst]]</f>
        <v>10</v>
      </c>
      <c r="V385" s="1">
        <f>IF(Games[[#This Row],[MOV]]&gt;0,1,IF(Games[[#This Row],[MOV]]=0,0.5,0))</f>
        <v>1</v>
      </c>
      <c r="W385" s="4">
        <f>((ABS(Games[[#This Row],[MOV]])+5)^0.6)/(12+0.01*(ABS(Games[[#This Row],[PreGmRate]]-Games[[#This Row],[OppPreGmRate]])))*IF(Games[[#This Row],[OT]]=1,0.9,1)</f>
        <v>0.41226615252680143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72.099999999999994</v>
      </c>
      <c r="Z385" s="4">
        <f>Games[[#This Row],[K]]*Games[[#This Row],[POMult]]</f>
        <v>72.099999999999994</v>
      </c>
      <c r="AA385" s="4">
        <f>(Games[[#This Row],[Keff]]*Games[[#This Row],[MOVMult]])*(Games[[#This Row],[Result]]-Games[[#This Row],[ExpectedWin%]])</f>
        <v>10.091132758887024</v>
      </c>
      <c r="AB385" s="4">
        <f>Games[[#This Row],[PreGmRate]]+Games[[#This Row],[RatingChange]]</f>
        <v>1530.701343911471</v>
      </c>
      <c r="AC385" s="2">
        <f>IF(Games[[#This Row],[Type]]="R",IF(Games[[#This Row],[Result]]&gt;0.5,1,0),0)</f>
        <v>1</v>
      </c>
      <c r="AD385" s="2">
        <f>IF(Games[[#This Row],[Type]]="R",IF(Games[[#This Row],[Result]]&lt;0.5,1,0),0)</f>
        <v>0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37464</v>
      </c>
      <c r="B386" s="2">
        <v>2002</v>
      </c>
      <c r="C386" s="2">
        <f>COUNTIFS(Games[Team],Games[[#This Row],[Team]],Games[Season],Games[[#This Row],[Season]],Games[Date],"&lt;=" &amp; Games[[#This Row],[Date]])</f>
        <v>25</v>
      </c>
      <c r="D386" s="2" t="s">
        <v>23</v>
      </c>
      <c r="E386" s="2" t="s">
        <v>29</v>
      </c>
      <c r="F386" s="1" t="s">
        <v>87</v>
      </c>
      <c r="G386" s="1" t="s">
        <v>75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1481.5448785416427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1510.0133654566885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0.34357102233420067</v>
      </c>
      <c r="R386" s="1">
        <v>80</v>
      </c>
      <c r="S386" s="1">
        <v>71</v>
      </c>
      <c r="T386" s="1">
        <v>0</v>
      </c>
      <c r="U386" s="1">
        <f>Games[[#This Row],[PointsFor]]-Games[[#This Row],[PointsAgainst]]</f>
        <v>9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0.39656355679100225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6" s="9">
        <f>MAX(kmin, kmax - 0.15 * MIN(Games[[#This Row],[GamesPlayed]], 82))</f>
        <v>72.25</v>
      </c>
      <c r="Z386" s="4">
        <f>Games[[#This Row],[K]]*Games[[#This Row],[POMult]]</f>
        <v>72.25</v>
      </c>
      <c r="AA386" s="4">
        <f>(Games[[#This Row],[Keff]]*Games[[#This Row],[MOVMult]])*(Games[[#This Row],[Result]]-Games[[#This Row],[ExpectedWin%]])</f>
        <v>18.807817284336775</v>
      </c>
      <c r="AB386" s="4">
        <f>Games[[#This Row],[PreGmRate]]+Games[[#This Row],[RatingChange]]</f>
        <v>1500.3526958259795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37464</v>
      </c>
      <c r="B387" s="2">
        <v>2002</v>
      </c>
      <c r="C387" s="2">
        <f>COUNTIFS(Games[Team],Games[[#This Row],[Team]],Games[Season],Games[[#This Row],[Season]],Games[Date],"&lt;=" &amp; Games[[#This Row],[Date]])</f>
        <v>24</v>
      </c>
      <c r="D387" s="2" t="s">
        <v>23</v>
      </c>
      <c r="E387" s="2" t="s">
        <v>29</v>
      </c>
      <c r="F387" s="1" t="s">
        <v>75</v>
      </c>
      <c r="G387" s="1" t="s">
        <v>87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1510.0133654566885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1481.5448785416427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0.65642897766579944</v>
      </c>
      <c r="R387" s="1">
        <v>71</v>
      </c>
      <c r="S387" s="1">
        <v>80</v>
      </c>
      <c r="T387" s="1">
        <v>0</v>
      </c>
      <c r="U387" s="1">
        <f>Games[[#This Row],[PointsFor]]-Games[[#This Row],[PointsAgainst]]</f>
        <v>-9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0.39656355679100225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7" s="9">
        <f>MAX(kmin, kmax - 0.15 * MIN(Games[[#This Row],[GamesPlayed]], 82))</f>
        <v>72.400000000000006</v>
      </c>
      <c r="Z387" s="4">
        <f>Games[[#This Row],[K]]*Games[[#This Row],[POMult]]</f>
        <v>72.400000000000006</v>
      </c>
      <c r="AA387" s="4">
        <f>(Games[[#This Row],[Keff]]*Games[[#This Row],[MOVMult]])*(Games[[#This Row],[Result]]-Games[[#This Row],[ExpectedWin%]])</f>
        <v>-18.846864655861353</v>
      </c>
      <c r="AB387" s="4">
        <f>Games[[#This Row],[PreGmRate]]+Games[[#This Row],[RatingChange]]</f>
        <v>1491.1665008008272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37465</v>
      </c>
      <c r="B388" s="2">
        <v>2002</v>
      </c>
      <c r="C388" s="2">
        <f>COUNTIFS(Games[Team],Games[[#This Row],[Team]],Games[Season],Games[[#This Row],[Season]],Games[Date],"&lt;=" &amp; Games[[#This Row],[Date]])</f>
        <v>24</v>
      </c>
      <c r="D388" s="2" t="s">
        <v>23</v>
      </c>
      <c r="E388" s="2" t="s">
        <v>29</v>
      </c>
      <c r="F388" s="1" t="s">
        <v>79</v>
      </c>
      <c r="G388" s="1" t="s">
        <v>1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1445.2017934356584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1476.6907465448535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0.33966042212205066</v>
      </c>
      <c r="R388" s="1">
        <v>76</v>
      </c>
      <c r="S388" s="1">
        <v>70</v>
      </c>
      <c r="T388" s="1">
        <v>1</v>
      </c>
      <c r="U388" s="1">
        <f>Games[[#This Row],[PointsFor]]-Games[[#This Row],[PointsAgainst]]</f>
        <v>6</v>
      </c>
      <c r="V388" s="1">
        <f>IF(Games[[#This Row],[MOV]]&gt;0,1,IF(Games[[#This Row],[MOV]]=0,0.5,0))</f>
        <v>1</v>
      </c>
      <c r="W388" s="4">
        <f>((ABS(Games[[#This Row],[MOV]])+5)^0.6)/(12+0.01*(ABS(Games[[#This Row],[PreGmRate]]-Games[[#This Row],[OppPreGmRate]])))*IF(Games[[#This Row],[OT]]=1,0.9,1)</f>
        <v>0.30806871715773432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8" s="9">
        <f>MAX(kmin, kmax - 0.15 * MIN(Games[[#This Row],[GamesPlayed]], 82))</f>
        <v>72.400000000000006</v>
      </c>
      <c r="Z388" s="4">
        <f>Games[[#This Row],[K]]*Games[[#This Row],[POMult]]</f>
        <v>72.400000000000006</v>
      </c>
      <c r="AA388" s="4">
        <f>(Games[[#This Row],[Keff]]*Games[[#This Row],[MOVMult]])*(Games[[#This Row],[Result]]-Games[[#This Row],[ExpectedWin%]])</f>
        <v>14.728329585122591</v>
      </c>
      <c r="AB388" s="4">
        <f>Games[[#This Row],[PreGmRate]]+Games[[#This Row],[RatingChange]]</f>
        <v>1459.9301230207809</v>
      </c>
      <c r="AC388" s="2">
        <f>IF(Games[[#This Row],[Type]]="R",IF(Games[[#This Row],[Result]]&gt;0.5,1,0),0)</f>
        <v>1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37465</v>
      </c>
      <c r="B389" s="2">
        <v>2002</v>
      </c>
      <c r="C389" s="2">
        <f>COUNTIFS(Games[Team],Games[[#This Row],[Team]],Games[Season],Games[[#This Row],[Season]],Games[Date],"&lt;=" &amp; Games[[#This Row],[Date]])</f>
        <v>25</v>
      </c>
      <c r="D389" s="2" t="s">
        <v>23</v>
      </c>
      <c r="E389" s="2" t="s">
        <v>29</v>
      </c>
      <c r="F389" s="1" t="s">
        <v>1</v>
      </c>
      <c r="G389" s="1" t="s">
        <v>79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1476.6907465448535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1445.2017934356584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0.66033957787794928</v>
      </c>
      <c r="R389" s="1">
        <v>70</v>
      </c>
      <c r="S389" s="1">
        <v>76</v>
      </c>
      <c r="T389" s="1">
        <v>1</v>
      </c>
      <c r="U389" s="1">
        <f>Games[[#This Row],[PointsFor]]-Games[[#This Row],[PointsAgainst]]</f>
        <v>-6</v>
      </c>
      <c r="V389" s="1">
        <f>IF(Games[[#This Row],[MOV]]&gt;0,1,IF(Games[[#This Row],[MOV]]=0,0.5,0))</f>
        <v>0</v>
      </c>
      <c r="W389" s="4">
        <f>((ABS(Games[[#This Row],[MOV]])+5)^0.6)/(12+0.01*(ABS(Games[[#This Row],[PreGmRate]]-Games[[#This Row],[OppPreGmRate]])))*IF(Games[[#This Row],[OT]]=1,0.9,1)</f>
        <v>0.30806871715773432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9" s="9">
        <f>MAX(kmin, kmax - 0.15 * MIN(Games[[#This Row],[GamesPlayed]], 82))</f>
        <v>72.25</v>
      </c>
      <c r="Z389" s="4">
        <f>Games[[#This Row],[K]]*Games[[#This Row],[POMult]]</f>
        <v>72.25</v>
      </c>
      <c r="AA389" s="4">
        <f>(Games[[#This Row],[Keff]]*Games[[#This Row],[MOVMult]])*(Games[[#This Row],[Result]]-Games[[#This Row],[ExpectedWin%]])</f>
        <v>-14.697815090125788</v>
      </c>
      <c r="AB389" s="4">
        <f>Games[[#This Row],[PreGmRate]]+Games[[#This Row],[RatingChange]]</f>
        <v>1461.9929314547278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1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37465</v>
      </c>
      <c r="B390" s="2">
        <v>2002</v>
      </c>
      <c r="C390" s="2">
        <f>COUNTIFS(Games[Team],Games[[#This Row],[Team]],Games[Season],Games[[#This Row],[Season]],Games[Date],"&lt;=" &amp; Games[[#This Row],[Date]])</f>
        <v>26</v>
      </c>
      <c r="D390" s="2" t="s">
        <v>23</v>
      </c>
      <c r="E390" s="2" t="s">
        <v>29</v>
      </c>
      <c r="F390" s="1" t="s">
        <v>87</v>
      </c>
      <c r="G390" s="1" t="s">
        <v>77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0" s="2">
        <f>Games[[#This Row],[DaysOff]]-Games[[#This Row],[OppDaysOff]]</f>
        <v>0</v>
      </c>
      <c r="L390" s="2">
        <f>Games[[#This Row],[OppDaysOff]]-Games[[#This Row],[DaysOff]]</f>
        <v>0</v>
      </c>
      <c r="M390" s="1">
        <f>MAX(-16, MIN(16, Games[[#This Row],[RestDiff]]*8))</f>
        <v>0</v>
      </c>
      <c r="N390" s="1">
        <f>MAX(-16, MIN(16, Games[[#This Row],[OppRestDiff]]*8))</f>
        <v>0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1500.3526958259795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1391.49106471716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0.53571781991488687</v>
      </c>
      <c r="R390" s="1">
        <v>72</v>
      </c>
      <c r="S390" s="1">
        <v>59</v>
      </c>
      <c r="T390" s="1">
        <v>0</v>
      </c>
      <c r="U390" s="1">
        <f>Games[[#This Row],[PointsFor]]-Games[[#This Row],[PointsAgainst]]</f>
        <v>13</v>
      </c>
      <c r="V390" s="1">
        <f>IF(Games[[#This Row],[MOV]]&gt;0,1,IF(Games[[#This Row],[MOV]]=0,0.5,0))</f>
        <v>1</v>
      </c>
      <c r="W390" s="4">
        <f>((ABS(Games[[#This Row],[MOV]])+5)^0.6)/(12+0.01*(ABS(Games[[#This Row],[PreGmRate]]-Games[[#This Row],[OppPreGmRate]])))*IF(Games[[#This Row],[OT]]=1,0.9,1)</f>
        <v>0.43278257480667631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0" s="9">
        <f>MAX(kmin, kmax - 0.15 * MIN(Games[[#This Row],[GamesPlayed]], 82))</f>
        <v>72.099999999999994</v>
      </c>
      <c r="Z390" s="4">
        <f>Games[[#This Row],[K]]*Games[[#This Row],[POMult]]</f>
        <v>72.099999999999994</v>
      </c>
      <c r="AA390" s="4">
        <f>(Games[[#This Row],[Keff]]*Games[[#This Row],[MOVMult]])*(Games[[#This Row],[Result]]-Games[[#This Row],[ExpectedWin%]])</f>
        <v>14.48728641178805</v>
      </c>
      <c r="AB390" s="4">
        <f>Games[[#This Row],[PreGmRate]]+Games[[#This Row],[RatingChange]]</f>
        <v>1514.8399822377676</v>
      </c>
      <c r="AC390" s="2">
        <f>IF(Games[[#This Row],[Type]]="R",IF(Games[[#This Row],[Result]]&gt;0.5,1,0),0)</f>
        <v>1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37465</v>
      </c>
      <c r="B391" s="2">
        <v>2002</v>
      </c>
      <c r="C391" s="2">
        <f>COUNTIFS(Games[Team],Games[[#This Row],[Team]],Games[Season],Games[[#This Row],[Season]],Games[Date],"&lt;=" &amp; Games[[#This Row],[Date]])</f>
        <v>25</v>
      </c>
      <c r="D391" s="2" t="s">
        <v>23</v>
      </c>
      <c r="E391" s="2" t="s">
        <v>29</v>
      </c>
      <c r="F391" s="1" t="s">
        <v>77</v>
      </c>
      <c r="G391" s="1" t="s">
        <v>87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1" s="2">
        <f>Games[[#This Row],[DaysOff]]-Games[[#This Row],[OppDaysOff]]</f>
        <v>0</v>
      </c>
      <c r="L391" s="2">
        <f>Games[[#This Row],[OppDaysOff]]-Games[[#This Row],[DaysOff]]</f>
        <v>0</v>
      </c>
      <c r="M391" s="1">
        <f>MAX(-16, MIN(16, Games[[#This Row],[RestDiff]]*8))</f>
        <v>0</v>
      </c>
      <c r="N391" s="1">
        <f>MAX(-16, MIN(16, Games[[#This Row],[OppRestDiff]]*8))</f>
        <v>0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1391.49106471716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1500.3526958259795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0.46428218008511313</v>
      </c>
      <c r="R391" s="1">
        <v>59</v>
      </c>
      <c r="S391" s="1">
        <v>72</v>
      </c>
      <c r="T391" s="1">
        <v>0</v>
      </c>
      <c r="U391" s="1">
        <f>Games[[#This Row],[PointsFor]]-Games[[#This Row],[PointsAgainst]]</f>
        <v>-13</v>
      </c>
      <c r="V391" s="1">
        <f>IF(Games[[#This Row],[MOV]]&gt;0,1,IF(Games[[#This Row],[MOV]]=0,0.5,0))</f>
        <v>0</v>
      </c>
      <c r="W391" s="4">
        <f>((ABS(Games[[#This Row],[MOV]])+5)^0.6)/(12+0.01*(ABS(Games[[#This Row],[PreGmRate]]-Games[[#This Row],[OppPreGmRate]])))*IF(Games[[#This Row],[OT]]=1,0.9,1)</f>
        <v>0.43278257480667631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1" s="9">
        <f>MAX(kmin, kmax - 0.15 * MIN(Games[[#This Row],[GamesPlayed]], 82))</f>
        <v>72.25</v>
      </c>
      <c r="Z391" s="4">
        <f>Games[[#This Row],[K]]*Games[[#This Row],[POMult]]</f>
        <v>72.25</v>
      </c>
      <c r="AA391" s="4">
        <f>(Games[[#This Row],[Keff]]*Games[[#This Row],[MOVMult]])*(Games[[#This Row],[Result]]-Games[[#This Row],[ExpectedWin%]])</f>
        <v>-14.517426397388164</v>
      </c>
      <c r="AB391" s="4">
        <f>Games[[#This Row],[PreGmRate]]+Games[[#This Row],[RatingChange]]</f>
        <v>1376.9736383197719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1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37465</v>
      </c>
      <c r="B392" s="2">
        <v>2002</v>
      </c>
      <c r="C392" s="2">
        <f>COUNTIFS(Games[Team],Games[[#This Row],[Team]],Games[Season],Games[[#This Row],[Season]],Games[Date],"&lt;=" &amp; Games[[#This Row],[Date]])</f>
        <v>24</v>
      </c>
      <c r="D392" s="2" t="s">
        <v>23</v>
      </c>
      <c r="E392" s="2" t="s">
        <v>29</v>
      </c>
      <c r="F392" s="1" t="s">
        <v>85</v>
      </c>
      <c r="G392" s="1" t="s">
        <v>71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2" s="2">
        <f>Games[[#This Row],[DaysOff]]-Games[[#This Row],[OppDaysOff]]</f>
        <v>-2</v>
      </c>
      <c r="L392" s="2">
        <f>Games[[#This Row],[OppDaysOff]]-Games[[#This Row],[DaysOff]]</f>
        <v>2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1423.1663927968475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1698.4023239715673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9.5165458277915838E-2</v>
      </c>
      <c r="R392" s="1">
        <v>62</v>
      </c>
      <c r="S392" s="1">
        <v>80</v>
      </c>
      <c r="T392" s="1">
        <v>0</v>
      </c>
      <c r="U392" s="1">
        <f>Games[[#This Row],[PointsFor]]-Games[[#This Row],[PointsAgainst]]</f>
        <v>-18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0.44481069413016361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2" s="9">
        <f>MAX(kmin, kmax - 0.15 * MIN(Games[[#This Row],[GamesPlayed]], 82))</f>
        <v>72.400000000000006</v>
      </c>
      <c r="Z392" s="4">
        <f>Games[[#This Row],[K]]*Games[[#This Row],[POMult]]</f>
        <v>72.400000000000006</v>
      </c>
      <c r="AA392" s="4">
        <f>(Games[[#This Row],[Keff]]*Games[[#This Row],[MOVMult]])*(Games[[#This Row],[Result]]-Games[[#This Row],[ExpectedWin%]])</f>
        <v>-3.0647364212961965</v>
      </c>
      <c r="AB392" s="4">
        <f>Games[[#This Row],[PreGmRate]]+Games[[#This Row],[RatingChange]]</f>
        <v>1420.1016563755513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1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37465</v>
      </c>
      <c r="B393" s="2">
        <v>2002</v>
      </c>
      <c r="C393" s="2">
        <f>COUNTIFS(Games[Team],Games[[#This Row],[Team]],Games[Season],Games[[#This Row],[Season]],Games[Date],"&lt;=" &amp; Games[[#This Row],[Date]])</f>
        <v>24</v>
      </c>
      <c r="D393" s="2" t="s">
        <v>23</v>
      </c>
      <c r="E393" s="2" t="s">
        <v>29</v>
      </c>
      <c r="F393" s="1" t="s">
        <v>71</v>
      </c>
      <c r="G393" s="1" t="s">
        <v>85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3" s="2">
        <f>Games[[#This Row],[DaysOff]]-Games[[#This Row],[OppDaysOff]]</f>
        <v>2</v>
      </c>
      <c r="L393" s="2">
        <f>Games[[#This Row],[OppDaysOff]]-Games[[#This Row],[DaysOff]]</f>
        <v>-2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1698.4023239715673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1423.1663927968475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0.90483454172208422</v>
      </c>
      <c r="R393" s="1">
        <v>80</v>
      </c>
      <c r="S393" s="1">
        <v>62</v>
      </c>
      <c r="T393" s="1">
        <v>0</v>
      </c>
      <c r="U393" s="1">
        <f>Games[[#This Row],[PointsFor]]-Games[[#This Row],[PointsAgainst]]</f>
        <v>18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0.44481069413016361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3" s="9">
        <f>MAX(kmin, kmax - 0.15 * MIN(Games[[#This Row],[GamesPlayed]], 82))</f>
        <v>72.400000000000006</v>
      </c>
      <c r="Z393" s="4">
        <f>Games[[#This Row],[K]]*Games[[#This Row],[POMult]]</f>
        <v>72.400000000000006</v>
      </c>
      <c r="AA393" s="4">
        <f>(Games[[#This Row],[Keff]]*Games[[#This Row],[MOVMult]])*(Games[[#This Row],[Result]]-Games[[#This Row],[ExpectedWin%]])</f>
        <v>3.0647364212961947</v>
      </c>
      <c r="AB393" s="4">
        <f>Games[[#This Row],[PreGmRate]]+Games[[#This Row],[RatingChange]]</f>
        <v>1701.4670603928635</v>
      </c>
      <c r="AC393" s="2">
        <f>IF(Games[[#This Row],[Type]]="R",IF(Games[[#This Row],[Result]]&gt;0.5,1,0),0)</f>
        <v>1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37465</v>
      </c>
      <c r="B394" s="2">
        <v>2002</v>
      </c>
      <c r="C394" s="2">
        <f>COUNTIFS(Games[Team],Games[[#This Row],[Team]],Games[Season],Games[[#This Row],[Season]],Games[Date],"&lt;=" &amp; Games[[#This Row],[Date]])</f>
        <v>26</v>
      </c>
      <c r="D394" s="2" t="s">
        <v>23</v>
      </c>
      <c r="E394" s="2" t="s">
        <v>29</v>
      </c>
      <c r="F394" s="1" t="s">
        <v>2</v>
      </c>
      <c r="G394" s="1" t="s">
        <v>66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4" s="2">
        <f>Games[[#This Row],[DaysOff]]-Games[[#This Row],[OppDaysOff]]</f>
        <v>-2</v>
      </c>
      <c r="L394" s="2">
        <f>Games[[#This Row],[OppDaysOff]]-Games[[#This Row],[DaysOff]]</f>
        <v>2</v>
      </c>
      <c r="M394" s="1">
        <f>MAX(-16, MIN(16, Games[[#This Row],[RestDiff]]*8))</f>
        <v>-16</v>
      </c>
      <c r="N394" s="1">
        <f>MAX(-16, MIN(16, Games[[#This Row],[OppRestDiff]]*8))</f>
        <v>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1638.9710395373149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1557.2974961631164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0.45076036865585145</v>
      </c>
      <c r="R394" s="1">
        <v>56</v>
      </c>
      <c r="S394" s="1">
        <v>62</v>
      </c>
      <c r="T394" s="1">
        <v>0</v>
      </c>
      <c r="U394" s="1">
        <f>Games[[#This Row],[PointsFor]]-Games[[#This Row],[PointsAgainst]]</f>
        <v>-6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0.32889569694903009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4" s="9">
        <f>MAX(kmin, kmax - 0.15 * MIN(Games[[#This Row],[GamesPlayed]], 82))</f>
        <v>72.099999999999994</v>
      </c>
      <c r="Z394" s="4">
        <f>Games[[#This Row],[K]]*Games[[#This Row],[POMult]]</f>
        <v>72.099999999999994</v>
      </c>
      <c r="AA394" s="4">
        <f>(Games[[#This Row],[Keff]]*Games[[#This Row],[MOVMult]])*(Games[[#This Row],[Result]]-Games[[#This Row],[ExpectedWin%]])</f>
        <v>-10.689051798197502</v>
      </c>
      <c r="AB394" s="4">
        <f>Games[[#This Row],[PreGmRate]]+Games[[#This Row],[RatingChange]]</f>
        <v>1628.2819877391175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1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37465</v>
      </c>
      <c r="B395" s="2">
        <v>2002</v>
      </c>
      <c r="C395" s="2">
        <f>COUNTIFS(Games[Team],Games[[#This Row],[Team]],Games[Season],Games[[#This Row],[Season]],Games[Date],"&lt;=" &amp; Games[[#This Row],[Date]])</f>
        <v>25</v>
      </c>
      <c r="D395" s="2" t="s">
        <v>23</v>
      </c>
      <c r="E395" s="2" t="s">
        <v>29</v>
      </c>
      <c r="F395" s="1" t="s">
        <v>66</v>
      </c>
      <c r="G395" s="1" t="s">
        <v>2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2</v>
      </c>
      <c r="L395" s="2">
        <f>Games[[#This Row],[OppDaysOff]]-Games[[#This Row],[DaysOff]]</f>
        <v>-2</v>
      </c>
      <c r="M395" s="1">
        <f>MAX(-16, MIN(16, Games[[#This Row],[RestDiff]]*8))</f>
        <v>16</v>
      </c>
      <c r="N395" s="1">
        <f>MAX(-16, MIN(16, Games[[#This Row],[OppRestDiff]]*8))</f>
        <v>-16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1557.2974961631164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1638.9710395373149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0.54923963134414855</v>
      </c>
      <c r="R395" s="1">
        <v>62</v>
      </c>
      <c r="S395" s="1">
        <v>56</v>
      </c>
      <c r="T395" s="1">
        <v>0</v>
      </c>
      <c r="U395" s="1">
        <f>Games[[#This Row],[PointsFor]]-Games[[#This Row],[PointsAgainst]]</f>
        <v>6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0.32889569694903009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5" s="9">
        <f>MAX(kmin, kmax - 0.15 * MIN(Games[[#This Row],[GamesPlayed]], 82))</f>
        <v>72.25</v>
      </c>
      <c r="Z395" s="4">
        <f>Games[[#This Row],[K]]*Games[[#This Row],[POMult]]</f>
        <v>72.25</v>
      </c>
      <c r="AA395" s="4">
        <f>(Games[[#This Row],[Keff]]*Games[[#This Row],[MOVMult]])*(Games[[#This Row],[Result]]-Games[[#This Row],[ExpectedWin%]])</f>
        <v>10.711289770038414</v>
      </c>
      <c r="AB395" s="4">
        <f>Games[[#This Row],[PreGmRate]]+Games[[#This Row],[RatingChange]]</f>
        <v>1568.0087859331547</v>
      </c>
      <c r="AC395" s="2">
        <f>IF(Games[[#This Row],[Type]]="R",IF(Games[[#This Row],[Result]]&gt;0.5,1,0),0)</f>
        <v>1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37465</v>
      </c>
      <c r="B396" s="2">
        <v>2002</v>
      </c>
      <c r="C396" s="2">
        <f>COUNTIFS(Games[Team],Games[[#This Row],[Team]],Games[Season],Games[[#This Row],[Season]],Games[Date],"&lt;=" &amp; Games[[#This Row],[Date]])</f>
        <v>24</v>
      </c>
      <c r="D396" s="2" t="s">
        <v>23</v>
      </c>
      <c r="E396" s="2" t="s">
        <v>29</v>
      </c>
      <c r="F396" s="1" t="s">
        <v>80</v>
      </c>
      <c r="G396" s="1" t="s">
        <v>45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6" s="2">
        <f>Games[[#This Row],[DaysOff]]-Games[[#This Row],[OppDaysOff]]</f>
        <v>1</v>
      </c>
      <c r="L396" s="2">
        <f>Games[[#This Row],[OppDaysOff]]-Games[[#This Row],[DaysOff]]</f>
        <v>-1</v>
      </c>
      <c r="M396" s="1">
        <f>MAX(-16, MIN(16, Games[[#This Row],[RestDiff]]*8))</f>
        <v>8</v>
      </c>
      <c r="N396" s="1">
        <f>MAX(-16, MIN(16, Games[[#This Row],[OppRestDiff]]*8))</f>
        <v>-8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1395.626710370173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1457.0911451570771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0.3218556115297308</v>
      </c>
      <c r="R396" s="1">
        <v>56</v>
      </c>
      <c r="S396" s="1">
        <v>66</v>
      </c>
      <c r="T396" s="1">
        <v>0</v>
      </c>
      <c r="U396" s="1">
        <f>Games[[#This Row],[PointsFor]]-Games[[#This Row],[PointsAgainst]]</f>
        <v>-10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0.40251284554408751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6" s="9">
        <f>MAX(kmin, kmax - 0.15 * MIN(Games[[#This Row],[GamesPlayed]], 82))</f>
        <v>72.400000000000006</v>
      </c>
      <c r="Z396" s="4">
        <f>Games[[#This Row],[K]]*Games[[#This Row],[POMult]]</f>
        <v>72.400000000000006</v>
      </c>
      <c r="AA396" s="4">
        <f>(Games[[#This Row],[Keff]]*Games[[#This Row],[MOVMult]])*(Games[[#This Row],[Result]]-Games[[#This Row],[ExpectedWin%]])</f>
        <v>-9.3794937069043005</v>
      </c>
      <c r="AB396" s="4">
        <f>Games[[#This Row],[PreGmRate]]+Games[[#This Row],[RatingChange]]</f>
        <v>1386.2472166632688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1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37465</v>
      </c>
      <c r="B397" s="2">
        <v>2002</v>
      </c>
      <c r="C397" s="2">
        <f>COUNTIFS(Games[Team],Games[[#This Row],[Team]],Games[Season],Games[[#This Row],[Season]],Games[Date],"&lt;=" &amp; Games[[#This Row],[Date]])</f>
        <v>24</v>
      </c>
      <c r="D397" s="2" t="s">
        <v>23</v>
      </c>
      <c r="E397" s="2" t="s">
        <v>29</v>
      </c>
      <c r="F397" s="1" t="s">
        <v>45</v>
      </c>
      <c r="G397" s="1" t="s">
        <v>80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-1</v>
      </c>
      <c r="L397" s="2">
        <f>Games[[#This Row],[OppDaysOff]]-Games[[#This Row],[DaysOff]]</f>
        <v>1</v>
      </c>
      <c r="M397" s="1">
        <f>MAX(-16, MIN(16, Games[[#This Row],[RestDiff]]*8))</f>
        <v>-8</v>
      </c>
      <c r="N397" s="1">
        <f>MAX(-16, MIN(16, Games[[#This Row],[OppRestDiff]]*8))</f>
        <v>8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1457.0911451570771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1395.626710370173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0.67814438847026925</v>
      </c>
      <c r="R397" s="1">
        <v>66</v>
      </c>
      <c r="S397" s="1">
        <v>56</v>
      </c>
      <c r="T397" s="1">
        <v>0</v>
      </c>
      <c r="U397" s="1">
        <f>Games[[#This Row],[PointsFor]]-Games[[#This Row],[PointsAgainst]]</f>
        <v>10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0.40251284554408751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7" s="9">
        <f>MAX(kmin, kmax - 0.15 * MIN(Games[[#This Row],[GamesPlayed]], 82))</f>
        <v>72.400000000000006</v>
      </c>
      <c r="Z397" s="4">
        <f>Games[[#This Row],[K]]*Games[[#This Row],[POMult]]</f>
        <v>72.400000000000006</v>
      </c>
      <c r="AA397" s="4">
        <f>(Games[[#This Row],[Keff]]*Games[[#This Row],[MOVMult]])*(Games[[#This Row],[Result]]-Games[[#This Row],[ExpectedWin%]])</f>
        <v>9.3794937069042987</v>
      </c>
      <c r="AB397" s="4">
        <f>Games[[#This Row],[PreGmRate]]+Games[[#This Row],[RatingChange]]</f>
        <v>1466.4706388639813</v>
      </c>
      <c r="AC397" s="2">
        <f>IF(Games[[#This Row],[Type]]="R",IF(Games[[#This Row],[Result]]&gt;0.5,1,0),0)</f>
        <v>1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37466</v>
      </c>
      <c r="B398" s="2">
        <v>2002</v>
      </c>
      <c r="C398" s="2">
        <f>COUNTIFS(Games[Team],Games[[#This Row],[Team]],Games[Season],Games[[#This Row],[Season]],Games[Date],"&lt;=" &amp; Games[[#This Row],[Date]])</f>
        <v>25</v>
      </c>
      <c r="D398" s="2" t="s">
        <v>23</v>
      </c>
      <c r="E398" s="2" t="s">
        <v>29</v>
      </c>
      <c r="F398" s="1" t="s">
        <v>80</v>
      </c>
      <c r="G398" s="1" t="s">
        <v>44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8" s="2">
        <f>Games[[#This Row],[DaysOff]]-Games[[#This Row],[OppDaysOff]]</f>
        <v>-1</v>
      </c>
      <c r="L398" s="2">
        <f>Games[[#This Row],[OppDaysOff]]-Games[[#This Row],[DaysOff]]</f>
        <v>1</v>
      </c>
      <c r="M398" s="1">
        <f>MAX(-16, MIN(16, Games[[#This Row],[RestDiff]]*8))</f>
        <v>-8</v>
      </c>
      <c r="N398" s="1">
        <f>MAX(-16, MIN(16, Games[[#This Row],[OppRestDiff]]*8))</f>
        <v>8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1386.2472166632688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1383.7061028433391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0.36331184367283276</v>
      </c>
      <c r="R398" s="1">
        <v>45</v>
      </c>
      <c r="S398" s="1">
        <v>57</v>
      </c>
      <c r="T398" s="1">
        <v>0</v>
      </c>
      <c r="U398" s="1">
        <f>Games[[#This Row],[PointsFor]]-Games[[#This Row],[PointsAgainst]]</f>
        <v>-12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0.45516558677411728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8" s="9">
        <f>MAX(kmin, kmax - 0.15 * MIN(Games[[#This Row],[GamesPlayed]], 82))</f>
        <v>72.25</v>
      </c>
      <c r="Z398" s="4">
        <f>Games[[#This Row],[K]]*Games[[#This Row],[POMult]]</f>
        <v>72.25</v>
      </c>
      <c r="AA398" s="4">
        <f>(Games[[#This Row],[Keff]]*Games[[#This Row],[MOVMult]])*(Games[[#This Row],[Result]]-Games[[#This Row],[ExpectedWin%]])</f>
        <v>-11.947769254654688</v>
      </c>
      <c r="AB398" s="4">
        <f>Games[[#This Row],[PreGmRate]]+Games[[#This Row],[RatingChange]]</f>
        <v>1374.299447408614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1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0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37466</v>
      </c>
      <c r="B399" s="2">
        <v>2002</v>
      </c>
      <c r="C399" s="2">
        <f>COUNTIFS(Games[Team],Games[[#This Row],[Team]],Games[Season],Games[[#This Row],[Season]],Games[Date],"&lt;=" &amp; Games[[#This Row],[Date]])</f>
        <v>25</v>
      </c>
      <c r="D399" s="2" t="s">
        <v>23</v>
      </c>
      <c r="E399" s="2" t="s">
        <v>29</v>
      </c>
      <c r="F399" s="1" t="s">
        <v>44</v>
      </c>
      <c r="G399" s="1" t="s">
        <v>80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1</v>
      </c>
      <c r="L399" s="2">
        <f>Games[[#This Row],[OppDaysOff]]-Games[[#This Row],[DaysOff]]</f>
        <v>-1</v>
      </c>
      <c r="M399" s="1">
        <f>MAX(-16, MIN(16, Games[[#This Row],[RestDiff]]*8))</f>
        <v>8</v>
      </c>
      <c r="N399" s="1">
        <f>MAX(-16, MIN(16, Games[[#This Row],[OppRestDiff]]*8))</f>
        <v>-8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1383.7061028433391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1386.2472166632688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0.63668815632716724</v>
      </c>
      <c r="R399" s="1">
        <v>57</v>
      </c>
      <c r="S399" s="1">
        <v>45</v>
      </c>
      <c r="T399" s="1">
        <v>0</v>
      </c>
      <c r="U399" s="1">
        <f>Games[[#This Row],[PointsFor]]-Games[[#This Row],[PointsAgainst]]</f>
        <v>12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0.45516558677411728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9" s="9">
        <f>MAX(kmin, kmax - 0.15 * MIN(Games[[#This Row],[GamesPlayed]], 82))</f>
        <v>72.25</v>
      </c>
      <c r="Z399" s="4">
        <f>Games[[#This Row],[K]]*Games[[#This Row],[POMult]]</f>
        <v>72.25</v>
      </c>
      <c r="AA399" s="4">
        <f>(Games[[#This Row],[Keff]]*Games[[#This Row],[MOVMult]])*(Games[[#This Row],[Result]]-Games[[#This Row],[ExpectedWin%]])</f>
        <v>11.947769254654688</v>
      </c>
      <c r="AB399" s="4">
        <f>Games[[#This Row],[PreGmRate]]+Games[[#This Row],[RatingChange]]</f>
        <v>1395.6538720979938</v>
      </c>
      <c r="AC399" s="2">
        <f>IF(Games[[#This Row],[Type]]="R",IF(Games[[#This Row],[Result]]&gt;0.5,1,0),0)</f>
        <v>1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0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37467</v>
      </c>
      <c r="B400" s="2">
        <v>2002</v>
      </c>
      <c r="C400" s="2">
        <f>COUNTIFS(Games[Team],Games[[#This Row],[Team]],Games[Season],Games[[#This Row],[Season]],Games[Date],"&lt;=" &amp; Games[[#This Row],[Date]])</f>
        <v>27</v>
      </c>
      <c r="D400" s="2" t="s">
        <v>23</v>
      </c>
      <c r="E400" s="2" t="s">
        <v>29</v>
      </c>
      <c r="F400" s="1" t="s">
        <v>89</v>
      </c>
      <c r="G400" s="1" t="s">
        <v>2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1</v>
      </c>
      <c r="L400" s="2">
        <f>Games[[#This Row],[OppDaysOff]]-Games[[#This Row],[DaysOff]]</f>
        <v>-1</v>
      </c>
      <c r="M400" s="1">
        <f>MAX(-16, MIN(16, Games[[#This Row],[RestDiff]]*8))</f>
        <v>8</v>
      </c>
      <c r="N400" s="1">
        <f>MAX(-16, MIN(16, Games[[#This Row],[OppRestDiff]]*8))</f>
        <v>-8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1530.701343911471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1628.2819877391175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0.27825000461352728</v>
      </c>
      <c r="R400" s="1">
        <v>59</v>
      </c>
      <c r="S400" s="1">
        <v>89</v>
      </c>
      <c r="T400" s="1">
        <v>0</v>
      </c>
      <c r="U400" s="1">
        <f>Games[[#This Row],[PointsFor]]-Games[[#This Row],[PointsAgainst]]</f>
        <v>-30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0.65058862857230138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0" s="9">
        <f>MAX(kmin, kmax - 0.15 * MIN(Games[[#This Row],[GamesPlayed]], 82))</f>
        <v>71.95</v>
      </c>
      <c r="Z400" s="4">
        <f>Games[[#This Row],[K]]*Games[[#This Row],[POMult]]</f>
        <v>71.95</v>
      </c>
      <c r="AA400" s="4">
        <f>(Games[[#This Row],[Keff]]*Games[[#This Row],[MOVMult]])*(Games[[#This Row],[Result]]-Games[[#This Row],[ExpectedWin%]])</f>
        <v>-13.024841486481003</v>
      </c>
      <c r="AB400" s="4">
        <f>Games[[#This Row],[PreGmRate]]+Games[[#This Row],[RatingChange]]</f>
        <v>1517.6765024249901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1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0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37467</v>
      </c>
      <c r="B401" s="2">
        <v>2002</v>
      </c>
      <c r="C401" s="2">
        <f>COUNTIFS(Games[Team],Games[[#This Row],[Team]],Games[Season],Games[[#This Row],[Season]],Games[Date],"&lt;=" &amp; Games[[#This Row],[Date]])</f>
        <v>27</v>
      </c>
      <c r="D401" s="2" t="s">
        <v>23</v>
      </c>
      <c r="E401" s="2" t="s">
        <v>29</v>
      </c>
      <c r="F401" s="1" t="s">
        <v>2</v>
      </c>
      <c r="G401" s="1" t="s">
        <v>89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1" s="2">
        <f>Games[[#This Row],[DaysOff]]-Games[[#This Row],[OppDaysOff]]</f>
        <v>-1</v>
      </c>
      <c r="L401" s="2">
        <f>Games[[#This Row],[OppDaysOff]]-Games[[#This Row],[DaysOff]]</f>
        <v>1</v>
      </c>
      <c r="M401" s="1">
        <f>MAX(-16, MIN(16, Games[[#This Row],[RestDiff]]*8))</f>
        <v>-8</v>
      </c>
      <c r="N401" s="1">
        <f>MAX(-16, MIN(16, Games[[#This Row],[OppRestDiff]]*8))</f>
        <v>8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1628.2819877391175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1530.701343911471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0.72174999538647266</v>
      </c>
      <c r="R401" s="1">
        <v>89</v>
      </c>
      <c r="S401" s="1">
        <v>59</v>
      </c>
      <c r="T401" s="1">
        <v>0</v>
      </c>
      <c r="U401" s="1">
        <f>Games[[#This Row],[PointsFor]]-Games[[#This Row],[PointsAgainst]]</f>
        <v>30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0.65058862857230138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1" s="9">
        <f>MAX(kmin, kmax - 0.15 * MIN(Games[[#This Row],[GamesPlayed]], 82))</f>
        <v>71.95</v>
      </c>
      <c r="Z401" s="4">
        <f>Games[[#This Row],[K]]*Games[[#This Row],[POMult]]</f>
        <v>71.95</v>
      </c>
      <c r="AA401" s="4">
        <f>(Games[[#This Row],[Keff]]*Games[[#This Row],[MOVMult]])*(Games[[#This Row],[Result]]-Games[[#This Row],[ExpectedWin%]])</f>
        <v>13.024841486481005</v>
      </c>
      <c r="AB401" s="4">
        <f>Games[[#This Row],[PreGmRate]]+Games[[#This Row],[RatingChange]]</f>
        <v>1641.3068292255984</v>
      </c>
      <c r="AC401" s="2">
        <f>IF(Games[[#This Row],[Type]]="R",IF(Games[[#This Row],[Result]]&gt;0.5,1,0),0)</f>
        <v>1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0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37467</v>
      </c>
      <c r="B402" s="2">
        <v>2002</v>
      </c>
      <c r="C402" s="2">
        <f>COUNTIFS(Games[Team],Games[[#This Row],[Team]],Games[Season],Games[[#This Row],[Season]],Games[Date],"&lt;=" &amp; Games[[#This Row],[Date]])</f>
        <v>26</v>
      </c>
      <c r="D402" s="2" t="s">
        <v>23</v>
      </c>
      <c r="E402" s="2" t="s">
        <v>29</v>
      </c>
      <c r="F402" s="1" t="s">
        <v>83</v>
      </c>
      <c r="G402" s="1" t="s">
        <v>71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1</v>
      </c>
      <c r="L402" s="2">
        <f>Games[[#This Row],[OppDaysOff]]-Games[[#This Row],[DaysOff]]</f>
        <v>-1</v>
      </c>
      <c r="M402" s="1">
        <f>MAX(-16, MIN(16, Games[[#This Row],[RestDiff]]*8))</f>
        <v>8</v>
      </c>
      <c r="N402" s="1">
        <f>MAX(-16, MIN(16, Games[[#This Row],[OppRestDiff]]*8))</f>
        <v>-8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1478.8771130841362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1701.4670603928635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0.15805518837998883</v>
      </c>
      <c r="R402" s="1">
        <v>82</v>
      </c>
      <c r="S402" s="1">
        <v>73</v>
      </c>
      <c r="T402" s="1">
        <v>0</v>
      </c>
      <c r="U402" s="1">
        <f>Games[[#This Row],[PointsFor]]-Games[[#This Row],[PointsAgainst]]</f>
        <v>9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0.34244993330531931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2" s="9">
        <f>MAX(kmin, kmax - 0.15 * MIN(Games[[#This Row],[GamesPlayed]], 82))</f>
        <v>72.099999999999994</v>
      </c>
      <c r="Z402" s="4">
        <f>Games[[#This Row],[K]]*Games[[#This Row],[POMult]]</f>
        <v>72.099999999999994</v>
      </c>
      <c r="AA402" s="4">
        <f>(Games[[#This Row],[Keff]]*Games[[#This Row],[MOVMult]])*(Games[[#This Row],[Result]]-Games[[#This Row],[ExpectedWin%]])</f>
        <v>20.788156404652938</v>
      </c>
      <c r="AB402" s="4">
        <f>Games[[#This Row],[PreGmRate]]+Games[[#This Row],[RatingChange]]</f>
        <v>1499.6652694887891</v>
      </c>
      <c r="AC402" s="2">
        <f>IF(Games[[#This Row],[Type]]="R",IF(Games[[#This Row],[Result]]&gt;0.5,1,0),0)</f>
        <v>1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37467</v>
      </c>
      <c r="B403" s="2">
        <v>2002</v>
      </c>
      <c r="C403" s="2">
        <f>COUNTIFS(Games[Team],Games[[#This Row],[Team]],Games[Season],Games[[#This Row],[Season]],Games[Date],"&lt;=" &amp; Games[[#This Row],[Date]])</f>
        <v>25</v>
      </c>
      <c r="D403" s="2" t="s">
        <v>23</v>
      </c>
      <c r="E403" s="2" t="s">
        <v>29</v>
      </c>
      <c r="F403" s="1" t="s">
        <v>71</v>
      </c>
      <c r="G403" s="1" t="s">
        <v>83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3" s="2">
        <f>Games[[#This Row],[DaysOff]]-Games[[#This Row],[OppDaysOff]]</f>
        <v>-1</v>
      </c>
      <c r="L403" s="2">
        <f>Games[[#This Row],[OppDaysOff]]-Games[[#This Row],[DaysOff]]</f>
        <v>1</v>
      </c>
      <c r="M403" s="1">
        <f>MAX(-16, MIN(16, Games[[#This Row],[RestDiff]]*8))</f>
        <v>-8</v>
      </c>
      <c r="N403" s="1">
        <f>MAX(-16, MIN(16, Games[[#This Row],[OppRestDiff]]*8))</f>
        <v>8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1701.4670603928635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1478.8771130841362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0.84194481162001111</v>
      </c>
      <c r="R403" s="1">
        <v>73</v>
      </c>
      <c r="S403" s="1">
        <v>82</v>
      </c>
      <c r="T403" s="1">
        <v>0</v>
      </c>
      <c r="U403" s="1">
        <f>Games[[#This Row],[PointsFor]]-Games[[#This Row],[PointsAgainst]]</f>
        <v>-9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0.34244993330531931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3" s="9">
        <f>MAX(kmin, kmax - 0.15 * MIN(Games[[#This Row],[GamesPlayed]], 82))</f>
        <v>72.25</v>
      </c>
      <c r="Z403" s="4">
        <f>Games[[#This Row],[K]]*Games[[#This Row],[POMult]]</f>
        <v>72.25</v>
      </c>
      <c r="AA403" s="4">
        <f>(Games[[#This Row],[Keff]]*Games[[#This Row],[MOVMult]])*(Games[[#This Row],[Result]]-Games[[#This Row],[ExpectedWin%]])</f>
        <v>-20.831404996340844</v>
      </c>
      <c r="AB403" s="4">
        <f>Games[[#This Row],[PreGmRate]]+Games[[#This Row],[RatingChange]]</f>
        <v>1680.6356553965227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1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37467</v>
      </c>
      <c r="B404" s="2">
        <v>2002</v>
      </c>
      <c r="C404" s="2">
        <f>COUNTIFS(Games[Team],Games[[#This Row],[Team]],Games[Season],Games[[#This Row],[Season]],Games[Date],"&lt;=" &amp; Games[[#This Row],[Date]])</f>
        <v>25</v>
      </c>
      <c r="D404" s="2" t="s">
        <v>23</v>
      </c>
      <c r="E404" s="2" t="s">
        <v>29</v>
      </c>
      <c r="F404" s="1" t="s">
        <v>85</v>
      </c>
      <c r="G404" s="1" t="s">
        <v>45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1420.1016563755513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1466.4706388639813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0.32072016474262338</v>
      </c>
      <c r="R404" s="1">
        <v>65</v>
      </c>
      <c r="S404" s="1">
        <v>74</v>
      </c>
      <c r="T404" s="1">
        <v>0</v>
      </c>
      <c r="U404" s="1">
        <f>Games[[#This Row],[PointsFor]]-Games[[#This Row],[PointsAgainst]]</f>
        <v>-9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0.39086806509260491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4" s="9">
        <f>MAX(kmin, kmax - 0.15 * MIN(Games[[#This Row],[GamesPlayed]], 82))</f>
        <v>72.25</v>
      </c>
      <c r="Z404" s="4">
        <f>Games[[#This Row],[K]]*Games[[#This Row],[POMult]]</f>
        <v>72.25</v>
      </c>
      <c r="AA404" s="4">
        <f>(Games[[#This Row],[Keff]]*Games[[#This Row],[MOVMult]])*(Games[[#This Row],[Result]]-Games[[#This Row],[ExpectedWin%]])</f>
        <v>-9.0572072740546918</v>
      </c>
      <c r="AB404" s="4">
        <f>Games[[#This Row],[PreGmRate]]+Games[[#This Row],[RatingChange]]</f>
        <v>1411.0444491014966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1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37467</v>
      </c>
      <c r="B405" s="2">
        <v>2002</v>
      </c>
      <c r="C405" s="2">
        <f>COUNTIFS(Games[Team],Games[[#This Row],[Team]],Games[Season],Games[[#This Row],[Season]],Games[Date],"&lt;=" &amp; Games[[#This Row],[Date]])</f>
        <v>25</v>
      </c>
      <c r="D405" s="2" t="s">
        <v>23</v>
      </c>
      <c r="E405" s="2" t="s">
        <v>29</v>
      </c>
      <c r="F405" s="1" t="s">
        <v>45</v>
      </c>
      <c r="G405" s="1" t="s">
        <v>85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1466.4706388639813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1420.1016563755513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0.67927983525737656</v>
      </c>
      <c r="R405" s="1">
        <v>74</v>
      </c>
      <c r="S405" s="1">
        <v>65</v>
      </c>
      <c r="T405" s="1">
        <v>0</v>
      </c>
      <c r="U405" s="1">
        <f>Games[[#This Row],[PointsFor]]-Games[[#This Row],[PointsAgainst]]</f>
        <v>9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0.39086806509260491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5" s="9">
        <f>MAX(kmin, kmax - 0.15 * MIN(Games[[#This Row],[GamesPlayed]], 82))</f>
        <v>72.25</v>
      </c>
      <c r="Z405" s="4">
        <f>Games[[#This Row],[K]]*Games[[#This Row],[POMult]]</f>
        <v>72.25</v>
      </c>
      <c r="AA405" s="4">
        <f>(Games[[#This Row],[Keff]]*Games[[#This Row],[MOVMult]])*(Games[[#This Row],[Result]]-Games[[#This Row],[ExpectedWin%]])</f>
        <v>9.0572072740546936</v>
      </c>
      <c r="AB405" s="4">
        <f>Games[[#This Row],[PreGmRate]]+Games[[#This Row],[RatingChange]]</f>
        <v>1475.527846138036</v>
      </c>
      <c r="AC405" s="2">
        <f>IF(Games[[#This Row],[Type]]="R",IF(Games[[#This Row],[Result]]&gt;0.5,1,0),0)</f>
        <v>1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37467</v>
      </c>
      <c r="B406" s="2">
        <v>2002</v>
      </c>
      <c r="C406" s="2">
        <f>COUNTIFS(Games[Team],Games[[#This Row],[Team]],Games[Season],Games[[#This Row],[Season]],Games[Date],"&lt;=" &amp; Games[[#This Row],[Date]])</f>
        <v>25</v>
      </c>
      <c r="D406" s="2" t="s">
        <v>23</v>
      </c>
      <c r="E406" s="2" t="s">
        <v>29</v>
      </c>
      <c r="F406" s="1" t="s">
        <v>79</v>
      </c>
      <c r="G406" s="1" t="s">
        <v>75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6" s="2">
        <f>Games[[#This Row],[DaysOff]]-Games[[#This Row],[OppDaysOff]]</f>
        <v>-1</v>
      </c>
      <c r="L406" s="2">
        <f>Games[[#This Row],[OppDaysOff]]-Games[[#This Row],[DaysOff]]</f>
        <v>1</v>
      </c>
      <c r="M406" s="1">
        <f>MAX(-16, MIN(16, Games[[#This Row],[RestDiff]]*8))</f>
        <v>-8</v>
      </c>
      <c r="N406" s="1">
        <f>MAX(-16, MIN(16, Games[[#This Row],[OppRestDiff]]*8))</f>
        <v>8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1459.9301230207809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1491.1665008008272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0.31963334316357411</v>
      </c>
      <c r="R406" s="1">
        <v>70</v>
      </c>
      <c r="S406" s="1">
        <v>55</v>
      </c>
      <c r="T406" s="1">
        <v>0</v>
      </c>
      <c r="U406" s="1">
        <f>Games[[#This Row],[PointsFor]]-Games[[#This Row],[PointsAgainst]]</f>
        <v>15</v>
      </c>
      <c r="V406" s="1">
        <f>IF(Games[[#This Row],[MOV]]&gt;0,1,IF(Games[[#This Row],[MOV]]=0,0.5,0))</f>
        <v>1</v>
      </c>
      <c r="W406" s="4">
        <f>((ABS(Games[[#This Row],[MOV]])+5)^0.6)/(12+0.01*(ABS(Games[[#This Row],[PreGmRate]]-Games[[#This Row],[OppPreGmRate]])))*IF(Games[[#This Row],[OT]]=1,0.9,1)</f>
        <v>0.49009080997305737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6" s="9">
        <f>MAX(kmin, kmax - 0.15 * MIN(Games[[#This Row],[GamesPlayed]], 82))</f>
        <v>72.25</v>
      </c>
      <c r="Z406" s="4">
        <f>Games[[#This Row],[K]]*Games[[#This Row],[POMult]]</f>
        <v>72.25</v>
      </c>
      <c r="AA406" s="4">
        <f>(Games[[#This Row],[Keff]]*Games[[#This Row],[MOVMult]])*(Games[[#This Row],[Result]]-Games[[#This Row],[ExpectedWin%]])</f>
        <v>24.091144468270919</v>
      </c>
      <c r="AB406" s="4">
        <f>Games[[#This Row],[PreGmRate]]+Games[[#This Row],[RatingChange]]</f>
        <v>1484.0212674890518</v>
      </c>
      <c r="AC406" s="2">
        <f>IF(Games[[#This Row],[Type]]="R",IF(Games[[#This Row],[Result]]&gt;0.5,1,0),0)</f>
        <v>1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37467</v>
      </c>
      <c r="B407" s="2">
        <v>2002</v>
      </c>
      <c r="C407" s="2">
        <f>COUNTIFS(Games[Team],Games[[#This Row],[Team]],Games[Season],Games[[#This Row],[Season]],Games[Date],"&lt;=" &amp; Games[[#This Row],[Date]])</f>
        <v>25</v>
      </c>
      <c r="D407" s="2" t="s">
        <v>23</v>
      </c>
      <c r="E407" s="2" t="s">
        <v>29</v>
      </c>
      <c r="F407" s="1" t="s">
        <v>75</v>
      </c>
      <c r="G407" s="1" t="s">
        <v>79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7" s="2">
        <f>Games[[#This Row],[DaysOff]]-Games[[#This Row],[OppDaysOff]]</f>
        <v>1</v>
      </c>
      <c r="L407" s="2">
        <f>Games[[#This Row],[OppDaysOff]]-Games[[#This Row],[DaysOff]]</f>
        <v>-1</v>
      </c>
      <c r="M407" s="1">
        <f>MAX(-16, MIN(16, Games[[#This Row],[RestDiff]]*8))</f>
        <v>8</v>
      </c>
      <c r="N407" s="1">
        <f>MAX(-16, MIN(16, Games[[#This Row],[OppRestDiff]]*8))</f>
        <v>-8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1491.1665008008272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1459.9301230207809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0.68036665683642594</v>
      </c>
      <c r="R407" s="1">
        <v>55</v>
      </c>
      <c r="S407" s="1">
        <v>70</v>
      </c>
      <c r="T407" s="1">
        <v>0</v>
      </c>
      <c r="U407" s="1">
        <f>Games[[#This Row],[PointsFor]]-Games[[#This Row],[PointsAgainst]]</f>
        <v>-15</v>
      </c>
      <c r="V407" s="1">
        <f>IF(Games[[#This Row],[MOV]]&gt;0,1,IF(Games[[#This Row],[MOV]]=0,0.5,0))</f>
        <v>0</v>
      </c>
      <c r="W407" s="4">
        <f>((ABS(Games[[#This Row],[MOV]])+5)^0.6)/(12+0.01*(ABS(Games[[#This Row],[PreGmRate]]-Games[[#This Row],[OppPreGmRate]])))*IF(Games[[#This Row],[OT]]=1,0.9,1)</f>
        <v>0.49009080997305737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7" s="9">
        <f>MAX(kmin, kmax - 0.15 * MIN(Games[[#This Row],[GamesPlayed]], 82))</f>
        <v>72.25</v>
      </c>
      <c r="Z407" s="4">
        <f>Games[[#This Row],[K]]*Games[[#This Row],[POMult]]</f>
        <v>72.25</v>
      </c>
      <c r="AA407" s="4">
        <f>(Games[[#This Row],[Keff]]*Games[[#This Row],[MOVMult]])*(Games[[#This Row],[Result]]-Games[[#This Row],[ExpectedWin%]])</f>
        <v>-24.091144468270919</v>
      </c>
      <c r="AB407" s="4">
        <f>Games[[#This Row],[PreGmRate]]+Games[[#This Row],[RatingChange]]</f>
        <v>1467.0753563325563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1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37468</v>
      </c>
      <c r="B408" s="2">
        <v>2002</v>
      </c>
      <c r="C408" s="2">
        <f>COUNTIFS(Games[Team],Games[[#This Row],[Team]],Games[Season],Games[[#This Row],[Season]],Games[Date],"&lt;=" &amp; Games[[#This Row],[Date]])</f>
        <v>26</v>
      </c>
      <c r="D408" s="2" t="s">
        <v>23</v>
      </c>
      <c r="E408" s="2" t="s">
        <v>29</v>
      </c>
      <c r="F408" s="1" t="s">
        <v>85</v>
      </c>
      <c r="G408" s="1" t="s">
        <v>44</v>
      </c>
      <c r="H408" s="1" t="s">
        <v>16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8" s="2">
        <f>Games[[#This Row],[DaysOff]]-Games[[#This Row],[OppDaysOff]]</f>
        <v>-1</v>
      </c>
      <c r="L408" s="2">
        <f>Games[[#This Row],[OppDaysOff]]-Games[[#This Row],[DaysOff]]</f>
        <v>1</v>
      </c>
      <c r="M408" s="16">
        <f>MAX(-16, MIN(16, Games[[#This Row],[RestDiff]]*8))</f>
        <v>-8</v>
      </c>
      <c r="N408" s="16">
        <f>MAX(-16, MIN(16, Games[[#This Row],[OppRestDiff]]*8))</f>
        <v>8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1411.0444491014966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1395.6538720979938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0.38058852462752579</v>
      </c>
      <c r="R408" s="1">
        <v>58</v>
      </c>
      <c r="S408" s="1">
        <v>56</v>
      </c>
      <c r="T408" s="1">
        <v>0</v>
      </c>
      <c r="U408" s="16">
        <f>Games[[#This Row],[PointsFor]]-Games[[#This Row],[PointsAgainst]]</f>
        <v>2</v>
      </c>
      <c r="V408" s="16">
        <f>IF(Games[[#This Row],[MOV]]&gt;0,1,IF(Games[[#This Row],[MOV]]=0,0.5,0))</f>
        <v>1</v>
      </c>
      <c r="W408" s="4">
        <f>((ABS(Games[[#This Row],[MOV]])+5)^0.6)/(12+0.01*(ABS(Games[[#This Row],[PreGmRate]]-Games[[#This Row],[OppPreGmRate]])))*IF(Games[[#This Row],[OT]]=1,0.9,1)</f>
        <v>0.26444962718406656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8" s="9">
        <f>MAX(kmin, kmax - 0.15 * MIN(Games[[#This Row],[GamesPlayed]], 82))</f>
        <v>72.099999999999994</v>
      </c>
      <c r="Z408" s="4">
        <f>Games[[#This Row],[K]]*Games[[#This Row],[POMult]]</f>
        <v>72.099999999999994</v>
      </c>
      <c r="AA408" s="4">
        <f>(Games[[#This Row],[Keff]]*Games[[#This Row],[MOVMult]])*(Games[[#This Row],[Result]]-Games[[#This Row],[ExpectedWin%]])</f>
        <v>11.810205942349985</v>
      </c>
      <c r="AB408" s="4">
        <f>Games[[#This Row],[PreGmRate]]+Games[[#This Row],[RatingChange]]</f>
        <v>1422.8546550438466</v>
      </c>
      <c r="AC408" s="2">
        <f>IF(Games[[#This Row],[Type]]="R",IF(Games[[#This Row],[Result]]&gt;0.5,1,0),0)</f>
        <v>1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0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37468</v>
      </c>
      <c r="B409" s="2">
        <v>2002</v>
      </c>
      <c r="C409" s="2">
        <f>COUNTIFS(Games[Team],Games[[#This Row],[Team]],Games[Season],Games[[#This Row],[Season]],Games[Date],"&lt;=" &amp; Games[[#This Row],[Date]])</f>
        <v>26</v>
      </c>
      <c r="D409" s="2" t="s">
        <v>23</v>
      </c>
      <c r="E409" s="2" t="s">
        <v>29</v>
      </c>
      <c r="F409" s="1" t="s">
        <v>44</v>
      </c>
      <c r="G409" s="1" t="s">
        <v>85</v>
      </c>
      <c r="H409" s="1" t="s">
        <v>15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9" s="2">
        <f>Games[[#This Row],[DaysOff]]-Games[[#This Row],[OppDaysOff]]</f>
        <v>1</v>
      </c>
      <c r="L409" s="2">
        <f>Games[[#This Row],[OppDaysOff]]-Games[[#This Row],[DaysOff]]</f>
        <v>-1</v>
      </c>
      <c r="M409" s="16">
        <f>MAX(-16, MIN(16, Games[[#This Row],[RestDiff]]*8))</f>
        <v>8</v>
      </c>
      <c r="N409" s="16">
        <f>MAX(-16, MIN(16, Games[[#This Row],[OppRestDiff]]*8))</f>
        <v>-8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1395.6538720979938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1411.0444491014966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0.61941147537247421</v>
      </c>
      <c r="R409" s="1">
        <v>56</v>
      </c>
      <c r="S409" s="1">
        <v>58</v>
      </c>
      <c r="T409" s="1">
        <v>0</v>
      </c>
      <c r="U409" s="16">
        <f>Games[[#This Row],[PointsFor]]-Games[[#This Row],[PointsAgainst]]</f>
        <v>-2</v>
      </c>
      <c r="V409" s="16">
        <f>IF(Games[[#This Row],[MOV]]&gt;0,1,IF(Games[[#This Row],[MOV]]=0,0.5,0))</f>
        <v>0</v>
      </c>
      <c r="W409" s="4">
        <f>((ABS(Games[[#This Row],[MOV]])+5)^0.6)/(12+0.01*(ABS(Games[[#This Row],[PreGmRate]]-Games[[#This Row],[OppPreGmRate]])))*IF(Games[[#This Row],[OT]]=1,0.9,1)</f>
        <v>0.26444962718406656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9" s="9">
        <f>MAX(kmin, kmax - 0.15 * MIN(Games[[#This Row],[GamesPlayed]], 82))</f>
        <v>72.099999999999994</v>
      </c>
      <c r="Z409" s="4">
        <f>Games[[#This Row],[K]]*Games[[#This Row],[POMult]]</f>
        <v>72.099999999999994</v>
      </c>
      <c r="AA409" s="4">
        <f>(Games[[#This Row],[Keff]]*Games[[#This Row],[MOVMult]])*(Games[[#This Row],[Result]]-Games[[#This Row],[ExpectedWin%]])</f>
        <v>-11.810205942349985</v>
      </c>
      <c r="AB409" s="4">
        <f>Games[[#This Row],[PreGmRate]]+Games[[#This Row],[RatingChange]]</f>
        <v>1383.8436661556439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1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0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37468</v>
      </c>
      <c r="B410" s="2">
        <v>2002</v>
      </c>
      <c r="C410" s="2">
        <f>COUNTIFS(Games[Team],Games[[#This Row],[Team]],Games[Season],Games[[#This Row],[Season]],Games[Date],"&lt;=" &amp; Games[[#This Row],[Date]])</f>
        <v>26</v>
      </c>
      <c r="D410" s="2" t="s">
        <v>23</v>
      </c>
      <c r="E410" s="2" t="s">
        <v>29</v>
      </c>
      <c r="F410" s="1" t="s">
        <v>80</v>
      </c>
      <c r="G410" s="1" t="s">
        <v>87</v>
      </c>
      <c r="H410" s="1" t="s">
        <v>16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-1</v>
      </c>
      <c r="L410" s="2">
        <f>Games[[#This Row],[OppDaysOff]]-Games[[#This Row],[DaysOff]]</f>
        <v>1</v>
      </c>
      <c r="M410" s="16">
        <f>MAX(-16, MIN(16, Games[[#This Row],[RestDiff]]*8))</f>
        <v>-8</v>
      </c>
      <c r="N410" s="16">
        <f>MAX(-16, MIN(16, Games[[#This Row],[OppRestDiff]]*8))</f>
        <v>8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1374.299447408614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1514.8399822377676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0.20026120568352831</v>
      </c>
      <c r="R410" s="1">
        <v>63</v>
      </c>
      <c r="S410" s="1">
        <v>75</v>
      </c>
      <c r="T410" s="1">
        <v>0</v>
      </c>
      <c r="U410" s="16">
        <f>Games[[#This Row],[PointsFor]]-Games[[#This Row],[PointsAgainst]]</f>
        <v>-12</v>
      </c>
      <c r="V410" s="16">
        <f>IF(Games[[#This Row],[MOV]]&gt;0,1,IF(Games[[#This Row],[MOV]]=0,0.5,0))</f>
        <v>0</v>
      </c>
      <c r="W410" s="4">
        <f>((ABS(Games[[#This Row],[MOV]])+5)^0.6)/(12+0.01*(ABS(Games[[#This Row],[PreGmRate]]-Games[[#This Row],[OppPreGmRate]])))*IF(Games[[#This Row],[OT]]=1,0.9,1)</f>
        <v>0.40830942255812286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0" s="9">
        <f>MAX(kmin, kmax - 0.15 * MIN(Games[[#This Row],[GamesPlayed]], 82))</f>
        <v>72.099999999999994</v>
      </c>
      <c r="Z410" s="4">
        <f>Games[[#This Row],[K]]*Games[[#This Row],[POMult]]</f>
        <v>72.099999999999994</v>
      </c>
      <c r="AA410" s="4">
        <f>(Games[[#This Row],[Keff]]*Games[[#This Row],[MOVMult]])*(Games[[#This Row],[Result]]-Games[[#This Row],[ExpectedWin%]])</f>
        <v>-5.8955115359726564</v>
      </c>
      <c r="AB410" s="4">
        <f>Games[[#This Row],[PreGmRate]]+Games[[#This Row],[RatingChange]]</f>
        <v>1368.4039358726413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1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0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37468</v>
      </c>
      <c r="B411" s="2">
        <v>2002</v>
      </c>
      <c r="C411" s="2">
        <f>COUNTIFS(Games[Team],Games[[#This Row],[Team]],Games[Season],Games[[#This Row],[Season]],Games[Date],"&lt;=" &amp; Games[[#This Row],[Date]])</f>
        <v>27</v>
      </c>
      <c r="D411" s="2" t="s">
        <v>23</v>
      </c>
      <c r="E411" s="2" t="s">
        <v>29</v>
      </c>
      <c r="F411" s="1" t="s">
        <v>87</v>
      </c>
      <c r="G411" s="1" t="s">
        <v>80</v>
      </c>
      <c r="H411" s="1" t="s">
        <v>15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1" s="2">
        <f>Games[[#This Row],[DaysOff]]-Games[[#This Row],[OppDaysOff]]</f>
        <v>1</v>
      </c>
      <c r="L411" s="2">
        <f>Games[[#This Row],[OppDaysOff]]-Games[[#This Row],[DaysOff]]</f>
        <v>-1</v>
      </c>
      <c r="M411" s="16">
        <f>MAX(-16, MIN(16, Games[[#This Row],[RestDiff]]*8))</f>
        <v>8</v>
      </c>
      <c r="N411" s="16">
        <f>MAX(-16, MIN(16, Games[[#This Row],[OppRestDiff]]*8))</f>
        <v>-8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1514.8399822377676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1374.299447408614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0.79973879431647166</v>
      </c>
      <c r="R411" s="1">
        <v>75</v>
      </c>
      <c r="S411" s="1">
        <v>63</v>
      </c>
      <c r="T411" s="1">
        <v>0</v>
      </c>
      <c r="U411" s="16">
        <f>Games[[#This Row],[PointsFor]]-Games[[#This Row],[PointsAgainst]]</f>
        <v>12</v>
      </c>
      <c r="V411" s="16">
        <f>IF(Games[[#This Row],[MOV]]&gt;0,1,IF(Games[[#This Row],[MOV]]=0,0.5,0))</f>
        <v>1</v>
      </c>
      <c r="W411" s="4">
        <f>((ABS(Games[[#This Row],[MOV]])+5)^0.6)/(12+0.01*(ABS(Games[[#This Row],[PreGmRate]]-Games[[#This Row],[OppPreGmRate]])))*IF(Games[[#This Row],[OT]]=1,0.9,1)</f>
        <v>0.40830942255812286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1" s="9">
        <f>MAX(kmin, kmax - 0.15 * MIN(Games[[#This Row],[GamesPlayed]], 82))</f>
        <v>71.95</v>
      </c>
      <c r="Z411" s="4">
        <f>Games[[#This Row],[K]]*Games[[#This Row],[POMult]]</f>
        <v>71.95</v>
      </c>
      <c r="AA411" s="4">
        <f>(Games[[#This Row],[Keff]]*Games[[#This Row],[MOVMult]])*(Games[[#This Row],[Result]]-Games[[#This Row],[ExpectedWin%]])</f>
        <v>5.883246255384643</v>
      </c>
      <c r="AB411" s="4">
        <f>Games[[#This Row],[PreGmRate]]+Games[[#This Row],[RatingChange]]</f>
        <v>1520.7232284931522</v>
      </c>
      <c r="AC411" s="2">
        <f>IF(Games[[#This Row],[Type]]="R",IF(Games[[#This Row],[Result]]&gt;0.5,1,0),0)</f>
        <v>1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0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37468</v>
      </c>
      <c r="B412" s="2">
        <v>2002</v>
      </c>
      <c r="C412" s="2">
        <f>COUNTIFS(Games[Team],Games[[#This Row],[Team]],Games[Season],Games[[#This Row],[Season]],Games[Date],"&lt;=" &amp; Games[[#This Row],[Date]])</f>
        <v>27</v>
      </c>
      <c r="D412" s="2" t="s">
        <v>23</v>
      </c>
      <c r="E412" s="2" t="s">
        <v>29</v>
      </c>
      <c r="F412" s="1" t="s">
        <v>83</v>
      </c>
      <c r="G412" s="1" t="s">
        <v>43</v>
      </c>
      <c r="H412" s="1" t="s">
        <v>16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2" s="2">
        <f>Games[[#This Row],[DaysOff]]-Games[[#This Row],[OppDaysOff]]</f>
        <v>-4</v>
      </c>
      <c r="L412" s="2">
        <f>Games[[#This Row],[OppDaysOff]]-Games[[#This Row],[DaysOff]]</f>
        <v>4</v>
      </c>
      <c r="M412" s="16">
        <f>MAX(-16, MIN(16, Games[[#This Row],[RestDiff]]*8))</f>
        <v>-16</v>
      </c>
      <c r="N412" s="16">
        <f>MAX(-16, MIN(16, Games[[#This Row],[OppRestDiff]]*8))</f>
        <v>16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1499.6652694887891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1591.5316575769878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0.23208504450139558</v>
      </c>
      <c r="R412" s="1">
        <v>76</v>
      </c>
      <c r="S412" s="1">
        <v>81</v>
      </c>
      <c r="T412" s="1">
        <v>1</v>
      </c>
      <c r="U412" s="16">
        <f>Games[[#This Row],[PointsFor]]-Games[[#This Row],[PointsAgainst]]</f>
        <v>-5</v>
      </c>
      <c r="V412" s="16">
        <f>IF(Games[[#This Row],[MOV]]&gt;0,1,IF(Games[[#This Row],[MOV]]=0,0.5,0))</f>
        <v>0</v>
      </c>
      <c r="W412" s="4">
        <f>((ABS(Games[[#This Row],[MOV]])+5)^0.6)/(12+0.01*(ABS(Games[[#This Row],[PreGmRate]]-Games[[#This Row],[OppPreGmRate]])))*IF(Games[[#This Row],[OT]]=1,0.9,1)</f>
        <v>0.27734791833107575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2" s="9">
        <f>MAX(kmin, kmax - 0.15 * MIN(Games[[#This Row],[GamesPlayed]], 82))</f>
        <v>71.95</v>
      </c>
      <c r="Z412" s="4">
        <f>Games[[#This Row],[K]]*Games[[#This Row],[POMult]]</f>
        <v>71.95</v>
      </c>
      <c r="AA412" s="4">
        <f>(Games[[#This Row],[Keff]]*Games[[#This Row],[MOVMult]])*(Games[[#This Row],[Result]]-Games[[#This Row],[ExpectedWin%]])</f>
        <v>-4.6312994705146631</v>
      </c>
      <c r="AB412" s="4">
        <f>Games[[#This Row],[PreGmRate]]+Games[[#This Row],[RatingChange]]</f>
        <v>1495.0339700182744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1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0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37468</v>
      </c>
      <c r="B413" s="2">
        <v>2002</v>
      </c>
      <c r="C413" s="2">
        <f>COUNTIFS(Games[Team],Games[[#This Row],[Team]],Games[Season],Games[[#This Row],[Season]],Games[Date],"&lt;=" &amp; Games[[#This Row],[Date]])</f>
        <v>26</v>
      </c>
      <c r="D413" s="2" t="s">
        <v>23</v>
      </c>
      <c r="E413" s="2" t="s">
        <v>29</v>
      </c>
      <c r="F413" s="1" t="s">
        <v>43</v>
      </c>
      <c r="G413" s="1" t="s">
        <v>83</v>
      </c>
      <c r="H413" s="1" t="s">
        <v>15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3" s="2">
        <f>Games[[#This Row],[DaysOff]]-Games[[#This Row],[OppDaysOff]]</f>
        <v>4</v>
      </c>
      <c r="L413" s="2">
        <f>Games[[#This Row],[OppDaysOff]]-Games[[#This Row],[DaysOff]]</f>
        <v>-4</v>
      </c>
      <c r="M413" s="16">
        <f>MAX(-16, MIN(16, Games[[#This Row],[RestDiff]]*8))</f>
        <v>16</v>
      </c>
      <c r="N413" s="16">
        <f>MAX(-16, MIN(16, Games[[#This Row],[OppRestDiff]]*8))</f>
        <v>-16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1591.5316575769878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1499.6652694887891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0.76791495549860433</v>
      </c>
      <c r="R413" s="1">
        <v>81</v>
      </c>
      <c r="S413" s="1">
        <v>76</v>
      </c>
      <c r="T413" s="1">
        <v>1</v>
      </c>
      <c r="U413" s="16">
        <f>Games[[#This Row],[PointsFor]]-Games[[#This Row],[PointsAgainst]]</f>
        <v>5</v>
      </c>
      <c r="V413" s="16">
        <f>IF(Games[[#This Row],[MOV]]&gt;0,1,IF(Games[[#This Row],[MOV]]=0,0.5,0))</f>
        <v>1</v>
      </c>
      <c r="W413" s="4">
        <f>((ABS(Games[[#This Row],[MOV]])+5)^0.6)/(12+0.01*(ABS(Games[[#This Row],[PreGmRate]]-Games[[#This Row],[OppPreGmRate]])))*IF(Games[[#This Row],[OT]]=1,0.9,1)</f>
        <v>0.27734791833107575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3" s="9">
        <f>MAX(kmin, kmax - 0.15 * MIN(Games[[#This Row],[GamesPlayed]], 82))</f>
        <v>72.099999999999994</v>
      </c>
      <c r="Z413" s="4">
        <f>Games[[#This Row],[K]]*Games[[#This Row],[POMult]]</f>
        <v>72.099999999999994</v>
      </c>
      <c r="AA413" s="4">
        <f>(Games[[#This Row],[Keff]]*Games[[#This Row],[MOVMult]])*(Games[[#This Row],[Result]]-Games[[#This Row],[ExpectedWin%]])</f>
        <v>4.6409547161098992</v>
      </c>
      <c r="AB413" s="4">
        <f>Games[[#This Row],[PreGmRate]]+Games[[#This Row],[RatingChange]]</f>
        <v>1596.1726122930977</v>
      </c>
      <c r="AC413" s="2">
        <f>IF(Games[[#This Row],[Type]]="R",IF(Games[[#This Row],[Result]]&gt;0.5,1,0),0)</f>
        <v>1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0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37469</v>
      </c>
      <c r="B414" s="2">
        <v>2002</v>
      </c>
      <c r="C414" s="2">
        <f>COUNTIFS(Games[Team],Games[[#This Row],[Team]],Games[Season],Games[[#This Row],[Season]],Games[Date],"&lt;=" &amp; Games[[#This Row],[Date]])</f>
        <v>26</v>
      </c>
      <c r="D414" s="2" t="s">
        <v>23</v>
      </c>
      <c r="E414" s="2" t="s">
        <v>29</v>
      </c>
      <c r="F414" s="1" t="s">
        <v>1</v>
      </c>
      <c r="G414" s="1" t="s">
        <v>77</v>
      </c>
      <c r="H414" s="1" t="s">
        <v>16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4" s="2">
        <f>Games[[#This Row],[DaysOff]]-Games[[#This Row],[OppDaysOff]]</f>
        <v>0</v>
      </c>
      <c r="L414" s="2">
        <f>Games[[#This Row],[OppDaysOff]]-Games[[#This Row],[DaysOff]]</f>
        <v>0</v>
      </c>
      <c r="M414" s="16">
        <f>MAX(-16, MIN(16, Games[[#This Row],[RestDiff]]*8))</f>
        <v>0</v>
      </c>
      <c r="N414" s="16">
        <f>MAX(-16, MIN(16, Games[[#This Row],[OppRestDiff]]*8))</f>
        <v>0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1461.9929314547278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1376.9736383197719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0.50146687652776789</v>
      </c>
      <c r="R414" s="1">
        <v>68</v>
      </c>
      <c r="S414" s="1">
        <v>66</v>
      </c>
      <c r="T414" s="1">
        <v>0</v>
      </c>
      <c r="U414" s="16">
        <f>Games[[#This Row],[PointsFor]]-Games[[#This Row],[PointsAgainst]]</f>
        <v>2</v>
      </c>
      <c r="V414" s="16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0.25012043530294964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4" s="9">
        <f>MAX(kmin, kmax - 0.15 * MIN(Games[[#This Row],[GamesPlayed]], 82))</f>
        <v>72.099999999999994</v>
      </c>
      <c r="Z414" s="4">
        <f>Games[[#This Row],[K]]*Games[[#This Row],[POMult]]</f>
        <v>72.099999999999994</v>
      </c>
      <c r="AA414" s="4">
        <f>(Games[[#This Row],[Keff]]*Games[[#This Row],[MOVMult]])*(Games[[#This Row],[Result]]-Games[[#This Row],[ExpectedWin%]])</f>
        <v>8.9903885058041766</v>
      </c>
      <c r="AB414" s="4">
        <f>Games[[#This Row],[PreGmRate]]+Games[[#This Row],[RatingChange]]</f>
        <v>1470.9833199605321</v>
      </c>
      <c r="AC414" s="2">
        <f>IF(Games[[#This Row],[Type]]="R",IF(Games[[#This Row],[Result]]&gt;0.5,1,0),0)</f>
        <v>1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0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37469</v>
      </c>
      <c r="B415" s="2">
        <v>2002</v>
      </c>
      <c r="C415" s="2">
        <f>COUNTIFS(Games[Team],Games[[#This Row],[Team]],Games[Season],Games[[#This Row],[Season]],Games[Date],"&lt;=" &amp; Games[[#This Row],[Date]])</f>
        <v>26</v>
      </c>
      <c r="D415" s="2" t="s">
        <v>23</v>
      </c>
      <c r="E415" s="2" t="s">
        <v>29</v>
      </c>
      <c r="F415" s="1" t="s">
        <v>77</v>
      </c>
      <c r="G415" s="1" t="s">
        <v>1</v>
      </c>
      <c r="H415" s="1" t="s">
        <v>15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5" s="2">
        <f>Games[[#This Row],[DaysOff]]-Games[[#This Row],[OppDaysOff]]</f>
        <v>0</v>
      </c>
      <c r="L415" s="2">
        <f>Games[[#This Row],[OppDaysOff]]-Games[[#This Row],[DaysOff]]</f>
        <v>0</v>
      </c>
      <c r="M415" s="16">
        <f>MAX(-16, MIN(16, Games[[#This Row],[RestDiff]]*8))</f>
        <v>0</v>
      </c>
      <c r="N415" s="16">
        <f>MAX(-16, MIN(16, Games[[#This Row],[OppRestDiff]]*8))</f>
        <v>0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1376.9736383197719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1461.9929314547278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0.49853312347223211</v>
      </c>
      <c r="R415" s="1">
        <v>66</v>
      </c>
      <c r="S415" s="1">
        <v>68</v>
      </c>
      <c r="T415" s="1">
        <v>0</v>
      </c>
      <c r="U415" s="16">
        <f>Games[[#This Row],[PointsFor]]-Games[[#This Row],[PointsAgainst]]</f>
        <v>-2</v>
      </c>
      <c r="V415" s="16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0.25012043530294964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5" s="9">
        <f>MAX(kmin, kmax - 0.15 * MIN(Games[[#This Row],[GamesPlayed]], 82))</f>
        <v>72.099999999999994</v>
      </c>
      <c r="Z415" s="4">
        <f>Games[[#This Row],[K]]*Games[[#This Row],[POMult]]</f>
        <v>72.099999999999994</v>
      </c>
      <c r="AA415" s="4">
        <f>(Games[[#This Row],[Keff]]*Games[[#This Row],[MOVMult]])*(Games[[#This Row],[Result]]-Games[[#This Row],[ExpectedWin%]])</f>
        <v>-8.9903885058041766</v>
      </c>
      <c r="AB415" s="4">
        <f>Games[[#This Row],[PreGmRate]]+Games[[#This Row],[RatingChange]]</f>
        <v>1367.9832498139676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1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0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37469</v>
      </c>
      <c r="B416" s="2">
        <v>2002</v>
      </c>
      <c r="C416" s="2">
        <f>COUNTIFS(Games[Team],Games[[#This Row],[Team]],Games[Season],Games[[#This Row],[Season]],Games[Date],"&lt;=" &amp; Games[[#This Row],[Date]])</f>
        <v>28</v>
      </c>
      <c r="D416" s="2" t="s">
        <v>23</v>
      </c>
      <c r="E416" s="2" t="s">
        <v>29</v>
      </c>
      <c r="F416" s="1" t="s">
        <v>87</v>
      </c>
      <c r="G416" s="1" t="s">
        <v>71</v>
      </c>
      <c r="H416" s="1" t="s">
        <v>16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6" s="2">
        <f>Games[[#This Row],[DaysOff]]-Games[[#This Row],[OppDaysOff]]</f>
        <v>-1</v>
      </c>
      <c r="L416" s="2">
        <f>Games[[#This Row],[OppDaysOff]]-Games[[#This Row],[DaysOff]]</f>
        <v>1</v>
      </c>
      <c r="M416" s="16">
        <f>MAX(-16, MIN(16, Games[[#This Row],[RestDiff]]*8))</f>
        <v>-8</v>
      </c>
      <c r="N416" s="16">
        <f>MAX(-16, MIN(16, Games[[#This Row],[OppRestDiff]]*8))</f>
        <v>8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1520.7232284931522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1680.6356553965227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0.18299652282432241</v>
      </c>
      <c r="R416" s="1">
        <v>81</v>
      </c>
      <c r="S416" s="1">
        <v>76</v>
      </c>
      <c r="T416" s="1">
        <v>0</v>
      </c>
      <c r="U416" s="16">
        <f>Games[[#This Row],[PointsFor]]-Games[[#This Row],[PointsAgainst]]</f>
        <v>5</v>
      </c>
      <c r="V416" s="16">
        <f>IF(Games[[#This Row],[MOV]]&gt;0,1,IF(Games[[#This Row],[MOV]]=0,0.5,0))</f>
        <v>1</v>
      </c>
      <c r="W416" s="4">
        <f>((ABS(Games[[#This Row],[MOV]])+5)^0.6)/(12+0.01*(ABS(Games[[#This Row],[PreGmRate]]-Games[[#This Row],[OppPreGmRate]])))*IF(Games[[#This Row],[OT]]=1,0.9,1)</f>
        <v>0.29274471111350836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6" s="9">
        <f>MAX(kmin, kmax - 0.15 * MIN(Games[[#This Row],[GamesPlayed]], 82))</f>
        <v>71.8</v>
      </c>
      <c r="Z416" s="4">
        <f>Games[[#This Row],[K]]*Games[[#This Row],[POMult]]</f>
        <v>71.8</v>
      </c>
      <c r="AA416" s="4">
        <f>(Games[[#This Row],[Keff]]*Games[[#This Row],[MOVMult]])*(Games[[#This Row],[Result]]-Games[[#This Row],[ExpectedWin%]])</f>
        <v>17.172653487744935</v>
      </c>
      <c r="AB416" s="4">
        <f>Games[[#This Row],[PreGmRate]]+Games[[#This Row],[RatingChange]]</f>
        <v>1537.8958819808972</v>
      </c>
      <c r="AC416" s="2">
        <f>IF(Games[[#This Row],[Type]]="R",IF(Games[[#This Row],[Result]]&gt;0.5,1,0),0)</f>
        <v>1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0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37469</v>
      </c>
      <c r="B417" s="2">
        <v>2002</v>
      </c>
      <c r="C417" s="2">
        <f>COUNTIFS(Games[Team],Games[[#This Row],[Team]],Games[Season],Games[[#This Row],[Season]],Games[Date],"&lt;=" &amp; Games[[#This Row],[Date]])</f>
        <v>26</v>
      </c>
      <c r="D417" s="2" t="s">
        <v>23</v>
      </c>
      <c r="E417" s="2" t="s">
        <v>29</v>
      </c>
      <c r="F417" s="1" t="s">
        <v>71</v>
      </c>
      <c r="G417" s="1" t="s">
        <v>87</v>
      </c>
      <c r="H417" s="1" t="s">
        <v>15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7" s="2">
        <f>Games[[#This Row],[DaysOff]]-Games[[#This Row],[OppDaysOff]]</f>
        <v>1</v>
      </c>
      <c r="L417" s="2">
        <f>Games[[#This Row],[OppDaysOff]]-Games[[#This Row],[DaysOff]]</f>
        <v>-1</v>
      </c>
      <c r="M417" s="16">
        <f>MAX(-16, MIN(16, Games[[#This Row],[RestDiff]]*8))</f>
        <v>8</v>
      </c>
      <c r="N417" s="16">
        <f>MAX(-16, MIN(16, Games[[#This Row],[OppRestDiff]]*8))</f>
        <v>-8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1680.6356553965227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1520.7232284931522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0.81700347717567756</v>
      </c>
      <c r="R417" s="1">
        <v>76</v>
      </c>
      <c r="S417" s="1">
        <v>81</v>
      </c>
      <c r="T417" s="1">
        <v>0</v>
      </c>
      <c r="U417" s="16">
        <f>Games[[#This Row],[PointsFor]]-Games[[#This Row],[PointsAgainst]]</f>
        <v>-5</v>
      </c>
      <c r="V417" s="16">
        <f>IF(Games[[#This Row],[MOV]]&gt;0,1,IF(Games[[#This Row],[MOV]]=0,0.5,0))</f>
        <v>0</v>
      </c>
      <c r="W417" s="4">
        <f>((ABS(Games[[#This Row],[MOV]])+5)^0.6)/(12+0.01*(ABS(Games[[#This Row],[PreGmRate]]-Games[[#This Row],[OppPreGmRate]])))*IF(Games[[#This Row],[OT]]=1,0.9,1)</f>
        <v>0.29274471111350836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7" s="9">
        <f>MAX(kmin, kmax - 0.15 * MIN(Games[[#This Row],[GamesPlayed]], 82))</f>
        <v>72.099999999999994</v>
      </c>
      <c r="Z417" s="4">
        <f>Games[[#This Row],[K]]*Games[[#This Row],[POMult]]</f>
        <v>72.099999999999994</v>
      </c>
      <c r="AA417" s="4">
        <f>(Games[[#This Row],[Keff]]*Games[[#This Row],[MOVMult]])*(Games[[#This Row],[Result]]-Games[[#This Row],[ExpectedWin%]])</f>
        <v>-17.24440552181629</v>
      </c>
      <c r="AB417" s="4">
        <f>Games[[#This Row],[PreGmRate]]+Games[[#This Row],[RatingChange]]</f>
        <v>1663.3912498747063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1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0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37469</v>
      </c>
      <c r="B418" s="2">
        <v>2002</v>
      </c>
      <c r="C418" s="2">
        <f>COUNTIFS(Games[Team],Games[[#This Row],[Team]],Games[Season],Games[[#This Row],[Season]],Games[Date],"&lt;=" &amp; Games[[#This Row],[Date]])</f>
        <v>26</v>
      </c>
      <c r="D418" s="2" t="s">
        <v>23</v>
      </c>
      <c r="E418" s="2" t="s">
        <v>29</v>
      </c>
      <c r="F418" s="1" t="s">
        <v>64</v>
      </c>
      <c r="G418" s="1" t="s">
        <v>79</v>
      </c>
      <c r="H418" s="1" t="s">
        <v>16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4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3</v>
      </c>
      <c r="L418" s="2">
        <f>Games[[#This Row],[OppDaysOff]]-Games[[#This Row],[DaysOff]]</f>
        <v>-3</v>
      </c>
      <c r="M418" s="16">
        <f>MAX(-16, MIN(16, Games[[#This Row],[RestDiff]]*8))</f>
        <v>16</v>
      </c>
      <c r="N418" s="16">
        <f>MAX(-16, MIN(16, Games[[#This Row],[OppRestDiff]]*8))</f>
        <v>-16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1538.1130874827882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1484.0212674890518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0.50301033458513345</v>
      </c>
      <c r="R418" s="1">
        <v>63</v>
      </c>
      <c r="S418" s="1">
        <v>65</v>
      </c>
      <c r="T418" s="1">
        <v>0</v>
      </c>
      <c r="U418" s="16">
        <f>Games[[#This Row],[PointsFor]]-Games[[#This Row],[PointsAgainst]]</f>
        <v>-2</v>
      </c>
      <c r="V418" s="16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0.25628871813645121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8" s="9">
        <f>MAX(kmin, kmax - 0.15 * MIN(Games[[#This Row],[GamesPlayed]], 82))</f>
        <v>72.099999999999994</v>
      </c>
      <c r="Z418" s="4">
        <f>Games[[#This Row],[K]]*Games[[#This Row],[POMult]]</f>
        <v>72.099999999999994</v>
      </c>
      <c r="AA418" s="4">
        <f>(Games[[#This Row],[Keff]]*Games[[#This Row],[MOVMult]])*(Games[[#This Row],[Result]]-Games[[#This Row],[ExpectedWin%]])</f>
        <v>-9.2948345053212336</v>
      </c>
      <c r="AB418" s="4">
        <f>Games[[#This Row],[PreGmRate]]+Games[[#This Row],[RatingChange]]</f>
        <v>1528.818252977467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1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0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37469</v>
      </c>
      <c r="B419" s="2">
        <v>2002</v>
      </c>
      <c r="C419" s="2">
        <f>COUNTIFS(Games[Team],Games[[#This Row],[Team]],Games[Season],Games[[#This Row],[Season]],Games[Date],"&lt;=" &amp; Games[[#This Row],[Date]])</f>
        <v>26</v>
      </c>
      <c r="D419" s="2" t="s">
        <v>23</v>
      </c>
      <c r="E419" s="2" t="s">
        <v>29</v>
      </c>
      <c r="F419" s="1" t="s">
        <v>79</v>
      </c>
      <c r="G419" s="1" t="s">
        <v>64</v>
      </c>
      <c r="H419" s="1" t="s">
        <v>15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19" s="2">
        <f>Games[[#This Row],[DaysOff]]-Games[[#This Row],[OppDaysOff]]</f>
        <v>-3</v>
      </c>
      <c r="L419" s="2">
        <f>Games[[#This Row],[OppDaysOff]]-Games[[#This Row],[DaysOff]]</f>
        <v>3</v>
      </c>
      <c r="M419" s="16">
        <f>MAX(-16, MIN(16, Games[[#This Row],[RestDiff]]*8))</f>
        <v>-16</v>
      </c>
      <c r="N419" s="16">
        <f>MAX(-16, MIN(16, Games[[#This Row],[OppRestDiff]]*8))</f>
        <v>16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1484.0212674890518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1538.1130874827882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0.49698966541486661</v>
      </c>
      <c r="R419" s="1">
        <v>65</v>
      </c>
      <c r="S419" s="1">
        <v>63</v>
      </c>
      <c r="T419" s="1">
        <v>0</v>
      </c>
      <c r="U419" s="16">
        <f>Games[[#This Row],[PointsFor]]-Games[[#This Row],[PointsAgainst]]</f>
        <v>2</v>
      </c>
      <c r="V419" s="16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0.25628871813645121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9" s="9">
        <f>MAX(kmin, kmax - 0.15 * MIN(Games[[#This Row],[GamesPlayed]], 82))</f>
        <v>72.099999999999994</v>
      </c>
      <c r="Z419" s="4">
        <f>Games[[#This Row],[K]]*Games[[#This Row],[POMult]]</f>
        <v>72.099999999999994</v>
      </c>
      <c r="AA419" s="4">
        <f>(Games[[#This Row],[Keff]]*Games[[#This Row],[MOVMult]])*(Games[[#This Row],[Result]]-Games[[#This Row],[ExpectedWin%]])</f>
        <v>9.2948345053212318</v>
      </c>
      <c r="AB419" s="4">
        <f>Games[[#This Row],[PreGmRate]]+Games[[#This Row],[RatingChange]]</f>
        <v>1493.316101994373</v>
      </c>
      <c r="AC419" s="2">
        <f>IF(Games[[#This Row],[Type]]="R",IF(Games[[#This Row],[Result]]&gt;0.5,1,0),0)</f>
        <v>1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0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37469</v>
      </c>
      <c r="B420" s="2">
        <v>2002</v>
      </c>
      <c r="C420" s="2">
        <f>COUNTIFS(Games[Team],Games[[#This Row],[Team]],Games[Season],Games[[#This Row],[Season]],Games[Date],"&lt;=" &amp; Games[[#This Row],[Date]])</f>
        <v>27</v>
      </c>
      <c r="D420" s="2" t="s">
        <v>23</v>
      </c>
      <c r="E420" s="2" t="s">
        <v>29</v>
      </c>
      <c r="F420" s="1" t="s">
        <v>43</v>
      </c>
      <c r="G420" s="1" t="s">
        <v>45</v>
      </c>
      <c r="H420" s="1" t="s">
        <v>16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-1</v>
      </c>
      <c r="L420" s="2">
        <f>Games[[#This Row],[OppDaysOff]]-Games[[#This Row],[DaysOff]]</f>
        <v>1</v>
      </c>
      <c r="M420" s="16">
        <f>MAX(-16, MIN(16, Games[[#This Row],[RestDiff]]*8))</f>
        <v>-8</v>
      </c>
      <c r="N420" s="16">
        <f>MAX(-16, MIN(16, Games[[#This Row],[OppRestDiff]]*8))</f>
        <v>8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1596.1726122930977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1475.527846138036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0.52967528927227969</v>
      </c>
      <c r="R420" s="1">
        <v>71</v>
      </c>
      <c r="S420" s="1">
        <v>80</v>
      </c>
      <c r="T420" s="1">
        <v>0</v>
      </c>
      <c r="U420" s="16">
        <f>Games[[#This Row],[PointsFor]]-Games[[#This Row],[PointsAgainst]]</f>
        <v>-9</v>
      </c>
      <c r="V420" s="16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0.36888483948263456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0" s="9">
        <f>MAX(kmin, kmax - 0.15 * MIN(Games[[#This Row],[GamesPlayed]], 82))</f>
        <v>71.95</v>
      </c>
      <c r="Z420" s="4">
        <f>Games[[#This Row],[K]]*Games[[#This Row],[POMult]]</f>
        <v>71.95</v>
      </c>
      <c r="AA420" s="4">
        <f>(Games[[#This Row],[Keff]]*Games[[#This Row],[MOVMult]])*(Games[[#This Row],[Result]]-Games[[#This Row],[ExpectedWin%]])</f>
        <v>-14.058251793197796</v>
      </c>
      <c r="AB420" s="4">
        <f>Games[[#This Row],[PreGmRate]]+Games[[#This Row],[RatingChange]]</f>
        <v>1582.1143604998999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1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0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37469</v>
      </c>
      <c r="B421" s="2">
        <v>2002</v>
      </c>
      <c r="C421" s="2">
        <f>COUNTIFS(Games[Team],Games[[#This Row],[Team]],Games[Season],Games[[#This Row],[Season]],Games[Date],"&lt;=" &amp; Games[[#This Row],[Date]])</f>
        <v>26</v>
      </c>
      <c r="D421" s="2" t="s">
        <v>23</v>
      </c>
      <c r="E421" s="2" t="s">
        <v>29</v>
      </c>
      <c r="F421" s="1" t="s">
        <v>45</v>
      </c>
      <c r="G421" s="1" t="s">
        <v>43</v>
      </c>
      <c r="H421" s="1" t="s">
        <v>15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21" s="2">
        <f>Games[[#This Row],[DaysOff]]-Games[[#This Row],[OppDaysOff]]</f>
        <v>1</v>
      </c>
      <c r="L421" s="2">
        <f>Games[[#This Row],[OppDaysOff]]-Games[[#This Row],[DaysOff]]</f>
        <v>-1</v>
      </c>
      <c r="M421" s="16">
        <f>MAX(-16, MIN(16, Games[[#This Row],[RestDiff]]*8))</f>
        <v>8</v>
      </c>
      <c r="N421" s="16">
        <f>MAX(-16, MIN(16, Games[[#This Row],[OppRestDiff]]*8))</f>
        <v>-8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1475.527846138036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1596.1726122930977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0.47032471072772036</v>
      </c>
      <c r="R421" s="1">
        <v>80</v>
      </c>
      <c r="S421" s="1">
        <v>71</v>
      </c>
      <c r="T421" s="1">
        <v>0</v>
      </c>
      <c r="U421" s="16">
        <f>Games[[#This Row],[PointsFor]]-Games[[#This Row],[PointsAgainst]]</f>
        <v>9</v>
      </c>
      <c r="V421" s="16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0.36888483948263456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1" s="9">
        <f>MAX(kmin, kmax - 0.15 * MIN(Games[[#This Row],[GamesPlayed]], 82))</f>
        <v>72.099999999999994</v>
      </c>
      <c r="Z421" s="4">
        <f>Games[[#This Row],[K]]*Games[[#This Row],[POMult]]</f>
        <v>72.099999999999994</v>
      </c>
      <c r="AA421" s="4">
        <f>(Games[[#This Row],[Keff]]*Games[[#This Row],[MOVMult]])*(Games[[#This Row],[Result]]-Games[[#This Row],[ExpectedWin%]])</f>
        <v>14.087560170806958</v>
      </c>
      <c r="AB421" s="4">
        <f>Games[[#This Row],[PreGmRate]]+Games[[#This Row],[RatingChange]]</f>
        <v>1489.6154063088429</v>
      </c>
      <c r="AC421" s="2">
        <f>IF(Games[[#This Row],[Type]]="R",IF(Games[[#This Row],[Result]]&gt;0.5,1,0),0)</f>
        <v>1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0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  <row r="422" spans="1:38" x14ac:dyDescent="0.35">
      <c r="A422" s="10">
        <v>37470</v>
      </c>
      <c r="B422" s="2">
        <v>2002</v>
      </c>
      <c r="C422" s="2">
        <f>COUNTIFS(Games[Team],Games[[#This Row],[Team]],Games[Season],Games[[#This Row],[Season]],Games[Date],"&lt;=" &amp; Games[[#This Row],[Date]])</f>
        <v>27</v>
      </c>
      <c r="D422" s="2" t="s">
        <v>23</v>
      </c>
      <c r="E422" s="2" t="s">
        <v>29</v>
      </c>
      <c r="F422" s="1" t="s">
        <v>44</v>
      </c>
      <c r="G422" s="1" t="s">
        <v>80</v>
      </c>
      <c r="H422" s="1" t="s">
        <v>16</v>
      </c>
      <c r="I422" s="2" cm="1">
        <f t="array" ref="I4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2" s="2" cm="1">
        <f t="array" ref="J4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2" s="2">
        <f>Games[[#This Row],[DaysOff]]-Games[[#This Row],[OppDaysOff]]</f>
        <v>0</v>
      </c>
      <c r="L422" s="2">
        <f>Games[[#This Row],[OppDaysOff]]-Games[[#This Row],[DaysOff]]</f>
        <v>0</v>
      </c>
      <c r="M422" s="16">
        <f>MAX(-16, MIN(16, Games[[#This Row],[RestDiff]]*8))</f>
        <v>0</v>
      </c>
      <c r="N422" s="16">
        <f>MAX(-16, MIN(16, Games[[#This Row],[OppRestDiff]]*8))</f>
        <v>0</v>
      </c>
      <c r="O422" s="4" cm="1">
        <f t="array" ref="O4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1383.8436661556439</v>
      </c>
      <c r="P422" s="4" cm="1">
        <f t="array" ref="P4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1368.4039358726413</v>
      </c>
      <c r="Q422" s="4">
        <f>1/(1+10^(((Games[[#This Row],[OppPreGmRate]]+IF(Games[[#This Row],[HomeAway]]="A",HCA,0)+Games[[#This Row],[OppRestAdj]])-(Games[[#This Row],[PreGmRate]]+IF(Games[[#This Row],[HomeAway]]="H",HCA,0)+Games[[#This Row],[RestAdj]]))/400))</f>
        <v>0.40259489031191131</v>
      </c>
      <c r="R422" s="1">
        <v>51</v>
      </c>
      <c r="S422" s="1">
        <v>75</v>
      </c>
      <c r="T422" s="1">
        <v>0</v>
      </c>
      <c r="U422" s="16">
        <f>Games[[#This Row],[PointsFor]]-Games[[#This Row],[PointsAgainst]]</f>
        <v>-24</v>
      </c>
      <c r="V422" s="16">
        <f>IF(Games[[#This Row],[MOV]]&gt;0,1,IF(Games[[#This Row],[MOV]]=0,0.5,0))</f>
        <v>0</v>
      </c>
      <c r="W422" s="4">
        <f>((ABS(Games[[#This Row],[MOV]])+5)^0.6)/(12+0.01*(ABS(Games[[#This Row],[PreGmRate]]-Games[[#This Row],[OppPreGmRate]])))*IF(Games[[#This Row],[OT]]=1,0.9,1)</f>
        <v>0.620447973312651</v>
      </c>
      <c r="X422" s="7" cm="1">
        <f t="array" ref="X4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2" s="9">
        <f>MAX(kmin, kmax - 0.15 * MIN(Games[[#This Row],[GamesPlayed]], 82))</f>
        <v>71.95</v>
      </c>
      <c r="Z422" s="4">
        <f>Games[[#This Row],[K]]*Games[[#This Row],[POMult]]</f>
        <v>71.95</v>
      </c>
      <c r="AA422" s="4">
        <f>(Games[[#This Row],[Keff]]*Games[[#This Row],[MOVMult]])*(Games[[#This Row],[Result]]-Games[[#This Row],[ExpectedWin%]])</f>
        <v>-17.972331771535917</v>
      </c>
      <c r="AB422" s="4">
        <f>Games[[#This Row],[PreGmRate]]+Games[[#This Row],[RatingChange]]</f>
        <v>1365.871334384108</v>
      </c>
      <c r="AC422" s="2">
        <f>IF(Games[[#This Row],[Type]]="R",IF(Games[[#This Row],[Result]]&gt;0.5,1,0),0)</f>
        <v>0</v>
      </c>
      <c r="AD422" s="2">
        <f>IF(Games[[#This Row],[Type]]="R",IF(Games[[#This Row],[Result]]&lt;0.5,1,0),0)</f>
        <v>1</v>
      </c>
      <c r="AE422" s="2">
        <f>IF(AND(Games[[#This Row],[Type]]="P",Games[[#This Row],[Round]]=1),IF(Games[[#This Row],[Result]]&gt;0.5,1,0),0)</f>
        <v>0</v>
      </c>
      <c r="AF422" s="2">
        <f>IF(AND(Games[[#This Row],[Type]]="P",Games[[#This Row],[Round]]=1),IF(Games[[#This Row],[Result]]&lt;0.5,1,0),0)</f>
        <v>0</v>
      </c>
      <c r="AG422" s="2">
        <f>IF(AND(Games[[#This Row],[Type]]="P",Games[[#This Row],[Round]]=2),IF(Games[[#This Row],[Result]]&gt;0.5,1,0),0)</f>
        <v>0</v>
      </c>
      <c r="AH422" s="2">
        <f>IF(AND(Games[[#This Row],[Type]]="P",Games[[#This Row],[Round]]=2),IF(Games[[#This Row],[Result]]&lt;0.5,1,0),0)</f>
        <v>0</v>
      </c>
      <c r="AI422" s="2">
        <f>IF(AND(Games[[#This Row],[Type]]="P",Games[[#This Row],[Round]]=3),IF(Games[[#This Row],[Result]]&gt;0.5,1,0),0)</f>
        <v>0</v>
      </c>
      <c r="AJ422" s="2">
        <f>IF(AND(Games[[#This Row],[Type]]="P",Games[[#This Row],[Round]]=3),IF(Games[[#This Row],[Result]]&lt;0.5,1,0),0)</f>
        <v>0</v>
      </c>
      <c r="AK422" s="2">
        <f>IF(AND(Games[[#This Row],[Type]]="P",Games[[#This Row],[Round]]=4),IF(Games[[#This Row],[Result]]&gt;0.5,1,0),0)</f>
        <v>0</v>
      </c>
      <c r="AL422" s="2">
        <f>IF(AND(Games[[#This Row],[Type]]="P",Games[[#This Row],[Round]]=4),IF(Games[[#This Row],[Result]]&lt;0.5,1,0),0)</f>
        <v>0</v>
      </c>
    </row>
    <row r="423" spans="1:38" x14ac:dyDescent="0.35">
      <c r="A423" s="10">
        <v>37470</v>
      </c>
      <c r="B423" s="2">
        <v>2002</v>
      </c>
      <c r="C423" s="2">
        <f>COUNTIFS(Games[Team],Games[[#This Row],[Team]],Games[Season],Games[[#This Row],[Season]],Games[Date],"&lt;=" &amp; Games[[#This Row],[Date]])</f>
        <v>27</v>
      </c>
      <c r="D423" s="2" t="s">
        <v>23</v>
      </c>
      <c r="E423" s="2" t="s">
        <v>29</v>
      </c>
      <c r="F423" s="1" t="s">
        <v>80</v>
      </c>
      <c r="G423" s="1" t="s">
        <v>44</v>
      </c>
      <c r="H423" s="1" t="s">
        <v>15</v>
      </c>
      <c r="I423" s="2" cm="1">
        <f t="array" ref="I4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3" s="2" cm="1">
        <f t="array" ref="J4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3" s="2">
        <f>Games[[#This Row],[DaysOff]]-Games[[#This Row],[OppDaysOff]]</f>
        <v>0</v>
      </c>
      <c r="L423" s="2">
        <f>Games[[#This Row],[OppDaysOff]]-Games[[#This Row],[DaysOff]]</f>
        <v>0</v>
      </c>
      <c r="M423" s="16">
        <f>MAX(-16, MIN(16, Games[[#This Row],[RestDiff]]*8))</f>
        <v>0</v>
      </c>
      <c r="N423" s="16">
        <f>MAX(-16, MIN(16, Games[[#This Row],[OppRestDiff]]*8))</f>
        <v>0</v>
      </c>
      <c r="O423" s="4" cm="1">
        <f t="array" ref="O4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1368.4039358726413</v>
      </c>
      <c r="P423" s="4" cm="1">
        <f t="array" ref="P4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1383.8436661556439</v>
      </c>
      <c r="Q423" s="4">
        <f>1/(1+10^(((Games[[#This Row],[OppPreGmRate]]+IF(Games[[#This Row],[HomeAway]]="A",HCA,0)+Games[[#This Row],[OppRestAdj]])-(Games[[#This Row],[PreGmRate]]+IF(Games[[#This Row],[HomeAway]]="H",HCA,0)+Games[[#This Row],[RestAdj]]))/400))</f>
        <v>0.5974051096880888</v>
      </c>
      <c r="R423" s="1">
        <v>75</v>
      </c>
      <c r="S423" s="1">
        <v>51</v>
      </c>
      <c r="T423" s="1">
        <v>0</v>
      </c>
      <c r="U423" s="16">
        <f>Games[[#This Row],[PointsFor]]-Games[[#This Row],[PointsAgainst]]</f>
        <v>24</v>
      </c>
      <c r="V423" s="16">
        <f>IF(Games[[#This Row],[MOV]]&gt;0,1,IF(Games[[#This Row],[MOV]]=0,0.5,0))</f>
        <v>1</v>
      </c>
      <c r="W423" s="4">
        <f>((ABS(Games[[#This Row],[MOV]])+5)^0.6)/(12+0.01*(ABS(Games[[#This Row],[PreGmRate]]-Games[[#This Row],[OppPreGmRate]])))*IF(Games[[#This Row],[OT]]=1,0.9,1)</f>
        <v>0.620447973312651</v>
      </c>
      <c r="X423" s="7" cm="1">
        <f t="array" ref="X4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3" s="9">
        <f>MAX(kmin, kmax - 0.15 * MIN(Games[[#This Row],[GamesPlayed]], 82))</f>
        <v>71.95</v>
      </c>
      <c r="Z423" s="4">
        <f>Games[[#This Row],[K]]*Games[[#This Row],[POMult]]</f>
        <v>71.95</v>
      </c>
      <c r="AA423" s="4">
        <f>(Games[[#This Row],[Keff]]*Games[[#This Row],[MOVMult]])*(Games[[#This Row],[Result]]-Games[[#This Row],[ExpectedWin%]])</f>
        <v>17.972331771535909</v>
      </c>
      <c r="AB423" s="4">
        <f>Games[[#This Row],[PreGmRate]]+Games[[#This Row],[RatingChange]]</f>
        <v>1386.3762676441772</v>
      </c>
      <c r="AC423" s="2">
        <f>IF(Games[[#This Row],[Type]]="R",IF(Games[[#This Row],[Result]]&gt;0.5,1,0),0)</f>
        <v>1</v>
      </c>
      <c r="AD423" s="2">
        <f>IF(Games[[#This Row],[Type]]="R",IF(Games[[#This Row],[Result]]&lt;0.5,1,0),0)</f>
        <v>0</v>
      </c>
      <c r="AE423" s="2">
        <f>IF(AND(Games[[#This Row],[Type]]="P",Games[[#This Row],[Round]]=1),IF(Games[[#This Row],[Result]]&gt;0.5,1,0),0)</f>
        <v>0</v>
      </c>
      <c r="AF423" s="2">
        <f>IF(AND(Games[[#This Row],[Type]]="P",Games[[#This Row],[Round]]=1),IF(Games[[#This Row],[Result]]&lt;0.5,1,0),0)</f>
        <v>0</v>
      </c>
      <c r="AG423" s="2">
        <f>IF(AND(Games[[#This Row],[Type]]="P",Games[[#This Row],[Round]]=2),IF(Games[[#This Row],[Result]]&gt;0.5,1,0),0)</f>
        <v>0</v>
      </c>
      <c r="AH423" s="2">
        <f>IF(AND(Games[[#This Row],[Type]]="P",Games[[#This Row],[Round]]=2),IF(Games[[#This Row],[Result]]&lt;0.5,1,0),0)</f>
        <v>0</v>
      </c>
      <c r="AI423" s="2">
        <f>IF(AND(Games[[#This Row],[Type]]="P",Games[[#This Row],[Round]]=3),IF(Games[[#This Row],[Result]]&gt;0.5,1,0),0)</f>
        <v>0</v>
      </c>
      <c r="AJ423" s="2">
        <f>IF(AND(Games[[#This Row],[Type]]="P",Games[[#This Row],[Round]]=3),IF(Games[[#This Row],[Result]]&lt;0.5,1,0),0)</f>
        <v>0</v>
      </c>
      <c r="AK423" s="2">
        <f>IF(AND(Games[[#This Row],[Type]]="P",Games[[#This Row],[Round]]=4),IF(Games[[#This Row],[Result]]&gt;0.5,1,0),0)</f>
        <v>0</v>
      </c>
      <c r="AL423" s="2">
        <f>IF(AND(Games[[#This Row],[Type]]="P",Games[[#This Row],[Round]]=4),IF(Games[[#This Row],[Result]]&lt;0.5,1,0),0)</f>
        <v>0</v>
      </c>
    </row>
    <row r="424" spans="1:38" x14ac:dyDescent="0.35">
      <c r="A424" s="10">
        <v>37470</v>
      </c>
      <c r="B424" s="2">
        <v>2002</v>
      </c>
      <c r="C424" s="2">
        <f>COUNTIFS(Games[Team],Games[[#This Row],[Team]],Games[Season],Games[[#This Row],[Season]],Games[Date],"&lt;=" &amp; Games[[#This Row],[Date]])</f>
        <v>28</v>
      </c>
      <c r="D424" s="2" t="s">
        <v>23</v>
      </c>
      <c r="E424" s="2" t="s">
        <v>29</v>
      </c>
      <c r="F424" s="1" t="s">
        <v>83</v>
      </c>
      <c r="G424" s="1" t="s">
        <v>66</v>
      </c>
      <c r="H424" s="1" t="s">
        <v>16</v>
      </c>
      <c r="I424" s="2" cm="1">
        <f t="array" ref="I4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4" s="2" cm="1">
        <f t="array" ref="J4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24" s="2">
        <f>Games[[#This Row],[DaysOff]]-Games[[#This Row],[OppDaysOff]]</f>
        <v>-3</v>
      </c>
      <c r="L424" s="2">
        <f>Games[[#This Row],[OppDaysOff]]-Games[[#This Row],[DaysOff]]</f>
        <v>3</v>
      </c>
      <c r="M424" s="16">
        <f>MAX(-16, MIN(16, Games[[#This Row],[RestDiff]]*8))</f>
        <v>-16</v>
      </c>
      <c r="N424" s="16">
        <f>MAX(-16, MIN(16, Games[[#This Row],[OppRestDiff]]*8))</f>
        <v>16</v>
      </c>
      <c r="O424" s="4" cm="1">
        <f t="array" ref="O4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1495.0339700182744</v>
      </c>
      <c r="P424" s="4" cm="1">
        <f t="array" ref="P4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1568.0087859331547</v>
      </c>
      <c r="Q424" s="4">
        <f>1/(1+10^(((Games[[#This Row],[OppPreGmRate]]+IF(Games[[#This Row],[HomeAway]]="A",HCA,0)+Games[[#This Row],[OppRestAdj]])-(Games[[#This Row],[PreGmRate]]+IF(Games[[#This Row],[HomeAway]]="H",HCA,0)+Games[[#This Row],[RestAdj]]))/400))</f>
        <v>0.25202778631964717</v>
      </c>
      <c r="R424" s="1">
        <v>54</v>
      </c>
      <c r="S424" s="1">
        <v>66</v>
      </c>
      <c r="T424" s="1">
        <v>0</v>
      </c>
      <c r="U424" s="16">
        <f>Games[[#This Row],[PointsFor]]-Games[[#This Row],[PointsAgainst]]</f>
        <v>-12</v>
      </c>
      <c r="V424" s="16">
        <f>IF(Games[[#This Row],[MOV]]&gt;0,1,IF(Games[[#This Row],[MOV]]=0,0.5,0))</f>
        <v>0</v>
      </c>
      <c r="W424" s="4">
        <f>((ABS(Games[[#This Row],[MOV]])+5)^0.6)/(12+0.01*(ABS(Games[[#This Row],[PreGmRate]]-Games[[#This Row],[OppPreGmRate]])))*IF(Games[[#This Row],[OT]]=1,0.9,1)</f>
        <v>0.42998127288045951</v>
      </c>
      <c r="X424" s="7" cm="1">
        <f t="array" ref="X4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4" s="9">
        <f>MAX(kmin, kmax - 0.15 * MIN(Games[[#This Row],[GamesPlayed]], 82))</f>
        <v>71.8</v>
      </c>
      <c r="Z424" s="4">
        <f>Games[[#This Row],[K]]*Games[[#This Row],[POMult]]</f>
        <v>71.8</v>
      </c>
      <c r="AA424" s="4">
        <f>(Games[[#This Row],[Keff]]*Games[[#This Row],[MOVMult]])*(Games[[#This Row],[Result]]-Games[[#This Row],[ExpectedWin%]])</f>
        <v>-7.7807669964609838</v>
      </c>
      <c r="AB424" s="4">
        <f>Games[[#This Row],[PreGmRate]]+Games[[#This Row],[RatingChange]]</f>
        <v>1487.2532030218135</v>
      </c>
      <c r="AC424" s="2">
        <f>IF(Games[[#This Row],[Type]]="R",IF(Games[[#This Row],[Result]]&gt;0.5,1,0),0)</f>
        <v>0</v>
      </c>
      <c r="AD424" s="2">
        <f>IF(Games[[#This Row],[Type]]="R",IF(Games[[#This Row],[Result]]&lt;0.5,1,0),0)</f>
        <v>1</v>
      </c>
      <c r="AE424" s="2">
        <f>IF(AND(Games[[#This Row],[Type]]="P",Games[[#This Row],[Round]]=1),IF(Games[[#This Row],[Result]]&gt;0.5,1,0),0)</f>
        <v>0</v>
      </c>
      <c r="AF424" s="2">
        <f>IF(AND(Games[[#This Row],[Type]]="P",Games[[#This Row],[Round]]=1),IF(Games[[#This Row],[Result]]&lt;0.5,1,0),0)</f>
        <v>0</v>
      </c>
      <c r="AG424" s="2">
        <f>IF(AND(Games[[#This Row],[Type]]="P",Games[[#This Row],[Round]]=2),IF(Games[[#This Row],[Result]]&gt;0.5,1,0),0)</f>
        <v>0</v>
      </c>
      <c r="AH424" s="2">
        <f>IF(AND(Games[[#This Row],[Type]]="P",Games[[#This Row],[Round]]=2),IF(Games[[#This Row],[Result]]&lt;0.5,1,0),0)</f>
        <v>0</v>
      </c>
      <c r="AI424" s="2">
        <f>IF(AND(Games[[#This Row],[Type]]="P",Games[[#This Row],[Round]]=3),IF(Games[[#This Row],[Result]]&gt;0.5,1,0),0)</f>
        <v>0</v>
      </c>
      <c r="AJ424" s="2">
        <f>IF(AND(Games[[#This Row],[Type]]="P",Games[[#This Row],[Round]]=3),IF(Games[[#This Row],[Result]]&lt;0.5,1,0),0)</f>
        <v>0</v>
      </c>
      <c r="AK424" s="2">
        <f>IF(AND(Games[[#This Row],[Type]]="P",Games[[#This Row],[Round]]=4),IF(Games[[#This Row],[Result]]&gt;0.5,1,0),0)</f>
        <v>0</v>
      </c>
      <c r="AL424" s="2">
        <f>IF(AND(Games[[#This Row],[Type]]="P",Games[[#This Row],[Round]]=4),IF(Games[[#This Row],[Result]]&lt;0.5,1,0),0)</f>
        <v>0</v>
      </c>
    </row>
    <row r="425" spans="1:38" x14ac:dyDescent="0.35">
      <c r="A425" s="10">
        <v>37470</v>
      </c>
      <c r="B425" s="2">
        <v>2002</v>
      </c>
      <c r="C425" s="2">
        <f>COUNTIFS(Games[Team],Games[[#This Row],[Team]],Games[Season],Games[[#This Row],[Season]],Games[Date],"&lt;=" &amp; Games[[#This Row],[Date]])</f>
        <v>26</v>
      </c>
      <c r="D425" s="2" t="s">
        <v>23</v>
      </c>
      <c r="E425" s="2" t="s">
        <v>29</v>
      </c>
      <c r="F425" s="1" t="s">
        <v>66</v>
      </c>
      <c r="G425" s="1" t="s">
        <v>83</v>
      </c>
      <c r="H425" s="1" t="s">
        <v>15</v>
      </c>
      <c r="I425" s="2" cm="1">
        <f t="array" ref="I4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25" s="2" cm="1">
        <f t="array" ref="J4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5" s="2">
        <f>Games[[#This Row],[DaysOff]]-Games[[#This Row],[OppDaysOff]]</f>
        <v>3</v>
      </c>
      <c r="L425" s="2">
        <f>Games[[#This Row],[OppDaysOff]]-Games[[#This Row],[DaysOff]]</f>
        <v>-3</v>
      </c>
      <c r="M425" s="16">
        <f>MAX(-16, MIN(16, Games[[#This Row],[RestDiff]]*8))</f>
        <v>16</v>
      </c>
      <c r="N425" s="16">
        <f>MAX(-16, MIN(16, Games[[#This Row],[OppRestDiff]]*8))</f>
        <v>-16</v>
      </c>
      <c r="O425" s="4" cm="1">
        <f t="array" ref="O4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1568.0087859331547</v>
      </c>
      <c r="P425" s="4" cm="1">
        <f t="array" ref="P4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1495.0339700182744</v>
      </c>
      <c r="Q425" s="4">
        <f>1/(1+10^(((Games[[#This Row],[OppPreGmRate]]+IF(Games[[#This Row],[HomeAway]]="A",HCA,0)+Games[[#This Row],[OppRestAdj]])-(Games[[#This Row],[PreGmRate]]+IF(Games[[#This Row],[HomeAway]]="H",HCA,0)+Games[[#This Row],[RestAdj]]))/400))</f>
        <v>0.74797221368035294</v>
      </c>
      <c r="R425" s="1">
        <v>66</v>
      </c>
      <c r="S425" s="1">
        <v>54</v>
      </c>
      <c r="T425" s="1">
        <v>0</v>
      </c>
      <c r="U425" s="16">
        <f>Games[[#This Row],[PointsFor]]-Games[[#This Row],[PointsAgainst]]</f>
        <v>12</v>
      </c>
      <c r="V425" s="16">
        <f>IF(Games[[#This Row],[MOV]]&gt;0,1,IF(Games[[#This Row],[MOV]]=0,0.5,0))</f>
        <v>1</v>
      </c>
      <c r="W425" s="4">
        <f>((ABS(Games[[#This Row],[MOV]])+5)^0.6)/(12+0.01*(ABS(Games[[#This Row],[PreGmRate]]-Games[[#This Row],[OppPreGmRate]])))*IF(Games[[#This Row],[OT]]=1,0.9,1)</f>
        <v>0.42998127288045951</v>
      </c>
      <c r="X425" s="7" cm="1">
        <f t="array" ref="X4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5" s="9">
        <f>MAX(kmin, kmax - 0.15 * MIN(Games[[#This Row],[GamesPlayed]], 82))</f>
        <v>72.099999999999994</v>
      </c>
      <c r="Z425" s="4">
        <f>Games[[#This Row],[K]]*Games[[#This Row],[POMult]]</f>
        <v>72.099999999999994</v>
      </c>
      <c r="AA425" s="4">
        <f>(Games[[#This Row],[Keff]]*Games[[#This Row],[MOVMult]])*(Games[[#This Row],[Result]]-Games[[#This Row],[ExpectedWin%]])</f>
        <v>7.8132771649698691</v>
      </c>
      <c r="AB425" s="4">
        <f>Games[[#This Row],[PreGmRate]]+Games[[#This Row],[RatingChange]]</f>
        <v>1575.8220630981245</v>
      </c>
      <c r="AC425" s="2">
        <f>IF(Games[[#This Row],[Type]]="R",IF(Games[[#This Row],[Result]]&gt;0.5,1,0),0)</f>
        <v>1</v>
      </c>
      <c r="AD425" s="2">
        <f>IF(Games[[#This Row],[Type]]="R",IF(Games[[#This Row],[Result]]&lt;0.5,1,0),0)</f>
        <v>0</v>
      </c>
      <c r="AE425" s="2">
        <f>IF(AND(Games[[#This Row],[Type]]="P",Games[[#This Row],[Round]]=1),IF(Games[[#This Row],[Result]]&gt;0.5,1,0),0)</f>
        <v>0</v>
      </c>
      <c r="AF425" s="2">
        <f>IF(AND(Games[[#This Row],[Type]]="P",Games[[#This Row],[Round]]=1),IF(Games[[#This Row],[Result]]&lt;0.5,1,0),0)</f>
        <v>0</v>
      </c>
      <c r="AG425" s="2">
        <f>IF(AND(Games[[#This Row],[Type]]="P",Games[[#This Row],[Round]]=2),IF(Games[[#This Row],[Result]]&gt;0.5,1,0),0)</f>
        <v>0</v>
      </c>
      <c r="AH425" s="2">
        <f>IF(AND(Games[[#This Row],[Type]]="P",Games[[#This Row],[Round]]=2),IF(Games[[#This Row],[Result]]&lt;0.5,1,0),0)</f>
        <v>0</v>
      </c>
      <c r="AI425" s="2">
        <f>IF(AND(Games[[#This Row],[Type]]="P",Games[[#This Row],[Round]]=3),IF(Games[[#This Row],[Result]]&gt;0.5,1,0),0)</f>
        <v>0</v>
      </c>
      <c r="AJ425" s="2">
        <f>IF(AND(Games[[#This Row],[Type]]="P",Games[[#This Row],[Round]]=3),IF(Games[[#This Row],[Result]]&lt;0.5,1,0),0)</f>
        <v>0</v>
      </c>
      <c r="AK425" s="2">
        <f>IF(AND(Games[[#This Row],[Type]]="P",Games[[#This Row],[Round]]=4),IF(Games[[#This Row],[Result]]&gt;0.5,1,0),0)</f>
        <v>0</v>
      </c>
      <c r="AL425" s="2">
        <f>IF(AND(Games[[#This Row],[Type]]="P",Games[[#This Row],[Round]]=4),IF(Games[[#This Row],[Result]]&lt;0.5,1,0),0)</f>
        <v>0</v>
      </c>
    </row>
    <row r="426" spans="1:38" x14ac:dyDescent="0.35">
      <c r="A426" s="10">
        <v>37470</v>
      </c>
      <c r="B426" s="2">
        <v>2002</v>
      </c>
      <c r="C426" s="2">
        <f>COUNTIFS(Games[Team],Games[[#This Row],[Team]],Games[Season],Games[[#This Row],[Season]],Games[Date],"&lt;=" &amp; Games[[#This Row],[Date]])</f>
        <v>28</v>
      </c>
      <c r="D426" s="2" t="s">
        <v>23</v>
      </c>
      <c r="E426" s="2" t="s">
        <v>29</v>
      </c>
      <c r="F426" s="1" t="s">
        <v>89</v>
      </c>
      <c r="G426" s="1" t="s">
        <v>75</v>
      </c>
      <c r="H426" s="1" t="s">
        <v>16</v>
      </c>
      <c r="I426" s="2" cm="1">
        <f t="array" ref="I4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6" s="2" cm="1">
        <f t="array" ref="J4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6" s="2">
        <f>Games[[#This Row],[DaysOff]]-Games[[#This Row],[OppDaysOff]]</f>
        <v>0</v>
      </c>
      <c r="L426" s="2">
        <f>Games[[#This Row],[OppDaysOff]]-Games[[#This Row],[DaysOff]]</f>
        <v>0</v>
      </c>
      <c r="M426" s="16">
        <f>MAX(-16, MIN(16, Games[[#This Row],[RestDiff]]*8))</f>
        <v>0</v>
      </c>
      <c r="N426" s="16">
        <f>MAX(-16, MIN(16, Games[[#This Row],[OppRestDiff]]*8))</f>
        <v>0</v>
      </c>
      <c r="O426" s="4" cm="1">
        <f t="array" ref="O4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1517.6765024249901</v>
      </c>
      <c r="P426" s="4" cm="1">
        <f t="array" ref="P4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1467.0753563325563</v>
      </c>
      <c r="Q426" s="4">
        <f>1/(1+10^(((Games[[#This Row],[OppPreGmRate]]+IF(Games[[#This Row],[HomeAway]]="A",HCA,0)+Games[[#This Row],[OppRestAdj]])-(Games[[#This Row],[PreGmRate]]+IF(Games[[#This Row],[HomeAway]]="H",HCA,0)+Games[[#This Row],[RestAdj]]))/400))</f>
        <v>0.45208269445792004</v>
      </c>
      <c r="R426" s="1">
        <v>67</v>
      </c>
      <c r="S426" s="1">
        <v>65</v>
      </c>
      <c r="T426" s="1">
        <v>0</v>
      </c>
      <c r="U426" s="16">
        <f>Games[[#This Row],[PointsFor]]-Games[[#This Row],[PointsAgainst]]</f>
        <v>2</v>
      </c>
      <c r="V426" s="16">
        <f>IF(Games[[#This Row],[MOV]]&gt;0,1,IF(Games[[#This Row],[MOV]]=0,0.5,0))</f>
        <v>1</v>
      </c>
      <c r="W426" s="4">
        <f>((ABS(Games[[#This Row],[MOV]])+5)^0.6)/(12+0.01*(ABS(Games[[#This Row],[PreGmRate]]-Games[[#This Row],[OppPreGmRate]])))*IF(Games[[#This Row],[OT]]=1,0.9,1)</f>
        <v>0.25700407038316275</v>
      </c>
      <c r="X426" s="7" cm="1">
        <f t="array" ref="X4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6" s="9">
        <f>MAX(kmin, kmax - 0.15 * MIN(Games[[#This Row],[GamesPlayed]], 82))</f>
        <v>71.8</v>
      </c>
      <c r="Z426" s="4">
        <f>Games[[#This Row],[K]]*Games[[#This Row],[POMult]]</f>
        <v>71.8</v>
      </c>
      <c r="AA426" s="4">
        <f>(Games[[#This Row],[Keff]]*Games[[#This Row],[MOVMult]])*(Games[[#This Row],[Result]]-Games[[#This Row],[ExpectedWin%]])</f>
        <v>10.110659003002112</v>
      </c>
      <c r="AB426" s="4">
        <f>Games[[#This Row],[PreGmRate]]+Games[[#This Row],[RatingChange]]</f>
        <v>1527.7871614279923</v>
      </c>
      <c r="AC426" s="2">
        <f>IF(Games[[#This Row],[Type]]="R",IF(Games[[#This Row],[Result]]&gt;0.5,1,0),0)</f>
        <v>1</v>
      </c>
      <c r="AD426" s="2">
        <f>IF(Games[[#This Row],[Type]]="R",IF(Games[[#This Row],[Result]]&lt;0.5,1,0),0)</f>
        <v>0</v>
      </c>
      <c r="AE426" s="2">
        <f>IF(AND(Games[[#This Row],[Type]]="P",Games[[#This Row],[Round]]=1),IF(Games[[#This Row],[Result]]&gt;0.5,1,0),0)</f>
        <v>0</v>
      </c>
      <c r="AF426" s="2">
        <f>IF(AND(Games[[#This Row],[Type]]="P",Games[[#This Row],[Round]]=1),IF(Games[[#This Row],[Result]]&lt;0.5,1,0),0)</f>
        <v>0</v>
      </c>
      <c r="AG426" s="2">
        <f>IF(AND(Games[[#This Row],[Type]]="P",Games[[#This Row],[Round]]=2),IF(Games[[#This Row],[Result]]&gt;0.5,1,0),0)</f>
        <v>0</v>
      </c>
      <c r="AH426" s="2">
        <f>IF(AND(Games[[#This Row],[Type]]="P",Games[[#This Row],[Round]]=2),IF(Games[[#This Row],[Result]]&lt;0.5,1,0),0)</f>
        <v>0</v>
      </c>
      <c r="AI426" s="2">
        <f>IF(AND(Games[[#This Row],[Type]]="P",Games[[#This Row],[Round]]=3),IF(Games[[#This Row],[Result]]&gt;0.5,1,0),0)</f>
        <v>0</v>
      </c>
      <c r="AJ426" s="2">
        <f>IF(AND(Games[[#This Row],[Type]]="P",Games[[#This Row],[Round]]=3),IF(Games[[#This Row],[Result]]&lt;0.5,1,0),0)</f>
        <v>0</v>
      </c>
      <c r="AK426" s="2">
        <f>IF(AND(Games[[#This Row],[Type]]="P",Games[[#This Row],[Round]]=4),IF(Games[[#This Row],[Result]]&gt;0.5,1,0),0)</f>
        <v>0</v>
      </c>
      <c r="AL426" s="2">
        <f>IF(AND(Games[[#This Row],[Type]]="P",Games[[#This Row],[Round]]=4),IF(Games[[#This Row],[Result]]&lt;0.5,1,0),0)</f>
        <v>0</v>
      </c>
    </row>
    <row r="427" spans="1:38" x14ac:dyDescent="0.35">
      <c r="A427" s="10">
        <v>37470</v>
      </c>
      <c r="B427" s="2">
        <v>2002</v>
      </c>
      <c r="C427" s="2">
        <f>COUNTIFS(Games[Team],Games[[#This Row],[Team]],Games[Season],Games[[#This Row],[Season]],Games[Date],"&lt;=" &amp; Games[[#This Row],[Date]])</f>
        <v>26</v>
      </c>
      <c r="D427" s="2" t="s">
        <v>23</v>
      </c>
      <c r="E427" s="2" t="s">
        <v>29</v>
      </c>
      <c r="F427" s="1" t="s">
        <v>75</v>
      </c>
      <c r="G427" s="1" t="s">
        <v>89</v>
      </c>
      <c r="H427" s="1" t="s">
        <v>15</v>
      </c>
      <c r="I427" s="2" cm="1">
        <f t="array" ref="I4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27" s="2" cm="1">
        <f t="array" ref="J4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27" s="2">
        <f>Games[[#This Row],[DaysOff]]-Games[[#This Row],[OppDaysOff]]</f>
        <v>0</v>
      </c>
      <c r="L427" s="2">
        <f>Games[[#This Row],[OppDaysOff]]-Games[[#This Row],[DaysOff]]</f>
        <v>0</v>
      </c>
      <c r="M427" s="16">
        <f>MAX(-16, MIN(16, Games[[#This Row],[RestDiff]]*8))</f>
        <v>0</v>
      </c>
      <c r="N427" s="16">
        <f>MAX(-16, MIN(16, Games[[#This Row],[OppRestDiff]]*8))</f>
        <v>0</v>
      </c>
      <c r="O427" s="4" cm="1">
        <f t="array" ref="O4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1467.0753563325563</v>
      </c>
      <c r="P427" s="4" cm="1">
        <f t="array" ref="P4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1517.6765024249901</v>
      </c>
      <c r="Q427" s="4">
        <f>1/(1+10^(((Games[[#This Row],[OppPreGmRate]]+IF(Games[[#This Row],[HomeAway]]="A",HCA,0)+Games[[#This Row],[OppRestAdj]])-(Games[[#This Row],[PreGmRate]]+IF(Games[[#This Row],[HomeAway]]="H",HCA,0)+Games[[#This Row],[RestAdj]]))/400))</f>
        <v>0.54791730554207985</v>
      </c>
      <c r="R427" s="1">
        <v>65</v>
      </c>
      <c r="S427" s="1">
        <v>67</v>
      </c>
      <c r="T427" s="1">
        <v>0</v>
      </c>
      <c r="U427" s="16">
        <f>Games[[#This Row],[PointsFor]]-Games[[#This Row],[PointsAgainst]]</f>
        <v>-2</v>
      </c>
      <c r="V427" s="16">
        <f>IF(Games[[#This Row],[MOV]]&gt;0,1,IF(Games[[#This Row],[MOV]]=0,0.5,0))</f>
        <v>0</v>
      </c>
      <c r="W427" s="4">
        <f>((ABS(Games[[#This Row],[MOV]])+5)^0.6)/(12+0.01*(ABS(Games[[#This Row],[PreGmRate]]-Games[[#This Row],[OppPreGmRate]])))*IF(Games[[#This Row],[OT]]=1,0.9,1)</f>
        <v>0.25700407038316275</v>
      </c>
      <c r="X427" s="7" cm="1">
        <f t="array" ref="X4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7" s="9">
        <f>MAX(kmin, kmax - 0.15 * MIN(Games[[#This Row],[GamesPlayed]], 82))</f>
        <v>72.099999999999994</v>
      </c>
      <c r="Z427" s="4">
        <f>Games[[#This Row],[K]]*Games[[#This Row],[POMult]]</f>
        <v>72.099999999999994</v>
      </c>
      <c r="AA427" s="4">
        <f>(Games[[#This Row],[Keff]]*Games[[#This Row],[MOVMult]])*(Games[[#This Row],[Result]]-Games[[#This Row],[ExpectedWin%]])</f>
        <v>-10.152904096329417</v>
      </c>
      <c r="AB427" s="4">
        <f>Games[[#This Row],[PreGmRate]]+Games[[#This Row],[RatingChange]]</f>
        <v>1456.9224522362269</v>
      </c>
      <c r="AC427" s="2">
        <f>IF(Games[[#This Row],[Type]]="R",IF(Games[[#This Row],[Result]]&gt;0.5,1,0),0)</f>
        <v>0</v>
      </c>
      <c r="AD427" s="2">
        <f>IF(Games[[#This Row],[Type]]="R",IF(Games[[#This Row],[Result]]&lt;0.5,1,0),0)</f>
        <v>1</v>
      </c>
      <c r="AE427" s="2">
        <f>IF(AND(Games[[#This Row],[Type]]="P",Games[[#This Row],[Round]]=1),IF(Games[[#This Row],[Result]]&gt;0.5,1,0),0)</f>
        <v>0</v>
      </c>
      <c r="AF427" s="2">
        <f>IF(AND(Games[[#This Row],[Type]]="P",Games[[#This Row],[Round]]=1),IF(Games[[#This Row],[Result]]&lt;0.5,1,0),0)</f>
        <v>0</v>
      </c>
      <c r="AG427" s="2">
        <f>IF(AND(Games[[#This Row],[Type]]="P",Games[[#This Row],[Round]]=2),IF(Games[[#This Row],[Result]]&gt;0.5,1,0),0)</f>
        <v>0</v>
      </c>
      <c r="AH427" s="2">
        <f>IF(AND(Games[[#This Row],[Type]]="P",Games[[#This Row],[Round]]=2),IF(Games[[#This Row],[Result]]&lt;0.5,1,0),0)</f>
        <v>0</v>
      </c>
      <c r="AI427" s="2">
        <f>IF(AND(Games[[#This Row],[Type]]="P",Games[[#This Row],[Round]]=3),IF(Games[[#This Row],[Result]]&gt;0.5,1,0),0)</f>
        <v>0</v>
      </c>
      <c r="AJ427" s="2">
        <f>IF(AND(Games[[#This Row],[Type]]="P",Games[[#This Row],[Round]]=3),IF(Games[[#This Row],[Result]]&lt;0.5,1,0),0)</f>
        <v>0</v>
      </c>
      <c r="AK427" s="2">
        <f>IF(AND(Games[[#This Row],[Type]]="P",Games[[#This Row],[Round]]=4),IF(Games[[#This Row],[Result]]&gt;0.5,1,0),0)</f>
        <v>0</v>
      </c>
      <c r="AL427" s="2">
        <f>IF(AND(Games[[#This Row],[Type]]="P",Games[[#This Row],[Round]]=4),IF(Games[[#This Row],[Result]]&lt;0.5,1,0),0)</f>
        <v>0</v>
      </c>
    </row>
    <row r="428" spans="1:38" x14ac:dyDescent="0.35">
      <c r="A428" s="10">
        <v>37471</v>
      </c>
      <c r="B428" s="2">
        <v>2002</v>
      </c>
      <c r="C428" s="2">
        <f>COUNTIFS(Games[Team],Games[[#This Row],[Team]],Games[Season],Games[[#This Row],[Season]],Games[Date],"&lt;=" &amp; Games[[#This Row],[Date]])</f>
        <v>27</v>
      </c>
      <c r="D428" s="2" t="s">
        <v>23</v>
      </c>
      <c r="E428" s="2" t="s">
        <v>29</v>
      </c>
      <c r="F428" s="1" t="s">
        <v>77</v>
      </c>
      <c r="G428" s="1" t="s">
        <v>1</v>
      </c>
      <c r="H428" s="1" t="s">
        <v>16</v>
      </c>
      <c r="I428" s="2" cm="1">
        <f t="array" ref="I4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8" s="2" cm="1">
        <f t="array" ref="J4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8" s="2">
        <f>Games[[#This Row],[DaysOff]]-Games[[#This Row],[OppDaysOff]]</f>
        <v>0</v>
      </c>
      <c r="L428" s="2">
        <f>Games[[#This Row],[OppDaysOff]]-Games[[#This Row],[DaysOff]]</f>
        <v>0</v>
      </c>
      <c r="M428" s="16">
        <f>MAX(-16, MIN(16, Games[[#This Row],[RestDiff]]*8))</f>
        <v>0</v>
      </c>
      <c r="N428" s="16">
        <f>MAX(-16, MIN(16, Games[[#This Row],[OppRestDiff]]*8))</f>
        <v>0</v>
      </c>
      <c r="O428" s="4" cm="1">
        <f t="array" ref="O4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1367.9832498139676</v>
      </c>
      <c r="P428" s="4" cm="1">
        <f t="array" ref="P4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1470.9833199605321</v>
      </c>
      <c r="Q428" s="4">
        <f>1/(1+10^(((Games[[#This Row],[OppPreGmRate]]+IF(Games[[#This Row],[HomeAway]]="A",HCA,0)+Games[[#This Row],[OppRestAdj]])-(Games[[#This Row],[PreGmRate]]+IF(Games[[#This Row],[HomeAway]]="H",HCA,0)+Games[[#This Row],[RestAdj]]))/400))</f>
        <v>0.25417671510150075</v>
      </c>
      <c r="R428" s="1">
        <v>68</v>
      </c>
      <c r="S428" s="1">
        <v>57</v>
      </c>
      <c r="T428" s="1">
        <v>0</v>
      </c>
      <c r="U428" s="16">
        <f>Games[[#This Row],[PointsFor]]-Games[[#This Row],[PointsAgainst]]</f>
        <v>11</v>
      </c>
      <c r="V428" s="16">
        <f>IF(Games[[#This Row],[MOV]]&gt;0,1,IF(Games[[#This Row],[MOV]]=0,0.5,0))</f>
        <v>1</v>
      </c>
      <c r="W428" s="4">
        <f>((ABS(Games[[#This Row],[MOV]])+5)^0.6)/(12+0.01*(ABS(Games[[#This Row],[PreGmRate]]-Games[[#This Row],[OppPreGmRate]])))*IF(Games[[#This Row],[OT]]=1,0.9,1)</f>
        <v>0.40506764074831492</v>
      </c>
      <c r="X428" s="7" cm="1">
        <f t="array" ref="X4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8" s="9">
        <f>MAX(kmin, kmax - 0.15 * MIN(Games[[#This Row],[GamesPlayed]], 82))</f>
        <v>71.95</v>
      </c>
      <c r="Z428" s="4">
        <f>Games[[#This Row],[K]]*Games[[#This Row],[POMult]]</f>
        <v>71.95</v>
      </c>
      <c r="AA428" s="4">
        <f>(Games[[#This Row],[Keff]]*Games[[#This Row],[MOVMult]])*(Games[[#This Row],[Result]]-Games[[#This Row],[ExpectedWin%]])</f>
        <v>21.736733802966079</v>
      </c>
      <c r="AB428" s="4">
        <f>Games[[#This Row],[PreGmRate]]+Games[[#This Row],[RatingChange]]</f>
        <v>1389.7199836169336</v>
      </c>
      <c r="AC428" s="2">
        <f>IF(Games[[#This Row],[Type]]="R",IF(Games[[#This Row],[Result]]&gt;0.5,1,0),0)</f>
        <v>1</v>
      </c>
      <c r="AD428" s="2">
        <f>IF(Games[[#This Row],[Type]]="R",IF(Games[[#This Row],[Result]]&lt;0.5,1,0),0)</f>
        <v>0</v>
      </c>
      <c r="AE428" s="2">
        <f>IF(AND(Games[[#This Row],[Type]]="P",Games[[#This Row],[Round]]=1),IF(Games[[#This Row],[Result]]&gt;0.5,1,0),0)</f>
        <v>0</v>
      </c>
      <c r="AF428" s="2">
        <f>IF(AND(Games[[#This Row],[Type]]="P",Games[[#This Row],[Round]]=1),IF(Games[[#This Row],[Result]]&lt;0.5,1,0),0)</f>
        <v>0</v>
      </c>
      <c r="AG428" s="2">
        <f>IF(AND(Games[[#This Row],[Type]]="P",Games[[#This Row],[Round]]=2),IF(Games[[#This Row],[Result]]&gt;0.5,1,0),0)</f>
        <v>0</v>
      </c>
      <c r="AH428" s="2">
        <f>IF(AND(Games[[#This Row],[Type]]="P",Games[[#This Row],[Round]]=2),IF(Games[[#This Row],[Result]]&lt;0.5,1,0),0)</f>
        <v>0</v>
      </c>
      <c r="AI428" s="2">
        <f>IF(AND(Games[[#This Row],[Type]]="P",Games[[#This Row],[Round]]=3),IF(Games[[#This Row],[Result]]&gt;0.5,1,0),0)</f>
        <v>0</v>
      </c>
      <c r="AJ428" s="2">
        <f>IF(AND(Games[[#This Row],[Type]]="P",Games[[#This Row],[Round]]=3),IF(Games[[#This Row],[Result]]&lt;0.5,1,0),0)</f>
        <v>0</v>
      </c>
      <c r="AK428" s="2">
        <f>IF(AND(Games[[#This Row],[Type]]="P",Games[[#This Row],[Round]]=4),IF(Games[[#This Row],[Result]]&gt;0.5,1,0),0)</f>
        <v>0</v>
      </c>
      <c r="AL428" s="2">
        <f>IF(AND(Games[[#This Row],[Type]]="P",Games[[#This Row],[Round]]=4),IF(Games[[#This Row],[Result]]&lt;0.5,1,0),0)</f>
        <v>0</v>
      </c>
    </row>
    <row r="429" spans="1:38" x14ac:dyDescent="0.35">
      <c r="A429" s="10">
        <v>37471</v>
      </c>
      <c r="B429" s="2">
        <v>2002</v>
      </c>
      <c r="C429" s="2">
        <f>COUNTIFS(Games[Team],Games[[#This Row],[Team]],Games[Season],Games[[#This Row],[Season]],Games[Date],"&lt;=" &amp; Games[[#This Row],[Date]])</f>
        <v>27</v>
      </c>
      <c r="D429" s="2" t="s">
        <v>23</v>
      </c>
      <c r="E429" s="2" t="s">
        <v>29</v>
      </c>
      <c r="F429" s="1" t="s">
        <v>1</v>
      </c>
      <c r="G429" s="1" t="s">
        <v>77</v>
      </c>
      <c r="H429" s="1" t="s">
        <v>15</v>
      </c>
      <c r="I429" s="2" cm="1">
        <f t="array" ref="I4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9" s="2" cm="1">
        <f t="array" ref="J4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9" s="2">
        <f>Games[[#This Row],[DaysOff]]-Games[[#This Row],[OppDaysOff]]</f>
        <v>0</v>
      </c>
      <c r="L429" s="2">
        <f>Games[[#This Row],[OppDaysOff]]-Games[[#This Row],[DaysOff]]</f>
        <v>0</v>
      </c>
      <c r="M429" s="16">
        <f>MAX(-16, MIN(16, Games[[#This Row],[RestDiff]]*8))</f>
        <v>0</v>
      </c>
      <c r="N429" s="16">
        <f>MAX(-16, MIN(16, Games[[#This Row],[OppRestDiff]]*8))</f>
        <v>0</v>
      </c>
      <c r="O429" s="4" cm="1">
        <f t="array" ref="O4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1470.9833199605321</v>
      </c>
      <c r="P429" s="4" cm="1">
        <f t="array" ref="P4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1367.9832498139676</v>
      </c>
      <c r="Q429" s="4">
        <f>1/(1+10^(((Games[[#This Row],[OppPreGmRate]]+IF(Games[[#This Row],[HomeAway]]="A",HCA,0)+Games[[#This Row],[OppRestAdj]])-(Games[[#This Row],[PreGmRate]]+IF(Games[[#This Row],[HomeAway]]="H",HCA,0)+Games[[#This Row],[RestAdj]]))/400))</f>
        <v>0.74582328489849925</v>
      </c>
      <c r="R429" s="1">
        <v>57</v>
      </c>
      <c r="S429" s="1">
        <v>68</v>
      </c>
      <c r="T429" s="1">
        <v>0</v>
      </c>
      <c r="U429" s="16">
        <f>Games[[#This Row],[PointsFor]]-Games[[#This Row],[PointsAgainst]]</f>
        <v>-11</v>
      </c>
      <c r="V429" s="16">
        <f>IF(Games[[#This Row],[MOV]]&gt;0,1,IF(Games[[#This Row],[MOV]]=0,0.5,0))</f>
        <v>0</v>
      </c>
      <c r="W429" s="4">
        <f>((ABS(Games[[#This Row],[MOV]])+5)^0.6)/(12+0.01*(ABS(Games[[#This Row],[PreGmRate]]-Games[[#This Row],[OppPreGmRate]])))*IF(Games[[#This Row],[OT]]=1,0.9,1)</f>
        <v>0.40506764074831492</v>
      </c>
      <c r="X429" s="7" cm="1">
        <f t="array" ref="X4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9" s="9">
        <f>MAX(kmin, kmax - 0.15 * MIN(Games[[#This Row],[GamesPlayed]], 82))</f>
        <v>71.95</v>
      </c>
      <c r="Z429" s="4">
        <f>Games[[#This Row],[K]]*Games[[#This Row],[POMult]]</f>
        <v>71.95</v>
      </c>
      <c r="AA429" s="4">
        <f>(Games[[#This Row],[Keff]]*Games[[#This Row],[MOVMult]])*(Games[[#This Row],[Result]]-Games[[#This Row],[ExpectedWin%]])</f>
        <v>-21.736733802966079</v>
      </c>
      <c r="AB429" s="4">
        <f>Games[[#This Row],[PreGmRate]]+Games[[#This Row],[RatingChange]]</f>
        <v>1449.2465861575661</v>
      </c>
      <c r="AC429" s="2">
        <f>IF(Games[[#This Row],[Type]]="R",IF(Games[[#This Row],[Result]]&gt;0.5,1,0),0)</f>
        <v>0</v>
      </c>
      <c r="AD429" s="2">
        <f>IF(Games[[#This Row],[Type]]="R",IF(Games[[#This Row],[Result]]&lt;0.5,1,0),0)</f>
        <v>1</v>
      </c>
      <c r="AE429" s="2">
        <f>IF(AND(Games[[#This Row],[Type]]="P",Games[[#This Row],[Round]]=1),IF(Games[[#This Row],[Result]]&gt;0.5,1,0),0)</f>
        <v>0</v>
      </c>
      <c r="AF429" s="2">
        <f>IF(AND(Games[[#This Row],[Type]]="P",Games[[#This Row],[Round]]=1),IF(Games[[#This Row],[Result]]&lt;0.5,1,0),0)</f>
        <v>0</v>
      </c>
      <c r="AG429" s="2">
        <f>IF(AND(Games[[#This Row],[Type]]="P",Games[[#This Row],[Round]]=2),IF(Games[[#This Row],[Result]]&gt;0.5,1,0),0)</f>
        <v>0</v>
      </c>
      <c r="AH429" s="2">
        <f>IF(AND(Games[[#This Row],[Type]]="P",Games[[#This Row],[Round]]=2),IF(Games[[#This Row],[Result]]&lt;0.5,1,0),0)</f>
        <v>0</v>
      </c>
      <c r="AI429" s="2">
        <f>IF(AND(Games[[#This Row],[Type]]="P",Games[[#This Row],[Round]]=3),IF(Games[[#This Row],[Result]]&gt;0.5,1,0),0)</f>
        <v>0</v>
      </c>
      <c r="AJ429" s="2">
        <f>IF(AND(Games[[#This Row],[Type]]="P",Games[[#This Row],[Round]]=3),IF(Games[[#This Row],[Result]]&lt;0.5,1,0),0)</f>
        <v>0</v>
      </c>
      <c r="AK429" s="2">
        <f>IF(AND(Games[[#This Row],[Type]]="P",Games[[#This Row],[Round]]=4),IF(Games[[#This Row],[Result]]&gt;0.5,1,0),0)</f>
        <v>0</v>
      </c>
      <c r="AL429" s="2">
        <f>IF(AND(Games[[#This Row],[Type]]="P",Games[[#This Row],[Round]]=4),IF(Games[[#This Row],[Result]]&lt;0.5,1,0),0)</f>
        <v>0</v>
      </c>
    </row>
    <row r="430" spans="1:38" x14ac:dyDescent="0.35">
      <c r="A430" s="10">
        <v>37471</v>
      </c>
      <c r="B430" s="2">
        <v>2002</v>
      </c>
      <c r="C430" s="2">
        <f>COUNTIFS(Games[Team],Games[[#This Row],[Team]],Games[Season],Games[[#This Row],[Season]],Games[Date],"&lt;=" &amp; Games[[#This Row],[Date]])</f>
        <v>27</v>
      </c>
      <c r="D430" s="2" t="s">
        <v>23</v>
      </c>
      <c r="E430" s="2" t="s">
        <v>29</v>
      </c>
      <c r="F430" s="1" t="s">
        <v>79</v>
      </c>
      <c r="G430" s="1" t="s">
        <v>2</v>
      </c>
      <c r="H430" s="1" t="s">
        <v>16</v>
      </c>
      <c r="I430" s="2" cm="1">
        <f t="array" ref="I4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0" s="2" cm="1">
        <f t="array" ref="J4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30" s="2">
        <f>Games[[#This Row],[DaysOff]]-Games[[#This Row],[OppDaysOff]]</f>
        <v>-2</v>
      </c>
      <c r="L430" s="2">
        <f>Games[[#This Row],[OppDaysOff]]-Games[[#This Row],[DaysOff]]</f>
        <v>2</v>
      </c>
      <c r="M430" s="16">
        <f>MAX(-16, MIN(16, Games[[#This Row],[RestDiff]]*8))</f>
        <v>-16</v>
      </c>
      <c r="N430" s="16">
        <f>MAX(-16, MIN(16, Games[[#This Row],[OppRestDiff]]*8))</f>
        <v>16</v>
      </c>
      <c r="O430" s="4" cm="1">
        <f t="array" ref="O4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1493.316101994373</v>
      </c>
      <c r="P430" s="4" cm="1">
        <f t="array" ref="P4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1641.3068292255984</v>
      </c>
      <c r="Q430" s="4">
        <f>1/(1+10^(((Games[[#This Row],[OppPreGmRate]]+IF(Games[[#This Row],[HomeAway]]="A",HCA,0)+Games[[#This Row],[OppRestAdj]])-(Games[[#This Row],[PreGmRate]]+IF(Games[[#This Row],[HomeAway]]="H",HCA,0)+Games[[#This Row],[RestAdj]]))/400))</f>
        <v>0.17951265456178644</v>
      </c>
      <c r="R430" s="1">
        <v>62</v>
      </c>
      <c r="S430" s="1">
        <v>69</v>
      </c>
      <c r="T430" s="1">
        <v>0</v>
      </c>
      <c r="U430" s="16">
        <f>Games[[#This Row],[PointsFor]]-Games[[#This Row],[PointsAgainst]]</f>
        <v>-7</v>
      </c>
      <c r="V430" s="16">
        <f>IF(Games[[#This Row],[MOV]]&gt;0,1,IF(Games[[#This Row],[MOV]]=0,0.5,0))</f>
        <v>0</v>
      </c>
      <c r="W430" s="4">
        <f>((ABS(Games[[#This Row],[MOV]])+5)^0.6)/(12+0.01*(ABS(Games[[#This Row],[PreGmRate]]-Games[[#This Row],[OppPreGmRate]])))*IF(Games[[#This Row],[OT]]=1,0.9,1)</f>
        <v>0.32947452679947187</v>
      </c>
      <c r="X430" s="7" cm="1">
        <f t="array" ref="X4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0" s="9">
        <f>MAX(kmin, kmax - 0.15 * MIN(Games[[#This Row],[GamesPlayed]], 82))</f>
        <v>71.95</v>
      </c>
      <c r="Z430" s="4">
        <f>Games[[#This Row],[K]]*Games[[#This Row],[POMult]]</f>
        <v>71.95</v>
      </c>
      <c r="AA430" s="4">
        <f>(Games[[#This Row],[Keff]]*Games[[#This Row],[MOVMult]])*(Games[[#This Row],[Result]]-Games[[#This Row],[ExpectedWin%]])</f>
        <v>-4.2554717356250249</v>
      </c>
      <c r="AB430" s="4">
        <f>Games[[#This Row],[PreGmRate]]+Games[[#This Row],[RatingChange]]</f>
        <v>1489.060630258748</v>
      </c>
      <c r="AC430" s="2">
        <f>IF(Games[[#This Row],[Type]]="R",IF(Games[[#This Row],[Result]]&gt;0.5,1,0),0)</f>
        <v>0</v>
      </c>
      <c r="AD430" s="2">
        <f>IF(Games[[#This Row],[Type]]="R",IF(Games[[#This Row],[Result]]&lt;0.5,1,0),0)</f>
        <v>1</v>
      </c>
      <c r="AE430" s="2">
        <f>IF(AND(Games[[#This Row],[Type]]="P",Games[[#This Row],[Round]]=1),IF(Games[[#This Row],[Result]]&gt;0.5,1,0),0)</f>
        <v>0</v>
      </c>
      <c r="AF430" s="2">
        <f>IF(AND(Games[[#This Row],[Type]]="P",Games[[#This Row],[Round]]=1),IF(Games[[#This Row],[Result]]&lt;0.5,1,0),0)</f>
        <v>0</v>
      </c>
      <c r="AG430" s="2">
        <f>IF(AND(Games[[#This Row],[Type]]="P",Games[[#This Row],[Round]]=2),IF(Games[[#This Row],[Result]]&gt;0.5,1,0),0)</f>
        <v>0</v>
      </c>
      <c r="AH430" s="2">
        <f>IF(AND(Games[[#This Row],[Type]]="P",Games[[#This Row],[Round]]=2),IF(Games[[#This Row],[Result]]&lt;0.5,1,0),0)</f>
        <v>0</v>
      </c>
      <c r="AI430" s="2">
        <f>IF(AND(Games[[#This Row],[Type]]="P",Games[[#This Row],[Round]]=3),IF(Games[[#This Row],[Result]]&gt;0.5,1,0),0)</f>
        <v>0</v>
      </c>
      <c r="AJ430" s="2">
        <f>IF(AND(Games[[#This Row],[Type]]="P",Games[[#This Row],[Round]]=3),IF(Games[[#This Row],[Result]]&lt;0.5,1,0),0)</f>
        <v>0</v>
      </c>
      <c r="AK430" s="2">
        <f>IF(AND(Games[[#This Row],[Type]]="P",Games[[#This Row],[Round]]=4),IF(Games[[#This Row],[Result]]&gt;0.5,1,0),0)</f>
        <v>0</v>
      </c>
      <c r="AL430" s="2">
        <f>IF(AND(Games[[#This Row],[Type]]="P",Games[[#This Row],[Round]]=4),IF(Games[[#This Row],[Result]]&lt;0.5,1,0),0)</f>
        <v>0</v>
      </c>
    </row>
    <row r="431" spans="1:38" x14ac:dyDescent="0.35">
      <c r="A431" s="10">
        <v>37471</v>
      </c>
      <c r="B431" s="2">
        <v>2002</v>
      </c>
      <c r="C431" s="2">
        <f>COUNTIFS(Games[Team],Games[[#This Row],[Team]],Games[Season],Games[[#This Row],[Season]],Games[Date],"&lt;=" &amp; Games[[#This Row],[Date]])</f>
        <v>28</v>
      </c>
      <c r="D431" s="2" t="s">
        <v>23</v>
      </c>
      <c r="E431" s="2" t="s">
        <v>29</v>
      </c>
      <c r="F431" s="1" t="s">
        <v>2</v>
      </c>
      <c r="G431" s="1" t="s">
        <v>79</v>
      </c>
      <c r="H431" s="1" t="s">
        <v>15</v>
      </c>
      <c r="I431" s="2" cm="1">
        <f t="array" ref="I4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31" s="2" cm="1">
        <f t="array" ref="J4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1" s="2">
        <f>Games[[#This Row],[DaysOff]]-Games[[#This Row],[OppDaysOff]]</f>
        <v>2</v>
      </c>
      <c r="L431" s="2">
        <f>Games[[#This Row],[OppDaysOff]]-Games[[#This Row],[DaysOff]]</f>
        <v>-2</v>
      </c>
      <c r="M431" s="16">
        <f>MAX(-16, MIN(16, Games[[#This Row],[RestDiff]]*8))</f>
        <v>16</v>
      </c>
      <c r="N431" s="16">
        <f>MAX(-16, MIN(16, Games[[#This Row],[OppRestDiff]]*8))</f>
        <v>-16</v>
      </c>
      <c r="O431" s="4" cm="1">
        <f t="array" ref="O4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1641.3068292255984</v>
      </c>
      <c r="P431" s="4" cm="1">
        <f t="array" ref="P4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1493.316101994373</v>
      </c>
      <c r="Q431" s="4">
        <f>1/(1+10^(((Games[[#This Row],[OppPreGmRate]]+IF(Games[[#This Row],[HomeAway]]="A",HCA,0)+Games[[#This Row],[OppRestAdj]])-(Games[[#This Row],[PreGmRate]]+IF(Games[[#This Row],[HomeAway]]="H",HCA,0)+Games[[#This Row],[RestAdj]]))/400))</f>
        <v>0.82048734543821367</v>
      </c>
      <c r="R431" s="1">
        <v>69</v>
      </c>
      <c r="S431" s="1">
        <v>62</v>
      </c>
      <c r="T431" s="1">
        <v>0</v>
      </c>
      <c r="U431" s="16">
        <f>Games[[#This Row],[PointsFor]]-Games[[#This Row],[PointsAgainst]]</f>
        <v>7</v>
      </c>
      <c r="V431" s="16">
        <f>IF(Games[[#This Row],[MOV]]&gt;0,1,IF(Games[[#This Row],[MOV]]=0,0.5,0))</f>
        <v>1</v>
      </c>
      <c r="W431" s="4">
        <f>((ABS(Games[[#This Row],[MOV]])+5)^0.6)/(12+0.01*(ABS(Games[[#This Row],[PreGmRate]]-Games[[#This Row],[OppPreGmRate]])))*IF(Games[[#This Row],[OT]]=1,0.9,1)</f>
        <v>0.32947452679947187</v>
      </c>
      <c r="X431" s="7" cm="1">
        <f t="array" ref="X4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1" s="9">
        <f>MAX(kmin, kmax - 0.15 * MIN(Games[[#This Row],[GamesPlayed]], 82))</f>
        <v>71.8</v>
      </c>
      <c r="Z431" s="4">
        <f>Games[[#This Row],[K]]*Games[[#This Row],[POMult]]</f>
        <v>71.8</v>
      </c>
      <c r="AA431" s="4">
        <f>(Games[[#This Row],[Keff]]*Games[[#This Row],[MOVMult]])*(Games[[#This Row],[Result]]-Games[[#This Row],[ExpectedWin%]])</f>
        <v>4.2466000085875839</v>
      </c>
      <c r="AB431" s="4">
        <f>Games[[#This Row],[PreGmRate]]+Games[[#This Row],[RatingChange]]</f>
        <v>1645.5534292341861</v>
      </c>
      <c r="AC431" s="2">
        <f>IF(Games[[#This Row],[Type]]="R",IF(Games[[#This Row],[Result]]&gt;0.5,1,0),0)</f>
        <v>1</v>
      </c>
      <c r="AD431" s="2">
        <f>IF(Games[[#This Row],[Type]]="R",IF(Games[[#This Row],[Result]]&lt;0.5,1,0),0)</f>
        <v>0</v>
      </c>
      <c r="AE431" s="2">
        <f>IF(AND(Games[[#This Row],[Type]]="P",Games[[#This Row],[Round]]=1),IF(Games[[#This Row],[Result]]&gt;0.5,1,0),0)</f>
        <v>0</v>
      </c>
      <c r="AF431" s="2">
        <f>IF(AND(Games[[#This Row],[Type]]="P",Games[[#This Row],[Round]]=1),IF(Games[[#This Row],[Result]]&lt;0.5,1,0),0)</f>
        <v>0</v>
      </c>
      <c r="AG431" s="2">
        <f>IF(AND(Games[[#This Row],[Type]]="P",Games[[#This Row],[Round]]=2),IF(Games[[#This Row],[Result]]&gt;0.5,1,0),0)</f>
        <v>0</v>
      </c>
      <c r="AH431" s="2">
        <f>IF(AND(Games[[#This Row],[Type]]="P",Games[[#This Row],[Round]]=2),IF(Games[[#This Row],[Result]]&lt;0.5,1,0),0)</f>
        <v>0</v>
      </c>
      <c r="AI431" s="2">
        <f>IF(AND(Games[[#This Row],[Type]]="P",Games[[#This Row],[Round]]=3),IF(Games[[#This Row],[Result]]&gt;0.5,1,0),0)</f>
        <v>0</v>
      </c>
      <c r="AJ431" s="2">
        <f>IF(AND(Games[[#This Row],[Type]]="P",Games[[#This Row],[Round]]=3),IF(Games[[#This Row],[Result]]&lt;0.5,1,0),0)</f>
        <v>0</v>
      </c>
      <c r="AK431" s="2">
        <f>IF(AND(Games[[#This Row],[Type]]="P",Games[[#This Row],[Round]]=4),IF(Games[[#This Row],[Result]]&gt;0.5,1,0),0)</f>
        <v>0</v>
      </c>
      <c r="AL431" s="2">
        <f>IF(AND(Games[[#This Row],[Type]]="P",Games[[#This Row],[Round]]=4),IF(Games[[#This Row],[Result]]&lt;0.5,1,0),0)</f>
        <v>0</v>
      </c>
    </row>
    <row r="432" spans="1:38" x14ac:dyDescent="0.35">
      <c r="A432" s="10">
        <v>37471</v>
      </c>
      <c r="B432" s="2">
        <v>2002</v>
      </c>
      <c r="C432" s="2">
        <f>COUNTIFS(Games[Team],Games[[#This Row],[Team]],Games[Season],Games[[#This Row],[Season]],Games[Date],"&lt;=" &amp; Games[[#This Row],[Date]])</f>
        <v>27</v>
      </c>
      <c r="D432" s="2" t="s">
        <v>23</v>
      </c>
      <c r="E432" s="2" t="s">
        <v>29</v>
      </c>
      <c r="F432" s="1" t="s">
        <v>64</v>
      </c>
      <c r="G432" s="1" t="s">
        <v>85</v>
      </c>
      <c r="H432" s="1" t="s">
        <v>16</v>
      </c>
      <c r="I432" s="2" cm="1">
        <f t="array" ref="I4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2" s="2" cm="1">
        <f t="array" ref="J4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32" s="2">
        <f>Games[[#This Row],[DaysOff]]-Games[[#This Row],[OppDaysOff]]</f>
        <v>-1</v>
      </c>
      <c r="L432" s="2">
        <f>Games[[#This Row],[OppDaysOff]]-Games[[#This Row],[DaysOff]]</f>
        <v>1</v>
      </c>
      <c r="M432" s="16">
        <f>MAX(-16, MIN(16, Games[[#This Row],[RestDiff]]*8))</f>
        <v>-8</v>
      </c>
      <c r="N432" s="16">
        <f>MAX(-16, MIN(16, Games[[#This Row],[OppRestDiff]]*8))</f>
        <v>8</v>
      </c>
      <c r="O432" s="4" cm="1">
        <f t="array" ref="O4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1528.818252977467</v>
      </c>
      <c r="P432" s="4" cm="1">
        <f t="array" ref="P4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1422.8546550438466</v>
      </c>
      <c r="Q432" s="4">
        <f>1/(1+10^(((Games[[#This Row],[OppPreGmRate]]+IF(Games[[#This Row],[HomeAway]]="A",HCA,0)+Games[[#This Row],[OppRestAdj]])-(Games[[#This Row],[PreGmRate]]+IF(Games[[#This Row],[HomeAway]]="H",HCA,0)+Games[[#This Row],[RestAdj]]))/400))</f>
        <v>0.50858146456219722</v>
      </c>
      <c r="R432" s="1">
        <v>48</v>
      </c>
      <c r="S432" s="1">
        <v>69</v>
      </c>
      <c r="T432" s="1">
        <v>0</v>
      </c>
      <c r="U432" s="16">
        <f>Games[[#This Row],[PointsFor]]-Games[[#This Row],[PointsAgainst]]</f>
        <v>-21</v>
      </c>
      <c r="V432" s="16">
        <f>IF(Games[[#This Row],[MOV]]&gt;0,1,IF(Games[[#This Row],[MOV]]=0,0.5,0))</f>
        <v>0</v>
      </c>
      <c r="W432" s="4">
        <f>((ABS(Games[[#This Row],[MOV]])+5)^0.6)/(12+0.01*(ABS(Games[[#This Row],[PreGmRate]]-Games[[#This Row],[OppPreGmRate]])))*IF(Games[[#This Row],[OT]]=1,0.9,1)</f>
        <v>0.54082024065787482</v>
      </c>
      <c r="X432" s="7" cm="1">
        <f t="array" ref="X4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2" s="9">
        <f>MAX(kmin, kmax - 0.15 * MIN(Games[[#This Row],[GamesPlayed]], 82))</f>
        <v>71.95</v>
      </c>
      <c r="Z432" s="4">
        <f>Games[[#This Row],[K]]*Games[[#This Row],[POMult]]</f>
        <v>71.95</v>
      </c>
      <c r="AA432" s="4">
        <f>(Games[[#This Row],[Keff]]*Games[[#This Row],[MOVMult]])*(Games[[#This Row],[Result]]-Games[[#This Row],[ExpectedWin%]])</f>
        <v>-19.789930246720726</v>
      </c>
      <c r="AB432" s="4">
        <f>Games[[#This Row],[PreGmRate]]+Games[[#This Row],[RatingChange]]</f>
        <v>1509.0283227307461</v>
      </c>
      <c r="AC432" s="2">
        <f>IF(Games[[#This Row],[Type]]="R",IF(Games[[#This Row],[Result]]&gt;0.5,1,0),0)</f>
        <v>0</v>
      </c>
      <c r="AD432" s="2">
        <f>IF(Games[[#This Row],[Type]]="R",IF(Games[[#This Row],[Result]]&lt;0.5,1,0),0)</f>
        <v>1</v>
      </c>
      <c r="AE432" s="2">
        <f>IF(AND(Games[[#This Row],[Type]]="P",Games[[#This Row],[Round]]=1),IF(Games[[#This Row],[Result]]&gt;0.5,1,0),0)</f>
        <v>0</v>
      </c>
      <c r="AF432" s="2">
        <f>IF(AND(Games[[#This Row],[Type]]="P",Games[[#This Row],[Round]]=1),IF(Games[[#This Row],[Result]]&lt;0.5,1,0),0)</f>
        <v>0</v>
      </c>
      <c r="AG432" s="2">
        <f>IF(AND(Games[[#This Row],[Type]]="P",Games[[#This Row],[Round]]=2),IF(Games[[#This Row],[Result]]&gt;0.5,1,0),0)</f>
        <v>0</v>
      </c>
      <c r="AH432" s="2">
        <f>IF(AND(Games[[#This Row],[Type]]="P",Games[[#This Row],[Round]]=2),IF(Games[[#This Row],[Result]]&lt;0.5,1,0),0)</f>
        <v>0</v>
      </c>
      <c r="AI432" s="2">
        <f>IF(AND(Games[[#This Row],[Type]]="P",Games[[#This Row],[Round]]=3),IF(Games[[#This Row],[Result]]&gt;0.5,1,0),0)</f>
        <v>0</v>
      </c>
      <c r="AJ432" s="2">
        <f>IF(AND(Games[[#This Row],[Type]]="P",Games[[#This Row],[Round]]=3),IF(Games[[#This Row],[Result]]&lt;0.5,1,0),0)</f>
        <v>0</v>
      </c>
      <c r="AK432" s="2">
        <f>IF(AND(Games[[#This Row],[Type]]="P",Games[[#This Row],[Round]]=4),IF(Games[[#This Row],[Result]]&gt;0.5,1,0),0)</f>
        <v>0</v>
      </c>
      <c r="AL432" s="2">
        <f>IF(AND(Games[[#This Row],[Type]]="P",Games[[#This Row],[Round]]=4),IF(Games[[#This Row],[Result]]&lt;0.5,1,0),0)</f>
        <v>0</v>
      </c>
    </row>
    <row r="433" spans="1:38" x14ac:dyDescent="0.35">
      <c r="A433" s="10">
        <v>37471</v>
      </c>
      <c r="B433" s="2">
        <v>2002</v>
      </c>
      <c r="C433" s="2">
        <f>COUNTIFS(Games[Team],Games[[#This Row],[Team]],Games[Season],Games[[#This Row],[Season]],Games[Date],"&lt;=" &amp; Games[[#This Row],[Date]])</f>
        <v>27</v>
      </c>
      <c r="D433" s="2" t="s">
        <v>23</v>
      </c>
      <c r="E433" s="2" t="s">
        <v>29</v>
      </c>
      <c r="F433" s="1" t="s">
        <v>85</v>
      </c>
      <c r="G433" s="1" t="s">
        <v>64</v>
      </c>
      <c r="H433" s="1" t="s">
        <v>15</v>
      </c>
      <c r="I433" s="2" cm="1">
        <f t="array" ref="I4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33" s="2" cm="1">
        <f t="array" ref="J4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3" s="2">
        <f>Games[[#This Row],[DaysOff]]-Games[[#This Row],[OppDaysOff]]</f>
        <v>1</v>
      </c>
      <c r="L433" s="2">
        <f>Games[[#This Row],[OppDaysOff]]-Games[[#This Row],[DaysOff]]</f>
        <v>-1</v>
      </c>
      <c r="M433" s="16">
        <f>MAX(-16, MIN(16, Games[[#This Row],[RestDiff]]*8))</f>
        <v>8</v>
      </c>
      <c r="N433" s="16">
        <f>MAX(-16, MIN(16, Games[[#This Row],[OppRestDiff]]*8))</f>
        <v>-8</v>
      </c>
      <c r="O433" s="4" cm="1">
        <f t="array" ref="O4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1422.8546550438466</v>
      </c>
      <c r="P433" s="4" cm="1">
        <f t="array" ref="P4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1528.818252977467</v>
      </c>
      <c r="Q433" s="4">
        <f>1/(1+10^(((Games[[#This Row],[OppPreGmRate]]+IF(Games[[#This Row],[HomeAway]]="A",HCA,0)+Games[[#This Row],[OppRestAdj]])-(Games[[#This Row],[PreGmRate]]+IF(Games[[#This Row],[HomeAway]]="H",HCA,0)+Games[[#This Row],[RestAdj]]))/400))</f>
        <v>0.49141853543780278</v>
      </c>
      <c r="R433" s="1">
        <v>69</v>
      </c>
      <c r="S433" s="1">
        <v>48</v>
      </c>
      <c r="T433" s="1">
        <v>0</v>
      </c>
      <c r="U433" s="16">
        <f>Games[[#This Row],[PointsFor]]-Games[[#This Row],[PointsAgainst]]</f>
        <v>21</v>
      </c>
      <c r="V433" s="16">
        <f>IF(Games[[#This Row],[MOV]]&gt;0,1,IF(Games[[#This Row],[MOV]]=0,0.5,0))</f>
        <v>1</v>
      </c>
      <c r="W433" s="4">
        <f>((ABS(Games[[#This Row],[MOV]])+5)^0.6)/(12+0.01*(ABS(Games[[#This Row],[PreGmRate]]-Games[[#This Row],[OppPreGmRate]])))*IF(Games[[#This Row],[OT]]=1,0.9,1)</f>
        <v>0.54082024065787482</v>
      </c>
      <c r="X433" s="7" cm="1">
        <f t="array" ref="X4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3" s="9">
        <f>MAX(kmin, kmax - 0.15 * MIN(Games[[#This Row],[GamesPlayed]], 82))</f>
        <v>71.95</v>
      </c>
      <c r="Z433" s="4">
        <f>Games[[#This Row],[K]]*Games[[#This Row],[POMult]]</f>
        <v>71.95</v>
      </c>
      <c r="AA433" s="4">
        <f>(Games[[#This Row],[Keff]]*Games[[#This Row],[MOVMult]])*(Games[[#This Row],[Result]]-Games[[#This Row],[ExpectedWin%]])</f>
        <v>19.789930246720726</v>
      </c>
      <c r="AB433" s="4">
        <f>Games[[#This Row],[PreGmRate]]+Games[[#This Row],[RatingChange]]</f>
        <v>1442.6445852905674</v>
      </c>
      <c r="AC433" s="2">
        <f>IF(Games[[#This Row],[Type]]="R",IF(Games[[#This Row],[Result]]&gt;0.5,1,0),0)</f>
        <v>1</v>
      </c>
      <c r="AD433" s="2">
        <f>IF(Games[[#This Row],[Type]]="R",IF(Games[[#This Row],[Result]]&lt;0.5,1,0),0)</f>
        <v>0</v>
      </c>
      <c r="AE433" s="2">
        <f>IF(AND(Games[[#This Row],[Type]]="P",Games[[#This Row],[Round]]=1),IF(Games[[#This Row],[Result]]&gt;0.5,1,0),0)</f>
        <v>0</v>
      </c>
      <c r="AF433" s="2">
        <f>IF(AND(Games[[#This Row],[Type]]="P",Games[[#This Row],[Round]]=1),IF(Games[[#This Row],[Result]]&lt;0.5,1,0),0)</f>
        <v>0</v>
      </c>
      <c r="AG433" s="2">
        <f>IF(AND(Games[[#This Row],[Type]]="P",Games[[#This Row],[Round]]=2),IF(Games[[#This Row],[Result]]&gt;0.5,1,0),0)</f>
        <v>0</v>
      </c>
      <c r="AH433" s="2">
        <f>IF(AND(Games[[#This Row],[Type]]="P",Games[[#This Row],[Round]]=2),IF(Games[[#This Row],[Result]]&lt;0.5,1,0),0)</f>
        <v>0</v>
      </c>
      <c r="AI433" s="2">
        <f>IF(AND(Games[[#This Row],[Type]]="P",Games[[#This Row],[Round]]=3),IF(Games[[#This Row],[Result]]&gt;0.5,1,0),0)</f>
        <v>0</v>
      </c>
      <c r="AJ433" s="2">
        <f>IF(AND(Games[[#This Row],[Type]]="P",Games[[#This Row],[Round]]=3),IF(Games[[#This Row],[Result]]&lt;0.5,1,0),0)</f>
        <v>0</v>
      </c>
      <c r="AK433" s="2">
        <f>IF(AND(Games[[#This Row],[Type]]="P",Games[[#This Row],[Round]]=4),IF(Games[[#This Row],[Result]]&gt;0.5,1,0),0)</f>
        <v>0</v>
      </c>
      <c r="AL433" s="2">
        <f>IF(AND(Games[[#This Row],[Type]]="P",Games[[#This Row],[Round]]=4),IF(Games[[#This Row],[Result]]&lt;0.5,1,0),0)</f>
        <v>0</v>
      </c>
    </row>
    <row r="434" spans="1:38" x14ac:dyDescent="0.35">
      <c r="A434" s="10">
        <v>37471</v>
      </c>
      <c r="B434" s="2">
        <v>2002</v>
      </c>
      <c r="C434" s="2">
        <f>COUNTIFS(Games[Team],Games[[#This Row],[Team]],Games[Season],Games[[#This Row],[Season]],Games[Date],"&lt;=" &amp; Games[[#This Row],[Date]])</f>
        <v>27</v>
      </c>
      <c r="D434" s="2" t="s">
        <v>23</v>
      </c>
      <c r="E434" s="2" t="s">
        <v>29</v>
      </c>
      <c r="F434" s="1" t="s">
        <v>71</v>
      </c>
      <c r="G434" s="1" t="s">
        <v>45</v>
      </c>
      <c r="H434" s="1" t="s">
        <v>16</v>
      </c>
      <c r="I434" s="2" cm="1">
        <f t="array" ref="I4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4" s="2" cm="1">
        <f t="array" ref="J4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4" s="2">
        <f>Games[[#This Row],[DaysOff]]-Games[[#This Row],[OppDaysOff]]</f>
        <v>0</v>
      </c>
      <c r="L434" s="2">
        <f>Games[[#This Row],[OppDaysOff]]-Games[[#This Row],[DaysOff]]</f>
        <v>0</v>
      </c>
      <c r="M434" s="16">
        <f>MAX(-16, MIN(16, Games[[#This Row],[RestDiff]]*8))</f>
        <v>0</v>
      </c>
      <c r="N434" s="16">
        <f>MAX(-16, MIN(16, Games[[#This Row],[OppRestDiff]]*8))</f>
        <v>0</v>
      </c>
      <c r="O434" s="4" cm="1">
        <f t="array" ref="O4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1663.3912498747063</v>
      </c>
      <c r="P434" s="4" cm="1">
        <f t="array" ref="P4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1489.6154063088429</v>
      </c>
      <c r="Q434" s="4">
        <f>1/(1+10^(((Games[[#This Row],[OppPreGmRate]]+IF(Games[[#This Row],[HomeAway]]="A",HCA,0)+Games[[#This Row],[OppRestAdj]])-(Games[[#This Row],[PreGmRate]]+IF(Games[[#This Row],[HomeAway]]="H",HCA,0)+Games[[#This Row],[RestAdj]]))/400))</f>
        <v>0.62639715882544333</v>
      </c>
      <c r="R434" s="1">
        <v>81</v>
      </c>
      <c r="S434" s="1">
        <v>71</v>
      </c>
      <c r="T434" s="1">
        <v>0</v>
      </c>
      <c r="U434" s="16">
        <f>Games[[#This Row],[PointsFor]]-Games[[#This Row],[PointsAgainst]]</f>
        <v>10</v>
      </c>
      <c r="V434" s="16">
        <f>IF(Games[[#This Row],[MOV]]&gt;0,1,IF(Games[[#This Row],[MOV]]=0,0.5,0))</f>
        <v>1</v>
      </c>
      <c r="W434" s="4">
        <f>((ABS(Games[[#This Row],[MOV]])+5)^0.6)/(12+0.01*(ABS(Games[[#This Row],[PreGmRate]]-Games[[#This Row],[OppPreGmRate]])))*IF(Games[[#This Row],[OT]]=1,0.9,1)</f>
        <v>0.36960588699884012</v>
      </c>
      <c r="X434" s="7" cm="1">
        <f t="array" ref="X4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4" s="9">
        <f>MAX(kmin, kmax - 0.15 * MIN(Games[[#This Row],[GamesPlayed]], 82))</f>
        <v>71.95</v>
      </c>
      <c r="Z434" s="4">
        <f>Games[[#This Row],[K]]*Games[[#This Row],[POMult]]</f>
        <v>71.95</v>
      </c>
      <c r="AA434" s="4">
        <f>(Games[[#This Row],[Keff]]*Games[[#This Row],[MOVMult]])*(Games[[#This Row],[Result]]-Games[[#This Row],[ExpectedWin%]])</f>
        <v>9.9352739933529541</v>
      </c>
      <c r="AB434" s="4">
        <f>Games[[#This Row],[PreGmRate]]+Games[[#This Row],[RatingChange]]</f>
        <v>1673.3265238680592</v>
      </c>
      <c r="AC434" s="2">
        <f>IF(Games[[#This Row],[Type]]="R",IF(Games[[#This Row],[Result]]&gt;0.5,1,0),0)</f>
        <v>1</v>
      </c>
      <c r="AD434" s="2">
        <f>IF(Games[[#This Row],[Type]]="R",IF(Games[[#This Row],[Result]]&lt;0.5,1,0),0)</f>
        <v>0</v>
      </c>
      <c r="AE434" s="2">
        <f>IF(AND(Games[[#This Row],[Type]]="P",Games[[#This Row],[Round]]=1),IF(Games[[#This Row],[Result]]&gt;0.5,1,0),0)</f>
        <v>0</v>
      </c>
      <c r="AF434" s="2">
        <f>IF(AND(Games[[#This Row],[Type]]="P",Games[[#This Row],[Round]]=1),IF(Games[[#This Row],[Result]]&lt;0.5,1,0),0)</f>
        <v>0</v>
      </c>
      <c r="AG434" s="2">
        <f>IF(AND(Games[[#This Row],[Type]]="P",Games[[#This Row],[Round]]=2),IF(Games[[#This Row],[Result]]&gt;0.5,1,0),0)</f>
        <v>0</v>
      </c>
      <c r="AH434" s="2">
        <f>IF(AND(Games[[#This Row],[Type]]="P",Games[[#This Row],[Round]]=2),IF(Games[[#This Row],[Result]]&lt;0.5,1,0),0)</f>
        <v>0</v>
      </c>
      <c r="AI434" s="2">
        <f>IF(AND(Games[[#This Row],[Type]]="P",Games[[#This Row],[Round]]=3),IF(Games[[#This Row],[Result]]&gt;0.5,1,0),0)</f>
        <v>0</v>
      </c>
      <c r="AJ434" s="2">
        <f>IF(AND(Games[[#This Row],[Type]]="P",Games[[#This Row],[Round]]=3),IF(Games[[#This Row],[Result]]&lt;0.5,1,0),0)</f>
        <v>0</v>
      </c>
      <c r="AK434" s="2">
        <f>IF(AND(Games[[#This Row],[Type]]="P",Games[[#This Row],[Round]]=4),IF(Games[[#This Row],[Result]]&gt;0.5,1,0),0)</f>
        <v>0</v>
      </c>
      <c r="AL434" s="2">
        <f>IF(AND(Games[[#This Row],[Type]]="P",Games[[#This Row],[Round]]=4),IF(Games[[#This Row],[Result]]&lt;0.5,1,0),0)</f>
        <v>0</v>
      </c>
    </row>
    <row r="435" spans="1:38" x14ac:dyDescent="0.35">
      <c r="A435" s="10">
        <v>37471</v>
      </c>
      <c r="B435" s="2">
        <v>2002</v>
      </c>
      <c r="C435" s="2">
        <f>COUNTIFS(Games[Team],Games[[#This Row],[Team]],Games[Season],Games[[#This Row],[Season]],Games[Date],"&lt;=" &amp; Games[[#This Row],[Date]])</f>
        <v>27</v>
      </c>
      <c r="D435" s="2" t="s">
        <v>23</v>
      </c>
      <c r="E435" s="2" t="s">
        <v>29</v>
      </c>
      <c r="F435" s="1" t="s">
        <v>45</v>
      </c>
      <c r="G435" s="1" t="s">
        <v>71</v>
      </c>
      <c r="H435" s="1" t="s">
        <v>15</v>
      </c>
      <c r="I435" s="2" cm="1">
        <f t="array" ref="I4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5" s="2" cm="1">
        <f t="array" ref="J4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5" s="2">
        <f>Games[[#This Row],[DaysOff]]-Games[[#This Row],[OppDaysOff]]</f>
        <v>0</v>
      </c>
      <c r="L435" s="2">
        <f>Games[[#This Row],[OppDaysOff]]-Games[[#This Row],[DaysOff]]</f>
        <v>0</v>
      </c>
      <c r="M435" s="16">
        <f>MAX(-16, MIN(16, Games[[#This Row],[RestDiff]]*8))</f>
        <v>0</v>
      </c>
      <c r="N435" s="16">
        <f>MAX(-16, MIN(16, Games[[#This Row],[OppRestDiff]]*8))</f>
        <v>0</v>
      </c>
      <c r="O435" s="4" cm="1">
        <f t="array" ref="O4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1489.6154063088429</v>
      </c>
      <c r="P435" s="4" cm="1">
        <f t="array" ref="P4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1663.3912498747063</v>
      </c>
      <c r="Q435" s="4">
        <f>1/(1+10^(((Games[[#This Row],[OppPreGmRate]]+IF(Games[[#This Row],[HomeAway]]="A",HCA,0)+Games[[#This Row],[OppRestAdj]])-(Games[[#This Row],[PreGmRate]]+IF(Games[[#This Row],[HomeAway]]="H",HCA,0)+Games[[#This Row],[RestAdj]]))/400))</f>
        <v>0.37360284117455667</v>
      </c>
      <c r="R435" s="1">
        <v>71</v>
      </c>
      <c r="S435" s="1">
        <v>81</v>
      </c>
      <c r="T435" s="1">
        <v>0</v>
      </c>
      <c r="U435" s="16">
        <f>Games[[#This Row],[PointsFor]]-Games[[#This Row],[PointsAgainst]]</f>
        <v>-10</v>
      </c>
      <c r="V435" s="16">
        <f>IF(Games[[#This Row],[MOV]]&gt;0,1,IF(Games[[#This Row],[MOV]]=0,0.5,0))</f>
        <v>0</v>
      </c>
      <c r="W435" s="4">
        <f>((ABS(Games[[#This Row],[MOV]])+5)^0.6)/(12+0.01*(ABS(Games[[#This Row],[PreGmRate]]-Games[[#This Row],[OppPreGmRate]])))*IF(Games[[#This Row],[OT]]=1,0.9,1)</f>
        <v>0.36960588699884012</v>
      </c>
      <c r="X435" s="7" cm="1">
        <f t="array" ref="X4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5" s="9">
        <f>MAX(kmin, kmax - 0.15 * MIN(Games[[#This Row],[GamesPlayed]], 82))</f>
        <v>71.95</v>
      </c>
      <c r="Z435" s="4">
        <f>Games[[#This Row],[K]]*Games[[#This Row],[POMult]]</f>
        <v>71.95</v>
      </c>
      <c r="AA435" s="4">
        <f>(Games[[#This Row],[Keff]]*Games[[#This Row],[MOVMult]])*(Games[[#This Row],[Result]]-Games[[#This Row],[ExpectedWin%]])</f>
        <v>-9.9352739933529541</v>
      </c>
      <c r="AB435" s="4">
        <f>Games[[#This Row],[PreGmRate]]+Games[[#This Row],[RatingChange]]</f>
        <v>1479.68013231549</v>
      </c>
      <c r="AC435" s="2">
        <f>IF(Games[[#This Row],[Type]]="R",IF(Games[[#This Row],[Result]]&gt;0.5,1,0),0)</f>
        <v>0</v>
      </c>
      <c r="AD435" s="2">
        <f>IF(Games[[#This Row],[Type]]="R",IF(Games[[#This Row],[Result]]&lt;0.5,1,0),0)</f>
        <v>1</v>
      </c>
      <c r="AE435" s="2">
        <f>IF(AND(Games[[#This Row],[Type]]="P",Games[[#This Row],[Round]]=1),IF(Games[[#This Row],[Result]]&gt;0.5,1,0),0)</f>
        <v>0</v>
      </c>
      <c r="AF435" s="2">
        <f>IF(AND(Games[[#This Row],[Type]]="P",Games[[#This Row],[Round]]=1),IF(Games[[#This Row],[Result]]&lt;0.5,1,0),0)</f>
        <v>0</v>
      </c>
      <c r="AG435" s="2">
        <f>IF(AND(Games[[#This Row],[Type]]="P",Games[[#This Row],[Round]]=2),IF(Games[[#This Row],[Result]]&gt;0.5,1,0),0)</f>
        <v>0</v>
      </c>
      <c r="AH435" s="2">
        <f>IF(AND(Games[[#This Row],[Type]]="P",Games[[#This Row],[Round]]=2),IF(Games[[#This Row],[Result]]&lt;0.5,1,0),0)</f>
        <v>0</v>
      </c>
      <c r="AI435" s="2">
        <f>IF(AND(Games[[#This Row],[Type]]="P",Games[[#This Row],[Round]]=3),IF(Games[[#This Row],[Result]]&gt;0.5,1,0),0)</f>
        <v>0</v>
      </c>
      <c r="AJ435" s="2">
        <f>IF(AND(Games[[#This Row],[Type]]="P",Games[[#This Row],[Round]]=3),IF(Games[[#This Row],[Result]]&lt;0.5,1,0),0)</f>
        <v>0</v>
      </c>
      <c r="AK435" s="2">
        <f>IF(AND(Games[[#This Row],[Type]]="P",Games[[#This Row],[Round]]=4),IF(Games[[#This Row],[Result]]&gt;0.5,1,0),0)</f>
        <v>0</v>
      </c>
      <c r="AL435" s="2">
        <f>IF(AND(Games[[#This Row],[Type]]="P",Games[[#This Row],[Round]]=4),IF(Games[[#This Row],[Result]]&lt;0.5,1,0),0)</f>
        <v>0</v>
      </c>
    </row>
    <row r="436" spans="1:38" x14ac:dyDescent="0.35">
      <c r="A436" s="10">
        <v>37472</v>
      </c>
      <c r="B436" s="2">
        <v>2002</v>
      </c>
      <c r="C436" s="2">
        <f>COUNTIFS(Games[Team],Games[[#This Row],[Team]],Games[Season],Games[[#This Row],[Season]],Games[Date],"&lt;=" &amp; Games[[#This Row],[Date]])</f>
        <v>27</v>
      </c>
      <c r="D436" s="2" t="s">
        <v>23</v>
      </c>
      <c r="E436" s="2" t="s">
        <v>29</v>
      </c>
      <c r="F436" s="1" t="s">
        <v>66</v>
      </c>
      <c r="G436" s="1" t="s">
        <v>64</v>
      </c>
      <c r="H436" s="1" t="s">
        <v>16</v>
      </c>
      <c r="I436" s="2" cm="1">
        <f t="array" ref="I4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6" s="2" cm="1">
        <f t="array" ref="J43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6" s="2">
        <f>Games[[#This Row],[DaysOff]]-Games[[#This Row],[OppDaysOff]]</f>
        <v>1</v>
      </c>
      <c r="L436" s="2">
        <f>Games[[#This Row],[OppDaysOff]]-Games[[#This Row],[DaysOff]]</f>
        <v>-1</v>
      </c>
      <c r="M436" s="16">
        <f>MAX(-16, MIN(16, Games[[#This Row],[RestDiff]]*8))</f>
        <v>8</v>
      </c>
      <c r="N436" s="16">
        <f>MAX(-16, MIN(16, Games[[#This Row],[OppRestDiff]]*8))</f>
        <v>-8</v>
      </c>
      <c r="O436" s="4" cm="1">
        <f t="array" ref="O4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1575.8220630981245</v>
      </c>
      <c r="P436" s="4" cm="1">
        <f t="array" ref="P4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1509.0283227307461</v>
      </c>
      <c r="Q436" s="4">
        <f>1/(1+10^(((Games[[#This Row],[OppPreGmRate]]+IF(Games[[#This Row],[HomeAway]]="A",HCA,0)+Games[[#This Row],[OppRestAdj]])-(Games[[#This Row],[PreGmRate]]+IF(Games[[#This Row],[HomeAway]]="H",HCA,0)+Games[[#This Row],[RestAdj]]))/400))</f>
        <v>0.49826405981980915</v>
      </c>
      <c r="R436" s="1">
        <v>71</v>
      </c>
      <c r="S436" s="1">
        <v>58</v>
      </c>
      <c r="T436" s="1">
        <v>0</v>
      </c>
      <c r="U436" s="16">
        <f>Games[[#This Row],[PointsFor]]-Games[[#This Row],[PointsAgainst]]</f>
        <v>13</v>
      </c>
      <c r="V436" s="16">
        <f>IF(Games[[#This Row],[MOV]]&gt;0,1,IF(Games[[#This Row],[MOV]]=0,0.5,0))</f>
        <v>1</v>
      </c>
      <c r="W436" s="4">
        <f>((ABS(Games[[#This Row],[MOV]])+5)^0.6)/(12+0.01*(ABS(Games[[#This Row],[PreGmRate]]-Games[[#This Row],[OppPreGmRate]])))*IF(Games[[#This Row],[OT]]=1,0.9,1)</f>
        <v>0.44715448831683219</v>
      </c>
      <c r="X436" s="7" cm="1">
        <f t="array" ref="X4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6" s="9">
        <f>MAX(kmin, kmax - 0.15 * MIN(Games[[#This Row],[GamesPlayed]], 82))</f>
        <v>71.95</v>
      </c>
      <c r="Z436" s="4">
        <f>Games[[#This Row],[K]]*Games[[#This Row],[POMult]]</f>
        <v>71.95</v>
      </c>
      <c r="AA436" s="4">
        <f>(Games[[#This Row],[Keff]]*Games[[#This Row],[MOVMult]])*(Games[[#This Row],[Result]]-Games[[#This Row],[ExpectedWin%]])</f>
        <v>16.142232713423461</v>
      </c>
      <c r="AB436" s="4">
        <f>Games[[#This Row],[PreGmRate]]+Games[[#This Row],[RatingChange]]</f>
        <v>1591.964295811548</v>
      </c>
      <c r="AC436" s="2">
        <f>IF(Games[[#This Row],[Type]]="R",IF(Games[[#This Row],[Result]]&gt;0.5,1,0),0)</f>
        <v>1</v>
      </c>
      <c r="AD436" s="2">
        <f>IF(Games[[#This Row],[Type]]="R",IF(Games[[#This Row],[Result]]&lt;0.5,1,0),0)</f>
        <v>0</v>
      </c>
      <c r="AE436" s="2">
        <f>IF(AND(Games[[#This Row],[Type]]="P",Games[[#This Row],[Round]]=1),IF(Games[[#This Row],[Result]]&gt;0.5,1,0),0)</f>
        <v>0</v>
      </c>
      <c r="AF436" s="2">
        <f>IF(AND(Games[[#This Row],[Type]]="P",Games[[#This Row],[Round]]=1),IF(Games[[#This Row],[Result]]&lt;0.5,1,0),0)</f>
        <v>0</v>
      </c>
      <c r="AG436" s="2">
        <f>IF(AND(Games[[#This Row],[Type]]="P",Games[[#This Row],[Round]]=2),IF(Games[[#This Row],[Result]]&gt;0.5,1,0),0)</f>
        <v>0</v>
      </c>
      <c r="AH436" s="2">
        <f>IF(AND(Games[[#This Row],[Type]]="P",Games[[#This Row],[Round]]=2),IF(Games[[#This Row],[Result]]&lt;0.5,1,0),0)</f>
        <v>0</v>
      </c>
      <c r="AI436" s="2">
        <f>IF(AND(Games[[#This Row],[Type]]="P",Games[[#This Row],[Round]]=3),IF(Games[[#This Row],[Result]]&gt;0.5,1,0),0)</f>
        <v>0</v>
      </c>
      <c r="AJ436" s="2">
        <f>IF(AND(Games[[#This Row],[Type]]="P",Games[[#This Row],[Round]]=3),IF(Games[[#This Row],[Result]]&lt;0.5,1,0),0)</f>
        <v>0</v>
      </c>
      <c r="AK436" s="2">
        <f>IF(AND(Games[[#This Row],[Type]]="P",Games[[#This Row],[Round]]=4),IF(Games[[#This Row],[Result]]&gt;0.5,1,0),0)</f>
        <v>0</v>
      </c>
      <c r="AL436" s="2">
        <f>IF(AND(Games[[#This Row],[Type]]="P",Games[[#This Row],[Round]]=4),IF(Games[[#This Row],[Result]]&lt;0.5,1,0),0)</f>
        <v>0</v>
      </c>
    </row>
    <row r="437" spans="1:38" x14ac:dyDescent="0.35">
      <c r="A437" s="10">
        <v>37472</v>
      </c>
      <c r="B437" s="2">
        <v>2002</v>
      </c>
      <c r="C437" s="2">
        <f>COUNTIFS(Games[Team],Games[[#This Row],[Team]],Games[Season],Games[[#This Row],[Season]],Games[Date],"&lt;=" &amp; Games[[#This Row],[Date]])</f>
        <v>28</v>
      </c>
      <c r="D437" s="2" t="s">
        <v>23</v>
      </c>
      <c r="E437" s="2" t="s">
        <v>29</v>
      </c>
      <c r="F437" s="1" t="s">
        <v>64</v>
      </c>
      <c r="G437" s="1" t="s">
        <v>66</v>
      </c>
      <c r="H437" s="1" t="s">
        <v>15</v>
      </c>
      <c r="I437" s="2" cm="1">
        <f t="array" ref="I43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7" s="2" cm="1">
        <f t="array" ref="J4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7" s="2">
        <f>Games[[#This Row],[DaysOff]]-Games[[#This Row],[OppDaysOff]]</f>
        <v>-1</v>
      </c>
      <c r="L437" s="2">
        <f>Games[[#This Row],[OppDaysOff]]-Games[[#This Row],[DaysOff]]</f>
        <v>1</v>
      </c>
      <c r="M437" s="16">
        <f>MAX(-16, MIN(16, Games[[#This Row],[RestDiff]]*8))</f>
        <v>-8</v>
      </c>
      <c r="N437" s="16">
        <f>MAX(-16, MIN(16, Games[[#This Row],[OppRestDiff]]*8))</f>
        <v>8</v>
      </c>
      <c r="O437" s="4" cm="1">
        <f t="array" ref="O4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1509.0283227307461</v>
      </c>
      <c r="P437" s="4" cm="1">
        <f t="array" ref="P4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1575.8220630981245</v>
      </c>
      <c r="Q437" s="4">
        <f>1/(1+10^(((Games[[#This Row],[OppPreGmRate]]+IF(Games[[#This Row],[HomeAway]]="A",HCA,0)+Games[[#This Row],[OppRestAdj]])-(Games[[#This Row],[PreGmRate]]+IF(Games[[#This Row],[HomeAway]]="H",HCA,0)+Games[[#This Row],[RestAdj]]))/400))</f>
        <v>0.50173594018019085</v>
      </c>
      <c r="R437" s="1">
        <v>58</v>
      </c>
      <c r="S437" s="1">
        <v>71</v>
      </c>
      <c r="T437" s="1">
        <v>0</v>
      </c>
      <c r="U437" s="16">
        <f>Games[[#This Row],[PointsFor]]-Games[[#This Row],[PointsAgainst]]</f>
        <v>-13</v>
      </c>
      <c r="V437" s="16">
        <f>IF(Games[[#This Row],[MOV]]&gt;0,1,IF(Games[[#This Row],[MOV]]=0,0.5,0))</f>
        <v>0</v>
      </c>
      <c r="W437" s="4">
        <f>((ABS(Games[[#This Row],[MOV]])+5)^0.6)/(12+0.01*(ABS(Games[[#This Row],[PreGmRate]]-Games[[#This Row],[OppPreGmRate]])))*IF(Games[[#This Row],[OT]]=1,0.9,1)</f>
        <v>0.44715448831683219</v>
      </c>
      <c r="X437" s="7" cm="1">
        <f t="array" ref="X4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7" s="9">
        <f>MAX(kmin, kmax - 0.15 * MIN(Games[[#This Row],[GamesPlayed]], 82))</f>
        <v>71.8</v>
      </c>
      <c r="Z437" s="4">
        <f>Games[[#This Row],[K]]*Games[[#This Row],[POMult]]</f>
        <v>71.8</v>
      </c>
      <c r="AA437" s="4">
        <f>(Games[[#This Row],[Keff]]*Games[[#This Row],[MOVMult]])*(Games[[#This Row],[Result]]-Games[[#This Row],[ExpectedWin%]])</f>
        <v>-16.108579691783245</v>
      </c>
      <c r="AB437" s="4">
        <f>Games[[#This Row],[PreGmRate]]+Games[[#This Row],[RatingChange]]</f>
        <v>1492.9197430389629</v>
      </c>
      <c r="AC437" s="2">
        <f>IF(Games[[#This Row],[Type]]="R",IF(Games[[#This Row],[Result]]&gt;0.5,1,0),0)</f>
        <v>0</v>
      </c>
      <c r="AD437" s="2">
        <f>IF(Games[[#This Row],[Type]]="R",IF(Games[[#This Row],[Result]]&lt;0.5,1,0),0)</f>
        <v>1</v>
      </c>
      <c r="AE437" s="2">
        <f>IF(AND(Games[[#This Row],[Type]]="P",Games[[#This Row],[Round]]=1),IF(Games[[#This Row],[Result]]&gt;0.5,1,0),0)</f>
        <v>0</v>
      </c>
      <c r="AF437" s="2">
        <f>IF(AND(Games[[#This Row],[Type]]="P",Games[[#This Row],[Round]]=1),IF(Games[[#This Row],[Result]]&lt;0.5,1,0),0)</f>
        <v>0</v>
      </c>
      <c r="AG437" s="2">
        <f>IF(AND(Games[[#This Row],[Type]]="P",Games[[#This Row],[Round]]=2),IF(Games[[#This Row],[Result]]&gt;0.5,1,0),0)</f>
        <v>0</v>
      </c>
      <c r="AH437" s="2">
        <f>IF(AND(Games[[#This Row],[Type]]="P",Games[[#This Row],[Round]]=2),IF(Games[[#This Row],[Result]]&lt;0.5,1,0),0)</f>
        <v>0</v>
      </c>
      <c r="AI437" s="2">
        <f>IF(AND(Games[[#This Row],[Type]]="P",Games[[#This Row],[Round]]=3),IF(Games[[#This Row],[Result]]&gt;0.5,1,0),0)</f>
        <v>0</v>
      </c>
      <c r="AJ437" s="2">
        <f>IF(AND(Games[[#This Row],[Type]]="P",Games[[#This Row],[Round]]=3),IF(Games[[#This Row],[Result]]&lt;0.5,1,0),0)</f>
        <v>0</v>
      </c>
      <c r="AK437" s="2">
        <f>IF(AND(Games[[#This Row],[Type]]="P",Games[[#This Row],[Round]]=4),IF(Games[[#This Row],[Result]]&gt;0.5,1,0),0)</f>
        <v>0</v>
      </c>
      <c r="AL437" s="2">
        <f>IF(AND(Games[[#This Row],[Type]]="P",Games[[#This Row],[Round]]=4),IF(Games[[#This Row],[Result]]&lt;0.5,1,0),0)</f>
        <v>0</v>
      </c>
    </row>
    <row r="438" spans="1:38" x14ac:dyDescent="0.35">
      <c r="A438" s="10">
        <v>37472</v>
      </c>
      <c r="B438" s="2">
        <v>2002</v>
      </c>
      <c r="C438" s="2">
        <f>COUNTIFS(Games[Team],Games[[#This Row],[Team]],Games[Season],Games[[#This Row],[Season]],Games[Date],"&lt;=" &amp; Games[[#This Row],[Date]])</f>
        <v>28</v>
      </c>
      <c r="D438" s="2" t="s">
        <v>23</v>
      </c>
      <c r="E438" s="2" t="s">
        <v>29</v>
      </c>
      <c r="F438" s="1" t="s">
        <v>44</v>
      </c>
      <c r="G438" s="1" t="s">
        <v>77</v>
      </c>
      <c r="H438" s="1" t="s">
        <v>16</v>
      </c>
      <c r="I438" s="2" cm="1">
        <f t="array" ref="I4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8" s="2" cm="1">
        <f t="array" ref="J43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8" s="2">
        <f>Games[[#This Row],[DaysOff]]-Games[[#This Row],[OppDaysOff]]</f>
        <v>1</v>
      </c>
      <c r="L438" s="2">
        <f>Games[[#This Row],[OppDaysOff]]-Games[[#This Row],[DaysOff]]</f>
        <v>-1</v>
      </c>
      <c r="M438" s="16">
        <f>MAX(-16, MIN(16, Games[[#This Row],[RestDiff]]*8))</f>
        <v>8</v>
      </c>
      <c r="N438" s="16">
        <f>MAX(-16, MIN(16, Games[[#This Row],[OppRestDiff]]*8))</f>
        <v>-8</v>
      </c>
      <c r="O438" s="4" cm="1">
        <f t="array" ref="O4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1365.871334384108</v>
      </c>
      <c r="P438" s="4" cm="1">
        <f t="array" ref="P4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1389.7199836169336</v>
      </c>
      <c r="Q438" s="4">
        <f>1/(1+10^(((Games[[#This Row],[OppPreGmRate]]+IF(Games[[#This Row],[HomeAway]]="A",HCA,0)+Games[[#This Row],[OppRestAdj]])-(Games[[#This Row],[PreGmRate]]+IF(Games[[#This Row],[HomeAway]]="H",HCA,0)+Games[[#This Row],[RestAdj]]))/400))</f>
        <v>0.37081470108579917</v>
      </c>
      <c r="R438" s="1">
        <v>75</v>
      </c>
      <c r="S438" s="1">
        <v>91</v>
      </c>
      <c r="T438" s="1">
        <v>0</v>
      </c>
      <c r="U438" s="16">
        <f>Games[[#This Row],[PointsFor]]-Games[[#This Row],[PointsAgainst]]</f>
        <v>-16</v>
      </c>
      <c r="V438" s="16">
        <f>IF(Games[[#This Row],[MOV]]&gt;0,1,IF(Games[[#This Row],[MOV]]=0,0.5,0))</f>
        <v>0</v>
      </c>
      <c r="W438" s="4">
        <f>((ABS(Games[[#This Row],[MOV]])+5)^0.6)/(12+0.01*(ABS(Games[[#This Row],[PreGmRate]]-Games[[#This Row],[OppPreGmRate]])))*IF(Games[[#This Row],[OT]]=1,0.9,1)</f>
        <v>0.50769614292221976</v>
      </c>
      <c r="X438" s="7" cm="1">
        <f t="array" ref="X4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8" s="9">
        <f>MAX(kmin, kmax - 0.15 * MIN(Games[[#This Row],[GamesPlayed]], 82))</f>
        <v>71.8</v>
      </c>
      <c r="Z438" s="4">
        <f>Games[[#This Row],[K]]*Games[[#This Row],[POMult]]</f>
        <v>71.8</v>
      </c>
      <c r="AA438" s="4">
        <f>(Games[[#This Row],[Keff]]*Games[[#This Row],[MOVMult]])*(Games[[#This Row],[Result]]-Games[[#This Row],[ExpectedWin%]])</f>
        <v>-13.517153691872334</v>
      </c>
      <c r="AB438" s="4">
        <f>Games[[#This Row],[PreGmRate]]+Games[[#This Row],[RatingChange]]</f>
        <v>1352.3541806922356</v>
      </c>
      <c r="AC438" s="2">
        <f>IF(Games[[#This Row],[Type]]="R",IF(Games[[#This Row],[Result]]&gt;0.5,1,0),0)</f>
        <v>0</v>
      </c>
      <c r="AD438" s="2">
        <f>IF(Games[[#This Row],[Type]]="R",IF(Games[[#This Row],[Result]]&lt;0.5,1,0),0)</f>
        <v>1</v>
      </c>
      <c r="AE438" s="2">
        <f>IF(AND(Games[[#This Row],[Type]]="P",Games[[#This Row],[Round]]=1),IF(Games[[#This Row],[Result]]&gt;0.5,1,0),0)</f>
        <v>0</v>
      </c>
      <c r="AF438" s="2">
        <f>IF(AND(Games[[#This Row],[Type]]="P",Games[[#This Row],[Round]]=1),IF(Games[[#This Row],[Result]]&lt;0.5,1,0),0)</f>
        <v>0</v>
      </c>
      <c r="AG438" s="2">
        <f>IF(AND(Games[[#This Row],[Type]]="P",Games[[#This Row],[Round]]=2),IF(Games[[#This Row],[Result]]&gt;0.5,1,0),0)</f>
        <v>0</v>
      </c>
      <c r="AH438" s="2">
        <f>IF(AND(Games[[#This Row],[Type]]="P",Games[[#This Row],[Round]]=2),IF(Games[[#This Row],[Result]]&lt;0.5,1,0),0)</f>
        <v>0</v>
      </c>
      <c r="AI438" s="2">
        <f>IF(AND(Games[[#This Row],[Type]]="P",Games[[#This Row],[Round]]=3),IF(Games[[#This Row],[Result]]&gt;0.5,1,0),0)</f>
        <v>0</v>
      </c>
      <c r="AJ438" s="2">
        <f>IF(AND(Games[[#This Row],[Type]]="P",Games[[#This Row],[Round]]=3),IF(Games[[#This Row],[Result]]&lt;0.5,1,0),0)</f>
        <v>0</v>
      </c>
      <c r="AK438" s="2">
        <f>IF(AND(Games[[#This Row],[Type]]="P",Games[[#This Row],[Round]]=4),IF(Games[[#This Row],[Result]]&gt;0.5,1,0),0)</f>
        <v>0</v>
      </c>
      <c r="AL438" s="2">
        <f>IF(AND(Games[[#This Row],[Type]]="P",Games[[#This Row],[Round]]=4),IF(Games[[#This Row],[Result]]&lt;0.5,1,0),0)</f>
        <v>0</v>
      </c>
    </row>
    <row r="439" spans="1:38" x14ac:dyDescent="0.35">
      <c r="A439" s="10">
        <v>37472</v>
      </c>
      <c r="B439" s="2">
        <v>2002</v>
      </c>
      <c r="C439" s="2">
        <f>COUNTIFS(Games[Team],Games[[#This Row],[Team]],Games[Season],Games[[#This Row],[Season]],Games[Date],"&lt;=" &amp; Games[[#This Row],[Date]])</f>
        <v>28</v>
      </c>
      <c r="D439" s="2" t="s">
        <v>23</v>
      </c>
      <c r="E439" s="2" t="s">
        <v>29</v>
      </c>
      <c r="F439" s="1" t="s">
        <v>77</v>
      </c>
      <c r="G439" s="1" t="s">
        <v>44</v>
      </c>
      <c r="H439" s="1" t="s">
        <v>15</v>
      </c>
      <c r="I439" s="2" cm="1">
        <f t="array" ref="I43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39" s="2" cm="1">
        <f t="array" ref="J4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9" s="2">
        <f>Games[[#This Row],[DaysOff]]-Games[[#This Row],[OppDaysOff]]</f>
        <v>-1</v>
      </c>
      <c r="L439" s="2">
        <f>Games[[#This Row],[OppDaysOff]]-Games[[#This Row],[DaysOff]]</f>
        <v>1</v>
      </c>
      <c r="M439" s="16">
        <f>MAX(-16, MIN(16, Games[[#This Row],[RestDiff]]*8))</f>
        <v>-8</v>
      </c>
      <c r="N439" s="16">
        <f>MAX(-16, MIN(16, Games[[#This Row],[OppRestDiff]]*8))</f>
        <v>8</v>
      </c>
      <c r="O439" s="4" cm="1">
        <f t="array" ref="O4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1389.7199836169336</v>
      </c>
      <c r="P439" s="4" cm="1">
        <f t="array" ref="P4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1365.871334384108</v>
      </c>
      <c r="Q439" s="4">
        <f>1/(1+10^(((Games[[#This Row],[OppPreGmRate]]+IF(Games[[#This Row],[HomeAway]]="A",HCA,0)+Games[[#This Row],[OppRestAdj]])-(Games[[#This Row],[PreGmRate]]+IF(Games[[#This Row],[HomeAway]]="H",HCA,0)+Games[[#This Row],[RestAdj]]))/400))</f>
        <v>0.62918529891420083</v>
      </c>
      <c r="R439" s="1">
        <v>91</v>
      </c>
      <c r="S439" s="1">
        <v>75</v>
      </c>
      <c r="T439" s="1">
        <v>0</v>
      </c>
      <c r="U439" s="16">
        <f>Games[[#This Row],[PointsFor]]-Games[[#This Row],[PointsAgainst]]</f>
        <v>16</v>
      </c>
      <c r="V439" s="16">
        <f>IF(Games[[#This Row],[MOV]]&gt;0,1,IF(Games[[#This Row],[MOV]]=0,0.5,0))</f>
        <v>1</v>
      </c>
      <c r="W439" s="4">
        <f>((ABS(Games[[#This Row],[MOV]])+5)^0.6)/(12+0.01*(ABS(Games[[#This Row],[PreGmRate]]-Games[[#This Row],[OppPreGmRate]])))*IF(Games[[#This Row],[OT]]=1,0.9,1)</f>
        <v>0.50769614292221976</v>
      </c>
      <c r="X439" s="7" cm="1">
        <f t="array" ref="X4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9" s="9">
        <f>MAX(kmin, kmax - 0.15 * MIN(Games[[#This Row],[GamesPlayed]], 82))</f>
        <v>71.8</v>
      </c>
      <c r="Z439" s="4">
        <f>Games[[#This Row],[K]]*Games[[#This Row],[POMult]]</f>
        <v>71.8</v>
      </c>
      <c r="AA439" s="4">
        <f>(Games[[#This Row],[Keff]]*Games[[#This Row],[MOVMult]])*(Games[[#This Row],[Result]]-Games[[#This Row],[ExpectedWin%]])</f>
        <v>13.517153691872334</v>
      </c>
      <c r="AB439" s="4">
        <f>Games[[#This Row],[PreGmRate]]+Games[[#This Row],[RatingChange]]</f>
        <v>1403.237137308806</v>
      </c>
      <c r="AC439" s="2">
        <f>IF(Games[[#This Row],[Type]]="R",IF(Games[[#This Row],[Result]]&gt;0.5,1,0),0)</f>
        <v>1</v>
      </c>
      <c r="AD439" s="2">
        <f>IF(Games[[#This Row],[Type]]="R",IF(Games[[#This Row],[Result]]&lt;0.5,1,0),0)</f>
        <v>0</v>
      </c>
      <c r="AE439" s="2">
        <f>IF(AND(Games[[#This Row],[Type]]="P",Games[[#This Row],[Round]]=1),IF(Games[[#This Row],[Result]]&gt;0.5,1,0),0)</f>
        <v>0</v>
      </c>
      <c r="AF439" s="2">
        <f>IF(AND(Games[[#This Row],[Type]]="P",Games[[#This Row],[Round]]=1),IF(Games[[#This Row],[Result]]&lt;0.5,1,0),0)</f>
        <v>0</v>
      </c>
      <c r="AG439" s="2">
        <f>IF(AND(Games[[#This Row],[Type]]="P",Games[[#This Row],[Round]]=2),IF(Games[[#This Row],[Result]]&gt;0.5,1,0),0)</f>
        <v>0</v>
      </c>
      <c r="AH439" s="2">
        <f>IF(AND(Games[[#This Row],[Type]]="P",Games[[#This Row],[Round]]=2),IF(Games[[#This Row],[Result]]&lt;0.5,1,0),0)</f>
        <v>0</v>
      </c>
      <c r="AI439" s="2">
        <f>IF(AND(Games[[#This Row],[Type]]="P",Games[[#This Row],[Round]]=3),IF(Games[[#This Row],[Result]]&gt;0.5,1,0),0)</f>
        <v>0</v>
      </c>
      <c r="AJ439" s="2">
        <f>IF(AND(Games[[#This Row],[Type]]="P",Games[[#This Row],[Round]]=3),IF(Games[[#This Row],[Result]]&lt;0.5,1,0),0)</f>
        <v>0</v>
      </c>
      <c r="AK439" s="2">
        <f>IF(AND(Games[[#This Row],[Type]]="P",Games[[#This Row],[Round]]=4),IF(Games[[#This Row],[Result]]&gt;0.5,1,0),0)</f>
        <v>0</v>
      </c>
      <c r="AL439" s="2">
        <f>IF(AND(Games[[#This Row],[Type]]="P",Games[[#This Row],[Round]]=4),IF(Games[[#This Row],[Result]]&lt;0.5,1,0),0)</f>
        <v>0</v>
      </c>
    </row>
    <row r="440" spans="1:38" x14ac:dyDescent="0.35">
      <c r="A440" s="10">
        <v>37472</v>
      </c>
      <c r="B440" s="2">
        <v>2002</v>
      </c>
      <c r="C440" s="2">
        <f>COUNTIFS(Games[Team],Games[[#This Row],[Team]],Games[Season],Games[[#This Row],[Season]],Games[Date],"&lt;=" &amp; Games[[#This Row],[Date]])</f>
        <v>28</v>
      </c>
      <c r="D440" s="2" t="s">
        <v>23</v>
      </c>
      <c r="E440" s="2" t="s">
        <v>29</v>
      </c>
      <c r="F440" s="1" t="s">
        <v>43</v>
      </c>
      <c r="G440" s="1" t="s">
        <v>71</v>
      </c>
      <c r="H440" s="1" t="s">
        <v>16</v>
      </c>
      <c r="I440" s="2" cm="1">
        <f t="array" ref="I4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0" s="2" cm="1">
        <f t="array" ref="J4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0" s="2">
        <f>Games[[#This Row],[DaysOff]]-Games[[#This Row],[OppDaysOff]]</f>
        <v>2</v>
      </c>
      <c r="L440" s="2">
        <f>Games[[#This Row],[OppDaysOff]]-Games[[#This Row],[DaysOff]]</f>
        <v>-2</v>
      </c>
      <c r="M440" s="16">
        <f>MAX(-16, MIN(16, Games[[#This Row],[RestDiff]]*8))</f>
        <v>16</v>
      </c>
      <c r="N440" s="16">
        <f>MAX(-16, MIN(16, Games[[#This Row],[OppRestDiff]]*8))</f>
        <v>-16</v>
      </c>
      <c r="O440" s="4" cm="1">
        <f t="array" ref="O4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1582.1143604998999</v>
      </c>
      <c r="P440" s="4" cm="1">
        <f t="array" ref="P4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1673.3265238680592</v>
      </c>
      <c r="Q440" s="4">
        <f>1/(1+10^(((Games[[#This Row],[OppPreGmRate]]+IF(Games[[#This Row],[HomeAway]]="A",HCA,0)+Games[[#This Row],[OppRestAdj]])-(Games[[#This Row],[PreGmRate]]+IF(Games[[#This Row],[HomeAway]]="H",HCA,0)+Games[[#This Row],[RestAdj]]))/400))</f>
        <v>0.30483141863235685</v>
      </c>
      <c r="R440" s="1">
        <v>86</v>
      </c>
      <c r="S440" s="1">
        <v>90</v>
      </c>
      <c r="T440" s="1">
        <v>0</v>
      </c>
      <c r="U440" s="16">
        <f>Games[[#This Row],[PointsFor]]-Games[[#This Row],[PointsAgainst]]</f>
        <v>-4</v>
      </c>
      <c r="V440" s="16">
        <f>IF(Games[[#This Row],[MOV]]&gt;0,1,IF(Games[[#This Row],[MOV]]=0,0.5,0))</f>
        <v>0</v>
      </c>
      <c r="W440" s="4">
        <f>((ABS(Games[[#This Row],[MOV]])+5)^0.6)/(12+0.01*(ABS(Games[[#This Row],[PreGmRate]]-Games[[#This Row],[OppPreGmRate]])))*IF(Games[[#This Row],[OT]]=1,0.9,1)</f>
        <v>0.28943290071695044</v>
      </c>
      <c r="X440" s="7" cm="1">
        <f t="array" ref="X4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0" s="9">
        <f>MAX(kmin, kmax - 0.15 * MIN(Games[[#This Row],[GamesPlayed]], 82))</f>
        <v>71.8</v>
      </c>
      <c r="Z440" s="4">
        <f>Games[[#This Row],[K]]*Games[[#This Row],[POMult]]</f>
        <v>71.8</v>
      </c>
      <c r="AA440" s="4">
        <f>(Games[[#This Row],[Keff]]*Games[[#This Row],[MOVMult]])*(Games[[#This Row],[Result]]-Games[[#This Row],[ExpectedWin%]])</f>
        <v>-6.3347877558137933</v>
      </c>
      <c r="AB440" s="4">
        <f>Games[[#This Row],[PreGmRate]]+Games[[#This Row],[RatingChange]]</f>
        <v>1575.7795727440862</v>
      </c>
      <c r="AC440" s="2">
        <f>IF(Games[[#This Row],[Type]]="R",IF(Games[[#This Row],[Result]]&gt;0.5,1,0),0)</f>
        <v>0</v>
      </c>
      <c r="AD440" s="2">
        <f>IF(Games[[#This Row],[Type]]="R",IF(Games[[#This Row],[Result]]&lt;0.5,1,0),0)</f>
        <v>1</v>
      </c>
      <c r="AE440" s="2">
        <f>IF(AND(Games[[#This Row],[Type]]="P",Games[[#This Row],[Round]]=1),IF(Games[[#This Row],[Result]]&gt;0.5,1,0),0)</f>
        <v>0</v>
      </c>
      <c r="AF440" s="2">
        <f>IF(AND(Games[[#This Row],[Type]]="P",Games[[#This Row],[Round]]=1),IF(Games[[#This Row],[Result]]&lt;0.5,1,0),0)</f>
        <v>0</v>
      </c>
      <c r="AG440" s="2">
        <f>IF(AND(Games[[#This Row],[Type]]="P",Games[[#This Row],[Round]]=2),IF(Games[[#This Row],[Result]]&gt;0.5,1,0),0)</f>
        <v>0</v>
      </c>
      <c r="AH440" s="2">
        <f>IF(AND(Games[[#This Row],[Type]]="P",Games[[#This Row],[Round]]=2),IF(Games[[#This Row],[Result]]&lt;0.5,1,0),0)</f>
        <v>0</v>
      </c>
      <c r="AI440" s="2">
        <f>IF(AND(Games[[#This Row],[Type]]="P",Games[[#This Row],[Round]]=3),IF(Games[[#This Row],[Result]]&gt;0.5,1,0),0)</f>
        <v>0</v>
      </c>
      <c r="AJ440" s="2">
        <f>IF(AND(Games[[#This Row],[Type]]="P",Games[[#This Row],[Round]]=3),IF(Games[[#This Row],[Result]]&lt;0.5,1,0),0)</f>
        <v>0</v>
      </c>
      <c r="AK440" s="2">
        <f>IF(AND(Games[[#This Row],[Type]]="P",Games[[#This Row],[Round]]=4),IF(Games[[#This Row],[Result]]&gt;0.5,1,0),0)</f>
        <v>0</v>
      </c>
      <c r="AL440" s="2">
        <f>IF(AND(Games[[#This Row],[Type]]="P",Games[[#This Row],[Round]]=4),IF(Games[[#This Row],[Result]]&lt;0.5,1,0),0)</f>
        <v>0</v>
      </c>
    </row>
    <row r="441" spans="1:38" x14ac:dyDescent="0.35">
      <c r="A441" s="10">
        <v>37472</v>
      </c>
      <c r="B441" s="2">
        <v>2002</v>
      </c>
      <c r="C441" s="2">
        <f>COUNTIFS(Games[Team],Games[[#This Row],[Team]],Games[Season],Games[[#This Row],[Season]],Games[Date],"&lt;=" &amp; Games[[#This Row],[Date]])</f>
        <v>28</v>
      </c>
      <c r="D441" s="2" t="s">
        <v>23</v>
      </c>
      <c r="E441" s="2" t="s">
        <v>29</v>
      </c>
      <c r="F441" s="1" t="s">
        <v>71</v>
      </c>
      <c r="G441" s="1" t="s">
        <v>43</v>
      </c>
      <c r="H441" s="1" t="s">
        <v>15</v>
      </c>
      <c r="I441" s="2" cm="1">
        <f t="array" ref="I4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1" s="2" cm="1">
        <f t="array" ref="J4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1" s="2">
        <f>Games[[#This Row],[DaysOff]]-Games[[#This Row],[OppDaysOff]]</f>
        <v>-2</v>
      </c>
      <c r="L441" s="2">
        <f>Games[[#This Row],[OppDaysOff]]-Games[[#This Row],[DaysOff]]</f>
        <v>2</v>
      </c>
      <c r="M441" s="16">
        <f>MAX(-16, MIN(16, Games[[#This Row],[RestDiff]]*8))</f>
        <v>-16</v>
      </c>
      <c r="N441" s="16">
        <f>MAX(-16, MIN(16, Games[[#This Row],[OppRestDiff]]*8))</f>
        <v>16</v>
      </c>
      <c r="O441" s="4" cm="1">
        <f t="array" ref="O4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1673.3265238680592</v>
      </c>
      <c r="P441" s="4" cm="1">
        <f t="array" ref="P4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1582.1143604998999</v>
      </c>
      <c r="Q441" s="4">
        <f>1/(1+10^(((Games[[#This Row],[OppPreGmRate]]+IF(Games[[#This Row],[HomeAway]]="A",HCA,0)+Games[[#This Row],[OppRestAdj]])-(Games[[#This Row],[PreGmRate]]+IF(Games[[#This Row],[HomeAway]]="H",HCA,0)+Games[[#This Row],[RestAdj]]))/400))</f>
        <v>0.69516858136764326</v>
      </c>
      <c r="R441" s="1">
        <v>90</v>
      </c>
      <c r="S441" s="1">
        <v>86</v>
      </c>
      <c r="T441" s="1">
        <v>0</v>
      </c>
      <c r="U441" s="16">
        <f>Games[[#This Row],[PointsFor]]-Games[[#This Row],[PointsAgainst]]</f>
        <v>4</v>
      </c>
      <c r="V441" s="16">
        <f>IF(Games[[#This Row],[MOV]]&gt;0,1,IF(Games[[#This Row],[MOV]]=0,0.5,0))</f>
        <v>1</v>
      </c>
      <c r="W441" s="4">
        <f>((ABS(Games[[#This Row],[MOV]])+5)^0.6)/(12+0.01*(ABS(Games[[#This Row],[PreGmRate]]-Games[[#This Row],[OppPreGmRate]])))*IF(Games[[#This Row],[OT]]=1,0.9,1)</f>
        <v>0.28943290071695044</v>
      </c>
      <c r="X441" s="7" cm="1">
        <f t="array" ref="X4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1" s="9">
        <f>MAX(kmin, kmax - 0.15 * MIN(Games[[#This Row],[GamesPlayed]], 82))</f>
        <v>71.8</v>
      </c>
      <c r="Z441" s="4">
        <f>Games[[#This Row],[K]]*Games[[#This Row],[POMult]]</f>
        <v>71.8</v>
      </c>
      <c r="AA441" s="4">
        <f>(Games[[#This Row],[Keff]]*Games[[#This Row],[MOVMult]])*(Games[[#This Row],[Result]]-Games[[#This Row],[ExpectedWin%]])</f>
        <v>6.3347877558137906</v>
      </c>
      <c r="AB441" s="4">
        <f>Games[[#This Row],[PreGmRate]]+Games[[#This Row],[RatingChange]]</f>
        <v>1679.661311623873</v>
      </c>
      <c r="AC441" s="2">
        <f>IF(Games[[#This Row],[Type]]="R",IF(Games[[#This Row],[Result]]&gt;0.5,1,0),0)</f>
        <v>1</v>
      </c>
      <c r="AD441" s="2">
        <f>IF(Games[[#This Row],[Type]]="R",IF(Games[[#This Row],[Result]]&lt;0.5,1,0),0)</f>
        <v>0</v>
      </c>
      <c r="AE441" s="2">
        <f>IF(AND(Games[[#This Row],[Type]]="P",Games[[#This Row],[Round]]=1),IF(Games[[#This Row],[Result]]&gt;0.5,1,0),0)</f>
        <v>0</v>
      </c>
      <c r="AF441" s="2">
        <f>IF(AND(Games[[#This Row],[Type]]="P",Games[[#This Row],[Round]]=1),IF(Games[[#This Row],[Result]]&lt;0.5,1,0),0)</f>
        <v>0</v>
      </c>
      <c r="AG441" s="2">
        <f>IF(AND(Games[[#This Row],[Type]]="P",Games[[#This Row],[Round]]=2),IF(Games[[#This Row],[Result]]&gt;0.5,1,0),0)</f>
        <v>0</v>
      </c>
      <c r="AH441" s="2">
        <f>IF(AND(Games[[#This Row],[Type]]="P",Games[[#This Row],[Round]]=2),IF(Games[[#This Row],[Result]]&lt;0.5,1,0),0)</f>
        <v>0</v>
      </c>
      <c r="AI441" s="2">
        <f>IF(AND(Games[[#This Row],[Type]]="P",Games[[#This Row],[Round]]=3),IF(Games[[#This Row],[Result]]&gt;0.5,1,0),0)</f>
        <v>0</v>
      </c>
      <c r="AJ441" s="2">
        <f>IF(AND(Games[[#This Row],[Type]]="P",Games[[#This Row],[Round]]=3),IF(Games[[#This Row],[Result]]&lt;0.5,1,0),0)</f>
        <v>0</v>
      </c>
      <c r="AK441" s="2">
        <f>IF(AND(Games[[#This Row],[Type]]="P",Games[[#This Row],[Round]]=4),IF(Games[[#This Row],[Result]]&gt;0.5,1,0),0)</f>
        <v>0</v>
      </c>
      <c r="AL441" s="2">
        <f>IF(AND(Games[[#This Row],[Type]]="P",Games[[#This Row],[Round]]=4),IF(Games[[#This Row],[Result]]&lt;0.5,1,0),0)</f>
        <v>0</v>
      </c>
    </row>
    <row r="442" spans="1:38" x14ac:dyDescent="0.35">
      <c r="A442" s="10">
        <v>37472</v>
      </c>
      <c r="B442" s="2">
        <v>2002</v>
      </c>
      <c r="C442" s="2">
        <f>COUNTIFS(Games[Team],Games[[#This Row],[Team]],Games[Season],Games[[#This Row],[Season]],Games[Date],"&lt;=" &amp; Games[[#This Row],[Date]])</f>
        <v>27</v>
      </c>
      <c r="D442" s="2" t="s">
        <v>23</v>
      </c>
      <c r="E442" s="2" t="s">
        <v>29</v>
      </c>
      <c r="F442" s="1" t="s">
        <v>75</v>
      </c>
      <c r="G442" s="1" t="s">
        <v>83</v>
      </c>
      <c r="H442" s="1" t="s">
        <v>16</v>
      </c>
      <c r="I442" s="2" cm="1">
        <f t="array" ref="I4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2" s="2" cm="1">
        <f t="array" ref="J4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2" s="2">
        <f>Games[[#This Row],[DaysOff]]-Games[[#This Row],[OppDaysOff]]</f>
        <v>0</v>
      </c>
      <c r="L442" s="2">
        <f>Games[[#This Row],[OppDaysOff]]-Games[[#This Row],[DaysOff]]</f>
        <v>0</v>
      </c>
      <c r="M442" s="16">
        <f>MAX(-16, MIN(16, Games[[#This Row],[RestDiff]]*8))</f>
        <v>0</v>
      </c>
      <c r="N442" s="16">
        <f>MAX(-16, MIN(16, Games[[#This Row],[OppRestDiff]]*8))</f>
        <v>0</v>
      </c>
      <c r="O442" s="4" cm="1">
        <f t="array" ref="O4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1456.9224522362269</v>
      </c>
      <c r="P442" s="4" cm="1">
        <f t="array" ref="P4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1487.2532030218135</v>
      </c>
      <c r="Q442" s="4">
        <f>1/(1+10^(((Games[[#This Row],[OppPreGmRate]]+IF(Games[[#This Row],[HomeAway]]="A",HCA,0)+Games[[#This Row],[OppRestAdj]])-(Games[[#This Row],[PreGmRate]]+IF(Games[[#This Row],[HomeAway]]="H",HCA,0)+Games[[#This Row],[RestAdj]]))/400))</f>
        <v>0.34115739972983417</v>
      </c>
      <c r="R442" s="1">
        <v>50</v>
      </c>
      <c r="S442" s="1">
        <v>55</v>
      </c>
      <c r="T442" s="1">
        <v>0</v>
      </c>
      <c r="U442" s="16">
        <f>Games[[#This Row],[PointsFor]]-Games[[#This Row],[PointsAgainst]]</f>
        <v>-5</v>
      </c>
      <c r="V442" s="16">
        <f>IF(Games[[#This Row],[MOV]]&gt;0,1,IF(Games[[#This Row],[MOV]]=0,0.5,0))</f>
        <v>0</v>
      </c>
      <c r="W442" s="4">
        <f>((ABS(Games[[#This Row],[MOV]])+5)^0.6)/(12+0.01*(ABS(Games[[#This Row],[PreGmRate]]-Games[[#This Row],[OppPreGmRate]])))*IF(Games[[#This Row],[OT]]=1,0.9,1)</f>
        <v>0.32357735535692272</v>
      </c>
      <c r="X442" s="7" cm="1">
        <f t="array" ref="X4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2" s="9">
        <f>MAX(kmin, kmax - 0.15 * MIN(Games[[#This Row],[GamesPlayed]], 82))</f>
        <v>71.95</v>
      </c>
      <c r="Z442" s="4">
        <f>Games[[#This Row],[K]]*Games[[#This Row],[POMult]]</f>
        <v>71.95</v>
      </c>
      <c r="AA442" s="4">
        <f>(Games[[#This Row],[Keff]]*Games[[#This Row],[MOVMult]])*(Games[[#This Row],[Result]]-Games[[#This Row],[ExpectedWin%]])</f>
        <v>-7.9426187194234972</v>
      </c>
      <c r="AB442" s="4">
        <f>Games[[#This Row],[PreGmRate]]+Games[[#This Row],[RatingChange]]</f>
        <v>1448.9798335168034</v>
      </c>
      <c r="AC442" s="2">
        <f>IF(Games[[#This Row],[Type]]="R",IF(Games[[#This Row],[Result]]&gt;0.5,1,0),0)</f>
        <v>0</v>
      </c>
      <c r="AD442" s="2">
        <f>IF(Games[[#This Row],[Type]]="R",IF(Games[[#This Row],[Result]]&lt;0.5,1,0),0)</f>
        <v>1</v>
      </c>
      <c r="AE442" s="2">
        <f>IF(AND(Games[[#This Row],[Type]]="P",Games[[#This Row],[Round]]=1),IF(Games[[#This Row],[Result]]&gt;0.5,1,0),0)</f>
        <v>0</v>
      </c>
      <c r="AF442" s="2">
        <f>IF(AND(Games[[#This Row],[Type]]="P",Games[[#This Row],[Round]]=1),IF(Games[[#This Row],[Result]]&lt;0.5,1,0),0)</f>
        <v>0</v>
      </c>
      <c r="AG442" s="2">
        <f>IF(AND(Games[[#This Row],[Type]]="P",Games[[#This Row],[Round]]=2),IF(Games[[#This Row],[Result]]&gt;0.5,1,0),0)</f>
        <v>0</v>
      </c>
      <c r="AH442" s="2">
        <f>IF(AND(Games[[#This Row],[Type]]="P",Games[[#This Row],[Round]]=2),IF(Games[[#This Row],[Result]]&lt;0.5,1,0),0)</f>
        <v>0</v>
      </c>
      <c r="AI442" s="2">
        <f>IF(AND(Games[[#This Row],[Type]]="P",Games[[#This Row],[Round]]=3),IF(Games[[#This Row],[Result]]&gt;0.5,1,0),0)</f>
        <v>0</v>
      </c>
      <c r="AJ442" s="2">
        <f>IF(AND(Games[[#This Row],[Type]]="P",Games[[#This Row],[Round]]=3),IF(Games[[#This Row],[Result]]&lt;0.5,1,0),0)</f>
        <v>0</v>
      </c>
      <c r="AK442" s="2">
        <f>IF(AND(Games[[#This Row],[Type]]="P",Games[[#This Row],[Round]]=4),IF(Games[[#This Row],[Result]]&gt;0.5,1,0),0)</f>
        <v>0</v>
      </c>
      <c r="AL442" s="2">
        <f>IF(AND(Games[[#This Row],[Type]]="P",Games[[#This Row],[Round]]=4),IF(Games[[#This Row],[Result]]&lt;0.5,1,0),0)</f>
        <v>0</v>
      </c>
    </row>
    <row r="443" spans="1:38" x14ac:dyDescent="0.35">
      <c r="A443" s="10">
        <v>37472</v>
      </c>
      <c r="B443" s="2">
        <v>2002</v>
      </c>
      <c r="C443" s="2">
        <f>COUNTIFS(Games[Team],Games[[#This Row],[Team]],Games[Season],Games[[#This Row],[Season]],Games[Date],"&lt;=" &amp; Games[[#This Row],[Date]])</f>
        <v>29</v>
      </c>
      <c r="D443" s="2" t="s">
        <v>23</v>
      </c>
      <c r="E443" s="2" t="s">
        <v>29</v>
      </c>
      <c r="F443" s="1" t="s">
        <v>83</v>
      </c>
      <c r="G443" s="1" t="s">
        <v>75</v>
      </c>
      <c r="H443" s="1" t="s">
        <v>15</v>
      </c>
      <c r="I443" s="2" cm="1">
        <f t="array" ref="I4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3" s="2" cm="1">
        <f t="array" ref="J4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3" s="2">
        <f>Games[[#This Row],[DaysOff]]-Games[[#This Row],[OppDaysOff]]</f>
        <v>0</v>
      </c>
      <c r="L443" s="2">
        <f>Games[[#This Row],[OppDaysOff]]-Games[[#This Row],[DaysOff]]</f>
        <v>0</v>
      </c>
      <c r="M443" s="16">
        <f>MAX(-16, MIN(16, Games[[#This Row],[RestDiff]]*8))</f>
        <v>0</v>
      </c>
      <c r="N443" s="16">
        <f>MAX(-16, MIN(16, Games[[#This Row],[OppRestDiff]]*8))</f>
        <v>0</v>
      </c>
      <c r="O443" s="4" cm="1">
        <f t="array" ref="O4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1487.2532030218135</v>
      </c>
      <c r="P443" s="4" cm="1">
        <f t="array" ref="P4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1456.9224522362269</v>
      </c>
      <c r="Q443" s="4">
        <f>1/(1+10^(((Games[[#This Row],[OppPreGmRate]]+IF(Games[[#This Row],[HomeAway]]="A",HCA,0)+Games[[#This Row],[OppRestAdj]])-(Games[[#This Row],[PreGmRate]]+IF(Games[[#This Row],[HomeAway]]="H",HCA,0)+Games[[#This Row],[RestAdj]]))/400))</f>
        <v>0.65884260027016583</v>
      </c>
      <c r="R443" s="1">
        <v>55</v>
      </c>
      <c r="S443" s="1">
        <v>50</v>
      </c>
      <c r="T443" s="1">
        <v>0</v>
      </c>
      <c r="U443" s="16">
        <f>Games[[#This Row],[PointsFor]]-Games[[#This Row],[PointsAgainst]]</f>
        <v>5</v>
      </c>
      <c r="V443" s="16">
        <f>IF(Games[[#This Row],[MOV]]&gt;0,1,IF(Games[[#This Row],[MOV]]=0,0.5,0))</f>
        <v>1</v>
      </c>
      <c r="W443" s="4">
        <f>((ABS(Games[[#This Row],[MOV]])+5)^0.6)/(12+0.01*(ABS(Games[[#This Row],[PreGmRate]]-Games[[#This Row],[OppPreGmRate]])))*IF(Games[[#This Row],[OT]]=1,0.9,1)</f>
        <v>0.32357735535692272</v>
      </c>
      <c r="X443" s="7" cm="1">
        <f t="array" ref="X4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3" s="9">
        <f>MAX(kmin, kmax - 0.15 * MIN(Games[[#This Row],[GamesPlayed]], 82))</f>
        <v>71.650000000000006</v>
      </c>
      <c r="Z443" s="4">
        <f>Games[[#This Row],[K]]*Games[[#This Row],[POMult]]</f>
        <v>71.650000000000006</v>
      </c>
      <c r="AA443" s="4">
        <f>(Games[[#This Row],[Keff]]*Games[[#This Row],[MOVMult]])*(Games[[#This Row],[Result]]-Games[[#This Row],[ExpectedWin%]])</f>
        <v>7.9095014766739897</v>
      </c>
      <c r="AB443" s="4">
        <f>Games[[#This Row],[PreGmRate]]+Games[[#This Row],[RatingChange]]</f>
        <v>1495.1627044984875</v>
      </c>
      <c r="AC443" s="2">
        <f>IF(Games[[#This Row],[Type]]="R",IF(Games[[#This Row],[Result]]&gt;0.5,1,0),0)</f>
        <v>1</v>
      </c>
      <c r="AD443" s="2">
        <f>IF(Games[[#This Row],[Type]]="R",IF(Games[[#This Row],[Result]]&lt;0.5,1,0),0)</f>
        <v>0</v>
      </c>
      <c r="AE443" s="2">
        <f>IF(AND(Games[[#This Row],[Type]]="P",Games[[#This Row],[Round]]=1),IF(Games[[#This Row],[Result]]&gt;0.5,1,0),0)</f>
        <v>0</v>
      </c>
      <c r="AF443" s="2">
        <f>IF(AND(Games[[#This Row],[Type]]="P",Games[[#This Row],[Round]]=1),IF(Games[[#This Row],[Result]]&lt;0.5,1,0),0)</f>
        <v>0</v>
      </c>
      <c r="AG443" s="2">
        <f>IF(AND(Games[[#This Row],[Type]]="P",Games[[#This Row],[Round]]=2),IF(Games[[#This Row],[Result]]&gt;0.5,1,0),0)</f>
        <v>0</v>
      </c>
      <c r="AH443" s="2">
        <f>IF(AND(Games[[#This Row],[Type]]="P",Games[[#This Row],[Round]]=2),IF(Games[[#This Row],[Result]]&lt;0.5,1,0),0)</f>
        <v>0</v>
      </c>
      <c r="AI443" s="2">
        <f>IF(AND(Games[[#This Row],[Type]]="P",Games[[#This Row],[Round]]=3),IF(Games[[#This Row],[Result]]&gt;0.5,1,0),0)</f>
        <v>0</v>
      </c>
      <c r="AJ443" s="2">
        <f>IF(AND(Games[[#This Row],[Type]]="P",Games[[#This Row],[Round]]=3),IF(Games[[#This Row],[Result]]&lt;0.5,1,0),0)</f>
        <v>0</v>
      </c>
      <c r="AK443" s="2">
        <f>IF(AND(Games[[#This Row],[Type]]="P",Games[[#This Row],[Round]]=4),IF(Games[[#This Row],[Result]]&gt;0.5,1,0),0)</f>
        <v>0</v>
      </c>
      <c r="AL443" s="2">
        <f>IF(AND(Games[[#This Row],[Type]]="P",Games[[#This Row],[Round]]=4),IF(Games[[#This Row],[Result]]&lt;0.5,1,0),0)</f>
        <v>0</v>
      </c>
    </row>
    <row r="444" spans="1:38" x14ac:dyDescent="0.35">
      <c r="A444" s="10">
        <v>37472</v>
      </c>
      <c r="B444" s="2">
        <v>2002</v>
      </c>
      <c r="C444" s="2">
        <f>COUNTIFS(Games[Team],Games[[#This Row],[Team]],Games[Season],Games[[#This Row],[Season]],Games[Date],"&lt;=" &amp; Games[[#This Row],[Date]])</f>
        <v>29</v>
      </c>
      <c r="D444" s="2" t="s">
        <v>23</v>
      </c>
      <c r="E444" s="2" t="s">
        <v>29</v>
      </c>
      <c r="F444" s="1" t="s">
        <v>87</v>
      </c>
      <c r="G444" s="1" t="s">
        <v>80</v>
      </c>
      <c r="H444" s="1" t="s">
        <v>16</v>
      </c>
      <c r="I444" s="2" cm="1">
        <f t="array" ref="I4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44" s="2" cm="1">
        <f t="array" ref="J4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4" s="2">
        <f>Games[[#This Row],[DaysOff]]-Games[[#This Row],[OppDaysOff]]</f>
        <v>1</v>
      </c>
      <c r="L444" s="2">
        <f>Games[[#This Row],[OppDaysOff]]-Games[[#This Row],[DaysOff]]</f>
        <v>-1</v>
      </c>
      <c r="M444" s="16">
        <f>MAX(-16, MIN(16, Games[[#This Row],[RestDiff]]*8))</f>
        <v>8</v>
      </c>
      <c r="N444" s="16">
        <f>MAX(-16, MIN(16, Games[[#This Row],[OppRestDiff]]*8))</f>
        <v>-8</v>
      </c>
      <c r="O444" s="4" cm="1">
        <f t="array" ref="O4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1537.8958819808972</v>
      </c>
      <c r="P444" s="4" cm="1">
        <f t="array" ref="P4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1386.3762676441772</v>
      </c>
      <c r="Q444" s="4">
        <f>1/(1+10^(((Games[[#This Row],[OppPreGmRate]]+IF(Games[[#This Row],[HomeAway]]="A",HCA,0)+Games[[#This Row],[OppRestAdj]])-(Games[[#This Row],[PreGmRate]]+IF(Games[[#This Row],[HomeAway]]="H",HCA,0)+Games[[#This Row],[RestAdj]]))/400))</f>
        <v>0.61793146443814218</v>
      </c>
      <c r="R444" s="1">
        <v>60</v>
      </c>
      <c r="S444" s="1">
        <v>73</v>
      </c>
      <c r="T444" s="1">
        <v>0</v>
      </c>
      <c r="U444" s="16">
        <f>Games[[#This Row],[PointsFor]]-Games[[#This Row],[PointsAgainst]]</f>
        <v>-13</v>
      </c>
      <c r="V444" s="16">
        <f>IF(Games[[#This Row],[MOV]]&gt;0,1,IF(Games[[#This Row],[MOV]]=0,0.5,0))</f>
        <v>0</v>
      </c>
      <c r="W444" s="4">
        <f>((ABS(Games[[#This Row],[MOV]])+5)^0.6)/(12+0.01*(ABS(Games[[#This Row],[PreGmRate]]-Games[[#This Row],[OppPreGmRate]])))*IF(Games[[#This Row],[OT]]=1,0.9,1)</f>
        <v>0.41912266811971999</v>
      </c>
      <c r="X444" s="7" cm="1">
        <f t="array" ref="X4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4" s="9">
        <f>MAX(kmin, kmax - 0.15 * MIN(Games[[#This Row],[GamesPlayed]], 82))</f>
        <v>71.650000000000006</v>
      </c>
      <c r="Z444" s="4">
        <f>Games[[#This Row],[K]]*Games[[#This Row],[POMult]]</f>
        <v>71.650000000000006</v>
      </c>
      <c r="AA444" s="4">
        <f>(Games[[#This Row],[Keff]]*Games[[#This Row],[MOVMult]])*(Games[[#This Row],[Result]]-Games[[#This Row],[ExpectedWin%]])</f>
        <v>-18.556567875080027</v>
      </c>
      <c r="AB444" s="4">
        <f>Games[[#This Row],[PreGmRate]]+Games[[#This Row],[RatingChange]]</f>
        <v>1519.3393141058173</v>
      </c>
      <c r="AC444" s="2">
        <f>IF(Games[[#This Row],[Type]]="R",IF(Games[[#This Row],[Result]]&gt;0.5,1,0),0)</f>
        <v>0</v>
      </c>
      <c r="AD444" s="2">
        <f>IF(Games[[#This Row],[Type]]="R",IF(Games[[#This Row],[Result]]&lt;0.5,1,0),0)</f>
        <v>1</v>
      </c>
      <c r="AE444" s="2">
        <f>IF(AND(Games[[#This Row],[Type]]="P",Games[[#This Row],[Round]]=1),IF(Games[[#This Row],[Result]]&gt;0.5,1,0),0)</f>
        <v>0</v>
      </c>
      <c r="AF444" s="2">
        <f>IF(AND(Games[[#This Row],[Type]]="P",Games[[#This Row],[Round]]=1),IF(Games[[#This Row],[Result]]&lt;0.5,1,0),0)</f>
        <v>0</v>
      </c>
      <c r="AG444" s="2">
        <f>IF(AND(Games[[#This Row],[Type]]="P",Games[[#This Row],[Round]]=2),IF(Games[[#This Row],[Result]]&gt;0.5,1,0),0)</f>
        <v>0</v>
      </c>
      <c r="AH444" s="2">
        <f>IF(AND(Games[[#This Row],[Type]]="P",Games[[#This Row],[Round]]=2),IF(Games[[#This Row],[Result]]&lt;0.5,1,0),0)</f>
        <v>0</v>
      </c>
      <c r="AI444" s="2">
        <f>IF(AND(Games[[#This Row],[Type]]="P",Games[[#This Row],[Round]]=3),IF(Games[[#This Row],[Result]]&gt;0.5,1,0),0)</f>
        <v>0</v>
      </c>
      <c r="AJ444" s="2">
        <f>IF(AND(Games[[#This Row],[Type]]="P",Games[[#This Row],[Round]]=3),IF(Games[[#This Row],[Result]]&lt;0.5,1,0),0)</f>
        <v>0</v>
      </c>
      <c r="AK444" s="2">
        <f>IF(AND(Games[[#This Row],[Type]]="P",Games[[#This Row],[Round]]=4),IF(Games[[#This Row],[Result]]&gt;0.5,1,0),0)</f>
        <v>0</v>
      </c>
      <c r="AL444" s="2">
        <f>IF(AND(Games[[#This Row],[Type]]="P",Games[[#This Row],[Round]]=4),IF(Games[[#This Row],[Result]]&lt;0.5,1,0),0)</f>
        <v>0</v>
      </c>
    </row>
    <row r="445" spans="1:38" x14ac:dyDescent="0.35">
      <c r="A445" s="10">
        <v>37472</v>
      </c>
      <c r="B445" s="2">
        <v>2002</v>
      </c>
      <c r="C445" s="2">
        <f>COUNTIFS(Games[Team],Games[[#This Row],[Team]],Games[Season],Games[[#This Row],[Season]],Games[Date],"&lt;=" &amp; Games[[#This Row],[Date]])</f>
        <v>28</v>
      </c>
      <c r="D445" s="2" t="s">
        <v>23</v>
      </c>
      <c r="E445" s="2" t="s">
        <v>29</v>
      </c>
      <c r="F445" s="1" t="s">
        <v>80</v>
      </c>
      <c r="G445" s="1" t="s">
        <v>87</v>
      </c>
      <c r="H445" s="1" t="s">
        <v>15</v>
      </c>
      <c r="I445" s="2" cm="1">
        <f t="array" ref="I4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5" s="2" cm="1">
        <f t="array" ref="J4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45" s="2">
        <f>Games[[#This Row],[DaysOff]]-Games[[#This Row],[OppDaysOff]]</f>
        <v>-1</v>
      </c>
      <c r="L445" s="2">
        <f>Games[[#This Row],[OppDaysOff]]-Games[[#This Row],[DaysOff]]</f>
        <v>1</v>
      </c>
      <c r="M445" s="16">
        <f>MAX(-16, MIN(16, Games[[#This Row],[RestDiff]]*8))</f>
        <v>-8</v>
      </c>
      <c r="N445" s="16">
        <f>MAX(-16, MIN(16, Games[[#This Row],[OppRestDiff]]*8))</f>
        <v>8</v>
      </c>
      <c r="O445" s="4" cm="1">
        <f t="array" ref="O4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1386.3762676441772</v>
      </c>
      <c r="P445" s="4" cm="1">
        <f t="array" ref="P4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1537.8958819808972</v>
      </c>
      <c r="Q445" s="4">
        <f>1/(1+10^(((Games[[#This Row],[OppPreGmRate]]+IF(Games[[#This Row],[HomeAway]]="A",HCA,0)+Games[[#This Row],[OppRestAdj]])-(Games[[#This Row],[PreGmRate]]+IF(Games[[#This Row],[HomeAway]]="H",HCA,0)+Games[[#This Row],[RestAdj]]))/400))</f>
        <v>0.38206853556185782</v>
      </c>
      <c r="R445" s="1">
        <v>73</v>
      </c>
      <c r="S445" s="1">
        <v>60</v>
      </c>
      <c r="T445" s="1">
        <v>0</v>
      </c>
      <c r="U445" s="16">
        <f>Games[[#This Row],[PointsFor]]-Games[[#This Row],[PointsAgainst]]</f>
        <v>13</v>
      </c>
      <c r="V445" s="16">
        <f>IF(Games[[#This Row],[MOV]]&gt;0,1,IF(Games[[#This Row],[MOV]]=0,0.5,0))</f>
        <v>1</v>
      </c>
      <c r="W445" s="4">
        <f>((ABS(Games[[#This Row],[MOV]])+5)^0.6)/(12+0.01*(ABS(Games[[#This Row],[PreGmRate]]-Games[[#This Row],[OppPreGmRate]])))*IF(Games[[#This Row],[OT]]=1,0.9,1)</f>
        <v>0.41912266811971999</v>
      </c>
      <c r="X445" s="7" cm="1">
        <f t="array" ref="X4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5" s="9">
        <f>MAX(kmin, kmax - 0.15 * MIN(Games[[#This Row],[GamesPlayed]], 82))</f>
        <v>71.8</v>
      </c>
      <c r="Z445" s="4">
        <f>Games[[#This Row],[K]]*Games[[#This Row],[POMult]]</f>
        <v>71.8</v>
      </c>
      <c r="AA445" s="4">
        <f>(Games[[#This Row],[Keff]]*Games[[#This Row],[MOVMult]])*(Games[[#This Row],[Result]]-Games[[#This Row],[ExpectedWin%]])</f>
        <v>18.595416237693591</v>
      </c>
      <c r="AB445" s="4">
        <f>Games[[#This Row],[PreGmRate]]+Games[[#This Row],[RatingChange]]</f>
        <v>1404.9716838818708</v>
      </c>
      <c r="AC445" s="2">
        <f>IF(Games[[#This Row],[Type]]="R",IF(Games[[#This Row],[Result]]&gt;0.5,1,0),0)</f>
        <v>1</v>
      </c>
      <c r="AD445" s="2">
        <f>IF(Games[[#This Row],[Type]]="R",IF(Games[[#This Row],[Result]]&lt;0.5,1,0),0)</f>
        <v>0</v>
      </c>
      <c r="AE445" s="2">
        <f>IF(AND(Games[[#This Row],[Type]]="P",Games[[#This Row],[Round]]=1),IF(Games[[#This Row],[Result]]&gt;0.5,1,0),0)</f>
        <v>0</v>
      </c>
      <c r="AF445" s="2">
        <f>IF(AND(Games[[#This Row],[Type]]="P",Games[[#This Row],[Round]]=1),IF(Games[[#This Row],[Result]]&lt;0.5,1,0),0)</f>
        <v>0</v>
      </c>
      <c r="AG445" s="2">
        <f>IF(AND(Games[[#This Row],[Type]]="P",Games[[#This Row],[Round]]=2),IF(Games[[#This Row],[Result]]&gt;0.5,1,0),0)</f>
        <v>0</v>
      </c>
      <c r="AH445" s="2">
        <f>IF(AND(Games[[#This Row],[Type]]="P",Games[[#This Row],[Round]]=2),IF(Games[[#This Row],[Result]]&lt;0.5,1,0),0)</f>
        <v>0</v>
      </c>
      <c r="AI445" s="2">
        <f>IF(AND(Games[[#This Row],[Type]]="P",Games[[#This Row],[Round]]=3),IF(Games[[#This Row],[Result]]&gt;0.5,1,0),0)</f>
        <v>0</v>
      </c>
      <c r="AJ445" s="2">
        <f>IF(AND(Games[[#This Row],[Type]]="P",Games[[#This Row],[Round]]=3),IF(Games[[#This Row],[Result]]&lt;0.5,1,0),0)</f>
        <v>0</v>
      </c>
      <c r="AK445" s="2">
        <f>IF(AND(Games[[#This Row],[Type]]="P",Games[[#This Row],[Round]]=4),IF(Games[[#This Row],[Result]]&gt;0.5,1,0),0)</f>
        <v>0</v>
      </c>
      <c r="AL445" s="2">
        <f>IF(AND(Games[[#This Row],[Type]]="P",Games[[#This Row],[Round]]=4),IF(Games[[#This Row],[Result]]&lt;0.5,1,0),0)</f>
        <v>0</v>
      </c>
    </row>
    <row r="446" spans="1:38" x14ac:dyDescent="0.35">
      <c r="A446" s="10">
        <v>37472</v>
      </c>
      <c r="B446" s="2">
        <v>2002</v>
      </c>
      <c r="C446" s="2">
        <f>COUNTIFS(Games[Team],Games[[#This Row],[Team]],Games[Season],Games[[#This Row],[Season]],Games[Date],"&lt;=" &amp; Games[[#This Row],[Date]])</f>
        <v>29</v>
      </c>
      <c r="D446" s="2" t="s">
        <v>23</v>
      </c>
      <c r="E446" s="2" t="s">
        <v>29</v>
      </c>
      <c r="F446" s="1" t="s">
        <v>89</v>
      </c>
      <c r="G446" s="1" t="s">
        <v>79</v>
      </c>
      <c r="H446" s="1" t="s">
        <v>16</v>
      </c>
      <c r="I446" s="2" cm="1">
        <f t="array" ref="I4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6" s="2" cm="1">
        <f t="array" ref="J4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46" s="2">
        <f>Games[[#This Row],[DaysOff]]-Games[[#This Row],[OppDaysOff]]</f>
        <v>1</v>
      </c>
      <c r="L446" s="2">
        <f>Games[[#This Row],[OppDaysOff]]-Games[[#This Row],[DaysOff]]</f>
        <v>-1</v>
      </c>
      <c r="M446" s="16">
        <f>MAX(-16, MIN(16, Games[[#This Row],[RestDiff]]*8))</f>
        <v>8</v>
      </c>
      <c r="N446" s="16">
        <f>MAX(-16, MIN(16, Games[[#This Row],[OppRestDiff]]*8))</f>
        <v>-8</v>
      </c>
      <c r="O446" s="4" cm="1">
        <f t="array" ref="O4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1527.7871614279923</v>
      </c>
      <c r="P446" s="4" cm="1">
        <f t="array" ref="P4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1489.060630258748</v>
      </c>
      <c r="Q446" s="4">
        <f>1/(1+10^(((Games[[#This Row],[OppPreGmRate]]+IF(Games[[#This Row],[HomeAway]]="A",HCA,0)+Games[[#This Row],[OppRestAdj]])-(Games[[#This Row],[PreGmRate]]+IF(Games[[#This Row],[HomeAway]]="H",HCA,0)+Games[[#This Row],[RestAdj]]))/400))</f>
        <v>0.45797149890888011</v>
      </c>
      <c r="R446" s="1">
        <v>61</v>
      </c>
      <c r="S446" s="1">
        <v>63</v>
      </c>
      <c r="T446" s="1">
        <v>0</v>
      </c>
      <c r="U446" s="16">
        <f>Games[[#This Row],[PointsFor]]-Games[[#This Row],[PointsAgainst]]</f>
        <v>-2</v>
      </c>
      <c r="V446" s="16">
        <f>IF(Games[[#This Row],[MOV]]&gt;0,1,IF(Games[[#This Row],[MOV]]=0,0.5,0))</f>
        <v>0</v>
      </c>
      <c r="W446" s="4">
        <f>((ABS(Games[[#This Row],[MOV]])+5)^0.6)/(12+0.01*(ABS(Games[[#This Row],[PreGmRate]]-Games[[#This Row],[OppPreGmRate]])))*IF(Games[[#This Row],[OT]]=1,0.9,1)</f>
        <v>0.2594677492442361</v>
      </c>
      <c r="X446" s="7" cm="1">
        <f t="array" ref="X4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6" s="9">
        <f>MAX(kmin, kmax - 0.15 * MIN(Games[[#This Row],[GamesPlayed]], 82))</f>
        <v>71.650000000000006</v>
      </c>
      <c r="Z446" s="4">
        <f>Games[[#This Row],[K]]*Games[[#This Row],[POMult]]</f>
        <v>71.650000000000006</v>
      </c>
      <c r="AA446" s="4">
        <f>(Games[[#This Row],[Keff]]*Games[[#This Row],[MOVMult]])*(Games[[#This Row],[Result]]-Games[[#This Row],[ExpectedWin%]])</f>
        <v>-8.5140859589585673</v>
      </c>
      <c r="AB446" s="4">
        <f>Games[[#This Row],[PreGmRate]]+Games[[#This Row],[RatingChange]]</f>
        <v>1519.2730754690338</v>
      </c>
      <c r="AC446" s="2">
        <f>IF(Games[[#This Row],[Type]]="R",IF(Games[[#This Row],[Result]]&gt;0.5,1,0),0)</f>
        <v>0</v>
      </c>
      <c r="AD446" s="2">
        <f>IF(Games[[#This Row],[Type]]="R",IF(Games[[#This Row],[Result]]&lt;0.5,1,0),0)</f>
        <v>1</v>
      </c>
      <c r="AE446" s="2">
        <f>IF(AND(Games[[#This Row],[Type]]="P",Games[[#This Row],[Round]]=1),IF(Games[[#This Row],[Result]]&gt;0.5,1,0),0)</f>
        <v>0</v>
      </c>
      <c r="AF446" s="2">
        <f>IF(AND(Games[[#This Row],[Type]]="P",Games[[#This Row],[Round]]=1),IF(Games[[#This Row],[Result]]&lt;0.5,1,0),0)</f>
        <v>0</v>
      </c>
      <c r="AG446" s="2">
        <f>IF(AND(Games[[#This Row],[Type]]="P",Games[[#This Row],[Round]]=2),IF(Games[[#This Row],[Result]]&gt;0.5,1,0),0)</f>
        <v>0</v>
      </c>
      <c r="AH446" s="2">
        <f>IF(AND(Games[[#This Row],[Type]]="P",Games[[#This Row],[Round]]=2),IF(Games[[#This Row],[Result]]&lt;0.5,1,0),0)</f>
        <v>0</v>
      </c>
      <c r="AI446" s="2">
        <f>IF(AND(Games[[#This Row],[Type]]="P",Games[[#This Row],[Round]]=3),IF(Games[[#This Row],[Result]]&gt;0.5,1,0),0)</f>
        <v>0</v>
      </c>
      <c r="AJ446" s="2">
        <f>IF(AND(Games[[#This Row],[Type]]="P",Games[[#This Row],[Round]]=3),IF(Games[[#This Row],[Result]]&lt;0.5,1,0),0)</f>
        <v>0</v>
      </c>
      <c r="AK446" s="2">
        <f>IF(AND(Games[[#This Row],[Type]]="P",Games[[#This Row],[Round]]=4),IF(Games[[#This Row],[Result]]&gt;0.5,1,0),0)</f>
        <v>0</v>
      </c>
      <c r="AL446" s="2">
        <f>IF(AND(Games[[#This Row],[Type]]="P",Games[[#This Row],[Round]]=4),IF(Games[[#This Row],[Result]]&lt;0.5,1,0),0)</f>
        <v>0</v>
      </c>
    </row>
    <row r="447" spans="1:38" x14ac:dyDescent="0.35">
      <c r="A447" s="10">
        <v>37472</v>
      </c>
      <c r="B447" s="2">
        <v>2002</v>
      </c>
      <c r="C447" s="2">
        <f>COUNTIFS(Games[Team],Games[[#This Row],[Team]],Games[Season],Games[[#This Row],[Season]],Games[Date],"&lt;=" &amp; Games[[#This Row],[Date]])</f>
        <v>28</v>
      </c>
      <c r="D447" s="2" t="s">
        <v>23</v>
      </c>
      <c r="E447" s="2" t="s">
        <v>29</v>
      </c>
      <c r="F447" s="1" t="s">
        <v>79</v>
      </c>
      <c r="G447" s="1" t="s">
        <v>89</v>
      </c>
      <c r="H447" s="1" t="s">
        <v>15</v>
      </c>
      <c r="I447" s="2" cm="1">
        <f t="array" ref="I4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47" s="2" cm="1">
        <f t="array" ref="J4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7" s="2">
        <f>Games[[#This Row],[DaysOff]]-Games[[#This Row],[OppDaysOff]]</f>
        <v>-1</v>
      </c>
      <c r="L447" s="2">
        <f>Games[[#This Row],[OppDaysOff]]-Games[[#This Row],[DaysOff]]</f>
        <v>1</v>
      </c>
      <c r="M447" s="16">
        <f>MAX(-16, MIN(16, Games[[#This Row],[RestDiff]]*8))</f>
        <v>-8</v>
      </c>
      <c r="N447" s="16">
        <f>MAX(-16, MIN(16, Games[[#This Row],[OppRestDiff]]*8))</f>
        <v>8</v>
      </c>
      <c r="O447" s="4" cm="1">
        <f t="array" ref="O4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1489.060630258748</v>
      </c>
      <c r="P447" s="4" cm="1">
        <f t="array" ref="P4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1527.7871614279923</v>
      </c>
      <c r="Q447" s="4">
        <f>1/(1+10^(((Games[[#This Row],[OppPreGmRate]]+IF(Games[[#This Row],[HomeAway]]="A",HCA,0)+Games[[#This Row],[OppRestAdj]])-(Games[[#This Row],[PreGmRate]]+IF(Games[[#This Row],[HomeAway]]="H",HCA,0)+Games[[#This Row],[RestAdj]]))/400))</f>
        <v>0.54202850109111989</v>
      </c>
      <c r="R447" s="1">
        <v>63</v>
      </c>
      <c r="S447" s="1">
        <v>61</v>
      </c>
      <c r="T447" s="1">
        <v>0</v>
      </c>
      <c r="U447" s="16">
        <f>Games[[#This Row],[PointsFor]]-Games[[#This Row],[PointsAgainst]]</f>
        <v>2</v>
      </c>
      <c r="V447" s="16">
        <f>IF(Games[[#This Row],[MOV]]&gt;0,1,IF(Games[[#This Row],[MOV]]=0,0.5,0))</f>
        <v>1</v>
      </c>
      <c r="W447" s="4">
        <f>((ABS(Games[[#This Row],[MOV]])+5)^0.6)/(12+0.01*(ABS(Games[[#This Row],[PreGmRate]]-Games[[#This Row],[OppPreGmRate]])))*IF(Games[[#This Row],[OT]]=1,0.9,1)</f>
        <v>0.2594677492442361</v>
      </c>
      <c r="X447" s="7" cm="1">
        <f t="array" ref="X4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7" s="9">
        <f>MAX(kmin, kmax - 0.15 * MIN(Games[[#This Row],[GamesPlayed]], 82))</f>
        <v>71.8</v>
      </c>
      <c r="Z447" s="4">
        <f>Games[[#This Row],[K]]*Games[[#This Row],[POMult]]</f>
        <v>71.8</v>
      </c>
      <c r="AA447" s="4">
        <f>(Games[[#This Row],[Keff]]*Games[[#This Row],[MOVMult]])*(Games[[#This Row],[Result]]-Games[[#This Row],[ExpectedWin%]])</f>
        <v>8.5319102840645513</v>
      </c>
      <c r="AB447" s="4">
        <f>Games[[#This Row],[PreGmRate]]+Games[[#This Row],[RatingChange]]</f>
        <v>1497.5925405428125</v>
      </c>
      <c r="AC447" s="2">
        <f>IF(Games[[#This Row],[Type]]="R",IF(Games[[#This Row],[Result]]&gt;0.5,1,0),0)</f>
        <v>1</v>
      </c>
      <c r="AD447" s="2">
        <f>IF(Games[[#This Row],[Type]]="R",IF(Games[[#This Row],[Result]]&lt;0.5,1,0),0)</f>
        <v>0</v>
      </c>
      <c r="AE447" s="2">
        <f>IF(AND(Games[[#This Row],[Type]]="P",Games[[#This Row],[Round]]=1),IF(Games[[#This Row],[Result]]&gt;0.5,1,0),0)</f>
        <v>0</v>
      </c>
      <c r="AF447" s="2">
        <f>IF(AND(Games[[#This Row],[Type]]="P",Games[[#This Row],[Round]]=1),IF(Games[[#This Row],[Result]]&lt;0.5,1,0),0)</f>
        <v>0</v>
      </c>
      <c r="AG447" s="2">
        <f>IF(AND(Games[[#This Row],[Type]]="P",Games[[#This Row],[Round]]=2),IF(Games[[#This Row],[Result]]&gt;0.5,1,0),0)</f>
        <v>0</v>
      </c>
      <c r="AH447" s="2">
        <f>IF(AND(Games[[#This Row],[Type]]="P",Games[[#This Row],[Round]]=2),IF(Games[[#This Row],[Result]]&lt;0.5,1,0),0)</f>
        <v>0</v>
      </c>
      <c r="AI447" s="2">
        <f>IF(AND(Games[[#This Row],[Type]]="P",Games[[#This Row],[Round]]=3),IF(Games[[#This Row],[Result]]&gt;0.5,1,0),0)</f>
        <v>0</v>
      </c>
      <c r="AJ447" s="2">
        <f>IF(AND(Games[[#This Row],[Type]]="P",Games[[#This Row],[Round]]=3),IF(Games[[#This Row],[Result]]&lt;0.5,1,0),0)</f>
        <v>0</v>
      </c>
      <c r="AK447" s="2">
        <f>IF(AND(Games[[#This Row],[Type]]="P",Games[[#This Row],[Round]]=4),IF(Games[[#This Row],[Result]]&gt;0.5,1,0),0)</f>
        <v>0</v>
      </c>
      <c r="AL447" s="2">
        <f>IF(AND(Games[[#This Row],[Type]]="P",Games[[#This Row],[Round]]=4),IF(Games[[#This Row],[Result]]&lt;0.5,1,0),0)</f>
        <v>0</v>
      </c>
    </row>
    <row r="448" spans="1:38" x14ac:dyDescent="0.35">
      <c r="A448" s="10">
        <v>37474</v>
      </c>
      <c r="B448" s="2">
        <v>2002</v>
      </c>
      <c r="C448" s="2">
        <f>COUNTIFS(Games[Team],Games[[#This Row],[Team]],Games[Season],Games[[#This Row],[Season]],Games[Date],"&lt;=" &amp; Games[[#This Row],[Date]])</f>
        <v>29</v>
      </c>
      <c r="D448" s="2" t="s">
        <v>23</v>
      </c>
      <c r="E448" s="2" t="s">
        <v>29</v>
      </c>
      <c r="F448" s="1" t="s">
        <v>64</v>
      </c>
      <c r="G448" s="1" t="s">
        <v>77</v>
      </c>
      <c r="H448" s="1" t="s">
        <v>16</v>
      </c>
      <c r="I448" s="2" cm="1">
        <f t="array" ref="I4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8" s="2" cm="1">
        <f t="array" ref="J4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8" s="2">
        <f>Games[[#This Row],[DaysOff]]-Games[[#This Row],[OppDaysOff]]</f>
        <v>0</v>
      </c>
      <c r="L448" s="2">
        <f>Games[[#This Row],[OppDaysOff]]-Games[[#This Row],[DaysOff]]</f>
        <v>0</v>
      </c>
      <c r="M448" s="16">
        <f>MAX(-16, MIN(16, Games[[#This Row],[RestDiff]]*8))</f>
        <v>0</v>
      </c>
      <c r="N448" s="16">
        <f>MAX(-16, MIN(16, Games[[#This Row],[OppRestDiff]]*8))</f>
        <v>0</v>
      </c>
      <c r="O448" s="4" cm="1">
        <f t="array" ref="O4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1492.9197430389629</v>
      </c>
      <c r="P448" s="4" cm="1">
        <f t="array" ref="P4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1403.237137308806</v>
      </c>
      <c r="Q448" s="4">
        <f>1/(1+10^(((Games[[#This Row],[OppPreGmRate]]+IF(Games[[#This Row],[HomeAway]]="A",HCA,0)+Games[[#This Row],[OppRestAdj]])-(Games[[#This Row],[PreGmRate]]+IF(Games[[#This Row],[HomeAway]]="H",HCA,0)+Games[[#This Row],[RestAdj]]))/400))</f>
        <v>0.50817719786873461</v>
      </c>
      <c r="R448" s="1">
        <v>76</v>
      </c>
      <c r="S448" s="1">
        <v>65</v>
      </c>
      <c r="T448" s="1">
        <v>0</v>
      </c>
      <c r="U448" s="16">
        <f>Games[[#This Row],[PointsFor]]-Games[[#This Row],[PointsAgainst]]</f>
        <v>11</v>
      </c>
      <c r="V448" s="16">
        <f>IF(Games[[#This Row],[MOV]]&gt;0,1,IF(Games[[#This Row],[MOV]]=0,0.5,0))</f>
        <v>1</v>
      </c>
      <c r="W448" s="4">
        <f>((ABS(Games[[#This Row],[MOV]])+5)^0.6)/(12+0.01*(ABS(Games[[#This Row],[PreGmRate]]-Games[[#This Row],[OppPreGmRate]])))*IF(Games[[#This Row],[OT]]=1,0.9,1)</f>
        <v>0.40925043259798072</v>
      </c>
      <c r="X448" s="7" cm="1">
        <f t="array" ref="X4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8" s="9">
        <f>MAX(kmin, kmax - 0.15 * MIN(Games[[#This Row],[GamesPlayed]], 82))</f>
        <v>71.650000000000006</v>
      </c>
      <c r="Z448" s="4">
        <f>Games[[#This Row],[K]]*Games[[#This Row],[POMult]]</f>
        <v>71.650000000000006</v>
      </c>
      <c r="AA448" s="4">
        <f>(Games[[#This Row],[Keff]]*Games[[#This Row],[MOVMult]])*(Games[[#This Row],[Result]]-Games[[#This Row],[ExpectedWin%]])</f>
        <v>14.421618463344725</v>
      </c>
      <c r="AB448" s="4">
        <f>Games[[#This Row],[PreGmRate]]+Games[[#This Row],[RatingChange]]</f>
        <v>1507.3413615023076</v>
      </c>
      <c r="AC448" s="2">
        <f>IF(Games[[#This Row],[Type]]="R",IF(Games[[#This Row],[Result]]&gt;0.5,1,0),0)</f>
        <v>1</v>
      </c>
      <c r="AD448" s="2">
        <f>IF(Games[[#This Row],[Type]]="R",IF(Games[[#This Row],[Result]]&lt;0.5,1,0),0)</f>
        <v>0</v>
      </c>
      <c r="AE448" s="2">
        <f>IF(AND(Games[[#This Row],[Type]]="P",Games[[#This Row],[Round]]=1),IF(Games[[#This Row],[Result]]&gt;0.5,1,0),0)</f>
        <v>0</v>
      </c>
      <c r="AF448" s="2">
        <f>IF(AND(Games[[#This Row],[Type]]="P",Games[[#This Row],[Round]]=1),IF(Games[[#This Row],[Result]]&lt;0.5,1,0),0)</f>
        <v>0</v>
      </c>
      <c r="AG448" s="2">
        <f>IF(AND(Games[[#This Row],[Type]]="P",Games[[#This Row],[Round]]=2),IF(Games[[#This Row],[Result]]&gt;0.5,1,0),0)</f>
        <v>0</v>
      </c>
      <c r="AH448" s="2">
        <f>IF(AND(Games[[#This Row],[Type]]="P",Games[[#This Row],[Round]]=2),IF(Games[[#This Row],[Result]]&lt;0.5,1,0),0)</f>
        <v>0</v>
      </c>
      <c r="AI448" s="2">
        <f>IF(AND(Games[[#This Row],[Type]]="P",Games[[#This Row],[Round]]=3),IF(Games[[#This Row],[Result]]&gt;0.5,1,0),0)</f>
        <v>0</v>
      </c>
      <c r="AJ448" s="2">
        <f>IF(AND(Games[[#This Row],[Type]]="P",Games[[#This Row],[Round]]=3),IF(Games[[#This Row],[Result]]&lt;0.5,1,0),0)</f>
        <v>0</v>
      </c>
      <c r="AK448" s="2">
        <f>IF(AND(Games[[#This Row],[Type]]="P",Games[[#This Row],[Round]]=4),IF(Games[[#This Row],[Result]]&gt;0.5,1,0),0)</f>
        <v>0</v>
      </c>
      <c r="AL448" s="2">
        <f>IF(AND(Games[[#This Row],[Type]]="P",Games[[#This Row],[Round]]=4),IF(Games[[#This Row],[Result]]&lt;0.5,1,0),0)</f>
        <v>0</v>
      </c>
    </row>
    <row r="449" spans="1:38" x14ac:dyDescent="0.35">
      <c r="A449" s="10">
        <v>37474</v>
      </c>
      <c r="B449" s="2">
        <v>2002</v>
      </c>
      <c r="C449" s="2">
        <f>COUNTIFS(Games[Team],Games[[#This Row],[Team]],Games[Season],Games[[#This Row],[Season]],Games[Date],"&lt;=" &amp; Games[[#This Row],[Date]])</f>
        <v>29</v>
      </c>
      <c r="D449" s="2" t="s">
        <v>23</v>
      </c>
      <c r="E449" s="2" t="s">
        <v>29</v>
      </c>
      <c r="F449" s="1" t="s">
        <v>77</v>
      </c>
      <c r="G449" s="1" t="s">
        <v>64</v>
      </c>
      <c r="H449" s="1" t="s">
        <v>15</v>
      </c>
      <c r="I449" s="2" cm="1">
        <f t="array" ref="I4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9" s="2" cm="1">
        <f t="array" ref="J4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9" s="2">
        <f>Games[[#This Row],[DaysOff]]-Games[[#This Row],[OppDaysOff]]</f>
        <v>0</v>
      </c>
      <c r="L449" s="2">
        <f>Games[[#This Row],[OppDaysOff]]-Games[[#This Row],[DaysOff]]</f>
        <v>0</v>
      </c>
      <c r="M449" s="16">
        <f>MAX(-16, MIN(16, Games[[#This Row],[RestDiff]]*8))</f>
        <v>0</v>
      </c>
      <c r="N449" s="16">
        <f>MAX(-16, MIN(16, Games[[#This Row],[OppRestDiff]]*8))</f>
        <v>0</v>
      </c>
      <c r="O449" s="4" cm="1">
        <f t="array" ref="O4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1403.237137308806</v>
      </c>
      <c r="P449" s="4" cm="1">
        <f t="array" ref="P4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1492.9197430389629</v>
      </c>
      <c r="Q449" s="4">
        <f>1/(1+10^(((Games[[#This Row],[OppPreGmRate]]+IF(Games[[#This Row],[HomeAway]]="A",HCA,0)+Games[[#This Row],[OppRestAdj]])-(Games[[#This Row],[PreGmRate]]+IF(Games[[#This Row],[HomeAway]]="H",HCA,0)+Games[[#This Row],[RestAdj]]))/400))</f>
        <v>0.49182280213126539</v>
      </c>
      <c r="R449" s="1">
        <v>65</v>
      </c>
      <c r="S449" s="1">
        <v>76</v>
      </c>
      <c r="T449" s="1">
        <v>0</v>
      </c>
      <c r="U449" s="16">
        <f>Games[[#This Row],[PointsFor]]-Games[[#This Row],[PointsAgainst]]</f>
        <v>-11</v>
      </c>
      <c r="V449" s="16">
        <f>IF(Games[[#This Row],[MOV]]&gt;0,1,IF(Games[[#This Row],[MOV]]=0,0.5,0))</f>
        <v>0</v>
      </c>
      <c r="W449" s="4">
        <f>((ABS(Games[[#This Row],[MOV]])+5)^0.6)/(12+0.01*(ABS(Games[[#This Row],[PreGmRate]]-Games[[#This Row],[OppPreGmRate]])))*IF(Games[[#This Row],[OT]]=1,0.9,1)</f>
        <v>0.40925043259798072</v>
      </c>
      <c r="X449" s="7" cm="1">
        <f t="array" ref="X4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9" s="9">
        <f>MAX(kmin, kmax - 0.15 * MIN(Games[[#This Row],[GamesPlayed]], 82))</f>
        <v>71.650000000000006</v>
      </c>
      <c r="Z449" s="4">
        <f>Games[[#This Row],[K]]*Games[[#This Row],[POMult]]</f>
        <v>71.650000000000006</v>
      </c>
      <c r="AA449" s="4">
        <f>(Games[[#This Row],[Keff]]*Games[[#This Row],[MOVMult]])*(Games[[#This Row],[Result]]-Games[[#This Row],[ExpectedWin%]])</f>
        <v>-14.421618463344725</v>
      </c>
      <c r="AB449" s="4">
        <f>Games[[#This Row],[PreGmRate]]+Games[[#This Row],[RatingChange]]</f>
        <v>1388.8155188454614</v>
      </c>
      <c r="AC449" s="2">
        <f>IF(Games[[#This Row],[Type]]="R",IF(Games[[#This Row],[Result]]&gt;0.5,1,0),0)</f>
        <v>0</v>
      </c>
      <c r="AD449" s="2">
        <f>IF(Games[[#This Row],[Type]]="R",IF(Games[[#This Row],[Result]]&lt;0.5,1,0),0)</f>
        <v>1</v>
      </c>
      <c r="AE449" s="2">
        <f>IF(AND(Games[[#This Row],[Type]]="P",Games[[#This Row],[Round]]=1),IF(Games[[#This Row],[Result]]&gt;0.5,1,0),0)</f>
        <v>0</v>
      </c>
      <c r="AF449" s="2">
        <f>IF(AND(Games[[#This Row],[Type]]="P",Games[[#This Row],[Round]]=1),IF(Games[[#This Row],[Result]]&lt;0.5,1,0),0)</f>
        <v>0</v>
      </c>
      <c r="AG449" s="2">
        <f>IF(AND(Games[[#This Row],[Type]]="P",Games[[#This Row],[Round]]=2),IF(Games[[#This Row],[Result]]&gt;0.5,1,0),0)</f>
        <v>0</v>
      </c>
      <c r="AH449" s="2">
        <f>IF(AND(Games[[#This Row],[Type]]="P",Games[[#This Row],[Round]]=2),IF(Games[[#This Row],[Result]]&lt;0.5,1,0),0)</f>
        <v>0</v>
      </c>
      <c r="AI449" s="2">
        <f>IF(AND(Games[[#This Row],[Type]]="P",Games[[#This Row],[Round]]=3),IF(Games[[#This Row],[Result]]&gt;0.5,1,0),0)</f>
        <v>0</v>
      </c>
      <c r="AJ449" s="2">
        <f>IF(AND(Games[[#This Row],[Type]]="P",Games[[#This Row],[Round]]=3),IF(Games[[#This Row],[Result]]&lt;0.5,1,0),0)</f>
        <v>0</v>
      </c>
      <c r="AK449" s="2">
        <f>IF(AND(Games[[#This Row],[Type]]="P",Games[[#This Row],[Round]]=4),IF(Games[[#This Row],[Result]]&gt;0.5,1,0),0)</f>
        <v>0</v>
      </c>
      <c r="AL449" s="2">
        <f>IF(AND(Games[[#This Row],[Type]]="P",Games[[#This Row],[Round]]=4),IF(Games[[#This Row],[Result]]&lt;0.5,1,0),0)</f>
        <v>0</v>
      </c>
    </row>
    <row r="450" spans="1:38" x14ac:dyDescent="0.35">
      <c r="A450" s="10">
        <v>37474</v>
      </c>
      <c r="B450" s="2">
        <v>2002</v>
      </c>
      <c r="C450" s="2">
        <f>COUNTIFS(Games[Team],Games[[#This Row],[Team]],Games[Season],Games[[#This Row],[Season]],Games[Date],"&lt;=" &amp; Games[[#This Row],[Date]])</f>
        <v>28</v>
      </c>
      <c r="D450" s="2" t="s">
        <v>23</v>
      </c>
      <c r="E450" s="2" t="s">
        <v>29</v>
      </c>
      <c r="F450" s="1" t="s">
        <v>1</v>
      </c>
      <c r="G450" s="1" t="s">
        <v>2</v>
      </c>
      <c r="H450" s="1" t="s">
        <v>16</v>
      </c>
      <c r="I450" s="2" cm="1">
        <f t="array" ref="I45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0" s="2" cm="1">
        <f t="array" ref="J4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0" s="2">
        <f>Games[[#This Row],[DaysOff]]-Games[[#This Row],[OppDaysOff]]</f>
        <v>0</v>
      </c>
      <c r="L450" s="2">
        <f>Games[[#This Row],[OppDaysOff]]-Games[[#This Row],[DaysOff]]</f>
        <v>0</v>
      </c>
      <c r="M450" s="16">
        <f>MAX(-16, MIN(16, Games[[#This Row],[RestDiff]]*8))</f>
        <v>0</v>
      </c>
      <c r="N450" s="16">
        <f>MAX(-16, MIN(16, Games[[#This Row],[OppRestDiff]]*8))</f>
        <v>0</v>
      </c>
      <c r="O450" s="4" cm="1">
        <f t="array" ref="O4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1449.2465861575661</v>
      </c>
      <c r="P450" s="4" cm="1">
        <f t="array" ref="P4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1645.5534292341861</v>
      </c>
      <c r="Q450" s="4">
        <f>1/(1+10^(((Games[[#This Row],[OppPreGmRate]]+IF(Games[[#This Row],[HomeAway]]="A",HCA,0)+Games[[#This Row],[OppRestAdj]])-(Games[[#This Row],[PreGmRate]]+IF(Games[[#This Row],[HomeAway]]="H",HCA,0)+Games[[#This Row],[RestAdj]]))/400))</f>
        <v>0.16609273920346102</v>
      </c>
      <c r="R450" s="1">
        <v>54</v>
      </c>
      <c r="S450" s="1">
        <v>67</v>
      </c>
      <c r="T450" s="1">
        <v>0</v>
      </c>
      <c r="U450" s="16">
        <f>Games[[#This Row],[PointsFor]]-Games[[#This Row],[PointsAgainst]]</f>
        <v>-13</v>
      </c>
      <c r="V450" s="16">
        <f>IF(Games[[#This Row],[MOV]]&gt;0,1,IF(Games[[#This Row],[MOV]]=0,0.5,0))</f>
        <v>0</v>
      </c>
      <c r="W450" s="4">
        <f>((ABS(Games[[#This Row],[MOV]])+5)^0.6)/(12+0.01*(ABS(Games[[#This Row],[PreGmRate]]-Games[[#This Row],[OppPreGmRate]])))*IF(Games[[#This Row],[OT]]=1,0.9,1)</f>
        <v>0.40567910240189087</v>
      </c>
      <c r="X450" s="7" cm="1">
        <f t="array" ref="X4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0" s="9">
        <f>MAX(kmin, kmax - 0.15 * MIN(Games[[#This Row],[GamesPlayed]], 82))</f>
        <v>71.8</v>
      </c>
      <c r="Z450" s="4">
        <f>Games[[#This Row],[K]]*Games[[#This Row],[POMult]]</f>
        <v>71.8</v>
      </c>
      <c r="AA450" s="4">
        <f>(Games[[#This Row],[Keff]]*Games[[#This Row],[MOVMult]])*(Games[[#This Row],[Result]]-Games[[#This Row],[ExpectedWin%]])</f>
        <v>-4.8379093709271555</v>
      </c>
      <c r="AB450" s="4">
        <f>Games[[#This Row],[PreGmRate]]+Games[[#This Row],[RatingChange]]</f>
        <v>1444.4086767866388</v>
      </c>
      <c r="AC450" s="2">
        <f>IF(Games[[#This Row],[Type]]="R",IF(Games[[#This Row],[Result]]&gt;0.5,1,0),0)</f>
        <v>0</v>
      </c>
      <c r="AD450" s="2">
        <f>IF(Games[[#This Row],[Type]]="R",IF(Games[[#This Row],[Result]]&lt;0.5,1,0),0)</f>
        <v>1</v>
      </c>
      <c r="AE450" s="2">
        <f>IF(AND(Games[[#This Row],[Type]]="P",Games[[#This Row],[Round]]=1),IF(Games[[#This Row],[Result]]&gt;0.5,1,0),0)</f>
        <v>0</v>
      </c>
      <c r="AF450" s="2">
        <f>IF(AND(Games[[#This Row],[Type]]="P",Games[[#This Row],[Round]]=1),IF(Games[[#This Row],[Result]]&lt;0.5,1,0),0)</f>
        <v>0</v>
      </c>
      <c r="AG450" s="2">
        <f>IF(AND(Games[[#This Row],[Type]]="P",Games[[#This Row],[Round]]=2),IF(Games[[#This Row],[Result]]&gt;0.5,1,0),0)</f>
        <v>0</v>
      </c>
      <c r="AH450" s="2">
        <f>IF(AND(Games[[#This Row],[Type]]="P",Games[[#This Row],[Round]]=2),IF(Games[[#This Row],[Result]]&lt;0.5,1,0),0)</f>
        <v>0</v>
      </c>
      <c r="AI450" s="2">
        <f>IF(AND(Games[[#This Row],[Type]]="P",Games[[#This Row],[Round]]=3),IF(Games[[#This Row],[Result]]&gt;0.5,1,0),0)</f>
        <v>0</v>
      </c>
      <c r="AJ450" s="2">
        <f>IF(AND(Games[[#This Row],[Type]]="P",Games[[#This Row],[Round]]=3),IF(Games[[#This Row],[Result]]&lt;0.5,1,0),0)</f>
        <v>0</v>
      </c>
      <c r="AK450" s="2">
        <f>IF(AND(Games[[#This Row],[Type]]="P",Games[[#This Row],[Round]]=4),IF(Games[[#This Row],[Result]]&gt;0.5,1,0),0)</f>
        <v>0</v>
      </c>
      <c r="AL450" s="2">
        <f>IF(AND(Games[[#This Row],[Type]]="P",Games[[#This Row],[Round]]=4),IF(Games[[#This Row],[Result]]&lt;0.5,1,0),0)</f>
        <v>0</v>
      </c>
    </row>
    <row r="451" spans="1:38" x14ac:dyDescent="0.35">
      <c r="A451" s="10">
        <v>37474</v>
      </c>
      <c r="B451" s="2">
        <v>2002</v>
      </c>
      <c r="C451" s="2">
        <f>COUNTIFS(Games[Team],Games[[#This Row],[Team]],Games[Season],Games[[#This Row],[Season]],Games[Date],"&lt;=" &amp; Games[[#This Row],[Date]])</f>
        <v>29</v>
      </c>
      <c r="D451" s="2" t="s">
        <v>23</v>
      </c>
      <c r="E451" s="2" t="s">
        <v>29</v>
      </c>
      <c r="F451" s="1" t="s">
        <v>2</v>
      </c>
      <c r="G451" s="1" t="s">
        <v>1</v>
      </c>
      <c r="H451" s="1" t="s">
        <v>15</v>
      </c>
      <c r="I451" s="2" cm="1">
        <f t="array" ref="I4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1" s="2" cm="1">
        <f t="array" ref="J45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1" s="2">
        <f>Games[[#This Row],[DaysOff]]-Games[[#This Row],[OppDaysOff]]</f>
        <v>0</v>
      </c>
      <c r="L451" s="2">
        <f>Games[[#This Row],[OppDaysOff]]-Games[[#This Row],[DaysOff]]</f>
        <v>0</v>
      </c>
      <c r="M451" s="16">
        <f>MAX(-16, MIN(16, Games[[#This Row],[RestDiff]]*8))</f>
        <v>0</v>
      </c>
      <c r="N451" s="16">
        <f>MAX(-16, MIN(16, Games[[#This Row],[OppRestDiff]]*8))</f>
        <v>0</v>
      </c>
      <c r="O451" s="4" cm="1">
        <f t="array" ref="O4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1645.5534292341861</v>
      </c>
      <c r="P451" s="4" cm="1">
        <f t="array" ref="P4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1449.2465861575661</v>
      </c>
      <c r="Q451" s="4">
        <f>1/(1+10^(((Games[[#This Row],[OppPreGmRate]]+IF(Games[[#This Row],[HomeAway]]="A",HCA,0)+Games[[#This Row],[OppRestAdj]])-(Games[[#This Row],[PreGmRate]]+IF(Games[[#This Row],[HomeAway]]="H",HCA,0)+Games[[#This Row],[RestAdj]]))/400))</f>
        <v>0.83390726079653898</v>
      </c>
      <c r="R451" s="1">
        <v>67</v>
      </c>
      <c r="S451" s="1">
        <v>54</v>
      </c>
      <c r="T451" s="1">
        <v>0</v>
      </c>
      <c r="U451" s="16">
        <f>Games[[#This Row],[PointsFor]]-Games[[#This Row],[PointsAgainst]]</f>
        <v>13</v>
      </c>
      <c r="V451" s="16">
        <f>IF(Games[[#This Row],[MOV]]&gt;0,1,IF(Games[[#This Row],[MOV]]=0,0.5,0))</f>
        <v>1</v>
      </c>
      <c r="W451" s="4">
        <f>((ABS(Games[[#This Row],[MOV]])+5)^0.6)/(12+0.01*(ABS(Games[[#This Row],[PreGmRate]]-Games[[#This Row],[OppPreGmRate]])))*IF(Games[[#This Row],[OT]]=1,0.9,1)</f>
        <v>0.40567910240189087</v>
      </c>
      <c r="X451" s="7" cm="1">
        <f t="array" ref="X4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1" s="9">
        <f>MAX(kmin, kmax - 0.15 * MIN(Games[[#This Row],[GamesPlayed]], 82))</f>
        <v>71.650000000000006</v>
      </c>
      <c r="Z451" s="4">
        <f>Games[[#This Row],[K]]*Games[[#This Row],[POMult]]</f>
        <v>71.650000000000006</v>
      </c>
      <c r="AA451" s="4">
        <f>(Games[[#This Row],[Keff]]*Games[[#This Row],[MOVMult]])*(Games[[#This Row],[Result]]-Games[[#This Row],[ExpectedWin%]])</f>
        <v>4.8278023179238261</v>
      </c>
      <c r="AB451" s="4">
        <f>Games[[#This Row],[PreGmRate]]+Games[[#This Row],[RatingChange]]</f>
        <v>1650.38123155211</v>
      </c>
      <c r="AC451" s="2">
        <f>IF(Games[[#This Row],[Type]]="R",IF(Games[[#This Row],[Result]]&gt;0.5,1,0),0)</f>
        <v>1</v>
      </c>
      <c r="AD451" s="2">
        <f>IF(Games[[#This Row],[Type]]="R",IF(Games[[#This Row],[Result]]&lt;0.5,1,0),0)</f>
        <v>0</v>
      </c>
      <c r="AE451" s="2">
        <f>IF(AND(Games[[#This Row],[Type]]="P",Games[[#This Row],[Round]]=1),IF(Games[[#This Row],[Result]]&gt;0.5,1,0),0)</f>
        <v>0</v>
      </c>
      <c r="AF451" s="2">
        <f>IF(AND(Games[[#This Row],[Type]]="P",Games[[#This Row],[Round]]=1),IF(Games[[#This Row],[Result]]&lt;0.5,1,0),0)</f>
        <v>0</v>
      </c>
      <c r="AG451" s="2">
        <f>IF(AND(Games[[#This Row],[Type]]="P",Games[[#This Row],[Round]]=2),IF(Games[[#This Row],[Result]]&gt;0.5,1,0),0)</f>
        <v>0</v>
      </c>
      <c r="AH451" s="2">
        <f>IF(AND(Games[[#This Row],[Type]]="P",Games[[#This Row],[Round]]=2),IF(Games[[#This Row],[Result]]&lt;0.5,1,0),0)</f>
        <v>0</v>
      </c>
      <c r="AI451" s="2">
        <f>IF(AND(Games[[#This Row],[Type]]="P",Games[[#This Row],[Round]]=3),IF(Games[[#This Row],[Result]]&gt;0.5,1,0),0)</f>
        <v>0</v>
      </c>
      <c r="AJ451" s="2">
        <f>IF(AND(Games[[#This Row],[Type]]="P",Games[[#This Row],[Round]]=3),IF(Games[[#This Row],[Result]]&lt;0.5,1,0),0)</f>
        <v>0</v>
      </c>
      <c r="AK451" s="2">
        <f>IF(AND(Games[[#This Row],[Type]]="P",Games[[#This Row],[Round]]=4),IF(Games[[#This Row],[Result]]&gt;0.5,1,0),0)</f>
        <v>0</v>
      </c>
      <c r="AL451" s="2">
        <f>IF(AND(Games[[#This Row],[Type]]="P",Games[[#This Row],[Round]]=4),IF(Games[[#This Row],[Result]]&lt;0.5,1,0),0)</f>
        <v>0</v>
      </c>
    </row>
    <row r="452" spans="1:38" x14ac:dyDescent="0.35">
      <c r="A452" s="10">
        <v>37474</v>
      </c>
      <c r="B452" s="2">
        <v>2002</v>
      </c>
      <c r="C452" s="2">
        <f>COUNTIFS(Games[Team],Games[[#This Row],[Team]],Games[Season],Games[[#This Row],[Season]],Games[Date],"&lt;=" &amp; Games[[#This Row],[Date]])</f>
        <v>29</v>
      </c>
      <c r="D452" s="2" t="s">
        <v>23</v>
      </c>
      <c r="E452" s="2" t="s">
        <v>29</v>
      </c>
      <c r="F452" s="1" t="s">
        <v>80</v>
      </c>
      <c r="G452" s="1" t="s">
        <v>66</v>
      </c>
      <c r="H452" s="1" t="s">
        <v>16</v>
      </c>
      <c r="I452" s="2" cm="1">
        <f t="array" ref="I4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2" s="2" cm="1">
        <f t="array" ref="J4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2" s="2">
        <f>Games[[#This Row],[DaysOff]]-Games[[#This Row],[OppDaysOff]]</f>
        <v>0</v>
      </c>
      <c r="L452" s="2">
        <f>Games[[#This Row],[OppDaysOff]]-Games[[#This Row],[DaysOff]]</f>
        <v>0</v>
      </c>
      <c r="M452" s="16">
        <f>MAX(-16, MIN(16, Games[[#This Row],[RestDiff]]*8))</f>
        <v>0</v>
      </c>
      <c r="N452" s="16">
        <f>MAX(-16, MIN(16, Games[[#This Row],[OppRestDiff]]*8))</f>
        <v>0</v>
      </c>
      <c r="O452" s="4" cm="1">
        <f t="array" ref="O4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1404.9716838818708</v>
      </c>
      <c r="P452" s="4" cm="1">
        <f t="array" ref="P4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1591.964295811548</v>
      </c>
      <c r="Q452" s="4">
        <f>1/(1+10^(((Games[[#This Row],[OppPreGmRate]]+IF(Games[[#This Row],[HomeAway]]="A",HCA,0)+Games[[#This Row],[OppRestAdj]])-(Games[[#This Row],[PreGmRate]]+IF(Games[[#This Row],[HomeAway]]="H",HCA,0)+Games[[#This Row],[RestAdj]]))/400))</f>
        <v>0.17365254879142161</v>
      </c>
      <c r="R452" s="1">
        <v>52</v>
      </c>
      <c r="S452" s="1">
        <v>49</v>
      </c>
      <c r="T452" s="1">
        <v>0</v>
      </c>
      <c r="U452" s="16">
        <f>Games[[#This Row],[PointsFor]]-Games[[#This Row],[PointsAgainst]]</f>
        <v>3</v>
      </c>
      <c r="V452" s="16">
        <f>IF(Games[[#This Row],[MOV]]&gt;0,1,IF(Games[[#This Row],[MOV]]=0,0.5,0))</f>
        <v>1</v>
      </c>
      <c r="W452" s="4">
        <f>((ABS(Games[[#This Row],[MOV]])+5)^0.6)/(12+0.01*(ABS(Games[[#This Row],[PreGmRate]]-Games[[#This Row],[OppPreGmRate]])))*IF(Games[[#This Row],[OT]]=1,0.9,1)</f>
        <v>0.25106134115161749</v>
      </c>
      <c r="X452" s="7" cm="1">
        <f t="array" ref="X4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2" s="9">
        <f>MAX(kmin, kmax - 0.15 * MIN(Games[[#This Row],[GamesPlayed]], 82))</f>
        <v>71.650000000000006</v>
      </c>
      <c r="Z452" s="4">
        <f>Games[[#This Row],[K]]*Games[[#This Row],[POMult]]</f>
        <v>71.650000000000006</v>
      </c>
      <c r="AA452" s="4">
        <f>(Games[[#This Row],[Keff]]*Games[[#This Row],[MOVMult]])*(Games[[#This Row],[Result]]-Games[[#This Row],[ExpectedWin%]])</f>
        <v>14.864788388975374</v>
      </c>
      <c r="AB452" s="4">
        <f>Games[[#This Row],[PreGmRate]]+Games[[#This Row],[RatingChange]]</f>
        <v>1419.8364722708461</v>
      </c>
      <c r="AC452" s="2">
        <f>IF(Games[[#This Row],[Type]]="R",IF(Games[[#This Row],[Result]]&gt;0.5,1,0),0)</f>
        <v>1</v>
      </c>
      <c r="AD452" s="2">
        <f>IF(Games[[#This Row],[Type]]="R",IF(Games[[#This Row],[Result]]&lt;0.5,1,0),0)</f>
        <v>0</v>
      </c>
      <c r="AE452" s="2">
        <f>IF(AND(Games[[#This Row],[Type]]="P",Games[[#This Row],[Round]]=1),IF(Games[[#This Row],[Result]]&gt;0.5,1,0),0)</f>
        <v>0</v>
      </c>
      <c r="AF452" s="2">
        <f>IF(AND(Games[[#This Row],[Type]]="P",Games[[#This Row],[Round]]=1),IF(Games[[#This Row],[Result]]&lt;0.5,1,0),0)</f>
        <v>0</v>
      </c>
      <c r="AG452" s="2">
        <f>IF(AND(Games[[#This Row],[Type]]="P",Games[[#This Row],[Round]]=2),IF(Games[[#This Row],[Result]]&gt;0.5,1,0),0)</f>
        <v>0</v>
      </c>
      <c r="AH452" s="2">
        <f>IF(AND(Games[[#This Row],[Type]]="P",Games[[#This Row],[Round]]=2),IF(Games[[#This Row],[Result]]&lt;0.5,1,0),0)</f>
        <v>0</v>
      </c>
      <c r="AI452" s="2">
        <f>IF(AND(Games[[#This Row],[Type]]="P",Games[[#This Row],[Round]]=3),IF(Games[[#This Row],[Result]]&gt;0.5,1,0),0)</f>
        <v>0</v>
      </c>
      <c r="AJ452" s="2">
        <f>IF(AND(Games[[#This Row],[Type]]="P",Games[[#This Row],[Round]]=3),IF(Games[[#This Row],[Result]]&lt;0.5,1,0),0)</f>
        <v>0</v>
      </c>
      <c r="AK452" s="2">
        <f>IF(AND(Games[[#This Row],[Type]]="P",Games[[#This Row],[Round]]=4),IF(Games[[#This Row],[Result]]&gt;0.5,1,0),0)</f>
        <v>0</v>
      </c>
      <c r="AL452" s="2">
        <f>IF(AND(Games[[#This Row],[Type]]="P",Games[[#This Row],[Round]]=4),IF(Games[[#This Row],[Result]]&lt;0.5,1,0),0)</f>
        <v>0</v>
      </c>
    </row>
    <row r="453" spans="1:38" x14ac:dyDescent="0.35">
      <c r="A453" s="10">
        <v>37474</v>
      </c>
      <c r="B453" s="2">
        <v>2002</v>
      </c>
      <c r="C453" s="2">
        <f>COUNTIFS(Games[Team],Games[[#This Row],[Team]],Games[Season],Games[[#This Row],[Season]],Games[Date],"&lt;=" &amp; Games[[#This Row],[Date]])</f>
        <v>28</v>
      </c>
      <c r="D453" s="2" t="s">
        <v>23</v>
      </c>
      <c r="E453" s="2" t="s">
        <v>29</v>
      </c>
      <c r="F453" s="1" t="s">
        <v>66</v>
      </c>
      <c r="G453" s="1" t="s">
        <v>80</v>
      </c>
      <c r="H453" s="1" t="s">
        <v>15</v>
      </c>
      <c r="I453" s="2" cm="1">
        <f t="array" ref="I4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3" s="2" cm="1">
        <f t="array" ref="J4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3" s="2">
        <f>Games[[#This Row],[DaysOff]]-Games[[#This Row],[OppDaysOff]]</f>
        <v>0</v>
      </c>
      <c r="L453" s="2">
        <f>Games[[#This Row],[OppDaysOff]]-Games[[#This Row],[DaysOff]]</f>
        <v>0</v>
      </c>
      <c r="M453" s="16">
        <f>MAX(-16, MIN(16, Games[[#This Row],[RestDiff]]*8))</f>
        <v>0</v>
      </c>
      <c r="N453" s="16">
        <f>MAX(-16, MIN(16, Games[[#This Row],[OppRestDiff]]*8))</f>
        <v>0</v>
      </c>
      <c r="O453" s="4" cm="1">
        <f t="array" ref="O4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1591.964295811548</v>
      </c>
      <c r="P453" s="4" cm="1">
        <f t="array" ref="P4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1404.9716838818708</v>
      </c>
      <c r="Q453" s="4">
        <f>1/(1+10^(((Games[[#This Row],[OppPreGmRate]]+IF(Games[[#This Row],[HomeAway]]="A",HCA,0)+Games[[#This Row],[OppRestAdj]])-(Games[[#This Row],[PreGmRate]]+IF(Games[[#This Row],[HomeAway]]="H",HCA,0)+Games[[#This Row],[RestAdj]]))/400))</f>
        <v>0.82634745120857833</v>
      </c>
      <c r="R453" s="1">
        <v>49</v>
      </c>
      <c r="S453" s="1">
        <v>52</v>
      </c>
      <c r="T453" s="1">
        <v>0</v>
      </c>
      <c r="U453" s="16">
        <f>Games[[#This Row],[PointsFor]]-Games[[#This Row],[PointsAgainst]]</f>
        <v>-3</v>
      </c>
      <c r="V453" s="16">
        <f>IF(Games[[#This Row],[MOV]]&gt;0,1,IF(Games[[#This Row],[MOV]]=0,0.5,0))</f>
        <v>0</v>
      </c>
      <c r="W453" s="4">
        <f>((ABS(Games[[#This Row],[MOV]])+5)^0.6)/(12+0.01*(ABS(Games[[#This Row],[PreGmRate]]-Games[[#This Row],[OppPreGmRate]])))*IF(Games[[#This Row],[OT]]=1,0.9,1)</f>
        <v>0.25106134115161749</v>
      </c>
      <c r="X453" s="7" cm="1">
        <f t="array" ref="X4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3" s="9">
        <f>MAX(kmin, kmax - 0.15 * MIN(Games[[#This Row],[GamesPlayed]], 82))</f>
        <v>71.8</v>
      </c>
      <c r="Z453" s="4">
        <f>Games[[#This Row],[K]]*Games[[#This Row],[POMult]]</f>
        <v>71.8</v>
      </c>
      <c r="AA453" s="4">
        <f>(Games[[#This Row],[Keff]]*Games[[#This Row],[MOVMult]])*(Games[[#This Row],[Result]]-Games[[#This Row],[ExpectedWin%]])</f>
        <v>-14.895907973879016</v>
      </c>
      <c r="AB453" s="4">
        <f>Games[[#This Row],[PreGmRate]]+Games[[#This Row],[RatingChange]]</f>
        <v>1577.068387837669</v>
      </c>
      <c r="AC453" s="2">
        <f>IF(Games[[#This Row],[Type]]="R",IF(Games[[#This Row],[Result]]&gt;0.5,1,0),0)</f>
        <v>0</v>
      </c>
      <c r="AD453" s="2">
        <f>IF(Games[[#This Row],[Type]]="R",IF(Games[[#This Row],[Result]]&lt;0.5,1,0),0)</f>
        <v>1</v>
      </c>
      <c r="AE453" s="2">
        <f>IF(AND(Games[[#This Row],[Type]]="P",Games[[#This Row],[Round]]=1),IF(Games[[#This Row],[Result]]&gt;0.5,1,0),0)</f>
        <v>0</v>
      </c>
      <c r="AF453" s="2">
        <f>IF(AND(Games[[#This Row],[Type]]="P",Games[[#This Row],[Round]]=1),IF(Games[[#This Row],[Result]]&lt;0.5,1,0),0)</f>
        <v>0</v>
      </c>
      <c r="AG453" s="2">
        <f>IF(AND(Games[[#This Row],[Type]]="P",Games[[#This Row],[Round]]=2),IF(Games[[#This Row],[Result]]&gt;0.5,1,0),0)</f>
        <v>0</v>
      </c>
      <c r="AH453" s="2">
        <f>IF(AND(Games[[#This Row],[Type]]="P",Games[[#This Row],[Round]]=2),IF(Games[[#This Row],[Result]]&lt;0.5,1,0),0)</f>
        <v>0</v>
      </c>
      <c r="AI453" s="2">
        <f>IF(AND(Games[[#This Row],[Type]]="P",Games[[#This Row],[Round]]=3),IF(Games[[#This Row],[Result]]&gt;0.5,1,0),0)</f>
        <v>0</v>
      </c>
      <c r="AJ453" s="2">
        <f>IF(AND(Games[[#This Row],[Type]]="P",Games[[#This Row],[Round]]=3),IF(Games[[#This Row],[Result]]&lt;0.5,1,0),0)</f>
        <v>0</v>
      </c>
      <c r="AK453" s="2">
        <f>IF(AND(Games[[#This Row],[Type]]="P",Games[[#This Row],[Round]]=4),IF(Games[[#This Row],[Result]]&gt;0.5,1,0),0)</f>
        <v>0</v>
      </c>
      <c r="AL453" s="2">
        <f>IF(AND(Games[[#This Row],[Type]]="P",Games[[#This Row],[Round]]=4),IF(Games[[#This Row],[Result]]&lt;0.5,1,0),0)</f>
        <v>0</v>
      </c>
    </row>
    <row r="454" spans="1:38" x14ac:dyDescent="0.35">
      <c r="A454" s="10">
        <v>37474</v>
      </c>
      <c r="B454" s="2">
        <v>2002</v>
      </c>
      <c r="C454" s="2">
        <f>COUNTIFS(Games[Team],Games[[#This Row],[Team]],Games[Season],Games[[#This Row],[Season]],Games[Date],"&lt;=" &amp; Games[[#This Row],[Date]])</f>
        <v>29</v>
      </c>
      <c r="D454" s="2" t="s">
        <v>23</v>
      </c>
      <c r="E454" s="2" t="s">
        <v>29</v>
      </c>
      <c r="F454" s="1" t="s">
        <v>43</v>
      </c>
      <c r="G454" s="1" t="s">
        <v>89</v>
      </c>
      <c r="H454" s="1" t="s">
        <v>16</v>
      </c>
      <c r="I454" s="2" cm="1">
        <f t="array" ref="I4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4" s="2" cm="1">
        <f t="array" ref="J4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4" s="2">
        <f>Games[[#This Row],[DaysOff]]-Games[[#This Row],[OppDaysOff]]</f>
        <v>0</v>
      </c>
      <c r="L454" s="2">
        <f>Games[[#This Row],[OppDaysOff]]-Games[[#This Row],[DaysOff]]</f>
        <v>0</v>
      </c>
      <c r="M454" s="16">
        <f>MAX(-16, MIN(16, Games[[#This Row],[RestDiff]]*8))</f>
        <v>0</v>
      </c>
      <c r="N454" s="16">
        <f>MAX(-16, MIN(16, Games[[#This Row],[OppRestDiff]]*8))</f>
        <v>0</v>
      </c>
      <c r="O454" s="4" cm="1">
        <f t="array" ref="O4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1575.7795727440862</v>
      </c>
      <c r="P454" s="4" cm="1">
        <f t="array" ref="P4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1519.2730754690338</v>
      </c>
      <c r="Q454" s="4">
        <f>1/(1+10^(((Games[[#This Row],[OppPreGmRate]]+IF(Games[[#This Row],[HomeAway]]="A",HCA,0)+Games[[#This Row],[OppRestAdj]])-(Games[[#This Row],[PreGmRate]]+IF(Games[[#This Row],[HomeAway]]="H",HCA,0)+Games[[#This Row],[RestAdj]]))/400))</f>
        <v>0.46051605053601719</v>
      </c>
      <c r="R454" s="1">
        <v>82</v>
      </c>
      <c r="S454" s="1">
        <v>69</v>
      </c>
      <c r="T454" s="1">
        <v>0</v>
      </c>
      <c r="U454" s="16">
        <f>Games[[#This Row],[PointsFor]]-Games[[#This Row],[PointsAgainst]]</f>
        <v>13</v>
      </c>
      <c r="V454" s="16">
        <f>IF(Games[[#This Row],[MOV]]&gt;0,1,IF(Games[[#This Row],[MOV]]=0,0.5,0))</f>
        <v>1</v>
      </c>
      <c r="W454" s="4">
        <f>((ABS(Games[[#This Row],[MOV]])+5)^0.6)/(12+0.01*(ABS(Games[[#This Row],[PreGmRate]]-Games[[#This Row],[OppPreGmRate]])))*IF(Games[[#This Row],[OT]]=1,0.9,1)</f>
        <v>0.45081542196987395</v>
      </c>
      <c r="X454" s="7" cm="1">
        <f t="array" ref="X4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4" s="9">
        <f>MAX(kmin, kmax - 0.15 * MIN(Games[[#This Row],[GamesPlayed]], 82))</f>
        <v>71.650000000000006</v>
      </c>
      <c r="Z454" s="4">
        <f>Games[[#This Row],[K]]*Games[[#This Row],[POMult]]</f>
        <v>71.650000000000006</v>
      </c>
      <c r="AA454" s="4">
        <f>(Games[[#This Row],[Keff]]*Games[[#This Row],[MOVMult]])*(Games[[#This Row],[Result]]-Games[[#This Row],[ExpectedWin%]])</f>
        <v>17.425830581784478</v>
      </c>
      <c r="AB454" s="4">
        <f>Games[[#This Row],[PreGmRate]]+Games[[#This Row],[RatingChange]]</f>
        <v>1593.2054033258707</v>
      </c>
      <c r="AC454" s="2">
        <f>IF(Games[[#This Row],[Type]]="R",IF(Games[[#This Row],[Result]]&gt;0.5,1,0),0)</f>
        <v>1</v>
      </c>
      <c r="AD454" s="2">
        <f>IF(Games[[#This Row],[Type]]="R",IF(Games[[#This Row],[Result]]&lt;0.5,1,0),0)</f>
        <v>0</v>
      </c>
      <c r="AE454" s="2">
        <f>IF(AND(Games[[#This Row],[Type]]="P",Games[[#This Row],[Round]]=1),IF(Games[[#This Row],[Result]]&gt;0.5,1,0),0)</f>
        <v>0</v>
      </c>
      <c r="AF454" s="2">
        <f>IF(AND(Games[[#This Row],[Type]]="P",Games[[#This Row],[Round]]=1),IF(Games[[#This Row],[Result]]&lt;0.5,1,0),0)</f>
        <v>0</v>
      </c>
      <c r="AG454" s="2">
        <f>IF(AND(Games[[#This Row],[Type]]="P",Games[[#This Row],[Round]]=2),IF(Games[[#This Row],[Result]]&gt;0.5,1,0),0)</f>
        <v>0</v>
      </c>
      <c r="AH454" s="2">
        <f>IF(AND(Games[[#This Row],[Type]]="P",Games[[#This Row],[Round]]=2),IF(Games[[#This Row],[Result]]&lt;0.5,1,0),0)</f>
        <v>0</v>
      </c>
      <c r="AI454" s="2">
        <f>IF(AND(Games[[#This Row],[Type]]="P",Games[[#This Row],[Round]]=3),IF(Games[[#This Row],[Result]]&gt;0.5,1,0),0)</f>
        <v>0</v>
      </c>
      <c r="AJ454" s="2">
        <f>IF(AND(Games[[#This Row],[Type]]="P",Games[[#This Row],[Round]]=3),IF(Games[[#This Row],[Result]]&lt;0.5,1,0),0)</f>
        <v>0</v>
      </c>
      <c r="AK454" s="2">
        <f>IF(AND(Games[[#This Row],[Type]]="P",Games[[#This Row],[Round]]=4),IF(Games[[#This Row],[Result]]&gt;0.5,1,0),0)</f>
        <v>0</v>
      </c>
      <c r="AL454" s="2">
        <f>IF(AND(Games[[#This Row],[Type]]="P",Games[[#This Row],[Round]]=4),IF(Games[[#This Row],[Result]]&lt;0.5,1,0),0)</f>
        <v>0</v>
      </c>
    </row>
    <row r="455" spans="1:38" x14ac:dyDescent="0.35">
      <c r="A455" s="10">
        <v>37474</v>
      </c>
      <c r="B455" s="2">
        <v>2002</v>
      </c>
      <c r="C455" s="2">
        <f>COUNTIFS(Games[Team],Games[[#This Row],[Team]],Games[Season],Games[[#This Row],[Season]],Games[Date],"&lt;=" &amp; Games[[#This Row],[Date]])</f>
        <v>30</v>
      </c>
      <c r="D455" s="2" t="s">
        <v>23</v>
      </c>
      <c r="E455" s="2" t="s">
        <v>29</v>
      </c>
      <c r="F455" s="1" t="s">
        <v>89</v>
      </c>
      <c r="G455" s="1" t="s">
        <v>43</v>
      </c>
      <c r="H455" s="1" t="s">
        <v>15</v>
      </c>
      <c r="I455" s="2" cm="1">
        <f t="array" ref="I4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5" s="2" cm="1">
        <f t="array" ref="J4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5" s="2">
        <f>Games[[#This Row],[DaysOff]]-Games[[#This Row],[OppDaysOff]]</f>
        <v>0</v>
      </c>
      <c r="L455" s="2">
        <f>Games[[#This Row],[OppDaysOff]]-Games[[#This Row],[DaysOff]]</f>
        <v>0</v>
      </c>
      <c r="M455" s="16">
        <f>MAX(-16, MIN(16, Games[[#This Row],[RestDiff]]*8))</f>
        <v>0</v>
      </c>
      <c r="N455" s="16">
        <f>MAX(-16, MIN(16, Games[[#This Row],[OppRestDiff]]*8))</f>
        <v>0</v>
      </c>
      <c r="O455" s="4" cm="1">
        <f t="array" ref="O4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1519.2730754690338</v>
      </c>
      <c r="P455" s="4" cm="1">
        <f t="array" ref="P4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1575.7795727440862</v>
      </c>
      <c r="Q455" s="4">
        <f>1/(1+10^(((Games[[#This Row],[OppPreGmRate]]+IF(Games[[#This Row],[HomeAway]]="A",HCA,0)+Games[[#This Row],[OppRestAdj]])-(Games[[#This Row],[PreGmRate]]+IF(Games[[#This Row],[HomeAway]]="H",HCA,0)+Games[[#This Row],[RestAdj]]))/400))</f>
        <v>0.53948394946398281</v>
      </c>
      <c r="R455" s="1">
        <v>69</v>
      </c>
      <c r="S455" s="1">
        <v>82</v>
      </c>
      <c r="T455" s="1">
        <v>0</v>
      </c>
      <c r="U455" s="16">
        <f>Games[[#This Row],[PointsFor]]-Games[[#This Row],[PointsAgainst]]</f>
        <v>-13</v>
      </c>
      <c r="V455" s="16">
        <f>IF(Games[[#This Row],[MOV]]&gt;0,1,IF(Games[[#This Row],[MOV]]=0,0.5,0))</f>
        <v>0</v>
      </c>
      <c r="W455" s="4">
        <f>((ABS(Games[[#This Row],[MOV]])+5)^0.6)/(12+0.01*(ABS(Games[[#This Row],[PreGmRate]]-Games[[#This Row],[OppPreGmRate]])))*IF(Games[[#This Row],[OT]]=1,0.9,1)</f>
        <v>0.45081542196987395</v>
      </c>
      <c r="X455" s="7" cm="1">
        <f t="array" ref="X4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5" s="9">
        <f>MAX(kmin, kmax - 0.15 * MIN(Games[[#This Row],[GamesPlayed]], 82))</f>
        <v>71.5</v>
      </c>
      <c r="Z455" s="4">
        <f>Games[[#This Row],[K]]*Games[[#This Row],[POMult]]</f>
        <v>71.5</v>
      </c>
      <c r="AA455" s="4">
        <f>(Games[[#This Row],[Keff]]*Games[[#This Row],[MOVMult]])*(Games[[#This Row],[Result]]-Games[[#This Row],[ExpectedWin%]])</f>
        <v>-17.38934942913594</v>
      </c>
      <c r="AB455" s="4">
        <f>Games[[#This Row],[PreGmRate]]+Games[[#This Row],[RatingChange]]</f>
        <v>1501.8837260398977</v>
      </c>
      <c r="AC455" s="2">
        <f>IF(Games[[#This Row],[Type]]="R",IF(Games[[#This Row],[Result]]&gt;0.5,1,0),0)</f>
        <v>0</v>
      </c>
      <c r="AD455" s="2">
        <f>IF(Games[[#This Row],[Type]]="R",IF(Games[[#This Row],[Result]]&lt;0.5,1,0),0)</f>
        <v>1</v>
      </c>
      <c r="AE455" s="2">
        <f>IF(AND(Games[[#This Row],[Type]]="P",Games[[#This Row],[Round]]=1),IF(Games[[#This Row],[Result]]&gt;0.5,1,0),0)</f>
        <v>0</v>
      </c>
      <c r="AF455" s="2">
        <f>IF(AND(Games[[#This Row],[Type]]="P",Games[[#This Row],[Round]]=1),IF(Games[[#This Row],[Result]]&lt;0.5,1,0),0)</f>
        <v>0</v>
      </c>
      <c r="AG455" s="2">
        <f>IF(AND(Games[[#This Row],[Type]]="P",Games[[#This Row],[Round]]=2),IF(Games[[#This Row],[Result]]&gt;0.5,1,0),0)</f>
        <v>0</v>
      </c>
      <c r="AH455" s="2">
        <f>IF(AND(Games[[#This Row],[Type]]="P",Games[[#This Row],[Round]]=2),IF(Games[[#This Row],[Result]]&lt;0.5,1,0),0)</f>
        <v>0</v>
      </c>
      <c r="AI455" s="2">
        <f>IF(AND(Games[[#This Row],[Type]]="P",Games[[#This Row],[Round]]=3),IF(Games[[#This Row],[Result]]&gt;0.5,1,0),0)</f>
        <v>0</v>
      </c>
      <c r="AJ455" s="2">
        <f>IF(AND(Games[[#This Row],[Type]]="P",Games[[#This Row],[Round]]=3),IF(Games[[#This Row],[Result]]&lt;0.5,1,0),0)</f>
        <v>0</v>
      </c>
      <c r="AK455" s="2">
        <f>IF(AND(Games[[#This Row],[Type]]="P",Games[[#This Row],[Round]]=4),IF(Games[[#This Row],[Result]]&gt;0.5,1,0),0)</f>
        <v>0</v>
      </c>
      <c r="AL455" s="2">
        <f>IF(AND(Games[[#This Row],[Type]]="P",Games[[#This Row],[Round]]=4),IF(Games[[#This Row],[Result]]&lt;0.5,1,0),0)</f>
        <v>0</v>
      </c>
    </row>
    <row r="456" spans="1:38" x14ac:dyDescent="0.35">
      <c r="A456" s="10">
        <v>37474</v>
      </c>
      <c r="B456" s="2">
        <v>2002</v>
      </c>
      <c r="C456" s="2">
        <f>COUNTIFS(Games[Team],Games[[#This Row],[Team]],Games[Season],Games[[#This Row],[Season]],Games[Date],"&lt;=" &amp; Games[[#This Row],[Date]])</f>
        <v>29</v>
      </c>
      <c r="D456" s="2" t="s">
        <v>23</v>
      </c>
      <c r="E456" s="2" t="s">
        <v>29</v>
      </c>
      <c r="F456" s="1" t="s">
        <v>44</v>
      </c>
      <c r="G456" s="1" t="s">
        <v>45</v>
      </c>
      <c r="H456" s="1" t="s">
        <v>16</v>
      </c>
      <c r="I456" s="2" cm="1">
        <f t="array" ref="I4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6" s="2" cm="1">
        <f t="array" ref="J4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6" s="2">
        <f>Games[[#This Row],[DaysOff]]-Games[[#This Row],[OppDaysOff]]</f>
        <v>-1</v>
      </c>
      <c r="L456" s="2">
        <f>Games[[#This Row],[OppDaysOff]]-Games[[#This Row],[DaysOff]]</f>
        <v>1</v>
      </c>
      <c r="M456" s="16">
        <f>MAX(-16, MIN(16, Games[[#This Row],[RestDiff]]*8))</f>
        <v>-8</v>
      </c>
      <c r="N456" s="16">
        <f>MAX(-16, MIN(16, Games[[#This Row],[OppRestDiff]]*8))</f>
        <v>8</v>
      </c>
      <c r="O456" s="4" cm="1">
        <f t="array" ref="O4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1352.3541806922356</v>
      </c>
      <c r="P456" s="4" cm="1">
        <f t="array" ref="P4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1479.68013231549</v>
      </c>
      <c r="Q456" s="4">
        <f>1/(1+10^(((Games[[#This Row],[OppPreGmRate]]+IF(Games[[#This Row],[HomeAway]]="A",HCA,0)+Games[[#This Row],[OppRestAdj]])-(Games[[#This Row],[PreGmRate]]+IF(Games[[#This Row],[HomeAway]]="H",HCA,0)+Games[[#This Row],[RestAdj]]))/400))</f>
        <v>0.21272231964066501</v>
      </c>
      <c r="R456" s="1">
        <v>70</v>
      </c>
      <c r="S456" s="1">
        <v>73</v>
      </c>
      <c r="T456" s="1">
        <v>0</v>
      </c>
      <c r="U456" s="16">
        <f>Games[[#This Row],[PointsFor]]-Games[[#This Row],[PointsAgainst]]</f>
        <v>-3</v>
      </c>
      <c r="V456" s="16">
        <f>IF(Games[[#This Row],[MOV]]&gt;0,1,IF(Games[[#This Row],[MOV]]=0,0.5,0))</f>
        <v>0</v>
      </c>
      <c r="W456" s="4">
        <f>((ABS(Games[[#This Row],[MOV]])+5)^0.6)/(12+0.01*(ABS(Games[[#This Row],[PreGmRate]]-Games[[#This Row],[OppPreGmRate]])))*IF(Games[[#This Row],[OT]]=1,0.9,1)</f>
        <v>0.26234718374382227</v>
      </c>
      <c r="X456" s="7" cm="1">
        <f t="array" ref="X4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6" s="9">
        <f>MAX(kmin, kmax - 0.15 * MIN(Games[[#This Row],[GamesPlayed]], 82))</f>
        <v>71.650000000000006</v>
      </c>
      <c r="Z456" s="4">
        <f>Games[[#This Row],[K]]*Games[[#This Row],[POMult]]</f>
        <v>71.650000000000006</v>
      </c>
      <c r="AA456" s="4">
        <f>(Games[[#This Row],[Keff]]*Games[[#This Row],[MOVMult]])*(Games[[#This Row],[Result]]-Games[[#This Row],[ExpectedWin%]])</f>
        <v>-3.9985788208400641</v>
      </c>
      <c r="AB456" s="4">
        <f>Games[[#This Row],[PreGmRate]]+Games[[#This Row],[RatingChange]]</f>
        <v>1348.3556018713955</v>
      </c>
      <c r="AC456" s="2">
        <f>IF(Games[[#This Row],[Type]]="R",IF(Games[[#This Row],[Result]]&gt;0.5,1,0),0)</f>
        <v>0</v>
      </c>
      <c r="AD456" s="2">
        <f>IF(Games[[#This Row],[Type]]="R",IF(Games[[#This Row],[Result]]&lt;0.5,1,0),0)</f>
        <v>1</v>
      </c>
      <c r="AE456" s="2">
        <f>IF(AND(Games[[#This Row],[Type]]="P",Games[[#This Row],[Round]]=1),IF(Games[[#This Row],[Result]]&gt;0.5,1,0),0)</f>
        <v>0</v>
      </c>
      <c r="AF456" s="2">
        <f>IF(AND(Games[[#This Row],[Type]]="P",Games[[#This Row],[Round]]=1),IF(Games[[#This Row],[Result]]&lt;0.5,1,0),0)</f>
        <v>0</v>
      </c>
      <c r="AG456" s="2">
        <f>IF(AND(Games[[#This Row],[Type]]="P",Games[[#This Row],[Round]]=2),IF(Games[[#This Row],[Result]]&gt;0.5,1,0),0)</f>
        <v>0</v>
      </c>
      <c r="AH456" s="2">
        <f>IF(AND(Games[[#This Row],[Type]]="P",Games[[#This Row],[Round]]=2),IF(Games[[#This Row],[Result]]&lt;0.5,1,0),0)</f>
        <v>0</v>
      </c>
      <c r="AI456" s="2">
        <f>IF(AND(Games[[#This Row],[Type]]="P",Games[[#This Row],[Round]]=3),IF(Games[[#This Row],[Result]]&gt;0.5,1,0),0)</f>
        <v>0</v>
      </c>
      <c r="AJ456" s="2">
        <f>IF(AND(Games[[#This Row],[Type]]="P",Games[[#This Row],[Round]]=3),IF(Games[[#This Row],[Result]]&lt;0.5,1,0),0)</f>
        <v>0</v>
      </c>
      <c r="AK456" s="2">
        <f>IF(AND(Games[[#This Row],[Type]]="P",Games[[#This Row],[Round]]=4),IF(Games[[#This Row],[Result]]&gt;0.5,1,0),0)</f>
        <v>0</v>
      </c>
      <c r="AL456" s="2">
        <f>IF(AND(Games[[#This Row],[Type]]="P",Games[[#This Row],[Round]]=4),IF(Games[[#This Row],[Result]]&lt;0.5,1,0),0)</f>
        <v>0</v>
      </c>
    </row>
    <row r="457" spans="1:38" x14ac:dyDescent="0.35">
      <c r="A457" s="10">
        <v>37474</v>
      </c>
      <c r="B457" s="2">
        <v>2002</v>
      </c>
      <c r="C457" s="2">
        <f>COUNTIFS(Games[Team],Games[[#This Row],[Team]],Games[Season],Games[[#This Row],[Season]],Games[Date],"&lt;=" &amp; Games[[#This Row],[Date]])</f>
        <v>28</v>
      </c>
      <c r="D457" s="2" t="s">
        <v>23</v>
      </c>
      <c r="E457" s="2" t="s">
        <v>29</v>
      </c>
      <c r="F457" s="1" t="s">
        <v>45</v>
      </c>
      <c r="G457" s="1" t="s">
        <v>44</v>
      </c>
      <c r="H457" s="1" t="s">
        <v>15</v>
      </c>
      <c r="I457" s="2" cm="1">
        <f t="array" ref="I4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7" s="2" cm="1">
        <f t="array" ref="J4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7" s="2">
        <f>Games[[#This Row],[DaysOff]]-Games[[#This Row],[OppDaysOff]]</f>
        <v>1</v>
      </c>
      <c r="L457" s="2">
        <f>Games[[#This Row],[OppDaysOff]]-Games[[#This Row],[DaysOff]]</f>
        <v>-1</v>
      </c>
      <c r="M457" s="16">
        <f>MAX(-16, MIN(16, Games[[#This Row],[RestDiff]]*8))</f>
        <v>8</v>
      </c>
      <c r="N457" s="16">
        <f>MAX(-16, MIN(16, Games[[#This Row],[OppRestDiff]]*8))</f>
        <v>-8</v>
      </c>
      <c r="O457" s="4" cm="1">
        <f t="array" ref="O4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1479.68013231549</v>
      </c>
      <c r="P457" s="4" cm="1">
        <f t="array" ref="P4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1352.3541806922356</v>
      </c>
      <c r="Q457" s="4">
        <f>1/(1+10^(((Games[[#This Row],[OppPreGmRate]]+IF(Games[[#This Row],[HomeAway]]="A",HCA,0)+Games[[#This Row],[OppRestAdj]])-(Games[[#This Row],[PreGmRate]]+IF(Games[[#This Row],[HomeAway]]="H",HCA,0)+Games[[#This Row],[RestAdj]]))/400))</f>
        <v>0.78727768035933499</v>
      </c>
      <c r="R457" s="1">
        <v>73</v>
      </c>
      <c r="S457" s="1">
        <v>70</v>
      </c>
      <c r="T457" s="1">
        <v>0</v>
      </c>
      <c r="U457" s="16">
        <f>Games[[#This Row],[PointsFor]]-Games[[#This Row],[PointsAgainst]]</f>
        <v>3</v>
      </c>
      <c r="V457" s="16">
        <f>IF(Games[[#This Row],[MOV]]&gt;0,1,IF(Games[[#This Row],[MOV]]=0,0.5,0))</f>
        <v>1</v>
      </c>
      <c r="W457" s="4">
        <f>((ABS(Games[[#This Row],[MOV]])+5)^0.6)/(12+0.01*(ABS(Games[[#This Row],[PreGmRate]]-Games[[#This Row],[OppPreGmRate]])))*IF(Games[[#This Row],[OT]]=1,0.9,1)</f>
        <v>0.26234718374382227</v>
      </c>
      <c r="X457" s="7" cm="1">
        <f t="array" ref="X4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7" s="9">
        <f>MAX(kmin, kmax - 0.15 * MIN(Games[[#This Row],[GamesPlayed]], 82))</f>
        <v>71.8</v>
      </c>
      <c r="Z457" s="4">
        <f>Games[[#This Row],[K]]*Games[[#This Row],[POMult]]</f>
        <v>71.8</v>
      </c>
      <c r="AA457" s="4">
        <f>(Games[[#This Row],[Keff]]*Games[[#This Row],[MOVMult]])*(Games[[#This Row],[Result]]-Games[[#This Row],[ExpectedWin%]])</f>
        <v>4.0069498860616415</v>
      </c>
      <c r="AB457" s="4">
        <f>Games[[#This Row],[PreGmRate]]+Games[[#This Row],[RatingChange]]</f>
        <v>1483.6870822015517</v>
      </c>
      <c r="AC457" s="2">
        <f>IF(Games[[#This Row],[Type]]="R",IF(Games[[#This Row],[Result]]&gt;0.5,1,0),0)</f>
        <v>1</v>
      </c>
      <c r="AD457" s="2">
        <f>IF(Games[[#This Row],[Type]]="R",IF(Games[[#This Row],[Result]]&lt;0.5,1,0),0)</f>
        <v>0</v>
      </c>
      <c r="AE457" s="2">
        <f>IF(AND(Games[[#This Row],[Type]]="P",Games[[#This Row],[Round]]=1),IF(Games[[#This Row],[Result]]&gt;0.5,1,0),0)</f>
        <v>0</v>
      </c>
      <c r="AF457" s="2">
        <f>IF(AND(Games[[#This Row],[Type]]="P",Games[[#This Row],[Round]]=1),IF(Games[[#This Row],[Result]]&lt;0.5,1,0),0)</f>
        <v>0</v>
      </c>
      <c r="AG457" s="2">
        <f>IF(AND(Games[[#This Row],[Type]]="P",Games[[#This Row],[Round]]=2),IF(Games[[#This Row],[Result]]&gt;0.5,1,0),0)</f>
        <v>0</v>
      </c>
      <c r="AH457" s="2">
        <f>IF(AND(Games[[#This Row],[Type]]="P",Games[[#This Row],[Round]]=2),IF(Games[[#This Row],[Result]]&lt;0.5,1,0),0)</f>
        <v>0</v>
      </c>
      <c r="AI457" s="2">
        <f>IF(AND(Games[[#This Row],[Type]]="P",Games[[#This Row],[Round]]=3),IF(Games[[#This Row],[Result]]&gt;0.5,1,0),0)</f>
        <v>0</v>
      </c>
      <c r="AJ457" s="2">
        <f>IF(AND(Games[[#This Row],[Type]]="P",Games[[#This Row],[Round]]=3),IF(Games[[#This Row],[Result]]&lt;0.5,1,0),0)</f>
        <v>0</v>
      </c>
      <c r="AK457" s="2">
        <f>IF(AND(Games[[#This Row],[Type]]="P",Games[[#This Row],[Round]]=4),IF(Games[[#This Row],[Result]]&gt;0.5,1,0),0)</f>
        <v>0</v>
      </c>
      <c r="AL457" s="2">
        <f>IF(AND(Games[[#This Row],[Type]]="P",Games[[#This Row],[Round]]=4),IF(Games[[#This Row],[Result]]&lt;0.5,1,0),0)</f>
        <v>0</v>
      </c>
    </row>
    <row r="458" spans="1:38" x14ac:dyDescent="0.35">
      <c r="A458" s="10">
        <v>37474</v>
      </c>
      <c r="B458" s="2">
        <v>2002</v>
      </c>
      <c r="C458" s="2">
        <f>COUNTIFS(Games[Team],Games[[#This Row],[Team]],Games[Season],Games[[#This Row],[Season]],Games[Date],"&lt;=" &amp; Games[[#This Row],[Date]])</f>
        <v>28</v>
      </c>
      <c r="D458" s="2" t="s">
        <v>23</v>
      </c>
      <c r="E458" s="2" t="s">
        <v>29</v>
      </c>
      <c r="F458" s="1" t="s">
        <v>85</v>
      </c>
      <c r="G458" s="1" t="s">
        <v>75</v>
      </c>
      <c r="H458" s="1" t="s">
        <v>16</v>
      </c>
      <c r="I458" s="2" cm="1">
        <f t="array" ref="I4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58" s="2" cm="1">
        <f t="array" ref="J4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8" s="2">
        <f>Games[[#This Row],[DaysOff]]-Games[[#This Row],[OppDaysOff]]</f>
        <v>1</v>
      </c>
      <c r="L458" s="2">
        <f>Games[[#This Row],[OppDaysOff]]-Games[[#This Row],[DaysOff]]</f>
        <v>-1</v>
      </c>
      <c r="M458" s="16">
        <f>MAX(-16, MIN(16, Games[[#This Row],[RestDiff]]*8))</f>
        <v>8</v>
      </c>
      <c r="N458" s="16">
        <f>MAX(-16, MIN(16, Games[[#This Row],[OppRestDiff]]*8))</f>
        <v>-8</v>
      </c>
      <c r="O458" s="4" cm="1">
        <f t="array" ref="O4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1442.6445852905674</v>
      </c>
      <c r="P458" s="4" cm="1">
        <f t="array" ref="P4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1448.9798335168034</v>
      </c>
      <c r="Q458" s="4">
        <f>1/(1+10^(((Games[[#This Row],[OppPreGmRate]]+IF(Games[[#This Row],[HomeAway]]="A",HCA,0)+Games[[#This Row],[OppRestAdj]])-(Games[[#This Row],[PreGmRate]]+IF(Games[[#This Row],[HomeAway]]="H",HCA,0)+Games[[#This Row],[RestAdj]]))/400))</f>
        <v>0.39462597176310876</v>
      </c>
      <c r="R458" s="1">
        <v>64</v>
      </c>
      <c r="S458" s="1">
        <v>55</v>
      </c>
      <c r="T458" s="1">
        <v>0</v>
      </c>
      <c r="U458" s="16">
        <f>Games[[#This Row],[PointsFor]]-Games[[#This Row],[PointsAgainst]]</f>
        <v>9</v>
      </c>
      <c r="V458" s="16">
        <f>IF(Games[[#This Row],[MOV]]&gt;0,1,IF(Games[[#This Row],[MOV]]=0,0.5,0))</f>
        <v>1</v>
      </c>
      <c r="W458" s="4">
        <f>((ABS(Games[[#This Row],[MOV]])+5)^0.6)/(12+0.01*(ABS(Games[[#This Row],[PreGmRate]]-Games[[#This Row],[OppPreGmRate]])))*IF(Games[[#This Row],[OT]]=1,0.9,1)</f>
        <v>0.40383950754403253</v>
      </c>
      <c r="X458" s="7" cm="1">
        <f t="array" ref="X4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8" s="9">
        <f>MAX(kmin, kmax - 0.15 * MIN(Games[[#This Row],[GamesPlayed]], 82))</f>
        <v>71.8</v>
      </c>
      <c r="Z458" s="4">
        <f>Games[[#This Row],[K]]*Games[[#This Row],[POMult]]</f>
        <v>71.8</v>
      </c>
      <c r="AA458" s="4">
        <f>(Games[[#This Row],[Keff]]*Games[[#This Row],[MOVMult]])*(Games[[#This Row],[Result]]-Games[[#This Row],[ExpectedWin%]])</f>
        <v>17.553229570016978</v>
      </c>
      <c r="AB458" s="4">
        <f>Games[[#This Row],[PreGmRate]]+Games[[#This Row],[RatingChange]]</f>
        <v>1460.1978148605845</v>
      </c>
      <c r="AC458" s="2">
        <f>IF(Games[[#This Row],[Type]]="R",IF(Games[[#This Row],[Result]]&gt;0.5,1,0),0)</f>
        <v>1</v>
      </c>
      <c r="AD458" s="2">
        <f>IF(Games[[#This Row],[Type]]="R",IF(Games[[#This Row],[Result]]&lt;0.5,1,0),0)</f>
        <v>0</v>
      </c>
      <c r="AE458" s="2">
        <f>IF(AND(Games[[#This Row],[Type]]="P",Games[[#This Row],[Round]]=1),IF(Games[[#This Row],[Result]]&gt;0.5,1,0),0)</f>
        <v>0</v>
      </c>
      <c r="AF458" s="2">
        <f>IF(AND(Games[[#This Row],[Type]]="P",Games[[#This Row],[Round]]=1),IF(Games[[#This Row],[Result]]&lt;0.5,1,0),0)</f>
        <v>0</v>
      </c>
      <c r="AG458" s="2">
        <f>IF(AND(Games[[#This Row],[Type]]="P",Games[[#This Row],[Round]]=2),IF(Games[[#This Row],[Result]]&gt;0.5,1,0),0)</f>
        <v>0</v>
      </c>
      <c r="AH458" s="2">
        <f>IF(AND(Games[[#This Row],[Type]]="P",Games[[#This Row],[Round]]=2),IF(Games[[#This Row],[Result]]&lt;0.5,1,0),0)</f>
        <v>0</v>
      </c>
      <c r="AI458" s="2">
        <f>IF(AND(Games[[#This Row],[Type]]="P",Games[[#This Row],[Round]]=3),IF(Games[[#This Row],[Result]]&gt;0.5,1,0),0)</f>
        <v>0</v>
      </c>
      <c r="AJ458" s="2">
        <f>IF(AND(Games[[#This Row],[Type]]="P",Games[[#This Row],[Round]]=3),IF(Games[[#This Row],[Result]]&lt;0.5,1,0),0)</f>
        <v>0</v>
      </c>
      <c r="AK458" s="2">
        <f>IF(AND(Games[[#This Row],[Type]]="P",Games[[#This Row],[Round]]=4),IF(Games[[#This Row],[Result]]&gt;0.5,1,0),0)</f>
        <v>0</v>
      </c>
      <c r="AL458" s="2">
        <f>IF(AND(Games[[#This Row],[Type]]="P",Games[[#This Row],[Round]]=4),IF(Games[[#This Row],[Result]]&lt;0.5,1,0),0)</f>
        <v>0</v>
      </c>
    </row>
    <row r="459" spans="1:38" x14ac:dyDescent="0.35">
      <c r="A459" s="10">
        <v>37474</v>
      </c>
      <c r="B459" s="2">
        <v>2002</v>
      </c>
      <c r="C459" s="2">
        <f>COUNTIFS(Games[Team],Games[[#This Row],[Team]],Games[Season],Games[[#This Row],[Season]],Games[Date],"&lt;=" &amp; Games[[#This Row],[Date]])</f>
        <v>28</v>
      </c>
      <c r="D459" s="2" t="s">
        <v>23</v>
      </c>
      <c r="E459" s="2" t="s">
        <v>29</v>
      </c>
      <c r="F459" s="1" t="s">
        <v>75</v>
      </c>
      <c r="G459" s="1" t="s">
        <v>85</v>
      </c>
      <c r="H459" s="1" t="s">
        <v>15</v>
      </c>
      <c r="I459" s="2" cm="1">
        <f t="array" ref="I4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9" s="2" cm="1">
        <f t="array" ref="J4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59" s="2">
        <f>Games[[#This Row],[DaysOff]]-Games[[#This Row],[OppDaysOff]]</f>
        <v>-1</v>
      </c>
      <c r="L459" s="2">
        <f>Games[[#This Row],[OppDaysOff]]-Games[[#This Row],[DaysOff]]</f>
        <v>1</v>
      </c>
      <c r="M459" s="16">
        <f>MAX(-16, MIN(16, Games[[#This Row],[RestDiff]]*8))</f>
        <v>-8</v>
      </c>
      <c r="N459" s="16">
        <f>MAX(-16, MIN(16, Games[[#This Row],[OppRestDiff]]*8))</f>
        <v>8</v>
      </c>
      <c r="O459" s="4" cm="1">
        <f t="array" ref="O4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1448.9798335168034</v>
      </c>
      <c r="P459" s="4" cm="1">
        <f t="array" ref="P4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1442.6445852905674</v>
      </c>
      <c r="Q459" s="4">
        <f>1/(1+10^(((Games[[#This Row],[OppPreGmRate]]+IF(Games[[#This Row],[HomeAway]]="A",HCA,0)+Games[[#This Row],[OppRestAdj]])-(Games[[#This Row],[PreGmRate]]+IF(Games[[#This Row],[HomeAway]]="H",HCA,0)+Games[[#This Row],[RestAdj]]))/400))</f>
        <v>0.60537402823689124</v>
      </c>
      <c r="R459" s="1">
        <v>55</v>
      </c>
      <c r="S459" s="1">
        <v>64</v>
      </c>
      <c r="T459" s="1">
        <v>0</v>
      </c>
      <c r="U459" s="16">
        <f>Games[[#This Row],[PointsFor]]-Games[[#This Row],[PointsAgainst]]</f>
        <v>-9</v>
      </c>
      <c r="V459" s="16">
        <f>IF(Games[[#This Row],[MOV]]&gt;0,1,IF(Games[[#This Row],[MOV]]=0,0.5,0))</f>
        <v>0</v>
      </c>
      <c r="W459" s="4">
        <f>((ABS(Games[[#This Row],[MOV]])+5)^0.6)/(12+0.01*(ABS(Games[[#This Row],[PreGmRate]]-Games[[#This Row],[OppPreGmRate]])))*IF(Games[[#This Row],[OT]]=1,0.9,1)</f>
        <v>0.40383950754403253</v>
      </c>
      <c r="X459" s="7" cm="1">
        <f t="array" ref="X4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9" s="9">
        <f>MAX(kmin, kmax - 0.15 * MIN(Games[[#This Row],[GamesPlayed]], 82))</f>
        <v>71.8</v>
      </c>
      <c r="Z459" s="4">
        <f>Games[[#This Row],[K]]*Games[[#This Row],[POMult]]</f>
        <v>71.8</v>
      </c>
      <c r="AA459" s="4">
        <f>(Games[[#This Row],[Keff]]*Games[[#This Row],[MOVMult]])*(Games[[#This Row],[Result]]-Games[[#This Row],[ExpectedWin%]])</f>
        <v>-17.553229570016978</v>
      </c>
      <c r="AB459" s="4">
        <f>Games[[#This Row],[PreGmRate]]+Games[[#This Row],[RatingChange]]</f>
        <v>1431.4266039467864</v>
      </c>
      <c r="AC459" s="2">
        <f>IF(Games[[#This Row],[Type]]="R",IF(Games[[#This Row],[Result]]&gt;0.5,1,0),0)</f>
        <v>0</v>
      </c>
      <c r="AD459" s="2">
        <f>IF(Games[[#This Row],[Type]]="R",IF(Games[[#This Row],[Result]]&lt;0.5,1,0),0)</f>
        <v>1</v>
      </c>
      <c r="AE459" s="2">
        <f>IF(AND(Games[[#This Row],[Type]]="P",Games[[#This Row],[Round]]=1),IF(Games[[#This Row],[Result]]&gt;0.5,1,0),0)</f>
        <v>0</v>
      </c>
      <c r="AF459" s="2">
        <f>IF(AND(Games[[#This Row],[Type]]="P",Games[[#This Row],[Round]]=1),IF(Games[[#This Row],[Result]]&lt;0.5,1,0),0)</f>
        <v>0</v>
      </c>
      <c r="AG459" s="2">
        <f>IF(AND(Games[[#This Row],[Type]]="P",Games[[#This Row],[Round]]=2),IF(Games[[#This Row],[Result]]&gt;0.5,1,0),0)</f>
        <v>0</v>
      </c>
      <c r="AH459" s="2">
        <f>IF(AND(Games[[#This Row],[Type]]="P",Games[[#This Row],[Round]]=2),IF(Games[[#This Row],[Result]]&lt;0.5,1,0),0)</f>
        <v>0</v>
      </c>
      <c r="AI459" s="2">
        <f>IF(AND(Games[[#This Row],[Type]]="P",Games[[#This Row],[Round]]=3),IF(Games[[#This Row],[Result]]&gt;0.5,1,0),0)</f>
        <v>0</v>
      </c>
      <c r="AJ459" s="2">
        <f>IF(AND(Games[[#This Row],[Type]]="P",Games[[#This Row],[Round]]=3),IF(Games[[#This Row],[Result]]&lt;0.5,1,0),0)</f>
        <v>0</v>
      </c>
      <c r="AK459" s="2">
        <f>IF(AND(Games[[#This Row],[Type]]="P",Games[[#This Row],[Round]]=4),IF(Games[[#This Row],[Result]]&gt;0.5,1,0),0)</f>
        <v>0</v>
      </c>
      <c r="AL459" s="2">
        <f>IF(AND(Games[[#This Row],[Type]]="P",Games[[#This Row],[Round]]=4),IF(Games[[#This Row],[Result]]&lt;0.5,1,0),0)</f>
        <v>0</v>
      </c>
    </row>
    <row r="460" spans="1:38" x14ac:dyDescent="0.35">
      <c r="A460" s="10">
        <v>37475</v>
      </c>
      <c r="B460" s="2">
        <v>2002</v>
      </c>
      <c r="C460" s="2">
        <f>COUNTIFS(Games[Team],Games[[#This Row],[Team]],Games[Season],Games[[#This Row],[Season]],Games[Date],"&lt;=" &amp; Games[[#This Row],[Date]])</f>
        <v>29</v>
      </c>
      <c r="D460" s="2" t="s">
        <v>23</v>
      </c>
      <c r="E460" s="2" t="s">
        <v>29</v>
      </c>
      <c r="F460" s="1" t="s">
        <v>79</v>
      </c>
      <c r="G460" s="1" t="s">
        <v>85</v>
      </c>
      <c r="H460" s="1" t="s">
        <v>16</v>
      </c>
      <c r="I460" s="2" cm="1">
        <f t="array" ref="I4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0" s="2" cm="1">
        <f t="array" ref="J46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0" s="2">
        <f>Games[[#This Row],[DaysOff]]-Games[[#This Row],[OppDaysOff]]</f>
        <v>2</v>
      </c>
      <c r="L460" s="2">
        <f>Games[[#This Row],[OppDaysOff]]-Games[[#This Row],[DaysOff]]</f>
        <v>-2</v>
      </c>
      <c r="M460" s="16">
        <f>MAX(-16, MIN(16, Games[[#This Row],[RestDiff]]*8))</f>
        <v>16</v>
      </c>
      <c r="N460" s="16">
        <f>MAX(-16, MIN(16, Games[[#This Row],[OppRestDiff]]*8))</f>
        <v>-16</v>
      </c>
      <c r="O460" s="4" cm="1">
        <f t="array" ref="O4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1497.5925405428125</v>
      </c>
      <c r="P460" s="4" cm="1">
        <f t="array" ref="P4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1460.1978148605845</v>
      </c>
      <c r="Q460" s="4">
        <f>1/(1+10^(((Games[[#This Row],[OppPreGmRate]]+IF(Games[[#This Row],[HomeAway]]="A",HCA,0)+Games[[#This Row],[OppRestAdj]])-(Games[[#This Row],[PreGmRate]]+IF(Games[[#This Row],[HomeAway]]="H",HCA,0)+Games[[#This Row],[RestAdj]]))/400))</f>
        <v>0.47899369290734434</v>
      </c>
      <c r="R460" s="1">
        <v>63</v>
      </c>
      <c r="S460" s="1">
        <v>70</v>
      </c>
      <c r="T460" s="1">
        <v>0</v>
      </c>
      <c r="U460" s="16">
        <f>Games[[#This Row],[PointsFor]]-Games[[#This Row],[PointsAgainst]]</f>
        <v>-7</v>
      </c>
      <c r="V460" s="16">
        <f>IF(Games[[#This Row],[MOV]]&gt;0,1,IF(Games[[#This Row],[MOV]]=0,0.5,0))</f>
        <v>0</v>
      </c>
      <c r="W460" s="4">
        <f>((ABS(Games[[#This Row],[MOV]])+5)^0.6)/(12+0.01*(ABS(Games[[#This Row],[PreGmRate]]-Games[[#This Row],[OppPreGmRate]])))*IF(Games[[#This Row],[OT]]=1,0.9,1)</f>
        <v>0.3589223372030434</v>
      </c>
      <c r="X460" s="7" cm="1">
        <f t="array" ref="X4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0" s="9">
        <f>MAX(kmin, kmax - 0.15 * MIN(Games[[#This Row],[GamesPlayed]], 82))</f>
        <v>71.650000000000006</v>
      </c>
      <c r="Z460" s="4">
        <f>Games[[#This Row],[K]]*Games[[#This Row],[POMult]]</f>
        <v>71.650000000000006</v>
      </c>
      <c r="AA460" s="4">
        <f>(Games[[#This Row],[Keff]]*Games[[#This Row],[MOVMult]])*(Games[[#This Row],[Result]]-Games[[#This Row],[ExpectedWin%]])</f>
        <v>-12.318178037477765</v>
      </c>
      <c r="AB460" s="4">
        <f>Games[[#This Row],[PreGmRate]]+Games[[#This Row],[RatingChange]]</f>
        <v>1485.2743625053347</v>
      </c>
      <c r="AC460" s="2">
        <f>IF(Games[[#This Row],[Type]]="R",IF(Games[[#This Row],[Result]]&gt;0.5,1,0),0)</f>
        <v>0</v>
      </c>
      <c r="AD460" s="2">
        <f>IF(Games[[#This Row],[Type]]="R",IF(Games[[#This Row],[Result]]&lt;0.5,1,0),0)</f>
        <v>1</v>
      </c>
      <c r="AE460" s="2">
        <f>IF(AND(Games[[#This Row],[Type]]="P",Games[[#This Row],[Round]]=1),IF(Games[[#This Row],[Result]]&gt;0.5,1,0),0)</f>
        <v>0</v>
      </c>
      <c r="AF460" s="2">
        <f>IF(AND(Games[[#This Row],[Type]]="P",Games[[#This Row],[Round]]=1),IF(Games[[#This Row],[Result]]&lt;0.5,1,0),0)</f>
        <v>0</v>
      </c>
      <c r="AG460" s="2">
        <f>IF(AND(Games[[#This Row],[Type]]="P",Games[[#This Row],[Round]]=2),IF(Games[[#This Row],[Result]]&gt;0.5,1,0),0)</f>
        <v>0</v>
      </c>
      <c r="AH460" s="2">
        <f>IF(AND(Games[[#This Row],[Type]]="P",Games[[#This Row],[Round]]=2),IF(Games[[#This Row],[Result]]&lt;0.5,1,0),0)</f>
        <v>0</v>
      </c>
      <c r="AI460" s="2">
        <f>IF(AND(Games[[#This Row],[Type]]="P",Games[[#This Row],[Round]]=3),IF(Games[[#This Row],[Result]]&gt;0.5,1,0),0)</f>
        <v>0</v>
      </c>
      <c r="AJ460" s="2">
        <f>IF(AND(Games[[#This Row],[Type]]="P",Games[[#This Row],[Round]]=3),IF(Games[[#This Row],[Result]]&lt;0.5,1,0),0)</f>
        <v>0</v>
      </c>
      <c r="AK460" s="2">
        <f>IF(AND(Games[[#This Row],[Type]]="P",Games[[#This Row],[Round]]=4),IF(Games[[#This Row],[Result]]&gt;0.5,1,0),0)</f>
        <v>0</v>
      </c>
      <c r="AL460" s="2">
        <f>IF(AND(Games[[#This Row],[Type]]="P",Games[[#This Row],[Round]]=4),IF(Games[[#This Row],[Result]]&lt;0.5,1,0),0)</f>
        <v>0</v>
      </c>
    </row>
    <row r="461" spans="1:38" x14ac:dyDescent="0.35">
      <c r="A461" s="10">
        <v>37475</v>
      </c>
      <c r="B461" s="2">
        <v>2002</v>
      </c>
      <c r="C461" s="2">
        <f>COUNTIFS(Games[Team],Games[[#This Row],[Team]],Games[Season],Games[[#This Row],[Season]],Games[Date],"&lt;=" &amp; Games[[#This Row],[Date]])</f>
        <v>29</v>
      </c>
      <c r="D461" s="2" t="s">
        <v>23</v>
      </c>
      <c r="E461" s="2" t="s">
        <v>29</v>
      </c>
      <c r="F461" s="1" t="s">
        <v>85</v>
      </c>
      <c r="G461" s="1" t="s">
        <v>79</v>
      </c>
      <c r="H461" s="1" t="s">
        <v>15</v>
      </c>
      <c r="I461" s="2" cm="1">
        <f t="array" ref="I46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1" s="2" cm="1">
        <f t="array" ref="J4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61" s="2">
        <f>Games[[#This Row],[DaysOff]]-Games[[#This Row],[OppDaysOff]]</f>
        <v>-2</v>
      </c>
      <c r="L461" s="2">
        <f>Games[[#This Row],[OppDaysOff]]-Games[[#This Row],[DaysOff]]</f>
        <v>2</v>
      </c>
      <c r="M461" s="16">
        <f>MAX(-16, MIN(16, Games[[#This Row],[RestDiff]]*8))</f>
        <v>-16</v>
      </c>
      <c r="N461" s="16">
        <f>MAX(-16, MIN(16, Games[[#This Row],[OppRestDiff]]*8))</f>
        <v>16</v>
      </c>
      <c r="O461" s="4" cm="1">
        <f t="array" ref="O4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1460.1978148605845</v>
      </c>
      <c r="P461" s="4" cm="1">
        <f t="array" ref="P4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1497.5925405428125</v>
      </c>
      <c r="Q461" s="4">
        <f>1/(1+10^(((Games[[#This Row],[OppPreGmRate]]+IF(Games[[#This Row],[HomeAway]]="A",HCA,0)+Games[[#This Row],[OppRestAdj]])-(Games[[#This Row],[PreGmRate]]+IF(Games[[#This Row],[HomeAway]]="H",HCA,0)+Games[[#This Row],[RestAdj]]))/400))</f>
        <v>0.52100630709265572</v>
      </c>
      <c r="R461" s="1">
        <v>70</v>
      </c>
      <c r="S461" s="1">
        <v>63</v>
      </c>
      <c r="T461" s="1">
        <v>0</v>
      </c>
      <c r="U461" s="16">
        <f>Games[[#This Row],[PointsFor]]-Games[[#This Row],[PointsAgainst]]</f>
        <v>7</v>
      </c>
      <c r="V461" s="16">
        <f>IF(Games[[#This Row],[MOV]]&gt;0,1,IF(Games[[#This Row],[MOV]]=0,0.5,0))</f>
        <v>1</v>
      </c>
      <c r="W461" s="4">
        <f>((ABS(Games[[#This Row],[MOV]])+5)^0.6)/(12+0.01*(ABS(Games[[#This Row],[PreGmRate]]-Games[[#This Row],[OppPreGmRate]])))*IF(Games[[#This Row],[OT]]=1,0.9,1)</f>
        <v>0.3589223372030434</v>
      </c>
      <c r="X461" s="7" cm="1">
        <f t="array" ref="X4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1" s="9">
        <f>MAX(kmin, kmax - 0.15 * MIN(Games[[#This Row],[GamesPlayed]], 82))</f>
        <v>71.650000000000006</v>
      </c>
      <c r="Z461" s="4">
        <f>Games[[#This Row],[K]]*Games[[#This Row],[POMult]]</f>
        <v>71.650000000000006</v>
      </c>
      <c r="AA461" s="4">
        <f>(Games[[#This Row],[Keff]]*Games[[#This Row],[MOVMult]])*(Games[[#This Row],[Result]]-Games[[#This Row],[ExpectedWin%]])</f>
        <v>12.318178037477765</v>
      </c>
      <c r="AB461" s="4">
        <f>Games[[#This Row],[PreGmRate]]+Games[[#This Row],[RatingChange]]</f>
        <v>1472.5159928980622</v>
      </c>
      <c r="AC461" s="2">
        <f>IF(Games[[#This Row],[Type]]="R",IF(Games[[#This Row],[Result]]&gt;0.5,1,0),0)</f>
        <v>1</v>
      </c>
      <c r="AD461" s="2">
        <f>IF(Games[[#This Row],[Type]]="R",IF(Games[[#This Row],[Result]]&lt;0.5,1,0),0)</f>
        <v>0</v>
      </c>
      <c r="AE461" s="2">
        <f>IF(AND(Games[[#This Row],[Type]]="P",Games[[#This Row],[Round]]=1),IF(Games[[#This Row],[Result]]&gt;0.5,1,0),0)</f>
        <v>0</v>
      </c>
      <c r="AF461" s="2">
        <f>IF(AND(Games[[#This Row],[Type]]="P",Games[[#This Row],[Round]]=1),IF(Games[[#This Row],[Result]]&lt;0.5,1,0),0)</f>
        <v>0</v>
      </c>
      <c r="AG461" s="2">
        <f>IF(AND(Games[[#This Row],[Type]]="P",Games[[#This Row],[Round]]=2),IF(Games[[#This Row],[Result]]&gt;0.5,1,0),0)</f>
        <v>0</v>
      </c>
      <c r="AH461" s="2">
        <f>IF(AND(Games[[#This Row],[Type]]="P",Games[[#This Row],[Round]]=2),IF(Games[[#This Row],[Result]]&lt;0.5,1,0),0)</f>
        <v>0</v>
      </c>
      <c r="AI461" s="2">
        <f>IF(AND(Games[[#This Row],[Type]]="P",Games[[#This Row],[Round]]=3),IF(Games[[#This Row],[Result]]&gt;0.5,1,0),0)</f>
        <v>0</v>
      </c>
      <c r="AJ461" s="2">
        <f>IF(AND(Games[[#This Row],[Type]]="P",Games[[#This Row],[Round]]=3),IF(Games[[#This Row],[Result]]&lt;0.5,1,0),0)</f>
        <v>0</v>
      </c>
      <c r="AK461" s="2">
        <f>IF(AND(Games[[#This Row],[Type]]="P",Games[[#This Row],[Round]]=4),IF(Games[[#This Row],[Result]]&gt;0.5,1,0),0)</f>
        <v>0</v>
      </c>
      <c r="AL461" s="2">
        <f>IF(AND(Games[[#This Row],[Type]]="P",Games[[#This Row],[Round]]=4),IF(Games[[#This Row],[Result]]&lt;0.5,1,0),0)</f>
        <v>0</v>
      </c>
    </row>
    <row r="462" spans="1:38" x14ac:dyDescent="0.35">
      <c r="A462" s="10">
        <v>37475</v>
      </c>
      <c r="B462" s="2">
        <v>2002</v>
      </c>
      <c r="C462" s="2">
        <f>COUNTIFS(Games[Team],Games[[#This Row],[Team]],Games[Season],Games[[#This Row],[Season]],Games[Date],"&lt;=" &amp; Games[[#This Row],[Date]])</f>
        <v>29</v>
      </c>
      <c r="D462" s="2" t="s">
        <v>23</v>
      </c>
      <c r="E462" s="2" t="s">
        <v>29</v>
      </c>
      <c r="F462" s="1" t="s">
        <v>1</v>
      </c>
      <c r="G462" s="1" t="s">
        <v>44</v>
      </c>
      <c r="H462" s="1" t="s">
        <v>16</v>
      </c>
      <c r="I462" s="2" cm="1">
        <f t="array" ref="I4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2" s="2" cm="1">
        <f t="array" ref="J4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2" s="2">
        <f>Games[[#This Row],[DaysOff]]-Games[[#This Row],[OppDaysOff]]</f>
        <v>0</v>
      </c>
      <c r="L462" s="2">
        <f>Games[[#This Row],[OppDaysOff]]-Games[[#This Row],[DaysOff]]</f>
        <v>0</v>
      </c>
      <c r="M462" s="16">
        <f>MAX(-16, MIN(16, Games[[#This Row],[RestDiff]]*8))</f>
        <v>0</v>
      </c>
      <c r="N462" s="16">
        <f>MAX(-16, MIN(16, Games[[#This Row],[OppRestDiff]]*8))</f>
        <v>0</v>
      </c>
      <c r="O462" s="4" cm="1">
        <f t="array" ref="O4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1444.4086767866388</v>
      </c>
      <c r="P462" s="4" cm="1">
        <f t="array" ref="P4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1348.3556018713955</v>
      </c>
      <c r="Q462" s="4">
        <f>1/(1+10^(((Games[[#This Row],[OppPreGmRate]]+IF(Games[[#This Row],[HomeAway]]="A",HCA,0)+Games[[#This Row],[OppRestAdj]])-(Games[[#This Row],[PreGmRate]]+IF(Games[[#This Row],[HomeAway]]="H",HCA,0)+Games[[#This Row],[RestAdj]]))/400))</f>
        <v>0.51733881392785053</v>
      </c>
      <c r="R462" s="1">
        <v>57</v>
      </c>
      <c r="S462" s="1">
        <v>59</v>
      </c>
      <c r="T462" s="1">
        <v>0</v>
      </c>
      <c r="U462" s="16">
        <f>Games[[#This Row],[PointsFor]]-Games[[#This Row],[PointsAgainst]]</f>
        <v>-2</v>
      </c>
      <c r="V462" s="16">
        <f>IF(Games[[#This Row],[MOV]]&gt;0,1,IF(Games[[#This Row],[MOV]]=0,0.5,0))</f>
        <v>0</v>
      </c>
      <c r="W462" s="4">
        <f>((ABS(Games[[#This Row],[MOV]])+5)^0.6)/(12+0.01*(ABS(Games[[#This Row],[PreGmRate]]-Games[[#This Row],[OppPreGmRate]])))*IF(Games[[#This Row],[OT]]=1,0.9,1)</f>
        <v>0.24799106702680579</v>
      </c>
      <c r="X462" s="7" cm="1">
        <f t="array" ref="X4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2" s="9">
        <f>MAX(kmin, kmax - 0.15 * MIN(Games[[#This Row],[GamesPlayed]], 82))</f>
        <v>71.650000000000006</v>
      </c>
      <c r="Z462" s="4">
        <f>Games[[#This Row],[K]]*Games[[#This Row],[POMult]]</f>
        <v>71.650000000000006</v>
      </c>
      <c r="AA462" s="4">
        <f>(Games[[#This Row],[Keff]]*Games[[#This Row],[MOVMult]])*(Games[[#This Row],[Result]]-Games[[#This Row],[ExpectedWin%]])</f>
        <v>-9.1923657310170626</v>
      </c>
      <c r="AB462" s="4">
        <f>Games[[#This Row],[PreGmRate]]+Games[[#This Row],[RatingChange]]</f>
        <v>1435.2163110556216</v>
      </c>
      <c r="AC462" s="2">
        <f>IF(Games[[#This Row],[Type]]="R",IF(Games[[#This Row],[Result]]&gt;0.5,1,0),0)</f>
        <v>0</v>
      </c>
      <c r="AD462" s="2">
        <f>IF(Games[[#This Row],[Type]]="R",IF(Games[[#This Row],[Result]]&lt;0.5,1,0),0)</f>
        <v>1</v>
      </c>
      <c r="AE462" s="2">
        <f>IF(AND(Games[[#This Row],[Type]]="P",Games[[#This Row],[Round]]=1),IF(Games[[#This Row],[Result]]&gt;0.5,1,0),0)</f>
        <v>0</v>
      </c>
      <c r="AF462" s="2">
        <f>IF(AND(Games[[#This Row],[Type]]="P",Games[[#This Row],[Round]]=1),IF(Games[[#This Row],[Result]]&lt;0.5,1,0),0)</f>
        <v>0</v>
      </c>
      <c r="AG462" s="2">
        <f>IF(AND(Games[[#This Row],[Type]]="P",Games[[#This Row],[Round]]=2),IF(Games[[#This Row],[Result]]&gt;0.5,1,0),0)</f>
        <v>0</v>
      </c>
      <c r="AH462" s="2">
        <f>IF(AND(Games[[#This Row],[Type]]="P",Games[[#This Row],[Round]]=2),IF(Games[[#This Row],[Result]]&lt;0.5,1,0),0)</f>
        <v>0</v>
      </c>
      <c r="AI462" s="2">
        <f>IF(AND(Games[[#This Row],[Type]]="P",Games[[#This Row],[Round]]=3),IF(Games[[#This Row],[Result]]&gt;0.5,1,0),0)</f>
        <v>0</v>
      </c>
      <c r="AJ462" s="2">
        <f>IF(AND(Games[[#This Row],[Type]]="P",Games[[#This Row],[Round]]=3),IF(Games[[#This Row],[Result]]&lt;0.5,1,0),0)</f>
        <v>0</v>
      </c>
      <c r="AK462" s="2">
        <f>IF(AND(Games[[#This Row],[Type]]="P",Games[[#This Row],[Round]]=4),IF(Games[[#This Row],[Result]]&gt;0.5,1,0),0)</f>
        <v>0</v>
      </c>
      <c r="AL462" s="2">
        <f>IF(AND(Games[[#This Row],[Type]]="P",Games[[#This Row],[Round]]=4),IF(Games[[#This Row],[Result]]&lt;0.5,1,0),0)</f>
        <v>0</v>
      </c>
    </row>
    <row r="463" spans="1:38" x14ac:dyDescent="0.35">
      <c r="A463" s="10">
        <v>37475</v>
      </c>
      <c r="B463" s="2">
        <v>2002</v>
      </c>
      <c r="C463" s="2">
        <f>COUNTIFS(Games[Team],Games[[#This Row],[Team]],Games[Season],Games[[#This Row],[Season]],Games[Date],"&lt;=" &amp; Games[[#This Row],[Date]])</f>
        <v>30</v>
      </c>
      <c r="D463" s="2" t="s">
        <v>23</v>
      </c>
      <c r="E463" s="2" t="s">
        <v>29</v>
      </c>
      <c r="F463" s="1" t="s">
        <v>44</v>
      </c>
      <c r="G463" s="1" t="s">
        <v>1</v>
      </c>
      <c r="H463" s="1" t="s">
        <v>15</v>
      </c>
      <c r="I463" s="2" cm="1">
        <f t="array" ref="I4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3" s="2" cm="1">
        <f t="array" ref="J4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3" s="2">
        <f>Games[[#This Row],[DaysOff]]-Games[[#This Row],[OppDaysOff]]</f>
        <v>0</v>
      </c>
      <c r="L463" s="2">
        <f>Games[[#This Row],[OppDaysOff]]-Games[[#This Row],[DaysOff]]</f>
        <v>0</v>
      </c>
      <c r="M463" s="16">
        <f>MAX(-16, MIN(16, Games[[#This Row],[RestDiff]]*8))</f>
        <v>0</v>
      </c>
      <c r="N463" s="16">
        <f>MAX(-16, MIN(16, Games[[#This Row],[OppRestDiff]]*8))</f>
        <v>0</v>
      </c>
      <c r="O463" s="4" cm="1">
        <f t="array" ref="O4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1348.3556018713955</v>
      </c>
      <c r="P463" s="4" cm="1">
        <f t="array" ref="P4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1444.4086767866388</v>
      </c>
      <c r="Q463" s="4">
        <f>1/(1+10^(((Games[[#This Row],[OppPreGmRate]]+IF(Games[[#This Row],[HomeAway]]="A",HCA,0)+Games[[#This Row],[OppRestAdj]])-(Games[[#This Row],[PreGmRate]]+IF(Games[[#This Row],[HomeAway]]="H",HCA,0)+Games[[#This Row],[RestAdj]]))/400))</f>
        <v>0.48266118607214942</v>
      </c>
      <c r="R463" s="1">
        <v>59</v>
      </c>
      <c r="S463" s="1">
        <v>57</v>
      </c>
      <c r="T463" s="1">
        <v>0</v>
      </c>
      <c r="U463" s="16">
        <f>Games[[#This Row],[PointsFor]]-Games[[#This Row],[PointsAgainst]]</f>
        <v>2</v>
      </c>
      <c r="V463" s="16">
        <f>IF(Games[[#This Row],[MOV]]&gt;0,1,IF(Games[[#This Row],[MOV]]=0,0.5,0))</f>
        <v>1</v>
      </c>
      <c r="W463" s="4">
        <f>((ABS(Games[[#This Row],[MOV]])+5)^0.6)/(12+0.01*(ABS(Games[[#This Row],[PreGmRate]]-Games[[#This Row],[OppPreGmRate]])))*IF(Games[[#This Row],[OT]]=1,0.9,1)</f>
        <v>0.24799106702680579</v>
      </c>
      <c r="X463" s="7" cm="1">
        <f t="array" ref="X4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3" s="9">
        <f>MAX(kmin, kmax - 0.15 * MIN(Games[[#This Row],[GamesPlayed]], 82))</f>
        <v>71.5</v>
      </c>
      <c r="Z463" s="4">
        <f>Games[[#This Row],[K]]*Games[[#This Row],[POMult]]</f>
        <v>71.5</v>
      </c>
      <c r="AA463" s="4">
        <f>(Games[[#This Row],[Keff]]*Games[[#This Row],[MOVMult]])*(Games[[#This Row],[Result]]-Games[[#This Row],[ExpectedWin%]])</f>
        <v>9.1731214203450104</v>
      </c>
      <c r="AB463" s="4">
        <f>Games[[#This Row],[PreGmRate]]+Games[[#This Row],[RatingChange]]</f>
        <v>1357.5287232917406</v>
      </c>
      <c r="AC463" s="2">
        <f>IF(Games[[#This Row],[Type]]="R",IF(Games[[#This Row],[Result]]&gt;0.5,1,0),0)</f>
        <v>1</v>
      </c>
      <c r="AD463" s="2">
        <f>IF(Games[[#This Row],[Type]]="R",IF(Games[[#This Row],[Result]]&lt;0.5,1,0),0)</f>
        <v>0</v>
      </c>
      <c r="AE463" s="2">
        <f>IF(AND(Games[[#This Row],[Type]]="P",Games[[#This Row],[Round]]=1),IF(Games[[#This Row],[Result]]&gt;0.5,1,0),0)</f>
        <v>0</v>
      </c>
      <c r="AF463" s="2">
        <f>IF(AND(Games[[#This Row],[Type]]="P",Games[[#This Row],[Round]]=1),IF(Games[[#This Row],[Result]]&lt;0.5,1,0),0)</f>
        <v>0</v>
      </c>
      <c r="AG463" s="2">
        <f>IF(AND(Games[[#This Row],[Type]]="P",Games[[#This Row],[Round]]=2),IF(Games[[#This Row],[Result]]&gt;0.5,1,0),0)</f>
        <v>0</v>
      </c>
      <c r="AH463" s="2">
        <f>IF(AND(Games[[#This Row],[Type]]="P",Games[[#This Row],[Round]]=2),IF(Games[[#This Row],[Result]]&lt;0.5,1,0),0)</f>
        <v>0</v>
      </c>
      <c r="AI463" s="2">
        <f>IF(AND(Games[[#This Row],[Type]]="P",Games[[#This Row],[Round]]=3),IF(Games[[#This Row],[Result]]&gt;0.5,1,0),0)</f>
        <v>0</v>
      </c>
      <c r="AJ463" s="2">
        <f>IF(AND(Games[[#This Row],[Type]]="P",Games[[#This Row],[Round]]=3),IF(Games[[#This Row],[Result]]&lt;0.5,1,0),0)</f>
        <v>0</v>
      </c>
      <c r="AK463" s="2">
        <f>IF(AND(Games[[#This Row],[Type]]="P",Games[[#This Row],[Round]]=4),IF(Games[[#This Row],[Result]]&gt;0.5,1,0),0)</f>
        <v>0</v>
      </c>
      <c r="AL463" s="2">
        <f>IF(AND(Games[[#This Row],[Type]]="P",Games[[#This Row],[Round]]=4),IF(Games[[#This Row],[Result]]&lt;0.5,1,0),0)</f>
        <v>0</v>
      </c>
    </row>
    <row r="464" spans="1:38" x14ac:dyDescent="0.35">
      <c r="A464" s="10">
        <v>37476</v>
      </c>
      <c r="B464" s="2">
        <v>2002</v>
      </c>
      <c r="C464" s="2">
        <f>COUNTIFS(Games[Team],Games[[#This Row],[Team]],Games[Season],Games[[#This Row],[Season]],Games[Date],"&lt;=" &amp; Games[[#This Row],[Date]])</f>
        <v>30</v>
      </c>
      <c r="D464" s="2" t="s">
        <v>23</v>
      </c>
      <c r="E464" s="2" t="s">
        <v>29</v>
      </c>
      <c r="F464" s="1" t="s">
        <v>2</v>
      </c>
      <c r="G464" s="1" t="s">
        <v>71</v>
      </c>
      <c r="H464" s="1" t="s">
        <v>16</v>
      </c>
      <c r="I464" s="2" cm="1">
        <f t="array" ref="I4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4" s="2" cm="1">
        <f t="array" ref="J4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64" s="2">
        <f>Games[[#This Row],[DaysOff]]-Games[[#This Row],[OppDaysOff]]</f>
        <v>-2</v>
      </c>
      <c r="L464" s="2">
        <f>Games[[#This Row],[OppDaysOff]]-Games[[#This Row],[DaysOff]]</f>
        <v>2</v>
      </c>
      <c r="M464" s="16">
        <f>MAX(-16, MIN(16, Games[[#This Row],[RestDiff]]*8))</f>
        <v>-16</v>
      </c>
      <c r="N464" s="16">
        <f>MAX(-16, MIN(16, Games[[#This Row],[OppRestDiff]]*8))</f>
        <v>16</v>
      </c>
      <c r="O464" s="4" cm="1">
        <f t="array" ref="O4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1650.38123155211</v>
      </c>
      <c r="P464" s="4" cm="1">
        <f t="array" ref="P4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1679.661311623873</v>
      </c>
      <c r="Q464" s="4">
        <f>1/(1+10^(((Games[[#This Row],[OppPreGmRate]]+IF(Games[[#This Row],[HomeAway]]="A",HCA,0)+Games[[#This Row],[OppRestAdj]])-(Games[[#This Row],[PreGmRate]]+IF(Games[[#This Row],[HomeAway]]="H",HCA,0)+Games[[#This Row],[RestAdj]]))/400))</f>
        <v>0.30231475209642922</v>
      </c>
      <c r="R464" s="1">
        <v>67</v>
      </c>
      <c r="S464" s="1">
        <v>64</v>
      </c>
      <c r="T464" s="1">
        <v>0</v>
      </c>
      <c r="U464" s="16">
        <f>Games[[#This Row],[PointsFor]]-Games[[#This Row],[PointsAgainst]]</f>
        <v>3</v>
      </c>
      <c r="V464" s="16">
        <f>IF(Games[[#This Row],[MOV]]&gt;0,1,IF(Games[[#This Row],[MOV]]=0,0.5,0))</f>
        <v>1</v>
      </c>
      <c r="W464" s="4">
        <f>((ABS(Games[[#This Row],[MOV]])+5)^0.6)/(12+0.01*(ABS(Games[[#This Row],[PreGmRate]]-Games[[#This Row],[OppPreGmRate]])))*IF(Games[[#This Row],[OT]]=1,0.9,1)</f>
        <v>0.28327167336683856</v>
      </c>
      <c r="X464" s="7" cm="1">
        <f t="array" ref="X4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4" s="9">
        <f>MAX(kmin, kmax - 0.15 * MIN(Games[[#This Row],[GamesPlayed]], 82))</f>
        <v>71.5</v>
      </c>
      <c r="Z464" s="4">
        <f>Games[[#This Row],[K]]*Games[[#This Row],[POMult]]</f>
        <v>71.5</v>
      </c>
      <c r="AA464" s="4">
        <f>(Games[[#This Row],[Keff]]*Games[[#This Row],[MOVMult]])*(Games[[#This Row],[Result]]-Games[[#This Row],[ExpectedWin%]])</f>
        <v>14.130864437475649</v>
      </c>
      <c r="AB464" s="4">
        <f>Games[[#This Row],[PreGmRate]]+Games[[#This Row],[RatingChange]]</f>
        <v>1664.5120959895855</v>
      </c>
      <c r="AC464" s="2">
        <f>IF(Games[[#This Row],[Type]]="R",IF(Games[[#This Row],[Result]]&gt;0.5,1,0),0)</f>
        <v>1</v>
      </c>
      <c r="AD464" s="2">
        <f>IF(Games[[#This Row],[Type]]="R",IF(Games[[#This Row],[Result]]&lt;0.5,1,0),0)</f>
        <v>0</v>
      </c>
      <c r="AE464" s="2">
        <f>IF(AND(Games[[#This Row],[Type]]="P",Games[[#This Row],[Round]]=1),IF(Games[[#This Row],[Result]]&gt;0.5,1,0),0)</f>
        <v>0</v>
      </c>
      <c r="AF464" s="2">
        <f>IF(AND(Games[[#This Row],[Type]]="P",Games[[#This Row],[Round]]=1),IF(Games[[#This Row],[Result]]&lt;0.5,1,0),0)</f>
        <v>0</v>
      </c>
      <c r="AG464" s="2">
        <f>IF(AND(Games[[#This Row],[Type]]="P",Games[[#This Row],[Round]]=2),IF(Games[[#This Row],[Result]]&gt;0.5,1,0),0)</f>
        <v>0</v>
      </c>
      <c r="AH464" s="2">
        <f>IF(AND(Games[[#This Row],[Type]]="P",Games[[#This Row],[Round]]=2),IF(Games[[#This Row],[Result]]&lt;0.5,1,0),0)</f>
        <v>0</v>
      </c>
      <c r="AI464" s="2">
        <f>IF(AND(Games[[#This Row],[Type]]="P",Games[[#This Row],[Round]]=3),IF(Games[[#This Row],[Result]]&gt;0.5,1,0),0)</f>
        <v>0</v>
      </c>
      <c r="AJ464" s="2">
        <f>IF(AND(Games[[#This Row],[Type]]="P",Games[[#This Row],[Round]]=3),IF(Games[[#This Row],[Result]]&lt;0.5,1,0),0)</f>
        <v>0</v>
      </c>
      <c r="AK464" s="2">
        <f>IF(AND(Games[[#This Row],[Type]]="P",Games[[#This Row],[Round]]=4),IF(Games[[#This Row],[Result]]&gt;0.5,1,0),0)</f>
        <v>0</v>
      </c>
      <c r="AL464" s="2">
        <f>IF(AND(Games[[#This Row],[Type]]="P",Games[[#This Row],[Round]]=4),IF(Games[[#This Row],[Result]]&lt;0.5,1,0),0)</f>
        <v>0</v>
      </c>
    </row>
    <row r="465" spans="1:38" x14ac:dyDescent="0.35">
      <c r="A465" s="10">
        <v>37476</v>
      </c>
      <c r="B465" s="2">
        <v>2002</v>
      </c>
      <c r="C465" s="2">
        <f>COUNTIFS(Games[Team],Games[[#This Row],[Team]],Games[Season],Games[[#This Row],[Season]],Games[Date],"&lt;=" &amp; Games[[#This Row],[Date]])</f>
        <v>29</v>
      </c>
      <c r="D465" s="2" t="s">
        <v>23</v>
      </c>
      <c r="E465" s="2" t="s">
        <v>29</v>
      </c>
      <c r="F465" s="1" t="s">
        <v>71</v>
      </c>
      <c r="G465" s="1" t="s">
        <v>2</v>
      </c>
      <c r="H465" s="1" t="s">
        <v>15</v>
      </c>
      <c r="I465" s="2" cm="1">
        <f t="array" ref="I4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465" s="2" cm="1">
        <f t="array" ref="J4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5" s="2">
        <f>Games[[#This Row],[DaysOff]]-Games[[#This Row],[OppDaysOff]]</f>
        <v>2</v>
      </c>
      <c r="L465" s="2">
        <f>Games[[#This Row],[OppDaysOff]]-Games[[#This Row],[DaysOff]]</f>
        <v>-2</v>
      </c>
      <c r="M465" s="16">
        <f>MAX(-16, MIN(16, Games[[#This Row],[RestDiff]]*8))</f>
        <v>16</v>
      </c>
      <c r="N465" s="16">
        <f>MAX(-16, MIN(16, Games[[#This Row],[OppRestDiff]]*8))</f>
        <v>-16</v>
      </c>
      <c r="O465" s="4" cm="1">
        <f t="array" ref="O4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1679.661311623873</v>
      </c>
      <c r="P465" s="4" cm="1">
        <f t="array" ref="P4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1650.38123155211</v>
      </c>
      <c r="Q465" s="4">
        <f>1/(1+10^(((Games[[#This Row],[OppPreGmRate]]+IF(Games[[#This Row],[HomeAway]]="A",HCA,0)+Games[[#This Row],[OppRestAdj]])-(Games[[#This Row],[PreGmRate]]+IF(Games[[#This Row],[HomeAway]]="H",HCA,0)+Games[[#This Row],[RestAdj]]))/400))</f>
        <v>0.69768524790357078</v>
      </c>
      <c r="R465" s="1">
        <v>64</v>
      </c>
      <c r="S465" s="1">
        <v>67</v>
      </c>
      <c r="T465" s="1">
        <v>0</v>
      </c>
      <c r="U465" s="16">
        <f>Games[[#This Row],[PointsFor]]-Games[[#This Row],[PointsAgainst]]</f>
        <v>-3</v>
      </c>
      <c r="V465" s="16">
        <f>IF(Games[[#This Row],[MOV]]&gt;0,1,IF(Games[[#This Row],[MOV]]=0,0.5,0))</f>
        <v>0</v>
      </c>
      <c r="W465" s="4">
        <f>((ABS(Games[[#This Row],[MOV]])+5)^0.6)/(12+0.01*(ABS(Games[[#This Row],[PreGmRate]]-Games[[#This Row],[OppPreGmRate]])))*IF(Games[[#This Row],[OT]]=1,0.9,1)</f>
        <v>0.28327167336683856</v>
      </c>
      <c r="X465" s="7" cm="1">
        <f t="array" ref="X4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5" s="9">
        <f>MAX(kmin, kmax - 0.15 * MIN(Games[[#This Row],[GamesPlayed]], 82))</f>
        <v>71.650000000000006</v>
      </c>
      <c r="Z465" s="4">
        <f>Games[[#This Row],[K]]*Games[[#This Row],[POMult]]</f>
        <v>71.650000000000006</v>
      </c>
      <c r="AA465" s="4">
        <f>(Games[[#This Row],[Keff]]*Games[[#This Row],[MOVMult]])*(Games[[#This Row],[Result]]-Games[[#This Row],[ExpectedWin%]])</f>
        <v>-14.160509607624201</v>
      </c>
      <c r="AB465" s="4">
        <f>Games[[#This Row],[PreGmRate]]+Games[[#This Row],[RatingChange]]</f>
        <v>1665.5008020162488</v>
      </c>
      <c r="AC465" s="2">
        <f>IF(Games[[#This Row],[Type]]="R",IF(Games[[#This Row],[Result]]&gt;0.5,1,0),0)</f>
        <v>0</v>
      </c>
      <c r="AD465" s="2">
        <f>IF(Games[[#This Row],[Type]]="R",IF(Games[[#This Row],[Result]]&lt;0.5,1,0),0)</f>
        <v>1</v>
      </c>
      <c r="AE465" s="2">
        <f>IF(AND(Games[[#This Row],[Type]]="P",Games[[#This Row],[Round]]=1),IF(Games[[#This Row],[Result]]&gt;0.5,1,0),0)</f>
        <v>0</v>
      </c>
      <c r="AF465" s="2">
        <f>IF(AND(Games[[#This Row],[Type]]="P",Games[[#This Row],[Round]]=1),IF(Games[[#This Row],[Result]]&lt;0.5,1,0),0)</f>
        <v>0</v>
      </c>
      <c r="AG465" s="2">
        <f>IF(AND(Games[[#This Row],[Type]]="P",Games[[#This Row],[Round]]=2),IF(Games[[#This Row],[Result]]&gt;0.5,1,0),0)</f>
        <v>0</v>
      </c>
      <c r="AH465" s="2">
        <f>IF(AND(Games[[#This Row],[Type]]="P",Games[[#This Row],[Round]]=2),IF(Games[[#This Row],[Result]]&lt;0.5,1,0),0)</f>
        <v>0</v>
      </c>
      <c r="AI465" s="2">
        <f>IF(AND(Games[[#This Row],[Type]]="P",Games[[#This Row],[Round]]=3),IF(Games[[#This Row],[Result]]&gt;0.5,1,0),0)</f>
        <v>0</v>
      </c>
      <c r="AJ465" s="2">
        <f>IF(AND(Games[[#This Row],[Type]]="P",Games[[#This Row],[Round]]=3),IF(Games[[#This Row],[Result]]&lt;0.5,1,0),0)</f>
        <v>0</v>
      </c>
      <c r="AK465" s="2">
        <f>IF(AND(Games[[#This Row],[Type]]="P",Games[[#This Row],[Round]]=4),IF(Games[[#This Row],[Result]]&gt;0.5,1,0),0)</f>
        <v>0</v>
      </c>
      <c r="AL465" s="2">
        <f>IF(AND(Games[[#This Row],[Type]]="P",Games[[#This Row],[Round]]=4),IF(Games[[#This Row],[Result]]&lt;0.5,1,0),0)</f>
        <v>0</v>
      </c>
    </row>
    <row r="466" spans="1:38" x14ac:dyDescent="0.35">
      <c r="A466" s="10">
        <v>37476</v>
      </c>
      <c r="B466" s="2">
        <v>2002</v>
      </c>
      <c r="C466" s="2">
        <f>COUNTIFS(Games[Team],Games[[#This Row],[Team]],Games[Season],Games[[#This Row],[Season]],Games[Date],"&lt;=" &amp; Games[[#This Row],[Date]])</f>
        <v>29</v>
      </c>
      <c r="D466" s="2" t="s">
        <v>23</v>
      </c>
      <c r="E466" s="2" t="s">
        <v>29</v>
      </c>
      <c r="F466" s="1" t="s">
        <v>75</v>
      </c>
      <c r="G466" s="1" t="s">
        <v>66</v>
      </c>
      <c r="H466" s="1" t="s">
        <v>16</v>
      </c>
      <c r="I466" s="2" cm="1">
        <f t="array" ref="I4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6" s="2" cm="1">
        <f t="array" ref="J4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6" s="2">
        <f>Games[[#This Row],[DaysOff]]-Games[[#This Row],[OppDaysOff]]</f>
        <v>0</v>
      </c>
      <c r="L466" s="2">
        <f>Games[[#This Row],[OppDaysOff]]-Games[[#This Row],[DaysOff]]</f>
        <v>0</v>
      </c>
      <c r="M466" s="16">
        <f>MAX(-16, MIN(16, Games[[#This Row],[RestDiff]]*8))</f>
        <v>0</v>
      </c>
      <c r="N466" s="16">
        <f>MAX(-16, MIN(16, Games[[#This Row],[OppRestDiff]]*8))</f>
        <v>0</v>
      </c>
      <c r="O466" s="4" cm="1">
        <f t="array" ref="O4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1431.4266039467864</v>
      </c>
      <c r="P466" s="4" cm="1">
        <f t="array" ref="P4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1577.068387837669</v>
      </c>
      <c r="Q466" s="4">
        <f>1/(1+10^(((Games[[#This Row],[OppPreGmRate]]+IF(Games[[#This Row],[HomeAway]]="A",HCA,0)+Games[[#This Row],[OppRestAdj]])-(Games[[#This Row],[PreGmRate]]+IF(Games[[#This Row],[HomeAway]]="H",HCA,0)+Games[[#This Row],[RestAdj]]))/400))</f>
        <v>0.21049830649554557</v>
      </c>
      <c r="R466" s="1">
        <v>65</v>
      </c>
      <c r="S466" s="1">
        <v>54</v>
      </c>
      <c r="T466" s="1">
        <v>0</v>
      </c>
      <c r="U466" s="16">
        <f>Games[[#This Row],[PointsFor]]-Games[[#This Row],[PointsAgainst]]</f>
        <v>11</v>
      </c>
      <c r="V466" s="16">
        <f>IF(Games[[#This Row],[MOV]]&gt;0,1,IF(Games[[#This Row],[MOV]]=0,0.5,0))</f>
        <v>1</v>
      </c>
      <c r="W466" s="4">
        <f>((ABS(Games[[#This Row],[MOV]])+5)^0.6)/(12+0.01*(ABS(Games[[#This Row],[PreGmRate]]-Games[[#This Row],[OppPreGmRate]])))*IF(Games[[#This Row],[OT]]=1,0.9,1)</f>
        <v>0.39223155124020503</v>
      </c>
      <c r="X466" s="7" cm="1">
        <f t="array" ref="X4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6" s="9">
        <f>MAX(kmin, kmax - 0.15 * MIN(Games[[#This Row],[GamesPlayed]], 82))</f>
        <v>71.650000000000006</v>
      </c>
      <c r="Z466" s="4">
        <f>Games[[#This Row],[K]]*Games[[#This Row],[POMult]]</f>
        <v>71.650000000000006</v>
      </c>
      <c r="AA466" s="4">
        <f>(Games[[#This Row],[Keff]]*Games[[#This Row],[MOVMult]])*(Games[[#This Row],[Result]]-Games[[#This Row],[ExpectedWin%]])</f>
        <v>22.187674508519013</v>
      </c>
      <c r="AB466" s="4">
        <f>Games[[#This Row],[PreGmRate]]+Games[[#This Row],[RatingChange]]</f>
        <v>1453.6142784553053</v>
      </c>
      <c r="AC466" s="2">
        <f>IF(Games[[#This Row],[Type]]="R",IF(Games[[#This Row],[Result]]&gt;0.5,1,0),0)</f>
        <v>1</v>
      </c>
      <c r="AD466" s="2">
        <f>IF(Games[[#This Row],[Type]]="R",IF(Games[[#This Row],[Result]]&lt;0.5,1,0),0)</f>
        <v>0</v>
      </c>
      <c r="AE466" s="2">
        <f>IF(AND(Games[[#This Row],[Type]]="P",Games[[#This Row],[Round]]=1),IF(Games[[#This Row],[Result]]&gt;0.5,1,0),0)</f>
        <v>0</v>
      </c>
      <c r="AF466" s="2">
        <f>IF(AND(Games[[#This Row],[Type]]="P",Games[[#This Row],[Round]]=1),IF(Games[[#This Row],[Result]]&lt;0.5,1,0),0)</f>
        <v>0</v>
      </c>
      <c r="AG466" s="2">
        <f>IF(AND(Games[[#This Row],[Type]]="P",Games[[#This Row],[Round]]=2),IF(Games[[#This Row],[Result]]&gt;0.5,1,0),0)</f>
        <v>0</v>
      </c>
      <c r="AH466" s="2">
        <f>IF(AND(Games[[#This Row],[Type]]="P",Games[[#This Row],[Round]]=2),IF(Games[[#This Row],[Result]]&lt;0.5,1,0),0)</f>
        <v>0</v>
      </c>
      <c r="AI466" s="2">
        <f>IF(AND(Games[[#This Row],[Type]]="P",Games[[#This Row],[Round]]=3),IF(Games[[#This Row],[Result]]&gt;0.5,1,0),0)</f>
        <v>0</v>
      </c>
      <c r="AJ466" s="2">
        <f>IF(AND(Games[[#This Row],[Type]]="P",Games[[#This Row],[Round]]=3),IF(Games[[#This Row],[Result]]&lt;0.5,1,0),0)</f>
        <v>0</v>
      </c>
      <c r="AK466" s="2">
        <f>IF(AND(Games[[#This Row],[Type]]="P",Games[[#This Row],[Round]]=4),IF(Games[[#This Row],[Result]]&gt;0.5,1,0),0)</f>
        <v>0</v>
      </c>
      <c r="AL466" s="2">
        <f>IF(AND(Games[[#This Row],[Type]]="P",Games[[#This Row],[Round]]=4),IF(Games[[#This Row],[Result]]&lt;0.5,1,0),0)</f>
        <v>0</v>
      </c>
    </row>
    <row r="467" spans="1:38" x14ac:dyDescent="0.35">
      <c r="A467" s="10">
        <v>37476</v>
      </c>
      <c r="B467" s="2">
        <v>2002</v>
      </c>
      <c r="C467" s="2">
        <f>COUNTIFS(Games[Team],Games[[#This Row],[Team]],Games[Season],Games[[#This Row],[Season]],Games[Date],"&lt;=" &amp; Games[[#This Row],[Date]])</f>
        <v>29</v>
      </c>
      <c r="D467" s="2" t="s">
        <v>23</v>
      </c>
      <c r="E467" s="2" t="s">
        <v>29</v>
      </c>
      <c r="F467" s="1" t="s">
        <v>66</v>
      </c>
      <c r="G467" s="1" t="s">
        <v>75</v>
      </c>
      <c r="H467" s="1" t="s">
        <v>15</v>
      </c>
      <c r="I467" s="2" cm="1">
        <f t="array" ref="I4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7" s="2" cm="1">
        <f t="array" ref="J4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7" s="2">
        <f>Games[[#This Row],[DaysOff]]-Games[[#This Row],[OppDaysOff]]</f>
        <v>0</v>
      </c>
      <c r="L467" s="2">
        <f>Games[[#This Row],[OppDaysOff]]-Games[[#This Row],[DaysOff]]</f>
        <v>0</v>
      </c>
      <c r="M467" s="16">
        <f>MAX(-16, MIN(16, Games[[#This Row],[RestDiff]]*8))</f>
        <v>0</v>
      </c>
      <c r="N467" s="16">
        <f>MAX(-16, MIN(16, Games[[#This Row],[OppRestDiff]]*8))</f>
        <v>0</v>
      </c>
      <c r="O467" s="4" cm="1">
        <f t="array" ref="O4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1577.068387837669</v>
      </c>
      <c r="P467" s="4" cm="1">
        <f t="array" ref="P4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1431.4266039467864</v>
      </c>
      <c r="Q467" s="4">
        <f>1/(1+10^(((Games[[#This Row],[OppPreGmRate]]+IF(Games[[#This Row],[HomeAway]]="A",HCA,0)+Games[[#This Row],[OppRestAdj]])-(Games[[#This Row],[PreGmRate]]+IF(Games[[#This Row],[HomeAway]]="H",HCA,0)+Games[[#This Row],[RestAdj]]))/400))</f>
        <v>0.78950169350445443</v>
      </c>
      <c r="R467" s="1">
        <v>54</v>
      </c>
      <c r="S467" s="1">
        <v>65</v>
      </c>
      <c r="T467" s="1">
        <v>0</v>
      </c>
      <c r="U467" s="16">
        <f>Games[[#This Row],[PointsFor]]-Games[[#This Row],[PointsAgainst]]</f>
        <v>-11</v>
      </c>
      <c r="V467" s="16">
        <f>IF(Games[[#This Row],[MOV]]&gt;0,1,IF(Games[[#This Row],[MOV]]=0,0.5,0))</f>
        <v>0</v>
      </c>
      <c r="W467" s="4">
        <f>((ABS(Games[[#This Row],[MOV]])+5)^0.6)/(12+0.01*(ABS(Games[[#This Row],[PreGmRate]]-Games[[#This Row],[OppPreGmRate]])))*IF(Games[[#This Row],[OT]]=1,0.9,1)</f>
        <v>0.39223155124020503</v>
      </c>
      <c r="X467" s="7" cm="1">
        <f t="array" ref="X4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7" s="9">
        <f>MAX(kmin, kmax - 0.15 * MIN(Games[[#This Row],[GamesPlayed]], 82))</f>
        <v>71.650000000000006</v>
      </c>
      <c r="Z467" s="4">
        <f>Games[[#This Row],[K]]*Games[[#This Row],[POMult]]</f>
        <v>71.650000000000006</v>
      </c>
      <c r="AA467" s="4">
        <f>(Games[[#This Row],[Keff]]*Games[[#This Row],[MOVMult]])*(Games[[#This Row],[Result]]-Games[[#This Row],[ExpectedWin%]])</f>
        <v>-22.187674508519013</v>
      </c>
      <c r="AB467" s="4">
        <f>Games[[#This Row],[PreGmRate]]+Games[[#This Row],[RatingChange]]</f>
        <v>1554.88071332915</v>
      </c>
      <c r="AC467" s="2">
        <f>IF(Games[[#This Row],[Type]]="R",IF(Games[[#This Row],[Result]]&gt;0.5,1,0),0)</f>
        <v>0</v>
      </c>
      <c r="AD467" s="2">
        <f>IF(Games[[#This Row],[Type]]="R",IF(Games[[#This Row],[Result]]&lt;0.5,1,0),0)</f>
        <v>1</v>
      </c>
      <c r="AE467" s="2">
        <f>IF(AND(Games[[#This Row],[Type]]="P",Games[[#This Row],[Round]]=1),IF(Games[[#This Row],[Result]]&gt;0.5,1,0),0)</f>
        <v>0</v>
      </c>
      <c r="AF467" s="2">
        <f>IF(AND(Games[[#This Row],[Type]]="P",Games[[#This Row],[Round]]=1),IF(Games[[#This Row],[Result]]&lt;0.5,1,0),0)</f>
        <v>0</v>
      </c>
      <c r="AG467" s="2">
        <f>IF(AND(Games[[#This Row],[Type]]="P",Games[[#This Row],[Round]]=2),IF(Games[[#This Row],[Result]]&gt;0.5,1,0),0)</f>
        <v>0</v>
      </c>
      <c r="AH467" s="2">
        <f>IF(AND(Games[[#This Row],[Type]]="P",Games[[#This Row],[Round]]=2),IF(Games[[#This Row],[Result]]&lt;0.5,1,0),0)</f>
        <v>0</v>
      </c>
      <c r="AI467" s="2">
        <f>IF(AND(Games[[#This Row],[Type]]="P",Games[[#This Row],[Round]]=3),IF(Games[[#This Row],[Result]]&gt;0.5,1,0),0)</f>
        <v>0</v>
      </c>
      <c r="AJ467" s="2">
        <f>IF(AND(Games[[#This Row],[Type]]="P",Games[[#This Row],[Round]]=3),IF(Games[[#This Row],[Result]]&lt;0.5,1,0),0)</f>
        <v>0</v>
      </c>
      <c r="AK467" s="2">
        <f>IF(AND(Games[[#This Row],[Type]]="P",Games[[#This Row],[Round]]=4),IF(Games[[#This Row],[Result]]&gt;0.5,1,0),0)</f>
        <v>0</v>
      </c>
      <c r="AL467" s="2">
        <f>IF(AND(Games[[#This Row],[Type]]="P",Games[[#This Row],[Round]]=4),IF(Games[[#This Row],[Result]]&lt;0.5,1,0),0)</f>
        <v>0</v>
      </c>
    </row>
    <row r="468" spans="1:38" x14ac:dyDescent="0.35">
      <c r="A468" s="10">
        <v>37476</v>
      </c>
      <c r="B468" s="2">
        <v>2002</v>
      </c>
      <c r="C468" s="2">
        <f>COUNTIFS(Games[Team],Games[[#This Row],[Team]],Games[Season],Games[[#This Row],[Season]],Games[Date],"&lt;=" &amp; Games[[#This Row],[Date]])</f>
        <v>29</v>
      </c>
      <c r="D468" s="2" t="s">
        <v>23</v>
      </c>
      <c r="E468" s="2" t="s">
        <v>29</v>
      </c>
      <c r="F468" s="1" t="s">
        <v>45</v>
      </c>
      <c r="G468" s="1" t="s">
        <v>79</v>
      </c>
      <c r="H468" s="1" t="s">
        <v>16</v>
      </c>
      <c r="I468" s="2" cm="1">
        <f t="array" ref="I4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8" s="2" cm="1">
        <f t="array" ref="J46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8" s="2">
        <f>Games[[#This Row],[DaysOff]]-Games[[#This Row],[OppDaysOff]]</f>
        <v>1</v>
      </c>
      <c r="L468" s="2">
        <f>Games[[#This Row],[OppDaysOff]]-Games[[#This Row],[DaysOff]]</f>
        <v>-1</v>
      </c>
      <c r="M468" s="16">
        <f>MAX(-16, MIN(16, Games[[#This Row],[RestDiff]]*8))</f>
        <v>8</v>
      </c>
      <c r="N468" s="16">
        <f>MAX(-16, MIN(16, Games[[#This Row],[OppRestDiff]]*8))</f>
        <v>-8</v>
      </c>
      <c r="O468" s="4" cm="1">
        <f t="array" ref="O4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1483.6870822015517</v>
      </c>
      <c r="P468" s="4" cm="1">
        <f t="array" ref="P4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1485.2743625053347</v>
      </c>
      <c r="Q468" s="4">
        <f>1/(1+10^(((Games[[#This Row],[OppPreGmRate]]+IF(Games[[#This Row],[HomeAway]]="A",HCA,0)+Games[[#This Row],[OppRestAdj]])-(Games[[#This Row],[PreGmRate]]+IF(Games[[#This Row],[HomeAway]]="H",HCA,0)+Games[[#This Row],[RestAdj]]))/400))</f>
        <v>0.4011738168576432</v>
      </c>
      <c r="R468" s="1">
        <v>82</v>
      </c>
      <c r="S468" s="1">
        <v>72</v>
      </c>
      <c r="T468" s="1">
        <v>0</v>
      </c>
      <c r="U468" s="16">
        <f>Games[[#This Row],[PointsFor]]-Games[[#This Row],[PointsAgainst]]</f>
        <v>10</v>
      </c>
      <c r="V468" s="16">
        <f>IF(Games[[#This Row],[MOV]]&gt;0,1,IF(Games[[#This Row],[MOV]]=0,0.5,0))</f>
        <v>1</v>
      </c>
      <c r="W468" s="4">
        <f>((ABS(Games[[#This Row],[MOV]])+5)^0.6)/(12+0.01*(ABS(Games[[#This Row],[PreGmRate]]-Games[[#This Row],[OppPreGmRate]])))*IF(Games[[#This Row],[OT]]=1,0.9,1)</f>
        <v>0.42257075080752432</v>
      </c>
      <c r="X468" s="7" cm="1">
        <f t="array" ref="X4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8" s="9">
        <f>MAX(kmin, kmax - 0.15 * MIN(Games[[#This Row],[GamesPlayed]], 82))</f>
        <v>71.650000000000006</v>
      </c>
      <c r="Z468" s="4">
        <f>Games[[#This Row],[K]]*Games[[#This Row],[POMult]]</f>
        <v>71.650000000000006</v>
      </c>
      <c r="AA468" s="4">
        <f>(Games[[#This Row],[Keff]]*Games[[#This Row],[MOVMult]])*(Games[[#This Row],[Result]]-Games[[#This Row],[ExpectedWin%]])</f>
        <v>18.130776696149439</v>
      </c>
      <c r="AB468" s="4">
        <f>Games[[#This Row],[PreGmRate]]+Games[[#This Row],[RatingChange]]</f>
        <v>1501.8178588977012</v>
      </c>
      <c r="AC468" s="2">
        <f>IF(Games[[#This Row],[Type]]="R",IF(Games[[#This Row],[Result]]&gt;0.5,1,0),0)</f>
        <v>1</v>
      </c>
      <c r="AD468" s="2">
        <f>IF(Games[[#This Row],[Type]]="R",IF(Games[[#This Row],[Result]]&lt;0.5,1,0),0)</f>
        <v>0</v>
      </c>
      <c r="AE468" s="2">
        <f>IF(AND(Games[[#This Row],[Type]]="P",Games[[#This Row],[Round]]=1),IF(Games[[#This Row],[Result]]&gt;0.5,1,0),0)</f>
        <v>0</v>
      </c>
      <c r="AF468" s="2">
        <f>IF(AND(Games[[#This Row],[Type]]="P",Games[[#This Row],[Round]]=1),IF(Games[[#This Row],[Result]]&lt;0.5,1,0),0)</f>
        <v>0</v>
      </c>
      <c r="AG468" s="2">
        <f>IF(AND(Games[[#This Row],[Type]]="P",Games[[#This Row],[Round]]=2),IF(Games[[#This Row],[Result]]&gt;0.5,1,0),0)</f>
        <v>0</v>
      </c>
      <c r="AH468" s="2">
        <f>IF(AND(Games[[#This Row],[Type]]="P",Games[[#This Row],[Round]]=2),IF(Games[[#This Row],[Result]]&lt;0.5,1,0),0)</f>
        <v>0</v>
      </c>
      <c r="AI468" s="2">
        <f>IF(AND(Games[[#This Row],[Type]]="P",Games[[#This Row],[Round]]=3),IF(Games[[#This Row],[Result]]&gt;0.5,1,0),0)</f>
        <v>0</v>
      </c>
      <c r="AJ468" s="2">
        <f>IF(AND(Games[[#This Row],[Type]]="P",Games[[#This Row],[Round]]=3),IF(Games[[#This Row],[Result]]&lt;0.5,1,0),0)</f>
        <v>0</v>
      </c>
      <c r="AK468" s="2">
        <f>IF(AND(Games[[#This Row],[Type]]="P",Games[[#This Row],[Round]]=4),IF(Games[[#This Row],[Result]]&gt;0.5,1,0),0)</f>
        <v>0</v>
      </c>
      <c r="AL468" s="2">
        <f>IF(AND(Games[[#This Row],[Type]]="P",Games[[#This Row],[Round]]=4),IF(Games[[#This Row],[Result]]&lt;0.5,1,0),0)</f>
        <v>0</v>
      </c>
    </row>
    <row r="469" spans="1:38" x14ac:dyDescent="0.35">
      <c r="A469" s="10">
        <v>37476</v>
      </c>
      <c r="B469" s="2">
        <v>2002</v>
      </c>
      <c r="C469" s="2">
        <f>COUNTIFS(Games[Team],Games[[#This Row],[Team]],Games[Season],Games[[#This Row],[Season]],Games[Date],"&lt;=" &amp; Games[[#This Row],[Date]])</f>
        <v>30</v>
      </c>
      <c r="D469" s="2" t="s">
        <v>23</v>
      </c>
      <c r="E469" s="2" t="s">
        <v>29</v>
      </c>
      <c r="F469" s="1" t="s">
        <v>79</v>
      </c>
      <c r="G469" s="1" t="s">
        <v>45</v>
      </c>
      <c r="H469" s="1" t="s">
        <v>15</v>
      </c>
      <c r="I469" s="2" cm="1">
        <f t="array" ref="I46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9" s="2" cm="1">
        <f t="array" ref="J4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9" s="2">
        <f>Games[[#This Row],[DaysOff]]-Games[[#This Row],[OppDaysOff]]</f>
        <v>-1</v>
      </c>
      <c r="L469" s="2">
        <f>Games[[#This Row],[OppDaysOff]]-Games[[#This Row],[DaysOff]]</f>
        <v>1</v>
      </c>
      <c r="M469" s="16">
        <f>MAX(-16, MIN(16, Games[[#This Row],[RestDiff]]*8))</f>
        <v>-8</v>
      </c>
      <c r="N469" s="16">
        <f>MAX(-16, MIN(16, Games[[#This Row],[OppRestDiff]]*8))</f>
        <v>8</v>
      </c>
      <c r="O469" s="4" cm="1">
        <f t="array" ref="O4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1485.2743625053347</v>
      </c>
      <c r="P469" s="4" cm="1">
        <f t="array" ref="P4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1483.6870822015517</v>
      </c>
      <c r="Q469" s="4">
        <f>1/(1+10^(((Games[[#This Row],[OppPreGmRate]]+IF(Games[[#This Row],[HomeAway]]="A",HCA,0)+Games[[#This Row],[OppRestAdj]])-(Games[[#This Row],[PreGmRate]]+IF(Games[[#This Row],[HomeAway]]="H",HCA,0)+Games[[#This Row],[RestAdj]]))/400))</f>
        <v>0.5988261831423568</v>
      </c>
      <c r="R469" s="1">
        <v>72</v>
      </c>
      <c r="S469" s="1">
        <v>82</v>
      </c>
      <c r="T469" s="1">
        <v>0</v>
      </c>
      <c r="U469" s="16">
        <f>Games[[#This Row],[PointsFor]]-Games[[#This Row],[PointsAgainst]]</f>
        <v>-10</v>
      </c>
      <c r="V469" s="16">
        <f>IF(Games[[#This Row],[MOV]]&gt;0,1,IF(Games[[#This Row],[MOV]]=0,0.5,0))</f>
        <v>0</v>
      </c>
      <c r="W469" s="4">
        <f>((ABS(Games[[#This Row],[MOV]])+5)^0.6)/(12+0.01*(ABS(Games[[#This Row],[PreGmRate]]-Games[[#This Row],[OppPreGmRate]])))*IF(Games[[#This Row],[OT]]=1,0.9,1)</f>
        <v>0.42257075080752432</v>
      </c>
      <c r="X469" s="7" cm="1">
        <f t="array" ref="X4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9" s="9">
        <f>MAX(kmin, kmax - 0.15 * MIN(Games[[#This Row],[GamesPlayed]], 82))</f>
        <v>71.5</v>
      </c>
      <c r="Z469" s="4">
        <f>Games[[#This Row],[K]]*Games[[#This Row],[POMult]]</f>
        <v>71.5</v>
      </c>
      <c r="AA469" s="4">
        <f>(Games[[#This Row],[Keff]]*Games[[#This Row],[MOVMult]])*(Games[[#This Row],[Result]]-Games[[#This Row],[ExpectedWin%]])</f>
        <v>-18.092819731677388</v>
      </c>
      <c r="AB469" s="4">
        <f>Games[[#This Row],[PreGmRate]]+Games[[#This Row],[RatingChange]]</f>
        <v>1467.1815427736574</v>
      </c>
      <c r="AC469" s="2">
        <f>IF(Games[[#This Row],[Type]]="R",IF(Games[[#This Row],[Result]]&gt;0.5,1,0),0)</f>
        <v>0</v>
      </c>
      <c r="AD469" s="2">
        <f>IF(Games[[#This Row],[Type]]="R",IF(Games[[#This Row],[Result]]&lt;0.5,1,0),0)</f>
        <v>1</v>
      </c>
      <c r="AE469" s="2">
        <f>IF(AND(Games[[#This Row],[Type]]="P",Games[[#This Row],[Round]]=1),IF(Games[[#This Row],[Result]]&gt;0.5,1,0),0)</f>
        <v>0</v>
      </c>
      <c r="AF469" s="2">
        <f>IF(AND(Games[[#This Row],[Type]]="P",Games[[#This Row],[Round]]=1),IF(Games[[#This Row],[Result]]&lt;0.5,1,0),0)</f>
        <v>0</v>
      </c>
      <c r="AG469" s="2">
        <f>IF(AND(Games[[#This Row],[Type]]="P",Games[[#This Row],[Round]]=2),IF(Games[[#This Row],[Result]]&gt;0.5,1,0),0)</f>
        <v>0</v>
      </c>
      <c r="AH469" s="2">
        <f>IF(AND(Games[[#This Row],[Type]]="P",Games[[#This Row],[Round]]=2),IF(Games[[#This Row],[Result]]&lt;0.5,1,0),0)</f>
        <v>0</v>
      </c>
      <c r="AI469" s="2">
        <f>IF(AND(Games[[#This Row],[Type]]="P",Games[[#This Row],[Round]]=3),IF(Games[[#This Row],[Result]]&gt;0.5,1,0),0)</f>
        <v>0</v>
      </c>
      <c r="AJ469" s="2">
        <f>IF(AND(Games[[#This Row],[Type]]="P",Games[[#This Row],[Round]]=3),IF(Games[[#This Row],[Result]]&lt;0.5,1,0),0)</f>
        <v>0</v>
      </c>
      <c r="AK469" s="2">
        <f>IF(AND(Games[[#This Row],[Type]]="P",Games[[#This Row],[Round]]=4),IF(Games[[#This Row],[Result]]&gt;0.5,1,0),0)</f>
        <v>0</v>
      </c>
      <c r="AL469" s="2">
        <f>IF(AND(Games[[#This Row],[Type]]="P",Games[[#This Row],[Round]]=4),IF(Games[[#This Row],[Result]]&lt;0.5,1,0),0)</f>
        <v>0</v>
      </c>
    </row>
    <row r="470" spans="1:38" x14ac:dyDescent="0.35">
      <c r="A470" s="10">
        <v>37477</v>
      </c>
      <c r="B470" s="2">
        <v>2002</v>
      </c>
      <c r="C470" s="2">
        <f>COUNTIFS(Games[Team],Games[[#This Row],[Team]],Games[Season],Games[[#This Row],[Season]],Games[Date],"&lt;=" &amp; Games[[#This Row],[Date]])</f>
        <v>30</v>
      </c>
      <c r="D470" s="2" t="s">
        <v>23</v>
      </c>
      <c r="E470" s="2" t="s">
        <v>29</v>
      </c>
      <c r="F470" s="1" t="s">
        <v>85</v>
      </c>
      <c r="G470" s="1" t="s">
        <v>77</v>
      </c>
      <c r="H470" s="1" t="s">
        <v>16</v>
      </c>
      <c r="I470" s="2" cm="1">
        <f t="array" ref="I4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0" s="2" cm="1">
        <f t="array" ref="J47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0" s="2">
        <f>Games[[#This Row],[DaysOff]]-Games[[#This Row],[OppDaysOff]]</f>
        <v>-1</v>
      </c>
      <c r="L470" s="2">
        <f>Games[[#This Row],[OppDaysOff]]-Games[[#This Row],[DaysOff]]</f>
        <v>1</v>
      </c>
      <c r="M470" s="16">
        <f>MAX(-16, MIN(16, Games[[#This Row],[RestDiff]]*8))</f>
        <v>-8</v>
      </c>
      <c r="N470" s="16">
        <f>MAX(-16, MIN(16, Games[[#This Row],[OppRestDiff]]*8))</f>
        <v>8</v>
      </c>
      <c r="O470" s="4" cm="1">
        <f t="array" ref="O4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1472.5159928980622</v>
      </c>
      <c r="P470" s="4" cm="1">
        <f t="array" ref="P4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1388.8155188454614</v>
      </c>
      <c r="Q470" s="4">
        <f>1/(1+10^(((Games[[#This Row],[OppPreGmRate]]+IF(Games[[#This Row],[HomeAway]]="A",HCA,0)+Games[[#This Row],[OppRestAdj]])-(Games[[#This Row],[PreGmRate]]+IF(Games[[#This Row],[HomeAway]]="H",HCA,0)+Games[[#This Row],[RestAdj]]))/400))</f>
        <v>0.47656029025262331</v>
      </c>
      <c r="R470" s="1">
        <v>54</v>
      </c>
      <c r="S470" s="1">
        <v>55</v>
      </c>
      <c r="T470" s="1">
        <v>0</v>
      </c>
      <c r="U470" s="16">
        <f>Games[[#This Row],[PointsFor]]-Games[[#This Row],[PointsAgainst]]</f>
        <v>-1</v>
      </c>
      <c r="V470" s="16">
        <f>IF(Games[[#This Row],[MOV]]&gt;0,1,IF(Games[[#This Row],[MOV]]=0,0.5,0))</f>
        <v>0</v>
      </c>
      <c r="W470" s="4">
        <f>((ABS(Games[[#This Row],[MOV]])+5)^0.6)/(12+0.01*(ABS(Games[[#This Row],[PreGmRate]]-Games[[#This Row],[OppPreGmRate]])))*IF(Games[[#This Row],[OT]]=1,0.9,1)</f>
        <v>0.22825854713078927</v>
      </c>
      <c r="X470" s="7" cm="1">
        <f t="array" ref="X4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0" s="9">
        <f>MAX(kmin, kmax - 0.15 * MIN(Games[[#This Row],[GamesPlayed]], 82))</f>
        <v>71.5</v>
      </c>
      <c r="Z470" s="4">
        <f>Games[[#This Row],[K]]*Games[[#This Row],[POMult]]</f>
        <v>71.5</v>
      </c>
      <c r="AA470" s="4">
        <f>(Games[[#This Row],[Keff]]*Games[[#This Row],[MOVMult]])*(Games[[#This Row],[Result]]-Games[[#This Row],[ExpectedWin%]])</f>
        <v>-7.7776956023403097</v>
      </c>
      <c r="AB470" s="4">
        <f>Games[[#This Row],[PreGmRate]]+Games[[#This Row],[RatingChange]]</f>
        <v>1464.7382972957218</v>
      </c>
      <c r="AC470" s="2">
        <f>IF(Games[[#This Row],[Type]]="R",IF(Games[[#This Row],[Result]]&gt;0.5,1,0),0)</f>
        <v>0</v>
      </c>
      <c r="AD470" s="2">
        <f>IF(Games[[#This Row],[Type]]="R",IF(Games[[#This Row],[Result]]&lt;0.5,1,0),0)</f>
        <v>1</v>
      </c>
      <c r="AE470" s="2">
        <f>IF(AND(Games[[#This Row],[Type]]="P",Games[[#This Row],[Round]]=1),IF(Games[[#This Row],[Result]]&gt;0.5,1,0),0)</f>
        <v>0</v>
      </c>
      <c r="AF470" s="2">
        <f>IF(AND(Games[[#This Row],[Type]]="P",Games[[#This Row],[Round]]=1),IF(Games[[#This Row],[Result]]&lt;0.5,1,0),0)</f>
        <v>0</v>
      </c>
      <c r="AG470" s="2">
        <f>IF(AND(Games[[#This Row],[Type]]="P",Games[[#This Row],[Round]]=2),IF(Games[[#This Row],[Result]]&gt;0.5,1,0),0)</f>
        <v>0</v>
      </c>
      <c r="AH470" s="2">
        <f>IF(AND(Games[[#This Row],[Type]]="P",Games[[#This Row],[Round]]=2),IF(Games[[#This Row],[Result]]&lt;0.5,1,0),0)</f>
        <v>0</v>
      </c>
      <c r="AI470" s="2">
        <f>IF(AND(Games[[#This Row],[Type]]="P",Games[[#This Row],[Round]]=3),IF(Games[[#This Row],[Result]]&gt;0.5,1,0),0)</f>
        <v>0</v>
      </c>
      <c r="AJ470" s="2">
        <f>IF(AND(Games[[#This Row],[Type]]="P",Games[[#This Row],[Round]]=3),IF(Games[[#This Row],[Result]]&lt;0.5,1,0),0)</f>
        <v>0</v>
      </c>
      <c r="AK470" s="2">
        <f>IF(AND(Games[[#This Row],[Type]]="P",Games[[#This Row],[Round]]=4),IF(Games[[#This Row],[Result]]&gt;0.5,1,0),0)</f>
        <v>0</v>
      </c>
      <c r="AL470" s="2">
        <f>IF(AND(Games[[#This Row],[Type]]="P",Games[[#This Row],[Round]]=4),IF(Games[[#This Row],[Result]]&lt;0.5,1,0),0)</f>
        <v>0</v>
      </c>
    </row>
    <row r="471" spans="1:38" x14ac:dyDescent="0.35">
      <c r="A471" s="10">
        <v>37477</v>
      </c>
      <c r="B471" s="2">
        <v>2002</v>
      </c>
      <c r="C471" s="2">
        <f>COUNTIFS(Games[Team],Games[[#This Row],[Team]],Games[Season],Games[[#This Row],[Season]],Games[Date],"&lt;=" &amp; Games[[#This Row],[Date]])</f>
        <v>30</v>
      </c>
      <c r="D471" s="2" t="s">
        <v>23</v>
      </c>
      <c r="E471" s="2" t="s">
        <v>29</v>
      </c>
      <c r="F471" s="1" t="s">
        <v>77</v>
      </c>
      <c r="G471" s="1" t="s">
        <v>85</v>
      </c>
      <c r="H471" s="1" t="s">
        <v>15</v>
      </c>
      <c r="I471" s="2" cm="1">
        <f t="array" ref="I47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1" s="2" cm="1">
        <f t="array" ref="J4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1" s="2">
        <f>Games[[#This Row],[DaysOff]]-Games[[#This Row],[OppDaysOff]]</f>
        <v>1</v>
      </c>
      <c r="L471" s="2">
        <f>Games[[#This Row],[OppDaysOff]]-Games[[#This Row],[DaysOff]]</f>
        <v>-1</v>
      </c>
      <c r="M471" s="16">
        <f>MAX(-16, MIN(16, Games[[#This Row],[RestDiff]]*8))</f>
        <v>8</v>
      </c>
      <c r="N471" s="16">
        <f>MAX(-16, MIN(16, Games[[#This Row],[OppRestDiff]]*8))</f>
        <v>-8</v>
      </c>
      <c r="O471" s="4" cm="1">
        <f t="array" ref="O4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1388.8155188454614</v>
      </c>
      <c r="P471" s="4" cm="1">
        <f t="array" ref="P4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1472.5159928980622</v>
      </c>
      <c r="Q471" s="4">
        <f>1/(1+10^(((Games[[#This Row],[OppPreGmRate]]+IF(Games[[#This Row],[HomeAway]]="A",HCA,0)+Games[[#This Row],[OppRestAdj]])-(Games[[#This Row],[PreGmRate]]+IF(Games[[#This Row],[HomeAway]]="H",HCA,0)+Games[[#This Row],[RestAdj]]))/400))</f>
        <v>0.52343970974737675</v>
      </c>
      <c r="R471" s="1">
        <v>55</v>
      </c>
      <c r="S471" s="1">
        <v>54</v>
      </c>
      <c r="T471" s="1">
        <v>0</v>
      </c>
      <c r="U471" s="16">
        <f>Games[[#This Row],[PointsFor]]-Games[[#This Row],[PointsAgainst]]</f>
        <v>1</v>
      </c>
      <c r="V471" s="16">
        <f>IF(Games[[#This Row],[MOV]]&gt;0,1,IF(Games[[#This Row],[MOV]]=0,0.5,0))</f>
        <v>1</v>
      </c>
      <c r="W471" s="4">
        <f>((ABS(Games[[#This Row],[MOV]])+5)^0.6)/(12+0.01*(ABS(Games[[#This Row],[PreGmRate]]-Games[[#This Row],[OppPreGmRate]])))*IF(Games[[#This Row],[OT]]=1,0.9,1)</f>
        <v>0.22825854713078927</v>
      </c>
      <c r="X471" s="7" cm="1">
        <f t="array" ref="X4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1" s="9">
        <f>MAX(kmin, kmax - 0.15 * MIN(Games[[#This Row],[GamesPlayed]], 82))</f>
        <v>71.5</v>
      </c>
      <c r="Z471" s="4">
        <f>Games[[#This Row],[K]]*Games[[#This Row],[POMult]]</f>
        <v>71.5</v>
      </c>
      <c r="AA471" s="4">
        <f>(Games[[#This Row],[Keff]]*Games[[#This Row],[MOVMult]])*(Games[[#This Row],[Result]]-Games[[#This Row],[ExpectedWin%]])</f>
        <v>7.7776956023403088</v>
      </c>
      <c r="AB471" s="4">
        <f>Games[[#This Row],[PreGmRate]]+Games[[#This Row],[RatingChange]]</f>
        <v>1396.5932144478018</v>
      </c>
      <c r="AC471" s="2">
        <f>IF(Games[[#This Row],[Type]]="R",IF(Games[[#This Row],[Result]]&gt;0.5,1,0),0)</f>
        <v>1</v>
      </c>
      <c r="AD471" s="2">
        <f>IF(Games[[#This Row],[Type]]="R",IF(Games[[#This Row],[Result]]&lt;0.5,1,0),0)</f>
        <v>0</v>
      </c>
      <c r="AE471" s="2">
        <f>IF(AND(Games[[#This Row],[Type]]="P",Games[[#This Row],[Round]]=1),IF(Games[[#This Row],[Result]]&gt;0.5,1,0),0)</f>
        <v>0</v>
      </c>
      <c r="AF471" s="2">
        <f>IF(AND(Games[[#This Row],[Type]]="P",Games[[#This Row],[Round]]=1),IF(Games[[#This Row],[Result]]&lt;0.5,1,0),0)</f>
        <v>0</v>
      </c>
      <c r="AG471" s="2">
        <f>IF(AND(Games[[#This Row],[Type]]="P",Games[[#This Row],[Round]]=2),IF(Games[[#This Row],[Result]]&gt;0.5,1,0),0)</f>
        <v>0</v>
      </c>
      <c r="AH471" s="2">
        <f>IF(AND(Games[[#This Row],[Type]]="P",Games[[#This Row],[Round]]=2),IF(Games[[#This Row],[Result]]&lt;0.5,1,0),0)</f>
        <v>0</v>
      </c>
      <c r="AI471" s="2">
        <f>IF(AND(Games[[#This Row],[Type]]="P",Games[[#This Row],[Round]]=3),IF(Games[[#This Row],[Result]]&gt;0.5,1,0),0)</f>
        <v>0</v>
      </c>
      <c r="AJ471" s="2">
        <f>IF(AND(Games[[#This Row],[Type]]="P",Games[[#This Row],[Round]]=3),IF(Games[[#This Row],[Result]]&lt;0.5,1,0),0)</f>
        <v>0</v>
      </c>
      <c r="AK471" s="2">
        <f>IF(AND(Games[[#This Row],[Type]]="P",Games[[#This Row],[Round]]=4),IF(Games[[#This Row],[Result]]&gt;0.5,1,0),0)</f>
        <v>0</v>
      </c>
      <c r="AL471" s="2">
        <f>IF(AND(Games[[#This Row],[Type]]="P",Games[[#This Row],[Round]]=4),IF(Games[[#This Row],[Result]]&lt;0.5,1,0),0)</f>
        <v>0</v>
      </c>
    </row>
    <row r="472" spans="1:38" x14ac:dyDescent="0.35">
      <c r="A472" s="10">
        <v>37477</v>
      </c>
      <c r="B472" s="2">
        <v>2002</v>
      </c>
      <c r="C472" s="2">
        <f>COUNTIFS(Games[Team],Games[[#This Row],[Team]],Games[Season],Games[[#This Row],[Season]],Games[Date],"&lt;=" &amp; Games[[#This Row],[Date]])</f>
        <v>30</v>
      </c>
      <c r="D472" s="2" t="s">
        <v>23</v>
      </c>
      <c r="E472" s="2" t="s">
        <v>29</v>
      </c>
      <c r="F472" s="1" t="s">
        <v>1</v>
      </c>
      <c r="G472" s="1" t="s">
        <v>83</v>
      </c>
      <c r="H472" s="1" t="s">
        <v>16</v>
      </c>
      <c r="I472" s="2" cm="1">
        <f t="array" ref="I4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2" s="2" cm="1">
        <f t="array" ref="J47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72" s="2">
        <f>Games[[#This Row],[DaysOff]]-Games[[#This Row],[OppDaysOff]]</f>
        <v>-3</v>
      </c>
      <c r="L472" s="2">
        <f>Games[[#This Row],[OppDaysOff]]-Games[[#This Row],[DaysOff]]</f>
        <v>3</v>
      </c>
      <c r="M472" s="16">
        <f>MAX(-16, MIN(16, Games[[#This Row],[RestDiff]]*8))</f>
        <v>-16</v>
      </c>
      <c r="N472" s="16">
        <f>MAX(-16, MIN(16, Games[[#This Row],[OppRestDiff]]*8))</f>
        <v>16</v>
      </c>
      <c r="O472" s="4" cm="1">
        <f t="array" ref="O4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1435.2163110556216</v>
      </c>
      <c r="P472" s="4" cm="1">
        <f t="array" ref="P4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1495.1627044984875</v>
      </c>
      <c r="Q472" s="4">
        <f>1/(1+10^(((Games[[#This Row],[OppPreGmRate]]+IF(Games[[#This Row],[HomeAway]]="A",HCA,0)+Games[[#This Row],[OppRestAdj]])-(Games[[#This Row],[PreGmRate]]+IF(Games[[#This Row],[HomeAway]]="H",HCA,0)+Games[[#This Row],[RestAdj]]))/400))</f>
        <v>0.26642660399534074</v>
      </c>
      <c r="R472" s="1">
        <v>59</v>
      </c>
      <c r="S472" s="1">
        <v>65</v>
      </c>
      <c r="T472" s="1">
        <v>0</v>
      </c>
      <c r="U472" s="16">
        <f>Games[[#This Row],[PointsFor]]-Games[[#This Row],[PointsAgainst]]</f>
        <v>-6</v>
      </c>
      <c r="V472" s="16">
        <f>IF(Games[[#This Row],[MOV]]&gt;0,1,IF(Games[[#This Row],[MOV]]=0,0.5,0))</f>
        <v>0</v>
      </c>
      <c r="W472" s="4">
        <f>((ABS(Games[[#This Row],[MOV]])+5)^0.6)/(12+0.01*(ABS(Games[[#This Row],[PreGmRate]]-Games[[#This Row],[OppPreGmRate]])))*IF(Games[[#This Row],[OT]]=1,0.9,1)</f>
        <v>0.33456733993048665</v>
      </c>
      <c r="X472" s="7" cm="1">
        <f t="array" ref="X4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2" s="9">
        <f>MAX(kmin, kmax - 0.15 * MIN(Games[[#This Row],[GamesPlayed]], 82))</f>
        <v>71.5</v>
      </c>
      <c r="Z472" s="4">
        <f>Games[[#This Row],[K]]*Games[[#This Row],[POMult]]</f>
        <v>71.5</v>
      </c>
      <c r="AA472" s="4">
        <f>(Games[[#This Row],[Keff]]*Games[[#This Row],[MOVMult]])*(Games[[#This Row],[Result]]-Games[[#This Row],[ExpectedWin%]])</f>
        <v>-6.3733412732585535</v>
      </c>
      <c r="AB472" s="4">
        <f>Games[[#This Row],[PreGmRate]]+Games[[#This Row],[RatingChange]]</f>
        <v>1428.8429697823631</v>
      </c>
      <c r="AC472" s="2">
        <f>IF(Games[[#This Row],[Type]]="R",IF(Games[[#This Row],[Result]]&gt;0.5,1,0),0)</f>
        <v>0</v>
      </c>
      <c r="AD472" s="2">
        <f>IF(Games[[#This Row],[Type]]="R",IF(Games[[#This Row],[Result]]&lt;0.5,1,0),0)</f>
        <v>1</v>
      </c>
      <c r="AE472" s="2">
        <f>IF(AND(Games[[#This Row],[Type]]="P",Games[[#This Row],[Round]]=1),IF(Games[[#This Row],[Result]]&gt;0.5,1,0),0)</f>
        <v>0</v>
      </c>
      <c r="AF472" s="2">
        <f>IF(AND(Games[[#This Row],[Type]]="P",Games[[#This Row],[Round]]=1),IF(Games[[#This Row],[Result]]&lt;0.5,1,0),0)</f>
        <v>0</v>
      </c>
      <c r="AG472" s="2">
        <f>IF(AND(Games[[#This Row],[Type]]="P",Games[[#This Row],[Round]]=2),IF(Games[[#This Row],[Result]]&gt;0.5,1,0),0)</f>
        <v>0</v>
      </c>
      <c r="AH472" s="2">
        <f>IF(AND(Games[[#This Row],[Type]]="P",Games[[#This Row],[Round]]=2),IF(Games[[#This Row],[Result]]&lt;0.5,1,0),0)</f>
        <v>0</v>
      </c>
      <c r="AI472" s="2">
        <f>IF(AND(Games[[#This Row],[Type]]="P",Games[[#This Row],[Round]]=3),IF(Games[[#This Row],[Result]]&gt;0.5,1,0),0)</f>
        <v>0</v>
      </c>
      <c r="AJ472" s="2">
        <f>IF(AND(Games[[#This Row],[Type]]="P",Games[[#This Row],[Round]]=3),IF(Games[[#This Row],[Result]]&lt;0.5,1,0),0)</f>
        <v>0</v>
      </c>
      <c r="AK472" s="2">
        <f>IF(AND(Games[[#This Row],[Type]]="P",Games[[#This Row],[Round]]=4),IF(Games[[#This Row],[Result]]&gt;0.5,1,0),0)</f>
        <v>0</v>
      </c>
      <c r="AL472" s="2">
        <f>IF(AND(Games[[#This Row],[Type]]="P",Games[[#This Row],[Round]]=4),IF(Games[[#This Row],[Result]]&lt;0.5,1,0),0)</f>
        <v>0</v>
      </c>
    </row>
    <row r="473" spans="1:38" x14ac:dyDescent="0.35">
      <c r="A473" s="10">
        <v>37477</v>
      </c>
      <c r="B473" s="2">
        <v>2002</v>
      </c>
      <c r="C473" s="2">
        <f>COUNTIFS(Games[Team],Games[[#This Row],[Team]],Games[Season],Games[[#This Row],[Season]],Games[Date],"&lt;=" &amp; Games[[#This Row],[Date]])</f>
        <v>30</v>
      </c>
      <c r="D473" s="2" t="s">
        <v>23</v>
      </c>
      <c r="E473" s="2" t="s">
        <v>29</v>
      </c>
      <c r="F473" s="1" t="s">
        <v>83</v>
      </c>
      <c r="G473" s="1" t="s">
        <v>1</v>
      </c>
      <c r="H473" s="1" t="s">
        <v>15</v>
      </c>
      <c r="I473" s="2" cm="1">
        <f t="array" ref="I473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3" s="2" cm="1">
        <f t="array" ref="J4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3" s="2">
        <f>Games[[#This Row],[DaysOff]]-Games[[#This Row],[OppDaysOff]]</f>
        <v>3</v>
      </c>
      <c r="L473" s="2">
        <f>Games[[#This Row],[OppDaysOff]]-Games[[#This Row],[DaysOff]]</f>
        <v>-3</v>
      </c>
      <c r="M473" s="16">
        <f>MAX(-16, MIN(16, Games[[#This Row],[RestDiff]]*8))</f>
        <v>16</v>
      </c>
      <c r="N473" s="16">
        <f>MAX(-16, MIN(16, Games[[#This Row],[OppRestDiff]]*8))</f>
        <v>-16</v>
      </c>
      <c r="O473" s="4" cm="1">
        <f t="array" ref="O4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1495.1627044984875</v>
      </c>
      <c r="P473" s="4" cm="1">
        <f t="array" ref="P4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1435.2163110556216</v>
      </c>
      <c r="Q473" s="4">
        <f>1/(1+10^(((Games[[#This Row],[OppPreGmRate]]+IF(Games[[#This Row],[HomeAway]]="A",HCA,0)+Games[[#This Row],[OppRestAdj]])-(Games[[#This Row],[PreGmRate]]+IF(Games[[#This Row],[HomeAway]]="H",HCA,0)+Games[[#This Row],[RestAdj]]))/400))</f>
        <v>0.73357339600465921</v>
      </c>
      <c r="R473" s="1">
        <v>65</v>
      </c>
      <c r="S473" s="1">
        <v>59</v>
      </c>
      <c r="T473" s="1">
        <v>0</v>
      </c>
      <c r="U473" s="16">
        <f>Games[[#This Row],[PointsFor]]-Games[[#This Row],[PointsAgainst]]</f>
        <v>6</v>
      </c>
      <c r="V473" s="16">
        <f>IF(Games[[#This Row],[MOV]]&gt;0,1,IF(Games[[#This Row],[MOV]]=0,0.5,0))</f>
        <v>1</v>
      </c>
      <c r="W473" s="4">
        <f>((ABS(Games[[#This Row],[MOV]])+5)^0.6)/(12+0.01*(ABS(Games[[#This Row],[PreGmRate]]-Games[[#This Row],[OppPreGmRate]])))*IF(Games[[#This Row],[OT]]=1,0.9,1)</f>
        <v>0.33456733993048665</v>
      </c>
      <c r="X473" s="7" cm="1">
        <f t="array" ref="X4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3" s="9">
        <f>MAX(kmin, kmax - 0.15 * MIN(Games[[#This Row],[GamesPlayed]], 82))</f>
        <v>71.5</v>
      </c>
      <c r="Z473" s="4">
        <f>Games[[#This Row],[K]]*Games[[#This Row],[POMult]]</f>
        <v>71.5</v>
      </c>
      <c r="AA473" s="4">
        <f>(Games[[#This Row],[Keff]]*Games[[#This Row],[MOVMult]])*(Games[[#This Row],[Result]]-Games[[#This Row],[ExpectedWin%]])</f>
        <v>6.3733412732585553</v>
      </c>
      <c r="AB473" s="4">
        <f>Games[[#This Row],[PreGmRate]]+Games[[#This Row],[RatingChange]]</f>
        <v>1501.5360457717461</v>
      </c>
      <c r="AC473" s="2">
        <f>IF(Games[[#This Row],[Type]]="R",IF(Games[[#This Row],[Result]]&gt;0.5,1,0),0)</f>
        <v>1</v>
      </c>
      <c r="AD473" s="2">
        <f>IF(Games[[#This Row],[Type]]="R",IF(Games[[#This Row],[Result]]&lt;0.5,1,0),0)</f>
        <v>0</v>
      </c>
      <c r="AE473" s="2">
        <f>IF(AND(Games[[#This Row],[Type]]="P",Games[[#This Row],[Round]]=1),IF(Games[[#This Row],[Result]]&gt;0.5,1,0),0)</f>
        <v>0</v>
      </c>
      <c r="AF473" s="2">
        <f>IF(AND(Games[[#This Row],[Type]]="P",Games[[#This Row],[Round]]=1),IF(Games[[#This Row],[Result]]&lt;0.5,1,0),0)</f>
        <v>0</v>
      </c>
      <c r="AG473" s="2">
        <f>IF(AND(Games[[#This Row],[Type]]="P",Games[[#This Row],[Round]]=2),IF(Games[[#This Row],[Result]]&gt;0.5,1,0),0)</f>
        <v>0</v>
      </c>
      <c r="AH473" s="2">
        <f>IF(AND(Games[[#This Row],[Type]]="P",Games[[#This Row],[Round]]=2),IF(Games[[#This Row],[Result]]&lt;0.5,1,0),0)</f>
        <v>0</v>
      </c>
      <c r="AI473" s="2">
        <f>IF(AND(Games[[#This Row],[Type]]="P",Games[[#This Row],[Round]]=3),IF(Games[[#This Row],[Result]]&gt;0.5,1,0),0)</f>
        <v>0</v>
      </c>
      <c r="AJ473" s="2">
        <f>IF(AND(Games[[#This Row],[Type]]="P",Games[[#This Row],[Round]]=3),IF(Games[[#This Row],[Result]]&lt;0.5,1,0),0)</f>
        <v>0</v>
      </c>
      <c r="AK473" s="2">
        <f>IF(AND(Games[[#This Row],[Type]]="P",Games[[#This Row],[Round]]=4),IF(Games[[#This Row],[Result]]&gt;0.5,1,0),0)</f>
        <v>0</v>
      </c>
      <c r="AL473" s="2">
        <f>IF(AND(Games[[#This Row],[Type]]="P",Games[[#This Row],[Round]]=4),IF(Games[[#This Row],[Result]]&lt;0.5,1,0),0)</f>
        <v>0</v>
      </c>
    </row>
    <row r="474" spans="1:38" x14ac:dyDescent="0.35">
      <c r="A474" s="10">
        <v>37477</v>
      </c>
      <c r="B474" s="2">
        <v>2002</v>
      </c>
      <c r="C474" s="2">
        <f>COUNTIFS(Games[Team],Games[[#This Row],[Team]],Games[Season],Games[[#This Row],[Season]],Games[Date],"&lt;=" &amp; Games[[#This Row],[Date]])</f>
        <v>30</v>
      </c>
      <c r="D474" s="2" t="s">
        <v>23</v>
      </c>
      <c r="E474" s="2" t="s">
        <v>29</v>
      </c>
      <c r="F474" s="1" t="s">
        <v>64</v>
      </c>
      <c r="G474" s="1" t="s">
        <v>80</v>
      </c>
      <c r="H474" s="1" t="s">
        <v>16</v>
      </c>
      <c r="I474" s="2" cm="1">
        <f t="array" ref="I47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4" s="2" cm="1">
        <f t="array" ref="J4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4" s="2">
        <f>Games[[#This Row],[DaysOff]]-Games[[#This Row],[OppDaysOff]]</f>
        <v>0</v>
      </c>
      <c r="L474" s="2">
        <f>Games[[#This Row],[OppDaysOff]]-Games[[#This Row],[DaysOff]]</f>
        <v>0</v>
      </c>
      <c r="M474" s="16">
        <f>MAX(-16, MIN(16, Games[[#This Row],[RestDiff]]*8))</f>
        <v>0</v>
      </c>
      <c r="N474" s="16">
        <f>MAX(-16, MIN(16, Games[[#This Row],[OppRestDiff]]*8))</f>
        <v>0</v>
      </c>
      <c r="O474" s="4" cm="1">
        <f t="array" ref="O4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1507.3413615023076</v>
      </c>
      <c r="P474" s="4" cm="1">
        <f t="array" ref="P4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1419.8364722708461</v>
      </c>
      <c r="Q474" s="4">
        <f>1/(1+10^(((Games[[#This Row],[OppPreGmRate]]+IF(Games[[#This Row],[HomeAway]]="A",HCA,0)+Games[[#This Row],[OppRestAdj]])-(Games[[#This Row],[PreGmRate]]+IF(Games[[#This Row],[HomeAway]]="H",HCA,0)+Games[[#This Row],[RestAdj]]))/400))</f>
        <v>0.50504376996806144</v>
      </c>
      <c r="R474" s="1">
        <v>68</v>
      </c>
      <c r="S474" s="1">
        <v>62</v>
      </c>
      <c r="T474" s="1">
        <v>0</v>
      </c>
      <c r="U474" s="16">
        <f>Games[[#This Row],[PointsFor]]-Games[[#This Row],[PointsAgainst]]</f>
        <v>6</v>
      </c>
      <c r="V474" s="16">
        <f>IF(Games[[#This Row],[MOV]]&gt;0,1,IF(Games[[#This Row],[MOV]]=0,0.5,0))</f>
        <v>1</v>
      </c>
      <c r="W474" s="4">
        <f>((ABS(Games[[#This Row],[MOV]])+5)^0.6)/(12+0.01*(ABS(Games[[#This Row],[PreGmRate]]-Games[[#This Row],[OppPreGmRate]])))*IF(Games[[#This Row],[OT]]=1,0.9,1)</f>
        <v>0.32740606799622657</v>
      </c>
      <c r="X474" s="7" cm="1">
        <f t="array" ref="X4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4" s="9">
        <f>MAX(kmin, kmax - 0.15 * MIN(Games[[#This Row],[GamesPlayed]], 82))</f>
        <v>71.5</v>
      </c>
      <c r="Z474" s="4">
        <f>Games[[#This Row],[K]]*Games[[#This Row],[POMult]]</f>
        <v>71.5</v>
      </c>
      <c r="AA474" s="4">
        <f>(Games[[#This Row],[Keff]]*Games[[#This Row],[MOVMult]])*(Games[[#This Row],[Result]]-Games[[#This Row],[ExpectedWin%]])</f>
        <v>11.586694627006988</v>
      </c>
      <c r="AB474" s="4">
        <f>Games[[#This Row],[PreGmRate]]+Games[[#This Row],[RatingChange]]</f>
        <v>1518.9280561293147</v>
      </c>
      <c r="AC474" s="2">
        <f>IF(Games[[#This Row],[Type]]="R",IF(Games[[#This Row],[Result]]&gt;0.5,1,0),0)</f>
        <v>1</v>
      </c>
      <c r="AD474" s="2">
        <f>IF(Games[[#This Row],[Type]]="R",IF(Games[[#This Row],[Result]]&lt;0.5,1,0),0)</f>
        <v>0</v>
      </c>
      <c r="AE474" s="2">
        <f>IF(AND(Games[[#This Row],[Type]]="P",Games[[#This Row],[Round]]=1),IF(Games[[#This Row],[Result]]&gt;0.5,1,0),0)</f>
        <v>0</v>
      </c>
      <c r="AF474" s="2">
        <f>IF(AND(Games[[#This Row],[Type]]="P",Games[[#This Row],[Round]]=1),IF(Games[[#This Row],[Result]]&lt;0.5,1,0),0)</f>
        <v>0</v>
      </c>
      <c r="AG474" s="2">
        <f>IF(AND(Games[[#This Row],[Type]]="P",Games[[#This Row],[Round]]=2),IF(Games[[#This Row],[Result]]&gt;0.5,1,0),0)</f>
        <v>0</v>
      </c>
      <c r="AH474" s="2">
        <f>IF(AND(Games[[#This Row],[Type]]="P",Games[[#This Row],[Round]]=2),IF(Games[[#This Row],[Result]]&lt;0.5,1,0),0)</f>
        <v>0</v>
      </c>
      <c r="AI474" s="2">
        <f>IF(AND(Games[[#This Row],[Type]]="P",Games[[#This Row],[Round]]=3),IF(Games[[#This Row],[Result]]&gt;0.5,1,0),0)</f>
        <v>0</v>
      </c>
      <c r="AJ474" s="2">
        <f>IF(AND(Games[[#This Row],[Type]]="P",Games[[#This Row],[Round]]=3),IF(Games[[#This Row],[Result]]&lt;0.5,1,0),0)</f>
        <v>0</v>
      </c>
      <c r="AK474" s="2">
        <f>IF(AND(Games[[#This Row],[Type]]="P",Games[[#This Row],[Round]]=4),IF(Games[[#This Row],[Result]]&gt;0.5,1,0),0)</f>
        <v>0</v>
      </c>
      <c r="AL474" s="2">
        <f>IF(AND(Games[[#This Row],[Type]]="P",Games[[#This Row],[Round]]=4),IF(Games[[#This Row],[Result]]&lt;0.5,1,0),0)</f>
        <v>0</v>
      </c>
    </row>
    <row r="475" spans="1:38" x14ac:dyDescent="0.35">
      <c r="A475" s="10">
        <v>37477</v>
      </c>
      <c r="B475" s="2">
        <v>2002</v>
      </c>
      <c r="C475" s="2">
        <f>COUNTIFS(Games[Team],Games[[#This Row],[Team]],Games[Season],Games[[#This Row],[Season]],Games[Date],"&lt;=" &amp; Games[[#This Row],[Date]])</f>
        <v>30</v>
      </c>
      <c r="D475" s="2" t="s">
        <v>23</v>
      </c>
      <c r="E475" s="2" t="s">
        <v>29</v>
      </c>
      <c r="F475" s="1" t="s">
        <v>80</v>
      </c>
      <c r="G475" s="1" t="s">
        <v>64</v>
      </c>
      <c r="H475" s="1" t="s">
        <v>15</v>
      </c>
      <c r="I475" s="2" cm="1">
        <f t="array" ref="I4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5" s="2" cm="1">
        <f t="array" ref="J47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5" s="2">
        <f>Games[[#This Row],[DaysOff]]-Games[[#This Row],[OppDaysOff]]</f>
        <v>0</v>
      </c>
      <c r="L475" s="2">
        <f>Games[[#This Row],[OppDaysOff]]-Games[[#This Row],[DaysOff]]</f>
        <v>0</v>
      </c>
      <c r="M475" s="16">
        <f>MAX(-16, MIN(16, Games[[#This Row],[RestDiff]]*8))</f>
        <v>0</v>
      </c>
      <c r="N475" s="16">
        <f>MAX(-16, MIN(16, Games[[#This Row],[OppRestDiff]]*8))</f>
        <v>0</v>
      </c>
      <c r="O475" s="4" cm="1">
        <f t="array" ref="O4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1419.8364722708461</v>
      </c>
      <c r="P475" s="4" cm="1">
        <f t="array" ref="P4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1507.3413615023076</v>
      </c>
      <c r="Q475" s="4">
        <f>1/(1+10^(((Games[[#This Row],[OppPreGmRate]]+IF(Games[[#This Row],[HomeAway]]="A",HCA,0)+Games[[#This Row],[OppRestAdj]])-(Games[[#This Row],[PreGmRate]]+IF(Games[[#This Row],[HomeAway]]="H",HCA,0)+Games[[#This Row],[RestAdj]]))/400))</f>
        <v>0.49495623003193862</v>
      </c>
      <c r="R475" s="1">
        <v>62</v>
      </c>
      <c r="S475" s="1">
        <v>68</v>
      </c>
      <c r="T475" s="1">
        <v>0</v>
      </c>
      <c r="U475" s="16">
        <f>Games[[#This Row],[PointsFor]]-Games[[#This Row],[PointsAgainst]]</f>
        <v>-6</v>
      </c>
      <c r="V475" s="16">
        <f>IF(Games[[#This Row],[MOV]]&gt;0,1,IF(Games[[#This Row],[MOV]]=0,0.5,0))</f>
        <v>0</v>
      </c>
      <c r="W475" s="4">
        <f>((ABS(Games[[#This Row],[MOV]])+5)^0.6)/(12+0.01*(ABS(Games[[#This Row],[PreGmRate]]-Games[[#This Row],[OppPreGmRate]])))*IF(Games[[#This Row],[OT]]=1,0.9,1)</f>
        <v>0.32740606799622657</v>
      </c>
      <c r="X475" s="7" cm="1">
        <f t="array" ref="X4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5" s="9">
        <f>MAX(kmin, kmax - 0.15 * MIN(Games[[#This Row],[GamesPlayed]], 82))</f>
        <v>71.5</v>
      </c>
      <c r="Z475" s="4">
        <f>Games[[#This Row],[K]]*Games[[#This Row],[POMult]]</f>
        <v>71.5</v>
      </c>
      <c r="AA475" s="4">
        <f>(Games[[#This Row],[Keff]]*Games[[#This Row],[MOVMult]])*(Games[[#This Row],[Result]]-Games[[#This Row],[ExpectedWin%]])</f>
        <v>-11.58669462700699</v>
      </c>
      <c r="AB475" s="4">
        <f>Games[[#This Row],[PreGmRate]]+Games[[#This Row],[RatingChange]]</f>
        <v>1408.249777643839</v>
      </c>
      <c r="AC475" s="2">
        <f>IF(Games[[#This Row],[Type]]="R",IF(Games[[#This Row],[Result]]&gt;0.5,1,0),0)</f>
        <v>0</v>
      </c>
      <c r="AD475" s="2">
        <f>IF(Games[[#This Row],[Type]]="R",IF(Games[[#This Row],[Result]]&lt;0.5,1,0),0)</f>
        <v>1</v>
      </c>
      <c r="AE475" s="2">
        <f>IF(AND(Games[[#This Row],[Type]]="P",Games[[#This Row],[Round]]=1),IF(Games[[#This Row],[Result]]&gt;0.5,1,0),0)</f>
        <v>0</v>
      </c>
      <c r="AF475" s="2">
        <f>IF(AND(Games[[#This Row],[Type]]="P",Games[[#This Row],[Round]]=1),IF(Games[[#This Row],[Result]]&lt;0.5,1,0),0)</f>
        <v>0</v>
      </c>
      <c r="AG475" s="2">
        <f>IF(AND(Games[[#This Row],[Type]]="P",Games[[#This Row],[Round]]=2),IF(Games[[#This Row],[Result]]&gt;0.5,1,0),0)</f>
        <v>0</v>
      </c>
      <c r="AH475" s="2">
        <f>IF(AND(Games[[#This Row],[Type]]="P",Games[[#This Row],[Round]]=2),IF(Games[[#This Row],[Result]]&lt;0.5,1,0),0)</f>
        <v>0</v>
      </c>
      <c r="AI475" s="2">
        <f>IF(AND(Games[[#This Row],[Type]]="P",Games[[#This Row],[Round]]=3),IF(Games[[#This Row],[Result]]&gt;0.5,1,0),0)</f>
        <v>0</v>
      </c>
      <c r="AJ475" s="2">
        <f>IF(AND(Games[[#This Row],[Type]]="P",Games[[#This Row],[Round]]=3),IF(Games[[#This Row],[Result]]&lt;0.5,1,0),0)</f>
        <v>0</v>
      </c>
      <c r="AK475" s="2">
        <f>IF(AND(Games[[#This Row],[Type]]="P",Games[[#This Row],[Round]]=4),IF(Games[[#This Row],[Result]]&gt;0.5,1,0),0)</f>
        <v>0</v>
      </c>
      <c r="AL475" s="2">
        <f>IF(AND(Games[[#This Row],[Type]]="P",Games[[#This Row],[Round]]=4),IF(Games[[#This Row],[Result]]&lt;0.5,1,0),0)</f>
        <v>0</v>
      </c>
    </row>
    <row r="476" spans="1:38" x14ac:dyDescent="0.35">
      <c r="A476" s="10">
        <v>37477</v>
      </c>
      <c r="B476" s="2">
        <v>2002</v>
      </c>
      <c r="C476" s="2">
        <f>COUNTIFS(Games[Team],Games[[#This Row],[Team]],Games[Season],Games[[#This Row],[Season]],Games[Date],"&lt;=" &amp; Games[[#This Row],[Date]])</f>
        <v>31</v>
      </c>
      <c r="D476" s="2" t="s">
        <v>23</v>
      </c>
      <c r="E476" s="2" t="s">
        <v>29</v>
      </c>
      <c r="F476" s="1" t="s">
        <v>89</v>
      </c>
      <c r="G476" s="1" t="s">
        <v>87</v>
      </c>
      <c r="H476" s="1" t="s">
        <v>16</v>
      </c>
      <c r="I476" s="2" cm="1">
        <f t="array" ref="I4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6" s="2" cm="1">
        <f t="array" ref="J4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76" s="2">
        <f>Games[[#This Row],[DaysOff]]-Games[[#This Row],[OppDaysOff]]</f>
        <v>-2</v>
      </c>
      <c r="L476" s="2">
        <f>Games[[#This Row],[OppDaysOff]]-Games[[#This Row],[DaysOff]]</f>
        <v>2</v>
      </c>
      <c r="M476" s="16">
        <f>MAX(-16, MIN(16, Games[[#This Row],[RestDiff]]*8))</f>
        <v>-16</v>
      </c>
      <c r="N476" s="16">
        <f>MAX(-16, MIN(16, Games[[#This Row],[OppRestDiff]]*8))</f>
        <v>16</v>
      </c>
      <c r="O476" s="4" cm="1">
        <f t="array" ref="O4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1501.8837260398977</v>
      </c>
      <c r="P476" s="4" cm="1">
        <f t="array" ref="P4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1519.3393141058173</v>
      </c>
      <c r="Q476" s="4">
        <f>1/(1+10^(((Games[[#This Row],[OppPreGmRate]]+IF(Games[[#This Row],[HomeAway]]="A",HCA,0)+Games[[#This Row],[OppRestAdj]])-(Games[[#This Row],[PreGmRate]]+IF(Games[[#This Row],[HomeAway]]="H",HCA,0)+Games[[#This Row],[RestAdj]]))/400))</f>
        <v>0.31686165841154629</v>
      </c>
      <c r="R476" s="1">
        <v>74</v>
      </c>
      <c r="S476" s="1">
        <v>83</v>
      </c>
      <c r="T476" s="1">
        <v>0</v>
      </c>
      <c r="U476" s="16">
        <f>Games[[#This Row],[PointsFor]]-Games[[#This Row],[PointsAgainst]]</f>
        <v>-9</v>
      </c>
      <c r="V476" s="16">
        <f>IF(Games[[#This Row],[MOV]]&gt;0,1,IF(Games[[#This Row],[MOV]]=0,0.5,0))</f>
        <v>0</v>
      </c>
      <c r="W476" s="4">
        <f>((ABS(Games[[#This Row],[MOV]])+5)^0.6)/(12+0.01*(ABS(Games[[#This Row],[PreGmRate]]-Games[[#This Row],[OppPreGmRate]])))*IF(Games[[#This Row],[OT]]=1,0.9,1)</f>
        <v>0.40015080414605947</v>
      </c>
      <c r="X476" s="7" cm="1">
        <f t="array" ref="X4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6" s="9">
        <f>MAX(kmin, kmax - 0.15 * MIN(Games[[#This Row],[GamesPlayed]], 82))</f>
        <v>71.349999999999994</v>
      </c>
      <c r="Z476" s="4">
        <f>Games[[#This Row],[K]]*Games[[#This Row],[POMult]]</f>
        <v>71.349999999999994</v>
      </c>
      <c r="AA476" s="4">
        <f>(Games[[#This Row],[Keff]]*Games[[#This Row],[MOVMult]])*(Games[[#This Row],[Result]]-Games[[#This Row],[ExpectedWin%]])</f>
        <v>-9.0466411231625834</v>
      </c>
      <c r="AB476" s="4">
        <f>Games[[#This Row],[PreGmRate]]+Games[[#This Row],[RatingChange]]</f>
        <v>1492.8370849167352</v>
      </c>
      <c r="AC476" s="2">
        <f>IF(Games[[#This Row],[Type]]="R",IF(Games[[#This Row],[Result]]&gt;0.5,1,0),0)</f>
        <v>0</v>
      </c>
      <c r="AD476" s="2">
        <f>IF(Games[[#This Row],[Type]]="R",IF(Games[[#This Row],[Result]]&lt;0.5,1,0),0)</f>
        <v>1</v>
      </c>
      <c r="AE476" s="2">
        <f>IF(AND(Games[[#This Row],[Type]]="P",Games[[#This Row],[Round]]=1),IF(Games[[#This Row],[Result]]&gt;0.5,1,0),0)</f>
        <v>0</v>
      </c>
      <c r="AF476" s="2">
        <f>IF(AND(Games[[#This Row],[Type]]="P",Games[[#This Row],[Round]]=1),IF(Games[[#This Row],[Result]]&lt;0.5,1,0),0)</f>
        <v>0</v>
      </c>
      <c r="AG476" s="2">
        <f>IF(AND(Games[[#This Row],[Type]]="P",Games[[#This Row],[Round]]=2),IF(Games[[#This Row],[Result]]&gt;0.5,1,0),0)</f>
        <v>0</v>
      </c>
      <c r="AH476" s="2">
        <f>IF(AND(Games[[#This Row],[Type]]="P",Games[[#This Row],[Round]]=2),IF(Games[[#This Row],[Result]]&lt;0.5,1,0),0)</f>
        <v>0</v>
      </c>
      <c r="AI476" s="2">
        <f>IF(AND(Games[[#This Row],[Type]]="P",Games[[#This Row],[Round]]=3),IF(Games[[#This Row],[Result]]&gt;0.5,1,0),0)</f>
        <v>0</v>
      </c>
      <c r="AJ476" s="2">
        <f>IF(AND(Games[[#This Row],[Type]]="P",Games[[#This Row],[Round]]=3),IF(Games[[#This Row],[Result]]&lt;0.5,1,0),0)</f>
        <v>0</v>
      </c>
      <c r="AK476" s="2">
        <f>IF(AND(Games[[#This Row],[Type]]="P",Games[[#This Row],[Round]]=4),IF(Games[[#This Row],[Result]]&gt;0.5,1,0),0)</f>
        <v>0</v>
      </c>
      <c r="AL476" s="2">
        <f>IF(AND(Games[[#This Row],[Type]]="P",Games[[#This Row],[Round]]=4),IF(Games[[#This Row],[Result]]&lt;0.5,1,0),0)</f>
        <v>0</v>
      </c>
    </row>
    <row r="477" spans="1:38" x14ac:dyDescent="0.35">
      <c r="A477" s="10">
        <v>37477</v>
      </c>
      <c r="B477" s="2">
        <v>2002</v>
      </c>
      <c r="C477" s="2">
        <f>COUNTIFS(Games[Team],Games[[#This Row],[Team]],Games[Season],Games[[#This Row],[Season]],Games[Date],"&lt;=" &amp; Games[[#This Row],[Date]])</f>
        <v>30</v>
      </c>
      <c r="D477" s="2" t="s">
        <v>23</v>
      </c>
      <c r="E477" s="2" t="s">
        <v>29</v>
      </c>
      <c r="F477" s="1" t="s">
        <v>87</v>
      </c>
      <c r="G477" s="1" t="s">
        <v>89</v>
      </c>
      <c r="H477" s="1" t="s">
        <v>15</v>
      </c>
      <c r="I477" s="2" cm="1">
        <f t="array" ref="I4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477" s="2" cm="1">
        <f t="array" ref="J4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7" s="2">
        <f>Games[[#This Row],[DaysOff]]-Games[[#This Row],[OppDaysOff]]</f>
        <v>2</v>
      </c>
      <c r="L477" s="2">
        <f>Games[[#This Row],[OppDaysOff]]-Games[[#This Row],[DaysOff]]</f>
        <v>-2</v>
      </c>
      <c r="M477" s="16">
        <f>MAX(-16, MIN(16, Games[[#This Row],[RestDiff]]*8))</f>
        <v>16</v>
      </c>
      <c r="N477" s="16">
        <f>MAX(-16, MIN(16, Games[[#This Row],[OppRestDiff]]*8))</f>
        <v>-16</v>
      </c>
      <c r="O477" s="4" cm="1">
        <f t="array" ref="O4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1519.3393141058173</v>
      </c>
      <c r="P477" s="4" cm="1">
        <f t="array" ref="P4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1501.8837260398977</v>
      </c>
      <c r="Q477" s="4">
        <f>1/(1+10^(((Games[[#This Row],[OppPreGmRate]]+IF(Games[[#This Row],[HomeAway]]="A",HCA,0)+Games[[#This Row],[OppRestAdj]])-(Games[[#This Row],[PreGmRate]]+IF(Games[[#This Row],[HomeAway]]="H",HCA,0)+Games[[#This Row],[RestAdj]]))/400))</f>
        <v>0.68313834158845377</v>
      </c>
      <c r="R477" s="1">
        <v>83</v>
      </c>
      <c r="S477" s="1">
        <v>74</v>
      </c>
      <c r="T477" s="1">
        <v>0</v>
      </c>
      <c r="U477" s="16">
        <f>Games[[#This Row],[PointsFor]]-Games[[#This Row],[PointsAgainst]]</f>
        <v>9</v>
      </c>
      <c r="V477" s="16">
        <f>IF(Games[[#This Row],[MOV]]&gt;0,1,IF(Games[[#This Row],[MOV]]=0,0.5,0))</f>
        <v>1</v>
      </c>
      <c r="W477" s="4">
        <f>((ABS(Games[[#This Row],[MOV]])+5)^0.6)/(12+0.01*(ABS(Games[[#This Row],[PreGmRate]]-Games[[#This Row],[OppPreGmRate]])))*IF(Games[[#This Row],[OT]]=1,0.9,1)</f>
        <v>0.40015080414605947</v>
      </c>
      <c r="X477" s="7" cm="1">
        <f t="array" ref="X4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7" s="9">
        <f>MAX(kmin, kmax - 0.15 * MIN(Games[[#This Row],[GamesPlayed]], 82))</f>
        <v>71.5</v>
      </c>
      <c r="Z477" s="4">
        <f>Games[[#This Row],[K]]*Games[[#This Row],[POMult]]</f>
        <v>71.5</v>
      </c>
      <c r="AA477" s="4">
        <f>(Games[[#This Row],[Keff]]*Games[[#This Row],[MOVMult]])*(Games[[#This Row],[Result]]-Games[[#This Row],[ExpectedWin%]])</f>
        <v>9.0656599902750479</v>
      </c>
      <c r="AB477" s="4">
        <f>Games[[#This Row],[PreGmRate]]+Games[[#This Row],[RatingChange]]</f>
        <v>1528.4049740960922</v>
      </c>
      <c r="AC477" s="2">
        <f>IF(Games[[#This Row],[Type]]="R",IF(Games[[#This Row],[Result]]&gt;0.5,1,0),0)</f>
        <v>1</v>
      </c>
      <c r="AD477" s="2">
        <f>IF(Games[[#This Row],[Type]]="R",IF(Games[[#This Row],[Result]]&lt;0.5,1,0),0)</f>
        <v>0</v>
      </c>
      <c r="AE477" s="2">
        <f>IF(AND(Games[[#This Row],[Type]]="P",Games[[#This Row],[Round]]=1),IF(Games[[#This Row],[Result]]&gt;0.5,1,0),0)</f>
        <v>0</v>
      </c>
      <c r="AF477" s="2">
        <f>IF(AND(Games[[#This Row],[Type]]="P",Games[[#This Row],[Round]]=1),IF(Games[[#This Row],[Result]]&lt;0.5,1,0),0)</f>
        <v>0</v>
      </c>
      <c r="AG477" s="2">
        <f>IF(AND(Games[[#This Row],[Type]]="P",Games[[#This Row],[Round]]=2),IF(Games[[#This Row],[Result]]&gt;0.5,1,0),0)</f>
        <v>0</v>
      </c>
      <c r="AH477" s="2">
        <f>IF(AND(Games[[#This Row],[Type]]="P",Games[[#This Row],[Round]]=2),IF(Games[[#This Row],[Result]]&lt;0.5,1,0),0)</f>
        <v>0</v>
      </c>
      <c r="AI477" s="2">
        <f>IF(AND(Games[[#This Row],[Type]]="P",Games[[#This Row],[Round]]=3),IF(Games[[#This Row],[Result]]&gt;0.5,1,0),0)</f>
        <v>0</v>
      </c>
      <c r="AJ477" s="2">
        <f>IF(AND(Games[[#This Row],[Type]]="P",Games[[#This Row],[Round]]=3),IF(Games[[#This Row],[Result]]&lt;0.5,1,0),0)</f>
        <v>0</v>
      </c>
      <c r="AK477" s="2">
        <f>IF(AND(Games[[#This Row],[Type]]="P",Games[[#This Row],[Round]]=4),IF(Games[[#This Row],[Result]]&gt;0.5,1,0),0)</f>
        <v>0</v>
      </c>
      <c r="AL477" s="2">
        <f>IF(AND(Games[[#This Row],[Type]]="P",Games[[#This Row],[Round]]=4),IF(Games[[#This Row],[Result]]&lt;0.5,1,0),0)</f>
        <v>0</v>
      </c>
    </row>
    <row r="478" spans="1:38" x14ac:dyDescent="0.35">
      <c r="A478" s="10">
        <v>37477</v>
      </c>
      <c r="B478" s="2">
        <v>2002</v>
      </c>
      <c r="C478" s="2">
        <f>COUNTIFS(Games[Team],Games[[#This Row],[Team]],Games[Season],Games[[#This Row],[Season]],Games[Date],"&lt;=" &amp; Games[[#This Row],[Date]])</f>
        <v>30</v>
      </c>
      <c r="D478" s="2" t="s">
        <v>23</v>
      </c>
      <c r="E478" s="2" t="s">
        <v>29</v>
      </c>
      <c r="F478" s="1" t="s">
        <v>71</v>
      </c>
      <c r="G478" s="1" t="s">
        <v>43</v>
      </c>
      <c r="H478" s="1" t="s">
        <v>16</v>
      </c>
      <c r="I478" s="2" cm="1">
        <f t="array" ref="I4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8" s="2" cm="1">
        <f t="array" ref="J4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8" s="2">
        <f>Games[[#This Row],[DaysOff]]-Games[[#This Row],[OppDaysOff]]</f>
        <v>-2</v>
      </c>
      <c r="L478" s="2">
        <f>Games[[#This Row],[OppDaysOff]]-Games[[#This Row],[DaysOff]]</f>
        <v>2</v>
      </c>
      <c r="M478" s="16">
        <f>MAX(-16, MIN(16, Games[[#This Row],[RestDiff]]*8))</f>
        <v>-16</v>
      </c>
      <c r="N478" s="16">
        <f>MAX(-16, MIN(16, Games[[#This Row],[OppRestDiff]]*8))</f>
        <v>16</v>
      </c>
      <c r="O478" s="4" cm="1">
        <f t="array" ref="O4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1665.5008020162488</v>
      </c>
      <c r="P478" s="4" cm="1">
        <f t="array" ref="P4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1593.2054033258707</v>
      </c>
      <c r="Q478" s="4">
        <f>1/(1+10^(((Games[[#This Row],[OppPreGmRate]]+IF(Games[[#This Row],[HomeAway]]="A",HCA,0)+Games[[#This Row],[OppRestAdj]])-(Games[[#This Row],[PreGmRate]]+IF(Games[[#This Row],[HomeAway]]="H",HCA,0)+Games[[#This Row],[RestAdj]]))/400))</f>
        <v>0.43743368367611962</v>
      </c>
      <c r="R478" s="1">
        <v>85</v>
      </c>
      <c r="S478" s="1">
        <v>77</v>
      </c>
      <c r="T478" s="1">
        <v>0</v>
      </c>
      <c r="U478" s="16">
        <f>Games[[#This Row],[PointsFor]]-Games[[#This Row],[PointsAgainst]]</f>
        <v>8</v>
      </c>
      <c r="V478" s="16">
        <f>IF(Games[[#This Row],[MOV]]&gt;0,1,IF(Games[[#This Row],[MOV]]=0,0.5,0))</f>
        <v>1</v>
      </c>
      <c r="W478" s="4">
        <f>((ABS(Games[[#This Row],[MOV]])+5)^0.6)/(12+0.01*(ABS(Games[[#This Row],[PreGmRate]]-Games[[#This Row],[OppPreGmRate]])))*IF(Games[[#This Row],[OT]]=1,0.9,1)</f>
        <v>0.366250355446743</v>
      </c>
      <c r="X478" s="7" cm="1">
        <f t="array" ref="X4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8" s="9">
        <f>MAX(kmin, kmax - 0.15 * MIN(Games[[#This Row],[GamesPlayed]], 82))</f>
        <v>71.5</v>
      </c>
      <c r="Z478" s="4">
        <f>Games[[#This Row],[K]]*Games[[#This Row],[POMult]]</f>
        <v>71.5</v>
      </c>
      <c r="AA478" s="4">
        <f>(Games[[#This Row],[Keff]]*Games[[#This Row],[MOVMult]])*(Games[[#This Row],[Result]]-Games[[#This Row],[ExpectedWin%]])</f>
        <v>14.731868102093001</v>
      </c>
      <c r="AB478" s="4">
        <f>Games[[#This Row],[PreGmRate]]+Games[[#This Row],[RatingChange]]</f>
        <v>1680.2326701183417</v>
      </c>
      <c r="AC478" s="2">
        <f>IF(Games[[#This Row],[Type]]="R",IF(Games[[#This Row],[Result]]&gt;0.5,1,0),0)</f>
        <v>1</v>
      </c>
      <c r="AD478" s="2">
        <f>IF(Games[[#This Row],[Type]]="R",IF(Games[[#This Row],[Result]]&lt;0.5,1,0),0)</f>
        <v>0</v>
      </c>
      <c r="AE478" s="2">
        <f>IF(AND(Games[[#This Row],[Type]]="P",Games[[#This Row],[Round]]=1),IF(Games[[#This Row],[Result]]&gt;0.5,1,0),0)</f>
        <v>0</v>
      </c>
      <c r="AF478" s="2">
        <f>IF(AND(Games[[#This Row],[Type]]="P",Games[[#This Row],[Round]]=1),IF(Games[[#This Row],[Result]]&lt;0.5,1,0),0)</f>
        <v>0</v>
      </c>
      <c r="AG478" s="2">
        <f>IF(AND(Games[[#This Row],[Type]]="P",Games[[#This Row],[Round]]=2),IF(Games[[#This Row],[Result]]&gt;0.5,1,0),0)</f>
        <v>0</v>
      </c>
      <c r="AH478" s="2">
        <f>IF(AND(Games[[#This Row],[Type]]="P",Games[[#This Row],[Round]]=2),IF(Games[[#This Row],[Result]]&lt;0.5,1,0),0)</f>
        <v>0</v>
      </c>
      <c r="AI478" s="2">
        <f>IF(AND(Games[[#This Row],[Type]]="P",Games[[#This Row],[Round]]=3),IF(Games[[#This Row],[Result]]&gt;0.5,1,0),0)</f>
        <v>0</v>
      </c>
      <c r="AJ478" s="2">
        <f>IF(AND(Games[[#This Row],[Type]]="P",Games[[#This Row],[Round]]=3),IF(Games[[#This Row],[Result]]&lt;0.5,1,0),0)</f>
        <v>0</v>
      </c>
      <c r="AK478" s="2">
        <f>IF(AND(Games[[#This Row],[Type]]="P",Games[[#This Row],[Round]]=4),IF(Games[[#This Row],[Result]]&gt;0.5,1,0),0)</f>
        <v>0</v>
      </c>
      <c r="AL478" s="2">
        <f>IF(AND(Games[[#This Row],[Type]]="P",Games[[#This Row],[Round]]=4),IF(Games[[#This Row],[Result]]&lt;0.5,1,0),0)</f>
        <v>0</v>
      </c>
    </row>
    <row r="479" spans="1:38" x14ac:dyDescent="0.35">
      <c r="A479" s="10">
        <v>37477</v>
      </c>
      <c r="B479" s="2">
        <v>2002</v>
      </c>
      <c r="C479" s="2">
        <f>COUNTIFS(Games[Team],Games[[#This Row],[Team]],Games[Season],Games[[#This Row],[Season]],Games[Date],"&lt;=" &amp; Games[[#This Row],[Date]])</f>
        <v>30</v>
      </c>
      <c r="D479" s="2" t="s">
        <v>23</v>
      </c>
      <c r="E479" s="2" t="s">
        <v>29</v>
      </c>
      <c r="F479" s="1" t="s">
        <v>43</v>
      </c>
      <c r="G479" s="1" t="s">
        <v>71</v>
      </c>
      <c r="H479" s="1" t="s">
        <v>15</v>
      </c>
      <c r="I479" s="2" cm="1">
        <f t="array" ref="I4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79" s="2" cm="1">
        <f t="array" ref="J4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9" s="2">
        <f>Games[[#This Row],[DaysOff]]-Games[[#This Row],[OppDaysOff]]</f>
        <v>2</v>
      </c>
      <c r="L479" s="2">
        <f>Games[[#This Row],[OppDaysOff]]-Games[[#This Row],[DaysOff]]</f>
        <v>-2</v>
      </c>
      <c r="M479" s="16">
        <f>MAX(-16, MIN(16, Games[[#This Row],[RestDiff]]*8))</f>
        <v>16</v>
      </c>
      <c r="N479" s="16">
        <f>MAX(-16, MIN(16, Games[[#This Row],[OppRestDiff]]*8))</f>
        <v>-16</v>
      </c>
      <c r="O479" s="4" cm="1">
        <f t="array" ref="O4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1593.2054033258707</v>
      </c>
      <c r="P479" s="4" cm="1">
        <f t="array" ref="P4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1665.5008020162488</v>
      </c>
      <c r="Q479" s="4">
        <f>1/(1+10^(((Games[[#This Row],[OppPreGmRate]]+IF(Games[[#This Row],[HomeAway]]="A",HCA,0)+Games[[#This Row],[OppRestAdj]])-(Games[[#This Row],[PreGmRate]]+IF(Games[[#This Row],[HomeAway]]="H",HCA,0)+Games[[#This Row],[RestAdj]]))/400))</f>
        <v>0.56256631632388043</v>
      </c>
      <c r="R479" s="1">
        <v>77</v>
      </c>
      <c r="S479" s="1">
        <v>85</v>
      </c>
      <c r="T479" s="1">
        <v>0</v>
      </c>
      <c r="U479" s="16">
        <f>Games[[#This Row],[PointsFor]]-Games[[#This Row],[PointsAgainst]]</f>
        <v>-8</v>
      </c>
      <c r="V479" s="16">
        <f>IF(Games[[#This Row],[MOV]]&gt;0,1,IF(Games[[#This Row],[MOV]]=0,0.5,0))</f>
        <v>0</v>
      </c>
      <c r="W479" s="4">
        <f>((ABS(Games[[#This Row],[MOV]])+5)^0.6)/(12+0.01*(ABS(Games[[#This Row],[PreGmRate]]-Games[[#This Row],[OppPreGmRate]])))*IF(Games[[#This Row],[OT]]=1,0.9,1)</f>
        <v>0.366250355446743</v>
      </c>
      <c r="X479" s="7" cm="1">
        <f t="array" ref="X4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9" s="9">
        <f>MAX(kmin, kmax - 0.15 * MIN(Games[[#This Row],[GamesPlayed]], 82))</f>
        <v>71.5</v>
      </c>
      <c r="Z479" s="4">
        <f>Games[[#This Row],[K]]*Games[[#This Row],[POMult]]</f>
        <v>71.5</v>
      </c>
      <c r="AA479" s="4">
        <f>(Games[[#This Row],[Keff]]*Games[[#This Row],[MOVMult]])*(Games[[#This Row],[Result]]-Games[[#This Row],[ExpectedWin%]])</f>
        <v>-14.731868102093005</v>
      </c>
      <c r="AB479" s="4">
        <f>Games[[#This Row],[PreGmRate]]+Games[[#This Row],[RatingChange]]</f>
        <v>1578.4735352237778</v>
      </c>
      <c r="AC479" s="2">
        <f>IF(Games[[#This Row],[Type]]="R",IF(Games[[#This Row],[Result]]&gt;0.5,1,0),0)</f>
        <v>0</v>
      </c>
      <c r="AD479" s="2">
        <f>IF(Games[[#This Row],[Type]]="R",IF(Games[[#This Row],[Result]]&lt;0.5,1,0),0)</f>
        <v>1</v>
      </c>
      <c r="AE479" s="2">
        <f>IF(AND(Games[[#This Row],[Type]]="P",Games[[#This Row],[Round]]=1),IF(Games[[#This Row],[Result]]&gt;0.5,1,0),0)</f>
        <v>0</v>
      </c>
      <c r="AF479" s="2">
        <f>IF(AND(Games[[#This Row],[Type]]="P",Games[[#This Row],[Round]]=1),IF(Games[[#This Row],[Result]]&lt;0.5,1,0),0)</f>
        <v>0</v>
      </c>
      <c r="AG479" s="2">
        <f>IF(AND(Games[[#This Row],[Type]]="P",Games[[#This Row],[Round]]=2),IF(Games[[#This Row],[Result]]&gt;0.5,1,0),0)</f>
        <v>0</v>
      </c>
      <c r="AH479" s="2">
        <f>IF(AND(Games[[#This Row],[Type]]="P",Games[[#This Row],[Round]]=2),IF(Games[[#This Row],[Result]]&lt;0.5,1,0),0)</f>
        <v>0</v>
      </c>
      <c r="AI479" s="2">
        <f>IF(AND(Games[[#This Row],[Type]]="P",Games[[#This Row],[Round]]=3),IF(Games[[#This Row],[Result]]&gt;0.5,1,0),0)</f>
        <v>0</v>
      </c>
      <c r="AJ479" s="2">
        <f>IF(AND(Games[[#This Row],[Type]]="P",Games[[#This Row],[Round]]=3),IF(Games[[#This Row],[Result]]&lt;0.5,1,0),0)</f>
        <v>0</v>
      </c>
      <c r="AK479" s="2">
        <f>IF(AND(Games[[#This Row],[Type]]="P",Games[[#This Row],[Round]]=4),IF(Games[[#This Row],[Result]]&gt;0.5,1,0),0)</f>
        <v>0</v>
      </c>
      <c r="AL479" s="2">
        <f>IF(AND(Games[[#This Row],[Type]]="P",Games[[#This Row],[Round]]=4),IF(Games[[#This Row],[Result]]&lt;0.5,1,0),0)</f>
        <v>0</v>
      </c>
    </row>
    <row r="480" spans="1:38" x14ac:dyDescent="0.35">
      <c r="A480" s="10">
        <v>37477</v>
      </c>
      <c r="B480" s="2">
        <v>2002</v>
      </c>
      <c r="C480" s="2">
        <f>COUNTIFS(Games[Team],Games[[#This Row],[Team]],Games[Season],Games[[#This Row],[Season]],Games[Date],"&lt;=" &amp; Games[[#This Row],[Date]])</f>
        <v>30</v>
      </c>
      <c r="D480" s="2" t="s">
        <v>23</v>
      </c>
      <c r="E480" s="2" t="s">
        <v>29</v>
      </c>
      <c r="F480" s="1" t="s">
        <v>66</v>
      </c>
      <c r="G480" s="1" t="s">
        <v>75</v>
      </c>
      <c r="H480" s="1" t="s">
        <v>16</v>
      </c>
      <c r="I480" s="2" cm="1">
        <f t="array" ref="I4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0" s="2" cm="1">
        <f t="array" ref="J4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0" s="2">
        <f>Games[[#This Row],[DaysOff]]-Games[[#This Row],[OppDaysOff]]</f>
        <v>0</v>
      </c>
      <c r="L480" s="2">
        <f>Games[[#This Row],[OppDaysOff]]-Games[[#This Row],[DaysOff]]</f>
        <v>0</v>
      </c>
      <c r="M480" s="16">
        <f>MAX(-16, MIN(16, Games[[#This Row],[RestDiff]]*8))</f>
        <v>0</v>
      </c>
      <c r="N480" s="16">
        <f>MAX(-16, MIN(16, Games[[#This Row],[OppRestDiff]]*8))</f>
        <v>0</v>
      </c>
      <c r="O480" s="4" cm="1">
        <f t="array" ref="O4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1554.88071332915</v>
      </c>
      <c r="P480" s="4" cm="1">
        <f t="array" ref="P4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1453.6142784553053</v>
      </c>
      <c r="Q480" s="4">
        <f>1/(1+10^(((Games[[#This Row],[OppPreGmRate]]+IF(Games[[#This Row],[HomeAway]]="A",HCA,0)+Games[[#This Row],[OppRestAdj]])-(Games[[#This Row],[PreGmRate]]+IF(Games[[#This Row],[HomeAway]]="H",HCA,0)+Games[[#This Row],[RestAdj]]))/400))</f>
        <v>0.52482796078755534</v>
      </c>
      <c r="R480" s="1">
        <v>74</v>
      </c>
      <c r="S480" s="1">
        <v>66</v>
      </c>
      <c r="T480" s="1">
        <v>0</v>
      </c>
      <c r="U480" s="16">
        <f>Games[[#This Row],[PointsFor]]-Games[[#This Row],[PointsAgainst]]</f>
        <v>8</v>
      </c>
      <c r="V480" s="16">
        <f>IF(Games[[#This Row],[MOV]]&gt;0,1,IF(Games[[#This Row],[MOV]]=0,0.5,0))</f>
        <v>1</v>
      </c>
      <c r="W480" s="4">
        <f>((ABS(Games[[#This Row],[MOV]])+5)^0.6)/(12+0.01*(ABS(Games[[#This Row],[PreGmRate]]-Games[[#This Row],[OppPreGmRate]])))*IF(Games[[#This Row],[OT]]=1,0.9,1)</f>
        <v>0.35809625877945767</v>
      </c>
      <c r="X480" s="7" cm="1">
        <f t="array" ref="X4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0" s="9">
        <f>MAX(kmin, kmax - 0.15 * MIN(Games[[#This Row],[GamesPlayed]], 82))</f>
        <v>71.5</v>
      </c>
      <c r="Z480" s="4">
        <f>Games[[#This Row],[K]]*Games[[#This Row],[POMult]]</f>
        <v>71.5</v>
      </c>
      <c r="AA480" s="4">
        <f>(Games[[#This Row],[Keff]]*Games[[#This Row],[MOVMult]])*(Games[[#This Row],[Result]]-Games[[#This Row],[ExpectedWin%]])</f>
        <v>12.166249060578627</v>
      </c>
      <c r="AB480" s="4">
        <f>Games[[#This Row],[PreGmRate]]+Games[[#This Row],[RatingChange]]</f>
        <v>1567.0469623897286</v>
      </c>
      <c r="AC480" s="2">
        <f>IF(Games[[#This Row],[Type]]="R",IF(Games[[#This Row],[Result]]&gt;0.5,1,0),0)</f>
        <v>1</v>
      </c>
      <c r="AD480" s="2">
        <f>IF(Games[[#This Row],[Type]]="R",IF(Games[[#This Row],[Result]]&lt;0.5,1,0),0)</f>
        <v>0</v>
      </c>
      <c r="AE480" s="2">
        <f>IF(AND(Games[[#This Row],[Type]]="P",Games[[#This Row],[Round]]=1),IF(Games[[#This Row],[Result]]&gt;0.5,1,0),0)</f>
        <v>0</v>
      </c>
      <c r="AF480" s="2">
        <f>IF(AND(Games[[#This Row],[Type]]="P",Games[[#This Row],[Round]]=1),IF(Games[[#This Row],[Result]]&lt;0.5,1,0),0)</f>
        <v>0</v>
      </c>
      <c r="AG480" s="2">
        <f>IF(AND(Games[[#This Row],[Type]]="P",Games[[#This Row],[Round]]=2),IF(Games[[#This Row],[Result]]&gt;0.5,1,0),0)</f>
        <v>0</v>
      </c>
      <c r="AH480" s="2">
        <f>IF(AND(Games[[#This Row],[Type]]="P",Games[[#This Row],[Round]]=2),IF(Games[[#This Row],[Result]]&lt;0.5,1,0),0)</f>
        <v>0</v>
      </c>
      <c r="AI480" s="2">
        <f>IF(AND(Games[[#This Row],[Type]]="P",Games[[#This Row],[Round]]=3),IF(Games[[#This Row],[Result]]&gt;0.5,1,0),0)</f>
        <v>0</v>
      </c>
      <c r="AJ480" s="2">
        <f>IF(AND(Games[[#This Row],[Type]]="P",Games[[#This Row],[Round]]=3),IF(Games[[#This Row],[Result]]&lt;0.5,1,0),0)</f>
        <v>0</v>
      </c>
      <c r="AK480" s="2">
        <f>IF(AND(Games[[#This Row],[Type]]="P",Games[[#This Row],[Round]]=4),IF(Games[[#This Row],[Result]]&gt;0.5,1,0),0)</f>
        <v>0</v>
      </c>
      <c r="AL480" s="2">
        <f>IF(AND(Games[[#This Row],[Type]]="P",Games[[#This Row],[Round]]=4),IF(Games[[#This Row],[Result]]&lt;0.5,1,0),0)</f>
        <v>0</v>
      </c>
    </row>
    <row r="481" spans="1:38" x14ac:dyDescent="0.35">
      <c r="A481" s="10">
        <v>37477</v>
      </c>
      <c r="B481" s="2">
        <v>2002</v>
      </c>
      <c r="C481" s="2">
        <f>COUNTIFS(Games[Team],Games[[#This Row],[Team]],Games[Season],Games[[#This Row],[Season]],Games[Date],"&lt;=" &amp; Games[[#This Row],[Date]])</f>
        <v>30</v>
      </c>
      <c r="D481" s="2" t="s">
        <v>23</v>
      </c>
      <c r="E481" s="2" t="s">
        <v>29</v>
      </c>
      <c r="F481" s="1" t="s">
        <v>75</v>
      </c>
      <c r="G481" s="1" t="s">
        <v>66</v>
      </c>
      <c r="H481" s="1" t="s">
        <v>15</v>
      </c>
      <c r="I481" s="2" cm="1">
        <f t="array" ref="I4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1" s="2" cm="1">
        <f t="array" ref="J4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81" s="2">
        <f>Games[[#This Row],[DaysOff]]-Games[[#This Row],[OppDaysOff]]</f>
        <v>0</v>
      </c>
      <c r="L481" s="2">
        <f>Games[[#This Row],[OppDaysOff]]-Games[[#This Row],[DaysOff]]</f>
        <v>0</v>
      </c>
      <c r="M481" s="16">
        <f>MAX(-16, MIN(16, Games[[#This Row],[RestDiff]]*8))</f>
        <v>0</v>
      </c>
      <c r="N481" s="16">
        <f>MAX(-16, MIN(16, Games[[#This Row],[OppRestDiff]]*8))</f>
        <v>0</v>
      </c>
      <c r="O481" s="4" cm="1">
        <f t="array" ref="O4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1453.6142784553053</v>
      </c>
      <c r="P481" s="4" cm="1">
        <f t="array" ref="P4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1554.88071332915</v>
      </c>
      <c r="Q481" s="4">
        <f>1/(1+10^(((Games[[#This Row],[OppPreGmRate]]+IF(Games[[#This Row],[HomeAway]]="A",HCA,0)+Games[[#This Row],[OppRestAdj]])-(Games[[#This Row],[PreGmRate]]+IF(Games[[#This Row],[HomeAway]]="H",HCA,0)+Games[[#This Row],[RestAdj]]))/400))</f>
        <v>0.47517203921244472</v>
      </c>
      <c r="R481" s="1">
        <v>66</v>
      </c>
      <c r="S481" s="1">
        <v>74</v>
      </c>
      <c r="T481" s="1">
        <v>0</v>
      </c>
      <c r="U481" s="16">
        <f>Games[[#This Row],[PointsFor]]-Games[[#This Row],[PointsAgainst]]</f>
        <v>-8</v>
      </c>
      <c r="V481" s="16">
        <f>IF(Games[[#This Row],[MOV]]&gt;0,1,IF(Games[[#This Row],[MOV]]=0,0.5,0))</f>
        <v>0</v>
      </c>
      <c r="W481" s="4">
        <f>((ABS(Games[[#This Row],[MOV]])+5)^0.6)/(12+0.01*(ABS(Games[[#This Row],[PreGmRate]]-Games[[#This Row],[OppPreGmRate]])))*IF(Games[[#This Row],[OT]]=1,0.9,1)</f>
        <v>0.35809625877945767</v>
      </c>
      <c r="X481" s="7" cm="1">
        <f t="array" ref="X4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1" s="9">
        <f>MAX(kmin, kmax - 0.15 * MIN(Games[[#This Row],[GamesPlayed]], 82))</f>
        <v>71.5</v>
      </c>
      <c r="Z481" s="4">
        <f>Games[[#This Row],[K]]*Games[[#This Row],[POMult]]</f>
        <v>71.5</v>
      </c>
      <c r="AA481" s="4">
        <f>(Games[[#This Row],[Keff]]*Games[[#This Row],[MOVMult]])*(Games[[#This Row],[Result]]-Games[[#This Row],[ExpectedWin%]])</f>
        <v>-12.166249060578629</v>
      </c>
      <c r="AB481" s="4">
        <f>Games[[#This Row],[PreGmRate]]+Games[[#This Row],[RatingChange]]</f>
        <v>1441.4480293947267</v>
      </c>
      <c r="AC481" s="2">
        <f>IF(Games[[#This Row],[Type]]="R",IF(Games[[#This Row],[Result]]&gt;0.5,1,0),0)</f>
        <v>0</v>
      </c>
      <c r="AD481" s="2">
        <f>IF(Games[[#This Row],[Type]]="R",IF(Games[[#This Row],[Result]]&lt;0.5,1,0),0)</f>
        <v>1</v>
      </c>
      <c r="AE481" s="2">
        <f>IF(AND(Games[[#This Row],[Type]]="P",Games[[#This Row],[Round]]=1),IF(Games[[#This Row],[Result]]&gt;0.5,1,0),0)</f>
        <v>0</v>
      </c>
      <c r="AF481" s="2">
        <f>IF(AND(Games[[#This Row],[Type]]="P",Games[[#This Row],[Round]]=1),IF(Games[[#This Row],[Result]]&lt;0.5,1,0),0)</f>
        <v>0</v>
      </c>
      <c r="AG481" s="2">
        <f>IF(AND(Games[[#This Row],[Type]]="P",Games[[#This Row],[Round]]=2),IF(Games[[#This Row],[Result]]&gt;0.5,1,0),0)</f>
        <v>0</v>
      </c>
      <c r="AH481" s="2">
        <f>IF(AND(Games[[#This Row],[Type]]="P",Games[[#This Row],[Round]]=2),IF(Games[[#This Row],[Result]]&lt;0.5,1,0),0)</f>
        <v>0</v>
      </c>
      <c r="AI481" s="2">
        <f>IF(AND(Games[[#This Row],[Type]]="P",Games[[#This Row],[Round]]=3),IF(Games[[#This Row],[Result]]&gt;0.5,1,0),0)</f>
        <v>0</v>
      </c>
      <c r="AJ481" s="2">
        <f>IF(AND(Games[[#This Row],[Type]]="P",Games[[#This Row],[Round]]=3),IF(Games[[#This Row],[Result]]&lt;0.5,1,0),0)</f>
        <v>0</v>
      </c>
      <c r="AK481" s="2">
        <f>IF(AND(Games[[#This Row],[Type]]="P",Games[[#This Row],[Round]]=4),IF(Games[[#This Row],[Result]]&gt;0.5,1,0),0)</f>
        <v>0</v>
      </c>
      <c r="AL481" s="2">
        <f>IF(AND(Games[[#This Row],[Type]]="P",Games[[#This Row],[Round]]=4),IF(Games[[#This Row],[Result]]&lt;0.5,1,0),0)</f>
        <v>0</v>
      </c>
    </row>
    <row r="482" spans="1:38" x14ac:dyDescent="0.35">
      <c r="A482" s="10">
        <v>37478</v>
      </c>
      <c r="B482" s="2">
        <v>2002</v>
      </c>
      <c r="C482" s="2">
        <f>COUNTIFS(Games[Team],Games[[#This Row],[Team]],Games[Season],Games[[#This Row],[Season]],Games[Date],"&lt;=" &amp; Games[[#This Row],[Date]])</f>
        <v>30</v>
      </c>
      <c r="D482" s="2" t="s">
        <v>23</v>
      </c>
      <c r="E482" s="2" t="s">
        <v>29</v>
      </c>
      <c r="F482" s="1" t="s">
        <v>45</v>
      </c>
      <c r="G482" s="1" t="s">
        <v>2</v>
      </c>
      <c r="H482" s="1" t="s">
        <v>16</v>
      </c>
      <c r="I482" s="2" cm="1">
        <f t="array" ref="I4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2" s="2" cm="1">
        <f t="array" ref="J4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2" s="2">
        <f>Games[[#This Row],[DaysOff]]-Games[[#This Row],[OppDaysOff]]</f>
        <v>0</v>
      </c>
      <c r="L482" s="2">
        <f>Games[[#This Row],[OppDaysOff]]-Games[[#This Row],[DaysOff]]</f>
        <v>0</v>
      </c>
      <c r="M482" s="16">
        <f>MAX(-16, MIN(16, Games[[#This Row],[RestDiff]]*8))</f>
        <v>0</v>
      </c>
      <c r="N482" s="16">
        <f>MAX(-16, MIN(16, Games[[#This Row],[OppRestDiff]]*8))</f>
        <v>0</v>
      </c>
      <c r="O482" s="4" cm="1">
        <f t="array" ref="O4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1501.8178588977012</v>
      </c>
      <c r="P482" s="4" cm="1">
        <f t="array" ref="P4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1664.5120959895855</v>
      </c>
      <c r="Q482" s="4">
        <f>1/(1+10^(((Games[[#This Row],[OppPreGmRate]]+IF(Games[[#This Row],[HomeAway]]="A",HCA,0)+Games[[#This Row],[OppRestAdj]])-(Games[[#This Row],[PreGmRate]]+IF(Games[[#This Row],[HomeAway]]="H",HCA,0)+Games[[#This Row],[RestAdj]]))/400))</f>
        <v>0.19464807330674358</v>
      </c>
      <c r="R482" s="1">
        <v>61</v>
      </c>
      <c r="S482" s="1">
        <v>59</v>
      </c>
      <c r="T482" s="1">
        <v>0</v>
      </c>
      <c r="U482" s="16">
        <f>Games[[#This Row],[PointsFor]]-Games[[#This Row],[PointsAgainst]]</f>
        <v>2</v>
      </c>
      <c r="V482" s="16">
        <f>IF(Games[[#This Row],[MOV]]&gt;0,1,IF(Games[[#This Row],[MOV]]=0,0.5,0))</f>
        <v>1</v>
      </c>
      <c r="W482" s="4">
        <f>((ABS(Games[[#This Row],[MOV]])+5)^0.6)/(12+0.01*(ABS(Games[[#This Row],[PreGmRate]]-Games[[#This Row],[OppPreGmRate]])))*IF(Games[[#This Row],[OT]]=1,0.9,1)</f>
        <v>0.23586331858093246</v>
      </c>
      <c r="X482" s="7" cm="1">
        <f t="array" ref="X4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2" s="9">
        <f>MAX(kmin, kmax - 0.15 * MIN(Games[[#This Row],[GamesPlayed]], 82))</f>
        <v>71.5</v>
      </c>
      <c r="Z482" s="4">
        <f>Games[[#This Row],[K]]*Games[[#This Row],[POMult]]</f>
        <v>71.5</v>
      </c>
      <c r="AA482" s="4">
        <f>(Games[[#This Row],[Keff]]*Games[[#This Row],[MOVMult]])*(Games[[#This Row],[Result]]-Games[[#This Row],[ExpectedWin%]])</f>
        <v>13.581637930962479</v>
      </c>
      <c r="AB482" s="4">
        <f>Games[[#This Row],[PreGmRate]]+Games[[#This Row],[RatingChange]]</f>
        <v>1515.3994968286636</v>
      </c>
      <c r="AC482" s="2">
        <f>IF(Games[[#This Row],[Type]]="R",IF(Games[[#This Row],[Result]]&gt;0.5,1,0),0)</f>
        <v>1</v>
      </c>
      <c r="AD482" s="2">
        <f>IF(Games[[#This Row],[Type]]="R",IF(Games[[#This Row],[Result]]&lt;0.5,1,0),0)</f>
        <v>0</v>
      </c>
      <c r="AE482" s="2">
        <f>IF(AND(Games[[#This Row],[Type]]="P",Games[[#This Row],[Round]]=1),IF(Games[[#This Row],[Result]]&gt;0.5,1,0),0)</f>
        <v>0</v>
      </c>
      <c r="AF482" s="2">
        <f>IF(AND(Games[[#This Row],[Type]]="P",Games[[#This Row],[Round]]=1),IF(Games[[#This Row],[Result]]&lt;0.5,1,0),0)</f>
        <v>0</v>
      </c>
      <c r="AG482" s="2">
        <f>IF(AND(Games[[#This Row],[Type]]="P",Games[[#This Row],[Round]]=2),IF(Games[[#This Row],[Result]]&gt;0.5,1,0),0)</f>
        <v>0</v>
      </c>
      <c r="AH482" s="2">
        <f>IF(AND(Games[[#This Row],[Type]]="P",Games[[#This Row],[Round]]=2),IF(Games[[#This Row],[Result]]&lt;0.5,1,0),0)</f>
        <v>0</v>
      </c>
      <c r="AI482" s="2">
        <f>IF(AND(Games[[#This Row],[Type]]="P",Games[[#This Row],[Round]]=3),IF(Games[[#This Row],[Result]]&gt;0.5,1,0),0)</f>
        <v>0</v>
      </c>
      <c r="AJ482" s="2">
        <f>IF(AND(Games[[#This Row],[Type]]="P",Games[[#This Row],[Round]]=3),IF(Games[[#This Row],[Result]]&lt;0.5,1,0),0)</f>
        <v>0</v>
      </c>
      <c r="AK482" s="2">
        <f>IF(AND(Games[[#This Row],[Type]]="P",Games[[#This Row],[Round]]=4),IF(Games[[#This Row],[Result]]&gt;0.5,1,0),0)</f>
        <v>0</v>
      </c>
      <c r="AL482" s="2">
        <f>IF(AND(Games[[#This Row],[Type]]="P",Games[[#This Row],[Round]]=4),IF(Games[[#This Row],[Result]]&lt;0.5,1,0),0)</f>
        <v>0</v>
      </c>
    </row>
    <row r="483" spans="1:38" x14ac:dyDescent="0.35">
      <c r="A483" s="10">
        <v>37478</v>
      </c>
      <c r="B483" s="2">
        <v>2002</v>
      </c>
      <c r="C483" s="2">
        <f>COUNTIFS(Games[Team],Games[[#This Row],[Team]],Games[Season],Games[[#This Row],[Season]],Games[Date],"&lt;=" &amp; Games[[#This Row],[Date]])</f>
        <v>31</v>
      </c>
      <c r="D483" s="2" t="s">
        <v>23</v>
      </c>
      <c r="E483" s="2" t="s">
        <v>29</v>
      </c>
      <c r="F483" s="1" t="s">
        <v>2</v>
      </c>
      <c r="G483" s="1" t="s">
        <v>45</v>
      </c>
      <c r="H483" s="1" t="s">
        <v>15</v>
      </c>
      <c r="I483" s="2" cm="1">
        <f t="array" ref="I4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3" s="2" cm="1">
        <f t="array" ref="J4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3" s="2">
        <f>Games[[#This Row],[DaysOff]]-Games[[#This Row],[OppDaysOff]]</f>
        <v>0</v>
      </c>
      <c r="L483" s="2">
        <f>Games[[#This Row],[OppDaysOff]]-Games[[#This Row],[DaysOff]]</f>
        <v>0</v>
      </c>
      <c r="M483" s="16">
        <f>MAX(-16, MIN(16, Games[[#This Row],[RestDiff]]*8))</f>
        <v>0</v>
      </c>
      <c r="N483" s="16">
        <f>MAX(-16, MIN(16, Games[[#This Row],[OppRestDiff]]*8))</f>
        <v>0</v>
      </c>
      <c r="O483" s="4" cm="1">
        <f t="array" ref="O4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1664.5120959895855</v>
      </c>
      <c r="P483" s="4" cm="1">
        <f t="array" ref="P4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1501.8178588977012</v>
      </c>
      <c r="Q483" s="4">
        <f>1/(1+10^(((Games[[#This Row],[OppPreGmRate]]+IF(Games[[#This Row],[HomeAway]]="A",HCA,0)+Games[[#This Row],[OppRestAdj]])-(Games[[#This Row],[PreGmRate]]+IF(Games[[#This Row],[HomeAway]]="H",HCA,0)+Games[[#This Row],[RestAdj]]))/400))</f>
        <v>0.80535192669325639</v>
      </c>
      <c r="R483" s="1">
        <v>59</v>
      </c>
      <c r="S483" s="1">
        <v>61</v>
      </c>
      <c r="T483" s="1">
        <v>0</v>
      </c>
      <c r="U483" s="16">
        <f>Games[[#This Row],[PointsFor]]-Games[[#This Row],[PointsAgainst]]</f>
        <v>-2</v>
      </c>
      <c r="V483" s="16">
        <f>IF(Games[[#This Row],[MOV]]&gt;0,1,IF(Games[[#This Row],[MOV]]=0,0.5,0))</f>
        <v>0</v>
      </c>
      <c r="W483" s="4">
        <f>((ABS(Games[[#This Row],[MOV]])+5)^0.6)/(12+0.01*(ABS(Games[[#This Row],[PreGmRate]]-Games[[#This Row],[OppPreGmRate]])))*IF(Games[[#This Row],[OT]]=1,0.9,1)</f>
        <v>0.23586331858093246</v>
      </c>
      <c r="X483" s="7" cm="1">
        <f t="array" ref="X4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3" s="9">
        <f>MAX(kmin, kmax - 0.15 * MIN(Games[[#This Row],[GamesPlayed]], 82))</f>
        <v>71.349999999999994</v>
      </c>
      <c r="Z483" s="4">
        <f>Games[[#This Row],[K]]*Games[[#This Row],[POMult]]</f>
        <v>71.349999999999994</v>
      </c>
      <c r="AA483" s="4">
        <f>(Games[[#This Row],[Keff]]*Games[[#This Row],[MOVMult]])*(Games[[#This Row],[Result]]-Games[[#This Row],[ExpectedWin%]])</f>
        <v>-13.553144984254166</v>
      </c>
      <c r="AB483" s="4">
        <f>Games[[#This Row],[PreGmRate]]+Games[[#This Row],[RatingChange]]</f>
        <v>1650.9589510053313</v>
      </c>
      <c r="AC483" s="2">
        <f>IF(Games[[#This Row],[Type]]="R",IF(Games[[#This Row],[Result]]&gt;0.5,1,0),0)</f>
        <v>0</v>
      </c>
      <c r="AD483" s="2">
        <f>IF(Games[[#This Row],[Type]]="R",IF(Games[[#This Row],[Result]]&lt;0.5,1,0),0)</f>
        <v>1</v>
      </c>
      <c r="AE483" s="2">
        <f>IF(AND(Games[[#This Row],[Type]]="P",Games[[#This Row],[Round]]=1),IF(Games[[#This Row],[Result]]&gt;0.5,1,0),0)</f>
        <v>0</v>
      </c>
      <c r="AF483" s="2">
        <f>IF(AND(Games[[#This Row],[Type]]="P",Games[[#This Row],[Round]]=1),IF(Games[[#This Row],[Result]]&lt;0.5,1,0),0)</f>
        <v>0</v>
      </c>
      <c r="AG483" s="2">
        <f>IF(AND(Games[[#This Row],[Type]]="P",Games[[#This Row],[Round]]=2),IF(Games[[#This Row],[Result]]&gt;0.5,1,0),0)</f>
        <v>0</v>
      </c>
      <c r="AH483" s="2">
        <f>IF(AND(Games[[#This Row],[Type]]="P",Games[[#This Row],[Round]]=2),IF(Games[[#This Row],[Result]]&lt;0.5,1,0),0)</f>
        <v>0</v>
      </c>
      <c r="AI483" s="2">
        <f>IF(AND(Games[[#This Row],[Type]]="P",Games[[#This Row],[Round]]=3),IF(Games[[#This Row],[Result]]&gt;0.5,1,0),0)</f>
        <v>0</v>
      </c>
      <c r="AJ483" s="2">
        <f>IF(AND(Games[[#This Row],[Type]]="P",Games[[#This Row],[Round]]=3),IF(Games[[#This Row],[Result]]&lt;0.5,1,0),0)</f>
        <v>0</v>
      </c>
      <c r="AK483" s="2">
        <f>IF(AND(Games[[#This Row],[Type]]="P",Games[[#This Row],[Round]]=4),IF(Games[[#This Row],[Result]]&gt;0.5,1,0),0)</f>
        <v>0</v>
      </c>
      <c r="AL483" s="2">
        <f>IF(AND(Games[[#This Row],[Type]]="P",Games[[#This Row],[Round]]=4),IF(Games[[#This Row],[Result]]&lt;0.5,1,0),0)</f>
        <v>0</v>
      </c>
    </row>
    <row r="484" spans="1:38" x14ac:dyDescent="0.35">
      <c r="A484" s="10">
        <v>37479</v>
      </c>
      <c r="B484" s="2">
        <v>2002</v>
      </c>
      <c r="C484" s="2">
        <f>COUNTIFS(Games[Team],Games[[#This Row],[Team]],Games[Season],Games[[#This Row],[Season]],Games[Date],"&lt;=" &amp; Games[[#This Row],[Date]])</f>
        <v>31</v>
      </c>
      <c r="D484" s="2" t="s">
        <v>23</v>
      </c>
      <c r="E484" s="2" t="s">
        <v>29</v>
      </c>
      <c r="F484" s="1" t="s">
        <v>75</v>
      </c>
      <c r="G484" s="1" t="s">
        <v>1</v>
      </c>
      <c r="H484" s="1" t="s">
        <v>16</v>
      </c>
      <c r="I484" s="2" cm="1">
        <f t="array" ref="I4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4" s="2" cm="1">
        <f t="array" ref="J4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4" s="2">
        <f>Games[[#This Row],[DaysOff]]-Games[[#This Row],[OppDaysOff]]</f>
        <v>0</v>
      </c>
      <c r="L484" s="2">
        <f>Games[[#This Row],[OppDaysOff]]-Games[[#This Row],[DaysOff]]</f>
        <v>0</v>
      </c>
      <c r="M484" s="16">
        <f>MAX(-16, MIN(16, Games[[#This Row],[RestDiff]]*8))</f>
        <v>0</v>
      </c>
      <c r="N484" s="16">
        <f>MAX(-16, MIN(16, Games[[#This Row],[OppRestDiff]]*8))</f>
        <v>0</v>
      </c>
      <c r="O484" s="4" cm="1">
        <f t="array" ref="O4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1441.4480293947267</v>
      </c>
      <c r="P484" s="4" cm="1">
        <f t="array" ref="P4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1428.8429697823631</v>
      </c>
      <c r="Q484" s="4">
        <f>1/(1+10^(((Games[[#This Row],[OppPreGmRate]]+IF(Games[[#This Row],[HomeAway]]="A",HCA,0)+Games[[#This Row],[OppRestAdj]])-(Games[[#This Row],[PreGmRate]]+IF(Games[[#This Row],[HomeAway]]="H",HCA,0)+Games[[#This Row],[RestAdj]]))/400))</f>
        <v>0.39867660417653539</v>
      </c>
      <c r="R484" s="1">
        <v>60</v>
      </c>
      <c r="S484" s="1">
        <v>54</v>
      </c>
      <c r="T484" s="1">
        <v>0</v>
      </c>
      <c r="U484" s="16">
        <f>Games[[#This Row],[PointsFor]]-Games[[#This Row],[PointsAgainst]]</f>
        <v>6</v>
      </c>
      <c r="V484" s="16">
        <f>IF(Games[[#This Row],[MOV]]&gt;0,1,IF(Games[[#This Row],[MOV]]=0,0.5,0))</f>
        <v>1</v>
      </c>
      <c r="W484" s="4">
        <f>((ABS(Games[[#This Row],[MOV]])+5)^0.6)/(12+0.01*(ABS(Games[[#This Row],[PreGmRate]]-Games[[#This Row],[OppPreGmRate]])))*IF(Games[[#This Row],[OT]]=1,0.9,1)</f>
        <v>0.34762918888359556</v>
      </c>
      <c r="X484" s="7" cm="1">
        <f t="array" ref="X4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4" s="9">
        <f>MAX(kmin, kmax - 0.15 * MIN(Games[[#This Row],[GamesPlayed]], 82))</f>
        <v>71.349999999999994</v>
      </c>
      <c r="Z484" s="4">
        <f>Games[[#This Row],[K]]*Games[[#This Row],[POMult]]</f>
        <v>71.349999999999994</v>
      </c>
      <c r="AA484" s="4">
        <f>(Games[[#This Row],[Keff]]*Games[[#This Row],[MOVMult]])*(Games[[#This Row],[Result]]-Games[[#This Row],[ExpectedWin%]])</f>
        <v>14.914830216147054</v>
      </c>
      <c r="AB484" s="4">
        <f>Games[[#This Row],[PreGmRate]]+Games[[#This Row],[RatingChange]]</f>
        <v>1456.3628596108738</v>
      </c>
      <c r="AC484" s="2">
        <f>IF(Games[[#This Row],[Type]]="R",IF(Games[[#This Row],[Result]]&gt;0.5,1,0),0)</f>
        <v>1</v>
      </c>
      <c r="AD484" s="2">
        <f>IF(Games[[#This Row],[Type]]="R",IF(Games[[#This Row],[Result]]&lt;0.5,1,0),0)</f>
        <v>0</v>
      </c>
      <c r="AE484" s="2">
        <f>IF(AND(Games[[#This Row],[Type]]="P",Games[[#This Row],[Round]]=1),IF(Games[[#This Row],[Result]]&gt;0.5,1,0),0)</f>
        <v>0</v>
      </c>
      <c r="AF484" s="2">
        <f>IF(AND(Games[[#This Row],[Type]]="P",Games[[#This Row],[Round]]=1),IF(Games[[#This Row],[Result]]&lt;0.5,1,0),0)</f>
        <v>0</v>
      </c>
      <c r="AG484" s="2">
        <f>IF(AND(Games[[#This Row],[Type]]="P",Games[[#This Row],[Round]]=2),IF(Games[[#This Row],[Result]]&gt;0.5,1,0),0)</f>
        <v>0</v>
      </c>
      <c r="AH484" s="2">
        <f>IF(AND(Games[[#This Row],[Type]]="P",Games[[#This Row],[Round]]=2),IF(Games[[#This Row],[Result]]&lt;0.5,1,0),0)</f>
        <v>0</v>
      </c>
      <c r="AI484" s="2">
        <f>IF(AND(Games[[#This Row],[Type]]="P",Games[[#This Row],[Round]]=3),IF(Games[[#This Row],[Result]]&gt;0.5,1,0),0)</f>
        <v>0</v>
      </c>
      <c r="AJ484" s="2">
        <f>IF(AND(Games[[#This Row],[Type]]="P",Games[[#This Row],[Round]]=3),IF(Games[[#This Row],[Result]]&lt;0.5,1,0),0)</f>
        <v>0</v>
      </c>
      <c r="AK484" s="2">
        <f>IF(AND(Games[[#This Row],[Type]]="P",Games[[#This Row],[Round]]=4),IF(Games[[#This Row],[Result]]&gt;0.5,1,0),0)</f>
        <v>0</v>
      </c>
      <c r="AL484" s="2">
        <f>IF(AND(Games[[#This Row],[Type]]="P",Games[[#This Row],[Round]]=4),IF(Games[[#This Row],[Result]]&lt;0.5,1,0),0)</f>
        <v>0</v>
      </c>
    </row>
    <row r="485" spans="1:38" x14ac:dyDescent="0.35">
      <c r="A485" s="10">
        <v>37479</v>
      </c>
      <c r="B485" s="2">
        <v>2002</v>
      </c>
      <c r="C485" s="2">
        <f>COUNTIFS(Games[Team],Games[[#This Row],[Team]],Games[Season],Games[[#This Row],[Season]],Games[Date],"&lt;=" &amp; Games[[#This Row],[Date]])</f>
        <v>31</v>
      </c>
      <c r="D485" s="2" t="s">
        <v>23</v>
      </c>
      <c r="E485" s="2" t="s">
        <v>29</v>
      </c>
      <c r="F485" s="1" t="s">
        <v>1</v>
      </c>
      <c r="G485" s="1" t="s">
        <v>75</v>
      </c>
      <c r="H485" s="1" t="s">
        <v>15</v>
      </c>
      <c r="I485" s="2" cm="1">
        <f t="array" ref="I4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5" s="2" cm="1">
        <f t="array" ref="J4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5" s="2">
        <f>Games[[#This Row],[DaysOff]]-Games[[#This Row],[OppDaysOff]]</f>
        <v>0</v>
      </c>
      <c r="L485" s="2">
        <f>Games[[#This Row],[OppDaysOff]]-Games[[#This Row],[DaysOff]]</f>
        <v>0</v>
      </c>
      <c r="M485" s="16">
        <f>MAX(-16, MIN(16, Games[[#This Row],[RestDiff]]*8))</f>
        <v>0</v>
      </c>
      <c r="N485" s="16">
        <f>MAX(-16, MIN(16, Games[[#This Row],[OppRestDiff]]*8))</f>
        <v>0</v>
      </c>
      <c r="O485" s="4" cm="1">
        <f t="array" ref="O4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1428.8429697823631</v>
      </c>
      <c r="P485" s="4" cm="1">
        <f t="array" ref="P4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1441.4480293947267</v>
      </c>
      <c r="Q485" s="4">
        <f>1/(1+10^(((Games[[#This Row],[OppPreGmRate]]+IF(Games[[#This Row],[HomeAway]]="A",HCA,0)+Games[[#This Row],[OppRestAdj]])-(Games[[#This Row],[PreGmRate]]+IF(Games[[#This Row],[HomeAway]]="H",HCA,0)+Games[[#This Row],[RestAdj]]))/400))</f>
        <v>0.60132339582346461</v>
      </c>
      <c r="R485" s="1">
        <v>54</v>
      </c>
      <c r="S485" s="1">
        <v>60</v>
      </c>
      <c r="T485" s="1">
        <v>0</v>
      </c>
      <c r="U485" s="16">
        <f>Games[[#This Row],[PointsFor]]-Games[[#This Row],[PointsAgainst]]</f>
        <v>-6</v>
      </c>
      <c r="V485" s="16">
        <f>IF(Games[[#This Row],[MOV]]&gt;0,1,IF(Games[[#This Row],[MOV]]=0,0.5,0))</f>
        <v>0</v>
      </c>
      <c r="W485" s="4">
        <f>((ABS(Games[[#This Row],[MOV]])+5)^0.6)/(12+0.01*(ABS(Games[[#This Row],[PreGmRate]]-Games[[#This Row],[OppPreGmRate]])))*IF(Games[[#This Row],[OT]]=1,0.9,1)</f>
        <v>0.34762918888359556</v>
      </c>
      <c r="X485" s="7" cm="1">
        <f t="array" ref="X4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5" s="9">
        <f>MAX(kmin, kmax - 0.15 * MIN(Games[[#This Row],[GamesPlayed]], 82))</f>
        <v>71.349999999999994</v>
      </c>
      <c r="Z485" s="4">
        <f>Games[[#This Row],[K]]*Games[[#This Row],[POMult]]</f>
        <v>71.349999999999994</v>
      </c>
      <c r="AA485" s="4">
        <f>(Games[[#This Row],[Keff]]*Games[[#This Row],[MOVMult]])*(Games[[#This Row],[Result]]-Games[[#This Row],[ExpectedWin%]])</f>
        <v>-14.914830216147054</v>
      </c>
      <c r="AB485" s="4">
        <f>Games[[#This Row],[PreGmRate]]+Games[[#This Row],[RatingChange]]</f>
        <v>1413.928139566216</v>
      </c>
      <c r="AC485" s="2">
        <f>IF(Games[[#This Row],[Type]]="R",IF(Games[[#This Row],[Result]]&gt;0.5,1,0),0)</f>
        <v>0</v>
      </c>
      <c r="AD485" s="2">
        <f>IF(Games[[#This Row],[Type]]="R",IF(Games[[#This Row],[Result]]&lt;0.5,1,0),0)</f>
        <v>1</v>
      </c>
      <c r="AE485" s="2">
        <f>IF(AND(Games[[#This Row],[Type]]="P",Games[[#This Row],[Round]]=1),IF(Games[[#This Row],[Result]]&gt;0.5,1,0),0)</f>
        <v>0</v>
      </c>
      <c r="AF485" s="2">
        <f>IF(AND(Games[[#This Row],[Type]]="P",Games[[#This Row],[Round]]=1),IF(Games[[#This Row],[Result]]&lt;0.5,1,0),0)</f>
        <v>0</v>
      </c>
      <c r="AG485" s="2">
        <f>IF(AND(Games[[#This Row],[Type]]="P",Games[[#This Row],[Round]]=2),IF(Games[[#This Row],[Result]]&gt;0.5,1,0),0)</f>
        <v>0</v>
      </c>
      <c r="AH485" s="2">
        <f>IF(AND(Games[[#This Row],[Type]]="P",Games[[#This Row],[Round]]=2),IF(Games[[#This Row],[Result]]&lt;0.5,1,0),0)</f>
        <v>0</v>
      </c>
      <c r="AI485" s="2">
        <f>IF(AND(Games[[#This Row],[Type]]="P",Games[[#This Row],[Round]]=3),IF(Games[[#This Row],[Result]]&gt;0.5,1,0),0)</f>
        <v>0</v>
      </c>
      <c r="AJ485" s="2">
        <f>IF(AND(Games[[#This Row],[Type]]="P",Games[[#This Row],[Round]]=3),IF(Games[[#This Row],[Result]]&lt;0.5,1,0),0)</f>
        <v>0</v>
      </c>
      <c r="AK485" s="2">
        <f>IF(AND(Games[[#This Row],[Type]]="P",Games[[#This Row],[Round]]=4),IF(Games[[#This Row],[Result]]&gt;0.5,1,0),0)</f>
        <v>0</v>
      </c>
      <c r="AL485" s="2">
        <f>IF(AND(Games[[#This Row],[Type]]="P",Games[[#This Row],[Round]]=4),IF(Games[[#This Row],[Result]]&lt;0.5,1,0),0)</f>
        <v>0</v>
      </c>
    </row>
    <row r="486" spans="1:38" x14ac:dyDescent="0.35">
      <c r="A486" s="10">
        <v>37479</v>
      </c>
      <c r="B486" s="2">
        <v>2002</v>
      </c>
      <c r="C486" s="2">
        <f>COUNTIFS(Games[Team],Games[[#This Row],[Team]],Games[Season],Games[[#This Row],[Season]],Games[Date],"&lt;=" &amp; Games[[#This Row],[Date]])</f>
        <v>31</v>
      </c>
      <c r="D486" s="2" t="s">
        <v>23</v>
      </c>
      <c r="E486" s="2" t="s">
        <v>29</v>
      </c>
      <c r="F486" s="1" t="s">
        <v>83</v>
      </c>
      <c r="G486" s="1" t="s">
        <v>85</v>
      </c>
      <c r="H486" s="1" t="s">
        <v>16</v>
      </c>
      <c r="I486" s="2" cm="1">
        <f t="array" ref="I4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6" s="2" cm="1">
        <f t="array" ref="J4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6" s="2">
        <f>Games[[#This Row],[DaysOff]]-Games[[#This Row],[OppDaysOff]]</f>
        <v>0</v>
      </c>
      <c r="L486" s="2">
        <f>Games[[#This Row],[OppDaysOff]]-Games[[#This Row],[DaysOff]]</f>
        <v>0</v>
      </c>
      <c r="M486" s="16">
        <f>MAX(-16, MIN(16, Games[[#This Row],[RestDiff]]*8))</f>
        <v>0</v>
      </c>
      <c r="N486" s="16">
        <f>MAX(-16, MIN(16, Games[[#This Row],[OppRestDiff]]*8))</f>
        <v>0</v>
      </c>
      <c r="O486" s="4" cm="1">
        <f t="array" ref="O4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1501.5360457717461</v>
      </c>
      <c r="P486" s="4" cm="1">
        <f t="array" ref="P4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1464.7382972957218</v>
      </c>
      <c r="Q486" s="4">
        <f>1/(1+10^(((Games[[#This Row],[OppPreGmRate]]+IF(Games[[#This Row],[HomeAway]]="A",HCA,0)+Games[[#This Row],[OppRestAdj]])-(Games[[#This Row],[PreGmRate]]+IF(Games[[#This Row],[HomeAway]]="H",HCA,0)+Games[[#This Row],[RestAdj]]))/400))</f>
        <v>0.43248537681385324</v>
      </c>
      <c r="R486" s="1">
        <v>63</v>
      </c>
      <c r="S486" s="1">
        <v>77</v>
      </c>
      <c r="T486" s="1">
        <v>0</v>
      </c>
      <c r="U486" s="16">
        <f>Games[[#This Row],[PointsFor]]-Games[[#This Row],[PointsAgainst]]</f>
        <v>-14</v>
      </c>
      <c r="V486" s="16">
        <f>IF(Games[[#This Row],[MOV]]&gt;0,1,IF(Games[[#This Row],[MOV]]=0,0.5,0))</f>
        <v>0</v>
      </c>
      <c r="W486" s="4">
        <f>((ABS(Games[[#This Row],[MOV]])+5)^0.6)/(12+0.01*(ABS(Games[[#This Row],[PreGmRate]]-Games[[#This Row],[OppPreGmRate]])))*IF(Games[[#This Row],[OT]]=1,0.9,1)</f>
        <v>0.47310057360786378</v>
      </c>
      <c r="X486" s="7" cm="1">
        <f t="array" ref="X4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6" s="9">
        <f>MAX(kmin, kmax - 0.15 * MIN(Games[[#This Row],[GamesPlayed]], 82))</f>
        <v>71.349999999999994</v>
      </c>
      <c r="Z486" s="4">
        <f>Games[[#This Row],[K]]*Games[[#This Row],[POMult]]</f>
        <v>71.349999999999994</v>
      </c>
      <c r="AA486" s="4">
        <f>(Games[[#This Row],[Keff]]*Games[[#This Row],[MOVMult]])*(Games[[#This Row],[Result]]-Games[[#This Row],[ExpectedWin%]])</f>
        <v>-14.598857847129619</v>
      </c>
      <c r="AB486" s="4">
        <f>Games[[#This Row],[PreGmRate]]+Games[[#This Row],[RatingChange]]</f>
        <v>1486.9371879246164</v>
      </c>
      <c r="AC486" s="2">
        <f>IF(Games[[#This Row],[Type]]="R",IF(Games[[#This Row],[Result]]&gt;0.5,1,0),0)</f>
        <v>0</v>
      </c>
      <c r="AD486" s="2">
        <f>IF(Games[[#This Row],[Type]]="R",IF(Games[[#This Row],[Result]]&lt;0.5,1,0),0)</f>
        <v>1</v>
      </c>
      <c r="AE486" s="2">
        <f>IF(AND(Games[[#This Row],[Type]]="P",Games[[#This Row],[Round]]=1),IF(Games[[#This Row],[Result]]&gt;0.5,1,0),0)</f>
        <v>0</v>
      </c>
      <c r="AF486" s="2">
        <f>IF(AND(Games[[#This Row],[Type]]="P",Games[[#This Row],[Round]]=1),IF(Games[[#This Row],[Result]]&lt;0.5,1,0),0)</f>
        <v>0</v>
      </c>
      <c r="AG486" s="2">
        <f>IF(AND(Games[[#This Row],[Type]]="P",Games[[#This Row],[Round]]=2),IF(Games[[#This Row],[Result]]&gt;0.5,1,0),0)</f>
        <v>0</v>
      </c>
      <c r="AH486" s="2">
        <f>IF(AND(Games[[#This Row],[Type]]="P",Games[[#This Row],[Round]]=2),IF(Games[[#This Row],[Result]]&lt;0.5,1,0),0)</f>
        <v>0</v>
      </c>
      <c r="AI486" s="2">
        <f>IF(AND(Games[[#This Row],[Type]]="P",Games[[#This Row],[Round]]=3),IF(Games[[#This Row],[Result]]&gt;0.5,1,0),0)</f>
        <v>0</v>
      </c>
      <c r="AJ486" s="2">
        <f>IF(AND(Games[[#This Row],[Type]]="P",Games[[#This Row],[Round]]=3),IF(Games[[#This Row],[Result]]&lt;0.5,1,0),0)</f>
        <v>0</v>
      </c>
      <c r="AK486" s="2">
        <f>IF(AND(Games[[#This Row],[Type]]="P",Games[[#This Row],[Round]]=4),IF(Games[[#This Row],[Result]]&gt;0.5,1,0),0)</f>
        <v>0</v>
      </c>
      <c r="AL486" s="2">
        <f>IF(AND(Games[[#This Row],[Type]]="P",Games[[#This Row],[Round]]=4),IF(Games[[#This Row],[Result]]&lt;0.5,1,0),0)</f>
        <v>0</v>
      </c>
    </row>
    <row r="487" spans="1:38" x14ac:dyDescent="0.35">
      <c r="A487" s="10">
        <v>37479</v>
      </c>
      <c r="B487" s="2">
        <v>2002</v>
      </c>
      <c r="C487" s="2">
        <f>COUNTIFS(Games[Team],Games[[#This Row],[Team]],Games[Season],Games[[#This Row],[Season]],Games[Date],"&lt;=" &amp; Games[[#This Row],[Date]])</f>
        <v>31</v>
      </c>
      <c r="D487" s="2" t="s">
        <v>23</v>
      </c>
      <c r="E487" s="2" t="s">
        <v>29</v>
      </c>
      <c r="F487" s="1" t="s">
        <v>85</v>
      </c>
      <c r="G487" s="1" t="s">
        <v>83</v>
      </c>
      <c r="H487" s="1" t="s">
        <v>15</v>
      </c>
      <c r="I487" s="2" cm="1">
        <f t="array" ref="I4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7" s="2" cm="1">
        <f t="array" ref="J4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7" s="2">
        <f>Games[[#This Row],[DaysOff]]-Games[[#This Row],[OppDaysOff]]</f>
        <v>0</v>
      </c>
      <c r="L487" s="2">
        <f>Games[[#This Row],[OppDaysOff]]-Games[[#This Row],[DaysOff]]</f>
        <v>0</v>
      </c>
      <c r="M487" s="16">
        <f>MAX(-16, MIN(16, Games[[#This Row],[RestDiff]]*8))</f>
        <v>0</v>
      </c>
      <c r="N487" s="16">
        <f>MAX(-16, MIN(16, Games[[#This Row],[OppRestDiff]]*8))</f>
        <v>0</v>
      </c>
      <c r="O487" s="4" cm="1">
        <f t="array" ref="O4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1464.7382972957218</v>
      </c>
      <c r="P487" s="4" cm="1">
        <f t="array" ref="P4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1501.5360457717461</v>
      </c>
      <c r="Q487" s="4">
        <f>1/(1+10^(((Games[[#This Row],[OppPreGmRate]]+IF(Games[[#This Row],[HomeAway]]="A",HCA,0)+Games[[#This Row],[OppRestAdj]])-(Games[[#This Row],[PreGmRate]]+IF(Games[[#This Row],[HomeAway]]="H",HCA,0)+Games[[#This Row],[RestAdj]]))/400))</f>
        <v>0.56751462318614687</v>
      </c>
      <c r="R487" s="1">
        <v>77</v>
      </c>
      <c r="S487" s="1">
        <v>63</v>
      </c>
      <c r="T487" s="1">
        <v>0</v>
      </c>
      <c r="U487" s="16">
        <f>Games[[#This Row],[PointsFor]]-Games[[#This Row],[PointsAgainst]]</f>
        <v>14</v>
      </c>
      <c r="V487" s="16">
        <f>IF(Games[[#This Row],[MOV]]&gt;0,1,IF(Games[[#This Row],[MOV]]=0,0.5,0))</f>
        <v>1</v>
      </c>
      <c r="W487" s="4">
        <f>((ABS(Games[[#This Row],[MOV]])+5)^0.6)/(12+0.01*(ABS(Games[[#This Row],[PreGmRate]]-Games[[#This Row],[OppPreGmRate]])))*IF(Games[[#This Row],[OT]]=1,0.9,1)</f>
        <v>0.47310057360786378</v>
      </c>
      <c r="X487" s="7" cm="1">
        <f t="array" ref="X4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7" s="9">
        <f>MAX(kmin, kmax - 0.15 * MIN(Games[[#This Row],[GamesPlayed]], 82))</f>
        <v>71.349999999999994</v>
      </c>
      <c r="Z487" s="4">
        <f>Games[[#This Row],[K]]*Games[[#This Row],[POMult]]</f>
        <v>71.349999999999994</v>
      </c>
      <c r="AA487" s="4">
        <f>(Games[[#This Row],[Keff]]*Games[[#This Row],[MOVMult]])*(Games[[#This Row],[Result]]-Games[[#This Row],[ExpectedWin%]])</f>
        <v>14.598857847129615</v>
      </c>
      <c r="AB487" s="4">
        <f>Games[[#This Row],[PreGmRate]]+Games[[#This Row],[RatingChange]]</f>
        <v>1479.3371551428515</v>
      </c>
      <c r="AC487" s="2">
        <f>IF(Games[[#This Row],[Type]]="R",IF(Games[[#This Row],[Result]]&gt;0.5,1,0),0)</f>
        <v>1</v>
      </c>
      <c r="AD487" s="2">
        <f>IF(Games[[#This Row],[Type]]="R",IF(Games[[#This Row],[Result]]&lt;0.5,1,0),0)</f>
        <v>0</v>
      </c>
      <c r="AE487" s="2">
        <f>IF(AND(Games[[#This Row],[Type]]="P",Games[[#This Row],[Round]]=1),IF(Games[[#This Row],[Result]]&gt;0.5,1,0),0)</f>
        <v>0</v>
      </c>
      <c r="AF487" s="2">
        <f>IF(AND(Games[[#This Row],[Type]]="P",Games[[#This Row],[Round]]=1),IF(Games[[#This Row],[Result]]&lt;0.5,1,0),0)</f>
        <v>0</v>
      </c>
      <c r="AG487" s="2">
        <f>IF(AND(Games[[#This Row],[Type]]="P",Games[[#This Row],[Round]]=2),IF(Games[[#This Row],[Result]]&gt;0.5,1,0),0)</f>
        <v>0</v>
      </c>
      <c r="AH487" s="2">
        <f>IF(AND(Games[[#This Row],[Type]]="P",Games[[#This Row],[Round]]=2),IF(Games[[#This Row],[Result]]&lt;0.5,1,0),0)</f>
        <v>0</v>
      </c>
      <c r="AI487" s="2">
        <f>IF(AND(Games[[#This Row],[Type]]="P",Games[[#This Row],[Round]]=3),IF(Games[[#This Row],[Result]]&gt;0.5,1,0),0)</f>
        <v>0</v>
      </c>
      <c r="AJ487" s="2">
        <f>IF(AND(Games[[#This Row],[Type]]="P",Games[[#This Row],[Round]]=3),IF(Games[[#This Row],[Result]]&lt;0.5,1,0),0)</f>
        <v>0</v>
      </c>
      <c r="AK487" s="2">
        <f>IF(AND(Games[[#This Row],[Type]]="P",Games[[#This Row],[Round]]=4),IF(Games[[#This Row],[Result]]&gt;0.5,1,0),0)</f>
        <v>0</v>
      </c>
      <c r="AL487" s="2">
        <f>IF(AND(Games[[#This Row],[Type]]="P",Games[[#This Row],[Round]]=4),IF(Games[[#This Row],[Result]]&lt;0.5,1,0),0)</f>
        <v>0</v>
      </c>
    </row>
    <row r="488" spans="1:38" x14ac:dyDescent="0.35">
      <c r="A488" s="10">
        <v>37479</v>
      </c>
      <c r="B488" s="2">
        <v>2002</v>
      </c>
      <c r="C488" s="2">
        <f>COUNTIFS(Games[Team],Games[[#This Row],[Team]],Games[Season],Games[[#This Row],[Season]],Games[Date],"&lt;=" &amp; Games[[#This Row],[Date]])</f>
        <v>31</v>
      </c>
      <c r="D488" s="2" t="s">
        <v>23</v>
      </c>
      <c r="E488" s="2" t="s">
        <v>29</v>
      </c>
      <c r="F488" s="1" t="s">
        <v>71</v>
      </c>
      <c r="G488" s="1" t="s">
        <v>80</v>
      </c>
      <c r="H488" s="1" t="s">
        <v>16</v>
      </c>
      <c r="I488" s="2" cm="1">
        <f t="array" ref="I4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8" s="2" cm="1">
        <f t="array" ref="J4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8" s="2">
        <f>Games[[#This Row],[DaysOff]]-Games[[#This Row],[OppDaysOff]]</f>
        <v>0</v>
      </c>
      <c r="L488" s="2">
        <f>Games[[#This Row],[OppDaysOff]]-Games[[#This Row],[DaysOff]]</f>
        <v>0</v>
      </c>
      <c r="M488" s="16">
        <f>MAX(-16, MIN(16, Games[[#This Row],[RestDiff]]*8))</f>
        <v>0</v>
      </c>
      <c r="N488" s="16">
        <f>MAX(-16, MIN(16, Games[[#This Row],[OppRestDiff]]*8))</f>
        <v>0</v>
      </c>
      <c r="O488" s="4" cm="1">
        <f t="array" ref="O4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1680.2326701183417</v>
      </c>
      <c r="P488" s="4" cm="1">
        <f t="array" ref="P4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1408.249777643839</v>
      </c>
      <c r="Q488" s="4">
        <f>1/(1+10^(((Games[[#This Row],[OppPreGmRate]]+IF(Games[[#This Row],[HomeAway]]="A",HCA,0)+Games[[#This Row],[OppRestAdj]])-(Games[[#This Row],[PreGmRate]]+IF(Games[[#This Row],[HomeAway]]="H",HCA,0)+Games[[#This Row],[RestAdj]]))/400))</f>
        <v>0.7468943051276693</v>
      </c>
      <c r="R488" s="1">
        <v>69</v>
      </c>
      <c r="S488" s="1">
        <v>58</v>
      </c>
      <c r="T488" s="1">
        <v>0</v>
      </c>
      <c r="U488" s="16">
        <f>Games[[#This Row],[PointsFor]]-Games[[#This Row],[PointsAgainst]]</f>
        <v>11</v>
      </c>
      <c r="V488" s="16">
        <f>IF(Games[[#This Row],[MOV]]&gt;0,1,IF(Games[[#This Row],[MOV]]=0,0.5,0))</f>
        <v>1</v>
      </c>
      <c r="W488" s="4">
        <f>((ABS(Games[[#This Row],[MOV]])+5)^0.6)/(12+0.01*(ABS(Games[[#This Row],[PreGmRate]]-Games[[#This Row],[OppPreGmRate]])))*IF(Games[[#This Row],[OT]]=1,0.9,1)</f>
        <v>0.35856609951620083</v>
      </c>
      <c r="X488" s="7" cm="1">
        <f t="array" ref="X4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8" s="9">
        <f>MAX(kmin, kmax - 0.15 * MIN(Games[[#This Row],[GamesPlayed]], 82))</f>
        <v>71.349999999999994</v>
      </c>
      <c r="Z488" s="4">
        <f>Games[[#This Row],[K]]*Games[[#This Row],[POMult]]</f>
        <v>71.349999999999994</v>
      </c>
      <c r="AA488" s="4">
        <f>(Games[[#This Row],[Keff]]*Games[[#This Row],[MOVMult]])*(Games[[#This Row],[Result]]-Games[[#This Row],[ExpectedWin%]])</f>
        <v>6.475377938696858</v>
      </c>
      <c r="AB488" s="4">
        <f>Games[[#This Row],[PreGmRate]]+Games[[#This Row],[RatingChange]]</f>
        <v>1686.7080480570387</v>
      </c>
      <c r="AC488" s="2">
        <f>IF(Games[[#This Row],[Type]]="R",IF(Games[[#This Row],[Result]]&gt;0.5,1,0),0)</f>
        <v>1</v>
      </c>
      <c r="AD488" s="2">
        <f>IF(Games[[#This Row],[Type]]="R",IF(Games[[#This Row],[Result]]&lt;0.5,1,0),0)</f>
        <v>0</v>
      </c>
      <c r="AE488" s="2">
        <f>IF(AND(Games[[#This Row],[Type]]="P",Games[[#This Row],[Round]]=1),IF(Games[[#This Row],[Result]]&gt;0.5,1,0),0)</f>
        <v>0</v>
      </c>
      <c r="AF488" s="2">
        <f>IF(AND(Games[[#This Row],[Type]]="P",Games[[#This Row],[Round]]=1),IF(Games[[#This Row],[Result]]&lt;0.5,1,0),0)</f>
        <v>0</v>
      </c>
      <c r="AG488" s="2">
        <f>IF(AND(Games[[#This Row],[Type]]="P",Games[[#This Row],[Round]]=2),IF(Games[[#This Row],[Result]]&gt;0.5,1,0),0)</f>
        <v>0</v>
      </c>
      <c r="AH488" s="2">
        <f>IF(AND(Games[[#This Row],[Type]]="P",Games[[#This Row],[Round]]=2),IF(Games[[#This Row],[Result]]&lt;0.5,1,0),0)</f>
        <v>0</v>
      </c>
      <c r="AI488" s="2">
        <f>IF(AND(Games[[#This Row],[Type]]="P",Games[[#This Row],[Round]]=3),IF(Games[[#This Row],[Result]]&gt;0.5,1,0),0)</f>
        <v>0</v>
      </c>
      <c r="AJ488" s="2">
        <f>IF(AND(Games[[#This Row],[Type]]="P",Games[[#This Row],[Round]]=3),IF(Games[[#This Row],[Result]]&lt;0.5,1,0),0)</f>
        <v>0</v>
      </c>
      <c r="AK488" s="2">
        <f>IF(AND(Games[[#This Row],[Type]]="P",Games[[#This Row],[Round]]=4),IF(Games[[#This Row],[Result]]&gt;0.5,1,0),0)</f>
        <v>0</v>
      </c>
      <c r="AL488" s="2">
        <f>IF(AND(Games[[#This Row],[Type]]="P",Games[[#This Row],[Round]]=4),IF(Games[[#This Row],[Result]]&lt;0.5,1,0),0)</f>
        <v>0</v>
      </c>
    </row>
    <row r="489" spans="1:38" x14ac:dyDescent="0.35">
      <c r="A489" s="10">
        <v>37479</v>
      </c>
      <c r="B489" s="2">
        <v>2002</v>
      </c>
      <c r="C489" s="2">
        <f>COUNTIFS(Games[Team],Games[[#This Row],[Team]],Games[Season],Games[[#This Row],[Season]],Games[Date],"&lt;=" &amp; Games[[#This Row],[Date]])</f>
        <v>31</v>
      </c>
      <c r="D489" s="2" t="s">
        <v>23</v>
      </c>
      <c r="E489" s="2" t="s">
        <v>29</v>
      </c>
      <c r="F489" s="1" t="s">
        <v>80</v>
      </c>
      <c r="G489" s="1" t="s">
        <v>71</v>
      </c>
      <c r="H489" s="1" t="s">
        <v>15</v>
      </c>
      <c r="I489" s="2" cm="1">
        <f t="array" ref="I4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9" s="2" cm="1">
        <f t="array" ref="J4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9" s="2">
        <f>Games[[#This Row],[DaysOff]]-Games[[#This Row],[OppDaysOff]]</f>
        <v>0</v>
      </c>
      <c r="L489" s="2">
        <f>Games[[#This Row],[OppDaysOff]]-Games[[#This Row],[DaysOff]]</f>
        <v>0</v>
      </c>
      <c r="M489" s="16">
        <f>MAX(-16, MIN(16, Games[[#This Row],[RestDiff]]*8))</f>
        <v>0</v>
      </c>
      <c r="N489" s="16">
        <f>MAX(-16, MIN(16, Games[[#This Row],[OppRestDiff]]*8))</f>
        <v>0</v>
      </c>
      <c r="O489" s="4" cm="1">
        <f t="array" ref="O4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1408.249777643839</v>
      </c>
      <c r="P489" s="4" cm="1">
        <f t="array" ref="P4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1680.2326701183417</v>
      </c>
      <c r="Q489" s="4">
        <f>1/(1+10^(((Games[[#This Row],[OppPreGmRate]]+IF(Games[[#This Row],[HomeAway]]="A",HCA,0)+Games[[#This Row],[OppRestAdj]])-(Games[[#This Row],[PreGmRate]]+IF(Games[[#This Row],[HomeAway]]="H",HCA,0)+Games[[#This Row],[RestAdj]]))/400))</f>
        <v>0.25310569487233081</v>
      </c>
      <c r="R489" s="1">
        <v>58</v>
      </c>
      <c r="S489" s="1">
        <v>69</v>
      </c>
      <c r="T489" s="1">
        <v>0</v>
      </c>
      <c r="U489" s="16">
        <f>Games[[#This Row],[PointsFor]]-Games[[#This Row],[PointsAgainst]]</f>
        <v>-11</v>
      </c>
      <c r="V489" s="16">
        <f>IF(Games[[#This Row],[MOV]]&gt;0,1,IF(Games[[#This Row],[MOV]]=0,0.5,0))</f>
        <v>0</v>
      </c>
      <c r="W489" s="4">
        <f>((ABS(Games[[#This Row],[MOV]])+5)^0.6)/(12+0.01*(ABS(Games[[#This Row],[PreGmRate]]-Games[[#This Row],[OppPreGmRate]])))*IF(Games[[#This Row],[OT]]=1,0.9,1)</f>
        <v>0.35856609951620083</v>
      </c>
      <c r="X489" s="7" cm="1">
        <f t="array" ref="X4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9" s="9">
        <f>MAX(kmin, kmax - 0.15 * MIN(Games[[#This Row],[GamesPlayed]], 82))</f>
        <v>71.349999999999994</v>
      </c>
      <c r="Z489" s="4">
        <f>Games[[#This Row],[K]]*Games[[#This Row],[POMult]]</f>
        <v>71.349999999999994</v>
      </c>
      <c r="AA489" s="4">
        <f>(Games[[#This Row],[Keff]]*Games[[#This Row],[MOVMult]])*(Games[[#This Row],[Result]]-Games[[#This Row],[ExpectedWin%]])</f>
        <v>-6.4753779386968606</v>
      </c>
      <c r="AB489" s="4">
        <f>Games[[#This Row],[PreGmRate]]+Games[[#This Row],[RatingChange]]</f>
        <v>1401.7743997051421</v>
      </c>
      <c r="AC489" s="2">
        <f>IF(Games[[#This Row],[Type]]="R",IF(Games[[#This Row],[Result]]&gt;0.5,1,0),0)</f>
        <v>0</v>
      </c>
      <c r="AD489" s="2">
        <f>IF(Games[[#This Row],[Type]]="R",IF(Games[[#This Row],[Result]]&lt;0.5,1,0),0)</f>
        <v>1</v>
      </c>
      <c r="AE489" s="2">
        <f>IF(AND(Games[[#This Row],[Type]]="P",Games[[#This Row],[Round]]=1),IF(Games[[#This Row],[Result]]&gt;0.5,1,0),0)</f>
        <v>0</v>
      </c>
      <c r="AF489" s="2">
        <f>IF(AND(Games[[#This Row],[Type]]="P",Games[[#This Row],[Round]]=1),IF(Games[[#This Row],[Result]]&lt;0.5,1,0),0)</f>
        <v>0</v>
      </c>
      <c r="AG489" s="2">
        <f>IF(AND(Games[[#This Row],[Type]]="P",Games[[#This Row],[Round]]=2),IF(Games[[#This Row],[Result]]&gt;0.5,1,0),0)</f>
        <v>0</v>
      </c>
      <c r="AH489" s="2">
        <f>IF(AND(Games[[#This Row],[Type]]="P",Games[[#This Row],[Round]]=2),IF(Games[[#This Row],[Result]]&lt;0.5,1,0),0)</f>
        <v>0</v>
      </c>
      <c r="AI489" s="2">
        <f>IF(AND(Games[[#This Row],[Type]]="P",Games[[#This Row],[Round]]=3),IF(Games[[#This Row],[Result]]&gt;0.5,1,0),0)</f>
        <v>0</v>
      </c>
      <c r="AJ489" s="2">
        <f>IF(AND(Games[[#This Row],[Type]]="P",Games[[#This Row],[Round]]=3),IF(Games[[#This Row],[Result]]&lt;0.5,1,0),0)</f>
        <v>0</v>
      </c>
      <c r="AK489" s="2">
        <f>IF(AND(Games[[#This Row],[Type]]="P",Games[[#This Row],[Round]]=4),IF(Games[[#This Row],[Result]]&gt;0.5,1,0),0)</f>
        <v>0</v>
      </c>
      <c r="AL489" s="2">
        <f>IF(AND(Games[[#This Row],[Type]]="P",Games[[#This Row],[Round]]=4),IF(Games[[#This Row],[Result]]&lt;0.5,1,0),0)</f>
        <v>0</v>
      </c>
    </row>
    <row r="490" spans="1:38" x14ac:dyDescent="0.35">
      <c r="A490" s="10">
        <v>37479</v>
      </c>
      <c r="B490" s="2">
        <v>2002</v>
      </c>
      <c r="C490" s="2">
        <f>COUNTIFS(Games[Team],Games[[#This Row],[Team]],Games[Season],Games[[#This Row],[Season]],Games[Date],"&lt;=" &amp; Games[[#This Row],[Date]])</f>
        <v>31</v>
      </c>
      <c r="D490" s="2" t="s">
        <v>23</v>
      </c>
      <c r="E490" s="2" t="s">
        <v>29</v>
      </c>
      <c r="F490" s="1" t="s">
        <v>64</v>
      </c>
      <c r="G490" s="1" t="s">
        <v>66</v>
      </c>
      <c r="H490" s="1" t="s">
        <v>16</v>
      </c>
      <c r="I490" s="2" cm="1">
        <f t="array" ref="I4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0" s="2" cm="1">
        <f t="array" ref="J4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0" s="2">
        <f>Games[[#This Row],[DaysOff]]-Games[[#This Row],[OppDaysOff]]</f>
        <v>0</v>
      </c>
      <c r="L490" s="2">
        <f>Games[[#This Row],[OppDaysOff]]-Games[[#This Row],[DaysOff]]</f>
        <v>0</v>
      </c>
      <c r="M490" s="16">
        <f>MAX(-16, MIN(16, Games[[#This Row],[RestDiff]]*8))</f>
        <v>0</v>
      </c>
      <c r="N490" s="16">
        <f>MAX(-16, MIN(16, Games[[#This Row],[OppRestDiff]]*8))</f>
        <v>0</v>
      </c>
      <c r="O490" s="4" cm="1">
        <f t="array" ref="O4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1518.9280561293147</v>
      </c>
      <c r="P490" s="4" cm="1">
        <f t="array" ref="P4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1567.0469623897286</v>
      </c>
      <c r="Q490" s="4">
        <f>1/(1+10^(((Games[[#This Row],[OppPreGmRate]]+IF(Games[[#This Row],[HomeAway]]="A",HCA,0)+Games[[#This Row],[OppRestAdj]])-(Games[[#This Row],[PreGmRate]]+IF(Games[[#This Row],[HomeAway]]="H",HCA,0)+Games[[#This Row],[RestAdj]]))/400))</f>
        <v>0.31852956746500311</v>
      </c>
      <c r="R490" s="1">
        <v>71</v>
      </c>
      <c r="S490" s="1">
        <v>58</v>
      </c>
      <c r="T490" s="1">
        <v>0</v>
      </c>
      <c r="U490" s="16">
        <f>Games[[#This Row],[PointsFor]]-Games[[#This Row],[PointsAgainst]]</f>
        <v>13</v>
      </c>
      <c r="V490" s="16">
        <f>IF(Games[[#This Row],[MOV]]&gt;0,1,IF(Games[[#This Row],[MOV]]=0,0.5,0))</f>
        <v>1</v>
      </c>
      <c r="W490" s="4">
        <f>((ABS(Games[[#This Row],[MOV]])+5)^0.6)/(12+0.01*(ABS(Games[[#This Row],[PreGmRate]]-Games[[#This Row],[OppPreGmRate]])))*IF(Games[[#This Row],[OT]]=1,0.9,1)</f>
        <v>0.45384498539016083</v>
      </c>
      <c r="X490" s="7" cm="1">
        <f t="array" ref="X4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0" s="9">
        <f>MAX(kmin, kmax - 0.15 * MIN(Games[[#This Row],[GamesPlayed]], 82))</f>
        <v>71.349999999999994</v>
      </c>
      <c r="Z490" s="4">
        <f>Games[[#This Row],[K]]*Games[[#This Row],[POMult]]</f>
        <v>71.349999999999994</v>
      </c>
      <c r="AA490" s="4">
        <f>(Games[[#This Row],[Keff]]*Games[[#This Row],[MOVMult]])*(Games[[#This Row],[Result]]-Games[[#This Row],[ExpectedWin%]])</f>
        <v>22.067266311808915</v>
      </c>
      <c r="AB490" s="4">
        <f>Games[[#This Row],[PreGmRate]]+Games[[#This Row],[RatingChange]]</f>
        <v>1540.9953224411236</v>
      </c>
      <c r="AC490" s="2">
        <f>IF(Games[[#This Row],[Type]]="R",IF(Games[[#This Row],[Result]]&gt;0.5,1,0),0)</f>
        <v>1</v>
      </c>
      <c r="AD490" s="2">
        <f>IF(Games[[#This Row],[Type]]="R",IF(Games[[#This Row],[Result]]&lt;0.5,1,0),0)</f>
        <v>0</v>
      </c>
      <c r="AE490" s="2">
        <f>IF(AND(Games[[#This Row],[Type]]="P",Games[[#This Row],[Round]]=1),IF(Games[[#This Row],[Result]]&gt;0.5,1,0),0)</f>
        <v>0</v>
      </c>
      <c r="AF490" s="2">
        <f>IF(AND(Games[[#This Row],[Type]]="P",Games[[#This Row],[Round]]=1),IF(Games[[#This Row],[Result]]&lt;0.5,1,0),0)</f>
        <v>0</v>
      </c>
      <c r="AG490" s="2">
        <f>IF(AND(Games[[#This Row],[Type]]="P",Games[[#This Row],[Round]]=2),IF(Games[[#This Row],[Result]]&gt;0.5,1,0),0)</f>
        <v>0</v>
      </c>
      <c r="AH490" s="2">
        <f>IF(AND(Games[[#This Row],[Type]]="P",Games[[#This Row],[Round]]=2),IF(Games[[#This Row],[Result]]&lt;0.5,1,0),0)</f>
        <v>0</v>
      </c>
      <c r="AI490" s="2">
        <f>IF(AND(Games[[#This Row],[Type]]="P",Games[[#This Row],[Round]]=3),IF(Games[[#This Row],[Result]]&gt;0.5,1,0),0)</f>
        <v>0</v>
      </c>
      <c r="AJ490" s="2">
        <f>IF(AND(Games[[#This Row],[Type]]="P",Games[[#This Row],[Round]]=3),IF(Games[[#This Row],[Result]]&lt;0.5,1,0),0)</f>
        <v>0</v>
      </c>
      <c r="AK490" s="2">
        <f>IF(AND(Games[[#This Row],[Type]]="P",Games[[#This Row],[Round]]=4),IF(Games[[#This Row],[Result]]&gt;0.5,1,0),0)</f>
        <v>0</v>
      </c>
      <c r="AL490" s="2">
        <f>IF(AND(Games[[#This Row],[Type]]="P",Games[[#This Row],[Round]]=4),IF(Games[[#This Row],[Result]]&lt;0.5,1,0),0)</f>
        <v>0</v>
      </c>
    </row>
    <row r="491" spans="1:38" x14ac:dyDescent="0.35">
      <c r="A491" s="10">
        <v>37479</v>
      </c>
      <c r="B491" s="2">
        <v>2002</v>
      </c>
      <c r="C491" s="2">
        <f>COUNTIFS(Games[Team],Games[[#This Row],[Team]],Games[Season],Games[[#This Row],[Season]],Games[Date],"&lt;=" &amp; Games[[#This Row],[Date]])</f>
        <v>31</v>
      </c>
      <c r="D491" s="2" t="s">
        <v>23</v>
      </c>
      <c r="E491" s="2" t="s">
        <v>29</v>
      </c>
      <c r="F491" s="1" t="s">
        <v>66</v>
      </c>
      <c r="G491" s="1" t="s">
        <v>64</v>
      </c>
      <c r="H491" s="1" t="s">
        <v>15</v>
      </c>
      <c r="I491" s="2" cm="1">
        <f t="array" ref="I4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1" s="2" cm="1">
        <f t="array" ref="J4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1" s="2">
        <f>Games[[#This Row],[DaysOff]]-Games[[#This Row],[OppDaysOff]]</f>
        <v>0</v>
      </c>
      <c r="L491" s="2">
        <f>Games[[#This Row],[OppDaysOff]]-Games[[#This Row],[DaysOff]]</f>
        <v>0</v>
      </c>
      <c r="M491" s="16">
        <f>MAX(-16, MIN(16, Games[[#This Row],[RestDiff]]*8))</f>
        <v>0</v>
      </c>
      <c r="N491" s="16">
        <f>MAX(-16, MIN(16, Games[[#This Row],[OppRestDiff]]*8))</f>
        <v>0</v>
      </c>
      <c r="O491" s="4" cm="1">
        <f t="array" ref="O4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1567.0469623897286</v>
      </c>
      <c r="P491" s="4" cm="1">
        <f t="array" ref="P4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1518.9280561293147</v>
      </c>
      <c r="Q491" s="4">
        <f>1/(1+10^(((Games[[#This Row],[OppPreGmRate]]+IF(Games[[#This Row],[HomeAway]]="A",HCA,0)+Games[[#This Row],[OppRestAdj]])-(Games[[#This Row],[PreGmRate]]+IF(Games[[#This Row],[HomeAway]]="H",HCA,0)+Games[[#This Row],[RestAdj]]))/400))</f>
        <v>0.68147043253499684</v>
      </c>
      <c r="R491" s="1">
        <v>58</v>
      </c>
      <c r="S491" s="1">
        <v>71</v>
      </c>
      <c r="T491" s="1">
        <v>0</v>
      </c>
      <c r="U491" s="16">
        <f>Games[[#This Row],[PointsFor]]-Games[[#This Row],[PointsAgainst]]</f>
        <v>-13</v>
      </c>
      <c r="V491" s="16">
        <f>IF(Games[[#This Row],[MOV]]&gt;0,1,IF(Games[[#This Row],[MOV]]=0,0.5,0))</f>
        <v>0</v>
      </c>
      <c r="W491" s="4">
        <f>((ABS(Games[[#This Row],[MOV]])+5)^0.6)/(12+0.01*(ABS(Games[[#This Row],[PreGmRate]]-Games[[#This Row],[OppPreGmRate]])))*IF(Games[[#This Row],[OT]]=1,0.9,1)</f>
        <v>0.45384498539016083</v>
      </c>
      <c r="X491" s="7" cm="1">
        <f t="array" ref="X4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1" s="9">
        <f>MAX(kmin, kmax - 0.15 * MIN(Games[[#This Row],[GamesPlayed]], 82))</f>
        <v>71.349999999999994</v>
      </c>
      <c r="Z491" s="4">
        <f>Games[[#This Row],[K]]*Games[[#This Row],[POMult]]</f>
        <v>71.349999999999994</v>
      </c>
      <c r="AA491" s="4">
        <f>(Games[[#This Row],[Keff]]*Games[[#This Row],[MOVMult]])*(Games[[#This Row],[Result]]-Games[[#This Row],[ExpectedWin%]])</f>
        <v>-22.067266311808911</v>
      </c>
      <c r="AB491" s="4">
        <f>Games[[#This Row],[PreGmRate]]+Games[[#This Row],[RatingChange]]</f>
        <v>1544.9796960779197</v>
      </c>
      <c r="AC491" s="2">
        <f>IF(Games[[#This Row],[Type]]="R",IF(Games[[#This Row],[Result]]&gt;0.5,1,0),0)</f>
        <v>0</v>
      </c>
      <c r="AD491" s="2">
        <f>IF(Games[[#This Row],[Type]]="R",IF(Games[[#This Row],[Result]]&lt;0.5,1,0),0)</f>
        <v>1</v>
      </c>
      <c r="AE491" s="2">
        <f>IF(AND(Games[[#This Row],[Type]]="P",Games[[#This Row],[Round]]=1),IF(Games[[#This Row],[Result]]&gt;0.5,1,0),0)</f>
        <v>0</v>
      </c>
      <c r="AF491" s="2">
        <f>IF(AND(Games[[#This Row],[Type]]="P",Games[[#This Row],[Round]]=1),IF(Games[[#This Row],[Result]]&lt;0.5,1,0),0)</f>
        <v>0</v>
      </c>
      <c r="AG491" s="2">
        <f>IF(AND(Games[[#This Row],[Type]]="P",Games[[#This Row],[Round]]=2),IF(Games[[#This Row],[Result]]&gt;0.5,1,0),0)</f>
        <v>0</v>
      </c>
      <c r="AH491" s="2">
        <f>IF(AND(Games[[#This Row],[Type]]="P",Games[[#This Row],[Round]]=2),IF(Games[[#This Row],[Result]]&lt;0.5,1,0),0)</f>
        <v>0</v>
      </c>
      <c r="AI491" s="2">
        <f>IF(AND(Games[[#This Row],[Type]]="P",Games[[#This Row],[Round]]=3),IF(Games[[#This Row],[Result]]&gt;0.5,1,0),0)</f>
        <v>0</v>
      </c>
      <c r="AJ491" s="2">
        <f>IF(AND(Games[[#This Row],[Type]]="P",Games[[#This Row],[Round]]=3),IF(Games[[#This Row],[Result]]&lt;0.5,1,0),0)</f>
        <v>0</v>
      </c>
      <c r="AK491" s="2">
        <f>IF(AND(Games[[#This Row],[Type]]="P",Games[[#This Row],[Round]]=4),IF(Games[[#This Row],[Result]]&gt;0.5,1,0),0)</f>
        <v>0</v>
      </c>
      <c r="AL491" s="2">
        <f>IF(AND(Games[[#This Row],[Type]]="P",Games[[#This Row],[Round]]=4),IF(Games[[#This Row],[Result]]&lt;0.5,1,0),0)</f>
        <v>0</v>
      </c>
    </row>
    <row r="492" spans="1:38" x14ac:dyDescent="0.35">
      <c r="A492" s="10">
        <v>37479</v>
      </c>
      <c r="B492" s="2">
        <v>2002</v>
      </c>
      <c r="C492" s="2">
        <f>COUNTIFS(Games[Team],Games[[#This Row],[Team]],Games[Season],Games[[#This Row],[Season]],Games[Date],"&lt;=" &amp; Games[[#This Row],[Date]])</f>
        <v>31</v>
      </c>
      <c r="D492" s="2" t="s">
        <v>23</v>
      </c>
      <c r="E492" s="2" t="s">
        <v>29</v>
      </c>
      <c r="F492" s="1" t="s">
        <v>77</v>
      </c>
      <c r="G492" s="1" t="s">
        <v>79</v>
      </c>
      <c r="H492" s="1" t="s">
        <v>16</v>
      </c>
      <c r="I492" s="2" cm="1">
        <f t="array" ref="I4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2" s="2" cm="1">
        <f t="array" ref="J4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92" s="2">
        <f>Games[[#This Row],[DaysOff]]-Games[[#This Row],[OppDaysOff]]</f>
        <v>-1</v>
      </c>
      <c r="L492" s="2">
        <f>Games[[#This Row],[OppDaysOff]]-Games[[#This Row],[DaysOff]]</f>
        <v>1</v>
      </c>
      <c r="M492" s="16">
        <f>MAX(-16, MIN(16, Games[[#This Row],[RestDiff]]*8))</f>
        <v>-8</v>
      </c>
      <c r="N492" s="16">
        <f>MAX(-16, MIN(16, Games[[#This Row],[OppRestDiff]]*8))</f>
        <v>8</v>
      </c>
      <c r="O492" s="4" cm="1">
        <f t="array" ref="O4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1396.5932144478018</v>
      </c>
      <c r="P492" s="4" cm="1">
        <f t="array" ref="P4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1467.1815427736574</v>
      </c>
      <c r="Q492" s="4">
        <f>1/(1+10^(((Games[[#This Row],[OppPreGmRate]]+IF(Games[[#This Row],[HomeAway]]="A",HCA,0)+Games[[#This Row],[OppRestAdj]])-(Games[[#This Row],[PreGmRate]]+IF(Games[[#This Row],[HomeAway]]="H",HCA,0)+Games[[#This Row],[RestAdj]]))/400))</f>
        <v>0.27249802358122749</v>
      </c>
      <c r="R492" s="1">
        <v>58</v>
      </c>
      <c r="S492" s="1">
        <v>71</v>
      </c>
      <c r="T492" s="1">
        <v>0</v>
      </c>
      <c r="U492" s="16">
        <f>Games[[#This Row],[PointsFor]]-Games[[#This Row],[PointsAgainst]]</f>
        <v>-13</v>
      </c>
      <c r="V492" s="16">
        <f>IF(Games[[#This Row],[MOV]]&gt;0,1,IF(Games[[#This Row],[MOV]]=0,0.5,0))</f>
        <v>0</v>
      </c>
      <c r="W492" s="4">
        <f>((ABS(Games[[#This Row],[MOV]])+5)^0.6)/(12+0.01*(ABS(Games[[#This Row],[PreGmRate]]-Games[[#This Row],[OppPreGmRate]])))*IF(Games[[#This Row],[OT]]=1,0.9,1)</f>
        <v>0.44581906991331061</v>
      </c>
      <c r="X492" s="7" cm="1">
        <f t="array" ref="X4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2" s="9">
        <f>MAX(kmin, kmax - 0.15 * MIN(Games[[#This Row],[GamesPlayed]], 82))</f>
        <v>71.349999999999994</v>
      </c>
      <c r="Z492" s="4">
        <f>Games[[#This Row],[K]]*Games[[#This Row],[POMult]]</f>
        <v>71.349999999999994</v>
      </c>
      <c r="AA492" s="4">
        <f>(Games[[#This Row],[Keff]]*Games[[#This Row],[MOVMult]])*(Games[[#This Row],[Result]]-Games[[#This Row],[ExpectedWin%]])</f>
        <v>-8.6679415806592424</v>
      </c>
      <c r="AB492" s="4">
        <f>Games[[#This Row],[PreGmRate]]+Games[[#This Row],[RatingChange]]</f>
        <v>1387.9252728671424</v>
      </c>
      <c r="AC492" s="2">
        <f>IF(Games[[#This Row],[Type]]="R",IF(Games[[#This Row],[Result]]&gt;0.5,1,0),0)</f>
        <v>0</v>
      </c>
      <c r="AD492" s="2">
        <f>IF(Games[[#This Row],[Type]]="R",IF(Games[[#This Row],[Result]]&lt;0.5,1,0),0)</f>
        <v>1</v>
      </c>
      <c r="AE492" s="2">
        <f>IF(AND(Games[[#This Row],[Type]]="P",Games[[#This Row],[Round]]=1),IF(Games[[#This Row],[Result]]&gt;0.5,1,0),0)</f>
        <v>0</v>
      </c>
      <c r="AF492" s="2">
        <f>IF(AND(Games[[#This Row],[Type]]="P",Games[[#This Row],[Round]]=1),IF(Games[[#This Row],[Result]]&lt;0.5,1,0),0)</f>
        <v>0</v>
      </c>
      <c r="AG492" s="2">
        <f>IF(AND(Games[[#This Row],[Type]]="P",Games[[#This Row],[Round]]=2),IF(Games[[#This Row],[Result]]&gt;0.5,1,0),0)</f>
        <v>0</v>
      </c>
      <c r="AH492" s="2">
        <f>IF(AND(Games[[#This Row],[Type]]="P",Games[[#This Row],[Round]]=2),IF(Games[[#This Row],[Result]]&lt;0.5,1,0),0)</f>
        <v>0</v>
      </c>
      <c r="AI492" s="2">
        <f>IF(AND(Games[[#This Row],[Type]]="P",Games[[#This Row],[Round]]=3),IF(Games[[#This Row],[Result]]&gt;0.5,1,0),0)</f>
        <v>0</v>
      </c>
      <c r="AJ492" s="2">
        <f>IF(AND(Games[[#This Row],[Type]]="P",Games[[#This Row],[Round]]=3),IF(Games[[#This Row],[Result]]&lt;0.5,1,0),0)</f>
        <v>0</v>
      </c>
      <c r="AK492" s="2">
        <f>IF(AND(Games[[#This Row],[Type]]="P",Games[[#This Row],[Round]]=4),IF(Games[[#This Row],[Result]]&gt;0.5,1,0),0)</f>
        <v>0</v>
      </c>
      <c r="AL492" s="2">
        <f>IF(AND(Games[[#This Row],[Type]]="P",Games[[#This Row],[Round]]=4),IF(Games[[#This Row],[Result]]&lt;0.5,1,0),0)</f>
        <v>0</v>
      </c>
    </row>
    <row r="493" spans="1:38" x14ac:dyDescent="0.35">
      <c r="A493" s="10">
        <v>37479</v>
      </c>
      <c r="B493" s="2">
        <v>2002</v>
      </c>
      <c r="C493" s="2">
        <f>COUNTIFS(Games[Team],Games[[#This Row],[Team]],Games[Season],Games[[#This Row],[Season]],Games[Date],"&lt;=" &amp; Games[[#This Row],[Date]])</f>
        <v>31</v>
      </c>
      <c r="D493" s="2" t="s">
        <v>23</v>
      </c>
      <c r="E493" s="2" t="s">
        <v>29</v>
      </c>
      <c r="F493" s="1" t="s">
        <v>79</v>
      </c>
      <c r="G493" s="1" t="s">
        <v>77</v>
      </c>
      <c r="H493" s="1" t="s">
        <v>15</v>
      </c>
      <c r="I493" s="2" cm="1">
        <f t="array" ref="I4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93" s="2" cm="1">
        <f t="array" ref="J4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3" s="2">
        <f>Games[[#This Row],[DaysOff]]-Games[[#This Row],[OppDaysOff]]</f>
        <v>1</v>
      </c>
      <c r="L493" s="2">
        <f>Games[[#This Row],[OppDaysOff]]-Games[[#This Row],[DaysOff]]</f>
        <v>-1</v>
      </c>
      <c r="M493" s="16">
        <f>MAX(-16, MIN(16, Games[[#This Row],[RestDiff]]*8))</f>
        <v>8</v>
      </c>
      <c r="N493" s="16">
        <f>MAX(-16, MIN(16, Games[[#This Row],[OppRestDiff]]*8))</f>
        <v>-8</v>
      </c>
      <c r="O493" s="4" cm="1">
        <f t="array" ref="O4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1467.1815427736574</v>
      </c>
      <c r="P493" s="4" cm="1">
        <f t="array" ref="P4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1396.5932144478018</v>
      </c>
      <c r="Q493" s="4">
        <f>1/(1+10^(((Games[[#This Row],[OppPreGmRate]]+IF(Games[[#This Row],[HomeAway]]="A",HCA,0)+Games[[#This Row],[OppRestAdj]])-(Games[[#This Row],[PreGmRate]]+IF(Games[[#This Row],[HomeAway]]="H",HCA,0)+Games[[#This Row],[RestAdj]]))/400))</f>
        <v>0.72750197641877246</v>
      </c>
      <c r="R493" s="1">
        <v>71</v>
      </c>
      <c r="S493" s="1">
        <v>58</v>
      </c>
      <c r="T493" s="1">
        <v>0</v>
      </c>
      <c r="U493" s="16">
        <f>Games[[#This Row],[PointsFor]]-Games[[#This Row],[PointsAgainst]]</f>
        <v>13</v>
      </c>
      <c r="V493" s="16">
        <f>IF(Games[[#This Row],[MOV]]&gt;0,1,IF(Games[[#This Row],[MOV]]=0,0.5,0))</f>
        <v>1</v>
      </c>
      <c r="W493" s="4">
        <f>((ABS(Games[[#This Row],[MOV]])+5)^0.6)/(12+0.01*(ABS(Games[[#This Row],[PreGmRate]]-Games[[#This Row],[OppPreGmRate]])))*IF(Games[[#This Row],[OT]]=1,0.9,1)</f>
        <v>0.44581906991331061</v>
      </c>
      <c r="X493" s="7" cm="1">
        <f t="array" ref="X4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3" s="9">
        <f>MAX(kmin, kmax - 0.15 * MIN(Games[[#This Row],[GamesPlayed]], 82))</f>
        <v>71.349999999999994</v>
      </c>
      <c r="Z493" s="4">
        <f>Games[[#This Row],[K]]*Games[[#This Row],[POMult]]</f>
        <v>71.349999999999994</v>
      </c>
      <c r="AA493" s="4">
        <f>(Games[[#This Row],[Keff]]*Games[[#This Row],[MOVMult]])*(Games[[#This Row],[Result]]-Games[[#This Row],[ExpectedWin%]])</f>
        <v>8.6679415806592441</v>
      </c>
      <c r="AB493" s="4">
        <f>Games[[#This Row],[PreGmRate]]+Games[[#This Row],[RatingChange]]</f>
        <v>1475.8494843543167</v>
      </c>
      <c r="AC493" s="2">
        <f>IF(Games[[#This Row],[Type]]="R",IF(Games[[#This Row],[Result]]&gt;0.5,1,0),0)</f>
        <v>1</v>
      </c>
      <c r="AD493" s="2">
        <f>IF(Games[[#This Row],[Type]]="R",IF(Games[[#This Row],[Result]]&lt;0.5,1,0),0)</f>
        <v>0</v>
      </c>
      <c r="AE493" s="2">
        <f>IF(AND(Games[[#This Row],[Type]]="P",Games[[#This Row],[Round]]=1),IF(Games[[#This Row],[Result]]&gt;0.5,1,0),0)</f>
        <v>0</v>
      </c>
      <c r="AF493" s="2">
        <f>IF(AND(Games[[#This Row],[Type]]="P",Games[[#This Row],[Round]]=1),IF(Games[[#This Row],[Result]]&lt;0.5,1,0),0)</f>
        <v>0</v>
      </c>
      <c r="AG493" s="2">
        <f>IF(AND(Games[[#This Row],[Type]]="P",Games[[#This Row],[Round]]=2),IF(Games[[#This Row],[Result]]&gt;0.5,1,0),0)</f>
        <v>0</v>
      </c>
      <c r="AH493" s="2">
        <f>IF(AND(Games[[#This Row],[Type]]="P",Games[[#This Row],[Round]]=2),IF(Games[[#This Row],[Result]]&lt;0.5,1,0),0)</f>
        <v>0</v>
      </c>
      <c r="AI493" s="2">
        <f>IF(AND(Games[[#This Row],[Type]]="P",Games[[#This Row],[Round]]=3),IF(Games[[#This Row],[Result]]&gt;0.5,1,0),0)</f>
        <v>0</v>
      </c>
      <c r="AJ493" s="2">
        <f>IF(AND(Games[[#This Row],[Type]]="P",Games[[#This Row],[Round]]=3),IF(Games[[#This Row],[Result]]&lt;0.5,1,0),0)</f>
        <v>0</v>
      </c>
      <c r="AK493" s="2">
        <f>IF(AND(Games[[#This Row],[Type]]="P",Games[[#This Row],[Round]]=4),IF(Games[[#This Row],[Result]]&gt;0.5,1,0),0)</f>
        <v>0</v>
      </c>
      <c r="AL493" s="2">
        <f>IF(AND(Games[[#This Row],[Type]]="P",Games[[#This Row],[Round]]=4),IF(Games[[#This Row],[Result]]&lt;0.5,1,0),0)</f>
        <v>0</v>
      </c>
    </row>
    <row r="494" spans="1:38" x14ac:dyDescent="0.35">
      <c r="A494" s="10">
        <v>37479</v>
      </c>
      <c r="B494" s="2">
        <v>2002</v>
      </c>
      <c r="C494" s="2">
        <f>COUNTIFS(Games[Team],Games[[#This Row],[Team]],Games[Season],Games[[#This Row],[Season]],Games[Date],"&lt;=" &amp; Games[[#This Row],[Date]])</f>
        <v>31</v>
      </c>
      <c r="D494" s="2" t="s">
        <v>23</v>
      </c>
      <c r="E494" s="2" t="s">
        <v>29</v>
      </c>
      <c r="F494" s="1" t="s">
        <v>44</v>
      </c>
      <c r="G494" s="1" t="s">
        <v>89</v>
      </c>
      <c r="H494" s="1" t="s">
        <v>16</v>
      </c>
      <c r="I494" s="2" cm="1">
        <f t="array" ref="I49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94" s="2" cm="1">
        <f t="array" ref="J4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4" s="2">
        <f>Games[[#This Row],[DaysOff]]-Games[[#This Row],[OppDaysOff]]</f>
        <v>2</v>
      </c>
      <c r="L494" s="2">
        <f>Games[[#This Row],[OppDaysOff]]-Games[[#This Row],[DaysOff]]</f>
        <v>-2</v>
      </c>
      <c r="M494" s="16">
        <f>MAX(-16, MIN(16, Games[[#This Row],[RestDiff]]*8))</f>
        <v>16</v>
      </c>
      <c r="N494" s="16">
        <f>MAX(-16, MIN(16, Games[[#This Row],[OppRestDiff]]*8))</f>
        <v>-16</v>
      </c>
      <c r="O494" s="4" cm="1">
        <f t="array" ref="O4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1357.5287232917406</v>
      </c>
      <c r="P494" s="4" cm="1">
        <f t="array" ref="P4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1492.8370849167352</v>
      </c>
      <c r="Q494" s="4">
        <f>1/(1+10^(((Games[[#This Row],[OppPreGmRate]]+IF(Games[[#This Row],[HomeAway]]="A",HCA,0)+Games[[#This Row],[OppRestAdj]])-(Games[[#This Row],[PreGmRate]]+IF(Games[[#This Row],[HomeAway]]="H",HCA,0)+Games[[#This Row],[RestAdj]]))/400))</f>
        <v>0.25384043638361642</v>
      </c>
      <c r="R494" s="1">
        <v>73</v>
      </c>
      <c r="S494" s="1">
        <v>70</v>
      </c>
      <c r="T494" s="1">
        <v>0</v>
      </c>
      <c r="U494" s="16">
        <f>Games[[#This Row],[PointsFor]]-Games[[#This Row],[PointsAgainst]]</f>
        <v>3</v>
      </c>
      <c r="V494" s="16">
        <f>IF(Games[[#This Row],[MOV]]&gt;0,1,IF(Games[[#This Row],[MOV]]=0,0.5,0))</f>
        <v>1</v>
      </c>
      <c r="W494" s="4">
        <f>((ABS(Games[[#This Row],[MOV]])+5)^0.6)/(12+0.01*(ABS(Games[[#This Row],[PreGmRate]]-Games[[#This Row],[OppPreGmRate]])))*IF(Games[[#This Row],[OT]]=1,0.9,1)</f>
        <v>0.26077888473242639</v>
      </c>
      <c r="X494" s="7" cm="1">
        <f t="array" ref="X4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4" s="9">
        <f>MAX(kmin, kmax - 0.15 * MIN(Games[[#This Row],[GamesPlayed]], 82))</f>
        <v>71.349999999999994</v>
      </c>
      <c r="Z494" s="4">
        <f>Games[[#This Row],[K]]*Games[[#This Row],[POMult]]</f>
        <v>71.349999999999994</v>
      </c>
      <c r="AA494" s="4">
        <f>(Games[[#This Row],[Keff]]*Games[[#This Row],[MOVMult]])*(Games[[#This Row],[Result]]-Games[[#This Row],[ExpectedWin%]])</f>
        <v>13.883472707685636</v>
      </c>
      <c r="AB494" s="4">
        <f>Games[[#This Row],[PreGmRate]]+Games[[#This Row],[RatingChange]]</f>
        <v>1371.4121959994261</v>
      </c>
      <c r="AC494" s="2">
        <f>IF(Games[[#This Row],[Type]]="R",IF(Games[[#This Row],[Result]]&gt;0.5,1,0),0)</f>
        <v>1</v>
      </c>
      <c r="AD494" s="2">
        <f>IF(Games[[#This Row],[Type]]="R",IF(Games[[#This Row],[Result]]&lt;0.5,1,0),0)</f>
        <v>0</v>
      </c>
      <c r="AE494" s="2">
        <f>IF(AND(Games[[#This Row],[Type]]="P",Games[[#This Row],[Round]]=1),IF(Games[[#This Row],[Result]]&gt;0.5,1,0),0)</f>
        <v>0</v>
      </c>
      <c r="AF494" s="2">
        <f>IF(AND(Games[[#This Row],[Type]]="P",Games[[#This Row],[Round]]=1),IF(Games[[#This Row],[Result]]&lt;0.5,1,0),0)</f>
        <v>0</v>
      </c>
      <c r="AG494" s="2">
        <f>IF(AND(Games[[#This Row],[Type]]="P",Games[[#This Row],[Round]]=2),IF(Games[[#This Row],[Result]]&gt;0.5,1,0),0)</f>
        <v>0</v>
      </c>
      <c r="AH494" s="2">
        <f>IF(AND(Games[[#This Row],[Type]]="P",Games[[#This Row],[Round]]=2),IF(Games[[#This Row],[Result]]&lt;0.5,1,0),0)</f>
        <v>0</v>
      </c>
      <c r="AI494" s="2">
        <f>IF(AND(Games[[#This Row],[Type]]="P",Games[[#This Row],[Round]]=3),IF(Games[[#This Row],[Result]]&gt;0.5,1,0),0)</f>
        <v>0</v>
      </c>
      <c r="AJ494" s="2">
        <f>IF(AND(Games[[#This Row],[Type]]="P",Games[[#This Row],[Round]]=3),IF(Games[[#This Row],[Result]]&lt;0.5,1,0),0)</f>
        <v>0</v>
      </c>
      <c r="AK494" s="2">
        <f>IF(AND(Games[[#This Row],[Type]]="P",Games[[#This Row],[Round]]=4),IF(Games[[#This Row],[Result]]&gt;0.5,1,0),0)</f>
        <v>0</v>
      </c>
      <c r="AL494" s="2">
        <f>IF(AND(Games[[#This Row],[Type]]="P",Games[[#This Row],[Round]]=4),IF(Games[[#This Row],[Result]]&lt;0.5,1,0),0)</f>
        <v>0</v>
      </c>
    </row>
    <row r="495" spans="1:38" x14ac:dyDescent="0.35">
      <c r="A495" s="10">
        <v>37479</v>
      </c>
      <c r="B495" s="2">
        <v>2002</v>
      </c>
      <c r="C495" s="2">
        <f>COUNTIFS(Games[Team],Games[[#This Row],[Team]],Games[Season],Games[[#This Row],[Season]],Games[Date],"&lt;=" &amp; Games[[#This Row],[Date]])</f>
        <v>32</v>
      </c>
      <c r="D495" s="2" t="s">
        <v>23</v>
      </c>
      <c r="E495" s="2" t="s">
        <v>29</v>
      </c>
      <c r="F495" s="1" t="s">
        <v>89</v>
      </c>
      <c r="G495" s="1" t="s">
        <v>44</v>
      </c>
      <c r="H495" s="1" t="s">
        <v>15</v>
      </c>
      <c r="I495" s="2" cm="1">
        <f t="array" ref="I4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5" s="2" cm="1">
        <f t="array" ref="J49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5" s="2">
        <f>Games[[#This Row],[DaysOff]]-Games[[#This Row],[OppDaysOff]]</f>
        <v>-2</v>
      </c>
      <c r="L495" s="2">
        <f>Games[[#This Row],[OppDaysOff]]-Games[[#This Row],[DaysOff]]</f>
        <v>2</v>
      </c>
      <c r="M495" s="16">
        <f>MAX(-16, MIN(16, Games[[#This Row],[RestDiff]]*8))</f>
        <v>-16</v>
      </c>
      <c r="N495" s="16">
        <f>MAX(-16, MIN(16, Games[[#This Row],[OppRestDiff]]*8))</f>
        <v>16</v>
      </c>
      <c r="O495" s="4" cm="1">
        <f t="array" ref="O4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1492.8370849167352</v>
      </c>
      <c r="P495" s="4" cm="1">
        <f t="array" ref="P4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1357.5287232917406</v>
      </c>
      <c r="Q495" s="4">
        <f>1/(1+10^(((Games[[#This Row],[OppPreGmRate]]+IF(Games[[#This Row],[HomeAway]]="A",HCA,0)+Games[[#This Row],[OppRestAdj]])-(Games[[#This Row],[PreGmRate]]+IF(Games[[#This Row],[HomeAway]]="H",HCA,0)+Games[[#This Row],[RestAdj]]))/400))</f>
        <v>0.74615956361638358</v>
      </c>
      <c r="R495" s="1">
        <v>70</v>
      </c>
      <c r="S495" s="1">
        <v>73</v>
      </c>
      <c r="T495" s="1">
        <v>0</v>
      </c>
      <c r="U495" s="16">
        <f>Games[[#This Row],[PointsFor]]-Games[[#This Row],[PointsAgainst]]</f>
        <v>-3</v>
      </c>
      <c r="V495" s="16">
        <f>IF(Games[[#This Row],[MOV]]&gt;0,1,IF(Games[[#This Row],[MOV]]=0,0.5,0))</f>
        <v>0</v>
      </c>
      <c r="W495" s="4">
        <f>((ABS(Games[[#This Row],[MOV]])+5)^0.6)/(12+0.01*(ABS(Games[[#This Row],[PreGmRate]]-Games[[#This Row],[OppPreGmRate]])))*IF(Games[[#This Row],[OT]]=1,0.9,1)</f>
        <v>0.26077888473242639</v>
      </c>
      <c r="X495" s="7" cm="1">
        <f t="array" ref="X4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5" s="9">
        <f>MAX(kmin, kmax - 0.15 * MIN(Games[[#This Row],[GamesPlayed]], 82))</f>
        <v>71.2</v>
      </c>
      <c r="Z495" s="4">
        <f>Games[[#This Row],[K]]*Games[[#This Row],[POMult]]</f>
        <v>71.2</v>
      </c>
      <c r="AA495" s="4">
        <f>(Games[[#This Row],[Keff]]*Games[[#This Row],[MOVMult]])*(Games[[#This Row],[Result]]-Games[[#This Row],[ExpectedWin%]])</f>
        <v>-13.85428530886079</v>
      </c>
      <c r="AB495" s="4">
        <f>Games[[#This Row],[PreGmRate]]+Games[[#This Row],[RatingChange]]</f>
        <v>1478.9827996078743</v>
      </c>
      <c r="AC495" s="2">
        <f>IF(Games[[#This Row],[Type]]="R",IF(Games[[#This Row],[Result]]&gt;0.5,1,0),0)</f>
        <v>0</v>
      </c>
      <c r="AD495" s="2">
        <f>IF(Games[[#This Row],[Type]]="R",IF(Games[[#This Row],[Result]]&lt;0.5,1,0),0)</f>
        <v>1</v>
      </c>
      <c r="AE495" s="2">
        <f>IF(AND(Games[[#This Row],[Type]]="P",Games[[#This Row],[Round]]=1),IF(Games[[#This Row],[Result]]&gt;0.5,1,0),0)</f>
        <v>0</v>
      </c>
      <c r="AF495" s="2">
        <f>IF(AND(Games[[#This Row],[Type]]="P",Games[[#This Row],[Round]]=1),IF(Games[[#This Row],[Result]]&lt;0.5,1,0),0)</f>
        <v>0</v>
      </c>
      <c r="AG495" s="2">
        <f>IF(AND(Games[[#This Row],[Type]]="P",Games[[#This Row],[Round]]=2),IF(Games[[#This Row],[Result]]&gt;0.5,1,0),0)</f>
        <v>0</v>
      </c>
      <c r="AH495" s="2">
        <f>IF(AND(Games[[#This Row],[Type]]="P",Games[[#This Row],[Round]]=2),IF(Games[[#This Row],[Result]]&lt;0.5,1,0),0)</f>
        <v>0</v>
      </c>
      <c r="AI495" s="2">
        <f>IF(AND(Games[[#This Row],[Type]]="P",Games[[#This Row],[Round]]=3),IF(Games[[#This Row],[Result]]&gt;0.5,1,0),0)</f>
        <v>0</v>
      </c>
      <c r="AJ495" s="2">
        <f>IF(AND(Games[[#This Row],[Type]]="P",Games[[#This Row],[Round]]=3),IF(Games[[#This Row],[Result]]&lt;0.5,1,0),0)</f>
        <v>0</v>
      </c>
      <c r="AK495" s="2">
        <f>IF(AND(Games[[#This Row],[Type]]="P",Games[[#This Row],[Round]]=4),IF(Games[[#This Row],[Result]]&gt;0.5,1,0),0)</f>
        <v>0</v>
      </c>
      <c r="AL495" s="2">
        <f>IF(AND(Games[[#This Row],[Type]]="P",Games[[#This Row],[Round]]=4),IF(Games[[#This Row],[Result]]&lt;0.5,1,0),0)</f>
        <v>0</v>
      </c>
    </row>
    <row r="496" spans="1:38" x14ac:dyDescent="0.35">
      <c r="A496" s="10">
        <v>37479</v>
      </c>
      <c r="B496" s="2">
        <v>2002</v>
      </c>
      <c r="C496" s="2">
        <f>COUNTIFS(Games[Team],Games[[#This Row],[Team]],Games[Season],Games[[#This Row],[Season]],Games[Date],"&lt;=" &amp; Games[[#This Row],[Date]])</f>
        <v>31</v>
      </c>
      <c r="D496" s="2" t="s">
        <v>23</v>
      </c>
      <c r="E496" s="2" t="s">
        <v>29</v>
      </c>
      <c r="F496" s="1" t="s">
        <v>43</v>
      </c>
      <c r="G496" s="1" t="s">
        <v>87</v>
      </c>
      <c r="H496" s="1" t="s">
        <v>16</v>
      </c>
      <c r="I496" s="2" cm="1">
        <f t="array" ref="I4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6" s="2" cm="1">
        <f t="array" ref="J4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6" s="2">
        <f>Games[[#This Row],[DaysOff]]-Games[[#This Row],[OppDaysOff]]</f>
        <v>0</v>
      </c>
      <c r="L496" s="2">
        <f>Games[[#This Row],[OppDaysOff]]-Games[[#This Row],[DaysOff]]</f>
        <v>0</v>
      </c>
      <c r="M496" s="16">
        <f>MAX(-16, MIN(16, Games[[#This Row],[RestDiff]]*8))</f>
        <v>0</v>
      </c>
      <c r="N496" s="16">
        <f>MAX(-16, MIN(16, Games[[#This Row],[OppRestDiff]]*8))</f>
        <v>0</v>
      </c>
      <c r="O496" s="4" cm="1">
        <f t="array" ref="O4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1578.4735352237778</v>
      </c>
      <c r="P496" s="4" cm="1">
        <f t="array" ref="P4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1528.4049740960922</v>
      </c>
      <c r="Q496" s="4">
        <f>1/(1+10^(((Games[[#This Row],[OppPreGmRate]]+IF(Games[[#This Row],[HomeAway]]="A",HCA,0)+Games[[#This Row],[OppRestAdj]])-(Games[[#This Row],[PreGmRate]]+IF(Games[[#This Row],[HomeAway]]="H",HCA,0)+Games[[#This Row],[RestAdj]]))/400))</f>
        <v>0.45132339452077974</v>
      </c>
      <c r="R496" s="1">
        <v>57</v>
      </c>
      <c r="S496" s="1">
        <v>74</v>
      </c>
      <c r="T496" s="1">
        <v>0</v>
      </c>
      <c r="U496" s="16">
        <f>Games[[#This Row],[PointsFor]]-Games[[#This Row],[PointsAgainst]]</f>
        <v>-17</v>
      </c>
      <c r="V496" s="16">
        <f>IF(Games[[#This Row],[MOV]]&gt;0,1,IF(Games[[#This Row],[MOV]]=0,0.5,0))</f>
        <v>0</v>
      </c>
      <c r="W496" s="4">
        <f>((ABS(Games[[#This Row],[MOV]])+5)^0.6)/(12+0.01*(ABS(Games[[#This Row],[PreGmRate]]-Games[[#This Row],[OppPreGmRate]])))*IF(Games[[#This Row],[OT]]=1,0.9,1)</f>
        <v>0.51111635214793194</v>
      </c>
      <c r="X496" s="7" cm="1">
        <f t="array" ref="X4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6" s="9">
        <f>MAX(kmin, kmax - 0.15 * MIN(Games[[#This Row],[GamesPlayed]], 82))</f>
        <v>71.349999999999994</v>
      </c>
      <c r="Z496" s="4">
        <f>Games[[#This Row],[K]]*Games[[#This Row],[POMult]]</f>
        <v>71.349999999999994</v>
      </c>
      <c r="AA496" s="4">
        <f>(Games[[#This Row],[Keff]]*Games[[#This Row],[MOVMult]])*(Games[[#This Row],[Result]]-Games[[#This Row],[ExpectedWin%]])</f>
        <v>-16.458930028766552</v>
      </c>
      <c r="AB496" s="4">
        <f>Games[[#This Row],[PreGmRate]]+Games[[#This Row],[RatingChange]]</f>
        <v>1562.0146051950112</v>
      </c>
      <c r="AC496" s="2">
        <f>IF(Games[[#This Row],[Type]]="R",IF(Games[[#This Row],[Result]]&gt;0.5,1,0),0)</f>
        <v>0</v>
      </c>
      <c r="AD496" s="2">
        <f>IF(Games[[#This Row],[Type]]="R",IF(Games[[#This Row],[Result]]&lt;0.5,1,0),0)</f>
        <v>1</v>
      </c>
      <c r="AE496" s="2">
        <f>IF(AND(Games[[#This Row],[Type]]="P",Games[[#This Row],[Round]]=1),IF(Games[[#This Row],[Result]]&gt;0.5,1,0),0)</f>
        <v>0</v>
      </c>
      <c r="AF496" s="2">
        <f>IF(AND(Games[[#This Row],[Type]]="P",Games[[#This Row],[Round]]=1),IF(Games[[#This Row],[Result]]&lt;0.5,1,0),0)</f>
        <v>0</v>
      </c>
      <c r="AG496" s="2">
        <f>IF(AND(Games[[#This Row],[Type]]="P",Games[[#This Row],[Round]]=2),IF(Games[[#This Row],[Result]]&gt;0.5,1,0),0)</f>
        <v>0</v>
      </c>
      <c r="AH496" s="2">
        <f>IF(AND(Games[[#This Row],[Type]]="P",Games[[#This Row],[Round]]=2),IF(Games[[#This Row],[Result]]&lt;0.5,1,0),0)</f>
        <v>0</v>
      </c>
      <c r="AI496" s="2">
        <f>IF(AND(Games[[#This Row],[Type]]="P",Games[[#This Row],[Round]]=3),IF(Games[[#This Row],[Result]]&gt;0.5,1,0),0)</f>
        <v>0</v>
      </c>
      <c r="AJ496" s="2">
        <f>IF(AND(Games[[#This Row],[Type]]="P",Games[[#This Row],[Round]]=3),IF(Games[[#This Row],[Result]]&lt;0.5,1,0),0)</f>
        <v>0</v>
      </c>
      <c r="AK496" s="2">
        <f>IF(AND(Games[[#This Row],[Type]]="P",Games[[#This Row],[Round]]=4),IF(Games[[#This Row],[Result]]&gt;0.5,1,0),0)</f>
        <v>0</v>
      </c>
      <c r="AL496" s="2">
        <f>IF(AND(Games[[#This Row],[Type]]="P",Games[[#This Row],[Round]]=4),IF(Games[[#This Row],[Result]]&lt;0.5,1,0),0)</f>
        <v>0</v>
      </c>
    </row>
    <row r="497" spans="1:38" x14ac:dyDescent="0.35">
      <c r="A497" s="10">
        <v>37479</v>
      </c>
      <c r="B497" s="2">
        <v>2002</v>
      </c>
      <c r="C497" s="2">
        <f>COUNTIFS(Games[Team],Games[[#This Row],[Team]],Games[Season],Games[[#This Row],[Season]],Games[Date],"&lt;=" &amp; Games[[#This Row],[Date]])</f>
        <v>31</v>
      </c>
      <c r="D497" s="2" t="s">
        <v>23</v>
      </c>
      <c r="E497" s="2" t="s">
        <v>29</v>
      </c>
      <c r="F497" s="1" t="s">
        <v>87</v>
      </c>
      <c r="G497" s="1" t="s">
        <v>43</v>
      </c>
      <c r="H497" s="1" t="s">
        <v>15</v>
      </c>
      <c r="I497" s="2" cm="1">
        <f t="array" ref="I4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7" s="2" cm="1">
        <f t="array" ref="J4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7" s="2">
        <f>Games[[#This Row],[DaysOff]]-Games[[#This Row],[OppDaysOff]]</f>
        <v>0</v>
      </c>
      <c r="L497" s="2">
        <f>Games[[#This Row],[OppDaysOff]]-Games[[#This Row],[DaysOff]]</f>
        <v>0</v>
      </c>
      <c r="M497" s="16">
        <f>MAX(-16, MIN(16, Games[[#This Row],[RestDiff]]*8))</f>
        <v>0</v>
      </c>
      <c r="N497" s="16">
        <f>MAX(-16, MIN(16, Games[[#This Row],[OppRestDiff]]*8))</f>
        <v>0</v>
      </c>
      <c r="O497" s="4" cm="1">
        <f t="array" ref="O4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1528.4049740960922</v>
      </c>
      <c r="P497" s="4" cm="1">
        <f t="array" ref="P4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1578.4735352237778</v>
      </c>
      <c r="Q497" s="4">
        <f>1/(1+10^(((Games[[#This Row],[OppPreGmRate]]+IF(Games[[#This Row],[HomeAway]]="A",HCA,0)+Games[[#This Row],[OppRestAdj]])-(Games[[#This Row],[PreGmRate]]+IF(Games[[#This Row],[HomeAway]]="H",HCA,0)+Games[[#This Row],[RestAdj]]))/400))</f>
        <v>0.54867660547922026</v>
      </c>
      <c r="R497" s="1">
        <v>74</v>
      </c>
      <c r="S497" s="1">
        <v>57</v>
      </c>
      <c r="T497" s="1">
        <v>0</v>
      </c>
      <c r="U497" s="16">
        <f>Games[[#This Row],[PointsFor]]-Games[[#This Row],[PointsAgainst]]</f>
        <v>17</v>
      </c>
      <c r="V497" s="16">
        <f>IF(Games[[#This Row],[MOV]]&gt;0,1,IF(Games[[#This Row],[MOV]]=0,0.5,0))</f>
        <v>1</v>
      </c>
      <c r="W497" s="4">
        <f>((ABS(Games[[#This Row],[MOV]])+5)^0.6)/(12+0.01*(ABS(Games[[#This Row],[PreGmRate]]-Games[[#This Row],[OppPreGmRate]])))*IF(Games[[#This Row],[OT]]=1,0.9,1)</f>
        <v>0.51111635214793194</v>
      </c>
      <c r="X497" s="7" cm="1">
        <f t="array" ref="X4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7" s="9">
        <f>MAX(kmin, kmax - 0.15 * MIN(Games[[#This Row],[GamesPlayed]], 82))</f>
        <v>71.349999999999994</v>
      </c>
      <c r="Z497" s="4">
        <f>Games[[#This Row],[K]]*Games[[#This Row],[POMult]]</f>
        <v>71.349999999999994</v>
      </c>
      <c r="AA497" s="4">
        <f>(Games[[#This Row],[Keff]]*Games[[#This Row],[MOVMult]])*(Games[[#This Row],[Result]]-Games[[#This Row],[ExpectedWin%]])</f>
        <v>16.458930028766552</v>
      </c>
      <c r="AB497" s="4">
        <f>Games[[#This Row],[PreGmRate]]+Games[[#This Row],[RatingChange]]</f>
        <v>1544.8639041248589</v>
      </c>
      <c r="AC497" s="2">
        <f>IF(Games[[#This Row],[Type]]="R",IF(Games[[#This Row],[Result]]&gt;0.5,1,0),0)</f>
        <v>1</v>
      </c>
      <c r="AD497" s="2">
        <f>IF(Games[[#This Row],[Type]]="R",IF(Games[[#This Row],[Result]]&lt;0.5,1,0),0)</f>
        <v>0</v>
      </c>
      <c r="AE497" s="2">
        <f>IF(AND(Games[[#This Row],[Type]]="P",Games[[#This Row],[Round]]=1),IF(Games[[#This Row],[Result]]&gt;0.5,1,0),0)</f>
        <v>0</v>
      </c>
      <c r="AF497" s="2">
        <f>IF(AND(Games[[#This Row],[Type]]="P",Games[[#This Row],[Round]]=1),IF(Games[[#This Row],[Result]]&lt;0.5,1,0),0)</f>
        <v>0</v>
      </c>
      <c r="AG497" s="2">
        <f>IF(AND(Games[[#This Row],[Type]]="P",Games[[#This Row],[Round]]=2),IF(Games[[#This Row],[Result]]&gt;0.5,1,0),0)</f>
        <v>0</v>
      </c>
      <c r="AH497" s="2">
        <f>IF(AND(Games[[#This Row],[Type]]="P",Games[[#This Row],[Round]]=2),IF(Games[[#This Row],[Result]]&lt;0.5,1,0),0)</f>
        <v>0</v>
      </c>
      <c r="AI497" s="2">
        <f>IF(AND(Games[[#This Row],[Type]]="P",Games[[#This Row],[Round]]=3),IF(Games[[#This Row],[Result]]&gt;0.5,1,0),0)</f>
        <v>0</v>
      </c>
      <c r="AJ497" s="2">
        <f>IF(AND(Games[[#This Row],[Type]]="P",Games[[#This Row],[Round]]=3),IF(Games[[#This Row],[Result]]&lt;0.5,1,0),0)</f>
        <v>0</v>
      </c>
      <c r="AK497" s="2">
        <f>IF(AND(Games[[#This Row],[Type]]="P",Games[[#This Row],[Round]]=4),IF(Games[[#This Row],[Result]]&gt;0.5,1,0),0)</f>
        <v>0</v>
      </c>
      <c r="AL497" s="2">
        <f>IF(AND(Games[[#This Row],[Type]]="P",Games[[#This Row],[Round]]=4),IF(Games[[#This Row],[Result]]&lt;0.5,1,0),0)</f>
        <v>0</v>
      </c>
    </row>
    <row r="498" spans="1:38" x14ac:dyDescent="0.35">
      <c r="A498" s="10">
        <v>37480</v>
      </c>
      <c r="B498" s="2">
        <v>2002</v>
      </c>
      <c r="C498" s="2">
        <f>COUNTIFS(Games[Team],Games[[#This Row],[Team]],Games[Season],Games[[#This Row],[Season]],Games[Date],"&lt;=" &amp; Games[[#This Row],[Date]])</f>
        <v>31</v>
      </c>
      <c r="D498" s="2" t="s">
        <v>23</v>
      </c>
      <c r="E498" s="2" t="s">
        <v>29</v>
      </c>
      <c r="F498" s="1" t="s">
        <v>45</v>
      </c>
      <c r="G498" s="1" t="s">
        <v>43</v>
      </c>
      <c r="H498" s="1" t="s">
        <v>16</v>
      </c>
      <c r="I498" s="2" cm="1">
        <f t="array" ref="I4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8" s="2" cm="1">
        <f t="array" ref="J4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8" s="2">
        <f>Games[[#This Row],[DaysOff]]-Games[[#This Row],[OppDaysOff]]</f>
        <v>1</v>
      </c>
      <c r="L498" s="2">
        <f>Games[[#This Row],[OppDaysOff]]-Games[[#This Row],[DaysOff]]</f>
        <v>-1</v>
      </c>
      <c r="M498" s="16">
        <f>MAX(-16, MIN(16, Games[[#This Row],[RestDiff]]*8))</f>
        <v>8</v>
      </c>
      <c r="N498" s="16">
        <f>MAX(-16, MIN(16, Games[[#This Row],[OppRestDiff]]*8))</f>
        <v>-8</v>
      </c>
      <c r="O498" s="4" cm="1">
        <f t="array" ref="O4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1515.3994968286636</v>
      </c>
      <c r="P498" s="4" cm="1">
        <f t="array" ref="P4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1562.0146051950112</v>
      </c>
      <c r="Q498" s="4">
        <f>1/(1+10^(((Games[[#This Row],[OppPreGmRate]]+IF(Games[[#This Row],[HomeAway]]="A",HCA,0)+Games[[#This Row],[OppRestAdj]])-(Games[[#This Row],[PreGmRate]]+IF(Games[[#This Row],[HomeAway]]="H",HCA,0)+Games[[#This Row],[RestAdj]]))/400))</f>
        <v>0.3407895724175854</v>
      </c>
      <c r="R498" s="1">
        <v>79</v>
      </c>
      <c r="S498" s="1">
        <v>81</v>
      </c>
      <c r="T498" s="1">
        <v>0</v>
      </c>
      <c r="U498" s="16">
        <f>Games[[#This Row],[PointsFor]]-Games[[#This Row],[PointsAgainst]]</f>
        <v>-2</v>
      </c>
      <c r="V498" s="16">
        <f>IF(Games[[#This Row],[MOV]]&gt;0,1,IF(Games[[#This Row],[MOV]]=0,0.5,0))</f>
        <v>0</v>
      </c>
      <c r="W498" s="4">
        <f>((ABS(Games[[#This Row],[MOV]])+5)^0.6)/(12+0.01*(ABS(Games[[#This Row],[PreGmRate]]-Games[[#This Row],[OppPreGmRate]])))*IF(Games[[#This Row],[OT]]=1,0.9,1)</f>
        <v>0.25782583799485764</v>
      </c>
      <c r="X498" s="7" cm="1">
        <f t="array" ref="X4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8" s="9">
        <f>MAX(kmin, kmax - 0.15 * MIN(Games[[#This Row],[GamesPlayed]], 82))</f>
        <v>71.349999999999994</v>
      </c>
      <c r="Z498" s="4">
        <f>Games[[#This Row],[K]]*Games[[#This Row],[POMult]]</f>
        <v>71.349999999999994</v>
      </c>
      <c r="AA498" s="4">
        <f>(Games[[#This Row],[Keff]]*Games[[#This Row],[MOVMult]])*(Games[[#This Row],[Result]]-Games[[#This Row],[ExpectedWin%]])</f>
        <v>-6.2691218782625606</v>
      </c>
      <c r="AB498" s="4">
        <f>Games[[#This Row],[PreGmRate]]+Games[[#This Row],[RatingChange]]</f>
        <v>1509.1303749504011</v>
      </c>
      <c r="AC498" s="2">
        <f>IF(Games[[#This Row],[Type]]="R",IF(Games[[#This Row],[Result]]&gt;0.5,1,0),0)</f>
        <v>0</v>
      </c>
      <c r="AD498" s="2">
        <f>IF(Games[[#This Row],[Type]]="R",IF(Games[[#This Row],[Result]]&lt;0.5,1,0),0)</f>
        <v>1</v>
      </c>
      <c r="AE498" s="2">
        <f>IF(AND(Games[[#This Row],[Type]]="P",Games[[#This Row],[Round]]=1),IF(Games[[#This Row],[Result]]&gt;0.5,1,0),0)</f>
        <v>0</v>
      </c>
      <c r="AF498" s="2">
        <f>IF(AND(Games[[#This Row],[Type]]="P",Games[[#This Row],[Round]]=1),IF(Games[[#This Row],[Result]]&lt;0.5,1,0),0)</f>
        <v>0</v>
      </c>
      <c r="AG498" s="2">
        <f>IF(AND(Games[[#This Row],[Type]]="P",Games[[#This Row],[Round]]=2),IF(Games[[#This Row],[Result]]&gt;0.5,1,0),0)</f>
        <v>0</v>
      </c>
      <c r="AH498" s="2">
        <f>IF(AND(Games[[#This Row],[Type]]="P",Games[[#This Row],[Round]]=2),IF(Games[[#This Row],[Result]]&lt;0.5,1,0),0)</f>
        <v>0</v>
      </c>
      <c r="AI498" s="2">
        <f>IF(AND(Games[[#This Row],[Type]]="P",Games[[#This Row],[Round]]=3),IF(Games[[#This Row],[Result]]&gt;0.5,1,0),0)</f>
        <v>0</v>
      </c>
      <c r="AJ498" s="2">
        <f>IF(AND(Games[[#This Row],[Type]]="P",Games[[#This Row],[Round]]=3),IF(Games[[#This Row],[Result]]&lt;0.5,1,0),0)</f>
        <v>0</v>
      </c>
      <c r="AK498" s="2">
        <f>IF(AND(Games[[#This Row],[Type]]="P",Games[[#This Row],[Round]]=4),IF(Games[[#This Row],[Result]]&gt;0.5,1,0),0)</f>
        <v>0</v>
      </c>
      <c r="AL498" s="2">
        <f>IF(AND(Games[[#This Row],[Type]]="P",Games[[#This Row],[Round]]=4),IF(Games[[#This Row],[Result]]&lt;0.5,1,0),0)</f>
        <v>0</v>
      </c>
    </row>
    <row r="499" spans="1:38" x14ac:dyDescent="0.35">
      <c r="A499" s="10">
        <v>37480</v>
      </c>
      <c r="B499" s="2">
        <v>2002</v>
      </c>
      <c r="C499" s="2">
        <f>COUNTIFS(Games[Team],Games[[#This Row],[Team]],Games[Season],Games[[#This Row],[Season]],Games[Date],"&lt;=" &amp; Games[[#This Row],[Date]])</f>
        <v>32</v>
      </c>
      <c r="D499" s="2" t="s">
        <v>23</v>
      </c>
      <c r="E499" s="2" t="s">
        <v>29</v>
      </c>
      <c r="F499" s="1" t="s">
        <v>43</v>
      </c>
      <c r="G499" s="1" t="s">
        <v>45</v>
      </c>
      <c r="H499" s="1" t="s">
        <v>15</v>
      </c>
      <c r="I499" s="2" cm="1">
        <f t="array" ref="I4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499" s="2" cm="1">
        <f t="array" ref="J4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9" s="2">
        <f>Games[[#This Row],[DaysOff]]-Games[[#This Row],[OppDaysOff]]</f>
        <v>-1</v>
      </c>
      <c r="L499" s="2">
        <f>Games[[#This Row],[OppDaysOff]]-Games[[#This Row],[DaysOff]]</f>
        <v>1</v>
      </c>
      <c r="M499" s="16">
        <f>MAX(-16, MIN(16, Games[[#This Row],[RestDiff]]*8))</f>
        <v>-8</v>
      </c>
      <c r="N499" s="16">
        <f>MAX(-16, MIN(16, Games[[#This Row],[OppRestDiff]]*8))</f>
        <v>8</v>
      </c>
      <c r="O499" s="4" cm="1">
        <f t="array" ref="O4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1562.0146051950112</v>
      </c>
      <c r="P499" s="4" cm="1">
        <f t="array" ref="P4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1515.3994968286636</v>
      </c>
      <c r="Q499" s="4">
        <f>1/(1+10^(((Games[[#This Row],[OppPreGmRate]]+IF(Games[[#This Row],[HomeAway]]="A",HCA,0)+Games[[#This Row],[OppRestAdj]])-(Games[[#This Row],[PreGmRate]]+IF(Games[[#This Row],[HomeAway]]="H",HCA,0)+Games[[#This Row],[RestAdj]]))/400))</f>
        <v>0.65921042758241466</v>
      </c>
      <c r="R499" s="1">
        <v>81</v>
      </c>
      <c r="S499" s="1">
        <v>79</v>
      </c>
      <c r="T499" s="1">
        <v>0</v>
      </c>
      <c r="U499" s="16">
        <f>Games[[#This Row],[PointsFor]]-Games[[#This Row],[PointsAgainst]]</f>
        <v>2</v>
      </c>
      <c r="V499" s="16">
        <f>IF(Games[[#This Row],[MOV]]&gt;0,1,IF(Games[[#This Row],[MOV]]=0,0.5,0))</f>
        <v>1</v>
      </c>
      <c r="W499" s="4">
        <f>((ABS(Games[[#This Row],[MOV]])+5)^0.6)/(12+0.01*(ABS(Games[[#This Row],[PreGmRate]]-Games[[#This Row],[OppPreGmRate]])))*IF(Games[[#This Row],[OT]]=1,0.9,1)</f>
        <v>0.25782583799485764</v>
      </c>
      <c r="X499" s="7" cm="1">
        <f t="array" ref="X4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9" s="9">
        <f>MAX(kmin, kmax - 0.15 * MIN(Games[[#This Row],[GamesPlayed]], 82))</f>
        <v>71.2</v>
      </c>
      <c r="Z499" s="4">
        <f>Games[[#This Row],[K]]*Games[[#This Row],[POMult]]</f>
        <v>71.2</v>
      </c>
      <c r="AA499" s="4">
        <f>(Games[[#This Row],[Keff]]*Games[[#This Row],[MOVMult]])*(Games[[#This Row],[Result]]-Games[[#This Row],[ExpectedWin%]])</f>
        <v>6.2559422246992895</v>
      </c>
      <c r="AB499" s="4">
        <f>Games[[#This Row],[PreGmRate]]+Games[[#This Row],[RatingChange]]</f>
        <v>1568.2705474197105</v>
      </c>
      <c r="AC499" s="2">
        <f>IF(Games[[#This Row],[Type]]="R",IF(Games[[#This Row],[Result]]&gt;0.5,1,0),0)</f>
        <v>1</v>
      </c>
      <c r="AD499" s="2">
        <f>IF(Games[[#This Row],[Type]]="R",IF(Games[[#This Row],[Result]]&lt;0.5,1,0),0)</f>
        <v>0</v>
      </c>
      <c r="AE499" s="2">
        <f>IF(AND(Games[[#This Row],[Type]]="P",Games[[#This Row],[Round]]=1),IF(Games[[#This Row],[Result]]&gt;0.5,1,0),0)</f>
        <v>0</v>
      </c>
      <c r="AF499" s="2">
        <f>IF(AND(Games[[#This Row],[Type]]="P",Games[[#This Row],[Round]]=1),IF(Games[[#This Row],[Result]]&lt;0.5,1,0),0)</f>
        <v>0</v>
      </c>
      <c r="AG499" s="2">
        <f>IF(AND(Games[[#This Row],[Type]]="P",Games[[#This Row],[Round]]=2),IF(Games[[#This Row],[Result]]&gt;0.5,1,0),0)</f>
        <v>0</v>
      </c>
      <c r="AH499" s="2">
        <f>IF(AND(Games[[#This Row],[Type]]="P",Games[[#This Row],[Round]]=2),IF(Games[[#This Row],[Result]]&lt;0.5,1,0),0)</f>
        <v>0</v>
      </c>
      <c r="AI499" s="2">
        <f>IF(AND(Games[[#This Row],[Type]]="P",Games[[#This Row],[Round]]=3),IF(Games[[#This Row],[Result]]&gt;0.5,1,0),0)</f>
        <v>0</v>
      </c>
      <c r="AJ499" s="2">
        <f>IF(AND(Games[[#This Row],[Type]]="P",Games[[#This Row],[Round]]=3),IF(Games[[#This Row],[Result]]&lt;0.5,1,0),0)</f>
        <v>0</v>
      </c>
      <c r="AK499" s="2">
        <f>IF(AND(Games[[#This Row],[Type]]="P",Games[[#This Row],[Round]]=4),IF(Games[[#This Row],[Result]]&gt;0.5,1,0),0)</f>
        <v>0</v>
      </c>
      <c r="AL499" s="2">
        <f>IF(AND(Games[[#This Row],[Type]]="P",Games[[#This Row],[Round]]=4),IF(Games[[#This Row],[Result]]&lt;0.5,1,0),0)</f>
        <v>0</v>
      </c>
    </row>
    <row r="500" spans="1:38" x14ac:dyDescent="0.35">
      <c r="A500" s="10">
        <v>37481</v>
      </c>
      <c r="B500" s="2">
        <v>2002</v>
      </c>
      <c r="C500" s="2">
        <f>COUNTIFS(Games[Team],Games[[#This Row],[Team]],Games[Season],Games[[#This Row],[Season]],Games[Date],"&lt;=" &amp; Games[[#This Row],[Date]])</f>
        <v>32</v>
      </c>
      <c r="D500" s="2" t="s">
        <v>23</v>
      </c>
      <c r="E500" s="2" t="s">
        <v>29</v>
      </c>
      <c r="F500" s="1" t="s">
        <v>75</v>
      </c>
      <c r="G500" s="1" t="s">
        <v>64</v>
      </c>
      <c r="H500" s="1" t="s">
        <v>16</v>
      </c>
      <c r="I500" s="2" cm="1">
        <f t="array" ref="I5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0" s="2" cm="1">
        <f t="array" ref="J5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0" s="2">
        <f>Games[[#This Row],[DaysOff]]-Games[[#This Row],[OppDaysOff]]</f>
        <v>0</v>
      </c>
      <c r="L500" s="2">
        <f>Games[[#This Row],[OppDaysOff]]-Games[[#This Row],[DaysOff]]</f>
        <v>0</v>
      </c>
      <c r="M500" s="16">
        <f>MAX(-16, MIN(16, Games[[#This Row],[RestDiff]]*8))</f>
        <v>0</v>
      </c>
      <c r="N500" s="16">
        <f>MAX(-16, MIN(16, Games[[#This Row],[OppRestDiff]]*8))</f>
        <v>0</v>
      </c>
      <c r="O500" s="4" cm="1">
        <f t="array" ref="O5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1456.3628596108738</v>
      </c>
      <c r="P500" s="4" cm="1">
        <f t="array" ref="P5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1540.9953224411236</v>
      </c>
      <c r="Q500" s="4">
        <f>1/(1+10^(((Games[[#This Row],[OppPreGmRate]]+IF(Games[[#This Row],[HomeAway]]="A",HCA,0)+Games[[#This Row],[OppRestAdj]])-(Games[[#This Row],[PreGmRate]]+IF(Games[[#This Row],[HomeAway]]="H",HCA,0)+Games[[#This Row],[RestAdj]]))/400))</f>
        <v>0.27473572147242098</v>
      </c>
      <c r="R500" s="1">
        <v>57</v>
      </c>
      <c r="S500" s="1">
        <v>67</v>
      </c>
      <c r="T500" s="1">
        <v>0</v>
      </c>
      <c r="U500" s="16">
        <f>Games[[#This Row],[PointsFor]]-Games[[#This Row],[PointsAgainst]]</f>
        <v>-10</v>
      </c>
      <c r="V500" s="16">
        <f>IF(Games[[#This Row],[MOV]]&gt;0,1,IF(Games[[#This Row],[MOV]]=0,0.5,0))</f>
        <v>0</v>
      </c>
      <c r="W500" s="4">
        <f>((ABS(Games[[#This Row],[MOV]])+5)^0.6)/(12+0.01*(ABS(Games[[#This Row],[PreGmRate]]-Games[[#This Row],[OppPreGmRate]])))*IF(Games[[#This Row],[OT]]=1,0.9,1)</f>
        <v>0.39525362614616966</v>
      </c>
      <c r="X500" s="7" cm="1">
        <f t="array" ref="X5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0" s="9">
        <f>MAX(kmin, kmax - 0.15 * MIN(Games[[#This Row],[GamesPlayed]], 82))</f>
        <v>71.2</v>
      </c>
      <c r="Z500" s="4">
        <f>Games[[#This Row],[K]]*Games[[#This Row],[POMult]]</f>
        <v>71.2</v>
      </c>
      <c r="AA500" s="4">
        <f>(Games[[#This Row],[Keff]]*Games[[#This Row],[MOVMult]])*(Games[[#This Row],[Result]]-Games[[#This Row],[ExpectedWin%]])</f>
        <v>-7.7316286582427232</v>
      </c>
      <c r="AB500" s="4">
        <f>Games[[#This Row],[PreGmRate]]+Games[[#This Row],[RatingChange]]</f>
        <v>1448.6312309526311</v>
      </c>
      <c r="AC500" s="2">
        <f>IF(Games[[#This Row],[Type]]="R",IF(Games[[#This Row],[Result]]&gt;0.5,1,0),0)</f>
        <v>0</v>
      </c>
      <c r="AD500" s="2">
        <f>IF(Games[[#This Row],[Type]]="R",IF(Games[[#This Row],[Result]]&lt;0.5,1,0),0)</f>
        <v>1</v>
      </c>
      <c r="AE500" s="2">
        <f>IF(AND(Games[[#This Row],[Type]]="P",Games[[#This Row],[Round]]=1),IF(Games[[#This Row],[Result]]&gt;0.5,1,0),0)</f>
        <v>0</v>
      </c>
      <c r="AF500" s="2">
        <f>IF(AND(Games[[#This Row],[Type]]="P",Games[[#This Row],[Round]]=1),IF(Games[[#This Row],[Result]]&lt;0.5,1,0),0)</f>
        <v>0</v>
      </c>
      <c r="AG500" s="2">
        <f>IF(AND(Games[[#This Row],[Type]]="P",Games[[#This Row],[Round]]=2),IF(Games[[#This Row],[Result]]&gt;0.5,1,0),0)</f>
        <v>0</v>
      </c>
      <c r="AH500" s="2">
        <f>IF(AND(Games[[#This Row],[Type]]="P",Games[[#This Row],[Round]]=2),IF(Games[[#This Row],[Result]]&lt;0.5,1,0),0)</f>
        <v>0</v>
      </c>
      <c r="AI500" s="2">
        <f>IF(AND(Games[[#This Row],[Type]]="P",Games[[#This Row],[Round]]=3),IF(Games[[#This Row],[Result]]&gt;0.5,1,0),0)</f>
        <v>0</v>
      </c>
      <c r="AJ500" s="2">
        <f>IF(AND(Games[[#This Row],[Type]]="P",Games[[#This Row],[Round]]=3),IF(Games[[#This Row],[Result]]&lt;0.5,1,0),0)</f>
        <v>0</v>
      </c>
      <c r="AK500" s="2">
        <f>IF(AND(Games[[#This Row],[Type]]="P",Games[[#This Row],[Round]]=4),IF(Games[[#This Row],[Result]]&gt;0.5,1,0),0)</f>
        <v>0</v>
      </c>
      <c r="AL500" s="2">
        <f>IF(AND(Games[[#This Row],[Type]]="P",Games[[#This Row],[Round]]=4),IF(Games[[#This Row],[Result]]&lt;0.5,1,0),0)</f>
        <v>0</v>
      </c>
    </row>
    <row r="501" spans="1:38" x14ac:dyDescent="0.35">
      <c r="A501" s="10">
        <v>37481</v>
      </c>
      <c r="B501" s="2">
        <v>2002</v>
      </c>
      <c r="C501" s="2">
        <f>COUNTIFS(Games[Team],Games[[#This Row],[Team]],Games[Season],Games[[#This Row],[Season]],Games[Date],"&lt;=" &amp; Games[[#This Row],[Date]])</f>
        <v>32</v>
      </c>
      <c r="D501" s="2" t="s">
        <v>23</v>
      </c>
      <c r="E501" s="2" t="s">
        <v>29</v>
      </c>
      <c r="F501" s="1" t="s">
        <v>64</v>
      </c>
      <c r="G501" s="1" t="s">
        <v>75</v>
      </c>
      <c r="H501" s="1" t="s">
        <v>15</v>
      </c>
      <c r="I501" s="2" cm="1">
        <f t="array" ref="I5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1" s="2" cm="1">
        <f t="array" ref="J5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1" s="2">
        <f>Games[[#This Row],[DaysOff]]-Games[[#This Row],[OppDaysOff]]</f>
        <v>0</v>
      </c>
      <c r="L501" s="2">
        <f>Games[[#This Row],[OppDaysOff]]-Games[[#This Row],[DaysOff]]</f>
        <v>0</v>
      </c>
      <c r="M501" s="16">
        <f>MAX(-16, MIN(16, Games[[#This Row],[RestDiff]]*8))</f>
        <v>0</v>
      </c>
      <c r="N501" s="16">
        <f>MAX(-16, MIN(16, Games[[#This Row],[OppRestDiff]]*8))</f>
        <v>0</v>
      </c>
      <c r="O501" s="4" cm="1">
        <f t="array" ref="O5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1540.9953224411236</v>
      </c>
      <c r="P501" s="4" cm="1">
        <f t="array" ref="P5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1456.3628596108738</v>
      </c>
      <c r="Q501" s="4">
        <f>1/(1+10^(((Games[[#This Row],[OppPreGmRate]]+IF(Games[[#This Row],[HomeAway]]="A",HCA,0)+Games[[#This Row],[OppRestAdj]])-(Games[[#This Row],[PreGmRate]]+IF(Games[[#This Row],[HomeAway]]="H",HCA,0)+Games[[#This Row],[RestAdj]]))/400))</f>
        <v>0.72526427852757913</v>
      </c>
      <c r="R501" s="1">
        <v>67</v>
      </c>
      <c r="S501" s="1">
        <v>57</v>
      </c>
      <c r="T501" s="1">
        <v>0</v>
      </c>
      <c r="U501" s="16">
        <f>Games[[#This Row],[PointsFor]]-Games[[#This Row],[PointsAgainst]]</f>
        <v>10</v>
      </c>
      <c r="V501" s="16">
        <f>IF(Games[[#This Row],[MOV]]&gt;0,1,IF(Games[[#This Row],[MOV]]=0,0.5,0))</f>
        <v>1</v>
      </c>
      <c r="W501" s="4">
        <f>((ABS(Games[[#This Row],[MOV]])+5)^0.6)/(12+0.01*(ABS(Games[[#This Row],[PreGmRate]]-Games[[#This Row],[OppPreGmRate]])))*IF(Games[[#This Row],[OT]]=1,0.9,1)</f>
        <v>0.39525362614616966</v>
      </c>
      <c r="X501" s="7" cm="1">
        <f t="array" ref="X5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1" s="9">
        <f>MAX(kmin, kmax - 0.15 * MIN(Games[[#This Row],[GamesPlayed]], 82))</f>
        <v>71.2</v>
      </c>
      <c r="Z501" s="4">
        <f>Games[[#This Row],[K]]*Games[[#This Row],[POMult]]</f>
        <v>71.2</v>
      </c>
      <c r="AA501" s="4">
        <f>(Games[[#This Row],[Keff]]*Games[[#This Row],[MOVMult]])*(Games[[#This Row],[Result]]-Games[[#This Row],[ExpectedWin%]])</f>
        <v>7.7316286582427205</v>
      </c>
      <c r="AB501" s="4">
        <f>Games[[#This Row],[PreGmRate]]+Games[[#This Row],[RatingChange]]</f>
        <v>1548.7269510993663</v>
      </c>
      <c r="AC501" s="2">
        <f>IF(Games[[#This Row],[Type]]="R",IF(Games[[#This Row],[Result]]&gt;0.5,1,0),0)</f>
        <v>1</v>
      </c>
      <c r="AD501" s="2">
        <f>IF(Games[[#This Row],[Type]]="R",IF(Games[[#This Row],[Result]]&lt;0.5,1,0),0)</f>
        <v>0</v>
      </c>
      <c r="AE501" s="2">
        <f>IF(AND(Games[[#This Row],[Type]]="P",Games[[#This Row],[Round]]=1),IF(Games[[#This Row],[Result]]&gt;0.5,1,0),0)</f>
        <v>0</v>
      </c>
      <c r="AF501" s="2">
        <f>IF(AND(Games[[#This Row],[Type]]="P",Games[[#This Row],[Round]]=1),IF(Games[[#This Row],[Result]]&lt;0.5,1,0),0)</f>
        <v>0</v>
      </c>
      <c r="AG501" s="2">
        <f>IF(AND(Games[[#This Row],[Type]]="P",Games[[#This Row],[Round]]=2),IF(Games[[#This Row],[Result]]&gt;0.5,1,0),0)</f>
        <v>0</v>
      </c>
      <c r="AH501" s="2">
        <f>IF(AND(Games[[#This Row],[Type]]="P",Games[[#This Row],[Round]]=2),IF(Games[[#This Row],[Result]]&lt;0.5,1,0),0)</f>
        <v>0</v>
      </c>
      <c r="AI501" s="2">
        <f>IF(AND(Games[[#This Row],[Type]]="P",Games[[#This Row],[Round]]=3),IF(Games[[#This Row],[Result]]&gt;0.5,1,0),0)</f>
        <v>0</v>
      </c>
      <c r="AJ501" s="2">
        <f>IF(AND(Games[[#This Row],[Type]]="P",Games[[#This Row],[Round]]=3),IF(Games[[#This Row],[Result]]&lt;0.5,1,0),0)</f>
        <v>0</v>
      </c>
      <c r="AK501" s="2">
        <f>IF(AND(Games[[#This Row],[Type]]="P",Games[[#This Row],[Round]]=4),IF(Games[[#This Row],[Result]]&gt;0.5,1,0),0)</f>
        <v>0</v>
      </c>
      <c r="AL501" s="2">
        <f>IF(AND(Games[[#This Row],[Type]]="P",Games[[#This Row],[Round]]=4),IF(Games[[#This Row],[Result]]&lt;0.5,1,0),0)</f>
        <v>0</v>
      </c>
    </row>
    <row r="502" spans="1:38" x14ac:dyDescent="0.35">
      <c r="A502" s="10">
        <v>37481</v>
      </c>
      <c r="B502" s="2">
        <v>2002</v>
      </c>
      <c r="C502" s="2">
        <f>COUNTIFS(Games[Team],Games[[#This Row],[Team]],Games[Season],Games[[#This Row],[Season]],Games[Date],"&lt;=" &amp; Games[[#This Row],[Date]])</f>
        <v>32</v>
      </c>
      <c r="D502" s="2" t="s">
        <v>23</v>
      </c>
      <c r="E502" s="2" t="s">
        <v>29</v>
      </c>
      <c r="F502" s="1" t="s">
        <v>85</v>
      </c>
      <c r="G502" s="1" t="s">
        <v>1</v>
      </c>
      <c r="H502" s="1" t="s">
        <v>16</v>
      </c>
      <c r="I502" s="2" cm="1">
        <f t="array" ref="I5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2" s="2" cm="1">
        <f t="array" ref="J5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2" s="2">
        <f>Games[[#This Row],[DaysOff]]-Games[[#This Row],[OppDaysOff]]</f>
        <v>0</v>
      </c>
      <c r="L502" s="2">
        <f>Games[[#This Row],[OppDaysOff]]-Games[[#This Row],[DaysOff]]</f>
        <v>0</v>
      </c>
      <c r="M502" s="16">
        <f>MAX(-16, MIN(16, Games[[#This Row],[RestDiff]]*8))</f>
        <v>0</v>
      </c>
      <c r="N502" s="16">
        <f>MAX(-16, MIN(16, Games[[#This Row],[OppRestDiff]]*8))</f>
        <v>0</v>
      </c>
      <c r="O502" s="4" cm="1">
        <f t="array" ref="O5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1479.3371551428515</v>
      </c>
      <c r="P502" s="4" cm="1">
        <f t="array" ref="P5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1413.928139566216</v>
      </c>
      <c r="Q502" s="4">
        <f>1/(1+10^(((Games[[#This Row],[OppPreGmRate]]+IF(Games[[#This Row],[HomeAway]]="A",HCA,0)+Games[[#This Row],[OppRestAdj]])-(Games[[#This Row],[PreGmRate]]+IF(Games[[#This Row],[HomeAway]]="H",HCA,0)+Games[[#This Row],[RestAdj]]))/400))</f>
        <v>0.47327092837332801</v>
      </c>
      <c r="R502" s="1">
        <v>60</v>
      </c>
      <c r="S502" s="1">
        <v>56</v>
      </c>
      <c r="T502" s="1">
        <v>0</v>
      </c>
      <c r="U502" s="16">
        <f>Games[[#This Row],[PointsFor]]-Games[[#This Row],[PointsAgainst]]</f>
        <v>4</v>
      </c>
      <c r="V502" s="16">
        <f>IF(Games[[#This Row],[MOV]]&gt;0,1,IF(Games[[#This Row],[MOV]]=0,0.5,0))</f>
        <v>1</v>
      </c>
      <c r="W502" s="4">
        <f>((ABS(Games[[#This Row],[MOV]])+5)^0.6)/(12+0.01*(ABS(Games[[#This Row],[PreGmRate]]-Games[[#This Row],[OppPreGmRate]])))*IF(Games[[#This Row],[OT]]=1,0.9,1)</f>
        <v>0.29533477103792777</v>
      </c>
      <c r="X502" s="7" cm="1">
        <f t="array" ref="X5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2" s="9">
        <f>MAX(kmin, kmax - 0.15 * MIN(Games[[#This Row],[GamesPlayed]], 82))</f>
        <v>71.2</v>
      </c>
      <c r="Z502" s="4">
        <f>Games[[#This Row],[K]]*Games[[#This Row],[POMult]]</f>
        <v>71.2</v>
      </c>
      <c r="AA502" s="4">
        <f>(Games[[#This Row],[Keff]]*Games[[#This Row],[MOVMult]])*(Games[[#This Row],[Result]]-Games[[#This Row],[ExpectedWin%]])</f>
        <v>11.075972375473299</v>
      </c>
      <c r="AB502" s="4">
        <f>Games[[#This Row],[PreGmRate]]+Games[[#This Row],[RatingChange]]</f>
        <v>1490.4131275183249</v>
      </c>
      <c r="AC502" s="2">
        <f>IF(Games[[#This Row],[Type]]="R",IF(Games[[#This Row],[Result]]&gt;0.5,1,0),0)</f>
        <v>1</v>
      </c>
      <c r="AD502" s="2">
        <f>IF(Games[[#This Row],[Type]]="R",IF(Games[[#This Row],[Result]]&lt;0.5,1,0),0)</f>
        <v>0</v>
      </c>
      <c r="AE502" s="2">
        <f>IF(AND(Games[[#This Row],[Type]]="P",Games[[#This Row],[Round]]=1),IF(Games[[#This Row],[Result]]&gt;0.5,1,0),0)</f>
        <v>0</v>
      </c>
      <c r="AF502" s="2">
        <f>IF(AND(Games[[#This Row],[Type]]="P",Games[[#This Row],[Round]]=1),IF(Games[[#This Row],[Result]]&lt;0.5,1,0),0)</f>
        <v>0</v>
      </c>
      <c r="AG502" s="2">
        <f>IF(AND(Games[[#This Row],[Type]]="P",Games[[#This Row],[Round]]=2),IF(Games[[#This Row],[Result]]&gt;0.5,1,0),0)</f>
        <v>0</v>
      </c>
      <c r="AH502" s="2">
        <f>IF(AND(Games[[#This Row],[Type]]="P",Games[[#This Row],[Round]]=2),IF(Games[[#This Row],[Result]]&lt;0.5,1,0),0)</f>
        <v>0</v>
      </c>
      <c r="AI502" s="2">
        <f>IF(AND(Games[[#This Row],[Type]]="P",Games[[#This Row],[Round]]=3),IF(Games[[#This Row],[Result]]&gt;0.5,1,0),0)</f>
        <v>0</v>
      </c>
      <c r="AJ502" s="2">
        <f>IF(AND(Games[[#This Row],[Type]]="P",Games[[#This Row],[Round]]=3),IF(Games[[#This Row],[Result]]&lt;0.5,1,0),0)</f>
        <v>0</v>
      </c>
      <c r="AK502" s="2">
        <f>IF(AND(Games[[#This Row],[Type]]="P",Games[[#This Row],[Round]]=4),IF(Games[[#This Row],[Result]]&gt;0.5,1,0),0)</f>
        <v>0</v>
      </c>
      <c r="AL502" s="2">
        <f>IF(AND(Games[[#This Row],[Type]]="P",Games[[#This Row],[Round]]=4),IF(Games[[#This Row],[Result]]&lt;0.5,1,0),0)</f>
        <v>0</v>
      </c>
    </row>
    <row r="503" spans="1:38" x14ac:dyDescent="0.35">
      <c r="A503" s="10">
        <v>37481</v>
      </c>
      <c r="B503" s="2">
        <v>2002</v>
      </c>
      <c r="C503" s="2">
        <f>COUNTIFS(Games[Team],Games[[#This Row],[Team]],Games[Season],Games[[#This Row],[Season]],Games[Date],"&lt;=" &amp; Games[[#This Row],[Date]])</f>
        <v>32</v>
      </c>
      <c r="D503" s="2" t="s">
        <v>23</v>
      </c>
      <c r="E503" s="2" t="s">
        <v>29</v>
      </c>
      <c r="F503" s="1" t="s">
        <v>1</v>
      </c>
      <c r="G503" s="1" t="s">
        <v>85</v>
      </c>
      <c r="H503" s="1" t="s">
        <v>15</v>
      </c>
      <c r="I503" s="2" cm="1">
        <f t="array" ref="I5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3" s="2" cm="1">
        <f t="array" ref="J5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3" s="2">
        <f>Games[[#This Row],[DaysOff]]-Games[[#This Row],[OppDaysOff]]</f>
        <v>0</v>
      </c>
      <c r="L503" s="2">
        <f>Games[[#This Row],[OppDaysOff]]-Games[[#This Row],[DaysOff]]</f>
        <v>0</v>
      </c>
      <c r="M503" s="16">
        <f>MAX(-16, MIN(16, Games[[#This Row],[RestDiff]]*8))</f>
        <v>0</v>
      </c>
      <c r="N503" s="16">
        <f>MAX(-16, MIN(16, Games[[#This Row],[OppRestDiff]]*8))</f>
        <v>0</v>
      </c>
      <c r="O503" s="4" cm="1">
        <f t="array" ref="O5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1413.928139566216</v>
      </c>
      <c r="P503" s="4" cm="1">
        <f t="array" ref="P5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1479.3371551428515</v>
      </c>
      <c r="Q503" s="4">
        <f>1/(1+10^(((Games[[#This Row],[OppPreGmRate]]+IF(Games[[#This Row],[HomeAway]]="A",HCA,0)+Games[[#This Row],[OppRestAdj]])-(Games[[#This Row],[PreGmRate]]+IF(Games[[#This Row],[HomeAway]]="H",HCA,0)+Games[[#This Row],[RestAdj]]))/400))</f>
        <v>0.52672907162667193</v>
      </c>
      <c r="R503" s="1">
        <v>56</v>
      </c>
      <c r="S503" s="1">
        <v>60</v>
      </c>
      <c r="T503" s="1">
        <v>0</v>
      </c>
      <c r="U503" s="16">
        <f>Games[[#This Row],[PointsFor]]-Games[[#This Row],[PointsAgainst]]</f>
        <v>-4</v>
      </c>
      <c r="V503" s="16">
        <f>IF(Games[[#This Row],[MOV]]&gt;0,1,IF(Games[[#This Row],[MOV]]=0,0.5,0))</f>
        <v>0</v>
      </c>
      <c r="W503" s="4">
        <f>((ABS(Games[[#This Row],[MOV]])+5)^0.6)/(12+0.01*(ABS(Games[[#This Row],[PreGmRate]]-Games[[#This Row],[OppPreGmRate]])))*IF(Games[[#This Row],[OT]]=1,0.9,1)</f>
        <v>0.29533477103792777</v>
      </c>
      <c r="X503" s="7" cm="1">
        <f t="array" ref="X5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3" s="9">
        <f>MAX(kmin, kmax - 0.15 * MIN(Games[[#This Row],[GamesPlayed]], 82))</f>
        <v>71.2</v>
      </c>
      <c r="Z503" s="4">
        <f>Games[[#This Row],[K]]*Games[[#This Row],[POMult]]</f>
        <v>71.2</v>
      </c>
      <c r="AA503" s="4">
        <f>(Games[[#This Row],[Keff]]*Games[[#This Row],[MOVMult]])*(Games[[#This Row],[Result]]-Games[[#This Row],[ExpectedWin%]])</f>
        <v>-11.075972375473299</v>
      </c>
      <c r="AB503" s="4">
        <f>Games[[#This Row],[PreGmRate]]+Games[[#This Row],[RatingChange]]</f>
        <v>1402.8521671907426</v>
      </c>
      <c r="AC503" s="2">
        <f>IF(Games[[#This Row],[Type]]="R",IF(Games[[#This Row],[Result]]&gt;0.5,1,0),0)</f>
        <v>0</v>
      </c>
      <c r="AD503" s="2">
        <f>IF(Games[[#This Row],[Type]]="R",IF(Games[[#This Row],[Result]]&lt;0.5,1,0),0)</f>
        <v>1</v>
      </c>
      <c r="AE503" s="2">
        <f>IF(AND(Games[[#This Row],[Type]]="P",Games[[#This Row],[Round]]=1),IF(Games[[#This Row],[Result]]&gt;0.5,1,0),0)</f>
        <v>0</v>
      </c>
      <c r="AF503" s="2">
        <f>IF(AND(Games[[#This Row],[Type]]="P",Games[[#This Row],[Round]]=1),IF(Games[[#This Row],[Result]]&lt;0.5,1,0),0)</f>
        <v>0</v>
      </c>
      <c r="AG503" s="2">
        <f>IF(AND(Games[[#This Row],[Type]]="P",Games[[#This Row],[Round]]=2),IF(Games[[#This Row],[Result]]&gt;0.5,1,0),0)</f>
        <v>0</v>
      </c>
      <c r="AH503" s="2">
        <f>IF(AND(Games[[#This Row],[Type]]="P",Games[[#This Row],[Round]]=2),IF(Games[[#This Row],[Result]]&lt;0.5,1,0),0)</f>
        <v>0</v>
      </c>
      <c r="AI503" s="2">
        <f>IF(AND(Games[[#This Row],[Type]]="P",Games[[#This Row],[Round]]=3),IF(Games[[#This Row],[Result]]&gt;0.5,1,0),0)</f>
        <v>0</v>
      </c>
      <c r="AJ503" s="2">
        <f>IF(AND(Games[[#This Row],[Type]]="P",Games[[#This Row],[Round]]=3),IF(Games[[#This Row],[Result]]&lt;0.5,1,0),0)</f>
        <v>0</v>
      </c>
      <c r="AK503" s="2">
        <f>IF(AND(Games[[#This Row],[Type]]="P",Games[[#This Row],[Round]]=4),IF(Games[[#This Row],[Result]]&gt;0.5,1,0),0)</f>
        <v>0</v>
      </c>
      <c r="AL503" s="2">
        <f>IF(AND(Games[[#This Row],[Type]]="P",Games[[#This Row],[Round]]=4),IF(Games[[#This Row],[Result]]&lt;0.5,1,0),0)</f>
        <v>0</v>
      </c>
    </row>
    <row r="504" spans="1:38" x14ac:dyDescent="0.35">
      <c r="A504" s="10">
        <v>37481</v>
      </c>
      <c r="B504" s="2">
        <v>2002</v>
      </c>
      <c r="C504" s="2">
        <f>COUNTIFS(Games[Team],Games[[#This Row],[Team]],Games[Season],Games[[#This Row],[Season]],Games[Date],"&lt;=" &amp; Games[[#This Row],[Date]])</f>
        <v>32</v>
      </c>
      <c r="D504" s="2" t="s">
        <v>23</v>
      </c>
      <c r="E504" s="2" t="s">
        <v>29</v>
      </c>
      <c r="F504" s="1" t="s">
        <v>80</v>
      </c>
      <c r="G504" s="1" t="s">
        <v>2</v>
      </c>
      <c r="H504" s="1" t="s">
        <v>16</v>
      </c>
      <c r="I504" s="2" cm="1">
        <f t="array" ref="I5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4" s="2" cm="1">
        <f t="array" ref="J5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04" s="2">
        <f>Games[[#This Row],[DaysOff]]-Games[[#This Row],[OppDaysOff]]</f>
        <v>-1</v>
      </c>
      <c r="L504" s="2">
        <f>Games[[#This Row],[OppDaysOff]]-Games[[#This Row],[DaysOff]]</f>
        <v>1</v>
      </c>
      <c r="M504" s="16">
        <f>MAX(-16, MIN(16, Games[[#This Row],[RestDiff]]*8))</f>
        <v>-8</v>
      </c>
      <c r="N504" s="16">
        <f>MAX(-16, MIN(16, Games[[#This Row],[OppRestDiff]]*8))</f>
        <v>8</v>
      </c>
      <c r="O504" s="4" cm="1">
        <f t="array" ref="O5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1401.7743997051421</v>
      </c>
      <c r="P504" s="4" cm="1">
        <f t="array" ref="P5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1650.9589510053313</v>
      </c>
      <c r="Q504" s="4">
        <f>1/(1+10^(((Games[[#This Row],[OppPreGmRate]]+IF(Games[[#This Row],[HomeAway]]="A",HCA,0)+Games[[#This Row],[OppRestAdj]])-(Games[[#This Row],[PreGmRate]]+IF(Games[[#This Row],[HomeAway]]="H",HCA,0)+Games[[#This Row],[RestAdj]]))/400))</f>
        <v>0.11814990764179215</v>
      </c>
      <c r="R504" s="1">
        <v>51</v>
      </c>
      <c r="S504" s="1">
        <v>63</v>
      </c>
      <c r="T504" s="1">
        <v>0</v>
      </c>
      <c r="U504" s="16">
        <f>Games[[#This Row],[PointsFor]]-Games[[#This Row],[PointsAgainst]]</f>
        <v>-12</v>
      </c>
      <c r="V504" s="16">
        <f>IF(Games[[#This Row],[MOV]]&gt;0,1,IF(Games[[#This Row],[MOV]]=0,0.5,0))</f>
        <v>0</v>
      </c>
      <c r="W504" s="4">
        <f>((ABS(Games[[#This Row],[MOV]])+5)^0.6)/(12+0.01*(ABS(Games[[#This Row],[PreGmRate]]-Games[[#This Row],[OppPreGmRate]])))*IF(Games[[#This Row],[OT]]=1,0.9,1)</f>
        <v>0.37769884532702813</v>
      </c>
      <c r="X504" s="7" cm="1">
        <f t="array" ref="X5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4" s="9">
        <f>MAX(kmin, kmax - 0.15 * MIN(Games[[#This Row],[GamesPlayed]], 82))</f>
        <v>71.2</v>
      </c>
      <c r="Z504" s="4">
        <f>Games[[#This Row],[K]]*Games[[#This Row],[POMult]]</f>
        <v>71.2</v>
      </c>
      <c r="AA504" s="4">
        <f>(Games[[#This Row],[Keff]]*Games[[#This Row],[MOVMult]])*(Games[[#This Row],[Result]]-Games[[#This Row],[ExpectedWin%]])</f>
        <v>-3.1773059588561536</v>
      </c>
      <c r="AB504" s="4">
        <f>Games[[#This Row],[PreGmRate]]+Games[[#This Row],[RatingChange]]</f>
        <v>1398.597093746286</v>
      </c>
      <c r="AC504" s="2">
        <f>IF(Games[[#This Row],[Type]]="R",IF(Games[[#This Row],[Result]]&gt;0.5,1,0),0)</f>
        <v>0</v>
      </c>
      <c r="AD504" s="2">
        <f>IF(Games[[#This Row],[Type]]="R",IF(Games[[#This Row],[Result]]&lt;0.5,1,0),0)</f>
        <v>1</v>
      </c>
      <c r="AE504" s="2">
        <f>IF(AND(Games[[#This Row],[Type]]="P",Games[[#This Row],[Round]]=1),IF(Games[[#This Row],[Result]]&gt;0.5,1,0),0)</f>
        <v>0</v>
      </c>
      <c r="AF504" s="2">
        <f>IF(AND(Games[[#This Row],[Type]]="P",Games[[#This Row],[Round]]=1),IF(Games[[#This Row],[Result]]&lt;0.5,1,0),0)</f>
        <v>0</v>
      </c>
      <c r="AG504" s="2">
        <f>IF(AND(Games[[#This Row],[Type]]="P",Games[[#This Row],[Round]]=2),IF(Games[[#This Row],[Result]]&gt;0.5,1,0),0)</f>
        <v>0</v>
      </c>
      <c r="AH504" s="2">
        <f>IF(AND(Games[[#This Row],[Type]]="P",Games[[#This Row],[Round]]=2),IF(Games[[#This Row],[Result]]&lt;0.5,1,0),0)</f>
        <v>0</v>
      </c>
      <c r="AI504" s="2">
        <f>IF(AND(Games[[#This Row],[Type]]="P",Games[[#This Row],[Round]]=3),IF(Games[[#This Row],[Result]]&gt;0.5,1,0),0)</f>
        <v>0</v>
      </c>
      <c r="AJ504" s="2">
        <f>IF(AND(Games[[#This Row],[Type]]="P",Games[[#This Row],[Round]]=3),IF(Games[[#This Row],[Result]]&lt;0.5,1,0),0)</f>
        <v>0</v>
      </c>
      <c r="AK504" s="2">
        <f>IF(AND(Games[[#This Row],[Type]]="P",Games[[#This Row],[Round]]=4),IF(Games[[#This Row],[Result]]&gt;0.5,1,0),0)</f>
        <v>0</v>
      </c>
      <c r="AL504" s="2">
        <f>IF(AND(Games[[#This Row],[Type]]="P",Games[[#This Row],[Round]]=4),IF(Games[[#This Row],[Result]]&lt;0.5,1,0),0)</f>
        <v>0</v>
      </c>
    </row>
    <row r="505" spans="1:38" x14ac:dyDescent="0.35">
      <c r="A505" s="10">
        <v>37481</v>
      </c>
      <c r="B505" s="2">
        <v>2002</v>
      </c>
      <c r="C505" s="2">
        <f>COUNTIFS(Games[Team],Games[[#This Row],[Team]],Games[Season],Games[[#This Row],[Season]],Games[Date],"&lt;=" &amp; Games[[#This Row],[Date]])</f>
        <v>32</v>
      </c>
      <c r="D505" s="2" t="s">
        <v>23</v>
      </c>
      <c r="E505" s="2" t="s">
        <v>29</v>
      </c>
      <c r="F505" s="1" t="s">
        <v>2</v>
      </c>
      <c r="G505" s="1" t="s">
        <v>80</v>
      </c>
      <c r="H505" s="1" t="s">
        <v>15</v>
      </c>
      <c r="I505" s="2" cm="1">
        <f t="array" ref="I5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505" s="2" cm="1">
        <f t="array" ref="J5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5" s="2">
        <f>Games[[#This Row],[DaysOff]]-Games[[#This Row],[OppDaysOff]]</f>
        <v>1</v>
      </c>
      <c r="L505" s="2">
        <f>Games[[#This Row],[OppDaysOff]]-Games[[#This Row],[DaysOff]]</f>
        <v>-1</v>
      </c>
      <c r="M505" s="16">
        <f>MAX(-16, MIN(16, Games[[#This Row],[RestDiff]]*8))</f>
        <v>8</v>
      </c>
      <c r="N505" s="16">
        <f>MAX(-16, MIN(16, Games[[#This Row],[OppRestDiff]]*8))</f>
        <v>-8</v>
      </c>
      <c r="O505" s="4" cm="1">
        <f t="array" ref="O5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1650.9589510053313</v>
      </c>
      <c r="P505" s="4" cm="1">
        <f t="array" ref="P5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1401.7743997051421</v>
      </c>
      <c r="Q505" s="4">
        <f>1/(1+10^(((Games[[#This Row],[OppPreGmRate]]+IF(Games[[#This Row],[HomeAway]]="A",HCA,0)+Games[[#This Row],[OppRestAdj]])-(Games[[#This Row],[PreGmRate]]+IF(Games[[#This Row],[HomeAway]]="H",HCA,0)+Games[[#This Row],[RestAdj]]))/400))</f>
        <v>0.88185009235820788</v>
      </c>
      <c r="R505" s="1">
        <v>63</v>
      </c>
      <c r="S505" s="1">
        <v>51</v>
      </c>
      <c r="T505" s="1">
        <v>0</v>
      </c>
      <c r="U505" s="16">
        <f>Games[[#This Row],[PointsFor]]-Games[[#This Row],[PointsAgainst]]</f>
        <v>12</v>
      </c>
      <c r="V505" s="16">
        <f>IF(Games[[#This Row],[MOV]]&gt;0,1,IF(Games[[#This Row],[MOV]]=0,0.5,0))</f>
        <v>1</v>
      </c>
      <c r="W505" s="4">
        <f>((ABS(Games[[#This Row],[MOV]])+5)^0.6)/(12+0.01*(ABS(Games[[#This Row],[PreGmRate]]-Games[[#This Row],[OppPreGmRate]])))*IF(Games[[#This Row],[OT]]=1,0.9,1)</f>
        <v>0.37769884532702813</v>
      </c>
      <c r="X505" s="7" cm="1">
        <f t="array" ref="X5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5" s="9">
        <f>MAX(kmin, kmax - 0.15 * MIN(Games[[#This Row],[GamesPlayed]], 82))</f>
        <v>71.2</v>
      </c>
      <c r="Z505" s="4">
        <f>Games[[#This Row],[K]]*Games[[#This Row],[POMult]]</f>
        <v>71.2</v>
      </c>
      <c r="AA505" s="4">
        <f>(Games[[#This Row],[Keff]]*Games[[#This Row],[MOVMult]])*(Games[[#This Row],[Result]]-Games[[#This Row],[ExpectedWin%]])</f>
        <v>3.1773059588561532</v>
      </c>
      <c r="AB505" s="4">
        <f>Games[[#This Row],[PreGmRate]]+Games[[#This Row],[RatingChange]]</f>
        <v>1654.1362569641874</v>
      </c>
      <c r="AC505" s="2">
        <f>IF(Games[[#This Row],[Type]]="R",IF(Games[[#This Row],[Result]]&gt;0.5,1,0),0)</f>
        <v>1</v>
      </c>
      <c r="AD505" s="2">
        <f>IF(Games[[#This Row],[Type]]="R",IF(Games[[#This Row],[Result]]&lt;0.5,1,0),0)</f>
        <v>0</v>
      </c>
      <c r="AE505" s="2">
        <f>IF(AND(Games[[#This Row],[Type]]="P",Games[[#This Row],[Round]]=1),IF(Games[[#This Row],[Result]]&gt;0.5,1,0),0)</f>
        <v>0</v>
      </c>
      <c r="AF505" s="2">
        <f>IF(AND(Games[[#This Row],[Type]]="P",Games[[#This Row],[Round]]=1),IF(Games[[#This Row],[Result]]&lt;0.5,1,0),0)</f>
        <v>0</v>
      </c>
      <c r="AG505" s="2">
        <f>IF(AND(Games[[#This Row],[Type]]="P",Games[[#This Row],[Round]]=2),IF(Games[[#This Row],[Result]]&gt;0.5,1,0),0)</f>
        <v>0</v>
      </c>
      <c r="AH505" s="2">
        <f>IF(AND(Games[[#This Row],[Type]]="P",Games[[#This Row],[Round]]=2),IF(Games[[#This Row],[Result]]&lt;0.5,1,0),0)</f>
        <v>0</v>
      </c>
      <c r="AI505" s="2">
        <f>IF(AND(Games[[#This Row],[Type]]="P",Games[[#This Row],[Round]]=3),IF(Games[[#This Row],[Result]]&gt;0.5,1,0),0)</f>
        <v>0</v>
      </c>
      <c r="AJ505" s="2">
        <f>IF(AND(Games[[#This Row],[Type]]="P",Games[[#This Row],[Round]]=3),IF(Games[[#This Row],[Result]]&lt;0.5,1,0),0)</f>
        <v>0</v>
      </c>
      <c r="AK505" s="2">
        <f>IF(AND(Games[[#This Row],[Type]]="P",Games[[#This Row],[Round]]=4),IF(Games[[#This Row],[Result]]&gt;0.5,1,0),0)</f>
        <v>0</v>
      </c>
      <c r="AL505" s="2">
        <f>IF(AND(Games[[#This Row],[Type]]="P",Games[[#This Row],[Round]]=4),IF(Games[[#This Row],[Result]]&lt;0.5,1,0),0)</f>
        <v>0</v>
      </c>
    </row>
    <row r="506" spans="1:38" x14ac:dyDescent="0.35">
      <c r="A506" s="10">
        <v>37481</v>
      </c>
      <c r="B506" s="2">
        <v>2002</v>
      </c>
      <c r="C506" s="2">
        <f>COUNTIFS(Games[Team],Games[[#This Row],[Team]],Games[Season],Games[[#This Row],[Season]],Games[Date],"&lt;=" &amp; Games[[#This Row],[Date]])</f>
        <v>32</v>
      </c>
      <c r="D506" s="2" t="s">
        <v>23</v>
      </c>
      <c r="E506" s="2" t="s">
        <v>29</v>
      </c>
      <c r="F506" s="1" t="s">
        <v>77</v>
      </c>
      <c r="G506" s="1" t="s">
        <v>83</v>
      </c>
      <c r="H506" s="1" t="s">
        <v>16</v>
      </c>
      <c r="I506" s="2" cm="1">
        <f t="array" ref="I5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6" s="2" cm="1">
        <f t="array" ref="J5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6" s="2">
        <f>Games[[#This Row],[DaysOff]]-Games[[#This Row],[OppDaysOff]]</f>
        <v>0</v>
      </c>
      <c r="L506" s="2">
        <f>Games[[#This Row],[OppDaysOff]]-Games[[#This Row],[DaysOff]]</f>
        <v>0</v>
      </c>
      <c r="M506" s="16">
        <f>MAX(-16, MIN(16, Games[[#This Row],[RestDiff]]*8))</f>
        <v>0</v>
      </c>
      <c r="N506" s="16">
        <f>MAX(-16, MIN(16, Games[[#This Row],[OppRestDiff]]*8))</f>
        <v>0</v>
      </c>
      <c r="O506" s="4" cm="1">
        <f t="array" ref="O5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1387.9252728671424</v>
      </c>
      <c r="P506" s="4" cm="1">
        <f t="array" ref="P5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1486.9371879246164</v>
      </c>
      <c r="Q506" s="4">
        <f>1/(1+10^(((Games[[#This Row],[OppPreGmRate]]+IF(Games[[#This Row],[HomeAway]]="A",HCA,0)+Games[[#This Row],[OppRestAdj]])-(Games[[#This Row],[PreGmRate]]+IF(Games[[#This Row],[HomeAway]]="H",HCA,0)+Games[[#This Row],[RestAdj]]))/400))</f>
        <v>0.2585533281409636</v>
      </c>
      <c r="R506" s="1">
        <v>56</v>
      </c>
      <c r="S506" s="1">
        <v>61</v>
      </c>
      <c r="T506" s="1">
        <v>0</v>
      </c>
      <c r="U506" s="16">
        <f>Games[[#This Row],[PointsFor]]-Games[[#This Row],[PointsAgainst]]</f>
        <v>-5</v>
      </c>
      <c r="V506" s="16">
        <f>IF(Games[[#This Row],[MOV]]&gt;0,1,IF(Games[[#This Row],[MOV]]=0,0.5,0))</f>
        <v>0</v>
      </c>
      <c r="W506" s="4">
        <f>((ABS(Games[[#This Row],[MOV]])+5)^0.6)/(12+0.01*(ABS(Games[[#This Row],[PreGmRate]]-Games[[#This Row],[OppPreGmRate]])))*IF(Games[[#This Row],[OT]]=1,0.9,1)</f>
        <v>0.30646922167444729</v>
      </c>
      <c r="X506" s="7" cm="1">
        <f t="array" ref="X5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6" s="9">
        <f>MAX(kmin, kmax - 0.15 * MIN(Games[[#This Row],[GamesPlayed]], 82))</f>
        <v>71.2</v>
      </c>
      <c r="Z506" s="4">
        <f>Games[[#This Row],[K]]*Games[[#This Row],[POMult]]</f>
        <v>71.2</v>
      </c>
      <c r="AA506" s="4">
        <f>(Games[[#This Row],[Keff]]*Games[[#This Row],[MOVMult]])*(Games[[#This Row],[Result]]-Games[[#This Row],[ExpectedWin%]])</f>
        <v>-5.6417909712529744</v>
      </c>
      <c r="AB506" s="4">
        <f>Games[[#This Row],[PreGmRate]]+Games[[#This Row],[RatingChange]]</f>
        <v>1382.2834818958895</v>
      </c>
      <c r="AC506" s="2">
        <f>IF(Games[[#This Row],[Type]]="R",IF(Games[[#This Row],[Result]]&gt;0.5,1,0),0)</f>
        <v>0</v>
      </c>
      <c r="AD506" s="2">
        <f>IF(Games[[#This Row],[Type]]="R",IF(Games[[#This Row],[Result]]&lt;0.5,1,0),0)</f>
        <v>1</v>
      </c>
      <c r="AE506" s="2">
        <f>IF(AND(Games[[#This Row],[Type]]="P",Games[[#This Row],[Round]]=1),IF(Games[[#This Row],[Result]]&gt;0.5,1,0),0)</f>
        <v>0</v>
      </c>
      <c r="AF506" s="2">
        <f>IF(AND(Games[[#This Row],[Type]]="P",Games[[#This Row],[Round]]=1),IF(Games[[#This Row],[Result]]&lt;0.5,1,0),0)</f>
        <v>0</v>
      </c>
      <c r="AG506" s="2">
        <f>IF(AND(Games[[#This Row],[Type]]="P",Games[[#This Row],[Round]]=2),IF(Games[[#This Row],[Result]]&gt;0.5,1,0),0)</f>
        <v>0</v>
      </c>
      <c r="AH506" s="2">
        <f>IF(AND(Games[[#This Row],[Type]]="P",Games[[#This Row],[Round]]=2),IF(Games[[#This Row],[Result]]&lt;0.5,1,0),0)</f>
        <v>0</v>
      </c>
      <c r="AI506" s="2">
        <f>IF(AND(Games[[#This Row],[Type]]="P",Games[[#This Row],[Round]]=3),IF(Games[[#This Row],[Result]]&gt;0.5,1,0),0)</f>
        <v>0</v>
      </c>
      <c r="AJ506" s="2">
        <f>IF(AND(Games[[#This Row],[Type]]="P",Games[[#This Row],[Round]]=3),IF(Games[[#This Row],[Result]]&lt;0.5,1,0),0)</f>
        <v>0</v>
      </c>
      <c r="AK506" s="2">
        <f>IF(AND(Games[[#This Row],[Type]]="P",Games[[#This Row],[Round]]=4),IF(Games[[#This Row],[Result]]&gt;0.5,1,0),0)</f>
        <v>0</v>
      </c>
      <c r="AL506" s="2">
        <f>IF(AND(Games[[#This Row],[Type]]="P",Games[[#This Row],[Round]]=4),IF(Games[[#This Row],[Result]]&lt;0.5,1,0),0)</f>
        <v>0</v>
      </c>
    </row>
    <row r="507" spans="1:38" x14ac:dyDescent="0.35">
      <c r="A507" s="10">
        <v>37481</v>
      </c>
      <c r="B507" s="2">
        <v>2002</v>
      </c>
      <c r="C507" s="2">
        <f>COUNTIFS(Games[Team],Games[[#This Row],[Team]],Games[Season],Games[[#This Row],[Season]],Games[Date],"&lt;=" &amp; Games[[#This Row],[Date]])</f>
        <v>32</v>
      </c>
      <c r="D507" s="2" t="s">
        <v>23</v>
      </c>
      <c r="E507" s="2" t="s">
        <v>29</v>
      </c>
      <c r="F507" s="1" t="s">
        <v>83</v>
      </c>
      <c r="G507" s="1" t="s">
        <v>77</v>
      </c>
      <c r="H507" s="1" t="s">
        <v>15</v>
      </c>
      <c r="I507" s="2" cm="1">
        <f t="array" ref="I5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7" s="2" cm="1">
        <f t="array" ref="J5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7" s="2">
        <f>Games[[#This Row],[DaysOff]]-Games[[#This Row],[OppDaysOff]]</f>
        <v>0</v>
      </c>
      <c r="L507" s="2">
        <f>Games[[#This Row],[OppDaysOff]]-Games[[#This Row],[DaysOff]]</f>
        <v>0</v>
      </c>
      <c r="M507" s="16">
        <f>MAX(-16, MIN(16, Games[[#This Row],[RestDiff]]*8))</f>
        <v>0</v>
      </c>
      <c r="N507" s="16">
        <f>MAX(-16, MIN(16, Games[[#This Row],[OppRestDiff]]*8))</f>
        <v>0</v>
      </c>
      <c r="O507" s="4" cm="1">
        <f t="array" ref="O5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1486.9371879246164</v>
      </c>
      <c r="P507" s="4" cm="1">
        <f t="array" ref="P5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1387.9252728671424</v>
      </c>
      <c r="Q507" s="4">
        <f>1/(1+10^(((Games[[#This Row],[OppPreGmRate]]+IF(Games[[#This Row],[HomeAway]]="A",HCA,0)+Games[[#This Row],[OppRestAdj]])-(Games[[#This Row],[PreGmRate]]+IF(Games[[#This Row],[HomeAway]]="H",HCA,0)+Games[[#This Row],[RestAdj]]))/400))</f>
        <v>0.74144667185903645</v>
      </c>
      <c r="R507" s="1">
        <v>61</v>
      </c>
      <c r="S507" s="1">
        <v>56</v>
      </c>
      <c r="T507" s="1">
        <v>0</v>
      </c>
      <c r="U507" s="16">
        <f>Games[[#This Row],[PointsFor]]-Games[[#This Row],[PointsAgainst]]</f>
        <v>5</v>
      </c>
      <c r="V507" s="16">
        <f>IF(Games[[#This Row],[MOV]]&gt;0,1,IF(Games[[#This Row],[MOV]]=0,0.5,0))</f>
        <v>1</v>
      </c>
      <c r="W507" s="4">
        <f>((ABS(Games[[#This Row],[MOV]])+5)^0.6)/(12+0.01*(ABS(Games[[#This Row],[PreGmRate]]-Games[[#This Row],[OppPreGmRate]])))*IF(Games[[#This Row],[OT]]=1,0.9,1)</f>
        <v>0.30646922167444729</v>
      </c>
      <c r="X507" s="7" cm="1">
        <f t="array" ref="X5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7" s="9">
        <f>MAX(kmin, kmax - 0.15 * MIN(Games[[#This Row],[GamesPlayed]], 82))</f>
        <v>71.2</v>
      </c>
      <c r="Z507" s="4">
        <f>Games[[#This Row],[K]]*Games[[#This Row],[POMult]]</f>
        <v>71.2</v>
      </c>
      <c r="AA507" s="4">
        <f>(Games[[#This Row],[Keff]]*Games[[#This Row],[MOVMult]])*(Games[[#This Row],[Result]]-Games[[#This Row],[ExpectedWin%]])</f>
        <v>5.6417909712529735</v>
      </c>
      <c r="AB507" s="4">
        <f>Games[[#This Row],[PreGmRate]]+Games[[#This Row],[RatingChange]]</f>
        <v>1492.5789788958693</v>
      </c>
      <c r="AC507" s="2">
        <f>IF(Games[[#This Row],[Type]]="R",IF(Games[[#This Row],[Result]]&gt;0.5,1,0),0)</f>
        <v>1</v>
      </c>
      <c r="AD507" s="2">
        <f>IF(Games[[#This Row],[Type]]="R",IF(Games[[#This Row],[Result]]&lt;0.5,1,0),0)</f>
        <v>0</v>
      </c>
      <c r="AE507" s="2">
        <f>IF(AND(Games[[#This Row],[Type]]="P",Games[[#This Row],[Round]]=1),IF(Games[[#This Row],[Result]]&gt;0.5,1,0),0)</f>
        <v>0</v>
      </c>
      <c r="AF507" s="2">
        <f>IF(AND(Games[[#This Row],[Type]]="P",Games[[#This Row],[Round]]=1),IF(Games[[#This Row],[Result]]&lt;0.5,1,0),0)</f>
        <v>0</v>
      </c>
      <c r="AG507" s="2">
        <f>IF(AND(Games[[#This Row],[Type]]="P",Games[[#This Row],[Round]]=2),IF(Games[[#This Row],[Result]]&gt;0.5,1,0),0)</f>
        <v>0</v>
      </c>
      <c r="AH507" s="2">
        <f>IF(AND(Games[[#This Row],[Type]]="P",Games[[#This Row],[Round]]=2),IF(Games[[#This Row],[Result]]&lt;0.5,1,0),0)</f>
        <v>0</v>
      </c>
      <c r="AI507" s="2">
        <f>IF(AND(Games[[#This Row],[Type]]="P",Games[[#This Row],[Round]]=3),IF(Games[[#This Row],[Result]]&gt;0.5,1,0),0)</f>
        <v>0</v>
      </c>
      <c r="AJ507" s="2">
        <f>IF(AND(Games[[#This Row],[Type]]="P",Games[[#This Row],[Round]]=3),IF(Games[[#This Row],[Result]]&lt;0.5,1,0),0)</f>
        <v>0</v>
      </c>
      <c r="AK507" s="2">
        <f>IF(AND(Games[[#This Row],[Type]]="P",Games[[#This Row],[Round]]=4),IF(Games[[#This Row],[Result]]&gt;0.5,1,0),0)</f>
        <v>0</v>
      </c>
      <c r="AL507" s="2">
        <f>IF(AND(Games[[#This Row],[Type]]="P",Games[[#This Row],[Round]]=4),IF(Games[[#This Row],[Result]]&lt;0.5,1,0),0)</f>
        <v>0</v>
      </c>
    </row>
    <row r="508" spans="1:38" x14ac:dyDescent="0.35">
      <c r="A508" s="10">
        <v>37481</v>
      </c>
      <c r="B508" s="2">
        <v>2002</v>
      </c>
      <c r="C508" s="2">
        <f>COUNTIFS(Games[Team],Games[[#This Row],[Team]],Games[Season],Games[[#This Row],[Season]],Games[Date],"&lt;=" &amp; Games[[#This Row],[Date]])</f>
        <v>32</v>
      </c>
      <c r="D508" s="2" t="s">
        <v>23</v>
      </c>
      <c r="E508" s="2" t="s">
        <v>29</v>
      </c>
      <c r="F508" s="1" t="s">
        <v>66</v>
      </c>
      <c r="G508" s="1" t="s">
        <v>79</v>
      </c>
      <c r="H508" s="1" t="s">
        <v>16</v>
      </c>
      <c r="I508" s="2" cm="1">
        <f t="array" ref="I5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8" s="2" cm="1">
        <f t="array" ref="J5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8" s="2">
        <f>Games[[#This Row],[DaysOff]]-Games[[#This Row],[OppDaysOff]]</f>
        <v>0</v>
      </c>
      <c r="L508" s="2">
        <f>Games[[#This Row],[OppDaysOff]]-Games[[#This Row],[DaysOff]]</f>
        <v>0</v>
      </c>
      <c r="M508" s="16">
        <f>MAX(-16, MIN(16, Games[[#This Row],[RestDiff]]*8))</f>
        <v>0</v>
      </c>
      <c r="N508" s="16">
        <f>MAX(-16, MIN(16, Games[[#This Row],[OppRestDiff]]*8))</f>
        <v>0</v>
      </c>
      <c r="O508" s="4" cm="1">
        <f t="array" ref="O5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1544.9796960779197</v>
      </c>
      <c r="P508" s="4" cm="1">
        <f t="array" ref="P5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1475.8494843543167</v>
      </c>
      <c r="Q508" s="4">
        <f>1/(1+10^(((Games[[#This Row],[OppPreGmRate]]+IF(Games[[#This Row],[HomeAway]]="A",HCA,0)+Games[[#This Row],[OppRestAdj]])-(Games[[#This Row],[PreGmRate]]+IF(Games[[#This Row],[HomeAway]]="H",HCA,0)+Games[[#This Row],[RestAdj]]))/400))</f>
        <v>0.47861371084700255</v>
      </c>
      <c r="R508" s="1">
        <v>63</v>
      </c>
      <c r="S508" s="1">
        <v>70</v>
      </c>
      <c r="T508" s="1">
        <v>0</v>
      </c>
      <c r="U508" s="16">
        <f>Games[[#This Row],[PointsFor]]-Games[[#This Row],[PointsAgainst]]</f>
        <v>-7</v>
      </c>
      <c r="V508" s="16">
        <f>IF(Games[[#This Row],[MOV]]&gt;0,1,IF(Games[[#This Row],[MOV]]=0,0.5,0))</f>
        <v>0</v>
      </c>
      <c r="W508" s="4">
        <f>((ABS(Games[[#This Row],[MOV]])+5)^0.6)/(12+0.01*(ABS(Games[[#This Row],[PreGmRate]]-Games[[#This Row],[OppPreGmRate]])))*IF(Games[[#This Row],[OT]]=1,0.9,1)</f>
        <v>0.34994723384719834</v>
      </c>
      <c r="X508" s="7" cm="1">
        <f t="array" ref="X5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8" s="9">
        <f>MAX(kmin, kmax - 0.15 * MIN(Games[[#This Row],[GamesPlayed]], 82))</f>
        <v>71.2</v>
      </c>
      <c r="Z508" s="4">
        <f>Games[[#This Row],[K]]*Games[[#This Row],[POMult]]</f>
        <v>71.2</v>
      </c>
      <c r="AA508" s="4">
        <f>(Games[[#This Row],[Keff]]*Games[[#This Row],[MOVMult]])*(Games[[#This Row],[Result]]-Games[[#This Row],[ExpectedWin%]])</f>
        <v>-11.925255546488296</v>
      </c>
      <c r="AB508" s="4">
        <f>Games[[#This Row],[PreGmRate]]+Games[[#This Row],[RatingChange]]</f>
        <v>1533.0544405314315</v>
      </c>
      <c r="AC508" s="2">
        <f>IF(Games[[#This Row],[Type]]="R",IF(Games[[#This Row],[Result]]&gt;0.5,1,0),0)</f>
        <v>0</v>
      </c>
      <c r="AD508" s="2">
        <f>IF(Games[[#This Row],[Type]]="R",IF(Games[[#This Row],[Result]]&lt;0.5,1,0),0)</f>
        <v>1</v>
      </c>
      <c r="AE508" s="2">
        <f>IF(AND(Games[[#This Row],[Type]]="P",Games[[#This Row],[Round]]=1),IF(Games[[#This Row],[Result]]&gt;0.5,1,0),0)</f>
        <v>0</v>
      </c>
      <c r="AF508" s="2">
        <f>IF(AND(Games[[#This Row],[Type]]="P",Games[[#This Row],[Round]]=1),IF(Games[[#This Row],[Result]]&lt;0.5,1,0),0)</f>
        <v>0</v>
      </c>
      <c r="AG508" s="2">
        <f>IF(AND(Games[[#This Row],[Type]]="P",Games[[#This Row],[Round]]=2),IF(Games[[#This Row],[Result]]&gt;0.5,1,0),0)</f>
        <v>0</v>
      </c>
      <c r="AH508" s="2">
        <f>IF(AND(Games[[#This Row],[Type]]="P",Games[[#This Row],[Round]]=2),IF(Games[[#This Row],[Result]]&lt;0.5,1,0),0)</f>
        <v>0</v>
      </c>
      <c r="AI508" s="2">
        <f>IF(AND(Games[[#This Row],[Type]]="P",Games[[#This Row],[Round]]=3),IF(Games[[#This Row],[Result]]&gt;0.5,1,0),0)</f>
        <v>0</v>
      </c>
      <c r="AJ508" s="2">
        <f>IF(AND(Games[[#This Row],[Type]]="P",Games[[#This Row],[Round]]=3),IF(Games[[#This Row],[Result]]&lt;0.5,1,0),0)</f>
        <v>0</v>
      </c>
      <c r="AK508" s="2">
        <f>IF(AND(Games[[#This Row],[Type]]="P",Games[[#This Row],[Round]]=4),IF(Games[[#This Row],[Result]]&gt;0.5,1,0),0)</f>
        <v>0</v>
      </c>
      <c r="AL508" s="2">
        <f>IF(AND(Games[[#This Row],[Type]]="P",Games[[#This Row],[Round]]=4),IF(Games[[#This Row],[Result]]&lt;0.5,1,0),0)</f>
        <v>0</v>
      </c>
    </row>
    <row r="509" spans="1:38" x14ac:dyDescent="0.35">
      <c r="A509" s="10">
        <v>37481</v>
      </c>
      <c r="B509" s="2">
        <v>2002</v>
      </c>
      <c r="C509" s="2">
        <f>COUNTIFS(Games[Team],Games[[#This Row],[Team]],Games[Season],Games[[#This Row],[Season]],Games[Date],"&lt;=" &amp; Games[[#This Row],[Date]])</f>
        <v>32</v>
      </c>
      <c r="D509" s="2" t="s">
        <v>23</v>
      </c>
      <c r="E509" s="2" t="s">
        <v>29</v>
      </c>
      <c r="F509" s="1" t="s">
        <v>79</v>
      </c>
      <c r="G509" s="1" t="s">
        <v>66</v>
      </c>
      <c r="H509" s="1" t="s">
        <v>15</v>
      </c>
      <c r="I509" s="2" cm="1">
        <f t="array" ref="I5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9" s="2" cm="1">
        <f t="array" ref="J5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9" s="2">
        <f>Games[[#This Row],[DaysOff]]-Games[[#This Row],[OppDaysOff]]</f>
        <v>0</v>
      </c>
      <c r="L509" s="2">
        <f>Games[[#This Row],[OppDaysOff]]-Games[[#This Row],[DaysOff]]</f>
        <v>0</v>
      </c>
      <c r="M509" s="16">
        <f>MAX(-16, MIN(16, Games[[#This Row],[RestDiff]]*8))</f>
        <v>0</v>
      </c>
      <c r="N509" s="16">
        <f>MAX(-16, MIN(16, Games[[#This Row],[OppRestDiff]]*8))</f>
        <v>0</v>
      </c>
      <c r="O509" s="4" cm="1">
        <f t="array" ref="O5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1475.8494843543167</v>
      </c>
      <c r="P509" s="4" cm="1">
        <f t="array" ref="P5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1544.9796960779197</v>
      </c>
      <c r="Q509" s="4">
        <f>1/(1+10^(((Games[[#This Row],[OppPreGmRate]]+IF(Games[[#This Row],[HomeAway]]="A",HCA,0)+Games[[#This Row],[OppRestAdj]])-(Games[[#This Row],[PreGmRate]]+IF(Games[[#This Row],[HomeAway]]="H",HCA,0)+Games[[#This Row],[RestAdj]]))/400))</f>
        <v>0.52138628915299745</v>
      </c>
      <c r="R509" s="1">
        <v>70</v>
      </c>
      <c r="S509" s="1">
        <v>63</v>
      </c>
      <c r="T509" s="1">
        <v>0</v>
      </c>
      <c r="U509" s="16">
        <f>Games[[#This Row],[PointsFor]]-Games[[#This Row],[PointsAgainst]]</f>
        <v>7</v>
      </c>
      <c r="V509" s="16">
        <f>IF(Games[[#This Row],[MOV]]&gt;0,1,IF(Games[[#This Row],[MOV]]=0,0.5,0))</f>
        <v>1</v>
      </c>
      <c r="W509" s="4">
        <f>((ABS(Games[[#This Row],[MOV]])+5)^0.6)/(12+0.01*(ABS(Games[[#This Row],[PreGmRate]]-Games[[#This Row],[OppPreGmRate]])))*IF(Games[[#This Row],[OT]]=1,0.9,1)</f>
        <v>0.34994723384719834</v>
      </c>
      <c r="X509" s="7" cm="1">
        <f t="array" ref="X5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9" s="9">
        <f>MAX(kmin, kmax - 0.15 * MIN(Games[[#This Row],[GamesPlayed]], 82))</f>
        <v>71.2</v>
      </c>
      <c r="Z509" s="4">
        <f>Games[[#This Row],[K]]*Games[[#This Row],[POMult]]</f>
        <v>71.2</v>
      </c>
      <c r="AA509" s="4">
        <f>(Games[[#This Row],[Keff]]*Games[[#This Row],[MOVMult]])*(Games[[#This Row],[Result]]-Games[[#This Row],[ExpectedWin%]])</f>
        <v>11.925255546488296</v>
      </c>
      <c r="AB509" s="4">
        <f>Games[[#This Row],[PreGmRate]]+Games[[#This Row],[RatingChange]]</f>
        <v>1487.7747399008049</v>
      </c>
      <c r="AC509" s="2">
        <f>IF(Games[[#This Row],[Type]]="R",IF(Games[[#This Row],[Result]]&gt;0.5,1,0),0)</f>
        <v>1</v>
      </c>
      <c r="AD509" s="2">
        <f>IF(Games[[#This Row],[Type]]="R",IF(Games[[#This Row],[Result]]&lt;0.5,1,0),0)</f>
        <v>0</v>
      </c>
      <c r="AE509" s="2">
        <f>IF(AND(Games[[#This Row],[Type]]="P",Games[[#This Row],[Round]]=1),IF(Games[[#This Row],[Result]]&gt;0.5,1,0),0)</f>
        <v>0</v>
      </c>
      <c r="AF509" s="2">
        <f>IF(AND(Games[[#This Row],[Type]]="P",Games[[#This Row],[Round]]=1),IF(Games[[#This Row],[Result]]&lt;0.5,1,0),0)</f>
        <v>0</v>
      </c>
      <c r="AG509" s="2">
        <f>IF(AND(Games[[#This Row],[Type]]="P",Games[[#This Row],[Round]]=2),IF(Games[[#This Row],[Result]]&gt;0.5,1,0),0)</f>
        <v>0</v>
      </c>
      <c r="AH509" s="2">
        <f>IF(AND(Games[[#This Row],[Type]]="P",Games[[#This Row],[Round]]=2),IF(Games[[#This Row],[Result]]&lt;0.5,1,0),0)</f>
        <v>0</v>
      </c>
      <c r="AI509" s="2">
        <f>IF(AND(Games[[#This Row],[Type]]="P",Games[[#This Row],[Round]]=3),IF(Games[[#This Row],[Result]]&gt;0.5,1,0),0)</f>
        <v>0</v>
      </c>
      <c r="AJ509" s="2">
        <f>IF(AND(Games[[#This Row],[Type]]="P",Games[[#This Row],[Round]]=3),IF(Games[[#This Row],[Result]]&lt;0.5,1,0),0)</f>
        <v>0</v>
      </c>
      <c r="AK509" s="2">
        <f>IF(AND(Games[[#This Row],[Type]]="P",Games[[#This Row],[Round]]=4),IF(Games[[#This Row],[Result]]&gt;0.5,1,0),0)</f>
        <v>0</v>
      </c>
      <c r="AL509" s="2">
        <f>IF(AND(Games[[#This Row],[Type]]="P",Games[[#This Row],[Round]]=4),IF(Games[[#This Row],[Result]]&lt;0.5,1,0),0)</f>
        <v>0</v>
      </c>
    </row>
    <row r="510" spans="1:38" x14ac:dyDescent="0.35">
      <c r="A510" s="10">
        <v>37481</v>
      </c>
      <c r="B510" s="2">
        <v>2002</v>
      </c>
      <c r="C510" s="2">
        <f>COUNTIFS(Games[Team],Games[[#This Row],[Team]],Games[Season],Games[[#This Row],[Season]],Games[Date],"&lt;=" &amp; Games[[#This Row],[Date]])</f>
        <v>32</v>
      </c>
      <c r="D510" s="2" t="s">
        <v>23</v>
      </c>
      <c r="E510" s="2" t="s">
        <v>29</v>
      </c>
      <c r="F510" s="1" t="s">
        <v>71</v>
      </c>
      <c r="G510" s="1" t="s">
        <v>44</v>
      </c>
      <c r="H510" s="1" t="s">
        <v>16</v>
      </c>
      <c r="I510" s="2" cm="1">
        <f t="array" ref="I5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0" s="2" cm="1">
        <f t="array" ref="J5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0" s="2">
        <f>Games[[#This Row],[DaysOff]]-Games[[#This Row],[OppDaysOff]]</f>
        <v>0</v>
      </c>
      <c r="L510" s="2">
        <f>Games[[#This Row],[OppDaysOff]]-Games[[#This Row],[DaysOff]]</f>
        <v>0</v>
      </c>
      <c r="M510" s="16">
        <f>MAX(-16, MIN(16, Games[[#This Row],[RestDiff]]*8))</f>
        <v>0</v>
      </c>
      <c r="N510" s="16">
        <f>MAX(-16, MIN(16, Games[[#This Row],[OppRestDiff]]*8))</f>
        <v>0</v>
      </c>
      <c r="O510" s="4" cm="1">
        <f t="array" ref="O5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1686.7080480570387</v>
      </c>
      <c r="P510" s="4" cm="1">
        <f t="array" ref="P5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1371.4121959994261</v>
      </c>
      <c r="Q510" s="4">
        <f>1/(1+10^(((Games[[#This Row],[OppPreGmRate]]+IF(Games[[#This Row],[HomeAway]]="A",HCA,0)+Games[[#This Row],[OppRestAdj]])-(Games[[#This Row],[PreGmRate]]+IF(Games[[#This Row],[HomeAway]]="H",HCA,0)+Games[[#This Row],[RestAdj]]))/400))</f>
        <v>0.79107971170891878</v>
      </c>
      <c r="R510" s="1">
        <v>63</v>
      </c>
      <c r="S510" s="1">
        <v>56</v>
      </c>
      <c r="T510" s="1">
        <v>0</v>
      </c>
      <c r="U510" s="16">
        <f>Games[[#This Row],[PointsFor]]-Games[[#This Row],[PointsAgainst]]</f>
        <v>7</v>
      </c>
      <c r="V510" s="16">
        <f>IF(Games[[#This Row],[MOV]]&gt;0,1,IF(Games[[#This Row],[MOV]]=0,0.5,0))</f>
        <v>1</v>
      </c>
      <c r="W510" s="4">
        <f>((ABS(Games[[#This Row],[MOV]])+5)^0.6)/(12+0.01*(ABS(Games[[#This Row],[PreGmRate]]-Games[[#This Row],[OppPreGmRate]])))*IF(Games[[#This Row],[OT]]=1,0.9,1)</f>
        <v>0.2930969595023335</v>
      </c>
      <c r="X510" s="7" cm="1">
        <f t="array" ref="X5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0" s="9">
        <f>MAX(kmin, kmax - 0.15 * MIN(Games[[#This Row],[GamesPlayed]], 82))</f>
        <v>71.2</v>
      </c>
      <c r="Z510" s="4">
        <f>Games[[#This Row],[K]]*Games[[#This Row],[POMult]]</f>
        <v>71.2</v>
      </c>
      <c r="AA510" s="4">
        <f>(Games[[#This Row],[Keff]]*Games[[#This Row],[MOVMult]])*(Games[[#This Row],[Result]]-Games[[#This Row],[ExpectedWin%]])</f>
        <v>4.3598537708844418</v>
      </c>
      <c r="AB510" s="4">
        <f>Games[[#This Row],[PreGmRate]]+Games[[#This Row],[RatingChange]]</f>
        <v>1691.0679018279232</v>
      </c>
      <c r="AC510" s="2">
        <f>IF(Games[[#This Row],[Type]]="R",IF(Games[[#This Row],[Result]]&gt;0.5,1,0),0)</f>
        <v>1</v>
      </c>
      <c r="AD510" s="2">
        <f>IF(Games[[#This Row],[Type]]="R",IF(Games[[#This Row],[Result]]&lt;0.5,1,0),0)</f>
        <v>0</v>
      </c>
      <c r="AE510" s="2">
        <f>IF(AND(Games[[#This Row],[Type]]="P",Games[[#This Row],[Round]]=1),IF(Games[[#This Row],[Result]]&gt;0.5,1,0),0)</f>
        <v>0</v>
      </c>
      <c r="AF510" s="2">
        <f>IF(AND(Games[[#This Row],[Type]]="P",Games[[#This Row],[Round]]=1),IF(Games[[#This Row],[Result]]&lt;0.5,1,0),0)</f>
        <v>0</v>
      </c>
      <c r="AG510" s="2">
        <f>IF(AND(Games[[#This Row],[Type]]="P",Games[[#This Row],[Round]]=2),IF(Games[[#This Row],[Result]]&gt;0.5,1,0),0)</f>
        <v>0</v>
      </c>
      <c r="AH510" s="2">
        <f>IF(AND(Games[[#This Row],[Type]]="P",Games[[#This Row],[Round]]=2),IF(Games[[#This Row],[Result]]&lt;0.5,1,0),0)</f>
        <v>0</v>
      </c>
      <c r="AI510" s="2">
        <f>IF(AND(Games[[#This Row],[Type]]="P",Games[[#This Row],[Round]]=3),IF(Games[[#This Row],[Result]]&gt;0.5,1,0),0)</f>
        <v>0</v>
      </c>
      <c r="AJ510" s="2">
        <f>IF(AND(Games[[#This Row],[Type]]="P",Games[[#This Row],[Round]]=3),IF(Games[[#This Row],[Result]]&lt;0.5,1,0),0)</f>
        <v>0</v>
      </c>
      <c r="AK510" s="2">
        <f>IF(AND(Games[[#This Row],[Type]]="P",Games[[#This Row],[Round]]=4),IF(Games[[#This Row],[Result]]&gt;0.5,1,0),0)</f>
        <v>0</v>
      </c>
      <c r="AL510" s="2">
        <f>IF(AND(Games[[#This Row],[Type]]="P",Games[[#This Row],[Round]]=4),IF(Games[[#This Row],[Result]]&lt;0.5,1,0),0)</f>
        <v>0</v>
      </c>
    </row>
    <row r="511" spans="1:38" x14ac:dyDescent="0.35">
      <c r="A511" s="10">
        <v>37481</v>
      </c>
      <c r="B511" s="2">
        <v>2002</v>
      </c>
      <c r="C511" s="2">
        <f>COUNTIFS(Games[Team],Games[[#This Row],[Team]],Games[Season],Games[[#This Row],[Season]],Games[Date],"&lt;=" &amp; Games[[#This Row],[Date]])</f>
        <v>32</v>
      </c>
      <c r="D511" s="2" t="s">
        <v>23</v>
      </c>
      <c r="E511" s="2" t="s">
        <v>29</v>
      </c>
      <c r="F511" s="1" t="s">
        <v>44</v>
      </c>
      <c r="G511" s="1" t="s">
        <v>71</v>
      </c>
      <c r="H511" s="1" t="s">
        <v>15</v>
      </c>
      <c r="I511" s="2" cm="1">
        <f t="array" ref="I5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1" s="2" cm="1">
        <f t="array" ref="J5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1" s="2">
        <f>Games[[#This Row],[DaysOff]]-Games[[#This Row],[OppDaysOff]]</f>
        <v>0</v>
      </c>
      <c r="L511" s="2">
        <f>Games[[#This Row],[OppDaysOff]]-Games[[#This Row],[DaysOff]]</f>
        <v>0</v>
      </c>
      <c r="M511" s="16">
        <f>MAX(-16, MIN(16, Games[[#This Row],[RestDiff]]*8))</f>
        <v>0</v>
      </c>
      <c r="N511" s="16">
        <f>MAX(-16, MIN(16, Games[[#This Row],[OppRestDiff]]*8))</f>
        <v>0</v>
      </c>
      <c r="O511" s="4" cm="1">
        <f t="array" ref="O5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1371.4121959994261</v>
      </c>
      <c r="P511" s="4" cm="1">
        <f t="array" ref="P5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1686.7080480570387</v>
      </c>
      <c r="Q511" s="4">
        <f>1/(1+10^(((Games[[#This Row],[OppPreGmRate]]+IF(Games[[#This Row],[HomeAway]]="A",HCA,0)+Games[[#This Row],[OppRestAdj]])-(Games[[#This Row],[PreGmRate]]+IF(Games[[#This Row],[HomeAway]]="H",HCA,0)+Games[[#This Row],[RestAdj]]))/400))</f>
        <v>0.20892028829108122</v>
      </c>
      <c r="R511" s="1">
        <v>56</v>
      </c>
      <c r="S511" s="1">
        <v>63</v>
      </c>
      <c r="T511" s="1">
        <v>0</v>
      </c>
      <c r="U511" s="16">
        <f>Games[[#This Row],[PointsFor]]-Games[[#This Row],[PointsAgainst]]</f>
        <v>-7</v>
      </c>
      <c r="V511" s="16">
        <f>IF(Games[[#This Row],[MOV]]&gt;0,1,IF(Games[[#This Row],[MOV]]=0,0.5,0))</f>
        <v>0</v>
      </c>
      <c r="W511" s="4">
        <f>((ABS(Games[[#This Row],[MOV]])+5)^0.6)/(12+0.01*(ABS(Games[[#This Row],[PreGmRate]]-Games[[#This Row],[OppPreGmRate]])))*IF(Games[[#This Row],[OT]]=1,0.9,1)</f>
        <v>0.2930969595023335</v>
      </c>
      <c r="X511" s="7" cm="1">
        <f t="array" ref="X5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1" s="9">
        <f>MAX(kmin, kmax - 0.15 * MIN(Games[[#This Row],[GamesPlayed]], 82))</f>
        <v>71.2</v>
      </c>
      <c r="Z511" s="4">
        <f>Games[[#This Row],[K]]*Games[[#This Row],[POMult]]</f>
        <v>71.2</v>
      </c>
      <c r="AA511" s="4">
        <f>(Games[[#This Row],[Keff]]*Games[[#This Row],[MOVMult]])*(Games[[#This Row],[Result]]-Games[[#This Row],[ExpectedWin%]])</f>
        <v>-4.3598537708844418</v>
      </c>
      <c r="AB511" s="4">
        <f>Games[[#This Row],[PreGmRate]]+Games[[#This Row],[RatingChange]]</f>
        <v>1367.0523422285416</v>
      </c>
      <c r="AC511" s="2">
        <f>IF(Games[[#This Row],[Type]]="R",IF(Games[[#This Row],[Result]]&gt;0.5,1,0),0)</f>
        <v>0</v>
      </c>
      <c r="AD511" s="2">
        <f>IF(Games[[#This Row],[Type]]="R",IF(Games[[#This Row],[Result]]&lt;0.5,1,0),0)</f>
        <v>1</v>
      </c>
      <c r="AE511" s="2">
        <f>IF(AND(Games[[#This Row],[Type]]="P",Games[[#This Row],[Round]]=1),IF(Games[[#This Row],[Result]]&gt;0.5,1,0),0)</f>
        <v>0</v>
      </c>
      <c r="AF511" s="2">
        <f>IF(AND(Games[[#This Row],[Type]]="P",Games[[#This Row],[Round]]=1),IF(Games[[#This Row],[Result]]&lt;0.5,1,0),0)</f>
        <v>0</v>
      </c>
      <c r="AG511" s="2">
        <f>IF(AND(Games[[#This Row],[Type]]="P",Games[[#This Row],[Round]]=2),IF(Games[[#This Row],[Result]]&gt;0.5,1,0),0)</f>
        <v>0</v>
      </c>
      <c r="AH511" s="2">
        <f>IF(AND(Games[[#This Row],[Type]]="P",Games[[#This Row],[Round]]=2),IF(Games[[#This Row],[Result]]&lt;0.5,1,0),0)</f>
        <v>0</v>
      </c>
      <c r="AI511" s="2">
        <f>IF(AND(Games[[#This Row],[Type]]="P",Games[[#This Row],[Round]]=3),IF(Games[[#This Row],[Result]]&gt;0.5,1,0),0)</f>
        <v>0</v>
      </c>
      <c r="AJ511" s="2">
        <f>IF(AND(Games[[#This Row],[Type]]="P",Games[[#This Row],[Round]]=3),IF(Games[[#This Row],[Result]]&lt;0.5,1,0),0)</f>
        <v>0</v>
      </c>
      <c r="AK511" s="2">
        <f>IF(AND(Games[[#This Row],[Type]]="P",Games[[#This Row],[Round]]=4),IF(Games[[#This Row],[Result]]&gt;0.5,1,0),0)</f>
        <v>0</v>
      </c>
      <c r="AL511" s="2">
        <f>IF(AND(Games[[#This Row],[Type]]="P",Games[[#This Row],[Round]]=4),IF(Games[[#This Row],[Result]]&lt;0.5,1,0),0)</f>
        <v>0</v>
      </c>
    </row>
    <row r="512" spans="1:38" x14ac:dyDescent="0.35">
      <c r="A512" s="10">
        <v>37481</v>
      </c>
      <c r="B512" s="2">
        <v>2002</v>
      </c>
      <c r="C512" s="2">
        <f>COUNTIFS(Games[Team],Games[[#This Row],[Team]],Games[Season],Games[[#This Row],[Season]],Games[Date],"&lt;=" &amp; Games[[#This Row],[Date]])</f>
        <v>32</v>
      </c>
      <c r="D512" s="2" t="s">
        <v>23</v>
      </c>
      <c r="E512" s="2" t="s">
        <v>29</v>
      </c>
      <c r="F512" s="1" t="s">
        <v>87</v>
      </c>
      <c r="G512" s="1" t="s">
        <v>45</v>
      </c>
      <c r="H512" s="1" t="s">
        <v>16</v>
      </c>
      <c r="I512" s="2" cm="1">
        <f t="array" ref="I5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2" s="2" cm="1">
        <f t="array" ref="J51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2" s="2">
        <f>Games[[#This Row],[DaysOff]]-Games[[#This Row],[OppDaysOff]]</f>
        <v>1</v>
      </c>
      <c r="L512" s="2">
        <f>Games[[#This Row],[OppDaysOff]]-Games[[#This Row],[DaysOff]]</f>
        <v>-1</v>
      </c>
      <c r="M512" s="16">
        <f>MAX(-16, MIN(16, Games[[#This Row],[RestDiff]]*8))</f>
        <v>8</v>
      </c>
      <c r="N512" s="16">
        <f>MAX(-16, MIN(16, Games[[#This Row],[OppRestDiff]]*8))</f>
        <v>-8</v>
      </c>
      <c r="O512" s="4" cm="1">
        <f t="array" ref="O5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1544.8639041248589</v>
      </c>
      <c r="P512" s="4" cm="1">
        <f t="array" ref="P5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1509.1303749504011</v>
      </c>
      <c r="Q512" s="4">
        <f>1/(1+10^(((Games[[#This Row],[OppPreGmRate]]+IF(Games[[#This Row],[HomeAway]]="A",HCA,0)+Games[[#This Row],[OppRestAdj]])-(Games[[#This Row],[PreGmRate]]+IF(Games[[#This Row],[HomeAway]]="H",HCA,0)+Games[[#This Row],[RestAdj]]))/400))</f>
        <v>0.45369785651859551</v>
      </c>
      <c r="R512" s="1">
        <v>51</v>
      </c>
      <c r="S512" s="1">
        <v>59</v>
      </c>
      <c r="T512" s="1">
        <v>0</v>
      </c>
      <c r="U512" s="16">
        <f>Games[[#This Row],[PointsFor]]-Games[[#This Row],[PointsAgainst]]</f>
        <v>-8</v>
      </c>
      <c r="V512" s="16">
        <f>IF(Games[[#This Row],[MOV]]&gt;0,1,IF(Games[[#This Row],[MOV]]=0,0.5,0))</f>
        <v>0</v>
      </c>
      <c r="W512" s="4">
        <f>((ABS(Games[[#This Row],[MOV]])+5)^0.6)/(12+0.01*(ABS(Games[[#This Row],[PreGmRate]]-Games[[#This Row],[OppPreGmRate]])))*IF(Games[[#This Row],[OT]]=1,0.9,1)</f>
        <v>0.37708667038832194</v>
      </c>
      <c r="X512" s="7" cm="1">
        <f t="array" ref="X5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2" s="9">
        <f>MAX(kmin, kmax - 0.15 * MIN(Games[[#This Row],[GamesPlayed]], 82))</f>
        <v>71.2</v>
      </c>
      <c r="Z512" s="4">
        <f>Games[[#This Row],[K]]*Games[[#This Row],[POMult]]</f>
        <v>71.2</v>
      </c>
      <c r="AA512" s="4">
        <f>(Games[[#This Row],[Keff]]*Games[[#This Row],[MOVMult]])*(Games[[#This Row],[Result]]-Games[[#This Row],[ExpectedWin%]])</f>
        <v>-12.181139082276406</v>
      </c>
      <c r="AB512" s="4">
        <f>Games[[#This Row],[PreGmRate]]+Games[[#This Row],[RatingChange]]</f>
        <v>1532.6827650425826</v>
      </c>
      <c r="AC512" s="2">
        <f>IF(Games[[#This Row],[Type]]="R",IF(Games[[#This Row],[Result]]&gt;0.5,1,0),0)</f>
        <v>0</v>
      </c>
      <c r="AD512" s="2">
        <f>IF(Games[[#This Row],[Type]]="R",IF(Games[[#This Row],[Result]]&lt;0.5,1,0),0)</f>
        <v>1</v>
      </c>
      <c r="AE512" s="2">
        <f>IF(AND(Games[[#This Row],[Type]]="P",Games[[#This Row],[Round]]=1),IF(Games[[#This Row],[Result]]&gt;0.5,1,0),0)</f>
        <v>0</v>
      </c>
      <c r="AF512" s="2">
        <f>IF(AND(Games[[#This Row],[Type]]="P",Games[[#This Row],[Round]]=1),IF(Games[[#This Row],[Result]]&lt;0.5,1,0),0)</f>
        <v>0</v>
      </c>
      <c r="AG512" s="2">
        <f>IF(AND(Games[[#This Row],[Type]]="P",Games[[#This Row],[Round]]=2),IF(Games[[#This Row],[Result]]&gt;0.5,1,0),0)</f>
        <v>0</v>
      </c>
      <c r="AH512" s="2">
        <f>IF(AND(Games[[#This Row],[Type]]="P",Games[[#This Row],[Round]]=2),IF(Games[[#This Row],[Result]]&lt;0.5,1,0),0)</f>
        <v>0</v>
      </c>
      <c r="AI512" s="2">
        <f>IF(AND(Games[[#This Row],[Type]]="P",Games[[#This Row],[Round]]=3),IF(Games[[#This Row],[Result]]&gt;0.5,1,0),0)</f>
        <v>0</v>
      </c>
      <c r="AJ512" s="2">
        <f>IF(AND(Games[[#This Row],[Type]]="P",Games[[#This Row],[Round]]=3),IF(Games[[#This Row],[Result]]&lt;0.5,1,0),0)</f>
        <v>0</v>
      </c>
      <c r="AK512" s="2">
        <f>IF(AND(Games[[#This Row],[Type]]="P",Games[[#This Row],[Round]]=4),IF(Games[[#This Row],[Result]]&gt;0.5,1,0),0)</f>
        <v>0</v>
      </c>
      <c r="AL512" s="2">
        <f>IF(AND(Games[[#This Row],[Type]]="P",Games[[#This Row],[Round]]=4),IF(Games[[#This Row],[Result]]&lt;0.5,1,0),0)</f>
        <v>0</v>
      </c>
    </row>
    <row r="513" spans="1:38" x14ac:dyDescent="0.35">
      <c r="A513" s="10">
        <v>37481</v>
      </c>
      <c r="B513" s="2">
        <v>2002</v>
      </c>
      <c r="C513" s="2">
        <f>COUNTIFS(Games[Team],Games[[#This Row],[Team]],Games[Season],Games[[#This Row],[Season]],Games[Date],"&lt;=" &amp; Games[[#This Row],[Date]])</f>
        <v>32</v>
      </c>
      <c r="D513" s="2" t="s">
        <v>23</v>
      </c>
      <c r="E513" s="2" t="s">
        <v>29</v>
      </c>
      <c r="F513" s="1" t="s">
        <v>45</v>
      </c>
      <c r="G513" s="1" t="s">
        <v>87</v>
      </c>
      <c r="H513" s="1" t="s">
        <v>15</v>
      </c>
      <c r="I513" s="2" cm="1">
        <f t="array" ref="I513">IFERROR(
    Games[[#This Row],[Date]]
    - LOOKUP(
        2,
        1/((Games[Team]=Games[[#This Row],[Team]]) * (Games[Date] &lt; Games[[#This Row],[Date]])),
        Games[Date]
    )
    - 1,
Games[[#This Row],[Date]]-$A$2)</f>
        <v>0</v>
      </c>
      <c r="J513" s="2" cm="1">
        <f t="array" ref="J5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3" s="2">
        <f>Games[[#This Row],[DaysOff]]-Games[[#This Row],[OppDaysOff]]</f>
        <v>-1</v>
      </c>
      <c r="L513" s="2">
        <f>Games[[#This Row],[OppDaysOff]]-Games[[#This Row],[DaysOff]]</f>
        <v>1</v>
      </c>
      <c r="M513" s="16">
        <f>MAX(-16, MIN(16, Games[[#This Row],[RestDiff]]*8))</f>
        <v>-8</v>
      </c>
      <c r="N513" s="16">
        <f>MAX(-16, MIN(16, Games[[#This Row],[OppRestDiff]]*8))</f>
        <v>8</v>
      </c>
      <c r="O513" s="4" cm="1">
        <f t="array" ref="O5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1509.1303749504011</v>
      </c>
      <c r="P513" s="4" cm="1">
        <f t="array" ref="P5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1544.8639041248589</v>
      </c>
      <c r="Q513" s="4">
        <f>1/(1+10^(((Games[[#This Row],[OppPreGmRate]]+IF(Games[[#This Row],[HomeAway]]="A",HCA,0)+Games[[#This Row],[OppRestAdj]])-(Games[[#This Row],[PreGmRate]]+IF(Games[[#This Row],[HomeAway]]="H",HCA,0)+Games[[#This Row],[RestAdj]]))/400))</f>
        <v>0.54630214348140449</v>
      </c>
      <c r="R513" s="1">
        <v>59</v>
      </c>
      <c r="S513" s="1">
        <v>51</v>
      </c>
      <c r="T513" s="1">
        <v>0</v>
      </c>
      <c r="U513" s="16">
        <f>Games[[#This Row],[PointsFor]]-Games[[#This Row],[PointsAgainst]]</f>
        <v>8</v>
      </c>
      <c r="V513" s="16">
        <f>IF(Games[[#This Row],[MOV]]&gt;0,1,IF(Games[[#This Row],[MOV]]=0,0.5,0))</f>
        <v>1</v>
      </c>
      <c r="W513" s="4">
        <f>((ABS(Games[[#This Row],[MOV]])+5)^0.6)/(12+0.01*(ABS(Games[[#This Row],[PreGmRate]]-Games[[#This Row],[OppPreGmRate]])))*IF(Games[[#This Row],[OT]]=1,0.9,1)</f>
        <v>0.37708667038832194</v>
      </c>
      <c r="X513" s="7" cm="1">
        <f t="array" ref="X5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3" s="9">
        <f>MAX(kmin, kmax - 0.15 * MIN(Games[[#This Row],[GamesPlayed]], 82))</f>
        <v>71.2</v>
      </c>
      <c r="Z513" s="4">
        <f>Games[[#This Row],[K]]*Games[[#This Row],[POMult]]</f>
        <v>71.2</v>
      </c>
      <c r="AA513" s="4">
        <f>(Games[[#This Row],[Keff]]*Games[[#This Row],[MOVMult]])*(Games[[#This Row],[Result]]-Games[[#This Row],[ExpectedWin%]])</f>
        <v>12.181139082276406</v>
      </c>
      <c r="AB513" s="4">
        <f>Games[[#This Row],[PreGmRate]]+Games[[#This Row],[RatingChange]]</f>
        <v>1521.3115140326775</v>
      </c>
      <c r="AC513" s="2">
        <f>IF(Games[[#This Row],[Type]]="R",IF(Games[[#This Row],[Result]]&gt;0.5,1,0),0)</f>
        <v>1</v>
      </c>
      <c r="AD513" s="2">
        <f>IF(Games[[#This Row],[Type]]="R",IF(Games[[#This Row],[Result]]&lt;0.5,1,0),0)</f>
        <v>0</v>
      </c>
      <c r="AE513" s="2">
        <f>IF(AND(Games[[#This Row],[Type]]="P",Games[[#This Row],[Round]]=1),IF(Games[[#This Row],[Result]]&gt;0.5,1,0),0)</f>
        <v>0</v>
      </c>
      <c r="AF513" s="2">
        <f>IF(AND(Games[[#This Row],[Type]]="P",Games[[#This Row],[Round]]=1),IF(Games[[#This Row],[Result]]&lt;0.5,1,0),0)</f>
        <v>0</v>
      </c>
      <c r="AG513" s="2">
        <f>IF(AND(Games[[#This Row],[Type]]="P",Games[[#This Row],[Round]]=2),IF(Games[[#This Row],[Result]]&gt;0.5,1,0),0)</f>
        <v>0</v>
      </c>
      <c r="AH513" s="2">
        <f>IF(AND(Games[[#This Row],[Type]]="P",Games[[#This Row],[Round]]=2),IF(Games[[#This Row],[Result]]&lt;0.5,1,0),0)</f>
        <v>0</v>
      </c>
      <c r="AI513" s="2">
        <f>IF(AND(Games[[#This Row],[Type]]="P",Games[[#This Row],[Round]]=3),IF(Games[[#This Row],[Result]]&gt;0.5,1,0),0)</f>
        <v>0</v>
      </c>
      <c r="AJ513" s="2">
        <f>IF(AND(Games[[#This Row],[Type]]="P",Games[[#This Row],[Round]]=3),IF(Games[[#This Row],[Result]]&lt;0.5,1,0),0)</f>
        <v>0</v>
      </c>
      <c r="AK513" s="2">
        <f>IF(AND(Games[[#This Row],[Type]]="P",Games[[#This Row],[Round]]=4),IF(Games[[#This Row],[Result]]&gt;0.5,1,0),0)</f>
        <v>0</v>
      </c>
      <c r="AL513" s="2">
        <f>IF(AND(Games[[#This Row],[Type]]="P",Games[[#This Row],[Round]]=4),IF(Games[[#This Row],[Result]]&lt;0.5,1,0),0)</f>
        <v>0</v>
      </c>
    </row>
    <row r="514" spans="1:38" x14ac:dyDescent="0.35">
      <c r="A514" s="10">
        <v>37483</v>
      </c>
      <c r="B514" s="2">
        <v>2002</v>
      </c>
      <c r="C514" s="2">
        <f>COUNTIFS(Games[Team],Games[[#This Row],[Team]],Games[Season],Games[[#This Row],[Season]],Games[Date],"&lt;=" &amp; Games[[#This Row],[Date]])</f>
        <v>33</v>
      </c>
      <c r="D514" s="2" t="s">
        <v>46</v>
      </c>
      <c r="E514" s="2">
        <v>1</v>
      </c>
      <c r="F514" s="1" t="s">
        <v>71</v>
      </c>
      <c r="G514" s="1" t="s">
        <v>87</v>
      </c>
      <c r="H514" s="1" t="s">
        <v>16</v>
      </c>
      <c r="I514" s="2" cm="1">
        <f t="array" ref="I5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4" s="2" cm="1">
        <f t="array" ref="J5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4" s="2">
        <f>Games[[#This Row],[DaysOff]]-Games[[#This Row],[OppDaysOff]]</f>
        <v>0</v>
      </c>
      <c r="L514" s="2">
        <f>Games[[#This Row],[OppDaysOff]]-Games[[#This Row],[DaysOff]]</f>
        <v>0</v>
      </c>
      <c r="M514" s="16">
        <f>MAX(-16, MIN(16, Games[[#This Row],[RestDiff]]*8))</f>
        <v>0</v>
      </c>
      <c r="N514" s="16">
        <f>MAX(-16, MIN(16, Games[[#This Row],[OppRestDiff]]*8))</f>
        <v>0</v>
      </c>
      <c r="O514" s="4" cm="1">
        <f t="array" ref="O5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1691.0679018279232</v>
      </c>
      <c r="P514" s="4" cm="1">
        <f t="array" ref="P5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1532.6827650425826</v>
      </c>
      <c r="Q514" s="4">
        <f>1/(1+10^(((Games[[#This Row],[OppPreGmRate]]+IF(Games[[#This Row],[HomeAway]]="A",HCA,0)+Games[[#This Row],[OppRestAdj]])-(Games[[#This Row],[PreGmRate]]+IF(Games[[#This Row],[HomeAway]]="H",HCA,0)+Games[[#This Row],[RestAdj]]))/400))</f>
        <v>0.60544263279355093</v>
      </c>
      <c r="R514" s="1">
        <v>78</v>
      </c>
      <c r="S514" s="1">
        <v>61</v>
      </c>
      <c r="T514" s="1">
        <v>0</v>
      </c>
      <c r="U514" s="16">
        <f>Games[[#This Row],[PointsFor]]-Games[[#This Row],[PointsAgainst]]</f>
        <v>17</v>
      </c>
      <c r="V514" s="16">
        <f>IF(Games[[#This Row],[MOV]]&gt;0,1,IF(Games[[#This Row],[MOV]]=0,0.5,0))</f>
        <v>1</v>
      </c>
      <c r="W514" s="4">
        <f>((ABS(Games[[#This Row],[MOV]])+5)^0.6)/(12+0.01*(ABS(Games[[#This Row],[PreGmRate]]-Games[[#This Row],[OppPreGmRate]])))*IF(Games[[#This Row],[OT]]=1,0.9,1)</f>
        <v>0.47036033124629517</v>
      </c>
      <c r="X514" s="7" cm="1">
        <f t="array" ref="X5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4" s="9">
        <f>MAX(kmin, kmax - 0.15 * MIN(Games[[#This Row],[GamesPlayed]], 82))</f>
        <v>71.05</v>
      </c>
      <c r="Z514" s="4">
        <f>Games[[#This Row],[K]]*Games[[#This Row],[POMult]]</f>
        <v>78.155000000000001</v>
      </c>
      <c r="AA514" s="4">
        <f>(Games[[#This Row],[Keff]]*Games[[#This Row],[MOVMult]])*(Games[[#This Row],[Result]]-Games[[#This Row],[ExpectedWin%]])</f>
        <v>14.504327987681446</v>
      </c>
      <c r="AB514" s="4">
        <f>Games[[#This Row],[PreGmRate]]+Games[[#This Row],[RatingChange]]</f>
        <v>1705.5722298156045</v>
      </c>
      <c r="AC514" s="2">
        <f>IF(Games[[#This Row],[Type]]="R",IF(Games[[#This Row],[Result]]&gt;0.5,1,0),0)</f>
        <v>0</v>
      </c>
      <c r="AD514" s="2">
        <f>IF(Games[[#This Row],[Type]]="R",IF(Games[[#This Row],[Result]]&lt;0.5,1,0),0)</f>
        <v>0</v>
      </c>
      <c r="AE514" s="2">
        <f>IF(AND(Games[[#This Row],[Type]]="P",Games[[#This Row],[Round]]=1),IF(Games[[#This Row],[Result]]&gt;0.5,1,0),0)</f>
        <v>1</v>
      </c>
      <c r="AF514" s="2">
        <f>IF(AND(Games[[#This Row],[Type]]="P",Games[[#This Row],[Round]]=1),IF(Games[[#This Row],[Result]]&lt;0.5,1,0),0)</f>
        <v>0</v>
      </c>
      <c r="AG514" s="2">
        <f>IF(AND(Games[[#This Row],[Type]]="P",Games[[#This Row],[Round]]=2),IF(Games[[#This Row],[Result]]&gt;0.5,1,0),0)</f>
        <v>0</v>
      </c>
      <c r="AH514" s="2">
        <f>IF(AND(Games[[#This Row],[Type]]="P",Games[[#This Row],[Round]]=2),IF(Games[[#This Row],[Result]]&lt;0.5,1,0),0)</f>
        <v>0</v>
      </c>
      <c r="AI514" s="2">
        <f>IF(AND(Games[[#This Row],[Type]]="P",Games[[#This Row],[Round]]=3),IF(Games[[#This Row],[Result]]&gt;0.5,1,0),0)</f>
        <v>0</v>
      </c>
      <c r="AJ514" s="2">
        <f>IF(AND(Games[[#This Row],[Type]]="P",Games[[#This Row],[Round]]=3),IF(Games[[#This Row],[Result]]&lt;0.5,1,0),0)</f>
        <v>0</v>
      </c>
      <c r="AK514" s="2">
        <f>IF(AND(Games[[#This Row],[Type]]="P",Games[[#This Row],[Round]]=4),IF(Games[[#This Row],[Result]]&gt;0.5,1,0),0)</f>
        <v>0</v>
      </c>
      <c r="AL514" s="2">
        <f>IF(AND(Games[[#This Row],[Type]]="P",Games[[#This Row],[Round]]=4),IF(Games[[#This Row],[Result]]&lt;0.5,1,0),0)</f>
        <v>0</v>
      </c>
    </row>
    <row r="515" spans="1:38" x14ac:dyDescent="0.35">
      <c r="A515" s="10">
        <v>37483</v>
      </c>
      <c r="B515" s="2">
        <v>2002</v>
      </c>
      <c r="C515" s="2">
        <f>COUNTIFS(Games[Team],Games[[#This Row],[Team]],Games[Season],Games[[#This Row],[Season]],Games[Date],"&lt;=" &amp; Games[[#This Row],[Date]])</f>
        <v>33</v>
      </c>
      <c r="D515" s="2" t="s">
        <v>46</v>
      </c>
      <c r="E515" s="2">
        <v>1</v>
      </c>
      <c r="F515" s="1" t="s">
        <v>87</v>
      </c>
      <c r="G515" s="1" t="s">
        <v>71</v>
      </c>
      <c r="H515" s="1" t="s">
        <v>15</v>
      </c>
      <c r="I515" s="2" cm="1">
        <f t="array" ref="I5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5" s="2" cm="1">
        <f t="array" ref="J5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5" s="2">
        <f>Games[[#This Row],[DaysOff]]-Games[[#This Row],[OppDaysOff]]</f>
        <v>0</v>
      </c>
      <c r="L515" s="2">
        <f>Games[[#This Row],[OppDaysOff]]-Games[[#This Row],[DaysOff]]</f>
        <v>0</v>
      </c>
      <c r="M515" s="16">
        <f>MAX(-16, MIN(16, Games[[#This Row],[RestDiff]]*8))</f>
        <v>0</v>
      </c>
      <c r="N515" s="16">
        <f>MAX(-16, MIN(16, Games[[#This Row],[OppRestDiff]]*8))</f>
        <v>0</v>
      </c>
      <c r="O515" s="4" cm="1">
        <f t="array" ref="O5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1532.6827650425826</v>
      </c>
      <c r="P515" s="4" cm="1">
        <f t="array" ref="P5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1691.0679018279232</v>
      </c>
      <c r="Q515" s="4">
        <f>1/(1+10^(((Games[[#This Row],[OppPreGmRate]]+IF(Games[[#This Row],[HomeAway]]="A",HCA,0)+Games[[#This Row],[OppRestAdj]])-(Games[[#This Row],[PreGmRate]]+IF(Games[[#This Row],[HomeAway]]="H",HCA,0)+Games[[#This Row],[RestAdj]]))/400))</f>
        <v>0.39455736720644907</v>
      </c>
      <c r="R515" s="1">
        <v>61</v>
      </c>
      <c r="S515" s="1">
        <v>78</v>
      </c>
      <c r="T515" s="1">
        <v>0</v>
      </c>
      <c r="U515" s="16">
        <f>Games[[#This Row],[PointsFor]]-Games[[#This Row],[PointsAgainst]]</f>
        <v>-17</v>
      </c>
      <c r="V515" s="16">
        <f>IF(Games[[#This Row],[MOV]]&gt;0,1,IF(Games[[#This Row],[MOV]]=0,0.5,0))</f>
        <v>0</v>
      </c>
      <c r="W515" s="4">
        <f>((ABS(Games[[#This Row],[MOV]])+5)^0.6)/(12+0.01*(ABS(Games[[#This Row],[PreGmRate]]-Games[[#This Row],[OppPreGmRate]])))*IF(Games[[#This Row],[OT]]=1,0.9,1)</f>
        <v>0.47036033124629517</v>
      </c>
      <c r="X515" s="7" cm="1">
        <f t="array" ref="X5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5" s="9">
        <f>MAX(kmin, kmax - 0.15 * MIN(Games[[#This Row],[GamesPlayed]], 82))</f>
        <v>71.05</v>
      </c>
      <c r="Z515" s="4">
        <f>Games[[#This Row],[K]]*Games[[#This Row],[POMult]]</f>
        <v>78.155000000000001</v>
      </c>
      <c r="AA515" s="4">
        <f>(Games[[#This Row],[Keff]]*Games[[#This Row],[MOVMult]])*(Games[[#This Row],[Result]]-Games[[#This Row],[ExpectedWin%]])</f>
        <v>-14.504327987681446</v>
      </c>
      <c r="AB515" s="4">
        <f>Games[[#This Row],[PreGmRate]]+Games[[#This Row],[RatingChange]]</f>
        <v>1518.1784370549012</v>
      </c>
      <c r="AC515" s="2">
        <f>IF(Games[[#This Row],[Type]]="R",IF(Games[[#This Row],[Result]]&gt;0.5,1,0),0)</f>
        <v>0</v>
      </c>
      <c r="AD515" s="2">
        <f>IF(Games[[#This Row],[Type]]="R",IF(Games[[#This Row],[Result]]&lt;0.5,1,0),0)</f>
        <v>0</v>
      </c>
      <c r="AE515" s="2">
        <f>IF(AND(Games[[#This Row],[Type]]="P",Games[[#This Row],[Round]]=1),IF(Games[[#This Row],[Result]]&gt;0.5,1,0),0)</f>
        <v>0</v>
      </c>
      <c r="AF515" s="2">
        <f>IF(AND(Games[[#This Row],[Type]]="P",Games[[#This Row],[Round]]=1),IF(Games[[#This Row],[Result]]&lt;0.5,1,0),0)</f>
        <v>1</v>
      </c>
      <c r="AG515" s="2">
        <f>IF(AND(Games[[#This Row],[Type]]="P",Games[[#This Row],[Round]]=2),IF(Games[[#This Row],[Result]]&gt;0.5,1,0),0)</f>
        <v>0</v>
      </c>
      <c r="AH515" s="2">
        <f>IF(AND(Games[[#This Row],[Type]]="P",Games[[#This Row],[Round]]=2),IF(Games[[#This Row],[Result]]&lt;0.5,1,0),0)</f>
        <v>0</v>
      </c>
      <c r="AI515" s="2">
        <f>IF(AND(Games[[#This Row],[Type]]="P",Games[[#This Row],[Round]]=3),IF(Games[[#This Row],[Result]]&gt;0.5,1,0),0)</f>
        <v>0</v>
      </c>
      <c r="AJ515" s="2">
        <f>IF(AND(Games[[#This Row],[Type]]="P",Games[[#This Row],[Round]]=3),IF(Games[[#This Row],[Result]]&lt;0.5,1,0),0)</f>
        <v>0</v>
      </c>
      <c r="AK515" s="2">
        <f>IF(AND(Games[[#This Row],[Type]]="P",Games[[#This Row],[Round]]=4),IF(Games[[#This Row],[Result]]&gt;0.5,1,0),0)</f>
        <v>0</v>
      </c>
      <c r="AL515" s="2">
        <f>IF(AND(Games[[#This Row],[Type]]="P",Games[[#This Row],[Round]]=4),IF(Games[[#This Row],[Result]]&lt;0.5,1,0),0)</f>
        <v>0</v>
      </c>
    </row>
    <row r="516" spans="1:38" x14ac:dyDescent="0.35">
      <c r="A516" s="10">
        <v>37483</v>
      </c>
      <c r="B516" s="2">
        <v>2002</v>
      </c>
      <c r="C516" s="2">
        <f>COUNTIFS(Games[Team],Games[[#This Row],[Team]],Games[Season],Games[[#This Row],[Season]],Games[Date],"&lt;=" &amp; Games[[#This Row],[Date]])</f>
        <v>33</v>
      </c>
      <c r="D516" s="2" t="s">
        <v>46</v>
      </c>
      <c r="E516" s="2">
        <v>1</v>
      </c>
      <c r="F516" s="1" t="s">
        <v>64</v>
      </c>
      <c r="G516" s="1" t="s">
        <v>75</v>
      </c>
      <c r="H516" s="1" t="s">
        <v>16</v>
      </c>
      <c r="I516" s="2" cm="1">
        <f t="array" ref="I5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6" s="2" cm="1">
        <f t="array" ref="J5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6" s="2">
        <f>Games[[#This Row],[DaysOff]]-Games[[#This Row],[OppDaysOff]]</f>
        <v>0</v>
      </c>
      <c r="L516" s="2">
        <f>Games[[#This Row],[OppDaysOff]]-Games[[#This Row],[DaysOff]]</f>
        <v>0</v>
      </c>
      <c r="M516" s="16">
        <f>MAX(-16, MIN(16, Games[[#This Row],[RestDiff]]*8))</f>
        <v>0</v>
      </c>
      <c r="N516" s="16">
        <f>MAX(-16, MIN(16, Games[[#This Row],[OppRestDiff]]*8))</f>
        <v>0</v>
      </c>
      <c r="O516" s="4" cm="1">
        <f t="array" ref="O5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1548.7269510993663</v>
      </c>
      <c r="P516" s="4" cm="1">
        <f t="array" ref="P5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1448.6312309526311</v>
      </c>
      <c r="Q516" s="4">
        <f>1/(1+10^(((Games[[#This Row],[OppPreGmRate]]+IF(Games[[#This Row],[HomeAway]]="A",HCA,0)+Games[[#This Row],[OppRestAdj]])-(Games[[#This Row],[PreGmRate]]+IF(Games[[#This Row],[HomeAway]]="H",HCA,0)+Games[[#This Row],[RestAdj]]))/400))</f>
        <v>0.52314704618861163</v>
      </c>
      <c r="R516" s="1">
        <v>62</v>
      </c>
      <c r="S516" s="1">
        <v>74</v>
      </c>
      <c r="T516" s="1">
        <v>0</v>
      </c>
      <c r="U516" s="16">
        <f>Games[[#This Row],[PointsFor]]-Games[[#This Row],[PointsAgainst]]</f>
        <v>-12</v>
      </c>
      <c r="V516" s="16">
        <f>IF(Games[[#This Row],[MOV]]&gt;0,1,IF(Games[[#This Row],[MOV]]=0,0.5,0))</f>
        <v>0</v>
      </c>
      <c r="W516" s="4">
        <f>((ABS(Games[[#This Row],[MOV]])+5)^0.6)/(12+0.01*(ABS(Games[[#This Row],[PreGmRate]]-Games[[#This Row],[OppPreGmRate]])))*IF(Games[[#This Row],[OT]]=1,0.9,1)</f>
        <v>0.42101156338709561</v>
      </c>
      <c r="X516" s="7" cm="1">
        <f t="array" ref="X5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6" s="9">
        <f>MAX(kmin, kmax - 0.15 * MIN(Games[[#This Row],[GamesPlayed]], 82))</f>
        <v>71.05</v>
      </c>
      <c r="Z516" s="4">
        <f>Games[[#This Row],[K]]*Games[[#This Row],[POMult]]</f>
        <v>78.155000000000001</v>
      </c>
      <c r="AA516" s="4">
        <f>(Games[[#This Row],[Keff]]*Games[[#This Row],[MOVMult]])*(Games[[#This Row],[Result]]-Games[[#This Row],[ExpectedWin%]])</f>
        <v>-17.213713450330832</v>
      </c>
      <c r="AB516" s="4">
        <f>Games[[#This Row],[PreGmRate]]+Games[[#This Row],[RatingChange]]</f>
        <v>1531.5132376490353</v>
      </c>
      <c r="AC516" s="2">
        <f>IF(Games[[#This Row],[Type]]="R",IF(Games[[#This Row],[Result]]&gt;0.5,1,0),0)</f>
        <v>0</v>
      </c>
      <c r="AD516" s="2">
        <f>IF(Games[[#This Row],[Type]]="R",IF(Games[[#This Row],[Result]]&lt;0.5,1,0),0)</f>
        <v>0</v>
      </c>
      <c r="AE516" s="2">
        <f>IF(AND(Games[[#This Row],[Type]]="P",Games[[#This Row],[Round]]=1),IF(Games[[#This Row],[Result]]&gt;0.5,1,0),0)</f>
        <v>0</v>
      </c>
      <c r="AF516" s="2">
        <f>IF(AND(Games[[#This Row],[Type]]="P",Games[[#This Row],[Round]]=1),IF(Games[[#This Row],[Result]]&lt;0.5,1,0),0)</f>
        <v>1</v>
      </c>
      <c r="AG516" s="2">
        <f>IF(AND(Games[[#This Row],[Type]]="P",Games[[#This Row],[Round]]=2),IF(Games[[#This Row],[Result]]&gt;0.5,1,0),0)</f>
        <v>0</v>
      </c>
      <c r="AH516" s="2">
        <f>IF(AND(Games[[#This Row],[Type]]="P",Games[[#This Row],[Round]]=2),IF(Games[[#This Row],[Result]]&lt;0.5,1,0),0)</f>
        <v>0</v>
      </c>
      <c r="AI516" s="2">
        <f>IF(AND(Games[[#This Row],[Type]]="P",Games[[#This Row],[Round]]=3),IF(Games[[#This Row],[Result]]&gt;0.5,1,0),0)</f>
        <v>0</v>
      </c>
      <c r="AJ516" s="2">
        <f>IF(AND(Games[[#This Row],[Type]]="P",Games[[#This Row],[Round]]=3),IF(Games[[#This Row],[Result]]&lt;0.5,1,0),0)</f>
        <v>0</v>
      </c>
      <c r="AK516" s="2">
        <f>IF(AND(Games[[#This Row],[Type]]="P",Games[[#This Row],[Round]]=4),IF(Games[[#This Row],[Result]]&gt;0.5,1,0),0)</f>
        <v>0</v>
      </c>
      <c r="AL516" s="2">
        <f>IF(AND(Games[[#This Row],[Type]]="P",Games[[#This Row],[Round]]=4),IF(Games[[#This Row],[Result]]&lt;0.5,1,0),0)</f>
        <v>0</v>
      </c>
    </row>
    <row r="517" spans="1:38" x14ac:dyDescent="0.35">
      <c r="A517" s="10">
        <v>37483</v>
      </c>
      <c r="B517" s="2">
        <v>2002</v>
      </c>
      <c r="C517" s="2">
        <f>COUNTIFS(Games[Team],Games[[#This Row],[Team]],Games[Season],Games[[#This Row],[Season]],Games[Date],"&lt;=" &amp; Games[[#This Row],[Date]])</f>
        <v>33</v>
      </c>
      <c r="D517" s="2" t="s">
        <v>46</v>
      </c>
      <c r="E517" s="2">
        <v>1</v>
      </c>
      <c r="F517" s="1" t="s">
        <v>75</v>
      </c>
      <c r="G517" s="1" t="s">
        <v>64</v>
      </c>
      <c r="H517" s="1" t="s">
        <v>15</v>
      </c>
      <c r="I517" s="2" cm="1">
        <f t="array" ref="I5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7" s="2" cm="1">
        <f t="array" ref="J5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7" s="2">
        <f>Games[[#This Row],[DaysOff]]-Games[[#This Row],[OppDaysOff]]</f>
        <v>0</v>
      </c>
      <c r="L517" s="2">
        <f>Games[[#This Row],[OppDaysOff]]-Games[[#This Row],[DaysOff]]</f>
        <v>0</v>
      </c>
      <c r="M517" s="16">
        <f>MAX(-16, MIN(16, Games[[#This Row],[RestDiff]]*8))</f>
        <v>0</v>
      </c>
      <c r="N517" s="16">
        <f>MAX(-16, MIN(16, Games[[#This Row],[OppRestDiff]]*8))</f>
        <v>0</v>
      </c>
      <c r="O517" s="4" cm="1">
        <f t="array" ref="O5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1448.6312309526311</v>
      </c>
      <c r="P517" s="4" cm="1">
        <f t="array" ref="P5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1548.7269510993663</v>
      </c>
      <c r="Q517" s="4">
        <f>1/(1+10^(((Games[[#This Row],[OppPreGmRate]]+IF(Games[[#This Row],[HomeAway]]="A",HCA,0)+Games[[#This Row],[OppRestAdj]])-(Games[[#This Row],[PreGmRate]]+IF(Games[[#This Row],[HomeAway]]="H",HCA,0)+Games[[#This Row],[RestAdj]]))/400))</f>
        <v>0.47685295381138826</v>
      </c>
      <c r="R517" s="1">
        <v>74</v>
      </c>
      <c r="S517" s="1">
        <v>62</v>
      </c>
      <c r="T517" s="1">
        <v>0</v>
      </c>
      <c r="U517" s="16">
        <f>Games[[#This Row],[PointsFor]]-Games[[#This Row],[PointsAgainst]]</f>
        <v>12</v>
      </c>
      <c r="V517" s="16">
        <f>IF(Games[[#This Row],[MOV]]&gt;0,1,IF(Games[[#This Row],[MOV]]=0,0.5,0))</f>
        <v>1</v>
      </c>
      <c r="W517" s="4">
        <f>((ABS(Games[[#This Row],[MOV]])+5)^0.6)/(12+0.01*(ABS(Games[[#This Row],[PreGmRate]]-Games[[#This Row],[OppPreGmRate]])))*IF(Games[[#This Row],[OT]]=1,0.9,1)</f>
        <v>0.42101156338709561</v>
      </c>
      <c r="X517" s="7" cm="1">
        <f t="array" ref="X5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7" s="9">
        <f>MAX(kmin, kmax - 0.15 * MIN(Games[[#This Row],[GamesPlayed]], 82))</f>
        <v>71.05</v>
      </c>
      <c r="Z517" s="4">
        <f>Games[[#This Row],[K]]*Games[[#This Row],[POMult]]</f>
        <v>78.155000000000001</v>
      </c>
      <c r="AA517" s="4">
        <f>(Games[[#This Row],[Keff]]*Games[[#This Row],[MOVMult]])*(Games[[#This Row],[Result]]-Games[[#This Row],[ExpectedWin%]])</f>
        <v>17.213713450330836</v>
      </c>
      <c r="AB517" s="4">
        <f>Games[[#This Row],[PreGmRate]]+Games[[#This Row],[RatingChange]]</f>
        <v>1465.844944402962</v>
      </c>
      <c r="AC517" s="2">
        <f>IF(Games[[#This Row],[Type]]="R",IF(Games[[#This Row],[Result]]&gt;0.5,1,0),0)</f>
        <v>0</v>
      </c>
      <c r="AD517" s="2">
        <f>IF(Games[[#This Row],[Type]]="R",IF(Games[[#This Row],[Result]]&lt;0.5,1,0),0)</f>
        <v>0</v>
      </c>
      <c r="AE517" s="2">
        <f>IF(AND(Games[[#This Row],[Type]]="P",Games[[#This Row],[Round]]=1),IF(Games[[#This Row],[Result]]&gt;0.5,1,0),0)</f>
        <v>1</v>
      </c>
      <c r="AF517" s="2">
        <f>IF(AND(Games[[#This Row],[Type]]="P",Games[[#This Row],[Round]]=1),IF(Games[[#This Row],[Result]]&lt;0.5,1,0),0)</f>
        <v>0</v>
      </c>
      <c r="AG517" s="2">
        <f>IF(AND(Games[[#This Row],[Type]]="P",Games[[#This Row],[Round]]=2),IF(Games[[#This Row],[Result]]&gt;0.5,1,0),0)</f>
        <v>0</v>
      </c>
      <c r="AH517" s="2">
        <f>IF(AND(Games[[#This Row],[Type]]="P",Games[[#This Row],[Round]]=2),IF(Games[[#This Row],[Result]]&lt;0.5,1,0),0)</f>
        <v>0</v>
      </c>
      <c r="AI517" s="2">
        <f>IF(AND(Games[[#This Row],[Type]]="P",Games[[#This Row],[Round]]=3),IF(Games[[#This Row],[Result]]&gt;0.5,1,0),0)</f>
        <v>0</v>
      </c>
      <c r="AJ517" s="2">
        <f>IF(AND(Games[[#This Row],[Type]]="P",Games[[#This Row],[Round]]=3),IF(Games[[#This Row],[Result]]&lt;0.5,1,0),0)</f>
        <v>0</v>
      </c>
      <c r="AK517" s="2">
        <f>IF(AND(Games[[#This Row],[Type]]="P",Games[[#This Row],[Round]]=4),IF(Games[[#This Row],[Result]]&gt;0.5,1,0),0)</f>
        <v>0</v>
      </c>
      <c r="AL517" s="2">
        <f>IF(AND(Games[[#This Row],[Type]]="P",Games[[#This Row],[Round]]=4),IF(Games[[#This Row],[Result]]&lt;0.5,1,0),0)</f>
        <v>0</v>
      </c>
    </row>
    <row r="518" spans="1:38" x14ac:dyDescent="0.35">
      <c r="A518" s="10">
        <v>37484</v>
      </c>
      <c r="B518" s="2">
        <v>2002</v>
      </c>
      <c r="C518" s="2">
        <f>COUNTIFS(Games[Team],Games[[#This Row],[Team]],Games[Season],Games[[#This Row],[Season]],Games[Date],"&lt;=" &amp; Games[[#This Row],[Date]])</f>
        <v>33</v>
      </c>
      <c r="D518" s="2" t="s">
        <v>46</v>
      </c>
      <c r="E518" s="2">
        <v>1</v>
      </c>
      <c r="F518" s="1" t="s">
        <v>66</v>
      </c>
      <c r="G518" s="1" t="s">
        <v>85</v>
      </c>
      <c r="H518" s="1" t="s">
        <v>16</v>
      </c>
      <c r="I518" s="2" cm="1">
        <f t="array" ref="I5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8" s="2" cm="1">
        <f t="array" ref="J5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8" s="2">
        <f>Games[[#This Row],[DaysOff]]-Games[[#This Row],[OppDaysOff]]</f>
        <v>0</v>
      </c>
      <c r="L518" s="2">
        <f>Games[[#This Row],[OppDaysOff]]-Games[[#This Row],[DaysOff]]</f>
        <v>0</v>
      </c>
      <c r="M518" s="16">
        <f>MAX(-16, MIN(16, Games[[#This Row],[RestDiff]]*8))</f>
        <v>0</v>
      </c>
      <c r="N518" s="16">
        <f>MAX(-16, MIN(16, Games[[#This Row],[OppRestDiff]]*8))</f>
        <v>0</v>
      </c>
      <c r="O518" s="4" cm="1">
        <f t="array" ref="O5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1533.0544405314315</v>
      </c>
      <c r="P518" s="4" cm="1">
        <f t="array" ref="P5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1490.4131275183249</v>
      </c>
      <c r="Q518" s="4">
        <f>1/(1+10^(((Games[[#This Row],[OppPreGmRate]]+IF(Games[[#This Row],[HomeAway]]="A",HCA,0)+Games[[#This Row],[OppRestAdj]])-(Games[[#This Row],[PreGmRate]]+IF(Games[[#This Row],[HomeAway]]="H",HCA,0)+Games[[#This Row],[RestAdj]]))/400))</f>
        <v>0.44075962267107494</v>
      </c>
      <c r="R518" s="1">
        <v>55</v>
      </c>
      <c r="S518" s="1">
        <v>73</v>
      </c>
      <c r="T518" s="1">
        <v>0</v>
      </c>
      <c r="U518" s="16">
        <f>Games[[#This Row],[PointsFor]]-Games[[#This Row],[PointsAgainst]]</f>
        <v>-18</v>
      </c>
      <c r="V518" s="16">
        <f>IF(Games[[#This Row],[MOV]]&gt;0,1,IF(Games[[#This Row],[MOV]]=0,0.5,0))</f>
        <v>0</v>
      </c>
      <c r="W518" s="4">
        <f>((ABS(Games[[#This Row],[MOV]])+5)^0.6)/(12+0.01*(ABS(Games[[#This Row],[PreGmRate]]-Games[[#This Row],[OppPreGmRate]])))*IF(Games[[#This Row],[OT]]=1,0.9,1)</f>
        <v>0.5280692921438902</v>
      </c>
      <c r="X518" s="7" cm="1">
        <f t="array" ref="X5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8" s="9">
        <f>MAX(kmin, kmax - 0.15 * MIN(Games[[#This Row],[GamesPlayed]], 82))</f>
        <v>71.05</v>
      </c>
      <c r="Z518" s="4">
        <f>Games[[#This Row],[K]]*Games[[#This Row],[POMult]]</f>
        <v>78.155000000000001</v>
      </c>
      <c r="AA518" s="4">
        <f>(Games[[#This Row],[Keff]]*Games[[#This Row],[MOVMult]])*(Games[[#This Row],[Result]]-Games[[#This Row],[ExpectedWin%]])</f>
        <v>-18.190703013464944</v>
      </c>
      <c r="AB518" s="4">
        <f>Games[[#This Row],[PreGmRate]]+Games[[#This Row],[RatingChange]]</f>
        <v>1514.8637375179665</v>
      </c>
      <c r="AC518" s="2">
        <f>IF(Games[[#This Row],[Type]]="R",IF(Games[[#This Row],[Result]]&gt;0.5,1,0),0)</f>
        <v>0</v>
      </c>
      <c r="AD518" s="2">
        <f>IF(Games[[#This Row],[Type]]="R",IF(Games[[#This Row],[Result]]&lt;0.5,1,0),0)</f>
        <v>0</v>
      </c>
      <c r="AE518" s="2">
        <f>IF(AND(Games[[#This Row],[Type]]="P",Games[[#This Row],[Round]]=1),IF(Games[[#This Row],[Result]]&gt;0.5,1,0),0)</f>
        <v>0</v>
      </c>
      <c r="AF518" s="2">
        <f>IF(AND(Games[[#This Row],[Type]]="P",Games[[#This Row],[Round]]=1),IF(Games[[#This Row],[Result]]&lt;0.5,1,0),0)</f>
        <v>1</v>
      </c>
      <c r="AG518" s="2">
        <f>IF(AND(Games[[#This Row],[Type]]="P",Games[[#This Row],[Round]]=2),IF(Games[[#This Row],[Result]]&gt;0.5,1,0),0)</f>
        <v>0</v>
      </c>
      <c r="AH518" s="2">
        <f>IF(AND(Games[[#This Row],[Type]]="P",Games[[#This Row],[Round]]=2),IF(Games[[#This Row],[Result]]&lt;0.5,1,0),0)</f>
        <v>0</v>
      </c>
      <c r="AI518" s="2">
        <f>IF(AND(Games[[#This Row],[Type]]="P",Games[[#This Row],[Round]]=3),IF(Games[[#This Row],[Result]]&gt;0.5,1,0),0)</f>
        <v>0</v>
      </c>
      <c r="AJ518" s="2">
        <f>IF(AND(Games[[#This Row],[Type]]="P",Games[[#This Row],[Round]]=3),IF(Games[[#This Row],[Result]]&lt;0.5,1,0),0)</f>
        <v>0</v>
      </c>
      <c r="AK518" s="2">
        <f>IF(AND(Games[[#This Row],[Type]]="P",Games[[#This Row],[Round]]=4),IF(Games[[#This Row],[Result]]&gt;0.5,1,0),0)</f>
        <v>0</v>
      </c>
      <c r="AL518" s="2">
        <f>IF(AND(Games[[#This Row],[Type]]="P",Games[[#This Row],[Round]]=4),IF(Games[[#This Row],[Result]]&lt;0.5,1,0),0)</f>
        <v>0</v>
      </c>
    </row>
    <row r="519" spans="1:38" x14ac:dyDescent="0.35">
      <c r="A519" s="10">
        <v>37484</v>
      </c>
      <c r="B519" s="2">
        <v>2002</v>
      </c>
      <c r="C519" s="2">
        <f>COUNTIFS(Games[Team],Games[[#This Row],[Team]],Games[Season],Games[[#This Row],[Season]],Games[Date],"&lt;=" &amp; Games[[#This Row],[Date]])</f>
        <v>33</v>
      </c>
      <c r="D519" s="2" t="s">
        <v>46</v>
      </c>
      <c r="E519" s="2">
        <v>1</v>
      </c>
      <c r="F519" s="1" t="s">
        <v>85</v>
      </c>
      <c r="G519" s="1" t="s">
        <v>66</v>
      </c>
      <c r="H519" s="1" t="s">
        <v>15</v>
      </c>
      <c r="I519" s="2" cm="1">
        <f t="array" ref="I5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19" s="2" cm="1">
        <f t="array" ref="J5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19" s="2">
        <f>Games[[#This Row],[DaysOff]]-Games[[#This Row],[OppDaysOff]]</f>
        <v>0</v>
      </c>
      <c r="L519" s="2">
        <f>Games[[#This Row],[OppDaysOff]]-Games[[#This Row],[DaysOff]]</f>
        <v>0</v>
      </c>
      <c r="M519" s="16">
        <f>MAX(-16, MIN(16, Games[[#This Row],[RestDiff]]*8))</f>
        <v>0</v>
      </c>
      <c r="N519" s="16">
        <f>MAX(-16, MIN(16, Games[[#This Row],[OppRestDiff]]*8))</f>
        <v>0</v>
      </c>
      <c r="O519" s="4" cm="1">
        <f t="array" ref="O5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1490.4131275183249</v>
      </c>
      <c r="P519" s="4" cm="1">
        <f t="array" ref="P5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1533.0544405314315</v>
      </c>
      <c r="Q519" s="4">
        <f>1/(1+10^(((Games[[#This Row],[OppPreGmRate]]+IF(Games[[#This Row],[HomeAway]]="A",HCA,0)+Games[[#This Row],[OppRestAdj]])-(Games[[#This Row],[PreGmRate]]+IF(Games[[#This Row],[HomeAway]]="H",HCA,0)+Games[[#This Row],[RestAdj]]))/400))</f>
        <v>0.55924037732892506</v>
      </c>
      <c r="R519" s="1">
        <v>73</v>
      </c>
      <c r="S519" s="1">
        <v>55</v>
      </c>
      <c r="T519" s="1">
        <v>0</v>
      </c>
      <c r="U519" s="16">
        <f>Games[[#This Row],[PointsFor]]-Games[[#This Row],[PointsAgainst]]</f>
        <v>18</v>
      </c>
      <c r="V519" s="16">
        <f>IF(Games[[#This Row],[MOV]]&gt;0,1,IF(Games[[#This Row],[MOV]]=0,0.5,0))</f>
        <v>1</v>
      </c>
      <c r="W519" s="4">
        <f>((ABS(Games[[#This Row],[MOV]])+5)^0.6)/(12+0.01*(ABS(Games[[#This Row],[PreGmRate]]-Games[[#This Row],[OppPreGmRate]])))*IF(Games[[#This Row],[OT]]=1,0.9,1)</f>
        <v>0.5280692921438902</v>
      </c>
      <c r="X519" s="7" cm="1">
        <f t="array" ref="X5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19" s="9">
        <f>MAX(kmin, kmax - 0.15 * MIN(Games[[#This Row],[GamesPlayed]], 82))</f>
        <v>71.05</v>
      </c>
      <c r="Z519" s="4">
        <f>Games[[#This Row],[K]]*Games[[#This Row],[POMult]]</f>
        <v>78.155000000000001</v>
      </c>
      <c r="AA519" s="4">
        <f>(Games[[#This Row],[Keff]]*Games[[#This Row],[MOVMult]])*(Games[[#This Row],[Result]]-Games[[#This Row],[ExpectedWin%]])</f>
        <v>18.190703013464944</v>
      </c>
      <c r="AB519" s="4">
        <f>Games[[#This Row],[PreGmRate]]+Games[[#This Row],[RatingChange]]</f>
        <v>1508.60383053179</v>
      </c>
      <c r="AC519" s="2">
        <f>IF(Games[[#This Row],[Type]]="R",IF(Games[[#This Row],[Result]]&gt;0.5,1,0),0)</f>
        <v>0</v>
      </c>
      <c r="AD519" s="2">
        <f>IF(Games[[#This Row],[Type]]="R",IF(Games[[#This Row],[Result]]&lt;0.5,1,0),0)</f>
        <v>0</v>
      </c>
      <c r="AE519" s="2">
        <f>IF(AND(Games[[#This Row],[Type]]="P",Games[[#This Row],[Round]]=1),IF(Games[[#This Row],[Result]]&gt;0.5,1,0),0)</f>
        <v>1</v>
      </c>
      <c r="AF519" s="2">
        <f>IF(AND(Games[[#This Row],[Type]]="P",Games[[#This Row],[Round]]=1),IF(Games[[#This Row],[Result]]&lt;0.5,1,0),0)</f>
        <v>0</v>
      </c>
      <c r="AG519" s="2">
        <f>IF(AND(Games[[#This Row],[Type]]="P",Games[[#This Row],[Round]]=2),IF(Games[[#This Row],[Result]]&gt;0.5,1,0),0)</f>
        <v>0</v>
      </c>
      <c r="AH519" s="2">
        <f>IF(AND(Games[[#This Row],[Type]]="P",Games[[#This Row],[Round]]=2),IF(Games[[#This Row],[Result]]&lt;0.5,1,0),0)</f>
        <v>0</v>
      </c>
      <c r="AI519" s="2">
        <f>IF(AND(Games[[#This Row],[Type]]="P",Games[[#This Row],[Round]]=3),IF(Games[[#This Row],[Result]]&gt;0.5,1,0),0)</f>
        <v>0</v>
      </c>
      <c r="AJ519" s="2">
        <f>IF(AND(Games[[#This Row],[Type]]="P",Games[[#This Row],[Round]]=3),IF(Games[[#This Row],[Result]]&lt;0.5,1,0),0)</f>
        <v>0</v>
      </c>
      <c r="AK519" s="2">
        <f>IF(AND(Games[[#This Row],[Type]]="P",Games[[#This Row],[Round]]=4),IF(Games[[#This Row],[Result]]&gt;0.5,1,0),0)</f>
        <v>0</v>
      </c>
      <c r="AL519" s="2">
        <f>IF(AND(Games[[#This Row],[Type]]="P",Games[[#This Row],[Round]]=4),IF(Games[[#This Row],[Result]]&lt;0.5,1,0),0)</f>
        <v>0</v>
      </c>
    </row>
    <row r="520" spans="1:38" x14ac:dyDescent="0.35">
      <c r="A520" s="10">
        <v>37484</v>
      </c>
      <c r="B520" s="2">
        <v>2002</v>
      </c>
      <c r="C520" s="2">
        <f>COUNTIFS(Games[Team],Games[[#This Row],[Team]],Games[Season],Games[[#This Row],[Season]],Games[Date],"&lt;=" &amp; Games[[#This Row],[Date]])</f>
        <v>33</v>
      </c>
      <c r="D520" s="2" t="s">
        <v>46</v>
      </c>
      <c r="E520" s="2">
        <v>1</v>
      </c>
      <c r="F520" s="1" t="s">
        <v>2</v>
      </c>
      <c r="G520" s="1" t="s">
        <v>43</v>
      </c>
      <c r="H520" s="1" t="s">
        <v>16</v>
      </c>
      <c r="I520" s="2" cm="1">
        <f t="array" ref="I5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0" s="2" cm="1">
        <f t="array" ref="J5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20" s="2">
        <f>Games[[#This Row],[DaysOff]]-Games[[#This Row],[OppDaysOff]]</f>
        <v>-1</v>
      </c>
      <c r="L520" s="2">
        <f>Games[[#This Row],[OppDaysOff]]-Games[[#This Row],[DaysOff]]</f>
        <v>1</v>
      </c>
      <c r="M520" s="16">
        <f>MAX(-16, MIN(16, Games[[#This Row],[RestDiff]]*8))</f>
        <v>-8</v>
      </c>
      <c r="N520" s="16">
        <f>MAX(-16, MIN(16, Games[[#This Row],[OppRestDiff]]*8))</f>
        <v>8</v>
      </c>
      <c r="O520" s="4" cm="1">
        <f t="array" ref="O5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1654.1362569641874</v>
      </c>
      <c r="P520" s="4" cm="1">
        <f t="array" ref="P5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1568.2705474197105</v>
      </c>
      <c r="Q520" s="4">
        <f>1/(1+10^(((Games[[#This Row],[OppPreGmRate]]+IF(Games[[#This Row],[HomeAway]]="A",HCA,0)+Games[[#This Row],[OppRestAdj]])-(Games[[#This Row],[PreGmRate]]+IF(Games[[#This Row],[HomeAway]]="H",HCA,0)+Games[[#This Row],[RestAdj]]))/400))</f>
        <v>0.47967033493389788</v>
      </c>
      <c r="R520" s="1">
        <v>59</v>
      </c>
      <c r="S520" s="1">
        <v>66</v>
      </c>
      <c r="T520" s="1">
        <v>0</v>
      </c>
      <c r="U520" s="16">
        <f>Games[[#This Row],[PointsFor]]-Games[[#This Row],[PointsAgainst]]</f>
        <v>-7</v>
      </c>
      <c r="V520" s="16">
        <f>IF(Games[[#This Row],[MOV]]&gt;0,1,IF(Games[[#This Row],[MOV]]=0,0.5,0))</f>
        <v>0</v>
      </c>
      <c r="W520" s="4">
        <f>((ABS(Games[[#This Row],[MOV]])+5)^0.6)/(12+0.01*(ABS(Games[[#This Row],[PreGmRate]]-Games[[#This Row],[OppPreGmRate]])))*IF(Games[[#This Row],[OT]]=1,0.9,1)</f>
        <v>0.3453926826790632</v>
      </c>
      <c r="X520" s="7" cm="1">
        <f t="array" ref="X5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0" s="9">
        <f>MAX(kmin, kmax - 0.15 * MIN(Games[[#This Row],[GamesPlayed]], 82))</f>
        <v>71.05</v>
      </c>
      <c r="Z520" s="4">
        <f>Games[[#This Row],[K]]*Games[[#This Row],[POMult]]</f>
        <v>78.155000000000001</v>
      </c>
      <c r="AA520" s="4">
        <f>(Games[[#This Row],[Keff]]*Games[[#This Row],[MOVMult]])*(Games[[#This Row],[Result]]-Games[[#This Row],[ExpectedWin%]])</f>
        <v>-12.948300221868513</v>
      </c>
      <c r="AB520" s="4">
        <f>Games[[#This Row],[PreGmRate]]+Games[[#This Row],[RatingChange]]</f>
        <v>1641.1879567423189</v>
      </c>
      <c r="AC520" s="2">
        <f>IF(Games[[#This Row],[Type]]="R",IF(Games[[#This Row],[Result]]&gt;0.5,1,0),0)</f>
        <v>0</v>
      </c>
      <c r="AD520" s="2">
        <f>IF(Games[[#This Row],[Type]]="R",IF(Games[[#This Row],[Result]]&lt;0.5,1,0),0)</f>
        <v>0</v>
      </c>
      <c r="AE520" s="2">
        <f>IF(AND(Games[[#This Row],[Type]]="P",Games[[#This Row],[Round]]=1),IF(Games[[#This Row],[Result]]&gt;0.5,1,0),0)</f>
        <v>0</v>
      </c>
      <c r="AF520" s="2">
        <f>IF(AND(Games[[#This Row],[Type]]="P",Games[[#This Row],[Round]]=1),IF(Games[[#This Row],[Result]]&lt;0.5,1,0),0)</f>
        <v>1</v>
      </c>
      <c r="AG520" s="2">
        <f>IF(AND(Games[[#This Row],[Type]]="P",Games[[#This Row],[Round]]=2),IF(Games[[#This Row],[Result]]&gt;0.5,1,0),0)</f>
        <v>0</v>
      </c>
      <c r="AH520" s="2">
        <f>IF(AND(Games[[#This Row],[Type]]="P",Games[[#This Row],[Round]]=2),IF(Games[[#This Row],[Result]]&lt;0.5,1,0),0)</f>
        <v>0</v>
      </c>
      <c r="AI520" s="2">
        <f>IF(AND(Games[[#This Row],[Type]]="P",Games[[#This Row],[Round]]=3),IF(Games[[#This Row],[Result]]&gt;0.5,1,0),0)</f>
        <v>0</v>
      </c>
      <c r="AJ520" s="2">
        <f>IF(AND(Games[[#This Row],[Type]]="P",Games[[#This Row],[Round]]=3),IF(Games[[#This Row],[Result]]&lt;0.5,1,0),0)</f>
        <v>0</v>
      </c>
      <c r="AK520" s="2">
        <f>IF(AND(Games[[#This Row],[Type]]="P",Games[[#This Row],[Round]]=4),IF(Games[[#This Row],[Result]]&gt;0.5,1,0),0)</f>
        <v>0</v>
      </c>
      <c r="AL520" s="2">
        <f>IF(AND(Games[[#This Row],[Type]]="P",Games[[#This Row],[Round]]=4),IF(Games[[#This Row],[Result]]&lt;0.5,1,0),0)</f>
        <v>0</v>
      </c>
    </row>
    <row r="521" spans="1:38" x14ac:dyDescent="0.35">
      <c r="A521" s="10">
        <v>37484</v>
      </c>
      <c r="B521" s="2">
        <v>2002</v>
      </c>
      <c r="C521" s="2">
        <f>COUNTIFS(Games[Team],Games[[#This Row],[Team]],Games[Season],Games[[#This Row],[Season]],Games[Date],"&lt;=" &amp; Games[[#This Row],[Date]])</f>
        <v>33</v>
      </c>
      <c r="D521" s="2" t="s">
        <v>46</v>
      </c>
      <c r="E521" s="2">
        <v>1</v>
      </c>
      <c r="F521" s="1" t="s">
        <v>43</v>
      </c>
      <c r="G521" s="1" t="s">
        <v>2</v>
      </c>
      <c r="H521" s="1" t="s">
        <v>15</v>
      </c>
      <c r="I521" s="2" cm="1">
        <f t="array" ref="I5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521" s="2" cm="1">
        <f t="array" ref="J5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1" s="2">
        <f>Games[[#This Row],[DaysOff]]-Games[[#This Row],[OppDaysOff]]</f>
        <v>1</v>
      </c>
      <c r="L521" s="2">
        <f>Games[[#This Row],[OppDaysOff]]-Games[[#This Row],[DaysOff]]</f>
        <v>-1</v>
      </c>
      <c r="M521" s="16">
        <f>MAX(-16, MIN(16, Games[[#This Row],[RestDiff]]*8))</f>
        <v>8</v>
      </c>
      <c r="N521" s="16">
        <f>MAX(-16, MIN(16, Games[[#This Row],[OppRestDiff]]*8))</f>
        <v>-8</v>
      </c>
      <c r="O521" s="4" cm="1">
        <f t="array" ref="O5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1568.2705474197105</v>
      </c>
      <c r="P521" s="4" cm="1">
        <f t="array" ref="P5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1654.1362569641874</v>
      </c>
      <c r="Q521" s="4">
        <f>1/(1+10^(((Games[[#This Row],[OppPreGmRate]]+IF(Games[[#This Row],[HomeAway]]="A",HCA,0)+Games[[#This Row],[OppRestAdj]])-(Games[[#This Row],[PreGmRate]]+IF(Games[[#This Row],[HomeAway]]="H",HCA,0)+Games[[#This Row],[RestAdj]]))/400))</f>
        <v>0.52032966506610201</v>
      </c>
      <c r="R521" s="1">
        <v>66</v>
      </c>
      <c r="S521" s="1">
        <v>59</v>
      </c>
      <c r="T521" s="1">
        <v>0</v>
      </c>
      <c r="U521" s="16">
        <f>Games[[#This Row],[PointsFor]]-Games[[#This Row],[PointsAgainst]]</f>
        <v>7</v>
      </c>
      <c r="V521" s="16">
        <f>IF(Games[[#This Row],[MOV]]&gt;0,1,IF(Games[[#This Row],[MOV]]=0,0.5,0))</f>
        <v>1</v>
      </c>
      <c r="W521" s="4">
        <f>((ABS(Games[[#This Row],[MOV]])+5)^0.6)/(12+0.01*(ABS(Games[[#This Row],[PreGmRate]]-Games[[#This Row],[OppPreGmRate]])))*IF(Games[[#This Row],[OT]]=1,0.9,1)</f>
        <v>0.3453926826790632</v>
      </c>
      <c r="X521" s="7" cm="1">
        <f t="array" ref="X5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1" s="9">
        <f>MAX(kmin, kmax - 0.15 * MIN(Games[[#This Row],[GamesPlayed]], 82))</f>
        <v>71.05</v>
      </c>
      <c r="Z521" s="4">
        <f>Games[[#This Row],[K]]*Games[[#This Row],[POMult]]</f>
        <v>78.155000000000001</v>
      </c>
      <c r="AA521" s="4">
        <f>(Games[[#This Row],[Keff]]*Games[[#This Row],[MOVMult]])*(Games[[#This Row],[Result]]-Games[[#This Row],[ExpectedWin%]])</f>
        <v>12.948300221868516</v>
      </c>
      <c r="AB521" s="4">
        <f>Games[[#This Row],[PreGmRate]]+Games[[#This Row],[RatingChange]]</f>
        <v>1581.218847641579</v>
      </c>
      <c r="AC521" s="2">
        <f>IF(Games[[#This Row],[Type]]="R",IF(Games[[#This Row],[Result]]&gt;0.5,1,0),0)</f>
        <v>0</v>
      </c>
      <c r="AD521" s="2">
        <f>IF(Games[[#This Row],[Type]]="R",IF(Games[[#This Row],[Result]]&lt;0.5,1,0),0)</f>
        <v>0</v>
      </c>
      <c r="AE521" s="2">
        <f>IF(AND(Games[[#This Row],[Type]]="P",Games[[#This Row],[Round]]=1),IF(Games[[#This Row],[Result]]&gt;0.5,1,0),0)</f>
        <v>1</v>
      </c>
      <c r="AF521" s="2">
        <f>IF(AND(Games[[#This Row],[Type]]="P",Games[[#This Row],[Round]]=1),IF(Games[[#This Row],[Result]]&lt;0.5,1,0),0)</f>
        <v>0</v>
      </c>
      <c r="AG521" s="2">
        <f>IF(AND(Games[[#This Row],[Type]]="P",Games[[#This Row],[Round]]=2),IF(Games[[#This Row],[Result]]&gt;0.5,1,0),0)</f>
        <v>0</v>
      </c>
      <c r="AH521" s="2">
        <f>IF(AND(Games[[#This Row],[Type]]="P",Games[[#This Row],[Round]]=2),IF(Games[[#This Row],[Result]]&lt;0.5,1,0),0)</f>
        <v>0</v>
      </c>
      <c r="AI521" s="2">
        <f>IF(AND(Games[[#This Row],[Type]]="P",Games[[#This Row],[Round]]=3),IF(Games[[#This Row],[Result]]&gt;0.5,1,0),0)</f>
        <v>0</v>
      </c>
      <c r="AJ521" s="2">
        <f>IF(AND(Games[[#This Row],[Type]]="P",Games[[#This Row],[Round]]=3),IF(Games[[#This Row],[Result]]&lt;0.5,1,0),0)</f>
        <v>0</v>
      </c>
      <c r="AK521" s="2">
        <f>IF(AND(Games[[#This Row],[Type]]="P",Games[[#This Row],[Round]]=4),IF(Games[[#This Row],[Result]]&gt;0.5,1,0),0)</f>
        <v>0</v>
      </c>
      <c r="AL521" s="2">
        <f>IF(AND(Games[[#This Row],[Type]]="P",Games[[#This Row],[Round]]=4),IF(Games[[#This Row],[Result]]&lt;0.5,1,0),0)</f>
        <v>0</v>
      </c>
    </row>
    <row r="522" spans="1:38" x14ac:dyDescent="0.35">
      <c r="A522" s="10">
        <v>37485</v>
      </c>
      <c r="B522" s="2">
        <v>2002</v>
      </c>
      <c r="C522" s="2">
        <f>COUNTIFS(Games[Team],Games[[#This Row],[Team]],Games[Season],Games[[#This Row],[Season]],Games[Date],"&lt;=" &amp; Games[[#This Row],[Date]])</f>
        <v>34</v>
      </c>
      <c r="D522" s="2" t="s">
        <v>46</v>
      </c>
      <c r="E522" s="2">
        <v>1</v>
      </c>
      <c r="F522" s="1" t="s">
        <v>75</v>
      </c>
      <c r="G522" s="1" t="s">
        <v>64</v>
      </c>
      <c r="H522" s="1" t="s">
        <v>16</v>
      </c>
      <c r="I522" s="2" cm="1">
        <f t="array" ref="I5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2" s="2" cm="1">
        <f t="array" ref="J5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2" s="2">
        <f>Games[[#This Row],[DaysOff]]-Games[[#This Row],[OppDaysOff]]</f>
        <v>0</v>
      </c>
      <c r="L522" s="2">
        <f>Games[[#This Row],[OppDaysOff]]-Games[[#This Row],[DaysOff]]</f>
        <v>0</v>
      </c>
      <c r="M522" s="16">
        <f>MAX(-16, MIN(16, Games[[#This Row],[RestDiff]]*8))</f>
        <v>0</v>
      </c>
      <c r="N522" s="16">
        <f>MAX(-16, MIN(16, Games[[#This Row],[OppRestDiff]]*8))</f>
        <v>0</v>
      </c>
      <c r="O522" s="4" cm="1">
        <f t="array" ref="O5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1465.844944402962</v>
      </c>
      <c r="P522" s="4" cm="1">
        <f t="array" ref="P5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1531.5132376490353</v>
      </c>
      <c r="Q522" s="4">
        <f>1/(1+10^(((Games[[#This Row],[OppPreGmRate]]+IF(Games[[#This Row],[HomeAway]]="A",HCA,0)+Games[[#This Row],[OppRestAdj]])-(Games[[#This Row],[PreGmRate]]+IF(Games[[#This Row],[HomeAway]]="H",HCA,0)+Games[[#This Row],[RestAdj]]))/400))</f>
        <v>0.29701352998140801</v>
      </c>
      <c r="R522" s="1">
        <v>62</v>
      </c>
      <c r="S522" s="1">
        <v>59</v>
      </c>
      <c r="T522" s="1">
        <v>0</v>
      </c>
      <c r="U522" s="16">
        <f>Games[[#This Row],[PointsFor]]-Games[[#This Row],[PointsAgainst]]</f>
        <v>3</v>
      </c>
      <c r="V522" s="16">
        <f>IF(Games[[#This Row],[MOV]]&gt;0,1,IF(Games[[#This Row],[MOV]]=0,0.5,0))</f>
        <v>1</v>
      </c>
      <c r="W522" s="4">
        <f>((ABS(Games[[#This Row],[MOV]])+5)^0.6)/(12+0.01*(ABS(Games[[#This Row],[PreGmRate]]-Games[[#This Row],[OppPreGmRate]])))*IF(Games[[#This Row],[OT]]=1,0.9,1)</f>
        <v>0.27512755686196849</v>
      </c>
      <c r="X522" s="7" cm="1">
        <f t="array" ref="X5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2" s="9">
        <f>MAX(kmin, kmax - 0.15 * MIN(Games[[#This Row],[GamesPlayed]], 82))</f>
        <v>70.900000000000006</v>
      </c>
      <c r="Z522" s="4">
        <f>Games[[#This Row],[K]]*Games[[#This Row],[POMult]]</f>
        <v>77.990000000000009</v>
      </c>
      <c r="AA522" s="4">
        <f>(Games[[#This Row],[Keff]]*Games[[#This Row],[MOVMult]])*(Games[[#This Row],[Result]]-Games[[#This Row],[ExpectedWin%]])</f>
        <v>15.084119990752274</v>
      </c>
      <c r="AB522" s="4">
        <f>Games[[#This Row],[PreGmRate]]+Games[[#This Row],[RatingChange]]</f>
        <v>1480.9290643937143</v>
      </c>
      <c r="AC522" s="2">
        <f>IF(Games[[#This Row],[Type]]="R",IF(Games[[#This Row],[Result]]&gt;0.5,1,0),0)</f>
        <v>0</v>
      </c>
      <c r="AD522" s="2">
        <f>IF(Games[[#This Row],[Type]]="R",IF(Games[[#This Row],[Result]]&lt;0.5,1,0),0)</f>
        <v>0</v>
      </c>
      <c r="AE522" s="2">
        <f>IF(AND(Games[[#This Row],[Type]]="P",Games[[#This Row],[Round]]=1),IF(Games[[#This Row],[Result]]&gt;0.5,1,0),0)</f>
        <v>1</v>
      </c>
      <c r="AF522" s="2">
        <f>IF(AND(Games[[#This Row],[Type]]="P",Games[[#This Row],[Round]]=1),IF(Games[[#This Row],[Result]]&lt;0.5,1,0),0)</f>
        <v>0</v>
      </c>
      <c r="AG522" s="2">
        <f>IF(AND(Games[[#This Row],[Type]]="P",Games[[#This Row],[Round]]=2),IF(Games[[#This Row],[Result]]&gt;0.5,1,0),0)</f>
        <v>0</v>
      </c>
      <c r="AH522" s="2">
        <f>IF(AND(Games[[#This Row],[Type]]="P",Games[[#This Row],[Round]]=2),IF(Games[[#This Row],[Result]]&lt;0.5,1,0),0)</f>
        <v>0</v>
      </c>
      <c r="AI522" s="2">
        <f>IF(AND(Games[[#This Row],[Type]]="P",Games[[#This Row],[Round]]=3),IF(Games[[#This Row],[Result]]&gt;0.5,1,0),0)</f>
        <v>0</v>
      </c>
      <c r="AJ522" s="2">
        <f>IF(AND(Games[[#This Row],[Type]]="P",Games[[#This Row],[Round]]=3),IF(Games[[#This Row],[Result]]&lt;0.5,1,0),0)</f>
        <v>0</v>
      </c>
      <c r="AK522" s="2">
        <f>IF(AND(Games[[#This Row],[Type]]="P",Games[[#This Row],[Round]]=4),IF(Games[[#This Row],[Result]]&gt;0.5,1,0),0)</f>
        <v>0</v>
      </c>
      <c r="AL522" s="2">
        <f>IF(AND(Games[[#This Row],[Type]]="P",Games[[#This Row],[Round]]=4),IF(Games[[#This Row],[Result]]&lt;0.5,1,0),0)</f>
        <v>0</v>
      </c>
    </row>
    <row r="523" spans="1:38" x14ac:dyDescent="0.35">
      <c r="A523" s="10">
        <v>37485</v>
      </c>
      <c r="B523" s="2">
        <v>2002</v>
      </c>
      <c r="C523" s="2">
        <f>COUNTIFS(Games[Team],Games[[#This Row],[Team]],Games[Season],Games[[#This Row],[Season]],Games[Date],"&lt;=" &amp; Games[[#This Row],[Date]])</f>
        <v>34</v>
      </c>
      <c r="D523" s="2" t="s">
        <v>46</v>
      </c>
      <c r="E523" s="2">
        <v>1</v>
      </c>
      <c r="F523" s="1" t="s">
        <v>64</v>
      </c>
      <c r="G523" s="1" t="s">
        <v>75</v>
      </c>
      <c r="H523" s="1" t="s">
        <v>15</v>
      </c>
      <c r="I523" s="2" cm="1">
        <f t="array" ref="I5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3" s="2" cm="1">
        <f t="array" ref="J5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3" s="2">
        <f>Games[[#This Row],[DaysOff]]-Games[[#This Row],[OppDaysOff]]</f>
        <v>0</v>
      </c>
      <c r="L523" s="2">
        <f>Games[[#This Row],[OppDaysOff]]-Games[[#This Row],[DaysOff]]</f>
        <v>0</v>
      </c>
      <c r="M523" s="16">
        <f>MAX(-16, MIN(16, Games[[#This Row],[RestDiff]]*8))</f>
        <v>0</v>
      </c>
      <c r="N523" s="16">
        <f>MAX(-16, MIN(16, Games[[#This Row],[OppRestDiff]]*8))</f>
        <v>0</v>
      </c>
      <c r="O523" s="4" cm="1">
        <f t="array" ref="O5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1531.5132376490353</v>
      </c>
      <c r="P523" s="4" cm="1">
        <f t="array" ref="P5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1465.844944402962</v>
      </c>
      <c r="Q523" s="4">
        <f>1/(1+10^(((Games[[#This Row],[OppPreGmRate]]+IF(Games[[#This Row],[HomeAway]]="A",HCA,0)+Games[[#This Row],[OppRestAdj]])-(Games[[#This Row],[PreGmRate]]+IF(Games[[#This Row],[HomeAway]]="H",HCA,0)+Games[[#This Row],[RestAdj]]))/400))</f>
        <v>0.70298647001859205</v>
      </c>
      <c r="R523" s="1">
        <v>59</v>
      </c>
      <c r="S523" s="1">
        <v>62</v>
      </c>
      <c r="T523" s="1">
        <v>0</v>
      </c>
      <c r="U523" s="16">
        <f>Games[[#This Row],[PointsFor]]-Games[[#This Row],[PointsAgainst]]</f>
        <v>-3</v>
      </c>
      <c r="V523" s="16">
        <f>IF(Games[[#This Row],[MOV]]&gt;0,1,IF(Games[[#This Row],[MOV]]=0,0.5,0))</f>
        <v>0</v>
      </c>
      <c r="W523" s="4">
        <f>((ABS(Games[[#This Row],[MOV]])+5)^0.6)/(12+0.01*(ABS(Games[[#This Row],[PreGmRate]]-Games[[#This Row],[OppPreGmRate]])))*IF(Games[[#This Row],[OT]]=1,0.9,1)</f>
        <v>0.27512755686196849</v>
      </c>
      <c r="X523" s="7" cm="1">
        <f t="array" ref="X5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3" s="9">
        <f>MAX(kmin, kmax - 0.15 * MIN(Games[[#This Row],[GamesPlayed]], 82))</f>
        <v>70.900000000000006</v>
      </c>
      <c r="Z523" s="4">
        <f>Games[[#This Row],[K]]*Games[[#This Row],[POMult]]</f>
        <v>77.990000000000009</v>
      </c>
      <c r="AA523" s="4">
        <f>(Games[[#This Row],[Keff]]*Games[[#This Row],[MOVMult]])*(Games[[#This Row],[Result]]-Games[[#This Row],[ExpectedWin%]])</f>
        <v>-15.084119990752276</v>
      </c>
      <c r="AB523" s="4">
        <f>Games[[#This Row],[PreGmRate]]+Games[[#This Row],[RatingChange]]</f>
        <v>1516.4291176582831</v>
      </c>
      <c r="AC523" s="2">
        <f>IF(Games[[#This Row],[Type]]="R",IF(Games[[#This Row],[Result]]&gt;0.5,1,0),0)</f>
        <v>0</v>
      </c>
      <c r="AD523" s="2">
        <f>IF(Games[[#This Row],[Type]]="R",IF(Games[[#This Row],[Result]]&lt;0.5,1,0),0)</f>
        <v>0</v>
      </c>
      <c r="AE523" s="2">
        <f>IF(AND(Games[[#This Row],[Type]]="P",Games[[#This Row],[Round]]=1),IF(Games[[#This Row],[Result]]&gt;0.5,1,0),0)</f>
        <v>0</v>
      </c>
      <c r="AF523" s="2">
        <f>IF(AND(Games[[#This Row],[Type]]="P",Games[[#This Row],[Round]]=1),IF(Games[[#This Row],[Result]]&lt;0.5,1,0),0)</f>
        <v>1</v>
      </c>
      <c r="AG523" s="2">
        <f>IF(AND(Games[[#This Row],[Type]]="P",Games[[#This Row],[Round]]=2),IF(Games[[#This Row],[Result]]&gt;0.5,1,0),0)</f>
        <v>0</v>
      </c>
      <c r="AH523" s="2">
        <f>IF(AND(Games[[#This Row],[Type]]="P",Games[[#This Row],[Round]]=2),IF(Games[[#This Row],[Result]]&lt;0.5,1,0),0)</f>
        <v>0</v>
      </c>
      <c r="AI523" s="2">
        <f>IF(AND(Games[[#This Row],[Type]]="P",Games[[#This Row],[Round]]=3),IF(Games[[#This Row],[Result]]&gt;0.5,1,0),0)</f>
        <v>0</v>
      </c>
      <c r="AJ523" s="2">
        <f>IF(AND(Games[[#This Row],[Type]]="P",Games[[#This Row],[Round]]=3),IF(Games[[#This Row],[Result]]&lt;0.5,1,0),0)</f>
        <v>0</v>
      </c>
      <c r="AK523" s="2">
        <f>IF(AND(Games[[#This Row],[Type]]="P",Games[[#This Row],[Round]]=4),IF(Games[[#This Row],[Result]]&gt;0.5,1,0),0)</f>
        <v>0</v>
      </c>
      <c r="AL523" s="2">
        <f>IF(AND(Games[[#This Row],[Type]]="P",Games[[#This Row],[Round]]=4),IF(Games[[#This Row],[Result]]&lt;0.5,1,0),0)</f>
        <v>0</v>
      </c>
    </row>
    <row r="524" spans="1:38" x14ac:dyDescent="0.35">
      <c r="A524" s="10">
        <v>37485</v>
      </c>
      <c r="B524" s="2">
        <v>2002</v>
      </c>
      <c r="C524" s="2">
        <f>COUNTIFS(Games[Team],Games[[#This Row],[Team]],Games[Season],Games[[#This Row],[Season]],Games[Date],"&lt;=" &amp; Games[[#This Row],[Date]])</f>
        <v>34</v>
      </c>
      <c r="D524" s="2" t="s">
        <v>46</v>
      </c>
      <c r="E524" s="2">
        <v>1</v>
      </c>
      <c r="F524" s="1" t="s">
        <v>87</v>
      </c>
      <c r="G524" s="1" t="s">
        <v>71</v>
      </c>
      <c r="H524" s="1" t="s">
        <v>16</v>
      </c>
      <c r="I524" s="2" cm="1">
        <f t="array" ref="I5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4" s="2" cm="1">
        <f t="array" ref="J5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4" s="2">
        <f>Games[[#This Row],[DaysOff]]-Games[[#This Row],[OppDaysOff]]</f>
        <v>0</v>
      </c>
      <c r="L524" s="2">
        <f>Games[[#This Row],[OppDaysOff]]-Games[[#This Row],[DaysOff]]</f>
        <v>0</v>
      </c>
      <c r="M524" s="16">
        <f>MAX(-16, MIN(16, Games[[#This Row],[RestDiff]]*8))</f>
        <v>0</v>
      </c>
      <c r="N524" s="16">
        <f>MAX(-16, MIN(16, Games[[#This Row],[OppRestDiff]]*8))</f>
        <v>0</v>
      </c>
      <c r="O524" s="4" cm="1">
        <f t="array" ref="O5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1518.1784370549012</v>
      </c>
      <c r="P524" s="4" cm="1">
        <f t="array" ref="P5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1705.5722298156045</v>
      </c>
      <c r="Q524" s="4">
        <f>1/(1+10^(((Games[[#This Row],[OppPreGmRate]]+IF(Games[[#This Row],[HomeAway]]="A",HCA,0)+Games[[#This Row],[OppRestAdj]])-(Games[[#This Row],[PreGmRate]]+IF(Games[[#This Row],[HomeAway]]="H",HCA,0)+Games[[#This Row],[RestAdj]]))/400))</f>
        <v>0.17332140825762046</v>
      </c>
      <c r="R524" s="1">
        <v>59</v>
      </c>
      <c r="S524" s="1">
        <v>69</v>
      </c>
      <c r="T524" s="1">
        <v>0</v>
      </c>
      <c r="U524" s="16">
        <f>Games[[#This Row],[PointsFor]]-Games[[#This Row],[PointsAgainst]]</f>
        <v>-10</v>
      </c>
      <c r="V524" s="16">
        <f>IF(Games[[#This Row],[MOV]]&gt;0,1,IF(Games[[#This Row],[MOV]]=0,0.5,0))</f>
        <v>0</v>
      </c>
      <c r="W524" s="4">
        <f>((ABS(Games[[#This Row],[MOV]])+5)^0.6)/(12+0.01*(ABS(Games[[#This Row],[PreGmRate]]-Games[[#This Row],[OppPreGmRate]])))*IF(Games[[#This Row],[OT]]=1,0.9,1)</f>
        <v>0.36597802429862686</v>
      </c>
      <c r="X524" s="7" cm="1">
        <f t="array" ref="X5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4" s="9">
        <f>MAX(kmin, kmax - 0.15 * MIN(Games[[#This Row],[GamesPlayed]], 82))</f>
        <v>70.900000000000006</v>
      </c>
      <c r="Z524" s="4">
        <f>Games[[#This Row],[K]]*Games[[#This Row],[POMult]]</f>
        <v>77.990000000000009</v>
      </c>
      <c r="AA524" s="4">
        <f>(Games[[#This Row],[Keff]]*Games[[#This Row],[MOVMult]])*(Games[[#This Row],[Result]]-Games[[#This Row],[ExpectedWin%]])</f>
        <v>-4.9470481536311857</v>
      </c>
      <c r="AB524" s="4">
        <f>Games[[#This Row],[PreGmRate]]+Games[[#This Row],[RatingChange]]</f>
        <v>1513.2313889012701</v>
      </c>
      <c r="AC524" s="2">
        <f>IF(Games[[#This Row],[Type]]="R",IF(Games[[#This Row],[Result]]&gt;0.5,1,0),0)</f>
        <v>0</v>
      </c>
      <c r="AD524" s="2">
        <f>IF(Games[[#This Row],[Type]]="R",IF(Games[[#This Row],[Result]]&lt;0.5,1,0),0)</f>
        <v>0</v>
      </c>
      <c r="AE524" s="2">
        <f>IF(AND(Games[[#This Row],[Type]]="P",Games[[#This Row],[Round]]=1),IF(Games[[#This Row],[Result]]&gt;0.5,1,0),0)</f>
        <v>0</v>
      </c>
      <c r="AF524" s="2">
        <f>IF(AND(Games[[#This Row],[Type]]="P",Games[[#This Row],[Round]]=1),IF(Games[[#This Row],[Result]]&lt;0.5,1,0),0)</f>
        <v>1</v>
      </c>
      <c r="AG524" s="2">
        <f>IF(AND(Games[[#This Row],[Type]]="P",Games[[#This Row],[Round]]=2),IF(Games[[#This Row],[Result]]&gt;0.5,1,0),0)</f>
        <v>0</v>
      </c>
      <c r="AH524" s="2">
        <f>IF(AND(Games[[#This Row],[Type]]="P",Games[[#This Row],[Round]]=2),IF(Games[[#This Row],[Result]]&lt;0.5,1,0),0)</f>
        <v>0</v>
      </c>
      <c r="AI524" s="2">
        <f>IF(AND(Games[[#This Row],[Type]]="P",Games[[#This Row],[Round]]=3),IF(Games[[#This Row],[Result]]&gt;0.5,1,0),0)</f>
        <v>0</v>
      </c>
      <c r="AJ524" s="2">
        <f>IF(AND(Games[[#This Row],[Type]]="P",Games[[#This Row],[Round]]=3),IF(Games[[#This Row],[Result]]&lt;0.5,1,0),0)</f>
        <v>0</v>
      </c>
      <c r="AK524" s="2">
        <f>IF(AND(Games[[#This Row],[Type]]="P",Games[[#This Row],[Round]]=4),IF(Games[[#This Row],[Result]]&gt;0.5,1,0),0)</f>
        <v>0</v>
      </c>
      <c r="AL524" s="2">
        <f>IF(AND(Games[[#This Row],[Type]]="P",Games[[#This Row],[Round]]=4),IF(Games[[#This Row],[Result]]&lt;0.5,1,0),0)</f>
        <v>0</v>
      </c>
    </row>
    <row r="525" spans="1:38" x14ac:dyDescent="0.35">
      <c r="A525" s="10">
        <v>37485</v>
      </c>
      <c r="B525" s="2">
        <v>2002</v>
      </c>
      <c r="C525" s="2">
        <f>COUNTIFS(Games[Team],Games[[#This Row],[Team]],Games[Season],Games[[#This Row],[Season]],Games[Date],"&lt;=" &amp; Games[[#This Row],[Date]])</f>
        <v>34</v>
      </c>
      <c r="D525" s="2" t="s">
        <v>46</v>
      </c>
      <c r="E525" s="2">
        <v>1</v>
      </c>
      <c r="F525" s="1" t="s">
        <v>71</v>
      </c>
      <c r="G525" s="1" t="s">
        <v>87</v>
      </c>
      <c r="H525" s="1" t="s">
        <v>15</v>
      </c>
      <c r="I525" s="2" cm="1">
        <f t="array" ref="I5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5" s="2" cm="1">
        <f t="array" ref="J5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5" s="2">
        <f>Games[[#This Row],[DaysOff]]-Games[[#This Row],[OppDaysOff]]</f>
        <v>0</v>
      </c>
      <c r="L525" s="2">
        <f>Games[[#This Row],[OppDaysOff]]-Games[[#This Row],[DaysOff]]</f>
        <v>0</v>
      </c>
      <c r="M525" s="16">
        <f>MAX(-16, MIN(16, Games[[#This Row],[RestDiff]]*8))</f>
        <v>0</v>
      </c>
      <c r="N525" s="16">
        <f>MAX(-16, MIN(16, Games[[#This Row],[OppRestDiff]]*8))</f>
        <v>0</v>
      </c>
      <c r="O525" s="4" cm="1">
        <f t="array" ref="O5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1705.5722298156045</v>
      </c>
      <c r="P525" s="4" cm="1">
        <f t="array" ref="P5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1518.1784370549012</v>
      </c>
      <c r="Q525" s="4">
        <f>1/(1+10^(((Games[[#This Row],[OppPreGmRate]]+IF(Games[[#This Row],[HomeAway]]="A",HCA,0)+Games[[#This Row],[OppRestAdj]])-(Games[[#This Row],[PreGmRate]]+IF(Games[[#This Row],[HomeAway]]="H",HCA,0)+Games[[#This Row],[RestAdj]]))/400))</f>
        <v>0.82667859174237956</v>
      </c>
      <c r="R525" s="1">
        <v>69</v>
      </c>
      <c r="S525" s="1">
        <v>59</v>
      </c>
      <c r="T525" s="1">
        <v>0</v>
      </c>
      <c r="U525" s="16">
        <f>Games[[#This Row],[PointsFor]]-Games[[#This Row],[PointsAgainst]]</f>
        <v>10</v>
      </c>
      <c r="V525" s="16">
        <f>IF(Games[[#This Row],[MOV]]&gt;0,1,IF(Games[[#This Row],[MOV]]=0,0.5,0))</f>
        <v>1</v>
      </c>
      <c r="W525" s="4">
        <f>((ABS(Games[[#This Row],[MOV]])+5)^0.6)/(12+0.01*(ABS(Games[[#This Row],[PreGmRate]]-Games[[#This Row],[OppPreGmRate]])))*IF(Games[[#This Row],[OT]]=1,0.9,1)</f>
        <v>0.36597802429862686</v>
      </c>
      <c r="X525" s="7" cm="1">
        <f t="array" ref="X5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5" s="9">
        <f>MAX(kmin, kmax - 0.15 * MIN(Games[[#This Row],[GamesPlayed]], 82))</f>
        <v>70.900000000000006</v>
      </c>
      <c r="Z525" s="4">
        <f>Games[[#This Row],[K]]*Games[[#This Row],[POMult]]</f>
        <v>77.990000000000009</v>
      </c>
      <c r="AA525" s="4">
        <f>(Games[[#This Row],[Keff]]*Games[[#This Row],[MOVMult]])*(Games[[#This Row],[Result]]-Games[[#This Row],[ExpectedWin%]])</f>
        <v>4.9470481536311848</v>
      </c>
      <c r="AB525" s="4">
        <f>Games[[#This Row],[PreGmRate]]+Games[[#This Row],[RatingChange]]</f>
        <v>1710.5192779692356</v>
      </c>
      <c r="AC525" s="2">
        <f>IF(Games[[#This Row],[Type]]="R",IF(Games[[#This Row],[Result]]&gt;0.5,1,0),0)</f>
        <v>0</v>
      </c>
      <c r="AD525" s="2">
        <f>IF(Games[[#This Row],[Type]]="R",IF(Games[[#This Row],[Result]]&lt;0.5,1,0),0)</f>
        <v>0</v>
      </c>
      <c r="AE525" s="2">
        <f>IF(AND(Games[[#This Row],[Type]]="P",Games[[#This Row],[Round]]=1),IF(Games[[#This Row],[Result]]&gt;0.5,1,0),0)</f>
        <v>1</v>
      </c>
      <c r="AF525" s="2">
        <f>IF(AND(Games[[#This Row],[Type]]="P",Games[[#This Row],[Round]]=1),IF(Games[[#This Row],[Result]]&lt;0.5,1,0),0)</f>
        <v>0</v>
      </c>
      <c r="AG525" s="2">
        <f>IF(AND(Games[[#This Row],[Type]]="P",Games[[#This Row],[Round]]=2),IF(Games[[#This Row],[Result]]&gt;0.5,1,0),0)</f>
        <v>0</v>
      </c>
      <c r="AH525" s="2">
        <f>IF(AND(Games[[#This Row],[Type]]="P",Games[[#This Row],[Round]]=2),IF(Games[[#This Row],[Result]]&lt;0.5,1,0),0)</f>
        <v>0</v>
      </c>
      <c r="AI525" s="2">
        <f>IF(AND(Games[[#This Row],[Type]]="P",Games[[#This Row],[Round]]=3),IF(Games[[#This Row],[Result]]&gt;0.5,1,0),0)</f>
        <v>0</v>
      </c>
      <c r="AJ525" s="2">
        <f>IF(AND(Games[[#This Row],[Type]]="P",Games[[#This Row],[Round]]=3),IF(Games[[#This Row],[Result]]&lt;0.5,1,0),0)</f>
        <v>0</v>
      </c>
      <c r="AK525" s="2">
        <f>IF(AND(Games[[#This Row],[Type]]="P",Games[[#This Row],[Round]]=4),IF(Games[[#This Row],[Result]]&gt;0.5,1,0),0)</f>
        <v>0</v>
      </c>
      <c r="AL525" s="2">
        <f>IF(AND(Games[[#This Row],[Type]]="P",Games[[#This Row],[Round]]=4),IF(Games[[#This Row],[Result]]&lt;0.5,1,0),0)</f>
        <v>0</v>
      </c>
    </row>
    <row r="526" spans="1:38" x14ac:dyDescent="0.35">
      <c r="A526" s="10">
        <v>37486</v>
      </c>
      <c r="B526" s="2">
        <v>2002</v>
      </c>
      <c r="C526" s="2">
        <f>COUNTIFS(Games[Team],Games[[#This Row],[Team]],Games[Season],Games[[#This Row],[Season]],Games[Date],"&lt;=" &amp; Games[[#This Row],[Date]])</f>
        <v>34</v>
      </c>
      <c r="D526" s="2" t="s">
        <v>46</v>
      </c>
      <c r="E526" s="2">
        <v>1</v>
      </c>
      <c r="F526" s="1" t="s">
        <v>43</v>
      </c>
      <c r="G526" s="1" t="s">
        <v>2</v>
      </c>
      <c r="H526" s="1" t="s">
        <v>16</v>
      </c>
      <c r="I526" s="2" cm="1">
        <f t="array" ref="I5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6" s="2" cm="1">
        <f t="array" ref="J5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6" s="2">
        <f>Games[[#This Row],[DaysOff]]-Games[[#This Row],[OppDaysOff]]</f>
        <v>0</v>
      </c>
      <c r="L526" s="2">
        <f>Games[[#This Row],[OppDaysOff]]-Games[[#This Row],[DaysOff]]</f>
        <v>0</v>
      </c>
      <c r="M526" s="16">
        <f>MAX(-16, MIN(16, Games[[#This Row],[RestDiff]]*8))</f>
        <v>0</v>
      </c>
      <c r="N526" s="16">
        <f>MAX(-16, MIN(16, Games[[#This Row],[OppRestDiff]]*8))</f>
        <v>0</v>
      </c>
      <c r="O526" s="4" cm="1">
        <f t="array" ref="O5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1581.218847641579</v>
      </c>
      <c r="P526" s="4" cm="1">
        <f t="array" ref="P5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1641.1879567423189</v>
      </c>
      <c r="Q526" s="4">
        <f>1/(1+10^(((Games[[#This Row],[OppPreGmRate]]+IF(Games[[#This Row],[HomeAway]]="A",HCA,0)+Games[[#This Row],[OppRestAdj]])-(Games[[#This Row],[PreGmRate]]+IF(Games[[#This Row],[HomeAway]]="H",HCA,0)+Games[[#This Row],[RestAdj]]))/400))</f>
        <v>0.30390884625887477</v>
      </c>
      <c r="R526" s="1">
        <v>77</v>
      </c>
      <c r="S526" s="1">
        <v>83</v>
      </c>
      <c r="T526" s="1">
        <v>1</v>
      </c>
      <c r="U526" s="16">
        <f>Games[[#This Row],[PointsFor]]-Games[[#This Row],[PointsAgainst]]</f>
        <v>-6</v>
      </c>
      <c r="V526" s="16">
        <f>IF(Games[[#This Row],[MOV]]&gt;0,1,IF(Games[[#This Row],[MOV]]=0,0.5,0))</f>
        <v>0</v>
      </c>
      <c r="W526" s="4">
        <f>((ABS(Games[[#This Row],[MOV]])+5)^0.6)/(12+0.01*(ABS(Games[[#This Row],[PreGmRate]]-Games[[#This Row],[OppPreGmRate]])))*IF(Games[[#This Row],[OT]]=1,0.9,1)</f>
        <v>0.30110517729203923</v>
      </c>
      <c r="X526" s="7" cm="1">
        <f t="array" ref="X5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6" s="9">
        <f>MAX(kmin, kmax - 0.15 * MIN(Games[[#This Row],[GamesPlayed]], 82))</f>
        <v>70.900000000000006</v>
      </c>
      <c r="Z526" s="4">
        <f>Games[[#This Row],[K]]*Games[[#This Row],[POMult]]</f>
        <v>77.990000000000009</v>
      </c>
      <c r="AA526" s="4">
        <f>(Games[[#This Row],[Keff]]*Games[[#This Row],[MOVMult]])*(Games[[#This Row],[Result]]-Games[[#This Row],[ExpectedWin%]])</f>
        <v>-7.1367500233346783</v>
      </c>
      <c r="AB526" s="4">
        <f>Games[[#This Row],[PreGmRate]]+Games[[#This Row],[RatingChange]]</f>
        <v>1574.0820976182445</v>
      </c>
      <c r="AC526" s="2">
        <f>IF(Games[[#This Row],[Type]]="R",IF(Games[[#This Row],[Result]]&gt;0.5,1,0),0)</f>
        <v>0</v>
      </c>
      <c r="AD526" s="2">
        <f>IF(Games[[#This Row],[Type]]="R",IF(Games[[#This Row],[Result]]&lt;0.5,1,0),0)</f>
        <v>0</v>
      </c>
      <c r="AE526" s="2">
        <f>IF(AND(Games[[#This Row],[Type]]="P",Games[[#This Row],[Round]]=1),IF(Games[[#This Row],[Result]]&gt;0.5,1,0),0)</f>
        <v>0</v>
      </c>
      <c r="AF526" s="2">
        <f>IF(AND(Games[[#This Row],[Type]]="P",Games[[#This Row],[Round]]=1),IF(Games[[#This Row],[Result]]&lt;0.5,1,0),0)</f>
        <v>1</v>
      </c>
      <c r="AG526" s="2">
        <f>IF(AND(Games[[#This Row],[Type]]="P",Games[[#This Row],[Round]]=2),IF(Games[[#This Row],[Result]]&gt;0.5,1,0),0)</f>
        <v>0</v>
      </c>
      <c r="AH526" s="2">
        <f>IF(AND(Games[[#This Row],[Type]]="P",Games[[#This Row],[Round]]=2),IF(Games[[#This Row],[Result]]&lt;0.5,1,0),0)</f>
        <v>0</v>
      </c>
      <c r="AI526" s="2">
        <f>IF(AND(Games[[#This Row],[Type]]="P",Games[[#This Row],[Round]]=3),IF(Games[[#This Row],[Result]]&gt;0.5,1,0),0)</f>
        <v>0</v>
      </c>
      <c r="AJ526" s="2">
        <f>IF(AND(Games[[#This Row],[Type]]="P",Games[[#This Row],[Round]]=3),IF(Games[[#This Row],[Result]]&lt;0.5,1,0),0)</f>
        <v>0</v>
      </c>
      <c r="AK526" s="2">
        <f>IF(AND(Games[[#This Row],[Type]]="P",Games[[#This Row],[Round]]=4),IF(Games[[#This Row],[Result]]&gt;0.5,1,0),0)</f>
        <v>0</v>
      </c>
      <c r="AL526" s="2">
        <f>IF(AND(Games[[#This Row],[Type]]="P",Games[[#This Row],[Round]]=4),IF(Games[[#This Row],[Result]]&lt;0.5,1,0),0)</f>
        <v>0</v>
      </c>
    </row>
    <row r="527" spans="1:38" x14ac:dyDescent="0.35">
      <c r="A527" s="10">
        <v>37486</v>
      </c>
      <c r="B527" s="2">
        <v>2002</v>
      </c>
      <c r="C527" s="2">
        <f>COUNTIFS(Games[Team],Games[[#This Row],[Team]],Games[Season],Games[[#This Row],[Season]],Games[Date],"&lt;=" &amp; Games[[#This Row],[Date]])</f>
        <v>34</v>
      </c>
      <c r="D527" s="2" t="s">
        <v>46</v>
      </c>
      <c r="E527" s="2">
        <v>1</v>
      </c>
      <c r="F527" s="1" t="s">
        <v>2</v>
      </c>
      <c r="G527" s="1" t="s">
        <v>43</v>
      </c>
      <c r="H527" s="1" t="s">
        <v>15</v>
      </c>
      <c r="I527" s="2" cm="1">
        <f t="array" ref="I5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7" s="2" cm="1">
        <f t="array" ref="J5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7" s="2">
        <f>Games[[#This Row],[DaysOff]]-Games[[#This Row],[OppDaysOff]]</f>
        <v>0</v>
      </c>
      <c r="L527" s="2">
        <f>Games[[#This Row],[OppDaysOff]]-Games[[#This Row],[DaysOff]]</f>
        <v>0</v>
      </c>
      <c r="M527" s="16">
        <f>MAX(-16, MIN(16, Games[[#This Row],[RestDiff]]*8))</f>
        <v>0</v>
      </c>
      <c r="N527" s="16">
        <f>MAX(-16, MIN(16, Games[[#This Row],[OppRestDiff]]*8))</f>
        <v>0</v>
      </c>
      <c r="O527" s="4" cm="1">
        <f t="array" ref="O5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1641.1879567423189</v>
      </c>
      <c r="P527" s="4" cm="1">
        <f t="array" ref="P5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1581.218847641579</v>
      </c>
      <c r="Q527" s="4">
        <f>1/(1+10^(((Games[[#This Row],[OppPreGmRate]]+IF(Games[[#This Row],[HomeAway]]="A",HCA,0)+Games[[#This Row],[OppRestAdj]])-(Games[[#This Row],[PreGmRate]]+IF(Games[[#This Row],[HomeAway]]="H",HCA,0)+Games[[#This Row],[RestAdj]]))/400))</f>
        <v>0.69609115374112529</v>
      </c>
      <c r="R527" s="1">
        <v>83</v>
      </c>
      <c r="S527" s="1">
        <v>77</v>
      </c>
      <c r="T527" s="1">
        <v>1</v>
      </c>
      <c r="U527" s="16">
        <f>Games[[#This Row],[PointsFor]]-Games[[#This Row],[PointsAgainst]]</f>
        <v>6</v>
      </c>
      <c r="V527" s="16">
        <f>IF(Games[[#This Row],[MOV]]&gt;0,1,IF(Games[[#This Row],[MOV]]=0,0.5,0))</f>
        <v>1</v>
      </c>
      <c r="W527" s="4">
        <f>((ABS(Games[[#This Row],[MOV]])+5)^0.6)/(12+0.01*(ABS(Games[[#This Row],[PreGmRate]]-Games[[#This Row],[OppPreGmRate]])))*IF(Games[[#This Row],[OT]]=1,0.9,1)</f>
        <v>0.30110517729203923</v>
      </c>
      <c r="X527" s="7" cm="1">
        <f t="array" ref="X5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7" s="9">
        <f>MAX(kmin, kmax - 0.15 * MIN(Games[[#This Row],[GamesPlayed]], 82))</f>
        <v>70.900000000000006</v>
      </c>
      <c r="Z527" s="4">
        <f>Games[[#This Row],[K]]*Games[[#This Row],[POMult]]</f>
        <v>77.990000000000009</v>
      </c>
      <c r="AA527" s="4">
        <f>(Games[[#This Row],[Keff]]*Games[[#This Row],[MOVMult]])*(Games[[#This Row],[Result]]-Games[[#This Row],[ExpectedWin%]])</f>
        <v>7.1367500233346766</v>
      </c>
      <c r="AB527" s="4">
        <f>Games[[#This Row],[PreGmRate]]+Games[[#This Row],[RatingChange]]</f>
        <v>1648.3247067656534</v>
      </c>
      <c r="AC527" s="2">
        <f>IF(Games[[#This Row],[Type]]="R",IF(Games[[#This Row],[Result]]&gt;0.5,1,0),0)</f>
        <v>0</v>
      </c>
      <c r="AD527" s="2">
        <f>IF(Games[[#This Row],[Type]]="R",IF(Games[[#This Row],[Result]]&lt;0.5,1,0),0)</f>
        <v>0</v>
      </c>
      <c r="AE527" s="2">
        <f>IF(AND(Games[[#This Row],[Type]]="P",Games[[#This Row],[Round]]=1),IF(Games[[#This Row],[Result]]&gt;0.5,1,0),0)</f>
        <v>1</v>
      </c>
      <c r="AF527" s="2">
        <f>IF(AND(Games[[#This Row],[Type]]="P",Games[[#This Row],[Round]]=1),IF(Games[[#This Row],[Result]]&lt;0.5,1,0),0)</f>
        <v>0</v>
      </c>
      <c r="AG527" s="2">
        <f>IF(AND(Games[[#This Row],[Type]]="P",Games[[#This Row],[Round]]=2),IF(Games[[#This Row],[Result]]&gt;0.5,1,0),0)</f>
        <v>0</v>
      </c>
      <c r="AH527" s="2">
        <f>IF(AND(Games[[#This Row],[Type]]="P",Games[[#This Row],[Round]]=2),IF(Games[[#This Row],[Result]]&lt;0.5,1,0),0)</f>
        <v>0</v>
      </c>
      <c r="AI527" s="2">
        <f>IF(AND(Games[[#This Row],[Type]]="P",Games[[#This Row],[Round]]=3),IF(Games[[#This Row],[Result]]&gt;0.5,1,0),0)</f>
        <v>0</v>
      </c>
      <c r="AJ527" s="2">
        <f>IF(AND(Games[[#This Row],[Type]]="P",Games[[#This Row],[Round]]=3),IF(Games[[#This Row],[Result]]&lt;0.5,1,0),0)</f>
        <v>0</v>
      </c>
      <c r="AK527" s="2">
        <f>IF(AND(Games[[#This Row],[Type]]="P",Games[[#This Row],[Round]]=4),IF(Games[[#This Row],[Result]]&gt;0.5,1,0),0)</f>
        <v>0</v>
      </c>
      <c r="AL527" s="2">
        <f>IF(AND(Games[[#This Row],[Type]]="P",Games[[#This Row],[Round]]=4),IF(Games[[#This Row],[Result]]&lt;0.5,1,0),0)</f>
        <v>0</v>
      </c>
    </row>
    <row r="528" spans="1:38" x14ac:dyDescent="0.35">
      <c r="A528" s="10">
        <v>37486</v>
      </c>
      <c r="B528" s="2">
        <v>2002</v>
      </c>
      <c r="C528" s="2">
        <f>COUNTIFS(Games[Team],Games[[#This Row],[Team]],Games[Season],Games[[#This Row],[Season]],Games[Date],"&lt;=" &amp; Games[[#This Row],[Date]])</f>
        <v>34</v>
      </c>
      <c r="D528" s="2" t="s">
        <v>46</v>
      </c>
      <c r="E528" s="2">
        <v>1</v>
      </c>
      <c r="F528" s="1" t="s">
        <v>85</v>
      </c>
      <c r="G528" s="1" t="s">
        <v>66</v>
      </c>
      <c r="H528" s="1" t="s">
        <v>16</v>
      </c>
      <c r="I528" s="2" cm="1">
        <f t="array" ref="I5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8" s="2" cm="1">
        <f t="array" ref="J5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8" s="2">
        <f>Games[[#This Row],[DaysOff]]-Games[[#This Row],[OppDaysOff]]</f>
        <v>0</v>
      </c>
      <c r="L528" s="2">
        <f>Games[[#This Row],[OppDaysOff]]-Games[[#This Row],[DaysOff]]</f>
        <v>0</v>
      </c>
      <c r="M528" s="16">
        <f>MAX(-16, MIN(16, Games[[#This Row],[RestDiff]]*8))</f>
        <v>0</v>
      </c>
      <c r="N528" s="16">
        <f>MAX(-16, MIN(16, Games[[#This Row],[OppRestDiff]]*8))</f>
        <v>0</v>
      </c>
      <c r="O528" s="4" cm="1">
        <f t="array" ref="O5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1508.60383053179</v>
      </c>
      <c r="P528" s="4" cm="1">
        <f t="array" ref="P5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1514.8637375179665</v>
      </c>
      <c r="Q528" s="4">
        <f>1/(1+10^(((Games[[#This Row],[OppPreGmRate]]+IF(Games[[#This Row],[HomeAway]]="A",HCA,0)+Games[[#This Row],[OppRestAdj]])-(Games[[#This Row],[PreGmRate]]+IF(Games[[#This Row],[HomeAway]]="H",HCA,0)+Games[[#This Row],[RestAdj]]))/400))</f>
        <v>0.37295096561670865</v>
      </c>
      <c r="R528" s="1">
        <v>65</v>
      </c>
      <c r="S528" s="1">
        <v>84</v>
      </c>
      <c r="T528" s="1">
        <v>0</v>
      </c>
      <c r="U528" s="16">
        <f>Games[[#This Row],[PointsFor]]-Games[[#This Row],[PointsAgainst]]</f>
        <v>-19</v>
      </c>
      <c r="V528" s="16">
        <f>IF(Games[[#This Row],[MOV]]&gt;0,1,IF(Games[[#This Row],[MOV]]=0,0.5,0))</f>
        <v>0</v>
      </c>
      <c r="W528" s="4">
        <f>((ABS(Games[[#This Row],[MOV]])+5)^0.6)/(12+0.01*(ABS(Games[[#This Row],[PreGmRate]]-Games[[#This Row],[OppPreGmRate]])))*IF(Games[[#This Row],[OT]]=1,0.9,1)</f>
        <v>0.55806636975080537</v>
      </c>
      <c r="X528" s="7" cm="1">
        <f t="array" ref="X5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8" s="9">
        <f>MAX(kmin, kmax - 0.15 * MIN(Games[[#This Row],[GamesPlayed]], 82))</f>
        <v>70.900000000000006</v>
      </c>
      <c r="Z528" s="4">
        <f>Games[[#This Row],[K]]*Games[[#This Row],[POMult]]</f>
        <v>77.990000000000009</v>
      </c>
      <c r="AA528" s="4">
        <f>(Games[[#This Row],[Keff]]*Games[[#This Row],[MOVMult]])*(Games[[#This Row],[Result]]-Games[[#This Row],[ExpectedWin%]])</f>
        <v>-16.23216722127361</v>
      </c>
      <c r="AB528" s="4">
        <f>Games[[#This Row],[PreGmRate]]+Games[[#This Row],[RatingChange]]</f>
        <v>1492.3716633105164</v>
      </c>
      <c r="AC528" s="2">
        <f>IF(Games[[#This Row],[Type]]="R",IF(Games[[#This Row],[Result]]&gt;0.5,1,0),0)</f>
        <v>0</v>
      </c>
      <c r="AD528" s="2">
        <f>IF(Games[[#This Row],[Type]]="R",IF(Games[[#This Row],[Result]]&lt;0.5,1,0),0)</f>
        <v>0</v>
      </c>
      <c r="AE528" s="2">
        <f>IF(AND(Games[[#This Row],[Type]]="P",Games[[#This Row],[Round]]=1),IF(Games[[#This Row],[Result]]&gt;0.5,1,0),0)</f>
        <v>0</v>
      </c>
      <c r="AF528" s="2">
        <f>IF(AND(Games[[#This Row],[Type]]="P",Games[[#This Row],[Round]]=1),IF(Games[[#This Row],[Result]]&lt;0.5,1,0),0)</f>
        <v>1</v>
      </c>
      <c r="AG528" s="2">
        <f>IF(AND(Games[[#This Row],[Type]]="P",Games[[#This Row],[Round]]=2),IF(Games[[#This Row],[Result]]&gt;0.5,1,0),0)</f>
        <v>0</v>
      </c>
      <c r="AH528" s="2">
        <f>IF(AND(Games[[#This Row],[Type]]="P",Games[[#This Row],[Round]]=2),IF(Games[[#This Row],[Result]]&lt;0.5,1,0),0)</f>
        <v>0</v>
      </c>
      <c r="AI528" s="2">
        <f>IF(AND(Games[[#This Row],[Type]]="P",Games[[#This Row],[Round]]=3),IF(Games[[#This Row],[Result]]&gt;0.5,1,0),0)</f>
        <v>0</v>
      </c>
      <c r="AJ528" s="2">
        <f>IF(AND(Games[[#This Row],[Type]]="P",Games[[#This Row],[Round]]=3),IF(Games[[#This Row],[Result]]&lt;0.5,1,0),0)</f>
        <v>0</v>
      </c>
      <c r="AK528" s="2">
        <f>IF(AND(Games[[#This Row],[Type]]="P",Games[[#This Row],[Round]]=4),IF(Games[[#This Row],[Result]]&gt;0.5,1,0),0)</f>
        <v>0</v>
      </c>
      <c r="AL528" s="2">
        <f>IF(AND(Games[[#This Row],[Type]]="P",Games[[#This Row],[Round]]=4),IF(Games[[#This Row],[Result]]&lt;0.5,1,0),0)</f>
        <v>0</v>
      </c>
    </row>
    <row r="529" spans="1:38" x14ac:dyDescent="0.35">
      <c r="A529" s="10">
        <v>37486</v>
      </c>
      <c r="B529" s="2">
        <v>2002</v>
      </c>
      <c r="C529" s="2">
        <f>COUNTIFS(Games[Team],Games[[#This Row],[Team]],Games[Season],Games[[#This Row],[Season]],Games[Date],"&lt;=" &amp; Games[[#This Row],[Date]])</f>
        <v>34</v>
      </c>
      <c r="D529" s="2" t="s">
        <v>46</v>
      </c>
      <c r="E529" s="2">
        <v>1</v>
      </c>
      <c r="F529" s="1" t="s">
        <v>66</v>
      </c>
      <c r="G529" s="1" t="s">
        <v>85</v>
      </c>
      <c r="H529" s="1" t="s">
        <v>15</v>
      </c>
      <c r="I529" s="2" cm="1">
        <f t="array" ref="I5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9" s="2" cm="1">
        <f t="array" ref="J5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9" s="2">
        <f>Games[[#This Row],[DaysOff]]-Games[[#This Row],[OppDaysOff]]</f>
        <v>0</v>
      </c>
      <c r="L529" s="2">
        <f>Games[[#This Row],[OppDaysOff]]-Games[[#This Row],[DaysOff]]</f>
        <v>0</v>
      </c>
      <c r="M529" s="16">
        <f>MAX(-16, MIN(16, Games[[#This Row],[RestDiff]]*8))</f>
        <v>0</v>
      </c>
      <c r="N529" s="16">
        <f>MAX(-16, MIN(16, Games[[#This Row],[OppRestDiff]]*8))</f>
        <v>0</v>
      </c>
      <c r="O529" s="4" cm="1">
        <f t="array" ref="O5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1514.8637375179665</v>
      </c>
      <c r="P529" s="4" cm="1">
        <f t="array" ref="P5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1508.60383053179</v>
      </c>
      <c r="Q529" s="4">
        <f>1/(1+10^(((Games[[#This Row],[OppPreGmRate]]+IF(Games[[#This Row],[HomeAway]]="A",HCA,0)+Games[[#This Row],[OppRestAdj]])-(Games[[#This Row],[PreGmRate]]+IF(Games[[#This Row],[HomeAway]]="H",HCA,0)+Games[[#This Row],[RestAdj]]))/400))</f>
        <v>0.6270490343832914</v>
      </c>
      <c r="R529" s="1">
        <v>84</v>
      </c>
      <c r="S529" s="1">
        <v>65</v>
      </c>
      <c r="T529" s="1">
        <v>0</v>
      </c>
      <c r="U529" s="16">
        <f>Games[[#This Row],[PointsFor]]-Games[[#This Row],[PointsAgainst]]</f>
        <v>19</v>
      </c>
      <c r="V529" s="16">
        <f>IF(Games[[#This Row],[MOV]]&gt;0,1,IF(Games[[#This Row],[MOV]]=0,0.5,0))</f>
        <v>1</v>
      </c>
      <c r="W529" s="4">
        <f>((ABS(Games[[#This Row],[MOV]])+5)^0.6)/(12+0.01*(ABS(Games[[#This Row],[PreGmRate]]-Games[[#This Row],[OppPreGmRate]])))*IF(Games[[#This Row],[OT]]=1,0.9,1)</f>
        <v>0.55806636975080537</v>
      </c>
      <c r="X529" s="7" cm="1">
        <f t="array" ref="X5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29" s="9">
        <f>MAX(kmin, kmax - 0.15 * MIN(Games[[#This Row],[GamesPlayed]], 82))</f>
        <v>70.900000000000006</v>
      </c>
      <c r="Z529" s="4">
        <f>Games[[#This Row],[K]]*Games[[#This Row],[POMult]]</f>
        <v>77.990000000000009</v>
      </c>
      <c r="AA529" s="4">
        <f>(Games[[#This Row],[Keff]]*Games[[#This Row],[MOVMult]])*(Games[[#This Row],[Result]]-Games[[#This Row],[ExpectedWin%]])</f>
        <v>16.232167221273606</v>
      </c>
      <c r="AB529" s="4">
        <f>Games[[#This Row],[PreGmRate]]+Games[[#This Row],[RatingChange]]</f>
        <v>1531.09590473924</v>
      </c>
      <c r="AC529" s="2">
        <f>IF(Games[[#This Row],[Type]]="R",IF(Games[[#This Row],[Result]]&gt;0.5,1,0),0)</f>
        <v>0</v>
      </c>
      <c r="AD529" s="2">
        <f>IF(Games[[#This Row],[Type]]="R",IF(Games[[#This Row],[Result]]&lt;0.5,1,0),0)</f>
        <v>0</v>
      </c>
      <c r="AE529" s="2">
        <f>IF(AND(Games[[#This Row],[Type]]="P",Games[[#This Row],[Round]]=1),IF(Games[[#This Row],[Result]]&gt;0.5,1,0),0)</f>
        <v>1</v>
      </c>
      <c r="AF529" s="2">
        <f>IF(AND(Games[[#This Row],[Type]]="P",Games[[#This Row],[Round]]=1),IF(Games[[#This Row],[Result]]&lt;0.5,1,0),0)</f>
        <v>0</v>
      </c>
      <c r="AG529" s="2">
        <f>IF(AND(Games[[#This Row],[Type]]="P",Games[[#This Row],[Round]]=2),IF(Games[[#This Row],[Result]]&gt;0.5,1,0),0)</f>
        <v>0</v>
      </c>
      <c r="AH529" s="2">
        <f>IF(AND(Games[[#This Row],[Type]]="P",Games[[#This Row],[Round]]=2),IF(Games[[#This Row],[Result]]&lt;0.5,1,0),0)</f>
        <v>0</v>
      </c>
      <c r="AI529" s="2">
        <f>IF(AND(Games[[#This Row],[Type]]="P",Games[[#This Row],[Round]]=3),IF(Games[[#This Row],[Result]]&gt;0.5,1,0),0)</f>
        <v>0</v>
      </c>
      <c r="AJ529" s="2">
        <f>IF(AND(Games[[#This Row],[Type]]="P",Games[[#This Row],[Round]]=3),IF(Games[[#This Row],[Result]]&lt;0.5,1,0),0)</f>
        <v>0</v>
      </c>
      <c r="AK529" s="2">
        <f>IF(AND(Games[[#This Row],[Type]]="P",Games[[#This Row],[Round]]=4),IF(Games[[#This Row],[Result]]&gt;0.5,1,0),0)</f>
        <v>0</v>
      </c>
      <c r="AL529" s="2">
        <f>IF(AND(Games[[#This Row],[Type]]="P",Games[[#This Row],[Round]]=4),IF(Games[[#This Row],[Result]]&lt;0.5,1,0),0)</f>
        <v>0</v>
      </c>
    </row>
    <row r="530" spans="1:38" x14ac:dyDescent="0.35">
      <c r="A530" s="10">
        <v>37488</v>
      </c>
      <c r="B530" s="2">
        <v>2002</v>
      </c>
      <c r="C530" s="2">
        <f>COUNTIFS(Games[Team],Games[[#This Row],[Team]],Games[Season],Games[[#This Row],[Season]],Games[Date],"&lt;=" &amp; Games[[#This Row],[Date]])</f>
        <v>35</v>
      </c>
      <c r="D530" s="2" t="s">
        <v>46</v>
      </c>
      <c r="E530" s="2">
        <v>1</v>
      </c>
      <c r="F530" s="1" t="s">
        <v>43</v>
      </c>
      <c r="G530" s="1" t="s">
        <v>2</v>
      </c>
      <c r="H530" s="1" t="s">
        <v>16</v>
      </c>
      <c r="I530" s="2" cm="1">
        <f t="array" ref="I5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0" s="2" cm="1">
        <f t="array" ref="J5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0" s="2">
        <f>Games[[#This Row],[DaysOff]]-Games[[#This Row],[OppDaysOff]]</f>
        <v>0</v>
      </c>
      <c r="L530" s="2">
        <f>Games[[#This Row],[OppDaysOff]]-Games[[#This Row],[DaysOff]]</f>
        <v>0</v>
      </c>
      <c r="M530" s="16">
        <f>MAX(-16, MIN(16, Games[[#This Row],[RestDiff]]*8))</f>
        <v>0</v>
      </c>
      <c r="N530" s="16">
        <f>MAX(-16, MIN(16, Games[[#This Row],[OppRestDiff]]*8))</f>
        <v>0</v>
      </c>
      <c r="O530" s="4" cm="1">
        <f t="array" ref="O5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1574.0820976182445</v>
      </c>
      <c r="P530" s="4" cm="1">
        <f t="array" ref="P5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1648.3247067656534</v>
      </c>
      <c r="Q530" s="4">
        <f>1/(1+10^(((Games[[#This Row],[OppPreGmRate]]+IF(Games[[#This Row],[HomeAway]]="A",HCA,0)+Games[[#This Row],[OppRestAdj]])-(Games[[#This Row],[PreGmRate]]+IF(Games[[#This Row],[HomeAway]]="H",HCA,0)+Games[[#This Row],[RestAdj]]))/400))</f>
        <v>0.28681208778709816</v>
      </c>
      <c r="R530" s="1">
        <v>75</v>
      </c>
      <c r="S530" s="1">
        <v>72</v>
      </c>
      <c r="T530" s="1">
        <v>0</v>
      </c>
      <c r="U530" s="16">
        <f>Games[[#This Row],[PointsFor]]-Games[[#This Row],[PointsAgainst]]</f>
        <v>3</v>
      </c>
      <c r="V530" s="16">
        <f>IF(Games[[#This Row],[MOV]]&gt;0,1,IF(Games[[#This Row],[MOV]]=0,0.5,0))</f>
        <v>1</v>
      </c>
      <c r="W530" s="4">
        <f>((ABS(Games[[#This Row],[MOV]])+5)^0.6)/(12+0.01*(ABS(Games[[#This Row],[PreGmRate]]-Games[[#This Row],[OppPreGmRate]])))*IF(Games[[#This Row],[OT]]=1,0.9,1)</f>
        <v>0.27327623705146897</v>
      </c>
      <c r="X530" s="7" cm="1">
        <f t="array" ref="X5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0" s="9">
        <f>MAX(kmin, kmax - 0.15 * MIN(Games[[#This Row],[GamesPlayed]], 82))</f>
        <v>70.75</v>
      </c>
      <c r="Z530" s="4">
        <f>Games[[#This Row],[K]]*Games[[#This Row],[POMult]]</f>
        <v>77.825000000000003</v>
      </c>
      <c r="AA530" s="4">
        <f>(Games[[#This Row],[Keff]]*Games[[#This Row],[MOVMult]])*(Games[[#This Row],[Result]]-Games[[#This Row],[ExpectedWin%]])</f>
        <v>15.167883069822524</v>
      </c>
      <c r="AB530" s="4">
        <f>Games[[#This Row],[PreGmRate]]+Games[[#This Row],[RatingChange]]</f>
        <v>1589.2499806880669</v>
      </c>
      <c r="AC530" s="2">
        <f>IF(Games[[#This Row],[Type]]="R",IF(Games[[#This Row],[Result]]&gt;0.5,1,0),0)</f>
        <v>0</v>
      </c>
      <c r="AD530" s="2">
        <f>IF(Games[[#This Row],[Type]]="R",IF(Games[[#This Row],[Result]]&lt;0.5,1,0),0)</f>
        <v>0</v>
      </c>
      <c r="AE530" s="2">
        <f>IF(AND(Games[[#This Row],[Type]]="P",Games[[#This Row],[Round]]=1),IF(Games[[#This Row],[Result]]&gt;0.5,1,0),0)</f>
        <v>1</v>
      </c>
      <c r="AF530" s="2">
        <f>IF(AND(Games[[#This Row],[Type]]="P",Games[[#This Row],[Round]]=1),IF(Games[[#This Row],[Result]]&lt;0.5,1,0),0)</f>
        <v>0</v>
      </c>
      <c r="AG530" s="2">
        <f>IF(AND(Games[[#This Row],[Type]]="P",Games[[#This Row],[Round]]=2),IF(Games[[#This Row],[Result]]&gt;0.5,1,0),0)</f>
        <v>0</v>
      </c>
      <c r="AH530" s="2">
        <f>IF(AND(Games[[#This Row],[Type]]="P",Games[[#This Row],[Round]]=2),IF(Games[[#This Row],[Result]]&lt;0.5,1,0),0)</f>
        <v>0</v>
      </c>
      <c r="AI530" s="2">
        <f>IF(AND(Games[[#This Row],[Type]]="P",Games[[#This Row],[Round]]=3),IF(Games[[#This Row],[Result]]&gt;0.5,1,0),0)</f>
        <v>0</v>
      </c>
      <c r="AJ530" s="2">
        <f>IF(AND(Games[[#This Row],[Type]]="P",Games[[#This Row],[Round]]=3),IF(Games[[#This Row],[Result]]&lt;0.5,1,0),0)</f>
        <v>0</v>
      </c>
      <c r="AK530" s="2">
        <f>IF(AND(Games[[#This Row],[Type]]="P",Games[[#This Row],[Round]]=4),IF(Games[[#This Row],[Result]]&gt;0.5,1,0),0)</f>
        <v>0</v>
      </c>
      <c r="AL530" s="2">
        <f>IF(AND(Games[[#This Row],[Type]]="P",Games[[#This Row],[Round]]=4),IF(Games[[#This Row],[Result]]&lt;0.5,1,0),0)</f>
        <v>0</v>
      </c>
    </row>
    <row r="531" spans="1:38" x14ac:dyDescent="0.35">
      <c r="A531" s="10">
        <v>37488</v>
      </c>
      <c r="B531" s="2">
        <v>2002</v>
      </c>
      <c r="C531" s="2">
        <f>COUNTIFS(Games[Team],Games[[#This Row],[Team]],Games[Season],Games[[#This Row],[Season]],Games[Date],"&lt;=" &amp; Games[[#This Row],[Date]])</f>
        <v>35</v>
      </c>
      <c r="D531" s="2" t="s">
        <v>46</v>
      </c>
      <c r="E531" s="2">
        <v>1</v>
      </c>
      <c r="F531" s="1" t="s">
        <v>2</v>
      </c>
      <c r="G531" s="1" t="s">
        <v>43</v>
      </c>
      <c r="H531" s="1" t="s">
        <v>15</v>
      </c>
      <c r="I531" s="2" cm="1">
        <f t="array" ref="I5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1" s="2" cm="1">
        <f t="array" ref="J5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1" s="2">
        <f>Games[[#This Row],[DaysOff]]-Games[[#This Row],[OppDaysOff]]</f>
        <v>0</v>
      </c>
      <c r="L531" s="2">
        <f>Games[[#This Row],[OppDaysOff]]-Games[[#This Row],[DaysOff]]</f>
        <v>0</v>
      </c>
      <c r="M531" s="16">
        <f>MAX(-16, MIN(16, Games[[#This Row],[RestDiff]]*8))</f>
        <v>0</v>
      </c>
      <c r="N531" s="16">
        <f>MAX(-16, MIN(16, Games[[#This Row],[OppRestDiff]]*8))</f>
        <v>0</v>
      </c>
      <c r="O531" s="4" cm="1">
        <f t="array" ref="O5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1648.3247067656534</v>
      </c>
      <c r="P531" s="4" cm="1">
        <f t="array" ref="P5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1574.0820976182445</v>
      </c>
      <c r="Q531" s="4">
        <f>1/(1+10^(((Games[[#This Row],[OppPreGmRate]]+IF(Games[[#This Row],[HomeAway]]="A",HCA,0)+Games[[#This Row],[OppRestAdj]])-(Games[[#This Row],[PreGmRate]]+IF(Games[[#This Row],[HomeAway]]="H",HCA,0)+Games[[#This Row],[RestAdj]]))/400))</f>
        <v>0.71318791221290179</v>
      </c>
      <c r="R531" s="1">
        <v>72</v>
      </c>
      <c r="S531" s="1">
        <v>75</v>
      </c>
      <c r="T531" s="1">
        <v>0</v>
      </c>
      <c r="U531" s="16">
        <f>Games[[#This Row],[PointsFor]]-Games[[#This Row],[PointsAgainst]]</f>
        <v>-3</v>
      </c>
      <c r="V531" s="16">
        <f>IF(Games[[#This Row],[MOV]]&gt;0,1,IF(Games[[#This Row],[MOV]]=0,0.5,0))</f>
        <v>0</v>
      </c>
      <c r="W531" s="4">
        <f>((ABS(Games[[#This Row],[MOV]])+5)^0.6)/(12+0.01*(ABS(Games[[#This Row],[PreGmRate]]-Games[[#This Row],[OppPreGmRate]])))*IF(Games[[#This Row],[OT]]=1,0.9,1)</f>
        <v>0.27327623705146897</v>
      </c>
      <c r="X531" s="7" cm="1">
        <f t="array" ref="X5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1" s="9">
        <f>MAX(kmin, kmax - 0.15 * MIN(Games[[#This Row],[GamesPlayed]], 82))</f>
        <v>70.75</v>
      </c>
      <c r="Z531" s="4">
        <f>Games[[#This Row],[K]]*Games[[#This Row],[POMult]]</f>
        <v>77.825000000000003</v>
      </c>
      <c r="AA531" s="4">
        <f>(Games[[#This Row],[Keff]]*Games[[#This Row],[MOVMult]])*(Games[[#This Row],[Result]]-Games[[#This Row],[ExpectedWin%]])</f>
        <v>-15.167883069822523</v>
      </c>
      <c r="AB531" s="4">
        <f>Games[[#This Row],[PreGmRate]]+Games[[#This Row],[RatingChange]]</f>
        <v>1633.156823695831</v>
      </c>
      <c r="AC531" s="2">
        <f>IF(Games[[#This Row],[Type]]="R",IF(Games[[#This Row],[Result]]&gt;0.5,1,0),0)</f>
        <v>0</v>
      </c>
      <c r="AD531" s="2">
        <f>IF(Games[[#This Row],[Type]]="R",IF(Games[[#This Row],[Result]]&lt;0.5,1,0),0)</f>
        <v>0</v>
      </c>
      <c r="AE531" s="2">
        <f>IF(AND(Games[[#This Row],[Type]]="P",Games[[#This Row],[Round]]=1),IF(Games[[#This Row],[Result]]&gt;0.5,1,0),0)</f>
        <v>0</v>
      </c>
      <c r="AF531" s="2">
        <f>IF(AND(Games[[#This Row],[Type]]="P",Games[[#This Row],[Round]]=1),IF(Games[[#This Row],[Result]]&lt;0.5,1,0),0)</f>
        <v>1</v>
      </c>
      <c r="AG531" s="2">
        <f>IF(AND(Games[[#This Row],[Type]]="P",Games[[#This Row],[Round]]=2),IF(Games[[#This Row],[Result]]&gt;0.5,1,0),0)</f>
        <v>0</v>
      </c>
      <c r="AH531" s="2">
        <f>IF(AND(Games[[#This Row],[Type]]="P",Games[[#This Row],[Round]]=2),IF(Games[[#This Row],[Result]]&lt;0.5,1,0),0)</f>
        <v>0</v>
      </c>
      <c r="AI531" s="2">
        <f>IF(AND(Games[[#This Row],[Type]]="P",Games[[#This Row],[Round]]=3),IF(Games[[#This Row],[Result]]&gt;0.5,1,0),0)</f>
        <v>0</v>
      </c>
      <c r="AJ531" s="2">
        <f>IF(AND(Games[[#This Row],[Type]]="P",Games[[#This Row],[Round]]=3),IF(Games[[#This Row],[Result]]&lt;0.5,1,0),0)</f>
        <v>0</v>
      </c>
      <c r="AK531" s="2">
        <f>IF(AND(Games[[#This Row],[Type]]="P",Games[[#This Row],[Round]]=4),IF(Games[[#This Row],[Result]]&gt;0.5,1,0),0)</f>
        <v>0</v>
      </c>
      <c r="AL531" s="2">
        <f>IF(AND(Games[[#This Row],[Type]]="P",Games[[#This Row],[Round]]=4),IF(Games[[#This Row],[Result]]&lt;0.5,1,0),0)</f>
        <v>0</v>
      </c>
    </row>
    <row r="532" spans="1:38" x14ac:dyDescent="0.35">
      <c r="A532" s="10">
        <v>37488</v>
      </c>
      <c r="B532" s="2">
        <v>2002</v>
      </c>
      <c r="C532" s="2">
        <f>COUNTIFS(Games[Team],Games[[#This Row],[Team]],Games[Season],Games[[#This Row],[Season]],Games[Date],"&lt;=" &amp; Games[[#This Row],[Date]])</f>
        <v>35</v>
      </c>
      <c r="D532" s="2" t="s">
        <v>46</v>
      </c>
      <c r="E532" s="2">
        <v>1</v>
      </c>
      <c r="F532" s="1" t="s">
        <v>85</v>
      </c>
      <c r="G532" s="1" t="s">
        <v>66</v>
      </c>
      <c r="H532" s="1" t="s">
        <v>16</v>
      </c>
      <c r="I532" s="2" cm="1">
        <f t="array" ref="I5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2" s="2" cm="1">
        <f t="array" ref="J5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2" s="2">
        <f>Games[[#This Row],[DaysOff]]-Games[[#This Row],[OppDaysOff]]</f>
        <v>0</v>
      </c>
      <c r="L532" s="2">
        <f>Games[[#This Row],[OppDaysOff]]-Games[[#This Row],[DaysOff]]</f>
        <v>0</v>
      </c>
      <c r="M532" s="16">
        <f>MAX(-16, MIN(16, Games[[#This Row],[RestDiff]]*8))</f>
        <v>0</v>
      </c>
      <c r="N532" s="16">
        <f>MAX(-16, MIN(16, Games[[#This Row],[OppRestDiff]]*8))</f>
        <v>0</v>
      </c>
      <c r="O532" s="4" cm="1">
        <f t="array" ref="O5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1492.3716633105164</v>
      </c>
      <c r="P532" s="4" cm="1">
        <f t="array" ref="P5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1531.09590473924</v>
      </c>
      <c r="Q532" s="4">
        <f>1/(1+10^(((Games[[#This Row],[OppPreGmRate]]+IF(Games[[#This Row],[HomeAway]]="A",HCA,0)+Games[[#This Row],[OppRestAdj]])-(Games[[#This Row],[PreGmRate]]+IF(Games[[#This Row],[HomeAway]]="H",HCA,0)+Games[[#This Row],[RestAdj]]))/400))</f>
        <v>0.33038207026999089</v>
      </c>
      <c r="R532" s="1">
        <v>60</v>
      </c>
      <c r="S532" s="1">
        <v>75</v>
      </c>
      <c r="T532" s="1">
        <v>0</v>
      </c>
      <c r="U532" s="16">
        <f>Games[[#This Row],[PointsFor]]-Games[[#This Row],[PointsAgainst]]</f>
        <v>-15</v>
      </c>
      <c r="V532" s="16">
        <f>IF(Games[[#This Row],[MOV]]&gt;0,1,IF(Games[[#This Row],[MOV]]=0,0.5,0))</f>
        <v>0</v>
      </c>
      <c r="W532" s="4">
        <f>((ABS(Games[[#This Row],[MOV]])+5)^0.6)/(12+0.01*(ABS(Games[[#This Row],[PreGmRate]]-Games[[#This Row],[OppPreGmRate]])))*IF(Games[[#This Row],[OT]]=1,0.9,1)</f>
        <v>0.48712829980508371</v>
      </c>
      <c r="X532" s="7" cm="1">
        <f t="array" ref="X5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2" s="9">
        <f>MAX(kmin, kmax - 0.15 * MIN(Games[[#This Row],[GamesPlayed]], 82))</f>
        <v>70.75</v>
      </c>
      <c r="Z532" s="4">
        <f>Games[[#This Row],[K]]*Games[[#This Row],[POMult]]</f>
        <v>77.825000000000003</v>
      </c>
      <c r="AA532" s="4">
        <f>(Games[[#This Row],[Keff]]*Games[[#This Row],[MOVMult]])*(Games[[#This Row],[Result]]-Games[[#This Row],[ExpectedWin%]])</f>
        <v>-12.525035351952017</v>
      </c>
      <c r="AB532" s="4">
        <f>Games[[#This Row],[PreGmRate]]+Games[[#This Row],[RatingChange]]</f>
        <v>1479.8466279585643</v>
      </c>
      <c r="AC532" s="2">
        <f>IF(Games[[#This Row],[Type]]="R",IF(Games[[#This Row],[Result]]&gt;0.5,1,0),0)</f>
        <v>0</v>
      </c>
      <c r="AD532" s="2">
        <f>IF(Games[[#This Row],[Type]]="R",IF(Games[[#This Row],[Result]]&lt;0.5,1,0),0)</f>
        <v>0</v>
      </c>
      <c r="AE532" s="2">
        <f>IF(AND(Games[[#This Row],[Type]]="P",Games[[#This Row],[Round]]=1),IF(Games[[#This Row],[Result]]&gt;0.5,1,0),0)</f>
        <v>0</v>
      </c>
      <c r="AF532" s="2">
        <f>IF(AND(Games[[#This Row],[Type]]="P",Games[[#This Row],[Round]]=1),IF(Games[[#This Row],[Result]]&lt;0.5,1,0),0)</f>
        <v>1</v>
      </c>
      <c r="AG532" s="2">
        <f>IF(AND(Games[[#This Row],[Type]]="P",Games[[#This Row],[Round]]=2),IF(Games[[#This Row],[Result]]&gt;0.5,1,0),0)</f>
        <v>0</v>
      </c>
      <c r="AH532" s="2">
        <f>IF(AND(Games[[#This Row],[Type]]="P",Games[[#This Row],[Round]]=2),IF(Games[[#This Row],[Result]]&lt;0.5,1,0),0)</f>
        <v>0</v>
      </c>
      <c r="AI532" s="2">
        <f>IF(AND(Games[[#This Row],[Type]]="P",Games[[#This Row],[Round]]=3),IF(Games[[#This Row],[Result]]&gt;0.5,1,0),0)</f>
        <v>0</v>
      </c>
      <c r="AJ532" s="2">
        <f>IF(AND(Games[[#This Row],[Type]]="P",Games[[#This Row],[Round]]=3),IF(Games[[#This Row],[Result]]&lt;0.5,1,0),0)</f>
        <v>0</v>
      </c>
      <c r="AK532" s="2">
        <f>IF(AND(Games[[#This Row],[Type]]="P",Games[[#This Row],[Round]]=4),IF(Games[[#This Row],[Result]]&gt;0.5,1,0),0)</f>
        <v>0</v>
      </c>
      <c r="AL532" s="2">
        <f>IF(AND(Games[[#This Row],[Type]]="P",Games[[#This Row],[Round]]=4),IF(Games[[#This Row],[Result]]&lt;0.5,1,0),0)</f>
        <v>0</v>
      </c>
    </row>
    <row r="533" spans="1:38" x14ac:dyDescent="0.35">
      <c r="A533" s="10">
        <v>37488</v>
      </c>
      <c r="B533" s="2">
        <v>2002</v>
      </c>
      <c r="C533" s="2">
        <f>COUNTIFS(Games[Team],Games[[#This Row],[Team]],Games[Season],Games[[#This Row],[Season]],Games[Date],"&lt;=" &amp; Games[[#This Row],[Date]])</f>
        <v>35</v>
      </c>
      <c r="D533" s="2" t="s">
        <v>46</v>
      </c>
      <c r="E533" s="2">
        <v>1</v>
      </c>
      <c r="F533" s="1" t="s">
        <v>66</v>
      </c>
      <c r="G533" s="1" t="s">
        <v>85</v>
      </c>
      <c r="H533" s="1" t="s">
        <v>15</v>
      </c>
      <c r="I533" s="2" cm="1">
        <f t="array" ref="I5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3" s="2" cm="1">
        <f t="array" ref="J5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3" s="2">
        <f>Games[[#This Row],[DaysOff]]-Games[[#This Row],[OppDaysOff]]</f>
        <v>0</v>
      </c>
      <c r="L533" s="2">
        <f>Games[[#This Row],[OppDaysOff]]-Games[[#This Row],[DaysOff]]</f>
        <v>0</v>
      </c>
      <c r="M533" s="16">
        <f>MAX(-16, MIN(16, Games[[#This Row],[RestDiff]]*8))</f>
        <v>0</v>
      </c>
      <c r="N533" s="16">
        <f>MAX(-16, MIN(16, Games[[#This Row],[OppRestDiff]]*8))</f>
        <v>0</v>
      </c>
      <c r="O533" s="4" cm="1">
        <f t="array" ref="O5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1531.09590473924</v>
      </c>
      <c r="P533" s="4" cm="1">
        <f t="array" ref="P5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1492.3716633105164</v>
      </c>
      <c r="Q533" s="4">
        <f>1/(1+10^(((Games[[#This Row],[OppPreGmRate]]+IF(Games[[#This Row],[HomeAway]]="A",HCA,0)+Games[[#This Row],[OppRestAdj]])-(Games[[#This Row],[PreGmRate]]+IF(Games[[#This Row],[HomeAway]]="H",HCA,0)+Games[[#This Row],[RestAdj]]))/400))</f>
        <v>0.66961792973000911</v>
      </c>
      <c r="R533" s="1">
        <v>75</v>
      </c>
      <c r="S533" s="1">
        <v>60</v>
      </c>
      <c r="T533" s="1">
        <v>0</v>
      </c>
      <c r="U533" s="16">
        <f>Games[[#This Row],[PointsFor]]-Games[[#This Row],[PointsAgainst]]</f>
        <v>15</v>
      </c>
      <c r="V533" s="16">
        <f>IF(Games[[#This Row],[MOV]]&gt;0,1,IF(Games[[#This Row],[MOV]]=0,0.5,0))</f>
        <v>1</v>
      </c>
      <c r="W533" s="4">
        <f>((ABS(Games[[#This Row],[MOV]])+5)^0.6)/(12+0.01*(ABS(Games[[#This Row],[PreGmRate]]-Games[[#This Row],[OppPreGmRate]])))*IF(Games[[#This Row],[OT]]=1,0.9,1)</f>
        <v>0.48712829980508371</v>
      </c>
      <c r="X533" s="7" cm="1">
        <f t="array" ref="X5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533" s="9">
        <f>MAX(kmin, kmax - 0.15 * MIN(Games[[#This Row],[GamesPlayed]], 82))</f>
        <v>70.75</v>
      </c>
      <c r="Z533" s="4">
        <f>Games[[#This Row],[K]]*Games[[#This Row],[POMult]]</f>
        <v>77.825000000000003</v>
      </c>
      <c r="AA533" s="4">
        <f>(Games[[#This Row],[Keff]]*Games[[#This Row],[MOVMult]])*(Games[[#This Row],[Result]]-Games[[#This Row],[ExpectedWin%]])</f>
        <v>12.525035351952017</v>
      </c>
      <c r="AB533" s="4">
        <f>Games[[#This Row],[PreGmRate]]+Games[[#This Row],[RatingChange]]</f>
        <v>1543.6209400911921</v>
      </c>
      <c r="AC533" s="2">
        <f>IF(Games[[#This Row],[Type]]="R",IF(Games[[#This Row],[Result]]&gt;0.5,1,0),0)</f>
        <v>0</v>
      </c>
      <c r="AD533" s="2">
        <f>IF(Games[[#This Row],[Type]]="R",IF(Games[[#This Row],[Result]]&lt;0.5,1,0),0)</f>
        <v>0</v>
      </c>
      <c r="AE533" s="2">
        <f>IF(AND(Games[[#This Row],[Type]]="P",Games[[#This Row],[Round]]=1),IF(Games[[#This Row],[Result]]&gt;0.5,1,0),0)</f>
        <v>1</v>
      </c>
      <c r="AF533" s="2">
        <f>IF(AND(Games[[#This Row],[Type]]="P",Games[[#This Row],[Round]]=1),IF(Games[[#This Row],[Result]]&lt;0.5,1,0),0)</f>
        <v>0</v>
      </c>
      <c r="AG533" s="2">
        <f>IF(AND(Games[[#This Row],[Type]]="P",Games[[#This Row],[Round]]=2),IF(Games[[#This Row],[Result]]&gt;0.5,1,0),0)</f>
        <v>0</v>
      </c>
      <c r="AH533" s="2">
        <f>IF(AND(Games[[#This Row],[Type]]="P",Games[[#This Row],[Round]]=2),IF(Games[[#This Row],[Result]]&lt;0.5,1,0),0)</f>
        <v>0</v>
      </c>
      <c r="AI533" s="2">
        <f>IF(AND(Games[[#This Row],[Type]]="P",Games[[#This Row],[Round]]=3),IF(Games[[#This Row],[Result]]&gt;0.5,1,0),0)</f>
        <v>0</v>
      </c>
      <c r="AJ533" s="2">
        <f>IF(AND(Games[[#This Row],[Type]]="P",Games[[#This Row],[Round]]=3),IF(Games[[#This Row],[Result]]&lt;0.5,1,0),0)</f>
        <v>0</v>
      </c>
      <c r="AK533" s="2">
        <f>IF(AND(Games[[#This Row],[Type]]="P",Games[[#This Row],[Round]]=4),IF(Games[[#This Row],[Result]]&gt;0.5,1,0),0)</f>
        <v>0</v>
      </c>
      <c r="AL533" s="2">
        <f>IF(AND(Games[[#This Row],[Type]]="P",Games[[#This Row],[Round]]=4),IF(Games[[#This Row],[Result]]&lt;0.5,1,0),0)</f>
        <v>0</v>
      </c>
    </row>
    <row r="534" spans="1:38" x14ac:dyDescent="0.35">
      <c r="A534" s="10">
        <v>37490</v>
      </c>
      <c r="B534" s="2">
        <v>2002</v>
      </c>
      <c r="C534" s="2">
        <f>COUNTIFS(Games[Team],Games[[#This Row],[Team]],Games[Season],Games[[#This Row],[Season]],Games[Date],"&lt;=" &amp; Games[[#This Row],[Date]])</f>
        <v>35</v>
      </c>
      <c r="D534" s="2" t="s">
        <v>46</v>
      </c>
      <c r="E534" s="2">
        <v>2</v>
      </c>
      <c r="F534" s="1" t="s">
        <v>71</v>
      </c>
      <c r="G534" s="1" t="s">
        <v>43</v>
      </c>
      <c r="H534" s="1" t="s">
        <v>16</v>
      </c>
      <c r="I534" s="2" cm="1">
        <f t="array" ref="I534">IFERROR(
    Games[[#This Row],[Date]]
    - LOOKUP(
        2,
        1/((Games[Team]=Games[[#This Row],[Team]]) * (Games[Date] &lt; Games[[#This Row],[Date]])),
        Games[Date]
    )
    - 1,
Games[[#This Row],[Date]]-$A$2)</f>
        <v>4</v>
      </c>
      <c r="J534" s="2" cm="1">
        <f t="array" ref="J5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4" s="2">
        <f>Games[[#This Row],[DaysOff]]-Games[[#This Row],[OppDaysOff]]</f>
        <v>3</v>
      </c>
      <c r="L534" s="2">
        <f>Games[[#This Row],[OppDaysOff]]-Games[[#This Row],[DaysOff]]</f>
        <v>-3</v>
      </c>
      <c r="M534" s="16">
        <f>MAX(-16, MIN(16, Games[[#This Row],[RestDiff]]*8))</f>
        <v>16</v>
      </c>
      <c r="N534" s="16">
        <f>MAX(-16, MIN(16, Games[[#This Row],[OppRestDiff]]*8))</f>
        <v>-16</v>
      </c>
      <c r="O534" s="4" cm="1">
        <f t="array" ref="O5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1710.5192779692356</v>
      </c>
      <c r="P534" s="4" cm="1">
        <f t="array" ref="P5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1589.2499806880669</v>
      </c>
      <c r="Q534" s="4">
        <f>1/(1+10^(((Games[[#This Row],[OppPreGmRate]]+IF(Games[[#This Row],[HomeAway]]="A",HCA,0)+Games[[#This Row],[OppRestAdj]])-(Games[[#This Row],[PreGmRate]]+IF(Games[[#This Row],[HomeAway]]="H",HCA,0)+Games[[#This Row],[RestAdj]]))/400))</f>
        <v>0.59838636672075096</v>
      </c>
      <c r="R534" s="1">
        <v>75</v>
      </c>
      <c r="S534" s="1">
        <v>67</v>
      </c>
      <c r="T534" s="1">
        <v>0</v>
      </c>
      <c r="U534" s="16">
        <f>Games[[#This Row],[PointsFor]]-Games[[#This Row],[PointsAgainst]]</f>
        <v>8</v>
      </c>
      <c r="V534" s="16">
        <f>IF(Games[[#This Row],[MOV]]&gt;0,1,IF(Games[[#This Row],[MOV]]=0,0.5,0))</f>
        <v>1</v>
      </c>
      <c r="W534" s="4">
        <f>((ABS(Games[[#This Row],[MOV]])+5)^0.6)/(12+0.01*(ABS(Games[[#This Row],[PreGmRate]]-Games[[#This Row],[OppPreGmRate]])))*IF(Games[[#This Row],[OT]]=1,0.9,1)</f>
        <v>0.3526749943879498</v>
      </c>
      <c r="X534" s="7" cm="1">
        <f t="array" ref="X5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4" s="9">
        <f>MAX(kmin, kmax - 0.15 * MIN(Games[[#This Row],[GamesPlayed]], 82))</f>
        <v>70.75</v>
      </c>
      <c r="Z534" s="4">
        <f>Games[[#This Row],[K]]*Games[[#This Row],[POMult]]</f>
        <v>84.899999999999991</v>
      </c>
      <c r="AA534" s="4">
        <f>(Games[[#This Row],[Keff]]*Games[[#This Row],[MOVMult]])*(Games[[#This Row],[Result]]-Games[[#This Row],[ExpectedWin%]])</f>
        <v>12.02515838975879</v>
      </c>
      <c r="AB534" s="4">
        <f>Games[[#This Row],[PreGmRate]]+Games[[#This Row],[RatingChange]]</f>
        <v>1722.5444363589945</v>
      </c>
      <c r="AC534" s="2">
        <f>IF(Games[[#This Row],[Type]]="R",IF(Games[[#This Row],[Result]]&gt;0.5,1,0),0)</f>
        <v>0</v>
      </c>
      <c r="AD534" s="2">
        <f>IF(Games[[#This Row],[Type]]="R",IF(Games[[#This Row],[Result]]&lt;0.5,1,0),0)</f>
        <v>0</v>
      </c>
      <c r="AE534" s="2">
        <f>IF(AND(Games[[#This Row],[Type]]="P",Games[[#This Row],[Round]]=1),IF(Games[[#This Row],[Result]]&gt;0.5,1,0),0)</f>
        <v>0</v>
      </c>
      <c r="AF534" s="2">
        <f>IF(AND(Games[[#This Row],[Type]]="P",Games[[#This Row],[Round]]=1),IF(Games[[#This Row],[Result]]&lt;0.5,1,0),0)</f>
        <v>0</v>
      </c>
      <c r="AG534" s="2">
        <f>IF(AND(Games[[#This Row],[Type]]="P",Games[[#This Row],[Round]]=2),IF(Games[[#This Row],[Result]]&gt;0.5,1,0),0)</f>
        <v>1</v>
      </c>
      <c r="AH534" s="2">
        <f>IF(AND(Games[[#This Row],[Type]]="P",Games[[#This Row],[Round]]=2),IF(Games[[#This Row],[Result]]&lt;0.5,1,0),0)</f>
        <v>0</v>
      </c>
      <c r="AI534" s="2">
        <f>IF(AND(Games[[#This Row],[Type]]="P",Games[[#This Row],[Round]]=3),IF(Games[[#This Row],[Result]]&gt;0.5,1,0),0)</f>
        <v>0</v>
      </c>
      <c r="AJ534" s="2">
        <f>IF(AND(Games[[#This Row],[Type]]="P",Games[[#This Row],[Round]]=3),IF(Games[[#This Row],[Result]]&lt;0.5,1,0),0)</f>
        <v>0</v>
      </c>
      <c r="AK534" s="2">
        <f>IF(AND(Games[[#This Row],[Type]]="P",Games[[#This Row],[Round]]=4),IF(Games[[#This Row],[Result]]&gt;0.5,1,0),0)</f>
        <v>0</v>
      </c>
      <c r="AL534" s="2">
        <f>IF(AND(Games[[#This Row],[Type]]="P",Games[[#This Row],[Round]]=4),IF(Games[[#This Row],[Result]]&lt;0.5,1,0),0)</f>
        <v>0</v>
      </c>
    </row>
    <row r="535" spans="1:38" x14ac:dyDescent="0.35">
      <c r="A535" s="10">
        <v>37490</v>
      </c>
      <c r="B535" s="2">
        <v>2002</v>
      </c>
      <c r="C535" s="2">
        <f>COUNTIFS(Games[Team],Games[[#This Row],[Team]],Games[Season],Games[[#This Row],[Season]],Games[Date],"&lt;=" &amp; Games[[#This Row],[Date]])</f>
        <v>36</v>
      </c>
      <c r="D535" s="2" t="s">
        <v>46</v>
      </c>
      <c r="E535" s="2">
        <v>2</v>
      </c>
      <c r="F535" s="1" t="s">
        <v>43</v>
      </c>
      <c r="G535" s="1" t="s">
        <v>71</v>
      </c>
      <c r="H535" s="1" t="s">
        <v>15</v>
      </c>
      <c r="I535" s="2" cm="1">
        <f t="array" ref="I5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5" s="2" cm="1">
        <f t="array" ref="J53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35" s="2">
        <f>Games[[#This Row],[DaysOff]]-Games[[#This Row],[OppDaysOff]]</f>
        <v>-3</v>
      </c>
      <c r="L535" s="2">
        <f>Games[[#This Row],[OppDaysOff]]-Games[[#This Row],[DaysOff]]</f>
        <v>3</v>
      </c>
      <c r="M535" s="16">
        <f>MAX(-16, MIN(16, Games[[#This Row],[RestDiff]]*8))</f>
        <v>-16</v>
      </c>
      <c r="N535" s="16">
        <f>MAX(-16, MIN(16, Games[[#This Row],[OppRestDiff]]*8))</f>
        <v>16</v>
      </c>
      <c r="O535" s="4" cm="1">
        <f t="array" ref="O5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1589.2499806880669</v>
      </c>
      <c r="P535" s="4" cm="1">
        <f t="array" ref="P5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1710.5192779692356</v>
      </c>
      <c r="Q535" s="4">
        <f>1/(1+10^(((Games[[#This Row],[OppPreGmRate]]+IF(Games[[#This Row],[HomeAway]]="A",HCA,0)+Games[[#This Row],[OppRestAdj]])-(Games[[#This Row],[PreGmRate]]+IF(Games[[#This Row],[HomeAway]]="H",HCA,0)+Games[[#This Row],[RestAdj]]))/400))</f>
        <v>0.40161363327924898</v>
      </c>
      <c r="R535" s="1">
        <v>67</v>
      </c>
      <c r="S535" s="1">
        <v>75</v>
      </c>
      <c r="T535" s="1">
        <v>0</v>
      </c>
      <c r="U535" s="16">
        <f>Games[[#This Row],[PointsFor]]-Games[[#This Row],[PointsAgainst]]</f>
        <v>-8</v>
      </c>
      <c r="V535" s="16">
        <f>IF(Games[[#This Row],[MOV]]&gt;0,1,IF(Games[[#This Row],[MOV]]=0,0.5,0))</f>
        <v>0</v>
      </c>
      <c r="W535" s="4">
        <f>((ABS(Games[[#This Row],[MOV]])+5)^0.6)/(12+0.01*(ABS(Games[[#This Row],[PreGmRate]]-Games[[#This Row],[OppPreGmRate]])))*IF(Games[[#This Row],[OT]]=1,0.9,1)</f>
        <v>0.3526749943879498</v>
      </c>
      <c r="X535" s="7" cm="1">
        <f t="array" ref="X5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5" s="9">
        <f>MAX(kmin, kmax - 0.15 * MIN(Games[[#This Row],[GamesPlayed]], 82))</f>
        <v>70.599999999999994</v>
      </c>
      <c r="Z535" s="4">
        <f>Games[[#This Row],[K]]*Games[[#This Row],[POMult]]</f>
        <v>84.719999999999985</v>
      </c>
      <c r="AA535" s="4">
        <f>(Games[[#This Row],[Keff]]*Games[[#This Row],[MOVMult]])*(Games[[#This Row],[Result]]-Games[[#This Row],[ExpectedWin%]])</f>
        <v>-11.999663354303468</v>
      </c>
      <c r="AB535" s="4">
        <f>Games[[#This Row],[PreGmRate]]+Games[[#This Row],[RatingChange]]</f>
        <v>1577.2503173337634</v>
      </c>
      <c r="AC535" s="2">
        <f>IF(Games[[#This Row],[Type]]="R",IF(Games[[#This Row],[Result]]&gt;0.5,1,0),0)</f>
        <v>0</v>
      </c>
      <c r="AD535" s="2">
        <f>IF(Games[[#This Row],[Type]]="R",IF(Games[[#This Row],[Result]]&lt;0.5,1,0),0)</f>
        <v>0</v>
      </c>
      <c r="AE535" s="2">
        <f>IF(AND(Games[[#This Row],[Type]]="P",Games[[#This Row],[Round]]=1),IF(Games[[#This Row],[Result]]&gt;0.5,1,0),0)</f>
        <v>0</v>
      </c>
      <c r="AF535" s="2">
        <f>IF(AND(Games[[#This Row],[Type]]="P",Games[[#This Row],[Round]]=1),IF(Games[[#This Row],[Result]]&lt;0.5,1,0),0)</f>
        <v>0</v>
      </c>
      <c r="AG535" s="2">
        <f>IF(AND(Games[[#This Row],[Type]]="P",Games[[#This Row],[Round]]=2),IF(Games[[#This Row],[Result]]&gt;0.5,1,0),0)</f>
        <v>0</v>
      </c>
      <c r="AH535" s="2">
        <f>IF(AND(Games[[#This Row],[Type]]="P",Games[[#This Row],[Round]]=2),IF(Games[[#This Row],[Result]]&lt;0.5,1,0),0)</f>
        <v>1</v>
      </c>
      <c r="AI535" s="2">
        <f>IF(AND(Games[[#This Row],[Type]]="P",Games[[#This Row],[Round]]=3),IF(Games[[#This Row],[Result]]&gt;0.5,1,0),0)</f>
        <v>0</v>
      </c>
      <c r="AJ535" s="2">
        <f>IF(AND(Games[[#This Row],[Type]]="P",Games[[#This Row],[Round]]=3),IF(Games[[#This Row],[Result]]&lt;0.5,1,0),0)</f>
        <v>0</v>
      </c>
      <c r="AK535" s="2">
        <f>IF(AND(Games[[#This Row],[Type]]="P",Games[[#This Row],[Round]]=4),IF(Games[[#This Row],[Result]]&gt;0.5,1,0),0)</f>
        <v>0</v>
      </c>
      <c r="AL535" s="2">
        <f>IF(AND(Games[[#This Row],[Type]]="P",Games[[#This Row],[Round]]=4),IF(Games[[#This Row],[Result]]&lt;0.5,1,0),0)</f>
        <v>0</v>
      </c>
    </row>
    <row r="536" spans="1:38" x14ac:dyDescent="0.35">
      <c r="A536" s="10">
        <v>37490</v>
      </c>
      <c r="B536" s="2">
        <v>2002</v>
      </c>
      <c r="C536" s="2">
        <f>COUNTIFS(Games[Team],Games[[#This Row],[Team]],Games[Season],Games[[#This Row],[Season]],Games[Date],"&lt;=" &amp; Games[[#This Row],[Date]])</f>
        <v>36</v>
      </c>
      <c r="D536" s="2" t="s">
        <v>46</v>
      </c>
      <c r="E536" s="2">
        <v>2</v>
      </c>
      <c r="F536" s="1" t="s">
        <v>66</v>
      </c>
      <c r="G536" s="1" t="s">
        <v>75</v>
      </c>
      <c r="H536" s="1" t="s">
        <v>16</v>
      </c>
      <c r="I536" s="2" cm="1">
        <f t="array" ref="I5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6" s="2" cm="1">
        <f t="array" ref="J53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36" s="2">
        <f>Games[[#This Row],[DaysOff]]-Games[[#This Row],[OppDaysOff]]</f>
        <v>-3</v>
      </c>
      <c r="L536" s="2">
        <f>Games[[#This Row],[OppDaysOff]]-Games[[#This Row],[DaysOff]]</f>
        <v>3</v>
      </c>
      <c r="M536" s="16">
        <f>MAX(-16, MIN(16, Games[[#This Row],[RestDiff]]*8))</f>
        <v>-16</v>
      </c>
      <c r="N536" s="16">
        <f>MAX(-16, MIN(16, Games[[#This Row],[OppRestDiff]]*8))</f>
        <v>16</v>
      </c>
      <c r="O536" s="4" cm="1">
        <f t="array" ref="O5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1543.6209400911921</v>
      </c>
      <c r="P536" s="4" cm="1">
        <f t="array" ref="P5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1480.9290643937143</v>
      </c>
      <c r="Q536" s="4">
        <f>1/(1+10^(((Games[[#This Row],[OppPreGmRate]]+IF(Games[[#This Row],[HomeAway]]="A",HCA,0)+Games[[#This Row],[OppRestAdj]])-(Games[[#This Row],[PreGmRate]]+IF(Games[[#This Row],[HomeAway]]="H",HCA,0)+Games[[#This Row],[RestAdj]]))/400))</f>
        <v>0.42387984007895985</v>
      </c>
      <c r="R536" s="1">
        <v>74</v>
      </c>
      <c r="S536" s="1">
        <v>79</v>
      </c>
      <c r="T536" s="1">
        <v>0</v>
      </c>
      <c r="U536" s="16">
        <f>Games[[#This Row],[PointsFor]]-Games[[#This Row],[PointsAgainst]]</f>
        <v>-5</v>
      </c>
      <c r="V536" s="16">
        <f>IF(Games[[#This Row],[MOV]]&gt;0,1,IF(Games[[#This Row],[MOV]]=0,0.5,0))</f>
        <v>0</v>
      </c>
      <c r="W536" s="4">
        <f>((ABS(Games[[#This Row],[MOV]])+5)^0.6)/(12+0.01*(ABS(Games[[#This Row],[PreGmRate]]-Games[[#This Row],[OppPreGmRate]])))*IF(Games[[#This Row],[OT]]=1,0.9,1)</f>
        <v>0.31528449514541568</v>
      </c>
      <c r="X536" s="7" cm="1">
        <f t="array" ref="X5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6" s="9">
        <f>MAX(kmin, kmax - 0.15 * MIN(Games[[#This Row],[GamesPlayed]], 82))</f>
        <v>70.599999999999994</v>
      </c>
      <c r="Z536" s="4">
        <f>Games[[#This Row],[K]]*Games[[#This Row],[POMult]]</f>
        <v>84.719999999999985</v>
      </c>
      <c r="AA536" s="4">
        <f>(Games[[#This Row],[Keff]]*Games[[#This Row],[MOVMult]])*(Games[[#This Row],[Result]]-Games[[#This Row],[ExpectedWin%]])</f>
        <v>-11.322213049850369</v>
      </c>
      <c r="AB536" s="4">
        <f>Games[[#This Row],[PreGmRate]]+Games[[#This Row],[RatingChange]]</f>
        <v>1532.2987270413416</v>
      </c>
      <c r="AC536" s="2">
        <f>IF(Games[[#This Row],[Type]]="R",IF(Games[[#This Row],[Result]]&gt;0.5,1,0),0)</f>
        <v>0</v>
      </c>
      <c r="AD536" s="2">
        <f>IF(Games[[#This Row],[Type]]="R",IF(Games[[#This Row],[Result]]&lt;0.5,1,0),0)</f>
        <v>0</v>
      </c>
      <c r="AE536" s="2">
        <f>IF(AND(Games[[#This Row],[Type]]="P",Games[[#This Row],[Round]]=1),IF(Games[[#This Row],[Result]]&gt;0.5,1,0),0)</f>
        <v>0</v>
      </c>
      <c r="AF536" s="2">
        <f>IF(AND(Games[[#This Row],[Type]]="P",Games[[#This Row],[Round]]=1),IF(Games[[#This Row],[Result]]&lt;0.5,1,0),0)</f>
        <v>0</v>
      </c>
      <c r="AG536" s="2">
        <f>IF(AND(Games[[#This Row],[Type]]="P",Games[[#This Row],[Round]]=2),IF(Games[[#This Row],[Result]]&gt;0.5,1,0),0)</f>
        <v>0</v>
      </c>
      <c r="AH536" s="2">
        <f>IF(AND(Games[[#This Row],[Type]]="P",Games[[#This Row],[Round]]=2),IF(Games[[#This Row],[Result]]&lt;0.5,1,0),0)</f>
        <v>1</v>
      </c>
      <c r="AI536" s="2">
        <f>IF(AND(Games[[#This Row],[Type]]="P",Games[[#This Row],[Round]]=3),IF(Games[[#This Row],[Result]]&gt;0.5,1,0),0)</f>
        <v>0</v>
      </c>
      <c r="AJ536" s="2">
        <f>IF(AND(Games[[#This Row],[Type]]="P",Games[[#This Row],[Round]]=3),IF(Games[[#This Row],[Result]]&lt;0.5,1,0),0)</f>
        <v>0</v>
      </c>
      <c r="AK536" s="2">
        <f>IF(AND(Games[[#This Row],[Type]]="P",Games[[#This Row],[Round]]=4),IF(Games[[#This Row],[Result]]&gt;0.5,1,0),0)</f>
        <v>0</v>
      </c>
      <c r="AL536" s="2">
        <f>IF(AND(Games[[#This Row],[Type]]="P",Games[[#This Row],[Round]]=4),IF(Games[[#This Row],[Result]]&lt;0.5,1,0),0)</f>
        <v>0</v>
      </c>
    </row>
    <row r="537" spans="1:38" x14ac:dyDescent="0.35">
      <c r="A537" s="10">
        <v>37490</v>
      </c>
      <c r="B537" s="2">
        <v>2002</v>
      </c>
      <c r="C537" s="2">
        <f>COUNTIFS(Games[Team],Games[[#This Row],[Team]],Games[Season],Games[[#This Row],[Season]],Games[Date],"&lt;=" &amp; Games[[#This Row],[Date]])</f>
        <v>35</v>
      </c>
      <c r="D537" s="2" t="s">
        <v>46</v>
      </c>
      <c r="E537" s="2">
        <v>2</v>
      </c>
      <c r="F537" s="1" t="s">
        <v>75</v>
      </c>
      <c r="G537" s="1" t="s">
        <v>66</v>
      </c>
      <c r="H537" s="1" t="s">
        <v>15</v>
      </c>
      <c r="I537" s="2" cm="1">
        <f t="array" ref="I537">IFERROR(
    Games[[#This Row],[Date]]
    - LOOKUP(
        2,
        1/((Games[Team]=Games[[#This Row],[Team]]) * (Games[Date] &lt; Games[[#This Row],[Date]])),
        Games[Date]
    )
    - 1,
Games[[#This Row],[Date]]-$A$2)</f>
        <v>4</v>
      </c>
      <c r="J537" s="2" cm="1">
        <f t="array" ref="J5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7" s="2">
        <f>Games[[#This Row],[DaysOff]]-Games[[#This Row],[OppDaysOff]]</f>
        <v>3</v>
      </c>
      <c r="L537" s="2">
        <f>Games[[#This Row],[OppDaysOff]]-Games[[#This Row],[DaysOff]]</f>
        <v>-3</v>
      </c>
      <c r="M537" s="16">
        <f>MAX(-16, MIN(16, Games[[#This Row],[RestDiff]]*8))</f>
        <v>16</v>
      </c>
      <c r="N537" s="16">
        <f>MAX(-16, MIN(16, Games[[#This Row],[OppRestDiff]]*8))</f>
        <v>-16</v>
      </c>
      <c r="O537" s="4" cm="1">
        <f t="array" ref="O5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1480.9290643937143</v>
      </c>
      <c r="P537" s="4" cm="1">
        <f t="array" ref="P5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1543.6209400911921</v>
      </c>
      <c r="Q537" s="4">
        <f>1/(1+10^(((Games[[#This Row],[OppPreGmRate]]+IF(Games[[#This Row],[HomeAway]]="A",HCA,0)+Games[[#This Row],[OppRestAdj]])-(Games[[#This Row],[PreGmRate]]+IF(Games[[#This Row],[HomeAway]]="H",HCA,0)+Games[[#This Row],[RestAdj]]))/400))</f>
        <v>0.57612015992104015</v>
      </c>
      <c r="R537" s="1">
        <v>79</v>
      </c>
      <c r="S537" s="1">
        <v>74</v>
      </c>
      <c r="T537" s="1">
        <v>0</v>
      </c>
      <c r="U537" s="16">
        <f>Games[[#This Row],[PointsFor]]-Games[[#This Row],[PointsAgainst]]</f>
        <v>5</v>
      </c>
      <c r="V537" s="16">
        <f>IF(Games[[#This Row],[MOV]]&gt;0,1,IF(Games[[#This Row],[MOV]]=0,0.5,0))</f>
        <v>1</v>
      </c>
      <c r="W537" s="4">
        <f>((ABS(Games[[#This Row],[MOV]])+5)^0.6)/(12+0.01*(ABS(Games[[#This Row],[PreGmRate]]-Games[[#This Row],[OppPreGmRate]])))*IF(Games[[#This Row],[OT]]=1,0.9,1)</f>
        <v>0.31528449514541568</v>
      </c>
      <c r="X537" s="7" cm="1">
        <f t="array" ref="X5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7" s="9">
        <f>MAX(kmin, kmax - 0.15 * MIN(Games[[#This Row],[GamesPlayed]], 82))</f>
        <v>70.75</v>
      </c>
      <c r="Z537" s="4">
        <f>Games[[#This Row],[K]]*Games[[#This Row],[POMult]]</f>
        <v>84.899999999999991</v>
      </c>
      <c r="AA537" s="4">
        <f>(Games[[#This Row],[Keff]]*Games[[#This Row],[MOVMult]])*(Games[[#This Row],[Result]]-Games[[#This Row],[ExpectedWin%]])</f>
        <v>11.346268743299062</v>
      </c>
      <c r="AB537" s="4">
        <f>Games[[#This Row],[PreGmRate]]+Games[[#This Row],[RatingChange]]</f>
        <v>1492.2753331370134</v>
      </c>
      <c r="AC537" s="2">
        <f>IF(Games[[#This Row],[Type]]="R",IF(Games[[#This Row],[Result]]&gt;0.5,1,0),0)</f>
        <v>0</v>
      </c>
      <c r="AD537" s="2">
        <f>IF(Games[[#This Row],[Type]]="R",IF(Games[[#This Row],[Result]]&lt;0.5,1,0),0)</f>
        <v>0</v>
      </c>
      <c r="AE537" s="2">
        <f>IF(AND(Games[[#This Row],[Type]]="P",Games[[#This Row],[Round]]=1),IF(Games[[#This Row],[Result]]&gt;0.5,1,0),0)</f>
        <v>0</v>
      </c>
      <c r="AF537" s="2">
        <f>IF(AND(Games[[#This Row],[Type]]="P",Games[[#This Row],[Round]]=1),IF(Games[[#This Row],[Result]]&lt;0.5,1,0),0)</f>
        <v>0</v>
      </c>
      <c r="AG537" s="2">
        <f>IF(AND(Games[[#This Row],[Type]]="P",Games[[#This Row],[Round]]=2),IF(Games[[#This Row],[Result]]&gt;0.5,1,0),0)</f>
        <v>1</v>
      </c>
      <c r="AH537" s="2">
        <f>IF(AND(Games[[#This Row],[Type]]="P",Games[[#This Row],[Round]]=2),IF(Games[[#This Row],[Result]]&lt;0.5,1,0),0)</f>
        <v>0</v>
      </c>
      <c r="AI537" s="2">
        <f>IF(AND(Games[[#This Row],[Type]]="P",Games[[#This Row],[Round]]=3),IF(Games[[#This Row],[Result]]&gt;0.5,1,0),0)</f>
        <v>0</v>
      </c>
      <c r="AJ537" s="2">
        <f>IF(AND(Games[[#This Row],[Type]]="P",Games[[#This Row],[Round]]=3),IF(Games[[#This Row],[Result]]&lt;0.5,1,0),0)</f>
        <v>0</v>
      </c>
      <c r="AK537" s="2">
        <f>IF(AND(Games[[#This Row],[Type]]="P",Games[[#This Row],[Round]]=4),IF(Games[[#This Row],[Result]]&gt;0.5,1,0),0)</f>
        <v>0</v>
      </c>
      <c r="AL537" s="2">
        <f>IF(AND(Games[[#This Row],[Type]]="P",Games[[#This Row],[Round]]=4),IF(Games[[#This Row],[Result]]&lt;0.5,1,0),0)</f>
        <v>0</v>
      </c>
    </row>
    <row r="538" spans="1:38" x14ac:dyDescent="0.35">
      <c r="A538" s="10">
        <v>37492</v>
      </c>
      <c r="B538" s="2">
        <v>2002</v>
      </c>
      <c r="C538" s="2">
        <f>COUNTIFS(Games[Team],Games[[#This Row],[Team]],Games[Season],Games[[#This Row],[Season]],Games[Date],"&lt;=" &amp; Games[[#This Row],[Date]])</f>
        <v>37</v>
      </c>
      <c r="D538" s="2" t="s">
        <v>46</v>
      </c>
      <c r="E538" s="2">
        <v>2</v>
      </c>
      <c r="F538" s="1" t="s">
        <v>43</v>
      </c>
      <c r="G538" s="1" t="s">
        <v>71</v>
      </c>
      <c r="H538" s="1" t="s">
        <v>16</v>
      </c>
      <c r="I538" s="2" cm="1">
        <f t="array" ref="I5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8" s="2" cm="1">
        <f t="array" ref="J5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8" s="2">
        <f>Games[[#This Row],[DaysOff]]-Games[[#This Row],[OppDaysOff]]</f>
        <v>0</v>
      </c>
      <c r="L538" s="2">
        <f>Games[[#This Row],[OppDaysOff]]-Games[[#This Row],[DaysOff]]</f>
        <v>0</v>
      </c>
      <c r="M538" s="16">
        <f>MAX(-16, MIN(16, Games[[#This Row],[RestDiff]]*8))</f>
        <v>0</v>
      </c>
      <c r="N538" s="16">
        <f>MAX(-16, MIN(16, Games[[#This Row],[OppRestDiff]]*8))</f>
        <v>0</v>
      </c>
      <c r="O538" s="4" cm="1">
        <f t="array" ref="O5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1577.2503173337634</v>
      </c>
      <c r="P538" s="4" cm="1">
        <f t="array" ref="P5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1722.5444363589945</v>
      </c>
      <c r="Q538" s="4">
        <f>1/(1+10^(((Games[[#This Row],[OppPreGmRate]]+IF(Games[[#This Row],[HomeAway]]="A",HCA,0)+Games[[#This Row],[OppRestAdj]])-(Games[[#This Row],[PreGmRate]]+IF(Games[[#This Row],[HomeAway]]="H",HCA,0)+Games[[#This Row],[RestAdj]]))/400))</f>
        <v>0.21083109607984341</v>
      </c>
      <c r="R538" s="1">
        <v>77</v>
      </c>
      <c r="S538" s="1">
        <v>103</v>
      </c>
      <c r="T538" s="1">
        <v>0</v>
      </c>
      <c r="U538" s="16">
        <f>Games[[#This Row],[PointsFor]]-Games[[#This Row],[PointsAgainst]]</f>
        <v>-26</v>
      </c>
      <c r="V538" s="16">
        <f>IF(Games[[#This Row],[MOV]]&gt;0,1,IF(Games[[#This Row],[MOV]]=0,0.5,0))</f>
        <v>0</v>
      </c>
      <c r="W538" s="4">
        <f>((ABS(Games[[#This Row],[MOV]])+5)^0.6)/(12+0.01*(ABS(Games[[#This Row],[PreGmRate]]-Games[[#This Row],[OppPreGmRate]])))*IF(Games[[#This Row],[OT]]=1,0.9,1)</f>
        <v>0.58344479881390343</v>
      </c>
      <c r="X538" s="7" cm="1">
        <f t="array" ref="X5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8" s="9">
        <f>MAX(kmin, kmax - 0.15 * MIN(Games[[#This Row],[GamesPlayed]], 82))</f>
        <v>70.45</v>
      </c>
      <c r="Z538" s="4">
        <f>Games[[#This Row],[K]]*Games[[#This Row],[POMult]]</f>
        <v>84.54</v>
      </c>
      <c r="AA538" s="4">
        <f>(Games[[#This Row],[Keff]]*Games[[#This Row],[MOVMult]])*(Games[[#This Row],[Result]]-Games[[#This Row],[ExpectedWin%]])</f>
        <v>-10.399122226101046</v>
      </c>
      <c r="AB538" s="4">
        <f>Games[[#This Row],[PreGmRate]]+Games[[#This Row],[RatingChange]]</f>
        <v>1566.8511951076623</v>
      </c>
      <c r="AC538" s="2">
        <f>IF(Games[[#This Row],[Type]]="R",IF(Games[[#This Row],[Result]]&gt;0.5,1,0),0)</f>
        <v>0</v>
      </c>
      <c r="AD538" s="2">
        <f>IF(Games[[#This Row],[Type]]="R",IF(Games[[#This Row],[Result]]&lt;0.5,1,0),0)</f>
        <v>0</v>
      </c>
      <c r="AE538" s="2">
        <f>IF(AND(Games[[#This Row],[Type]]="P",Games[[#This Row],[Round]]=1),IF(Games[[#This Row],[Result]]&gt;0.5,1,0),0)</f>
        <v>0</v>
      </c>
      <c r="AF538" s="2">
        <f>IF(AND(Games[[#This Row],[Type]]="P",Games[[#This Row],[Round]]=1),IF(Games[[#This Row],[Result]]&lt;0.5,1,0),0)</f>
        <v>0</v>
      </c>
      <c r="AG538" s="2">
        <f>IF(AND(Games[[#This Row],[Type]]="P",Games[[#This Row],[Round]]=2),IF(Games[[#This Row],[Result]]&gt;0.5,1,0),0)</f>
        <v>0</v>
      </c>
      <c r="AH538" s="2">
        <f>IF(AND(Games[[#This Row],[Type]]="P",Games[[#This Row],[Round]]=2),IF(Games[[#This Row],[Result]]&lt;0.5,1,0),0)</f>
        <v>1</v>
      </c>
      <c r="AI538" s="2">
        <f>IF(AND(Games[[#This Row],[Type]]="P",Games[[#This Row],[Round]]=3),IF(Games[[#This Row],[Result]]&gt;0.5,1,0),0)</f>
        <v>0</v>
      </c>
      <c r="AJ538" s="2">
        <f>IF(AND(Games[[#This Row],[Type]]="P",Games[[#This Row],[Round]]=3),IF(Games[[#This Row],[Result]]&lt;0.5,1,0),0)</f>
        <v>0</v>
      </c>
      <c r="AK538" s="2">
        <f>IF(AND(Games[[#This Row],[Type]]="P",Games[[#This Row],[Round]]=4),IF(Games[[#This Row],[Result]]&gt;0.5,1,0),0)</f>
        <v>0</v>
      </c>
      <c r="AL538" s="2">
        <f>IF(AND(Games[[#This Row],[Type]]="P",Games[[#This Row],[Round]]=4),IF(Games[[#This Row],[Result]]&lt;0.5,1,0),0)</f>
        <v>0</v>
      </c>
    </row>
    <row r="539" spans="1:38" x14ac:dyDescent="0.35">
      <c r="A539" s="10">
        <v>37492</v>
      </c>
      <c r="B539" s="2">
        <v>2002</v>
      </c>
      <c r="C539" s="2">
        <f>COUNTIFS(Games[Team],Games[[#This Row],[Team]],Games[Season],Games[[#This Row],[Season]],Games[Date],"&lt;=" &amp; Games[[#This Row],[Date]])</f>
        <v>36</v>
      </c>
      <c r="D539" s="2" t="s">
        <v>46</v>
      </c>
      <c r="E539" s="2">
        <v>2</v>
      </c>
      <c r="F539" s="1" t="s">
        <v>71</v>
      </c>
      <c r="G539" s="1" t="s">
        <v>43</v>
      </c>
      <c r="H539" s="1" t="s">
        <v>15</v>
      </c>
      <c r="I539" s="2" cm="1">
        <f t="array" ref="I5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9" s="2" cm="1">
        <f t="array" ref="J5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9" s="2">
        <f>Games[[#This Row],[DaysOff]]-Games[[#This Row],[OppDaysOff]]</f>
        <v>0</v>
      </c>
      <c r="L539" s="2">
        <f>Games[[#This Row],[OppDaysOff]]-Games[[#This Row],[DaysOff]]</f>
        <v>0</v>
      </c>
      <c r="M539" s="16">
        <f>MAX(-16, MIN(16, Games[[#This Row],[RestDiff]]*8))</f>
        <v>0</v>
      </c>
      <c r="N539" s="16">
        <f>MAX(-16, MIN(16, Games[[#This Row],[OppRestDiff]]*8))</f>
        <v>0</v>
      </c>
      <c r="O539" s="4" cm="1">
        <f t="array" ref="O5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1722.5444363589945</v>
      </c>
      <c r="P539" s="4" cm="1">
        <f t="array" ref="P5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1577.2503173337634</v>
      </c>
      <c r="Q539" s="4">
        <f>1/(1+10^(((Games[[#This Row],[OppPreGmRate]]+IF(Games[[#This Row],[HomeAway]]="A",HCA,0)+Games[[#This Row],[OppRestAdj]])-(Games[[#This Row],[PreGmRate]]+IF(Games[[#This Row],[HomeAway]]="H",HCA,0)+Games[[#This Row],[RestAdj]]))/400))</f>
        <v>0.78916890392015659</v>
      </c>
      <c r="R539" s="1">
        <v>103</v>
      </c>
      <c r="S539" s="1">
        <v>77</v>
      </c>
      <c r="T539" s="1">
        <v>0</v>
      </c>
      <c r="U539" s="16">
        <f>Games[[#This Row],[PointsFor]]-Games[[#This Row],[PointsAgainst]]</f>
        <v>26</v>
      </c>
      <c r="V539" s="16">
        <f>IF(Games[[#This Row],[MOV]]&gt;0,1,IF(Games[[#This Row],[MOV]]=0,0.5,0))</f>
        <v>1</v>
      </c>
      <c r="W539" s="4">
        <f>((ABS(Games[[#This Row],[MOV]])+5)^0.6)/(12+0.01*(ABS(Games[[#This Row],[PreGmRate]]-Games[[#This Row],[OppPreGmRate]])))*IF(Games[[#This Row],[OT]]=1,0.9,1)</f>
        <v>0.58344479881390343</v>
      </c>
      <c r="X539" s="7" cm="1">
        <f t="array" ref="X5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39" s="9">
        <f>MAX(kmin, kmax - 0.15 * MIN(Games[[#This Row],[GamesPlayed]], 82))</f>
        <v>70.599999999999994</v>
      </c>
      <c r="Z539" s="4">
        <f>Games[[#This Row],[K]]*Games[[#This Row],[POMult]]</f>
        <v>84.719999999999985</v>
      </c>
      <c r="AA539" s="4">
        <f>(Games[[#This Row],[Keff]]*Games[[#This Row],[MOVMult]])*(Games[[#This Row],[Result]]-Games[[#This Row],[ExpectedWin%]])</f>
        <v>10.421263721259526</v>
      </c>
      <c r="AB539" s="4">
        <f>Games[[#This Row],[PreGmRate]]+Games[[#This Row],[RatingChange]]</f>
        <v>1732.965700080254</v>
      </c>
      <c r="AC539" s="2">
        <f>IF(Games[[#This Row],[Type]]="R",IF(Games[[#This Row],[Result]]&gt;0.5,1,0),0)</f>
        <v>0</v>
      </c>
      <c r="AD539" s="2">
        <f>IF(Games[[#This Row],[Type]]="R",IF(Games[[#This Row],[Result]]&lt;0.5,1,0),0)</f>
        <v>0</v>
      </c>
      <c r="AE539" s="2">
        <f>IF(AND(Games[[#This Row],[Type]]="P",Games[[#This Row],[Round]]=1),IF(Games[[#This Row],[Result]]&gt;0.5,1,0),0)</f>
        <v>0</v>
      </c>
      <c r="AF539" s="2">
        <f>IF(AND(Games[[#This Row],[Type]]="P",Games[[#This Row],[Round]]=1),IF(Games[[#This Row],[Result]]&lt;0.5,1,0),0)</f>
        <v>0</v>
      </c>
      <c r="AG539" s="2">
        <f>IF(AND(Games[[#This Row],[Type]]="P",Games[[#This Row],[Round]]=2),IF(Games[[#This Row],[Result]]&gt;0.5,1,0),0)</f>
        <v>1</v>
      </c>
      <c r="AH539" s="2">
        <f>IF(AND(Games[[#This Row],[Type]]="P",Games[[#This Row],[Round]]=2),IF(Games[[#This Row],[Result]]&lt;0.5,1,0),0)</f>
        <v>0</v>
      </c>
      <c r="AI539" s="2">
        <f>IF(AND(Games[[#This Row],[Type]]="P",Games[[#This Row],[Round]]=3),IF(Games[[#This Row],[Result]]&gt;0.5,1,0),0)</f>
        <v>0</v>
      </c>
      <c r="AJ539" s="2">
        <f>IF(AND(Games[[#This Row],[Type]]="P",Games[[#This Row],[Round]]=3),IF(Games[[#This Row],[Result]]&lt;0.5,1,0),0)</f>
        <v>0</v>
      </c>
      <c r="AK539" s="2">
        <f>IF(AND(Games[[#This Row],[Type]]="P",Games[[#This Row],[Round]]=4),IF(Games[[#This Row],[Result]]&gt;0.5,1,0),0)</f>
        <v>0</v>
      </c>
      <c r="AL539" s="2">
        <f>IF(AND(Games[[#This Row],[Type]]="P",Games[[#This Row],[Round]]=4),IF(Games[[#This Row],[Result]]&lt;0.5,1,0),0)</f>
        <v>0</v>
      </c>
    </row>
    <row r="540" spans="1:38" x14ac:dyDescent="0.35">
      <c r="A540" s="10">
        <v>37492</v>
      </c>
      <c r="B540" s="2">
        <v>2002</v>
      </c>
      <c r="C540" s="2">
        <f>COUNTIFS(Games[Team],Games[[#This Row],[Team]],Games[Season],Games[[#This Row],[Season]],Games[Date],"&lt;=" &amp; Games[[#This Row],[Date]])</f>
        <v>36</v>
      </c>
      <c r="D540" s="2" t="s">
        <v>46</v>
      </c>
      <c r="E540" s="2">
        <v>2</v>
      </c>
      <c r="F540" s="1" t="s">
        <v>75</v>
      </c>
      <c r="G540" s="1" t="s">
        <v>66</v>
      </c>
      <c r="H540" s="1" t="s">
        <v>16</v>
      </c>
      <c r="I540" s="2" cm="1">
        <f t="array" ref="I5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0" s="2" cm="1">
        <f t="array" ref="J5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0" s="2">
        <f>Games[[#This Row],[DaysOff]]-Games[[#This Row],[OppDaysOff]]</f>
        <v>0</v>
      </c>
      <c r="L540" s="2">
        <f>Games[[#This Row],[OppDaysOff]]-Games[[#This Row],[DaysOff]]</f>
        <v>0</v>
      </c>
      <c r="M540" s="16">
        <f>MAX(-16, MIN(16, Games[[#This Row],[RestDiff]]*8))</f>
        <v>0</v>
      </c>
      <c r="N540" s="16">
        <f>MAX(-16, MIN(16, Games[[#This Row],[OppRestDiff]]*8))</f>
        <v>0</v>
      </c>
      <c r="O540" s="4" cm="1">
        <f t="array" ref="O5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1492.2753331370134</v>
      </c>
      <c r="P540" s="4" cm="1">
        <f t="array" ref="P5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1532.2987270413416</v>
      </c>
      <c r="Q540" s="4">
        <f>1/(1+10^(((Games[[#This Row],[OppPreGmRate]]+IF(Games[[#This Row],[HomeAway]]="A",HCA,0)+Games[[#This Row],[OppRestAdj]])-(Games[[#This Row],[PreGmRate]]+IF(Games[[#This Row],[HomeAway]]="H",HCA,0)+Games[[#This Row],[RestAdj]]))/400))</f>
        <v>0.32872970219538261</v>
      </c>
      <c r="R540" s="1">
        <v>79</v>
      </c>
      <c r="S540" s="1">
        <v>96</v>
      </c>
      <c r="T540" s="1">
        <v>0</v>
      </c>
      <c r="U540" s="16">
        <f>Games[[#This Row],[PointsFor]]-Games[[#This Row],[PointsAgainst]]</f>
        <v>-17</v>
      </c>
      <c r="V540" s="16">
        <f>IF(Games[[#This Row],[MOV]]&gt;0,1,IF(Games[[#This Row],[MOV]]=0,0.5,0))</f>
        <v>0</v>
      </c>
      <c r="W540" s="4">
        <f>((ABS(Games[[#This Row],[MOV]])+5)^0.6)/(12+0.01*(ABS(Games[[#This Row],[PreGmRate]]-Games[[#This Row],[OppPreGmRate]])))*IF(Games[[#This Row],[OT]]=1,0.9,1)</f>
        <v>0.51525679760497511</v>
      </c>
      <c r="X540" s="7" cm="1">
        <f t="array" ref="X5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0" s="9">
        <f>MAX(kmin, kmax - 0.15 * MIN(Games[[#This Row],[GamesPlayed]], 82))</f>
        <v>70.599999999999994</v>
      </c>
      <c r="Z540" s="4">
        <f>Games[[#This Row],[K]]*Games[[#This Row],[POMult]]</f>
        <v>84.719999999999985</v>
      </c>
      <c r="AA540" s="4">
        <f>(Games[[#This Row],[Keff]]*Games[[#This Row],[MOVMult]])*(Games[[#This Row],[Result]]-Games[[#This Row],[ExpectedWin%]])</f>
        <v>-14.349891698803916</v>
      </c>
      <c r="AB540" s="4">
        <f>Games[[#This Row],[PreGmRate]]+Games[[#This Row],[RatingChange]]</f>
        <v>1477.9254414382094</v>
      </c>
      <c r="AC540" s="2">
        <f>IF(Games[[#This Row],[Type]]="R",IF(Games[[#This Row],[Result]]&gt;0.5,1,0),0)</f>
        <v>0</v>
      </c>
      <c r="AD540" s="2">
        <f>IF(Games[[#This Row],[Type]]="R",IF(Games[[#This Row],[Result]]&lt;0.5,1,0),0)</f>
        <v>0</v>
      </c>
      <c r="AE540" s="2">
        <f>IF(AND(Games[[#This Row],[Type]]="P",Games[[#This Row],[Round]]=1),IF(Games[[#This Row],[Result]]&gt;0.5,1,0),0)</f>
        <v>0</v>
      </c>
      <c r="AF540" s="2">
        <f>IF(AND(Games[[#This Row],[Type]]="P",Games[[#This Row],[Round]]=1),IF(Games[[#This Row],[Result]]&lt;0.5,1,0),0)</f>
        <v>0</v>
      </c>
      <c r="AG540" s="2">
        <f>IF(AND(Games[[#This Row],[Type]]="P",Games[[#This Row],[Round]]=2),IF(Games[[#This Row],[Result]]&gt;0.5,1,0),0)</f>
        <v>0</v>
      </c>
      <c r="AH540" s="2">
        <f>IF(AND(Games[[#This Row],[Type]]="P",Games[[#This Row],[Round]]=2),IF(Games[[#This Row],[Result]]&lt;0.5,1,0),0)</f>
        <v>1</v>
      </c>
      <c r="AI540" s="2">
        <f>IF(AND(Games[[#This Row],[Type]]="P",Games[[#This Row],[Round]]=3),IF(Games[[#This Row],[Result]]&gt;0.5,1,0),0)</f>
        <v>0</v>
      </c>
      <c r="AJ540" s="2">
        <f>IF(AND(Games[[#This Row],[Type]]="P",Games[[#This Row],[Round]]=3),IF(Games[[#This Row],[Result]]&lt;0.5,1,0),0)</f>
        <v>0</v>
      </c>
      <c r="AK540" s="2">
        <f>IF(AND(Games[[#This Row],[Type]]="P",Games[[#This Row],[Round]]=4),IF(Games[[#This Row],[Result]]&gt;0.5,1,0),0)</f>
        <v>0</v>
      </c>
      <c r="AL540" s="2">
        <f>IF(AND(Games[[#This Row],[Type]]="P",Games[[#This Row],[Round]]=4),IF(Games[[#This Row],[Result]]&lt;0.5,1,0),0)</f>
        <v>0</v>
      </c>
    </row>
    <row r="541" spans="1:38" x14ac:dyDescent="0.35">
      <c r="A541" s="10">
        <v>37492</v>
      </c>
      <c r="B541" s="2">
        <v>2002</v>
      </c>
      <c r="C541" s="2">
        <f>COUNTIFS(Games[Team],Games[[#This Row],[Team]],Games[Season],Games[[#This Row],[Season]],Games[Date],"&lt;=" &amp; Games[[#This Row],[Date]])</f>
        <v>37</v>
      </c>
      <c r="D541" s="2" t="s">
        <v>46</v>
      </c>
      <c r="E541" s="2">
        <v>2</v>
      </c>
      <c r="F541" s="1" t="s">
        <v>66</v>
      </c>
      <c r="G541" s="1" t="s">
        <v>75</v>
      </c>
      <c r="H541" s="1" t="s">
        <v>15</v>
      </c>
      <c r="I541" s="2" cm="1">
        <f t="array" ref="I5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1" s="2" cm="1">
        <f t="array" ref="J5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1" s="2">
        <f>Games[[#This Row],[DaysOff]]-Games[[#This Row],[OppDaysOff]]</f>
        <v>0</v>
      </c>
      <c r="L541" s="2">
        <f>Games[[#This Row],[OppDaysOff]]-Games[[#This Row],[DaysOff]]</f>
        <v>0</v>
      </c>
      <c r="M541" s="16">
        <f>MAX(-16, MIN(16, Games[[#This Row],[RestDiff]]*8))</f>
        <v>0</v>
      </c>
      <c r="N541" s="16">
        <f>MAX(-16, MIN(16, Games[[#This Row],[OppRestDiff]]*8))</f>
        <v>0</v>
      </c>
      <c r="O541" s="4" cm="1">
        <f t="array" ref="O5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1532.2987270413416</v>
      </c>
      <c r="P541" s="4" cm="1">
        <f t="array" ref="P5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1492.2753331370134</v>
      </c>
      <c r="Q541" s="4">
        <f>1/(1+10^(((Games[[#This Row],[OppPreGmRate]]+IF(Games[[#This Row],[HomeAway]]="A",HCA,0)+Games[[#This Row],[OppRestAdj]])-(Games[[#This Row],[PreGmRate]]+IF(Games[[#This Row],[HomeAway]]="H",HCA,0)+Games[[#This Row],[RestAdj]]))/400))</f>
        <v>0.67127029780461733</v>
      </c>
      <c r="R541" s="1">
        <v>96</v>
      </c>
      <c r="S541" s="1">
        <v>79</v>
      </c>
      <c r="T541" s="1">
        <v>0</v>
      </c>
      <c r="U541" s="16">
        <f>Games[[#This Row],[PointsFor]]-Games[[#This Row],[PointsAgainst]]</f>
        <v>17</v>
      </c>
      <c r="V541" s="16">
        <f>IF(Games[[#This Row],[MOV]]&gt;0,1,IF(Games[[#This Row],[MOV]]=0,0.5,0))</f>
        <v>1</v>
      </c>
      <c r="W541" s="4">
        <f>((ABS(Games[[#This Row],[MOV]])+5)^0.6)/(12+0.01*(ABS(Games[[#This Row],[PreGmRate]]-Games[[#This Row],[OppPreGmRate]])))*IF(Games[[#This Row],[OT]]=1,0.9,1)</f>
        <v>0.51525679760497511</v>
      </c>
      <c r="X541" s="7" cm="1">
        <f t="array" ref="X5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1" s="9">
        <f>MAX(kmin, kmax - 0.15 * MIN(Games[[#This Row],[GamesPlayed]], 82))</f>
        <v>70.45</v>
      </c>
      <c r="Z541" s="4">
        <f>Games[[#This Row],[K]]*Games[[#This Row],[POMult]]</f>
        <v>84.54</v>
      </c>
      <c r="AA541" s="4">
        <f>(Games[[#This Row],[Keff]]*Games[[#This Row],[MOVMult]])*(Games[[#This Row],[Result]]-Games[[#This Row],[ExpectedWin%]])</f>
        <v>14.319403260350372</v>
      </c>
      <c r="AB541" s="4">
        <f>Games[[#This Row],[PreGmRate]]+Games[[#This Row],[RatingChange]]</f>
        <v>1546.618130301692</v>
      </c>
      <c r="AC541" s="2">
        <f>IF(Games[[#This Row],[Type]]="R",IF(Games[[#This Row],[Result]]&gt;0.5,1,0),0)</f>
        <v>0</v>
      </c>
      <c r="AD541" s="2">
        <f>IF(Games[[#This Row],[Type]]="R",IF(Games[[#This Row],[Result]]&lt;0.5,1,0),0)</f>
        <v>0</v>
      </c>
      <c r="AE541" s="2">
        <f>IF(AND(Games[[#This Row],[Type]]="P",Games[[#This Row],[Round]]=1),IF(Games[[#This Row],[Result]]&gt;0.5,1,0),0)</f>
        <v>0</v>
      </c>
      <c r="AF541" s="2">
        <f>IF(AND(Games[[#This Row],[Type]]="P",Games[[#This Row],[Round]]=1),IF(Games[[#This Row],[Result]]&lt;0.5,1,0),0)</f>
        <v>0</v>
      </c>
      <c r="AG541" s="2">
        <f>IF(AND(Games[[#This Row],[Type]]="P",Games[[#This Row],[Round]]=2),IF(Games[[#This Row],[Result]]&gt;0.5,1,0),0)</f>
        <v>1</v>
      </c>
      <c r="AH541" s="2">
        <f>IF(AND(Games[[#This Row],[Type]]="P",Games[[#This Row],[Round]]=2),IF(Games[[#This Row],[Result]]&lt;0.5,1,0),0)</f>
        <v>0</v>
      </c>
      <c r="AI541" s="2">
        <f>IF(AND(Games[[#This Row],[Type]]="P",Games[[#This Row],[Round]]=3),IF(Games[[#This Row],[Result]]&gt;0.5,1,0),0)</f>
        <v>0</v>
      </c>
      <c r="AJ541" s="2">
        <f>IF(AND(Games[[#This Row],[Type]]="P",Games[[#This Row],[Round]]=3),IF(Games[[#This Row],[Result]]&lt;0.5,1,0),0)</f>
        <v>0</v>
      </c>
      <c r="AK541" s="2">
        <f>IF(AND(Games[[#This Row],[Type]]="P",Games[[#This Row],[Round]]=4),IF(Games[[#This Row],[Result]]&gt;0.5,1,0),0)</f>
        <v>0</v>
      </c>
      <c r="AL541" s="2">
        <f>IF(AND(Games[[#This Row],[Type]]="P",Games[[#This Row],[Round]]=4),IF(Games[[#This Row],[Result]]&lt;0.5,1,0),0)</f>
        <v>0</v>
      </c>
    </row>
    <row r="542" spans="1:38" x14ac:dyDescent="0.35">
      <c r="A542" s="10">
        <v>37493</v>
      </c>
      <c r="B542" s="2">
        <v>2002</v>
      </c>
      <c r="C542" s="2">
        <f>COUNTIFS(Games[Team],Games[[#This Row],[Team]],Games[Season],Games[[#This Row],[Season]],Games[Date],"&lt;=" &amp; Games[[#This Row],[Date]])</f>
        <v>37</v>
      </c>
      <c r="D542" s="2" t="s">
        <v>46</v>
      </c>
      <c r="E542" s="2">
        <v>2</v>
      </c>
      <c r="F542" s="1" t="s">
        <v>75</v>
      </c>
      <c r="G542" s="1" t="s">
        <v>66</v>
      </c>
      <c r="H542" s="1" t="s">
        <v>16</v>
      </c>
      <c r="I542" s="2" cm="1">
        <f t="array" ref="I5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2" s="2" cm="1">
        <f t="array" ref="J54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2" s="2">
        <f>Games[[#This Row],[DaysOff]]-Games[[#This Row],[OppDaysOff]]</f>
        <v>0</v>
      </c>
      <c r="L542" s="2">
        <f>Games[[#This Row],[OppDaysOff]]-Games[[#This Row],[DaysOff]]</f>
        <v>0</v>
      </c>
      <c r="M542" s="16">
        <f>MAX(-16, MIN(16, Games[[#This Row],[RestDiff]]*8))</f>
        <v>0</v>
      </c>
      <c r="N542" s="16">
        <f>MAX(-16, MIN(16, Games[[#This Row],[OppRestDiff]]*8))</f>
        <v>0</v>
      </c>
      <c r="O542" s="4" cm="1">
        <f t="array" ref="O5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1477.9254414382094</v>
      </c>
      <c r="P542" s="4" cm="1">
        <f t="array" ref="P5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1546.618130301692</v>
      </c>
      <c r="Q542" s="4">
        <f>1/(1+10^(((Games[[#This Row],[OppPreGmRate]]+IF(Games[[#This Row],[HomeAway]]="A",HCA,0)+Games[[#This Row],[OppRestAdj]])-(Games[[#This Row],[PreGmRate]]+IF(Games[[#This Row],[HomeAway]]="H",HCA,0)+Games[[#This Row],[RestAdj]]))/400))</f>
        <v>0.2933913127390575</v>
      </c>
      <c r="R542" s="1">
        <v>57</v>
      </c>
      <c r="S542" s="1">
        <v>64</v>
      </c>
      <c r="T542" s="1">
        <v>0</v>
      </c>
      <c r="U542" s="16">
        <f>Games[[#This Row],[PointsFor]]-Games[[#This Row],[PointsAgainst]]</f>
        <v>-7</v>
      </c>
      <c r="V542" s="16">
        <f>IF(Games[[#This Row],[MOV]]&gt;0,1,IF(Games[[#This Row],[MOV]]=0,0.5,0))</f>
        <v>0</v>
      </c>
      <c r="W542" s="4">
        <f>((ABS(Games[[#This Row],[MOV]])+5)^0.6)/(12+0.01*(ABS(Games[[#This Row],[PreGmRate]]-Games[[#This Row],[OppPreGmRate]])))*IF(Games[[#This Row],[OT]]=1,0.9,1)</f>
        <v>0.35006791706385754</v>
      </c>
      <c r="X542" s="7" cm="1">
        <f t="array" ref="X5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2" s="9">
        <f>MAX(kmin, kmax - 0.15 * MIN(Games[[#This Row],[GamesPlayed]], 82))</f>
        <v>70.45</v>
      </c>
      <c r="Z542" s="4">
        <f>Games[[#This Row],[K]]*Games[[#This Row],[POMult]]</f>
        <v>84.54</v>
      </c>
      <c r="AA542" s="4">
        <f>(Games[[#This Row],[Keff]]*Games[[#This Row],[MOVMult]])*(Games[[#This Row],[Result]]-Games[[#This Row],[ExpectedWin%]])</f>
        <v>-8.6828401200531893</v>
      </c>
      <c r="AB542" s="4">
        <f>Games[[#This Row],[PreGmRate]]+Games[[#This Row],[RatingChange]]</f>
        <v>1469.2426013181562</v>
      </c>
      <c r="AC542" s="2">
        <f>IF(Games[[#This Row],[Type]]="R",IF(Games[[#This Row],[Result]]&gt;0.5,1,0),0)</f>
        <v>0</v>
      </c>
      <c r="AD542" s="2">
        <f>IF(Games[[#This Row],[Type]]="R",IF(Games[[#This Row],[Result]]&lt;0.5,1,0),0)</f>
        <v>0</v>
      </c>
      <c r="AE542" s="2">
        <f>IF(AND(Games[[#This Row],[Type]]="P",Games[[#This Row],[Round]]=1),IF(Games[[#This Row],[Result]]&gt;0.5,1,0),0)</f>
        <v>0</v>
      </c>
      <c r="AF542" s="2">
        <f>IF(AND(Games[[#This Row],[Type]]="P",Games[[#This Row],[Round]]=1),IF(Games[[#This Row],[Result]]&lt;0.5,1,0),0)</f>
        <v>0</v>
      </c>
      <c r="AG542" s="2">
        <f>IF(AND(Games[[#This Row],[Type]]="P",Games[[#This Row],[Round]]=2),IF(Games[[#This Row],[Result]]&gt;0.5,1,0),0)</f>
        <v>0</v>
      </c>
      <c r="AH542" s="2">
        <f>IF(AND(Games[[#This Row],[Type]]="P",Games[[#This Row],[Round]]=2),IF(Games[[#This Row],[Result]]&lt;0.5,1,0),0)</f>
        <v>1</v>
      </c>
      <c r="AI542" s="2">
        <f>IF(AND(Games[[#This Row],[Type]]="P",Games[[#This Row],[Round]]=3),IF(Games[[#This Row],[Result]]&gt;0.5,1,0),0)</f>
        <v>0</v>
      </c>
      <c r="AJ542" s="2">
        <f>IF(AND(Games[[#This Row],[Type]]="P",Games[[#This Row],[Round]]=3),IF(Games[[#This Row],[Result]]&lt;0.5,1,0),0)</f>
        <v>0</v>
      </c>
      <c r="AK542" s="2">
        <f>IF(AND(Games[[#This Row],[Type]]="P",Games[[#This Row],[Round]]=4),IF(Games[[#This Row],[Result]]&gt;0.5,1,0),0)</f>
        <v>0</v>
      </c>
      <c r="AL542" s="2">
        <f>IF(AND(Games[[#This Row],[Type]]="P",Games[[#This Row],[Round]]=4),IF(Games[[#This Row],[Result]]&lt;0.5,1,0),0)</f>
        <v>0</v>
      </c>
    </row>
    <row r="543" spans="1:38" x14ac:dyDescent="0.35">
      <c r="A543" s="10">
        <v>37493</v>
      </c>
      <c r="B543" s="2">
        <v>2002</v>
      </c>
      <c r="C543" s="2">
        <f>COUNTIFS(Games[Team],Games[[#This Row],[Team]],Games[Season],Games[[#This Row],[Season]],Games[Date],"&lt;=" &amp; Games[[#This Row],[Date]])</f>
        <v>38</v>
      </c>
      <c r="D543" s="2" t="s">
        <v>46</v>
      </c>
      <c r="E543" s="2">
        <v>2</v>
      </c>
      <c r="F543" s="1" t="s">
        <v>66</v>
      </c>
      <c r="G543" s="1" t="s">
        <v>75</v>
      </c>
      <c r="H543" s="1" t="s">
        <v>15</v>
      </c>
      <c r="I543" s="2" cm="1">
        <f t="array" ref="I543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3" s="2" cm="1">
        <f t="array" ref="J5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43" s="2">
        <f>Games[[#This Row],[DaysOff]]-Games[[#This Row],[OppDaysOff]]</f>
        <v>0</v>
      </c>
      <c r="L543" s="2">
        <f>Games[[#This Row],[OppDaysOff]]-Games[[#This Row],[DaysOff]]</f>
        <v>0</v>
      </c>
      <c r="M543" s="16">
        <f>MAX(-16, MIN(16, Games[[#This Row],[RestDiff]]*8))</f>
        <v>0</v>
      </c>
      <c r="N543" s="16">
        <f>MAX(-16, MIN(16, Games[[#This Row],[OppRestDiff]]*8))</f>
        <v>0</v>
      </c>
      <c r="O543" s="4" cm="1">
        <f t="array" ref="O5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1546.618130301692</v>
      </c>
      <c r="P543" s="4" cm="1">
        <f t="array" ref="P5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1477.9254414382094</v>
      </c>
      <c r="Q543" s="4">
        <f>1/(1+10^(((Games[[#This Row],[OppPreGmRate]]+IF(Games[[#This Row],[HomeAway]]="A",HCA,0)+Games[[#This Row],[OppRestAdj]])-(Games[[#This Row],[PreGmRate]]+IF(Games[[#This Row],[HomeAway]]="H",HCA,0)+Games[[#This Row],[RestAdj]]))/400))</f>
        <v>0.7066086872609425</v>
      </c>
      <c r="R543" s="1">
        <v>64</v>
      </c>
      <c r="S543" s="1">
        <v>57</v>
      </c>
      <c r="T543" s="1">
        <v>0</v>
      </c>
      <c r="U543" s="16">
        <f>Games[[#This Row],[PointsFor]]-Games[[#This Row],[PointsAgainst]]</f>
        <v>7</v>
      </c>
      <c r="V543" s="16">
        <f>IF(Games[[#This Row],[MOV]]&gt;0,1,IF(Games[[#This Row],[MOV]]=0,0.5,0))</f>
        <v>1</v>
      </c>
      <c r="W543" s="4">
        <f>((ABS(Games[[#This Row],[MOV]])+5)^0.6)/(12+0.01*(ABS(Games[[#This Row],[PreGmRate]]-Games[[#This Row],[OppPreGmRate]])))*IF(Games[[#This Row],[OT]]=1,0.9,1)</f>
        <v>0.35006791706385754</v>
      </c>
      <c r="X543" s="7" cm="1">
        <f t="array" ref="X5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543" s="9">
        <f>MAX(kmin, kmax - 0.15 * MIN(Games[[#This Row],[GamesPlayed]], 82))</f>
        <v>70.3</v>
      </c>
      <c r="Z543" s="4">
        <f>Games[[#This Row],[K]]*Games[[#This Row],[POMult]]</f>
        <v>84.36</v>
      </c>
      <c r="AA543" s="4">
        <f>(Games[[#This Row],[Keff]]*Games[[#This Row],[MOVMult]])*(Games[[#This Row],[Result]]-Games[[#This Row],[ExpectedWin%]])</f>
        <v>8.6643528806208536</v>
      </c>
      <c r="AB543" s="4">
        <f>Games[[#This Row],[PreGmRate]]+Games[[#This Row],[RatingChange]]</f>
        <v>1555.2824831823127</v>
      </c>
      <c r="AC543" s="2">
        <f>IF(Games[[#This Row],[Type]]="R",IF(Games[[#This Row],[Result]]&gt;0.5,1,0),0)</f>
        <v>0</v>
      </c>
      <c r="AD543" s="2">
        <f>IF(Games[[#This Row],[Type]]="R",IF(Games[[#This Row],[Result]]&lt;0.5,1,0),0)</f>
        <v>0</v>
      </c>
      <c r="AE543" s="2">
        <f>IF(AND(Games[[#This Row],[Type]]="P",Games[[#This Row],[Round]]=1),IF(Games[[#This Row],[Result]]&gt;0.5,1,0),0)</f>
        <v>0</v>
      </c>
      <c r="AF543" s="2">
        <f>IF(AND(Games[[#This Row],[Type]]="P",Games[[#This Row],[Round]]=1),IF(Games[[#This Row],[Result]]&lt;0.5,1,0),0)</f>
        <v>0</v>
      </c>
      <c r="AG543" s="2">
        <f>IF(AND(Games[[#This Row],[Type]]="P",Games[[#This Row],[Round]]=2),IF(Games[[#This Row],[Result]]&gt;0.5,1,0),0)</f>
        <v>1</v>
      </c>
      <c r="AH543" s="2">
        <f>IF(AND(Games[[#This Row],[Type]]="P",Games[[#This Row],[Round]]=2),IF(Games[[#This Row],[Result]]&lt;0.5,1,0),0)</f>
        <v>0</v>
      </c>
      <c r="AI543" s="2">
        <f>IF(AND(Games[[#This Row],[Type]]="P",Games[[#This Row],[Round]]=3),IF(Games[[#This Row],[Result]]&gt;0.5,1,0),0)</f>
        <v>0</v>
      </c>
      <c r="AJ543" s="2">
        <f>IF(AND(Games[[#This Row],[Type]]="P",Games[[#This Row],[Round]]=3),IF(Games[[#This Row],[Result]]&lt;0.5,1,0),0)</f>
        <v>0</v>
      </c>
      <c r="AK543" s="2">
        <f>IF(AND(Games[[#This Row],[Type]]="P",Games[[#This Row],[Round]]=4),IF(Games[[#This Row],[Result]]&gt;0.5,1,0),0)</f>
        <v>0</v>
      </c>
      <c r="AL543" s="2">
        <f>IF(AND(Games[[#This Row],[Type]]="P",Games[[#This Row],[Round]]=4),IF(Games[[#This Row],[Result]]&lt;0.5,1,0),0)</f>
        <v>0</v>
      </c>
    </row>
    <row r="544" spans="1:38" x14ac:dyDescent="0.35">
      <c r="A544" s="10">
        <v>37497</v>
      </c>
      <c r="B544" s="2">
        <v>2002</v>
      </c>
      <c r="C544" s="2">
        <f>COUNTIFS(Games[Team],Games[[#This Row],[Team]],Games[Season],Games[[#This Row],[Season]],Games[Date],"&lt;=" &amp; Games[[#This Row],[Date]])</f>
        <v>37</v>
      </c>
      <c r="D544" s="2" t="s">
        <v>46</v>
      </c>
      <c r="E544" s="2">
        <v>3</v>
      </c>
      <c r="F544" s="1" t="s">
        <v>71</v>
      </c>
      <c r="G544" s="1" t="s">
        <v>66</v>
      </c>
      <c r="H544" s="1" t="s">
        <v>16</v>
      </c>
      <c r="I544" s="2" cm="1">
        <f t="array" ref="I544">IFERROR(
    Games[[#This Row],[Date]]
    - LOOKUP(
        2,
        1/((Games[Team]=Games[[#This Row],[Team]]) * (Games[Date] &lt; Games[[#This Row],[Date]])),
        Games[Date]
    )
    - 1,
Games[[#This Row],[Date]]-$A$2)</f>
        <v>4</v>
      </c>
      <c r="J544" s="2" cm="1">
        <f t="array" ref="J54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544" s="2">
        <f>Games[[#This Row],[DaysOff]]-Games[[#This Row],[OppDaysOff]]</f>
        <v>1</v>
      </c>
      <c r="L544" s="2">
        <f>Games[[#This Row],[OppDaysOff]]-Games[[#This Row],[DaysOff]]</f>
        <v>-1</v>
      </c>
      <c r="M544" s="16">
        <f>MAX(-16, MIN(16, Games[[#This Row],[RestDiff]]*8))</f>
        <v>8</v>
      </c>
      <c r="N544" s="16">
        <f>MAX(-16, MIN(16, Games[[#This Row],[OppRestDiff]]*8))</f>
        <v>-8</v>
      </c>
      <c r="O544" s="4" cm="1">
        <f t="array" ref="O5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1732.965700080254</v>
      </c>
      <c r="P544" s="4" cm="1">
        <f t="array" ref="P5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1555.2824831823127</v>
      </c>
      <c r="Q544" s="4">
        <f>1/(1+10^(((Games[[#This Row],[OppPreGmRate]]+IF(Games[[#This Row],[HomeAway]]="A",HCA,0)+Games[[#This Row],[OppRestAdj]])-(Games[[#This Row],[PreGmRate]]+IF(Games[[#This Row],[HomeAway]]="H",HCA,0)+Games[[#This Row],[RestAdj]]))/400))</f>
        <v>0.65280397310842775</v>
      </c>
      <c r="R544" s="1">
        <v>71</v>
      </c>
      <c r="S544" s="1">
        <v>63</v>
      </c>
      <c r="T544" s="1">
        <v>0</v>
      </c>
      <c r="U544" s="16">
        <f>Games[[#This Row],[PointsFor]]-Games[[#This Row],[PointsAgainst]]</f>
        <v>8</v>
      </c>
      <c r="V544" s="16">
        <f>IF(Games[[#This Row],[MOV]]&gt;0,1,IF(Games[[#This Row],[MOV]]=0,0.5,0))</f>
        <v>1</v>
      </c>
      <c r="W544" s="4">
        <f>((ABS(Games[[#This Row],[MOV]])+5)^0.6)/(12+0.01*(ABS(Games[[#This Row],[PreGmRate]]-Games[[#This Row],[OppPreGmRate]])))*IF(Games[[#This Row],[OT]]=1,0.9,1)</f>
        <v>0.33823351862616635</v>
      </c>
      <c r="X544" s="7" cm="1">
        <f t="array" ref="X5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4" s="9">
        <f>MAX(kmin, kmax - 0.15 * MIN(Games[[#This Row],[GamesPlayed]], 82))</f>
        <v>70.45</v>
      </c>
      <c r="Z544" s="4">
        <f>Games[[#This Row],[K]]*Games[[#This Row],[POMult]]</f>
        <v>95.107500000000016</v>
      </c>
      <c r="AA544" s="4">
        <f>(Games[[#This Row],[Keff]]*Games[[#This Row],[MOVMult]])*(Games[[#This Row],[Result]]-Games[[#This Row],[ExpectedWin%]])</f>
        <v>11.16879079709992</v>
      </c>
      <c r="AB544" s="4">
        <f>Games[[#This Row],[PreGmRate]]+Games[[#This Row],[RatingChange]]</f>
        <v>1744.134490877354</v>
      </c>
      <c r="AC544" s="2">
        <f>IF(Games[[#This Row],[Type]]="R",IF(Games[[#This Row],[Result]]&gt;0.5,1,0),0)</f>
        <v>0</v>
      </c>
      <c r="AD544" s="2">
        <f>IF(Games[[#This Row],[Type]]="R",IF(Games[[#This Row],[Result]]&lt;0.5,1,0),0)</f>
        <v>0</v>
      </c>
      <c r="AE544" s="2">
        <f>IF(AND(Games[[#This Row],[Type]]="P",Games[[#This Row],[Round]]=1),IF(Games[[#This Row],[Result]]&gt;0.5,1,0),0)</f>
        <v>0</v>
      </c>
      <c r="AF544" s="2">
        <f>IF(AND(Games[[#This Row],[Type]]="P",Games[[#This Row],[Round]]=1),IF(Games[[#This Row],[Result]]&lt;0.5,1,0),0)</f>
        <v>0</v>
      </c>
      <c r="AG544" s="2">
        <f>IF(AND(Games[[#This Row],[Type]]="P",Games[[#This Row],[Round]]=2),IF(Games[[#This Row],[Result]]&gt;0.5,1,0),0)</f>
        <v>0</v>
      </c>
      <c r="AH544" s="2">
        <f>IF(AND(Games[[#This Row],[Type]]="P",Games[[#This Row],[Round]]=2),IF(Games[[#This Row],[Result]]&lt;0.5,1,0),0)</f>
        <v>0</v>
      </c>
      <c r="AI544" s="2">
        <f>IF(AND(Games[[#This Row],[Type]]="P",Games[[#This Row],[Round]]=3),IF(Games[[#This Row],[Result]]&gt;0.5,1,0),0)</f>
        <v>1</v>
      </c>
      <c r="AJ544" s="2">
        <f>IF(AND(Games[[#This Row],[Type]]="P",Games[[#This Row],[Round]]=3),IF(Games[[#This Row],[Result]]&lt;0.5,1,0),0)</f>
        <v>0</v>
      </c>
      <c r="AK544" s="2">
        <f>IF(AND(Games[[#This Row],[Type]]="P",Games[[#This Row],[Round]]=4),IF(Games[[#This Row],[Result]]&gt;0.5,1,0),0)</f>
        <v>0</v>
      </c>
      <c r="AL544" s="2">
        <f>IF(AND(Games[[#This Row],[Type]]="P",Games[[#This Row],[Round]]=4),IF(Games[[#This Row],[Result]]&lt;0.5,1,0),0)</f>
        <v>0</v>
      </c>
    </row>
    <row r="545" spans="1:38" x14ac:dyDescent="0.35">
      <c r="A545" s="10">
        <v>37497</v>
      </c>
      <c r="B545" s="2">
        <v>2002</v>
      </c>
      <c r="C545" s="2">
        <f>COUNTIFS(Games[Team],Games[[#This Row],[Team]],Games[Season],Games[[#This Row],[Season]],Games[Date],"&lt;=" &amp; Games[[#This Row],[Date]])</f>
        <v>39</v>
      </c>
      <c r="D545" s="2" t="s">
        <v>46</v>
      </c>
      <c r="E545" s="2">
        <v>3</v>
      </c>
      <c r="F545" s="1" t="s">
        <v>66</v>
      </c>
      <c r="G545" s="1" t="s">
        <v>71</v>
      </c>
      <c r="H545" s="1" t="s">
        <v>15</v>
      </c>
      <c r="I545" s="2" cm="1">
        <f t="array" ref="I545">IFERROR(
    Games[[#This Row],[Date]]
    - LOOKUP(
        2,
        1/((Games[Team]=Games[[#This Row],[Team]]) * (Games[Date] &lt; Games[[#This Row],[Date]])),
        Games[Date]
    )
    - 1,
Games[[#This Row],[Date]]-$A$2)</f>
        <v>3</v>
      </c>
      <c r="J545" s="2" cm="1">
        <f t="array" ref="J54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45" s="2">
        <f>Games[[#This Row],[DaysOff]]-Games[[#This Row],[OppDaysOff]]</f>
        <v>-1</v>
      </c>
      <c r="L545" s="2">
        <f>Games[[#This Row],[OppDaysOff]]-Games[[#This Row],[DaysOff]]</f>
        <v>1</v>
      </c>
      <c r="M545" s="16">
        <f>MAX(-16, MIN(16, Games[[#This Row],[RestDiff]]*8))</f>
        <v>-8</v>
      </c>
      <c r="N545" s="16">
        <f>MAX(-16, MIN(16, Games[[#This Row],[OppRestDiff]]*8))</f>
        <v>8</v>
      </c>
      <c r="O545" s="4" cm="1">
        <f t="array" ref="O5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1555.2824831823127</v>
      </c>
      <c r="P545" s="4" cm="1">
        <f t="array" ref="P5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1732.965700080254</v>
      </c>
      <c r="Q545" s="4">
        <f>1/(1+10^(((Games[[#This Row],[OppPreGmRate]]+IF(Games[[#This Row],[HomeAway]]="A",HCA,0)+Games[[#This Row],[OppRestAdj]])-(Games[[#This Row],[PreGmRate]]+IF(Games[[#This Row],[HomeAway]]="H",HCA,0)+Games[[#This Row],[RestAdj]]))/400))</f>
        <v>0.34719602689157231</v>
      </c>
      <c r="R545" s="1">
        <v>63</v>
      </c>
      <c r="S545" s="1">
        <v>71</v>
      </c>
      <c r="T545" s="1">
        <v>0</v>
      </c>
      <c r="U545" s="16">
        <f>Games[[#This Row],[PointsFor]]-Games[[#This Row],[PointsAgainst]]</f>
        <v>-8</v>
      </c>
      <c r="V545" s="16">
        <f>IF(Games[[#This Row],[MOV]]&gt;0,1,IF(Games[[#This Row],[MOV]]=0,0.5,0))</f>
        <v>0</v>
      </c>
      <c r="W545" s="4">
        <f>((ABS(Games[[#This Row],[MOV]])+5)^0.6)/(12+0.01*(ABS(Games[[#This Row],[PreGmRate]]-Games[[#This Row],[OppPreGmRate]])))*IF(Games[[#This Row],[OT]]=1,0.9,1)</f>
        <v>0.33823351862616635</v>
      </c>
      <c r="X545" s="7" cm="1">
        <f t="array" ref="X5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5" s="9">
        <f>MAX(kmin, kmax - 0.15 * MIN(Games[[#This Row],[GamesPlayed]], 82))</f>
        <v>70.150000000000006</v>
      </c>
      <c r="Z545" s="4">
        <f>Games[[#This Row],[K]]*Games[[#This Row],[POMult]]</f>
        <v>94.702500000000015</v>
      </c>
      <c r="AA545" s="4">
        <f>(Games[[#This Row],[Keff]]*Games[[#This Row],[MOVMult]])*(Games[[#This Row],[Result]]-Games[[#This Row],[ExpectedWin%]])</f>
        <v>-11.121230296899355</v>
      </c>
      <c r="AB545" s="4">
        <f>Games[[#This Row],[PreGmRate]]+Games[[#This Row],[RatingChange]]</f>
        <v>1544.1612528854134</v>
      </c>
      <c r="AC545" s="2">
        <f>IF(Games[[#This Row],[Type]]="R",IF(Games[[#This Row],[Result]]&gt;0.5,1,0),0)</f>
        <v>0</v>
      </c>
      <c r="AD545" s="2">
        <f>IF(Games[[#This Row],[Type]]="R",IF(Games[[#This Row],[Result]]&lt;0.5,1,0),0)</f>
        <v>0</v>
      </c>
      <c r="AE545" s="2">
        <f>IF(AND(Games[[#This Row],[Type]]="P",Games[[#This Row],[Round]]=1),IF(Games[[#This Row],[Result]]&gt;0.5,1,0),0)</f>
        <v>0</v>
      </c>
      <c r="AF545" s="2">
        <f>IF(AND(Games[[#This Row],[Type]]="P",Games[[#This Row],[Round]]=1),IF(Games[[#This Row],[Result]]&lt;0.5,1,0),0)</f>
        <v>0</v>
      </c>
      <c r="AG545" s="2">
        <f>IF(AND(Games[[#This Row],[Type]]="P",Games[[#This Row],[Round]]=2),IF(Games[[#This Row],[Result]]&gt;0.5,1,0),0)</f>
        <v>0</v>
      </c>
      <c r="AH545" s="2">
        <f>IF(AND(Games[[#This Row],[Type]]="P",Games[[#This Row],[Round]]=2),IF(Games[[#This Row],[Result]]&lt;0.5,1,0),0)</f>
        <v>0</v>
      </c>
      <c r="AI545" s="2">
        <f>IF(AND(Games[[#This Row],[Type]]="P",Games[[#This Row],[Round]]=3),IF(Games[[#This Row],[Result]]&gt;0.5,1,0),0)</f>
        <v>0</v>
      </c>
      <c r="AJ545" s="2">
        <f>IF(AND(Games[[#This Row],[Type]]="P",Games[[#This Row],[Round]]=3),IF(Games[[#This Row],[Result]]&lt;0.5,1,0),0)</f>
        <v>1</v>
      </c>
      <c r="AK545" s="2">
        <f>IF(AND(Games[[#This Row],[Type]]="P",Games[[#This Row],[Round]]=4),IF(Games[[#This Row],[Result]]&gt;0.5,1,0),0)</f>
        <v>0</v>
      </c>
      <c r="AL545" s="2">
        <f>IF(AND(Games[[#This Row],[Type]]="P",Games[[#This Row],[Round]]=4),IF(Games[[#This Row],[Result]]&lt;0.5,1,0),0)</f>
        <v>0</v>
      </c>
    </row>
    <row r="546" spans="1:38" x14ac:dyDescent="0.35">
      <c r="A546" s="10">
        <v>37499</v>
      </c>
      <c r="B546" s="2">
        <v>2002</v>
      </c>
      <c r="C546" s="2">
        <f>COUNTIFS(Games[Team],Games[[#This Row],[Team]],Games[Season],Games[[#This Row],[Season]],Games[Date],"&lt;=" &amp; Games[[#This Row],[Date]])</f>
        <v>40</v>
      </c>
      <c r="D546" s="2" t="s">
        <v>46</v>
      </c>
      <c r="E546" s="2">
        <v>3</v>
      </c>
      <c r="F546" s="1" t="s">
        <v>66</v>
      </c>
      <c r="G546" s="1" t="s">
        <v>71</v>
      </c>
      <c r="H546" s="1" t="s">
        <v>16</v>
      </c>
      <c r="I546" s="2" cm="1">
        <f t="array" ref="I5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6" s="2" cm="1">
        <f t="array" ref="J5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6" s="2">
        <f>Games[[#This Row],[DaysOff]]-Games[[#This Row],[OppDaysOff]]</f>
        <v>0</v>
      </c>
      <c r="L546" s="2">
        <f>Games[[#This Row],[OppDaysOff]]-Games[[#This Row],[DaysOff]]</f>
        <v>0</v>
      </c>
      <c r="M546" s="16">
        <f>MAX(-16, MIN(16, Games[[#This Row],[RestDiff]]*8))</f>
        <v>0</v>
      </c>
      <c r="N546" s="16">
        <f>MAX(-16, MIN(16, Games[[#This Row],[OppRestDiff]]*8))</f>
        <v>0</v>
      </c>
      <c r="O546" s="4" cm="1">
        <f t="array" ref="O5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1544.1612528854134</v>
      </c>
      <c r="P546" s="4" cm="1">
        <f t="array" ref="P5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1744.134490877354</v>
      </c>
      <c r="Q546" s="4">
        <f>1/(1+10^(((Games[[#This Row],[OppPreGmRate]]+IF(Games[[#This Row],[HomeAway]]="A",HCA,0)+Games[[#This Row],[OppRestAdj]])-(Games[[#This Row],[PreGmRate]]+IF(Games[[#This Row],[HomeAway]]="H",HCA,0)+Games[[#This Row],[RestAdj]]))/400))</f>
        <v>0.16319007044528014</v>
      </c>
      <c r="R546" s="1">
        <v>66</v>
      </c>
      <c r="S546" s="1">
        <v>69</v>
      </c>
      <c r="T546" s="1">
        <v>0</v>
      </c>
      <c r="U546" s="16">
        <f>Games[[#This Row],[PointsFor]]-Games[[#This Row],[PointsAgainst]]</f>
        <v>-3</v>
      </c>
      <c r="V546" s="16">
        <f>IF(Games[[#This Row],[MOV]]&gt;0,1,IF(Games[[#This Row],[MOV]]=0,0.5,0))</f>
        <v>0</v>
      </c>
      <c r="W546" s="4">
        <f>((ABS(Games[[#This Row],[MOV]])+5)^0.6)/(12+0.01*(ABS(Games[[#This Row],[PreGmRate]]-Games[[#This Row],[OppPreGmRate]])))*IF(Games[[#This Row],[OT]]=1,0.9,1)</f>
        <v>0.24873348709002557</v>
      </c>
      <c r="X546" s="7" cm="1">
        <f t="array" ref="X5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6" s="9">
        <f>MAX(kmin, kmax - 0.15 * MIN(Games[[#This Row],[GamesPlayed]], 82))</f>
        <v>70</v>
      </c>
      <c r="Z546" s="4">
        <f>Games[[#This Row],[K]]*Games[[#This Row],[POMult]]</f>
        <v>94.5</v>
      </c>
      <c r="AA546" s="4">
        <f>(Games[[#This Row],[Keff]]*Games[[#This Row],[MOVMult]])*(Games[[#This Row],[Result]]-Games[[#This Row],[ExpectedWin%]])</f>
        <v>-3.8358339339903775</v>
      </c>
      <c r="AB546" s="4">
        <f>Games[[#This Row],[PreGmRate]]+Games[[#This Row],[RatingChange]]</f>
        <v>1540.325418951423</v>
      </c>
      <c r="AC546" s="2">
        <f>IF(Games[[#This Row],[Type]]="R",IF(Games[[#This Row],[Result]]&gt;0.5,1,0),0)</f>
        <v>0</v>
      </c>
      <c r="AD546" s="2">
        <f>IF(Games[[#This Row],[Type]]="R",IF(Games[[#This Row],[Result]]&lt;0.5,1,0),0)</f>
        <v>0</v>
      </c>
      <c r="AE546" s="2">
        <f>IF(AND(Games[[#This Row],[Type]]="P",Games[[#This Row],[Round]]=1),IF(Games[[#This Row],[Result]]&gt;0.5,1,0),0)</f>
        <v>0</v>
      </c>
      <c r="AF546" s="2">
        <f>IF(AND(Games[[#This Row],[Type]]="P",Games[[#This Row],[Round]]=1),IF(Games[[#This Row],[Result]]&lt;0.5,1,0),0)</f>
        <v>0</v>
      </c>
      <c r="AG546" s="2">
        <f>IF(AND(Games[[#This Row],[Type]]="P",Games[[#This Row],[Round]]=2),IF(Games[[#This Row],[Result]]&gt;0.5,1,0),0)</f>
        <v>0</v>
      </c>
      <c r="AH546" s="2">
        <f>IF(AND(Games[[#This Row],[Type]]="P",Games[[#This Row],[Round]]=2),IF(Games[[#This Row],[Result]]&lt;0.5,1,0),0)</f>
        <v>0</v>
      </c>
      <c r="AI546" s="2">
        <f>IF(AND(Games[[#This Row],[Type]]="P",Games[[#This Row],[Round]]=3),IF(Games[[#This Row],[Result]]&gt;0.5,1,0),0)</f>
        <v>0</v>
      </c>
      <c r="AJ546" s="2">
        <f>IF(AND(Games[[#This Row],[Type]]="P",Games[[#This Row],[Round]]=3),IF(Games[[#This Row],[Result]]&lt;0.5,1,0),0)</f>
        <v>1</v>
      </c>
      <c r="AK546" s="2">
        <f>IF(AND(Games[[#This Row],[Type]]="P",Games[[#This Row],[Round]]=4),IF(Games[[#This Row],[Result]]&gt;0.5,1,0),0)</f>
        <v>0</v>
      </c>
      <c r="AL546" s="2">
        <f>IF(AND(Games[[#This Row],[Type]]="P",Games[[#This Row],[Round]]=4),IF(Games[[#This Row],[Result]]&lt;0.5,1,0),0)</f>
        <v>0</v>
      </c>
    </row>
    <row r="547" spans="1:38" x14ac:dyDescent="0.35">
      <c r="A547" s="10">
        <v>37499</v>
      </c>
      <c r="B547" s="2">
        <v>2002</v>
      </c>
      <c r="C547" s="2">
        <f>COUNTIFS(Games[Team],Games[[#This Row],[Team]],Games[Season],Games[[#This Row],[Season]],Games[Date],"&lt;=" &amp; Games[[#This Row],[Date]])</f>
        <v>38</v>
      </c>
      <c r="D547" s="2" t="s">
        <v>46</v>
      </c>
      <c r="E547" s="2">
        <v>3</v>
      </c>
      <c r="F547" s="1" t="s">
        <v>71</v>
      </c>
      <c r="G547" s="1" t="s">
        <v>66</v>
      </c>
      <c r="H547" s="1" t="s">
        <v>15</v>
      </c>
      <c r="I547" s="2" cm="1">
        <f t="array" ref="I5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7" s="2" cm="1">
        <f t="array" ref="J5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7" s="2">
        <f>Games[[#This Row],[DaysOff]]-Games[[#This Row],[OppDaysOff]]</f>
        <v>0</v>
      </c>
      <c r="L547" s="2">
        <f>Games[[#This Row],[OppDaysOff]]-Games[[#This Row],[DaysOff]]</f>
        <v>0</v>
      </c>
      <c r="M547" s="16">
        <f>MAX(-16, MIN(16, Games[[#This Row],[RestDiff]]*8))</f>
        <v>0</v>
      </c>
      <c r="N547" s="16">
        <f>MAX(-16, MIN(16, Games[[#This Row],[OppRestDiff]]*8))</f>
        <v>0</v>
      </c>
      <c r="O547" s="4" cm="1">
        <f t="array" ref="O5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1744.134490877354</v>
      </c>
      <c r="P547" s="4" cm="1">
        <f t="array" ref="P5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1544.1612528854134</v>
      </c>
      <c r="Q547" s="4">
        <f>1/(1+10^(((Games[[#This Row],[OppPreGmRate]]+IF(Games[[#This Row],[HomeAway]]="A",HCA,0)+Games[[#This Row],[OppRestAdj]])-(Games[[#This Row],[PreGmRate]]+IF(Games[[#This Row],[HomeAway]]="H",HCA,0)+Games[[#This Row],[RestAdj]]))/400))</f>
        <v>0.83680992955471978</v>
      </c>
      <c r="R547" s="1">
        <v>69</v>
      </c>
      <c r="S547" s="1">
        <v>66</v>
      </c>
      <c r="T547" s="1">
        <v>0</v>
      </c>
      <c r="U547" s="16">
        <f>Games[[#This Row],[PointsFor]]-Games[[#This Row],[PointsAgainst]]</f>
        <v>3</v>
      </c>
      <c r="V547" s="16">
        <f>IF(Games[[#This Row],[MOV]]&gt;0,1,IF(Games[[#This Row],[MOV]]=0,0.5,0))</f>
        <v>1</v>
      </c>
      <c r="W547" s="4">
        <f>((ABS(Games[[#This Row],[MOV]])+5)^0.6)/(12+0.01*(ABS(Games[[#This Row],[PreGmRate]]-Games[[#This Row],[OppPreGmRate]])))*IF(Games[[#This Row],[OT]]=1,0.9,1)</f>
        <v>0.24873348709002557</v>
      </c>
      <c r="X547" s="7" cm="1">
        <f t="array" ref="X5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547" s="9">
        <f>MAX(kmin, kmax - 0.15 * MIN(Games[[#This Row],[GamesPlayed]], 82))</f>
        <v>70.3</v>
      </c>
      <c r="Z547" s="4">
        <f>Games[[#This Row],[K]]*Games[[#This Row],[POMult]]</f>
        <v>94.905000000000001</v>
      </c>
      <c r="AA547" s="4">
        <f>(Games[[#This Row],[Keff]]*Games[[#This Row],[MOVMult]])*(Games[[#This Row],[Result]]-Games[[#This Row],[ExpectedWin%]])</f>
        <v>3.8522732222789093</v>
      </c>
      <c r="AB547" s="4">
        <f>Games[[#This Row],[PreGmRate]]+Games[[#This Row],[RatingChange]]</f>
        <v>1747.9867640996329</v>
      </c>
      <c r="AC547" s="2">
        <f>IF(Games[[#This Row],[Type]]="R",IF(Games[[#This Row],[Result]]&gt;0.5,1,0),0)</f>
        <v>0</v>
      </c>
      <c r="AD547" s="2">
        <f>IF(Games[[#This Row],[Type]]="R",IF(Games[[#This Row],[Result]]&lt;0.5,1,0),0)</f>
        <v>0</v>
      </c>
      <c r="AE547" s="2">
        <f>IF(AND(Games[[#This Row],[Type]]="P",Games[[#This Row],[Round]]=1),IF(Games[[#This Row],[Result]]&gt;0.5,1,0),0)</f>
        <v>0</v>
      </c>
      <c r="AF547" s="2">
        <f>IF(AND(Games[[#This Row],[Type]]="P",Games[[#This Row],[Round]]=1),IF(Games[[#This Row],[Result]]&lt;0.5,1,0),0)</f>
        <v>0</v>
      </c>
      <c r="AG547" s="2">
        <f>IF(AND(Games[[#This Row],[Type]]="P",Games[[#This Row],[Round]]=2),IF(Games[[#This Row],[Result]]&gt;0.5,1,0),0)</f>
        <v>0</v>
      </c>
      <c r="AH547" s="2">
        <f>IF(AND(Games[[#This Row],[Type]]="P",Games[[#This Row],[Round]]=2),IF(Games[[#This Row],[Result]]&lt;0.5,1,0),0)</f>
        <v>0</v>
      </c>
      <c r="AI547" s="2">
        <f>IF(AND(Games[[#This Row],[Type]]="P",Games[[#This Row],[Round]]=3),IF(Games[[#This Row],[Result]]&gt;0.5,1,0),0)</f>
        <v>1</v>
      </c>
      <c r="AJ547" s="2">
        <f>IF(AND(Games[[#This Row],[Type]]="P",Games[[#This Row],[Round]]=3),IF(Games[[#This Row],[Result]]&lt;0.5,1,0),0)</f>
        <v>0</v>
      </c>
      <c r="AK547" s="2">
        <f>IF(AND(Games[[#This Row],[Type]]="P",Games[[#This Row],[Round]]=4),IF(Games[[#This Row],[Result]]&gt;0.5,1,0),0)</f>
        <v>0</v>
      </c>
      <c r="AL547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2026-07-27T09:54:53Z</dcterms:modified>
</cp:coreProperties>
</file>
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5D6E60AD-598F-4AA0-ACCB-5CDCA2318E8C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6" i="2" l="1"/>
  <c r="C547" i="2"/>
  <c r="C548" i="2"/>
  <c r="C549" i="2"/>
  <c r="I546" i="2" a="1"/>
  <c r="I547" i="2" a="1"/>
  <c r="I548" i="2" a="1"/>
  <c r="I549" i="2" a="1"/>
  <c r="J546" i="2" a="1"/>
  <c r="J547" i="2" a="1"/>
  <c r="J548" i="2" a="1"/>
  <c r="J549" i="2" a="1"/>
  <c r="K546" i="2"/>
  <c r="K547" i="2"/>
  <c r="L546" i="2"/>
  <c r="L547" i="2"/>
  <c r="M546" i="2"/>
  <c r="M547" i="2"/>
  <c r="N546" i="2"/>
  <c r="N547" i="2"/>
  <c r="U546" i="2"/>
  <c r="U547" i="2"/>
  <c r="U548" i="2"/>
  <c r="U549" i="2"/>
  <c r="V546" i="2"/>
  <c r="V547" i="2"/>
  <c r="V548" i="2"/>
  <c r="V549" i="2"/>
  <c r="X546" i="2" a="1"/>
  <c r="X547" i="2" a="1"/>
  <c r="X548" i="2" a="1"/>
  <c r="X549" i="2" a="1"/>
  <c r="Y546" i="2"/>
  <c r="Y547" i="2"/>
  <c r="Y548" i="2"/>
  <c r="Y549" i="2"/>
  <c r="Z546" i="2"/>
  <c r="Z547" i="2"/>
  <c r="Z548" i="2"/>
  <c r="Z549" i="2"/>
  <c r="AC546" i="2"/>
  <c r="AC547" i="2"/>
  <c r="AC548" i="2"/>
  <c r="AC549" i="2"/>
  <c r="AD546" i="2"/>
  <c r="AD547" i="2"/>
  <c r="AD548" i="2"/>
  <c r="AD549" i="2"/>
  <c r="AE546" i="2"/>
  <c r="AE547" i="2"/>
  <c r="AE548" i="2"/>
  <c r="AE549" i="2"/>
  <c r="AF546" i="2"/>
  <c r="AF547" i="2"/>
  <c r="AF548" i="2"/>
  <c r="AF549" i="2"/>
  <c r="AG546" i="2"/>
  <c r="AG547" i="2"/>
  <c r="AG548" i="2"/>
  <c r="AG549" i="2"/>
  <c r="AH546" i="2"/>
  <c r="AH547" i="2"/>
  <c r="AH548" i="2"/>
  <c r="AH549" i="2"/>
  <c r="AI546" i="2"/>
  <c r="AI547" i="2"/>
  <c r="AI548" i="2"/>
  <c r="AI549" i="2"/>
  <c r="AJ546" i="2"/>
  <c r="AJ547" i="2"/>
  <c r="AJ548" i="2"/>
  <c r="AJ549" i="2"/>
  <c r="AK546" i="2"/>
  <c r="AK547" i="2"/>
  <c r="AK548" i="2"/>
  <c r="AK549" i="2"/>
  <c r="AL546" i="2"/>
  <c r="AL547" i="2"/>
  <c r="AL548" i="2"/>
  <c r="AL549" i="2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C478" i="2"/>
  <c r="Y478" i="2" s="1"/>
  <c r="C479" i="2"/>
  <c r="Y479" i="2" s="1"/>
  <c r="C480" i="2"/>
  <c r="Y480" i="2" s="1"/>
  <c r="C481" i="2"/>
  <c r="Y481" i="2" s="1"/>
  <c r="C482" i="2"/>
  <c r="Y482" i="2" s="1"/>
  <c r="C483" i="2"/>
  <c r="Y483" i="2" s="1"/>
  <c r="C484" i="2"/>
  <c r="Y484" i="2" s="1"/>
  <c r="C485" i="2"/>
  <c r="Y485" i="2" s="1"/>
  <c r="C486" i="2"/>
  <c r="Y486" i="2" s="1"/>
  <c r="C487" i="2"/>
  <c r="Y487" i="2" s="1"/>
  <c r="C488" i="2"/>
  <c r="Y488" i="2" s="1"/>
  <c r="C489" i="2"/>
  <c r="Y489" i="2" s="1"/>
  <c r="C490" i="2"/>
  <c r="Y490" i="2" s="1"/>
  <c r="C491" i="2"/>
  <c r="Y491" i="2" s="1"/>
  <c r="C492" i="2"/>
  <c r="Y492" i="2" s="1"/>
  <c r="C493" i="2"/>
  <c r="Y493" i="2" s="1"/>
  <c r="C494" i="2"/>
  <c r="Y494" i="2" s="1"/>
  <c r="C495" i="2"/>
  <c r="Y495" i="2" s="1"/>
  <c r="C496" i="2"/>
  <c r="Y496" i="2" s="1"/>
  <c r="C497" i="2"/>
  <c r="Y497" i="2" s="1"/>
  <c r="C498" i="2"/>
  <c r="Y498" i="2" s="1"/>
  <c r="C499" i="2"/>
  <c r="Y499" i="2" s="1"/>
  <c r="C500" i="2"/>
  <c r="Y500" i="2" s="1"/>
  <c r="C501" i="2"/>
  <c r="Y501" i="2" s="1"/>
  <c r="C502" i="2"/>
  <c r="Y502" i="2" s="1"/>
  <c r="C503" i="2"/>
  <c r="Y503" i="2" s="1"/>
  <c r="C504" i="2"/>
  <c r="Y504" i="2" s="1"/>
  <c r="C505" i="2"/>
  <c r="Y505" i="2" s="1"/>
  <c r="C506" i="2"/>
  <c r="Y506" i="2" s="1"/>
  <c r="C507" i="2"/>
  <c r="Y507" i="2" s="1"/>
  <c r="C508" i="2"/>
  <c r="Y508" i="2" s="1"/>
  <c r="C509" i="2"/>
  <c r="Y509" i="2" s="1"/>
  <c r="C510" i="2"/>
  <c r="Y510" i="2" s="1"/>
  <c r="C511" i="2"/>
  <c r="Y511" i="2" s="1"/>
  <c r="C512" i="2"/>
  <c r="Y512" i="2" s="1"/>
  <c r="C513" i="2"/>
  <c r="Y513" i="2" s="1"/>
  <c r="C514" i="2"/>
  <c r="Y514" i="2" s="1"/>
  <c r="C515" i="2"/>
  <c r="Y515" i="2" s="1"/>
  <c r="C516" i="2"/>
  <c r="Y516" i="2" s="1"/>
  <c r="C517" i="2"/>
  <c r="Y517" i="2" s="1"/>
  <c r="C518" i="2"/>
  <c r="Y518" i="2" s="1"/>
  <c r="C519" i="2"/>
  <c r="Y519" i="2" s="1"/>
  <c r="C520" i="2"/>
  <c r="Y520" i="2" s="1"/>
  <c r="C521" i="2"/>
  <c r="Y521" i="2" s="1"/>
  <c r="C522" i="2"/>
  <c r="Y522" i="2" s="1"/>
  <c r="C523" i="2"/>
  <c r="Y523" i="2" s="1"/>
  <c r="C524" i="2"/>
  <c r="Y524" i="2" s="1"/>
  <c r="C525" i="2"/>
  <c r="Y525" i="2" s="1"/>
  <c r="C526" i="2"/>
  <c r="Y526" i="2" s="1"/>
  <c r="C527" i="2"/>
  <c r="Y527" i="2" s="1"/>
  <c r="C528" i="2"/>
  <c r="Y528" i="2" s="1"/>
  <c r="C529" i="2"/>
  <c r="Y529" i="2" s="1"/>
  <c r="C530" i="2"/>
  <c r="Y530" i="2" s="1"/>
  <c r="C531" i="2"/>
  <c r="Y531" i="2" s="1"/>
  <c r="C532" i="2"/>
  <c r="Y532" i="2" s="1"/>
  <c r="C533" i="2"/>
  <c r="Y533" i="2" s="1"/>
  <c r="C534" i="2"/>
  <c r="Y534" i="2" s="1"/>
  <c r="C535" i="2"/>
  <c r="Y535" i="2" s="1"/>
  <c r="C536" i="2"/>
  <c r="Y536" i="2" s="1"/>
  <c r="C537" i="2"/>
  <c r="Y537" i="2" s="1"/>
  <c r="C538" i="2"/>
  <c r="Y538" i="2" s="1"/>
  <c r="C539" i="2"/>
  <c r="Y539" i="2" s="1"/>
  <c r="C540" i="2"/>
  <c r="Y540" i="2" s="1"/>
  <c r="C541" i="2"/>
  <c r="Y541" i="2" s="1"/>
  <c r="C542" i="2"/>
  <c r="Y542" i="2" s="1"/>
  <c r="C543" i="2"/>
  <c r="Y543" i="2" s="1"/>
  <c r="C544" i="2"/>
  <c r="Y544" i="2" s="1"/>
  <c r="C545" i="2"/>
  <c r="Y545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I516" i="2" a="1"/>
  <c r="I517" i="2" a="1"/>
  <c r="I518" i="2" a="1"/>
  <c r="I519" i="2" a="1"/>
  <c r="I520" i="2" a="1"/>
  <c r="I521" i="2" a="1"/>
  <c r="I522" i="2" a="1"/>
  <c r="I523" i="2" a="1"/>
  <c r="I524" i="2" a="1"/>
  <c r="I525" i="2" a="1"/>
  <c r="I526" i="2" a="1"/>
  <c r="I527" i="2" a="1"/>
  <c r="I528" i="2" a="1"/>
  <c r="I529" i="2" a="1"/>
  <c r="I530" i="2" a="1"/>
  <c r="I531" i="2" a="1"/>
  <c r="I532" i="2" a="1"/>
  <c r="I533" i="2" a="1"/>
  <c r="I534" i="2" a="1"/>
  <c r="I535" i="2" a="1"/>
  <c r="I536" i="2" a="1"/>
  <c r="I537" i="2" a="1"/>
  <c r="I538" i="2" a="1"/>
  <c r="I539" i="2" a="1"/>
  <c r="I540" i="2" a="1"/>
  <c r="I541" i="2" a="1"/>
  <c r="I542" i="2" a="1"/>
  <c r="I543" i="2" a="1"/>
  <c r="I544" i="2" a="1"/>
  <c r="I545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J524" i="2" a="1"/>
  <c r="J525" i="2" a="1"/>
  <c r="J526" i="2" a="1"/>
  <c r="J527" i="2" a="1"/>
  <c r="J528" i="2" a="1"/>
  <c r="J529" i="2" a="1"/>
  <c r="J530" i="2" a="1"/>
  <c r="J531" i="2" a="1"/>
  <c r="J532" i="2" a="1"/>
  <c r="J533" i="2" a="1"/>
  <c r="J534" i="2" a="1"/>
  <c r="J535" i="2" a="1"/>
  <c r="J536" i="2" a="1"/>
  <c r="J537" i="2" a="1"/>
  <c r="J538" i="2" a="1"/>
  <c r="J539" i="2" a="1"/>
  <c r="J540" i="2" a="1"/>
  <c r="J541" i="2" a="1"/>
  <c r="J542" i="2" a="1"/>
  <c r="K542" i="2" s="1"/>
  <c r="M542" i="2" s="1"/>
  <c r="J543" i="2" a="1"/>
  <c r="K543" i="2" s="1"/>
  <c r="M543" i="2" s="1"/>
  <c r="J544" i="2" a="1"/>
  <c r="K544" i="2" s="1"/>
  <c r="M544" i="2" s="1"/>
  <c r="J545" i="2" a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AC503" i="2" s="1"/>
  <c r="V504" i="2"/>
  <c r="AC504" i="2" s="1"/>
  <c r="V505" i="2"/>
  <c r="AC505" i="2" s="1"/>
  <c r="V506" i="2"/>
  <c r="AC506" i="2" s="1"/>
  <c r="V507" i="2"/>
  <c r="AC507" i="2" s="1"/>
  <c r="V508" i="2"/>
  <c r="AC508" i="2" s="1"/>
  <c r="V509" i="2"/>
  <c r="AC509" i="2" s="1"/>
  <c r="V510" i="2"/>
  <c r="AC510" i="2" s="1"/>
  <c r="V511" i="2"/>
  <c r="AC511" i="2" s="1"/>
  <c r="V512" i="2"/>
  <c r="AC512" i="2" s="1"/>
  <c r="V513" i="2"/>
  <c r="AC513" i="2" s="1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X516" i="2" a="1"/>
  <c r="X517" i="2" a="1"/>
  <c r="X518" i="2" a="1"/>
  <c r="X519" i="2" a="1"/>
  <c r="X520" i="2" a="1"/>
  <c r="X521" i="2" a="1"/>
  <c r="X522" i="2" a="1"/>
  <c r="X523" i="2" a="1"/>
  <c r="X524" i="2" a="1"/>
  <c r="X525" i="2" a="1"/>
  <c r="X526" i="2" a="1"/>
  <c r="X527" i="2" a="1"/>
  <c r="X528" i="2" a="1"/>
  <c r="X529" i="2" a="1"/>
  <c r="X530" i="2" a="1"/>
  <c r="X531" i="2" a="1"/>
  <c r="X532" i="2" a="1"/>
  <c r="X533" i="2" a="1"/>
  <c r="X534" i="2" a="1"/>
  <c r="X535" i="2" a="1"/>
  <c r="X536" i="2" a="1"/>
  <c r="X537" i="2" a="1"/>
  <c r="X538" i="2" a="1"/>
  <c r="X539" i="2" a="1"/>
  <c r="X540" i="2" a="1"/>
  <c r="X541" i="2" a="1"/>
  <c r="X542" i="2" a="1"/>
  <c r="X543" i="2" a="1"/>
  <c r="X544" i="2" a="1"/>
  <c r="X545" i="2" a="1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E29" i="3"/>
  <c r="D29" i="3"/>
  <c r="F29" i="3" s="1"/>
  <c r="C29" i="3"/>
  <c r="B29" i="3"/>
  <c r="E31" i="3"/>
  <c r="D31" i="3"/>
  <c r="F31" i="3" s="1"/>
  <c r="C31" i="3"/>
  <c r="B31" i="3"/>
  <c r="E36" i="3"/>
  <c r="D36" i="3"/>
  <c r="F36" i="3" s="1"/>
  <c r="C36" i="3"/>
  <c r="B36" i="3"/>
  <c r="E38" i="3"/>
  <c r="D38" i="3"/>
  <c r="F38" i="3" s="1"/>
  <c r="C38" i="3"/>
  <c r="B38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L318" i="2" s="1"/>
  <c r="N318" i="2" s="1"/>
  <c r="J319" i="2" a="1"/>
  <c r="L319" i="2" s="1"/>
  <c r="N319" i="2" s="1"/>
  <c r="J320" i="2" a="1"/>
  <c r="L320" i="2" s="1"/>
  <c r="N320" i="2" s="1"/>
  <c r="J321" i="2" a="1"/>
  <c r="L321" i="2" s="1"/>
  <c r="N321" i="2" s="1"/>
  <c r="J322" i="2" a="1"/>
  <c r="L322" i="2" s="1"/>
  <c r="N322" i="2" s="1"/>
  <c r="J323" i="2" a="1"/>
  <c r="L323" i="2" s="1"/>
  <c r="N323" i="2" s="1"/>
  <c r="J324" i="2" a="1"/>
  <c r="L324" i="2" s="1"/>
  <c r="N324" i="2" s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L345" i="2" s="1"/>
  <c r="N345" i="2" s="1"/>
  <c r="J346" i="2" a="1"/>
  <c r="L346" i="2" s="1"/>
  <c r="N346" i="2" s="1"/>
  <c r="J347" i="2" a="1"/>
  <c r="L347" i="2" s="1"/>
  <c r="N347" i="2" s="1"/>
  <c r="J348" i="2" a="1"/>
  <c r="L348" i="2" s="1"/>
  <c r="N348" i="2" s="1"/>
  <c r="J349" i="2" a="1"/>
  <c r="L349" i="2" s="1"/>
  <c r="N349" i="2" s="1"/>
  <c r="J350" i="2" a="1"/>
  <c r="L350" i="2" s="1"/>
  <c r="N350" i="2" s="1"/>
  <c r="J351" i="2" a="1"/>
  <c r="L351" i="2" s="1"/>
  <c r="N351" i="2" s="1"/>
  <c r="J352" i="2" a="1"/>
  <c r="L352" i="2" s="1"/>
  <c r="N352" i="2" s="1"/>
  <c r="J353" i="2" a="1"/>
  <c r="L353" i="2" s="1"/>
  <c r="N353" i="2" s="1"/>
  <c r="J354" i="2" a="1"/>
  <c r="L354" i="2" s="1"/>
  <c r="N354" i="2" s="1"/>
  <c r="J355" i="2" a="1"/>
  <c r="L355" i="2" s="1"/>
  <c r="N355" i="2" s="1"/>
  <c r="J356" i="2" a="1"/>
  <c r="L356" i="2" s="1"/>
  <c r="N356" i="2" s="1"/>
  <c r="J357" i="2" a="1"/>
  <c r="L357" i="2" s="1"/>
  <c r="N357" i="2" s="1"/>
  <c r="J358" i="2" a="1"/>
  <c r="L358" i="2" s="1"/>
  <c r="N358" i="2" s="1"/>
  <c r="J359" i="2" a="1"/>
  <c r="L359" i="2" s="1"/>
  <c r="N359" i="2" s="1"/>
  <c r="J360" i="2" a="1"/>
  <c r="L360" i="2" s="1"/>
  <c r="N360" i="2" s="1"/>
  <c r="J361" i="2" a="1"/>
  <c r="L361" i="2" s="1"/>
  <c r="N361" i="2" s="1"/>
  <c r="J362" i="2" a="1"/>
  <c r="L362" i="2" s="1"/>
  <c r="N362" i="2" s="1"/>
  <c r="J363" i="2" a="1"/>
  <c r="L363" i="2" s="1"/>
  <c r="N363" i="2" s="1"/>
  <c r="J364" i="2" a="1"/>
  <c r="L364" i="2" s="1"/>
  <c r="N364" i="2" s="1"/>
  <c r="J365" i="2" a="1"/>
  <c r="L365" i="2" s="1"/>
  <c r="N365" i="2" s="1"/>
  <c r="J366" i="2" a="1"/>
  <c r="L366" i="2" s="1"/>
  <c r="N366" i="2" s="1"/>
  <c r="J367" i="2" a="1"/>
  <c r="L367" i="2" s="1"/>
  <c r="N367" i="2" s="1"/>
  <c r="J368" i="2" a="1"/>
  <c r="L368" i="2" s="1"/>
  <c r="N368" i="2" s="1"/>
  <c r="J369" i="2" a="1"/>
  <c r="L369" i="2" s="1"/>
  <c r="N369" i="2" s="1"/>
  <c r="J370" i="2" a="1"/>
  <c r="L370" i="2" s="1"/>
  <c r="N370" i="2" s="1"/>
  <c r="J371" i="2" a="1"/>
  <c r="L371" i="2" s="1"/>
  <c r="N371" i="2" s="1"/>
  <c r="J372" i="2" a="1"/>
  <c r="L372" i="2" s="1"/>
  <c r="N372" i="2" s="1"/>
  <c r="J373" i="2" a="1"/>
  <c r="L373" i="2" s="1"/>
  <c r="N373" i="2" s="1"/>
  <c r="J374" i="2" a="1"/>
  <c r="L374" i="2" s="1"/>
  <c r="N374" i="2" s="1"/>
  <c r="J375" i="2" a="1"/>
  <c r="L375" i="2" s="1"/>
  <c r="N375" i="2" s="1"/>
  <c r="J376" i="2" a="1"/>
  <c r="L376" i="2" s="1"/>
  <c r="N376" i="2" s="1"/>
  <c r="J377" i="2" a="1"/>
  <c r="L377" i="2" s="1"/>
  <c r="N377" i="2" s="1"/>
  <c r="J378" i="2" a="1"/>
  <c r="L378" i="2" s="1"/>
  <c r="N378" i="2" s="1"/>
  <c r="J379" i="2" a="1"/>
  <c r="L379" i="2" s="1"/>
  <c r="N379" i="2" s="1"/>
  <c r="J380" i="2" a="1"/>
  <c r="L380" i="2" s="1"/>
  <c r="N380" i="2" s="1"/>
  <c r="J381" i="2" a="1"/>
  <c r="L381" i="2" s="1"/>
  <c r="N381" i="2" s="1"/>
  <c r="J382" i="2" a="1"/>
  <c r="L382" i="2" s="1"/>
  <c r="N382" i="2" s="1"/>
  <c r="J383" i="2" a="1"/>
  <c r="L383" i="2" s="1"/>
  <c r="N383" i="2" s="1"/>
  <c r="J384" i="2" a="1"/>
  <c r="L384" i="2" s="1"/>
  <c r="N384" i="2" s="1"/>
  <c r="J385" i="2" a="1"/>
  <c r="L385" i="2" s="1"/>
  <c r="N385" i="2" s="1"/>
  <c r="J386" i="2" a="1"/>
  <c r="L386" i="2" s="1"/>
  <c r="N386" i="2" s="1"/>
  <c r="J387" i="2" a="1"/>
  <c r="L387" i="2" s="1"/>
  <c r="N387" i="2" s="1"/>
  <c r="J388" i="2" a="1"/>
  <c r="L388" i="2" s="1"/>
  <c r="N388" i="2" s="1"/>
  <c r="J389" i="2" a="1"/>
  <c r="L389" i="2" s="1"/>
  <c r="N389" i="2" s="1"/>
  <c r="J390" i="2" a="1"/>
  <c r="L390" i="2" s="1"/>
  <c r="N390" i="2" s="1"/>
  <c r="J391" i="2" a="1"/>
  <c r="L391" i="2" s="1"/>
  <c r="N391" i="2" s="1"/>
  <c r="J392" i="2" a="1"/>
  <c r="L392" i="2" s="1"/>
  <c r="N392" i="2" s="1"/>
  <c r="J393" i="2" a="1"/>
  <c r="L393" i="2" s="1"/>
  <c r="N393" i="2" s="1"/>
  <c r="J394" i="2" a="1"/>
  <c r="L394" i="2" s="1"/>
  <c r="N394" i="2" s="1"/>
  <c r="J395" i="2" a="1"/>
  <c r="L395" i="2" s="1"/>
  <c r="N395" i="2" s="1"/>
  <c r="J396" i="2" a="1"/>
  <c r="L396" i="2" s="1"/>
  <c r="N396" i="2" s="1"/>
  <c r="J397" i="2" a="1"/>
  <c r="L397" i="2" s="1"/>
  <c r="N397" i="2" s="1"/>
  <c r="J398" i="2" a="1"/>
  <c r="L398" i="2" s="1"/>
  <c r="N398" i="2" s="1"/>
  <c r="J399" i="2" a="1"/>
  <c r="L399" i="2" s="1"/>
  <c r="N399" i="2" s="1"/>
  <c r="J400" i="2" a="1"/>
  <c r="L400" i="2" s="1"/>
  <c r="N400" i="2" s="1"/>
  <c r="J401" i="2" a="1"/>
  <c r="L401" i="2" s="1"/>
  <c r="N401" i="2" s="1"/>
  <c r="J402" i="2" a="1"/>
  <c r="L402" i="2" s="1"/>
  <c r="N402" i="2" s="1"/>
  <c r="J403" i="2" a="1"/>
  <c r="L403" i="2" s="1"/>
  <c r="N403" i="2" s="1"/>
  <c r="J404" i="2" a="1"/>
  <c r="L404" i="2" s="1"/>
  <c r="N404" i="2" s="1"/>
  <c r="J405" i="2" a="1"/>
  <c r="L405" i="2" s="1"/>
  <c r="N405" i="2" s="1"/>
  <c r="J406" i="2" a="1"/>
  <c r="J407" i="2" a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M324" i="2" s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AE386" i="2" s="1"/>
  <c r="V387" i="2"/>
  <c r="AE387" i="2" s="1"/>
  <c r="V388" i="2"/>
  <c r="AE388" i="2" s="1"/>
  <c r="V389" i="2"/>
  <c r="AE389" i="2" s="1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34" i="3"/>
  <c r="D34" i="3"/>
  <c r="C34" i="3"/>
  <c r="B34" i="3"/>
  <c r="E27" i="3"/>
  <c r="D27" i="3"/>
  <c r="F27" i="3" s="1"/>
  <c r="C27" i="3"/>
  <c r="B27" i="3"/>
  <c r="E40" i="3"/>
  <c r="D40" i="3"/>
  <c r="F40" i="3" s="1"/>
  <c r="C40" i="3"/>
  <c r="B40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J251" i="2" a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K248" i="2"/>
  <c r="K249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L248" i="2"/>
  <c r="L249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M248" i="2"/>
  <c r="M249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N248" i="2"/>
  <c r="N249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AD408" i="2" l="1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AD478" i="2"/>
  <c r="AC478" i="2"/>
  <c r="AD479" i="2"/>
  <c r="AC479" i="2"/>
  <c r="AD480" i="2"/>
  <c r="AC480" i="2"/>
  <c r="AD481" i="2"/>
  <c r="AC481" i="2"/>
  <c r="AD482" i="2"/>
  <c r="AC482" i="2"/>
  <c r="AD483" i="2"/>
  <c r="AC483" i="2"/>
  <c r="AD484" i="2"/>
  <c r="AC484" i="2"/>
  <c r="AD485" i="2"/>
  <c r="AC485" i="2"/>
  <c r="AD486" i="2"/>
  <c r="AC486" i="2"/>
  <c r="AD487" i="2"/>
  <c r="AC487" i="2"/>
  <c r="AD488" i="2"/>
  <c r="AC488" i="2"/>
  <c r="AD489" i="2"/>
  <c r="AC489" i="2"/>
  <c r="AD490" i="2"/>
  <c r="AC490" i="2"/>
  <c r="AD491" i="2"/>
  <c r="AC491" i="2"/>
  <c r="AD492" i="2"/>
  <c r="AC492" i="2"/>
  <c r="AD493" i="2"/>
  <c r="AC493" i="2"/>
  <c r="AD494" i="2"/>
  <c r="AC494" i="2"/>
  <c r="AD495" i="2"/>
  <c r="AC495" i="2"/>
  <c r="AD496" i="2"/>
  <c r="AC496" i="2"/>
  <c r="AD497" i="2"/>
  <c r="AC497" i="2"/>
  <c r="AD498" i="2"/>
  <c r="AC498" i="2"/>
  <c r="AD499" i="2"/>
  <c r="AC499" i="2"/>
  <c r="AD500" i="2"/>
  <c r="AC500" i="2"/>
  <c r="AD501" i="2"/>
  <c r="AC501" i="2"/>
  <c r="AD502" i="2"/>
  <c r="AC502" i="2"/>
  <c r="K548" i="2"/>
  <c r="M548" i="2" s="1"/>
  <c r="L548" i="2"/>
  <c r="N548" i="2" s="1"/>
  <c r="K549" i="2"/>
  <c r="M549" i="2" s="1"/>
  <c r="L549" i="2"/>
  <c r="N549" i="2" s="1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L545" i="2"/>
  <c r="N545" i="2" s="1"/>
  <c r="K545" i="2"/>
  <c r="M545" i="2" s="1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34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8" i="2" a="1"/>
  <c r="O8" i="2" a="1"/>
  <c r="W8" i="2" s="1"/>
  <c r="O9" i="2" a="1"/>
  <c r="P9" i="2" a="1"/>
  <c r="P7" i="2" a="1"/>
  <c r="O6" i="2" a="1"/>
  <c r="P6" i="2" a="1"/>
  <c r="O7" i="2" a="1"/>
  <c r="AA4" i="2"/>
  <c r="AB4" i="2" s="1"/>
  <c r="P11" i="2" a="1"/>
  <c r="O10" i="2" a="1"/>
  <c r="O13" i="2" a="1"/>
  <c r="P10" i="2" a="1"/>
  <c r="P13" i="2" a="1"/>
  <c r="O12" i="2" a="1"/>
  <c r="O11" i="2" a="1"/>
  <c r="P12" i="2" a="1"/>
  <c r="W6" i="2" l="1"/>
  <c r="W7" i="2"/>
  <c r="W9" i="2"/>
  <c r="Q8" i="2"/>
  <c r="AA8" i="2" s="1"/>
  <c r="AB8" i="2" s="1"/>
  <c r="Q9" i="2"/>
  <c r="Q7" i="2"/>
  <c r="Q6" i="2"/>
  <c r="Q10" i="2"/>
  <c r="W11" i="2"/>
  <c r="Q13" i="2"/>
  <c r="Q12" i="2"/>
  <c r="W10" i="2"/>
  <c r="W12" i="2"/>
  <c r="W13" i="2"/>
  <c r="Q11" i="2"/>
  <c r="P14" i="2" a="1"/>
  <c r="O14" i="2" a="1"/>
  <c r="P15" i="2" a="1"/>
  <c r="O15" i="2" a="1"/>
  <c r="AA7" i="2" l="1"/>
  <c r="AB7" i="2" s="1"/>
  <c r="AA6" i="2"/>
  <c r="AB6" i="2" s="1"/>
  <c r="AA9" i="2"/>
  <c r="AB9" i="2" s="1"/>
  <c r="AA10" i="2"/>
  <c r="AB10" i="2" s="1"/>
  <c r="AA11" i="2"/>
  <c r="AB11" i="2" s="1"/>
  <c r="AA13" i="2"/>
  <c r="AB13" i="2" s="1"/>
  <c r="AA12" i="2"/>
  <c r="AB12" i="2" s="1"/>
  <c r="Q15" i="2"/>
  <c r="W14" i="2"/>
  <c r="Q14" i="2"/>
  <c r="W15" i="2"/>
  <c r="AA15" i="2" l="1"/>
  <c r="AB15" i="2" s="1"/>
  <c r="AA14" i="2"/>
  <c r="AB14" i="2" s="1"/>
  <c r="P17" i="2" a="1"/>
  <c r="O17" i="2" a="1"/>
  <c r="O16" i="2" a="1"/>
  <c r="P16" i="2" a="1"/>
  <c r="Q17" i="2" l="1"/>
  <c r="W16" i="2"/>
  <c r="W17" i="2"/>
  <c r="Q16" i="2"/>
  <c r="AA17" i="2" l="1"/>
  <c r="AB17" i="2" s="1"/>
  <c r="P19" i="2" a="1"/>
  <c r="O20" i="2" a="1"/>
  <c r="P18" i="2" a="1"/>
  <c r="O21" i="2" a="1"/>
  <c r="P20" i="2" a="1"/>
  <c r="O18" i="2" a="1"/>
  <c r="O19" i="2" a="1"/>
  <c r="P21" i="2" a="1"/>
  <c r="AA16" i="2"/>
  <c r="AB16" i="2" s="1"/>
  <c r="Q18" i="2" l="1"/>
  <c r="W21" i="2"/>
  <c r="W19" i="2"/>
  <c r="W20" i="2"/>
  <c r="Q20" i="2"/>
  <c r="Q21" i="2"/>
  <c r="W18" i="2"/>
  <c r="Q19" i="2"/>
  <c r="AA18" i="2" l="1"/>
  <c r="AB18" i="2" s="1"/>
  <c r="AA20" i="2"/>
  <c r="AB20" i="2" s="1"/>
  <c r="AA21" i="2"/>
  <c r="AB21" i="2" s="1"/>
  <c r="AA19" i="2"/>
  <c r="AB19" i="2" s="1"/>
  <c r="P22" i="2" l="1" a="1"/>
  <c r="O23" i="2" a="1"/>
  <c r="O22" i="2" a="1"/>
  <c r="P23" i="2" a="1"/>
  <c r="W23" i="2" l="1"/>
  <c r="W22" i="2"/>
  <c r="Q23" i="2"/>
  <c r="Q22" i="2"/>
  <c r="AY9" i="3"/>
  <c r="AY8" i="3"/>
  <c r="AY7" i="3"/>
  <c r="AY6" i="3"/>
  <c r="AY5" i="3"/>
  <c r="AY4" i="3"/>
  <c r="AY3" i="3"/>
  <c r="AY2" i="3"/>
  <c r="AA23" i="2" l="1"/>
  <c r="AB23" i="2" s="1"/>
  <c r="AA22" i="2"/>
  <c r="AB22" i="2" s="1"/>
  <c r="O27" i="2" a="1"/>
  <c r="P26" i="2" a="1"/>
  <c r="O26" i="2" a="1"/>
  <c r="P27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O24" i="2" l="1" a="1"/>
  <c r="O25" i="2" a="1"/>
  <c r="P25" i="2" a="1"/>
  <c r="P24" i="2" a="1"/>
  <c r="W26" i="2"/>
  <c r="Q27" i="2"/>
  <c r="W27" i="2"/>
  <c r="Q26" i="2"/>
  <c r="AV7" i="3"/>
  <c r="AV8" i="3"/>
  <c r="AV5" i="3"/>
  <c r="AW7" i="3"/>
  <c r="AW5" i="3"/>
  <c r="AW9" i="3"/>
  <c r="AW8" i="3"/>
  <c r="AV9" i="3"/>
  <c r="Q25" i="2" l="1"/>
  <c r="W24" i="2"/>
  <c r="W25" i="2"/>
  <c r="AA25" i="2" s="1"/>
  <c r="AB25" i="2" s="1"/>
  <c r="Q24" i="2"/>
  <c r="AA27" i="2"/>
  <c r="AB27" i="2" s="1"/>
  <c r="AA26" i="2"/>
  <c r="AB26" i="2" s="1"/>
  <c r="P28" i="2" a="1"/>
  <c r="O28" i="2" a="1"/>
  <c r="O29" i="2" a="1"/>
  <c r="P29" i="2" a="1"/>
  <c r="AZ9" i="3"/>
  <c r="AZ7" i="3"/>
  <c r="AZ8" i="3"/>
  <c r="AZ5" i="3"/>
  <c r="AA24" i="2" l="1"/>
  <c r="AB24" i="2" s="1"/>
  <c r="Q29" i="2"/>
  <c r="W28" i="2"/>
  <c r="Q28" i="2"/>
  <c r="W29" i="2"/>
  <c r="AA28" i="2" l="1"/>
  <c r="AB28" i="2" s="1"/>
  <c r="AA29" i="2"/>
  <c r="AB29" i="2" s="1"/>
  <c r="C37" i="3"/>
  <c r="B37" i="3"/>
  <c r="C35" i="3"/>
  <c r="B35" i="3"/>
  <c r="C39" i="3"/>
  <c r="B39" i="3"/>
  <c r="C30" i="3"/>
  <c r="B30" i="3"/>
  <c r="C33" i="3"/>
  <c r="B33" i="3"/>
  <c r="C26" i="3"/>
  <c r="B26" i="3"/>
  <c r="C25" i="3"/>
  <c r="B25" i="3"/>
  <c r="C28" i="3"/>
  <c r="B28" i="3"/>
  <c r="P30" i="2" l="1" a="1"/>
  <c r="P31" i="2" a="1"/>
  <c r="O31" i="2" a="1"/>
  <c r="O30" i="2" a="1"/>
  <c r="W30" i="2" l="1"/>
  <c r="Q31" i="2"/>
  <c r="W31" i="2"/>
  <c r="Q30" i="2"/>
  <c r="E37" i="3"/>
  <c r="D37" i="3"/>
  <c r="E35" i="3"/>
  <c r="D35" i="3"/>
  <c r="E39" i="3"/>
  <c r="D39" i="3"/>
  <c r="E30" i="3"/>
  <c r="D30" i="3"/>
  <c r="E33" i="3"/>
  <c r="D33" i="3"/>
  <c r="E26" i="3"/>
  <c r="D26" i="3"/>
  <c r="E25" i="3"/>
  <c r="E28" i="3"/>
  <c r="D25" i="3"/>
  <c r="AA30" i="2" l="1"/>
  <c r="AB30" i="2" s="1"/>
  <c r="AA31" i="2"/>
  <c r="AB31" i="2" s="1"/>
  <c r="P35" i="2" a="1"/>
  <c r="O35" i="2" a="1"/>
  <c r="P34" i="2" a="1"/>
  <c r="O34" i="2" a="1"/>
  <c r="P33" i="2" a="1"/>
  <c r="P32" i="2" a="1"/>
  <c r="O32" i="2" a="1"/>
  <c r="O33" i="2" a="1"/>
  <c r="F30" i="3"/>
  <c r="F37" i="3"/>
  <c r="F26" i="3"/>
  <c r="F25" i="3"/>
  <c r="F35" i="3"/>
  <c r="F39" i="3"/>
  <c r="F28" i="3"/>
  <c r="F33" i="3"/>
  <c r="O37" i="2" l="1" a="1"/>
  <c r="P36" i="2" a="1"/>
  <c r="Q36" i="2" s="1"/>
  <c r="P37" i="2" a="1"/>
  <c r="O36" i="2" a="1"/>
  <c r="W33" i="2"/>
  <c r="W34" i="2"/>
  <c r="W32" i="2"/>
  <c r="W35" i="2"/>
  <c r="Q34" i="2"/>
  <c r="Q33" i="2"/>
  <c r="Q32" i="2"/>
  <c r="Q35" i="2"/>
  <c r="Q37" i="2" l="1"/>
  <c r="W37" i="2"/>
  <c r="AA37" i="2" s="1"/>
  <c r="AB37" i="2" s="1"/>
  <c r="W36" i="2"/>
  <c r="AA36" i="2" s="1"/>
  <c r="AB36" i="2" s="1"/>
  <c r="AA33" i="2"/>
  <c r="AB33" i="2" s="1"/>
  <c r="AA34" i="2"/>
  <c r="AB34" i="2" s="1"/>
  <c r="AA32" i="2"/>
  <c r="AB32" i="2" s="1"/>
  <c r="AA35" i="2"/>
  <c r="AB35" i="2" s="1"/>
  <c r="O38" i="2" a="1"/>
  <c r="P39" i="2" a="1"/>
  <c r="O39" i="2" a="1"/>
  <c r="P38" i="2" a="1"/>
  <c r="W39" i="2" l="1"/>
  <c r="Q38" i="2"/>
  <c r="W38" i="2"/>
  <c r="Q39" i="2"/>
  <c r="AA38" i="2" l="1"/>
  <c r="AB38" i="2" s="1"/>
  <c r="AA39" i="2"/>
  <c r="AB39" i="2" s="1"/>
  <c r="O41" i="2" l="1" a="1"/>
  <c r="P40" i="2" a="1"/>
  <c r="O40" i="2" a="1"/>
  <c r="P41" i="2" a="1"/>
  <c r="AW3" i="3"/>
  <c r="AV3" i="3"/>
  <c r="Q40" i="2" l="1"/>
  <c r="W41" i="2"/>
  <c r="Q41" i="2"/>
  <c r="W40" i="2"/>
  <c r="AZ3" i="3"/>
  <c r="P48" i="2" a="1"/>
  <c r="O47" i="2" a="1"/>
  <c r="O49" i="2" a="1"/>
  <c r="P49" i="2" a="1"/>
  <c r="P46" i="2" a="1"/>
  <c r="O46" i="2" a="1"/>
  <c r="P47" i="2" a="1"/>
  <c r="O48" i="2" a="1"/>
  <c r="AV2" i="3"/>
  <c r="AW2" i="3"/>
  <c r="AV4" i="3"/>
  <c r="AW4" i="3"/>
  <c r="AA41" i="2" l="1"/>
  <c r="AB41" i="2" s="1"/>
  <c r="AA40" i="2"/>
  <c r="AB40" i="2" s="1"/>
  <c r="P43" i="2" a="1"/>
  <c r="O43" i="2" a="1"/>
  <c r="P42" i="2" a="1"/>
  <c r="O42" i="2" a="1"/>
  <c r="P44" i="2" a="1"/>
  <c r="O44" i="2" a="1"/>
  <c r="O45" i="2" a="1"/>
  <c r="P45" i="2" a="1"/>
  <c r="W48" i="2"/>
  <c r="W46" i="2"/>
  <c r="W47" i="2"/>
  <c r="Q49" i="2"/>
  <c r="W49" i="2"/>
  <c r="Q46" i="2"/>
  <c r="Q47" i="2"/>
  <c r="Q48" i="2"/>
  <c r="AZ4" i="3"/>
  <c r="AZ2" i="3"/>
  <c r="AW6" i="3"/>
  <c r="AV6" i="3"/>
  <c r="W43" i="2" l="1"/>
  <c r="W45" i="2"/>
  <c r="Q44" i="2"/>
  <c r="W42" i="2"/>
  <c r="Q42" i="2"/>
  <c r="Q45" i="2"/>
  <c r="W44" i="2"/>
  <c r="AA44" i="2" s="1"/>
  <c r="AB44" i="2" s="1"/>
  <c r="Q43" i="2"/>
  <c r="AA49" i="2"/>
  <c r="AB49" i="2" s="1"/>
  <c r="AA47" i="2"/>
  <c r="AB47" i="2" s="1"/>
  <c r="AA46" i="2"/>
  <c r="AB46" i="2" s="1"/>
  <c r="AA48" i="2"/>
  <c r="AB48" i="2" s="1"/>
  <c r="AZ6" i="3"/>
  <c r="AA43" i="2" l="1"/>
  <c r="AB43" i="2" s="1"/>
  <c r="AA45" i="2"/>
  <c r="AB45" i="2" s="1"/>
  <c r="AA42" i="2"/>
  <c r="AB42" i="2" s="1"/>
  <c r="O50" i="2" a="1"/>
  <c r="P50" i="2" a="1"/>
  <c r="P51" i="2" a="1"/>
  <c r="O51" i="2" a="1"/>
  <c r="W51" i="2" l="1"/>
  <c r="Q50" i="2"/>
  <c r="W50" i="2"/>
  <c r="Q51" i="2"/>
  <c r="AA50" i="2" l="1"/>
  <c r="AB50" i="2" s="1"/>
  <c r="AA51" i="2"/>
  <c r="AB51" i="2" s="1"/>
  <c r="O52" i="2" l="1" a="1"/>
  <c r="P52" i="2" a="1"/>
  <c r="O53" i="2" a="1"/>
  <c r="P53" i="2" a="1"/>
  <c r="Q52" i="2" l="1"/>
  <c r="W52" i="2"/>
  <c r="W53" i="2"/>
  <c r="Q53" i="2"/>
  <c r="O54" i="2" a="1"/>
  <c r="O55" i="2" a="1"/>
  <c r="P54" i="2" a="1"/>
  <c r="P55" i="2" a="1"/>
  <c r="AA52" i="2" l="1"/>
  <c r="AB52" i="2" s="1"/>
  <c r="AA53" i="2"/>
  <c r="AB53" i="2" s="1"/>
  <c r="Q54" i="2"/>
  <c r="Q55" i="2"/>
  <c r="W54" i="2"/>
  <c r="W55" i="2"/>
  <c r="AA54" i="2" l="1"/>
  <c r="AB54" i="2" s="1"/>
  <c r="AA55" i="2"/>
  <c r="AB55" i="2" s="1"/>
  <c r="O56" i="2" a="1"/>
  <c r="P59" i="2" a="1"/>
  <c r="P58" i="2" a="1"/>
  <c r="O57" i="2" a="1"/>
  <c r="P56" i="2" a="1"/>
  <c r="O59" i="2" a="1"/>
  <c r="P57" i="2" a="1"/>
  <c r="O58" i="2" a="1"/>
  <c r="Q57" i="2" l="1"/>
  <c r="Q56" i="2"/>
  <c r="W59" i="2"/>
  <c r="W58" i="2"/>
  <c r="W56" i="2"/>
  <c r="W57" i="2"/>
  <c r="Q58" i="2"/>
  <c r="Q59" i="2"/>
  <c r="AA58" i="2" l="1"/>
  <c r="AB58" i="2" s="1"/>
  <c r="AA56" i="2"/>
  <c r="AB56" i="2" s="1"/>
  <c r="AA59" i="2"/>
  <c r="AB59" i="2" s="1"/>
  <c r="AA57" i="2"/>
  <c r="AB57" i="2" s="1"/>
  <c r="O63" i="2" l="1" a="1"/>
  <c r="O62" i="2" a="1"/>
  <c r="P62" i="2" a="1"/>
  <c r="Q62" i="2" s="1"/>
  <c r="P60" i="2" a="1"/>
  <c r="O60" i="2" a="1"/>
  <c r="W60" i="2" s="1"/>
  <c r="P63" i="2" a="1"/>
  <c r="P61" i="2" a="1"/>
  <c r="Q61" i="2" s="1"/>
  <c r="O61" i="2" a="1"/>
  <c r="O64" i="2" a="1"/>
  <c r="O65" i="2" a="1"/>
  <c r="P65" i="2" a="1"/>
  <c r="P64" i="2" a="1"/>
  <c r="P69" i="2" a="1"/>
  <c r="O69" i="2" a="1"/>
  <c r="O68" i="2" a="1"/>
  <c r="P68" i="2" a="1"/>
  <c r="W63" i="2" l="1"/>
  <c r="W62" i="2"/>
  <c r="AA62" i="2" s="1"/>
  <c r="AB62" i="2" s="1"/>
  <c r="Q60" i="2"/>
  <c r="AA60" i="2" s="1"/>
  <c r="AB60" i="2" s="1"/>
  <c r="Q63" i="2"/>
  <c r="W61" i="2"/>
  <c r="AA61" i="2" s="1"/>
  <c r="AB61" i="2" s="1"/>
  <c r="W65" i="2"/>
  <c r="W64" i="2"/>
  <c r="Q65" i="2"/>
  <c r="AA65" i="2" s="1"/>
  <c r="AB65" i="2" s="1"/>
  <c r="Q64" i="2"/>
  <c r="O67" i="2" a="1"/>
  <c r="P66" i="2" a="1"/>
  <c r="O66" i="2" a="1"/>
  <c r="P67" i="2" a="1"/>
  <c r="Q68" i="2"/>
  <c r="W69" i="2"/>
  <c r="W68" i="2"/>
  <c r="Q69" i="2"/>
  <c r="AA63" i="2" l="1"/>
  <c r="AB63" i="2" s="1"/>
  <c r="AA64" i="2"/>
  <c r="AB64" i="2" s="1"/>
  <c r="AA69" i="2"/>
  <c r="AB69" i="2" s="1"/>
  <c r="Q66" i="2"/>
  <c r="W67" i="2"/>
  <c r="W66" i="2"/>
  <c r="Q67" i="2"/>
  <c r="AA68" i="2"/>
  <c r="AB68" i="2" s="1"/>
  <c r="O73" i="2" l="1" a="1"/>
  <c r="O72" i="2" a="1"/>
  <c r="P72" i="2" a="1"/>
  <c r="P70" i="2" a="1"/>
  <c r="O71" i="2" a="1"/>
  <c r="P71" i="2" a="1"/>
  <c r="O70" i="2" a="1"/>
  <c r="P73" i="2" a="1"/>
  <c r="AA66" i="2"/>
  <c r="AB66" i="2" s="1"/>
  <c r="AA67" i="2"/>
  <c r="AB67" i="2" s="1"/>
  <c r="W70" i="2" l="1"/>
  <c r="W73" i="2"/>
  <c r="W72" i="2"/>
  <c r="Q71" i="2"/>
  <c r="Q72" i="2"/>
  <c r="Q70" i="2"/>
  <c r="W71" i="2"/>
  <c r="Q73" i="2"/>
  <c r="AA72" i="2" l="1"/>
  <c r="AB72" i="2" s="1"/>
  <c r="AA70" i="2"/>
  <c r="AB70" i="2" s="1"/>
  <c r="AA71" i="2"/>
  <c r="AB71" i="2" s="1"/>
  <c r="AA73" i="2"/>
  <c r="AB73" i="2" s="1"/>
  <c r="P76" i="2" a="1"/>
  <c r="O77" i="2" a="1"/>
  <c r="O76" i="2" a="1"/>
  <c r="P77" i="2" a="1"/>
  <c r="P74" i="2" l="1" a="1"/>
  <c r="P75" i="2" a="1"/>
  <c r="O74" i="2" a="1"/>
  <c r="O75" i="2" a="1"/>
  <c r="W76" i="2"/>
  <c r="W77" i="2"/>
  <c r="Q76" i="2"/>
  <c r="Q77" i="2"/>
  <c r="W74" i="2" l="1"/>
  <c r="Q75" i="2"/>
  <c r="Q74" i="2"/>
  <c r="AA74" i="2" s="1"/>
  <c r="AB74" i="2" s="1"/>
  <c r="W75" i="2"/>
  <c r="AA76" i="2"/>
  <c r="AB76" i="2" s="1"/>
  <c r="AA77" i="2"/>
  <c r="AB77" i="2" s="1"/>
  <c r="AA75" i="2" l="1"/>
  <c r="AB75" i="2" s="1"/>
  <c r="P78" i="2" a="1"/>
  <c r="O79" i="2" a="1"/>
  <c r="O81" i="2" a="1"/>
  <c r="P81" i="2" a="1"/>
  <c r="P79" i="2" a="1"/>
  <c r="P80" i="2" a="1"/>
  <c r="O80" i="2" a="1"/>
  <c r="O78" i="2" a="1"/>
  <c r="O84" i="2" a="1"/>
  <c r="O85" i="2" a="1"/>
  <c r="P85" i="2" a="1"/>
  <c r="P84" i="2" a="1"/>
  <c r="O83" i="2" a="1"/>
  <c r="P82" i="2" a="1"/>
  <c r="O82" i="2" a="1"/>
  <c r="P83" i="2" a="1"/>
  <c r="W79" i="2" l="1"/>
  <c r="Q80" i="2"/>
  <c r="Q78" i="2"/>
  <c r="W81" i="2"/>
  <c r="Q81" i="2"/>
  <c r="Q79" i="2"/>
  <c r="W80" i="2"/>
  <c r="W78" i="2"/>
  <c r="W85" i="2"/>
  <c r="Q84" i="2"/>
  <c r="W84" i="2"/>
  <c r="Q85" i="2"/>
  <c r="W82" i="2"/>
  <c r="Q82" i="2"/>
  <c r="W83" i="2"/>
  <c r="Q83" i="2"/>
  <c r="AA80" i="2" l="1"/>
  <c r="AB80" i="2" s="1"/>
  <c r="AA79" i="2"/>
  <c r="AB79" i="2" s="1"/>
  <c r="AA78" i="2"/>
  <c r="AB78" i="2" s="1"/>
  <c r="AA81" i="2"/>
  <c r="AB81" i="2" s="1"/>
  <c r="AA84" i="2"/>
  <c r="AB84" i="2" s="1"/>
  <c r="AA85" i="2"/>
  <c r="AB85" i="2" s="1"/>
  <c r="AA82" i="2"/>
  <c r="AB82" i="2" s="1"/>
  <c r="AA83" i="2"/>
  <c r="AB83" i="2" s="1"/>
  <c r="O87" i="2" l="1" a="1"/>
  <c r="P87" i="2" a="1"/>
  <c r="O86" i="2" a="1"/>
  <c r="P86" i="2" a="1"/>
  <c r="W86" i="2" l="1"/>
  <c r="Q87" i="2"/>
  <c r="Q86" i="2"/>
  <c r="W87" i="2"/>
  <c r="AA86" i="2" l="1"/>
  <c r="AB86" i="2" s="1"/>
  <c r="AA87" i="2"/>
  <c r="AB87" i="2" s="1"/>
  <c r="P89" i="2" a="1"/>
  <c r="P88" i="2" a="1"/>
  <c r="O88" i="2" a="1"/>
  <c r="O89" i="2" a="1"/>
  <c r="W89" i="2" l="1"/>
  <c r="W88" i="2"/>
  <c r="Q89" i="2"/>
  <c r="Q88" i="2"/>
  <c r="AA89" i="2" l="1"/>
  <c r="AB89" i="2" s="1"/>
  <c r="AA88" i="2"/>
  <c r="AB88" i="2" s="1"/>
  <c r="P92" i="2" l="1" a="1"/>
  <c r="O91" i="2" a="1"/>
  <c r="O93" i="2" a="1"/>
  <c r="P90" i="2" a="1"/>
  <c r="P93" i="2" a="1"/>
  <c r="O92" i="2" a="1"/>
  <c r="W92" i="2" s="1"/>
  <c r="O90" i="2" a="1"/>
  <c r="P91" i="2" a="1"/>
  <c r="P95" i="2" a="1"/>
  <c r="O94" i="2" a="1"/>
  <c r="O95" i="2" a="1"/>
  <c r="P94" i="2" a="1"/>
  <c r="W91" i="2" l="1"/>
  <c r="Q93" i="2"/>
  <c r="Q90" i="2"/>
  <c r="W95" i="2"/>
  <c r="Q94" i="2"/>
  <c r="Q92" i="2"/>
  <c r="AA92" i="2" s="1"/>
  <c r="AB92" i="2" s="1"/>
  <c r="W93" i="2"/>
  <c r="W90" i="2"/>
  <c r="Q91" i="2"/>
  <c r="Q95" i="2"/>
  <c r="W94" i="2"/>
  <c r="AA91" i="2" l="1"/>
  <c r="AB91" i="2" s="1"/>
  <c r="AA93" i="2"/>
  <c r="AB93" i="2" s="1"/>
  <c r="AA90" i="2"/>
  <c r="AB90" i="2" s="1"/>
  <c r="AA95" i="2"/>
  <c r="AB95" i="2" s="1"/>
  <c r="AA94" i="2"/>
  <c r="AB94" i="2" s="1"/>
  <c r="O97" i="2" l="1" a="1"/>
  <c r="P96" i="2" a="1"/>
  <c r="O96" i="2" a="1"/>
  <c r="P97" i="2" a="1"/>
  <c r="P99" i="2" a="1"/>
  <c r="O98" i="2" a="1"/>
  <c r="P98" i="2" a="1"/>
  <c r="O99" i="2" a="1"/>
  <c r="O100" i="2" a="1"/>
  <c r="O101" i="2" a="1"/>
  <c r="P100" i="2" a="1"/>
  <c r="P101" i="2" a="1"/>
  <c r="W96" i="2" l="1"/>
  <c r="Q96" i="2"/>
  <c r="W97" i="2"/>
  <c r="Q97" i="2"/>
  <c r="Q100" i="2"/>
  <c r="Q101" i="2"/>
  <c r="Q98" i="2"/>
  <c r="Q99" i="2"/>
  <c r="W100" i="2"/>
  <c r="W99" i="2"/>
  <c r="W101" i="2"/>
  <c r="W98" i="2"/>
  <c r="O105" i="2" a="1"/>
  <c r="P105" i="2" a="1"/>
  <c r="O104" i="2" a="1"/>
  <c r="P104" i="2" a="1"/>
  <c r="AA97" i="2" l="1"/>
  <c r="AB97" i="2" s="1"/>
  <c r="AA96" i="2"/>
  <c r="AB96" i="2" s="1"/>
  <c r="AA100" i="2"/>
  <c r="AB100" i="2" s="1"/>
  <c r="AA99" i="2"/>
  <c r="AB99" i="2" s="1"/>
  <c r="AA101" i="2"/>
  <c r="AB101" i="2" s="1"/>
  <c r="AA98" i="2"/>
  <c r="AB98" i="2" s="1"/>
  <c r="P103" i="2" a="1"/>
  <c r="P102" i="2" a="1"/>
  <c r="O102" i="2" a="1"/>
  <c r="O103" i="2" a="1"/>
  <c r="W105" i="2"/>
  <c r="W104" i="2"/>
  <c r="Q105" i="2"/>
  <c r="Q104" i="2"/>
  <c r="Q102" i="2" l="1"/>
  <c r="W103" i="2"/>
  <c r="W102" i="2"/>
  <c r="Q103" i="2"/>
  <c r="AA105" i="2"/>
  <c r="AB105" i="2" s="1"/>
  <c r="AA104" i="2"/>
  <c r="AB104" i="2" s="1"/>
  <c r="O106" i="2" l="1" a="1"/>
  <c r="O107" i="2" a="1"/>
  <c r="P107" i="2" a="1"/>
  <c r="P106" i="2" a="1"/>
  <c r="AA102" i="2"/>
  <c r="AB102" i="2" s="1"/>
  <c r="AA103" i="2"/>
  <c r="AB103" i="2" s="1"/>
  <c r="Q106" i="2" l="1"/>
  <c r="W107" i="2"/>
  <c r="W106" i="2"/>
  <c r="Q107" i="2"/>
  <c r="AA106" i="2" l="1"/>
  <c r="AB106" i="2" s="1"/>
  <c r="AA107" i="2"/>
  <c r="AB107" i="2" s="1"/>
  <c r="O108" i="2" a="1"/>
  <c r="O109" i="2" a="1"/>
  <c r="P109" i="2" a="1"/>
  <c r="P108" i="2" a="1"/>
  <c r="W108" i="2" l="1"/>
  <c r="Q109" i="2"/>
  <c r="W109" i="2"/>
  <c r="Q108" i="2"/>
  <c r="AA108" i="2" l="1"/>
  <c r="AB108" i="2" s="1"/>
  <c r="AA109" i="2"/>
  <c r="AB109" i="2" s="1"/>
  <c r="P114" i="2" a="1"/>
  <c r="O114" i="2" a="1"/>
  <c r="P115" i="2" a="1"/>
  <c r="O115" i="2" a="1"/>
  <c r="O111" i="2" l="1" a="1"/>
  <c r="P110" i="2" a="1"/>
  <c r="Q110" i="2" s="1"/>
  <c r="P111" i="2" a="1"/>
  <c r="Q111" i="2" s="1"/>
  <c r="O110" i="2" a="1"/>
  <c r="O112" i="2" a="1"/>
  <c r="P113" i="2" a="1"/>
  <c r="Q113" i="2" s="1"/>
  <c r="O113" i="2" a="1"/>
  <c r="P112" i="2" a="1"/>
  <c r="Q112" i="2" s="1"/>
  <c r="Q114" i="2"/>
  <c r="Q115" i="2"/>
  <c r="W114" i="2"/>
  <c r="W115" i="2"/>
  <c r="W111" i="2" l="1"/>
  <c r="AA111" i="2" s="1"/>
  <c r="AB111" i="2" s="1"/>
  <c r="W110" i="2"/>
  <c r="AA110" i="2" s="1"/>
  <c r="AB110" i="2" s="1"/>
  <c r="W112" i="2"/>
  <c r="AA112" i="2" s="1"/>
  <c r="AB112" i="2" s="1"/>
  <c r="W113" i="2"/>
  <c r="AA113" i="2" s="1"/>
  <c r="AB113" i="2" s="1"/>
  <c r="AA114" i="2"/>
  <c r="AB114" i="2" s="1"/>
  <c r="AA115" i="2"/>
  <c r="AB115" i="2" s="1"/>
  <c r="P116" i="2" l="1" a="1"/>
  <c r="P117" i="2" a="1"/>
  <c r="O116" i="2" a="1"/>
  <c r="O117" i="2" a="1"/>
  <c r="Q117" i="2" l="1"/>
  <c r="W117" i="2"/>
  <c r="AA117" i="2" s="1"/>
  <c r="AB117" i="2" s="1"/>
  <c r="Q116" i="2"/>
  <c r="O119" i="2" a="1"/>
  <c r="P119" i="2" a="1"/>
  <c r="P118" i="2" a="1"/>
  <c r="O118" i="2" a="1"/>
  <c r="W118" i="2" s="1"/>
  <c r="W116" i="2"/>
  <c r="O120" i="2" a="1"/>
  <c r="O121" i="2" a="1"/>
  <c r="P121" i="2" a="1"/>
  <c r="P120" i="2" a="1"/>
  <c r="Q120" i="2" l="1"/>
  <c r="Q121" i="2"/>
  <c r="Q119" i="2"/>
  <c r="AA116" i="2"/>
  <c r="AB116" i="2" s="1"/>
  <c r="W121" i="2"/>
  <c r="W120" i="2"/>
  <c r="AA120" i="2" s="1"/>
  <c r="AB120" i="2" s="1"/>
  <c r="W119" i="2"/>
  <c r="Q118" i="2"/>
  <c r="AA118" i="2" s="1"/>
  <c r="AB118" i="2" s="1"/>
  <c r="AA121" i="2" l="1"/>
  <c r="AB121" i="2" s="1"/>
  <c r="AA119" i="2"/>
  <c r="AB119" i="2" s="1"/>
  <c r="O124" i="2" a="1"/>
  <c r="P124" i="2" a="1"/>
  <c r="P125" i="2" a="1"/>
  <c r="O125" i="2" a="1"/>
  <c r="O122" i="2" l="1" a="1"/>
  <c r="P123" i="2" a="1"/>
  <c r="Q123" i="2" s="1"/>
  <c r="P122" i="2" a="1"/>
  <c r="O123" i="2" a="1"/>
  <c r="Q125" i="2"/>
  <c r="Q124" i="2"/>
  <c r="W125" i="2"/>
  <c r="W124" i="2"/>
  <c r="W122" i="2" l="1"/>
  <c r="Q122" i="2"/>
  <c r="W123" i="2"/>
  <c r="AA123" i="2" s="1"/>
  <c r="AB123" i="2" s="1"/>
  <c r="AA124" i="2"/>
  <c r="AB124" i="2" s="1"/>
  <c r="AA125" i="2"/>
  <c r="AB125" i="2" s="1"/>
  <c r="O127" i="2" a="1"/>
  <c r="P126" i="2" a="1"/>
  <c r="P127" i="2" a="1"/>
  <c r="O126" i="2" a="1"/>
  <c r="AA122" i="2" l="1"/>
  <c r="AB122" i="2" s="1"/>
  <c r="W126" i="2"/>
  <c r="Q126" i="2"/>
  <c r="Q127" i="2"/>
  <c r="W127" i="2"/>
  <c r="AA126" i="2" l="1"/>
  <c r="AB126" i="2" s="1"/>
  <c r="AA127" i="2"/>
  <c r="AB127" i="2" s="1"/>
  <c r="P129" i="2" a="1"/>
  <c r="O128" i="2" a="1"/>
  <c r="P128" i="2" a="1"/>
  <c r="O129" i="2" a="1"/>
  <c r="Q128" i="2" l="1"/>
  <c r="Q129" i="2"/>
  <c r="W128" i="2"/>
  <c r="W129" i="2"/>
  <c r="AA128" i="2" l="1"/>
  <c r="AB128" i="2" s="1"/>
  <c r="AA129" i="2"/>
  <c r="AB129" i="2" s="1"/>
  <c r="P135" i="2" a="1"/>
  <c r="P134" i="2" a="1"/>
  <c r="O134" i="2" a="1"/>
  <c r="O135" i="2" a="1"/>
  <c r="O131" i="2" l="1" a="1"/>
  <c r="P131" i="2" a="1"/>
  <c r="O130" i="2" a="1"/>
  <c r="P130" i="2" a="1"/>
  <c r="O132" i="2" a="1"/>
  <c r="O133" i="2" a="1"/>
  <c r="P133" i="2" a="1"/>
  <c r="P132" i="2" a="1"/>
  <c r="Q134" i="2"/>
  <c r="Q135" i="2"/>
  <c r="W134" i="2"/>
  <c r="W135" i="2"/>
  <c r="Q130" i="2" l="1"/>
  <c r="Q131" i="2"/>
  <c r="W131" i="2"/>
  <c r="W130" i="2"/>
  <c r="Q132" i="2"/>
  <c r="W133" i="2"/>
  <c r="Q133" i="2"/>
  <c r="W132" i="2"/>
  <c r="AA134" i="2"/>
  <c r="AB134" i="2" s="1"/>
  <c r="AA135" i="2"/>
  <c r="AB135" i="2" s="1"/>
  <c r="O136" i="2" a="1"/>
  <c r="P136" i="2" a="1"/>
  <c r="P137" i="2" a="1"/>
  <c r="O137" i="2" a="1"/>
  <c r="AA131" i="2" l="1"/>
  <c r="AB131" i="2" s="1"/>
  <c r="AA130" i="2"/>
  <c r="AB130" i="2" s="1"/>
  <c r="AA133" i="2"/>
  <c r="AB133" i="2" s="1"/>
  <c r="AA132" i="2"/>
  <c r="AB132" i="2" s="1"/>
  <c r="Q136" i="2"/>
  <c r="W137" i="2"/>
  <c r="W136" i="2"/>
  <c r="Q137" i="2"/>
  <c r="P139" i="2" l="1" a="1"/>
  <c r="O138" i="2" a="1"/>
  <c r="AA136" i="2"/>
  <c r="AB136" i="2" s="1"/>
  <c r="AA137" i="2"/>
  <c r="AB137" i="2" s="1"/>
  <c r="O139" i="2" l="1" a="1"/>
  <c r="P138" i="2" a="1"/>
  <c r="W139" i="2" l="1"/>
  <c r="Q139" i="2"/>
  <c r="Q138" i="2"/>
  <c r="W138" i="2"/>
  <c r="AA138" i="2" l="1"/>
  <c r="AB138" i="2" s="1"/>
  <c r="AA139" i="2"/>
  <c r="AB139" i="2" s="1"/>
  <c r="O140" i="2" l="1" a="1"/>
  <c r="P140" i="2" a="1"/>
  <c r="O141" i="2" a="1"/>
  <c r="P141" i="2" a="1"/>
  <c r="O142" i="2" a="1"/>
  <c r="P143" i="2" a="1"/>
  <c r="P142" i="2" a="1"/>
  <c r="O143" i="2" a="1"/>
  <c r="Q141" i="2" l="1"/>
  <c r="W140" i="2"/>
  <c r="W141" i="2"/>
  <c r="Q140" i="2"/>
  <c r="Q143" i="2"/>
  <c r="Q142" i="2"/>
  <c r="W142" i="2"/>
  <c r="W143" i="2"/>
  <c r="AA141" i="2" l="1"/>
  <c r="AB141" i="2" s="1"/>
  <c r="AA140" i="2"/>
  <c r="AB140" i="2" s="1"/>
  <c r="AA143" i="2"/>
  <c r="AB143" i="2" s="1"/>
  <c r="AA142" i="2"/>
  <c r="AB142" i="2" s="1"/>
  <c r="P144" i="2" a="1"/>
  <c r="O145" i="2" a="1"/>
  <c r="P145" i="2" a="1"/>
  <c r="O144" i="2" a="1"/>
  <c r="W144" i="2" l="1"/>
  <c r="W145" i="2"/>
  <c r="Q144" i="2"/>
  <c r="Q145" i="2"/>
  <c r="AA144" i="2" l="1"/>
  <c r="AB144" i="2" s="1"/>
  <c r="AA145" i="2"/>
  <c r="AB145" i="2" s="1"/>
  <c r="P149" i="2" l="1" a="1"/>
  <c r="P146" i="2" a="1"/>
  <c r="P148" i="2" a="1"/>
  <c r="Q148" i="2" s="1"/>
  <c r="O146" i="2" a="1"/>
  <c r="O147" i="2" a="1"/>
  <c r="P147" i="2" a="1"/>
  <c r="O148" i="2" a="1"/>
  <c r="O149" i="2" a="1"/>
  <c r="P150" i="2" a="1"/>
  <c r="O151" i="2" a="1"/>
  <c r="P151" i="2" a="1"/>
  <c r="O150" i="2" a="1"/>
  <c r="W147" i="2" l="1"/>
  <c r="W149" i="2"/>
  <c r="W146" i="2"/>
  <c r="Q147" i="2"/>
  <c r="AA147" i="2" s="1"/>
  <c r="AB147" i="2" s="1"/>
  <c r="Q149" i="2"/>
  <c r="Q146" i="2"/>
  <c r="W148" i="2"/>
  <c r="AA148" i="2" s="1"/>
  <c r="AB148" i="2" s="1"/>
  <c r="W151" i="2"/>
  <c r="W150" i="2"/>
  <c r="Q151" i="2"/>
  <c r="Q150" i="2"/>
  <c r="AA149" i="2" l="1"/>
  <c r="AB149" i="2" s="1"/>
  <c r="AA146" i="2"/>
  <c r="AB146" i="2" s="1"/>
  <c r="AA151" i="2"/>
  <c r="AB151" i="2" s="1"/>
  <c r="AA150" i="2"/>
  <c r="AB150" i="2" s="1"/>
  <c r="O152" i="2" l="1" a="1"/>
  <c r="P152" i="2" a="1"/>
  <c r="P153" i="2" a="1"/>
  <c r="O153" i="2" a="1"/>
  <c r="W152" i="2" l="1"/>
  <c r="W153" i="2"/>
  <c r="Q153" i="2"/>
  <c r="Q152" i="2"/>
  <c r="AA152" i="2" l="1"/>
  <c r="AB152" i="2" s="1"/>
  <c r="AA153" i="2"/>
  <c r="AB153" i="2" s="1"/>
  <c r="P155" i="2" l="1" a="1"/>
  <c r="Q155" i="2" s="1"/>
  <c r="O154" i="2" a="1"/>
  <c r="W154" i="2" s="1"/>
  <c r="P154" i="2" a="1"/>
  <c r="O155" i="2" a="1"/>
  <c r="O156" i="2" a="1"/>
  <c r="P156" i="2" a="1"/>
  <c r="Q156" i="2" s="1"/>
  <c r="O157" i="2" a="1"/>
  <c r="P157" i="2" a="1"/>
  <c r="Q157" i="2" s="1"/>
  <c r="W155" i="2" l="1"/>
  <c r="AA155" i="2" s="1"/>
  <c r="AB155" i="2" s="1"/>
  <c r="Q154" i="2"/>
  <c r="AA154" i="2" s="1"/>
  <c r="AB154" i="2" s="1"/>
  <c r="W156" i="2"/>
  <c r="AA156" i="2" s="1"/>
  <c r="AB156" i="2" s="1"/>
  <c r="W157" i="2"/>
  <c r="AA157" i="2" s="1"/>
  <c r="AB157" i="2" s="1"/>
  <c r="P161" i="2" a="1"/>
  <c r="P158" i="2" a="1"/>
  <c r="P159" i="2" a="1"/>
  <c r="O160" i="2" a="1"/>
  <c r="O158" i="2" a="1"/>
  <c r="O159" i="2" a="1"/>
  <c r="O161" i="2" a="1"/>
  <c r="P160" i="2" a="1"/>
  <c r="W159" i="2" l="1"/>
  <c r="W161" i="2"/>
  <c r="Q158" i="2"/>
  <c r="W160" i="2"/>
  <c r="Q161" i="2"/>
  <c r="Q159" i="2"/>
  <c r="W158" i="2"/>
  <c r="Q160" i="2"/>
  <c r="AA161" i="2" l="1"/>
  <c r="AB161" i="2" s="1"/>
  <c r="AA159" i="2"/>
  <c r="AB159" i="2" s="1"/>
  <c r="AA158" i="2"/>
  <c r="AB158" i="2" s="1"/>
  <c r="AA160" i="2"/>
  <c r="AB160" i="2" s="1"/>
  <c r="P163" i="2" l="1" a="1"/>
  <c r="O162" i="2" a="1"/>
  <c r="O163" i="2" a="1"/>
  <c r="P162" i="2" a="1"/>
  <c r="Q162" i="2" s="1"/>
  <c r="Q163" i="2" l="1"/>
  <c r="W162" i="2"/>
  <c r="AA162" i="2" s="1"/>
  <c r="AB162" i="2" s="1"/>
  <c r="W163" i="2"/>
  <c r="O167" i="2" a="1"/>
  <c r="P167" i="2" a="1"/>
  <c r="P166" i="2" a="1"/>
  <c r="O166" i="2" a="1"/>
  <c r="P165" i="2" a="1"/>
  <c r="P164" i="2" a="1"/>
  <c r="O164" i="2" a="1"/>
  <c r="W164" i="2" s="1"/>
  <c r="O165" i="2" a="1"/>
  <c r="AA163" i="2" l="1"/>
  <c r="AB163" i="2" s="1"/>
  <c r="Q166" i="2"/>
  <c r="W167" i="2"/>
  <c r="Q165" i="2"/>
  <c r="Q167" i="2"/>
  <c r="W166" i="2"/>
  <c r="Q164" i="2"/>
  <c r="AA164" i="2" s="1"/>
  <c r="AB164" i="2" s="1"/>
  <c r="W165" i="2"/>
  <c r="AA166" i="2" l="1"/>
  <c r="AB166" i="2" s="1"/>
  <c r="AA167" i="2"/>
  <c r="AB167" i="2" s="1"/>
  <c r="AA165" i="2"/>
  <c r="AB165" i="2" s="1"/>
  <c r="O168" i="2" l="1" a="1"/>
  <c r="P169" i="2" a="1"/>
  <c r="O169" i="2" a="1"/>
  <c r="W169" i="2" s="1"/>
  <c r="P168" i="2" a="1"/>
  <c r="P170" i="2" a="1"/>
  <c r="P171" i="2" a="1"/>
  <c r="O170" i="2" a="1"/>
  <c r="W170" i="2" s="1"/>
  <c r="O171" i="2" a="1"/>
  <c r="W171" i="2" l="1"/>
  <c r="Q168" i="2"/>
  <c r="Q169" i="2"/>
  <c r="AA169" i="2" s="1"/>
  <c r="AB169" i="2" s="1"/>
  <c r="Q170" i="2"/>
  <c r="AA170" i="2" s="1"/>
  <c r="AB170" i="2" s="1"/>
  <c r="Q171" i="2"/>
  <c r="W168" i="2"/>
  <c r="P172" i="2" a="1"/>
  <c r="O173" i="2" a="1"/>
  <c r="AA171" i="2" l="1"/>
  <c r="AB171" i="2" s="1"/>
  <c r="AA168" i="2"/>
  <c r="AB168" i="2" s="1"/>
  <c r="O174" i="2" a="1"/>
  <c r="P175" i="2" a="1"/>
  <c r="O175" i="2" a="1"/>
  <c r="P176" i="2" a="1"/>
  <c r="P174" i="2" a="1"/>
  <c r="P177" i="2" a="1"/>
  <c r="O177" i="2" a="1"/>
  <c r="P179" i="2" a="1"/>
  <c r="O179" i="2" a="1"/>
  <c r="P178" i="2" a="1"/>
  <c r="O178" i="2" a="1"/>
  <c r="O180" i="2" a="1"/>
  <c r="P181" i="2" a="1"/>
  <c r="O172" i="2" l="1" a="1"/>
  <c r="P173" i="2" a="1"/>
  <c r="Q174" i="2"/>
  <c r="W177" i="2"/>
  <c r="W175" i="2"/>
  <c r="W174" i="2"/>
  <c r="Q175" i="2"/>
  <c r="Q177" i="2"/>
  <c r="Q178" i="2"/>
  <c r="W179" i="2"/>
  <c r="Q179" i="2"/>
  <c r="W178" i="2"/>
  <c r="Q172" i="2" l="1"/>
  <c r="W172" i="2"/>
  <c r="W173" i="2"/>
  <c r="AA173" i="2" s="1"/>
  <c r="AB173" i="2" s="1"/>
  <c r="Q173" i="2"/>
  <c r="AA174" i="2"/>
  <c r="AB174" i="2" s="1"/>
  <c r="AA177" i="2"/>
  <c r="AB177" i="2" s="1"/>
  <c r="AA175" i="2"/>
  <c r="AB175" i="2" s="1"/>
  <c r="O176" i="2" s="1" a="1"/>
  <c r="AA178" i="2"/>
  <c r="AB178" i="2" s="1"/>
  <c r="P180" i="2" a="1"/>
  <c r="O181" i="2" a="1"/>
  <c r="AA179" i="2"/>
  <c r="AB179" i="2" s="1"/>
  <c r="AA172" i="2" l="1"/>
  <c r="AB172" i="2" s="1"/>
  <c r="Q176" i="2"/>
  <c r="W176" i="2"/>
  <c r="W180" i="2"/>
  <c r="Q180" i="2"/>
  <c r="W181" i="2"/>
  <c r="Q181" i="2"/>
  <c r="AA176" i="2" l="1"/>
  <c r="AB176" i="2" s="1"/>
  <c r="AA180" i="2"/>
  <c r="AB180" i="2" s="1"/>
  <c r="AA181" i="2"/>
  <c r="AB181" i="2" s="1"/>
  <c r="O184" i="2" a="1"/>
  <c r="P184" i="2" a="1"/>
  <c r="P185" i="2" a="1"/>
  <c r="O185" i="2" a="1"/>
  <c r="P182" i="2" l="1" a="1"/>
  <c r="O182" i="2" a="1"/>
  <c r="O183" i="2" a="1"/>
  <c r="P183" i="2" a="1"/>
  <c r="Q183" i="2" s="1"/>
  <c r="Q184" i="2"/>
  <c r="Q185" i="2"/>
  <c r="W184" i="2"/>
  <c r="W185" i="2"/>
  <c r="Q182" i="2" l="1"/>
  <c r="W183" i="2"/>
  <c r="AA183" i="2" s="1"/>
  <c r="AB183" i="2" s="1"/>
  <c r="W182" i="2"/>
  <c r="AA184" i="2"/>
  <c r="AB184" i="2" s="1"/>
  <c r="AA185" i="2"/>
  <c r="AB185" i="2" s="1"/>
  <c r="AA182" i="2" l="1"/>
  <c r="AB182" i="2" s="1"/>
  <c r="O186" i="2" a="1"/>
  <c r="P187" i="2" a="1"/>
  <c r="P186" i="2" a="1"/>
  <c r="O187" i="2" a="1"/>
  <c r="O189" i="2" a="1"/>
  <c r="O188" i="2" a="1"/>
  <c r="P188" i="2" a="1"/>
  <c r="P189" i="2" a="1"/>
  <c r="O190" i="2" a="1"/>
  <c r="O191" i="2" a="1"/>
  <c r="P190" i="2" a="1"/>
  <c r="P191" i="2" a="1"/>
  <c r="Q186" i="2" l="1"/>
  <c r="W187" i="2"/>
  <c r="W186" i="2"/>
  <c r="AA186" i="2" s="1"/>
  <c r="AB186" i="2" s="1"/>
  <c r="Q187" i="2"/>
  <c r="Q189" i="2"/>
  <c r="W188" i="2"/>
  <c r="Q188" i="2"/>
  <c r="W191" i="2"/>
  <c r="W189" i="2"/>
  <c r="W190" i="2"/>
  <c r="Q190" i="2"/>
  <c r="Q191" i="2"/>
  <c r="AA187" i="2" l="1"/>
  <c r="AB187" i="2" s="1"/>
  <c r="AA190" i="2"/>
  <c r="AB190" i="2" s="1"/>
  <c r="AA188" i="2"/>
  <c r="AB188" i="2" s="1"/>
  <c r="AA191" i="2"/>
  <c r="AB191" i="2" s="1"/>
  <c r="AA189" i="2"/>
  <c r="AB189" i="2" s="1"/>
  <c r="P192" i="2" a="1"/>
  <c r="O193" i="2" a="1"/>
  <c r="P193" i="2" a="1"/>
  <c r="O192" i="2" a="1"/>
  <c r="Q192" i="2" l="1"/>
  <c r="W193" i="2"/>
  <c r="Q193" i="2"/>
  <c r="W192" i="2"/>
  <c r="AA193" i="2" l="1"/>
  <c r="AB193" i="2" s="1"/>
  <c r="AA192" i="2"/>
  <c r="AB192" i="2" s="1"/>
  <c r="P197" i="2" l="1" a="1"/>
  <c r="O195" i="2" a="1"/>
  <c r="P195" i="2" a="1"/>
  <c r="O197" i="2" a="1"/>
  <c r="P194" i="2" a="1"/>
  <c r="O194" i="2" a="1"/>
  <c r="O196" i="2" a="1"/>
  <c r="P196" i="2" a="1"/>
  <c r="Q195" i="2" l="1"/>
  <c r="Q194" i="2"/>
  <c r="W196" i="2"/>
  <c r="W195" i="2"/>
  <c r="W197" i="2"/>
  <c r="Q197" i="2"/>
  <c r="AA197" i="2" s="1"/>
  <c r="AB197" i="2" s="1"/>
  <c r="W194" i="2"/>
  <c r="Q196" i="2"/>
  <c r="P198" i="2" a="1"/>
  <c r="O198" i="2" a="1"/>
  <c r="P199" i="2" a="1"/>
  <c r="O199" i="2" a="1"/>
  <c r="P201" i="2" a="1"/>
  <c r="O200" i="2" a="1"/>
  <c r="O201" i="2" a="1"/>
  <c r="P200" i="2" a="1"/>
  <c r="AA195" i="2" l="1"/>
  <c r="AB195" i="2" s="1"/>
  <c r="AA194" i="2"/>
  <c r="AB194" i="2" s="1"/>
  <c r="AA196" i="2"/>
  <c r="AB196" i="2" s="1"/>
  <c r="W201" i="2"/>
  <c r="W198" i="2"/>
  <c r="Q199" i="2"/>
  <c r="Q200" i="2"/>
  <c r="Q198" i="2"/>
  <c r="W199" i="2"/>
  <c r="Q201" i="2"/>
  <c r="W200" i="2"/>
  <c r="AA198" i="2" l="1"/>
  <c r="AB198" i="2" s="1"/>
  <c r="AA199" i="2"/>
  <c r="AB199" i="2" s="1"/>
  <c r="AA201" i="2"/>
  <c r="AB201" i="2" s="1"/>
  <c r="AA200" i="2"/>
  <c r="AB200" i="2" s="1"/>
  <c r="O204" i="2" l="1" a="1"/>
  <c r="P205" i="2" a="1"/>
  <c r="P204" i="2" a="1"/>
  <c r="O205" i="2" a="1"/>
  <c r="P203" i="2" a="1"/>
  <c r="P202" i="2" a="1"/>
  <c r="O202" i="2" a="1"/>
  <c r="O203" i="2" a="1"/>
  <c r="W203" i="2" s="1"/>
  <c r="O206" i="2" a="1"/>
  <c r="O207" i="2" a="1"/>
  <c r="P207" i="2" a="1"/>
  <c r="P206" i="2" a="1"/>
  <c r="O209" i="2" a="1"/>
  <c r="O208" i="2" a="1"/>
  <c r="P208" i="2" a="1"/>
  <c r="P209" i="2" a="1"/>
  <c r="W205" i="2" l="1"/>
  <c r="Q204" i="2"/>
  <c r="Q202" i="2"/>
  <c r="W204" i="2"/>
  <c r="Q205" i="2"/>
  <c r="AA205" i="2" s="1"/>
  <c r="AB205" i="2" s="1"/>
  <c r="Q203" i="2"/>
  <c r="AA203" i="2" s="1"/>
  <c r="AB203" i="2" s="1"/>
  <c r="W202" i="2"/>
  <c r="W207" i="2"/>
  <c r="W206" i="2"/>
  <c r="Q206" i="2"/>
  <c r="Q207" i="2"/>
  <c r="Q208" i="2"/>
  <c r="W209" i="2"/>
  <c r="W208" i="2"/>
  <c r="Q209" i="2"/>
  <c r="AA204" i="2" l="1"/>
  <c r="AB204" i="2" s="1"/>
  <c r="AA202" i="2"/>
  <c r="AB202" i="2" s="1"/>
  <c r="AA206" i="2"/>
  <c r="AB206" i="2" s="1"/>
  <c r="AA207" i="2"/>
  <c r="AB207" i="2" s="1"/>
  <c r="AA208" i="2"/>
  <c r="AB208" i="2" s="1"/>
  <c r="AA209" i="2"/>
  <c r="AB209" i="2" s="1"/>
  <c r="O211" i="2" l="1" a="1"/>
  <c r="P210" i="2" a="1"/>
  <c r="P211" i="2" a="1"/>
  <c r="O210" i="2" a="1"/>
  <c r="W211" i="2" l="1"/>
  <c r="Q210" i="2"/>
  <c r="Q211" i="2"/>
  <c r="W210" i="2"/>
  <c r="AA211" i="2" l="1"/>
  <c r="AB211" i="2" s="1"/>
  <c r="AA210" i="2"/>
  <c r="AB210" i="2" s="1"/>
  <c r="P213" i="2" l="1" a="1"/>
  <c r="O213" i="2" a="1"/>
  <c r="P212" i="2" a="1"/>
  <c r="O212" i="2" a="1"/>
  <c r="P215" i="2" a="1"/>
  <c r="O214" i="2" a="1"/>
  <c r="P214" i="2" a="1"/>
  <c r="O215" i="2" a="1"/>
  <c r="W212" i="2" l="1"/>
  <c r="Q213" i="2"/>
  <c r="Q212" i="2"/>
  <c r="W213" i="2"/>
  <c r="W215" i="2"/>
  <c r="Q215" i="2"/>
  <c r="W214" i="2"/>
  <c r="Q214" i="2"/>
  <c r="AA212" i="2" l="1"/>
  <c r="AB212" i="2" s="1"/>
  <c r="AA215" i="2"/>
  <c r="AB215" i="2" s="1"/>
  <c r="AA213" i="2"/>
  <c r="AB213" i="2" s="1"/>
  <c r="AA214" i="2"/>
  <c r="AB214" i="2" s="1"/>
  <c r="P216" i="2" l="1" a="1"/>
  <c r="O216" i="2" a="1"/>
  <c r="W216" i="2" s="1"/>
  <c r="O217" i="2" a="1"/>
  <c r="P217" i="2" a="1"/>
  <c r="P219" i="2" a="1"/>
  <c r="O219" i="2" a="1"/>
  <c r="W219" i="2" s="1"/>
  <c r="P218" i="2" a="1"/>
  <c r="O218" i="2" a="1"/>
  <c r="W218" i="2" s="1"/>
  <c r="Q217" i="2" l="1"/>
  <c r="Q218" i="2"/>
  <c r="AA218" i="2" s="1"/>
  <c r="AB218" i="2" s="1"/>
  <c r="W217" i="2"/>
  <c r="AA217" i="2" s="1"/>
  <c r="AB217" i="2" s="1"/>
  <c r="Q219" i="2"/>
  <c r="AA219" i="2" s="1"/>
  <c r="AB219" i="2" s="1"/>
  <c r="Q216" i="2"/>
  <c r="AA216" i="2" s="1"/>
  <c r="AB216" i="2" s="1"/>
  <c r="P223" i="2" a="1"/>
  <c r="O222" i="2" a="1"/>
  <c r="O221" i="2" a="1"/>
  <c r="O220" i="2" a="1"/>
  <c r="P220" i="2" a="1"/>
  <c r="P221" i="2" a="1"/>
  <c r="O223" i="2" a="1"/>
  <c r="P222" i="2" a="1"/>
  <c r="Q220" i="2" l="1"/>
  <c r="Q221" i="2"/>
  <c r="W223" i="2"/>
  <c r="Q222" i="2"/>
  <c r="Q223" i="2"/>
  <c r="W222" i="2"/>
  <c r="W221" i="2"/>
  <c r="W220" i="2"/>
  <c r="AA220" i="2" l="1"/>
  <c r="AB220" i="2" s="1"/>
  <c r="AA223" i="2"/>
  <c r="AB223" i="2" s="1"/>
  <c r="AA222" i="2"/>
  <c r="AB222" i="2" s="1"/>
  <c r="AA221" i="2"/>
  <c r="AB221" i="2" s="1"/>
  <c r="P225" i="2" l="1" a="1"/>
  <c r="O224" i="2" a="1"/>
  <c r="P224" i="2" a="1"/>
  <c r="O225" i="2" a="1"/>
  <c r="Q224" i="2" l="1"/>
  <c r="W224" i="2"/>
  <c r="W225" i="2"/>
  <c r="Q225" i="2"/>
  <c r="AA224" i="2" l="1"/>
  <c r="AB224" i="2" s="1"/>
  <c r="AA225" i="2"/>
  <c r="AB225" i="2" s="1"/>
  <c r="O226" i="2" l="1" a="1"/>
  <c r="P227" i="2" a="1"/>
  <c r="O227" i="2" a="1"/>
  <c r="P226" i="2" a="1"/>
  <c r="Q227" i="2" l="1"/>
  <c r="Q226" i="2"/>
  <c r="W226" i="2"/>
  <c r="W227" i="2"/>
  <c r="AA226" i="2" l="1"/>
  <c r="AB226" i="2" s="1"/>
  <c r="AA227" i="2"/>
  <c r="AB227" i="2" s="1"/>
  <c r="O229" i="2" l="1" a="1"/>
  <c r="O228" i="2" a="1"/>
  <c r="P228" i="2" a="1"/>
  <c r="P229" i="2" a="1"/>
  <c r="Q229" i="2" l="1"/>
  <c r="W228" i="2"/>
  <c r="Q228" i="2"/>
  <c r="AA228" i="2" s="1"/>
  <c r="AB228" i="2" s="1"/>
  <c r="W229" i="2"/>
  <c r="AA229" i="2" l="1"/>
  <c r="AB229" i="2" s="1"/>
  <c r="O231" i="2" a="1"/>
  <c r="O230" i="2" a="1"/>
  <c r="P231" i="2" a="1"/>
  <c r="Q231" i="2" s="1"/>
  <c r="P230" i="2" a="1"/>
  <c r="P232" i="2" a="1"/>
  <c r="O235" i="2" a="1"/>
  <c r="P234" i="2" a="1"/>
  <c r="Q234" i="2" s="1"/>
  <c r="O233" i="2" a="1"/>
  <c r="O232" i="2" a="1"/>
  <c r="P233" i="2" a="1"/>
  <c r="O234" i="2" a="1"/>
  <c r="P235" i="2" a="1"/>
  <c r="Q233" i="2" l="1"/>
  <c r="Q235" i="2"/>
  <c r="Q230" i="2"/>
  <c r="Q232" i="2"/>
  <c r="W231" i="2"/>
  <c r="AA231" i="2" s="1"/>
  <c r="AB231" i="2" s="1"/>
  <c r="W230" i="2"/>
  <c r="W235" i="2"/>
  <c r="W233" i="2"/>
  <c r="W232" i="2"/>
  <c r="W234" i="2"/>
  <c r="AA234" i="2" s="1"/>
  <c r="AB234" i="2" s="1"/>
  <c r="P238" i="2" a="1"/>
  <c r="P239" i="2" a="1"/>
  <c r="O241" i="2" a="1"/>
  <c r="O238" i="2" a="1"/>
  <c r="P237" i="2" a="1"/>
  <c r="P240" i="2" a="1"/>
  <c r="O239" i="2" a="1"/>
  <c r="P236" i="2" a="1"/>
  <c r="O236" i="2" a="1"/>
  <c r="O237" i="2" a="1"/>
  <c r="O240" i="2" a="1"/>
  <c r="P241" i="2" a="1"/>
  <c r="AA230" i="2" l="1"/>
  <c r="AB230" i="2" s="1"/>
  <c r="AA235" i="2"/>
  <c r="AB235" i="2" s="1"/>
  <c r="AA233" i="2"/>
  <c r="AB233" i="2" s="1"/>
  <c r="AA232" i="2"/>
  <c r="AB232" i="2" s="1"/>
  <c r="Q237" i="2"/>
  <c r="W236" i="2"/>
  <c r="Q239" i="2"/>
  <c r="W238" i="2"/>
  <c r="Q238" i="2"/>
  <c r="W239" i="2"/>
  <c r="AA239" i="2" s="1"/>
  <c r="AB239" i="2" s="1"/>
  <c r="Q236" i="2"/>
  <c r="AA236" i="2" s="1"/>
  <c r="AB236" i="2" s="1"/>
  <c r="W237" i="2"/>
  <c r="W240" i="2"/>
  <c r="Q240" i="2"/>
  <c r="Q241" i="2"/>
  <c r="W241" i="2"/>
  <c r="AA237" i="2" l="1"/>
  <c r="AB237" i="2" s="1"/>
  <c r="AA238" i="2"/>
  <c r="AB238" i="2" s="1"/>
  <c r="AA241" i="2"/>
  <c r="AB241" i="2" s="1"/>
  <c r="AA240" i="2"/>
  <c r="AB240" i="2" s="1"/>
  <c r="P243" i="2" l="1" a="1"/>
  <c r="O243" i="2" a="1"/>
  <c r="P242" i="2" a="1"/>
  <c r="O242" i="2" a="1"/>
  <c r="O245" i="2" a="1"/>
  <c r="O244" i="2" a="1"/>
  <c r="P245" i="2" a="1"/>
  <c r="P244" i="2" a="1"/>
  <c r="O246" i="2" a="1"/>
  <c r="P247" i="2" a="1"/>
  <c r="P246" i="2" a="1"/>
  <c r="O247" i="2" a="1"/>
  <c r="W243" i="2" l="1"/>
  <c r="Q244" i="2"/>
  <c r="W242" i="2"/>
  <c r="W245" i="2"/>
  <c r="W246" i="2"/>
  <c r="W247" i="2"/>
  <c r="Q243" i="2"/>
  <c r="Q242" i="2"/>
  <c r="W244" i="2"/>
  <c r="Q245" i="2"/>
  <c r="Q247" i="2"/>
  <c r="Q246" i="2"/>
  <c r="AA243" i="2" l="1"/>
  <c r="AB243" i="2" s="1"/>
  <c r="AA242" i="2"/>
  <c r="AB242" i="2" s="1"/>
  <c r="AA244" i="2"/>
  <c r="AB244" i="2" s="1"/>
  <c r="AA245" i="2"/>
  <c r="AB245" i="2" s="1"/>
  <c r="AA247" i="2"/>
  <c r="AB247" i="2" s="1"/>
  <c r="AA246" i="2"/>
  <c r="AB246" i="2" s="1"/>
  <c r="P251" i="2" l="1" a="1"/>
  <c r="O254" i="2" a="1"/>
  <c r="P250" i="2" a="1"/>
  <c r="O249" i="2" a="1"/>
  <c r="W249" i="2" s="1"/>
  <c r="P253" i="2" a="1"/>
  <c r="O253" i="2" a="1"/>
  <c r="P252" i="2" a="1"/>
  <c r="O250" i="2" a="1"/>
  <c r="O251" i="2" a="1"/>
  <c r="W251" i="2" s="1"/>
  <c r="P249" i="2" a="1"/>
  <c r="P248" i="2" a="1"/>
  <c r="O255" i="2" a="1"/>
  <c r="O248" i="2" a="1"/>
  <c r="O252" i="2" a="1"/>
  <c r="P255" i="2" a="1"/>
  <c r="P254" i="2" a="1"/>
  <c r="O257" i="2" a="1"/>
  <c r="P256" i="2" a="1"/>
  <c r="O256" i="2" a="1"/>
  <c r="P257" i="2" a="1"/>
  <c r="W253" i="2" l="1"/>
  <c r="Q252" i="2"/>
  <c r="W250" i="2"/>
  <c r="Q255" i="2"/>
  <c r="W254" i="2"/>
  <c r="Q248" i="2"/>
  <c r="Q251" i="2"/>
  <c r="AA251" i="2" s="1"/>
  <c r="AB251" i="2" s="1"/>
  <c r="Q253" i="2"/>
  <c r="AA253" i="2" s="1"/>
  <c r="AB253" i="2" s="1"/>
  <c r="Q249" i="2"/>
  <c r="AA249" i="2" s="1"/>
  <c r="AB249" i="2" s="1"/>
  <c r="W255" i="2"/>
  <c r="W248" i="2"/>
  <c r="W252" i="2"/>
  <c r="Q254" i="2"/>
  <c r="Q250" i="2"/>
  <c r="Q257" i="2"/>
  <c r="Q256" i="2"/>
  <c r="W257" i="2"/>
  <c r="AA257" i="2" s="1"/>
  <c r="AB257" i="2" s="1"/>
  <c r="W256" i="2"/>
  <c r="AA255" i="2" l="1"/>
  <c r="AB255" i="2" s="1"/>
  <c r="AA252" i="2"/>
  <c r="AB252" i="2" s="1"/>
  <c r="AA254" i="2"/>
  <c r="AB254" i="2" s="1"/>
  <c r="AA250" i="2"/>
  <c r="AB250" i="2" s="1"/>
  <c r="AA248" i="2"/>
  <c r="AB248" i="2" s="1"/>
  <c r="O258" i="2" a="1"/>
  <c r="P259" i="2" a="1"/>
  <c r="O259" i="2" a="1"/>
  <c r="P258" i="2" a="1"/>
  <c r="Q258" i="2" s="1"/>
  <c r="AA256" i="2"/>
  <c r="AB256" i="2" s="1"/>
  <c r="W259" i="2" l="1"/>
  <c r="W258" i="2"/>
  <c r="AA258" i="2" s="1"/>
  <c r="AB258" i="2" s="1"/>
  <c r="Q259" i="2"/>
  <c r="AA259" i="2" s="1"/>
  <c r="AB259" i="2" s="1"/>
  <c r="P266" i="2" a="1"/>
  <c r="O266" i="2" a="1"/>
  <c r="W266" i="2" s="1"/>
  <c r="P267" i="2" a="1"/>
  <c r="P265" i="2" a="1"/>
  <c r="O265" i="2" a="1"/>
  <c r="P264" i="2" a="1"/>
  <c r="O267" i="2" a="1"/>
  <c r="W267" i="2" s="1"/>
  <c r="P262" i="2" a="1"/>
  <c r="O264" i="2" a="1"/>
  <c r="W264" i="2" s="1"/>
  <c r="O263" i="2" a="1"/>
  <c r="O262" i="2" a="1"/>
  <c r="O260" i="2" a="1"/>
  <c r="P260" i="2" a="1"/>
  <c r="P263" i="2" a="1"/>
  <c r="O261" i="2" a="1"/>
  <c r="P261" i="2" a="1"/>
  <c r="W265" i="2" l="1"/>
  <c r="Q263" i="2"/>
  <c r="Q262" i="2"/>
  <c r="Q260" i="2"/>
  <c r="W261" i="2"/>
  <c r="Q266" i="2"/>
  <c r="AA266" i="2" s="1"/>
  <c r="AB266" i="2" s="1"/>
  <c r="Q265" i="2"/>
  <c r="AA265" i="2" s="1"/>
  <c r="AB265" i="2" s="1"/>
  <c r="Q267" i="2"/>
  <c r="AA267" i="2" s="1"/>
  <c r="AB267" i="2" s="1"/>
  <c r="Q264" i="2"/>
  <c r="AA264" i="2" s="1"/>
  <c r="AB264" i="2" s="1"/>
  <c r="W262" i="2"/>
  <c r="W260" i="2"/>
  <c r="Q261" i="2"/>
  <c r="W263" i="2"/>
  <c r="P268" i="2" a="1"/>
  <c r="O269" i="2" a="1"/>
  <c r="O268" i="2" a="1"/>
  <c r="P269" i="2" a="1"/>
  <c r="AA262" i="2" l="1"/>
  <c r="AB262" i="2" s="1"/>
  <c r="AA260" i="2"/>
  <c r="AB260" i="2" s="1"/>
  <c r="AA261" i="2"/>
  <c r="AB261" i="2" s="1"/>
  <c r="AA263" i="2"/>
  <c r="AB263" i="2" s="1"/>
  <c r="W269" i="2"/>
  <c r="W268" i="2"/>
  <c r="Q268" i="2"/>
  <c r="Q269" i="2"/>
  <c r="AA269" i="2" l="1"/>
  <c r="AB269" i="2" s="1"/>
  <c r="AA268" i="2"/>
  <c r="AB268" i="2" s="1"/>
  <c r="O271" i="2" a="1"/>
  <c r="P271" i="2" a="1"/>
  <c r="P270" i="2" a="1"/>
  <c r="O270" i="2" a="1"/>
  <c r="O273" i="2" a="1"/>
  <c r="P273" i="2" a="1"/>
  <c r="O272" i="2" a="1"/>
  <c r="P272" i="2" a="1"/>
  <c r="W271" i="2" l="1"/>
  <c r="W270" i="2"/>
  <c r="Q271" i="2"/>
  <c r="Q270" i="2"/>
  <c r="Q273" i="2"/>
  <c r="Q272" i="2"/>
  <c r="W273" i="2"/>
  <c r="W272" i="2"/>
  <c r="AA270" i="2" l="1"/>
  <c r="AB270" i="2" s="1"/>
  <c r="AA271" i="2"/>
  <c r="AB271" i="2" s="1"/>
  <c r="AA273" i="2"/>
  <c r="AB273" i="2" s="1"/>
  <c r="AA272" i="2"/>
  <c r="AB272" i="2" s="1"/>
  <c r="O277" i="2" l="1" a="1"/>
  <c r="O275" i="2" a="1"/>
  <c r="P274" i="2" a="1"/>
  <c r="P277" i="2" a="1"/>
  <c r="P276" i="2" a="1"/>
  <c r="O276" i="2" a="1"/>
  <c r="P275" i="2" a="1"/>
  <c r="O274" i="2" a="1"/>
  <c r="W274" i="2" l="1"/>
  <c r="W275" i="2"/>
  <c r="Q277" i="2"/>
  <c r="Q276" i="2"/>
  <c r="W277" i="2"/>
  <c r="Q274" i="2"/>
  <c r="W276" i="2"/>
  <c r="Q275" i="2"/>
  <c r="AA274" i="2" l="1"/>
  <c r="AB274" i="2" s="1"/>
  <c r="AA275" i="2"/>
  <c r="AB275" i="2" s="1"/>
  <c r="AA277" i="2"/>
  <c r="AB277" i="2" s="1"/>
  <c r="AA276" i="2"/>
  <c r="AB276" i="2" s="1"/>
  <c r="O281" i="2" a="1"/>
  <c r="P281" i="2" a="1"/>
  <c r="P282" i="2" a="1"/>
  <c r="O282" i="2" a="1"/>
  <c r="P280" i="2" a="1"/>
  <c r="O280" i="2" a="1"/>
  <c r="P283" i="2" a="1"/>
  <c r="O283" i="2" a="1"/>
  <c r="O279" i="2" l="1" a="1"/>
  <c r="O278" i="2" a="1"/>
  <c r="P279" i="2" a="1"/>
  <c r="P278" i="2" a="1"/>
  <c r="W281" i="2"/>
  <c r="W282" i="2"/>
  <c r="W280" i="2"/>
  <c r="W283" i="2"/>
  <c r="Q282" i="2"/>
  <c r="Q281" i="2"/>
  <c r="Q280" i="2"/>
  <c r="Q283" i="2"/>
  <c r="W278" i="2" l="1"/>
  <c r="W279" i="2"/>
  <c r="Q278" i="2"/>
  <c r="AA278" i="2" s="1"/>
  <c r="AB278" i="2" s="1"/>
  <c r="Q279" i="2"/>
  <c r="AA282" i="2"/>
  <c r="AB282" i="2" s="1"/>
  <c r="AA281" i="2"/>
  <c r="AB281" i="2" s="1"/>
  <c r="AA280" i="2"/>
  <c r="AB280" i="2" s="1"/>
  <c r="O288" i="2" a="1"/>
  <c r="P289" i="2" a="1"/>
  <c r="AA283" i="2"/>
  <c r="AB283" i="2" s="1"/>
  <c r="O287" i="2" a="1"/>
  <c r="P286" i="2" a="1"/>
  <c r="O286" i="2" a="1"/>
  <c r="P287" i="2" a="1"/>
  <c r="AA279" i="2" l="1"/>
  <c r="AB279" i="2" s="1"/>
  <c r="O285" i="2" a="1"/>
  <c r="O284" i="2" a="1"/>
  <c r="P285" i="2" a="1"/>
  <c r="P284" i="2" a="1"/>
  <c r="O289" i="2" a="1"/>
  <c r="P288" i="2" a="1"/>
  <c r="W286" i="2"/>
  <c r="W287" i="2"/>
  <c r="Q287" i="2"/>
  <c r="Q286" i="2"/>
  <c r="Q285" i="2" l="1"/>
  <c r="Q284" i="2"/>
  <c r="W285" i="2"/>
  <c r="W284" i="2"/>
  <c r="Q289" i="2"/>
  <c r="W289" i="2"/>
  <c r="W288" i="2"/>
  <c r="Q288" i="2"/>
  <c r="AA288" i="2" s="1"/>
  <c r="AB288" i="2" s="1"/>
  <c r="AA286" i="2"/>
  <c r="AB286" i="2" s="1"/>
  <c r="AA287" i="2"/>
  <c r="AB287" i="2" s="1"/>
  <c r="P290" i="2" a="1"/>
  <c r="O291" i="2" a="1"/>
  <c r="P291" i="2" a="1"/>
  <c r="O290" i="2" a="1"/>
  <c r="AA285" i="2" l="1"/>
  <c r="AB285" i="2" s="1"/>
  <c r="AA284" i="2"/>
  <c r="AB284" i="2" s="1"/>
  <c r="AA289" i="2"/>
  <c r="AB289" i="2" s="1"/>
  <c r="W290" i="2"/>
  <c r="W291" i="2"/>
  <c r="Q290" i="2"/>
  <c r="Q291" i="2"/>
  <c r="AA290" i="2" l="1"/>
  <c r="AB290" i="2" s="1"/>
  <c r="AA291" i="2"/>
  <c r="AB291" i="2" s="1"/>
  <c r="P292" i="2" l="1" a="1"/>
  <c r="O293" i="2" a="1"/>
  <c r="O292" i="2" a="1"/>
  <c r="P293" i="2" a="1"/>
  <c r="Q292" i="2" l="1"/>
  <c r="W293" i="2"/>
  <c r="W292" i="2"/>
  <c r="Q293" i="2"/>
  <c r="AA293" i="2" l="1"/>
  <c r="AB293" i="2" s="1"/>
  <c r="AA292" i="2"/>
  <c r="AB292" i="2" s="1"/>
  <c r="P298" i="2" a="1"/>
  <c r="O296" i="2" a="1"/>
  <c r="P297" i="2" a="1"/>
  <c r="P296" i="2" a="1"/>
  <c r="Q296" i="2" s="1"/>
  <c r="O297" i="2" a="1"/>
  <c r="O298" i="2" a="1"/>
  <c r="P299" i="2" a="1"/>
  <c r="O299" i="2" a="1"/>
  <c r="P294" i="2" l="1" a="1"/>
  <c r="O294" i="2" a="1"/>
  <c r="W294" i="2" s="1"/>
  <c r="O295" i="2" a="1"/>
  <c r="P295" i="2" a="1"/>
  <c r="Q295" i="2" s="1"/>
  <c r="Q298" i="2"/>
  <c r="W299" i="2"/>
  <c r="W297" i="2"/>
  <c r="W296" i="2"/>
  <c r="AA296" i="2" s="1"/>
  <c r="AB296" i="2" s="1"/>
  <c r="Q297" i="2"/>
  <c r="W298" i="2"/>
  <c r="Q299" i="2"/>
  <c r="W295" i="2" l="1"/>
  <c r="AA295" i="2" s="1"/>
  <c r="AB295" i="2" s="1"/>
  <c r="Q294" i="2"/>
  <c r="AA294" i="2" s="1"/>
  <c r="AB294" i="2" s="1"/>
  <c r="AA297" i="2"/>
  <c r="AB297" i="2" s="1"/>
  <c r="AA298" i="2"/>
  <c r="AB298" i="2" s="1"/>
  <c r="AA299" i="2"/>
  <c r="AB299" i="2" s="1"/>
  <c r="P302" i="2" a="1"/>
  <c r="P300" i="2" a="1"/>
  <c r="P301" i="2" a="1"/>
  <c r="O300" i="2" a="1"/>
  <c r="O301" i="2" a="1"/>
  <c r="O303" i="2" a="1"/>
  <c r="P303" i="2" a="1"/>
  <c r="O302" i="2" a="1"/>
  <c r="Q301" i="2" l="1"/>
  <c r="Q303" i="2"/>
  <c r="Q302" i="2"/>
  <c r="Q300" i="2"/>
  <c r="W300" i="2"/>
  <c r="W301" i="2"/>
  <c r="AA301" i="2" s="1"/>
  <c r="AB301" i="2" s="1"/>
  <c r="W303" i="2"/>
  <c r="W302" i="2"/>
  <c r="O313" i="2" a="1"/>
  <c r="P312" i="2" a="1"/>
  <c r="O312" i="2" a="1"/>
  <c r="P313" i="2" a="1"/>
  <c r="AA303" i="2" l="1"/>
  <c r="AB303" i="2" s="1"/>
  <c r="O311" i="2" a="1"/>
  <c r="O310" i="2" a="1"/>
  <c r="P310" i="2" a="1"/>
  <c r="P311" i="2" a="1"/>
  <c r="Q311" i="2" s="1"/>
  <c r="O309" i="2" a="1"/>
  <c r="O308" i="2" a="1"/>
  <c r="O306" i="2" a="1"/>
  <c r="P306" i="2" a="1"/>
  <c r="P309" i="2" a="1"/>
  <c r="P304" i="2" a="1"/>
  <c r="O305" i="2" a="1"/>
  <c r="P305" i="2" a="1"/>
  <c r="O304" i="2" a="1"/>
  <c r="O307" i="2" a="1"/>
  <c r="P308" i="2" a="1"/>
  <c r="P307" i="2" a="1"/>
  <c r="AA302" i="2"/>
  <c r="AB302" i="2" s="1"/>
  <c r="AA300" i="2"/>
  <c r="AB300" i="2" s="1"/>
  <c r="Q312" i="2"/>
  <c r="W313" i="2"/>
  <c r="W312" i="2"/>
  <c r="Q313" i="2"/>
  <c r="W310" i="2" l="1"/>
  <c r="Q305" i="2"/>
  <c r="W304" i="2"/>
  <c r="W307" i="2"/>
  <c r="Q310" i="2"/>
  <c r="W309" i="2"/>
  <c r="W308" i="2"/>
  <c r="W306" i="2"/>
  <c r="W311" i="2"/>
  <c r="AA311" i="2" s="1"/>
  <c r="AB311" i="2" s="1"/>
  <c r="Q306" i="2"/>
  <c r="Q309" i="2"/>
  <c r="W305" i="2"/>
  <c r="Q308" i="2"/>
  <c r="Q307" i="2"/>
  <c r="Q304" i="2"/>
  <c r="AA312" i="2"/>
  <c r="AB312" i="2" s="1"/>
  <c r="AA313" i="2"/>
  <c r="AB313" i="2" s="1"/>
  <c r="P314" i="2" a="1"/>
  <c r="O315" i="2" a="1"/>
  <c r="AA310" i="2" l="1"/>
  <c r="AB310" i="2" s="1"/>
  <c r="AA309" i="2"/>
  <c r="AB309" i="2" s="1"/>
  <c r="AA305" i="2"/>
  <c r="AB305" i="2" s="1"/>
  <c r="AA308" i="2"/>
  <c r="AB308" i="2" s="1"/>
  <c r="AA307" i="2"/>
  <c r="AB307" i="2" s="1"/>
  <c r="AA304" i="2"/>
  <c r="AB304" i="2" s="1"/>
  <c r="AA306" i="2"/>
  <c r="AB306" i="2" s="1"/>
  <c r="P315" i="2" l="1" a="1"/>
  <c r="O314" i="2" a="1"/>
  <c r="O317" i="2" a="1"/>
  <c r="P316" i="2" a="1"/>
  <c r="O316" i="2" a="1"/>
  <c r="P317" i="2" a="1"/>
  <c r="W315" i="2" l="1"/>
  <c r="Q315" i="2"/>
  <c r="Q314" i="2"/>
  <c r="W314" i="2"/>
  <c r="AA314" i="2" s="1"/>
  <c r="AB314" i="2" s="1"/>
  <c r="Q317" i="2"/>
  <c r="Q316" i="2"/>
  <c r="W317" i="2"/>
  <c r="W316" i="2"/>
  <c r="AA315" i="2" l="1"/>
  <c r="AB315" i="2" s="1"/>
  <c r="AA316" i="2"/>
  <c r="AB316" i="2" s="1"/>
  <c r="AA317" i="2"/>
  <c r="AB317" i="2" s="1"/>
  <c r="O319" i="2" l="1" a="1"/>
  <c r="P318" i="2" a="1"/>
  <c r="O318" i="2" a="1"/>
  <c r="P319" i="2" a="1"/>
  <c r="Q319" i="2" l="1"/>
  <c r="W319" i="2"/>
  <c r="W318" i="2"/>
  <c r="Q318" i="2"/>
  <c r="AA319" i="2" l="1"/>
  <c r="AB319" i="2" s="1"/>
  <c r="AA318" i="2"/>
  <c r="AB318" i="2" s="1"/>
  <c r="P320" i="2" a="1"/>
  <c r="O325" i="2" a="1"/>
  <c r="O323" i="2" a="1"/>
  <c r="O321" i="2" a="1"/>
  <c r="O324" i="2" a="1"/>
  <c r="O322" i="2" a="1"/>
  <c r="O320" i="2" a="1"/>
  <c r="P322" i="2" a="1"/>
  <c r="P321" i="2" a="1"/>
  <c r="P323" i="2" a="1"/>
  <c r="P325" i="2" a="1"/>
  <c r="P324" i="2" a="1"/>
  <c r="Q325" i="2" l="1"/>
  <c r="Q322" i="2"/>
  <c r="W325" i="2"/>
  <c r="W323" i="2"/>
  <c r="W321" i="2"/>
  <c r="W324" i="2"/>
  <c r="W322" i="2"/>
  <c r="W320" i="2"/>
  <c r="Q320" i="2"/>
  <c r="Q321" i="2"/>
  <c r="Q323" i="2"/>
  <c r="Q324" i="2"/>
  <c r="AA325" i="2" l="1"/>
  <c r="AB325" i="2" s="1"/>
  <c r="AA323" i="2"/>
  <c r="AB323" i="2" s="1"/>
  <c r="AA324" i="2"/>
  <c r="AB324" i="2" s="1"/>
  <c r="AA321" i="2"/>
  <c r="AB321" i="2" s="1"/>
  <c r="AA322" i="2"/>
  <c r="AB322" i="2" s="1"/>
  <c r="AA320" i="2"/>
  <c r="AB320" i="2" s="1"/>
  <c r="O327" i="2" a="1"/>
  <c r="P327" i="2" a="1"/>
  <c r="O326" i="2" a="1"/>
  <c r="P326" i="2" a="1"/>
  <c r="Q327" i="2" l="1"/>
  <c r="W327" i="2"/>
  <c r="W326" i="2"/>
  <c r="Q326" i="2"/>
  <c r="AA327" i="2" l="1"/>
  <c r="AB327" i="2" s="1"/>
  <c r="P335" i="2" a="1"/>
  <c r="O335" i="2" a="1"/>
  <c r="O333" i="2" a="1"/>
  <c r="O331" i="2" a="1"/>
  <c r="P334" i="2" a="1"/>
  <c r="O334" i="2" a="1"/>
  <c r="O332" i="2" a="1"/>
  <c r="O330" i="2" a="1"/>
  <c r="P333" i="2" a="1"/>
  <c r="P330" i="2" a="1"/>
  <c r="P332" i="2" a="1"/>
  <c r="P331" i="2" a="1"/>
  <c r="AA326" i="2"/>
  <c r="AB326" i="2" s="1"/>
  <c r="P329" i="2" l="1" a="1"/>
  <c r="P328" i="2" a="1"/>
  <c r="O329" i="2" a="1"/>
  <c r="O328" i="2" a="1"/>
  <c r="Q332" i="2"/>
  <c r="Q334" i="2"/>
  <c r="W335" i="2"/>
  <c r="W333" i="2"/>
  <c r="W331" i="2"/>
  <c r="W334" i="2"/>
  <c r="W332" i="2"/>
  <c r="W330" i="2"/>
  <c r="Q335" i="2"/>
  <c r="Q333" i="2"/>
  <c r="Q330" i="2"/>
  <c r="Q331" i="2"/>
  <c r="W328" i="2" l="1"/>
  <c r="W329" i="2"/>
  <c r="Q328" i="2"/>
  <c r="Q329" i="2"/>
  <c r="AA332" i="2"/>
  <c r="AB332" i="2" s="1"/>
  <c r="AA334" i="2"/>
  <c r="AB334" i="2" s="1"/>
  <c r="AA333" i="2"/>
  <c r="AB333" i="2" s="1"/>
  <c r="AA335" i="2"/>
  <c r="AB335" i="2" s="1"/>
  <c r="AA331" i="2"/>
  <c r="AB331" i="2" s="1"/>
  <c r="AA330" i="2"/>
  <c r="AB330" i="2" s="1"/>
  <c r="AA328" i="2" l="1"/>
  <c r="AB328" i="2" s="1"/>
  <c r="AA329" i="2"/>
  <c r="AB329" i="2" s="1"/>
  <c r="P337" i="2" a="1"/>
  <c r="P336" i="2" a="1"/>
  <c r="O336" i="2" a="1"/>
  <c r="O337" i="2" a="1"/>
  <c r="W336" i="2" l="1"/>
  <c r="W337" i="2"/>
  <c r="Q337" i="2"/>
  <c r="Q336" i="2"/>
  <c r="AA336" i="2" l="1"/>
  <c r="AB336" i="2" s="1"/>
  <c r="AA337" i="2"/>
  <c r="AB337" i="2" s="1"/>
  <c r="P339" i="2" l="1" a="1"/>
  <c r="P338" i="2" a="1"/>
  <c r="P340" i="2" a="1"/>
  <c r="P343" i="2" a="1"/>
  <c r="P341" i="2" a="1"/>
  <c r="O338" i="2" a="1"/>
  <c r="O340" i="2" a="1"/>
  <c r="O342" i="2" a="1"/>
  <c r="P342" i="2" a="1"/>
  <c r="O339" i="2" a="1"/>
  <c r="O341" i="2" a="1"/>
  <c r="W341" i="2" s="1"/>
  <c r="O343" i="2" a="1"/>
  <c r="Q343" i="2" l="1"/>
  <c r="W340" i="2"/>
  <c r="W338" i="2"/>
  <c r="Q342" i="2"/>
  <c r="W339" i="2"/>
  <c r="Q340" i="2"/>
  <c r="W342" i="2"/>
  <c r="W343" i="2"/>
  <c r="AA343" i="2" s="1"/>
  <c r="AB343" i="2" s="1"/>
  <c r="Q339" i="2"/>
  <c r="Q341" i="2"/>
  <c r="AA341" i="2" s="1"/>
  <c r="AB341" i="2" s="1"/>
  <c r="Q338" i="2"/>
  <c r="AA340" i="2" l="1"/>
  <c r="AB340" i="2" s="1"/>
  <c r="AA342" i="2"/>
  <c r="AB342" i="2" s="1"/>
  <c r="AA339" i="2"/>
  <c r="AB339" i="2" s="1"/>
  <c r="AA338" i="2"/>
  <c r="AB338" i="2" s="1"/>
  <c r="O345" i="2" a="1"/>
  <c r="P345" i="2" a="1"/>
  <c r="Q345" i="2" s="1"/>
  <c r="O344" i="2" a="1"/>
  <c r="W344" i="2" s="1"/>
  <c r="P344" i="2" a="1"/>
  <c r="Q344" i="2" l="1"/>
  <c r="AA344" i="2" s="1"/>
  <c r="AB344" i="2" s="1"/>
  <c r="W345" i="2"/>
  <c r="AA345" i="2" s="1"/>
  <c r="AB345" i="2" s="1"/>
  <c r="O351" i="2" l="1" a="1"/>
  <c r="W351" i="2" s="1"/>
  <c r="O350" i="2" a="1"/>
  <c r="W350" i="2" s="1"/>
  <c r="P351" i="2" a="1"/>
  <c r="O348" i="2" a="1"/>
  <c r="W348" i="2" s="1"/>
  <c r="O347" i="2" a="1"/>
  <c r="P348" i="2" a="1"/>
  <c r="O346" i="2" a="1"/>
  <c r="O349" i="2" a="1"/>
  <c r="P349" i="2" a="1"/>
  <c r="P346" i="2" a="1"/>
  <c r="Q346" i="2" s="1"/>
  <c r="P347" i="2" a="1"/>
  <c r="Q347" i="2" s="1"/>
  <c r="P350" i="2" a="1"/>
  <c r="P354" i="2" a="1"/>
  <c r="O352" i="2" a="1"/>
  <c r="O355" i="2" a="1"/>
  <c r="O353" i="2" a="1"/>
  <c r="P353" i="2" a="1"/>
  <c r="O354" i="2" a="1"/>
  <c r="P352" i="2" a="1"/>
  <c r="P355" i="2" a="1"/>
  <c r="W349" i="2" l="1"/>
  <c r="Q351" i="2"/>
  <c r="AA351" i="2" s="1"/>
  <c r="AB351" i="2" s="1"/>
  <c r="W347" i="2"/>
  <c r="AA347" i="2" s="1"/>
  <c r="AB347" i="2" s="1"/>
  <c r="Q348" i="2"/>
  <c r="AA348" i="2" s="1"/>
  <c r="AB348" i="2" s="1"/>
  <c r="W346" i="2"/>
  <c r="AA346" i="2" s="1"/>
  <c r="AB346" i="2" s="1"/>
  <c r="Q349" i="2"/>
  <c r="Q350" i="2"/>
  <c r="AA350" i="2" s="1"/>
  <c r="AB350" i="2" s="1"/>
  <c r="W353" i="2"/>
  <c r="W354" i="2"/>
  <c r="W352" i="2"/>
  <c r="Q355" i="2"/>
  <c r="Q354" i="2"/>
  <c r="W355" i="2"/>
  <c r="Q353" i="2"/>
  <c r="Q352" i="2"/>
  <c r="AA349" i="2" l="1"/>
  <c r="AB349" i="2" s="1"/>
  <c r="AA354" i="2"/>
  <c r="AB354" i="2" s="1"/>
  <c r="AA353" i="2"/>
  <c r="AB353" i="2" s="1"/>
  <c r="AA355" i="2"/>
  <c r="AB355" i="2" s="1"/>
  <c r="AA352" i="2"/>
  <c r="AB352" i="2" s="1"/>
  <c r="P358" i="2" l="1" a="1"/>
  <c r="P356" i="2" a="1"/>
  <c r="P357" i="2" a="1"/>
  <c r="O359" i="2" a="1"/>
  <c r="W359" i="2" s="1"/>
  <c r="O357" i="2" a="1"/>
  <c r="W357" i="2" s="1"/>
  <c r="P359" i="2" a="1"/>
  <c r="O358" i="2" a="1"/>
  <c r="W358" i="2" s="1"/>
  <c r="O356" i="2" a="1"/>
  <c r="Q356" i="2" l="1"/>
  <c r="Q358" i="2"/>
  <c r="AA358" i="2" s="1"/>
  <c r="AB358" i="2" s="1"/>
  <c r="Q357" i="2"/>
  <c r="AA357" i="2" s="1"/>
  <c r="AB357" i="2" s="1"/>
  <c r="Q359" i="2"/>
  <c r="AA359" i="2" s="1"/>
  <c r="AB359" i="2" s="1"/>
  <c r="W356" i="2"/>
  <c r="O364" i="2" a="1"/>
  <c r="P364" i="2" a="1"/>
  <c r="O365" i="2" a="1"/>
  <c r="P365" i="2" a="1"/>
  <c r="AA356" i="2" l="1"/>
  <c r="AB356" i="2" s="1"/>
  <c r="O363" i="2" a="1"/>
  <c r="O361" i="2" a="1"/>
  <c r="P363" i="2" a="1"/>
  <c r="P361" i="2" a="1"/>
  <c r="P362" i="2" a="1"/>
  <c r="P360" i="2" a="1"/>
  <c r="O362" i="2" a="1"/>
  <c r="O360" i="2" a="1"/>
  <c r="Q365" i="2"/>
  <c r="W364" i="2"/>
  <c r="W365" i="2"/>
  <c r="Q364" i="2"/>
  <c r="Q363" i="2" l="1"/>
  <c r="Q360" i="2"/>
  <c r="Q361" i="2"/>
  <c r="W362" i="2"/>
  <c r="W363" i="2"/>
  <c r="AA363" i="2" s="1"/>
  <c r="AB363" i="2" s="1"/>
  <c r="W361" i="2"/>
  <c r="Q362" i="2"/>
  <c r="W360" i="2"/>
  <c r="AA360" i="2" s="1"/>
  <c r="AB360" i="2" s="1"/>
  <c r="AA364" i="2"/>
  <c r="AB364" i="2" s="1"/>
  <c r="AA365" i="2"/>
  <c r="AB365" i="2" s="1"/>
  <c r="AA361" i="2" l="1"/>
  <c r="AB361" i="2" s="1"/>
  <c r="AA362" i="2"/>
  <c r="AB362" i="2" s="1"/>
  <c r="P366" i="2" a="1"/>
  <c r="O367" i="2" a="1"/>
  <c r="O366" i="2" a="1"/>
  <c r="W366" i="2" s="1"/>
  <c r="P367" i="2" a="1"/>
  <c r="P368" i="2" a="1"/>
  <c r="P369" i="2" a="1"/>
  <c r="O368" i="2" a="1"/>
  <c r="W368" i="2" s="1"/>
  <c r="O369" i="2" a="1"/>
  <c r="W367" i="2" l="1"/>
  <c r="W369" i="2"/>
  <c r="Q366" i="2"/>
  <c r="AA366" i="2" s="1"/>
  <c r="AB366" i="2" s="1"/>
  <c r="Q367" i="2"/>
  <c r="AA367" i="2" s="1"/>
  <c r="AB367" i="2" s="1"/>
  <c r="Q368" i="2"/>
  <c r="AA368" i="2" s="1"/>
  <c r="AB368" i="2" s="1"/>
  <c r="Q369" i="2"/>
  <c r="O373" i="2" a="1"/>
  <c r="O370" i="2" a="1"/>
  <c r="O375" i="2" a="1"/>
  <c r="P375" i="2" a="1"/>
  <c r="P372" i="2" a="1"/>
  <c r="P370" i="2" a="1"/>
  <c r="Q370" i="2" s="1"/>
  <c r="O371" i="2" a="1"/>
  <c r="P371" i="2" a="1"/>
  <c r="O374" i="2" a="1"/>
  <c r="O372" i="2" a="1"/>
  <c r="P373" i="2" a="1"/>
  <c r="Q373" i="2" s="1"/>
  <c r="P374" i="2" a="1"/>
  <c r="Q371" i="2" l="1"/>
  <c r="AA369" i="2"/>
  <c r="AB369" i="2" s="1"/>
  <c r="W375" i="2"/>
  <c r="Q375" i="2"/>
  <c r="Q372" i="2"/>
  <c r="W374" i="2"/>
  <c r="W373" i="2"/>
  <c r="AA373" i="2" s="1"/>
  <c r="AB373" i="2" s="1"/>
  <c r="W371" i="2"/>
  <c r="AA371" i="2" s="1"/>
  <c r="AB371" i="2" s="1"/>
  <c r="W372" i="2"/>
  <c r="Q374" i="2"/>
  <c r="W370" i="2"/>
  <c r="AA370" i="2" s="1"/>
  <c r="AB370" i="2" s="1"/>
  <c r="AA374" i="2" l="1"/>
  <c r="AB374" i="2" s="1"/>
  <c r="AA375" i="2"/>
  <c r="AB375" i="2" s="1"/>
  <c r="AA372" i="2"/>
  <c r="AB372" i="2" s="1"/>
  <c r="O379" i="2" a="1"/>
  <c r="P379" i="2" a="1"/>
  <c r="P383" i="2" a="1"/>
  <c r="O381" i="2" a="1"/>
  <c r="P380" i="2" a="1"/>
  <c r="O378" i="2" a="1"/>
  <c r="P384" i="2" a="1"/>
  <c r="O385" i="2" a="1"/>
  <c r="P378" i="2" a="1"/>
  <c r="O382" i="2" a="1"/>
  <c r="O383" i="2" a="1"/>
  <c r="W383" i="2" s="1"/>
  <c r="P382" i="2" a="1"/>
  <c r="P381" i="2" a="1"/>
  <c r="O380" i="2" a="1"/>
  <c r="O384" i="2" a="1"/>
  <c r="P385" i="2" a="1"/>
  <c r="O376" i="2" l="1" a="1"/>
  <c r="O377" i="2" a="1"/>
  <c r="P377" i="2" a="1"/>
  <c r="Q377" i="2" s="1"/>
  <c r="P376" i="2" a="1"/>
  <c r="Q376" i="2" s="1"/>
  <c r="Q379" i="2"/>
  <c r="W384" i="2"/>
  <c r="W381" i="2"/>
  <c r="Q380" i="2"/>
  <c r="W378" i="2"/>
  <c r="Q382" i="2"/>
  <c r="Q385" i="2"/>
  <c r="W379" i="2"/>
  <c r="Q384" i="2"/>
  <c r="W385" i="2"/>
  <c r="Q378" i="2"/>
  <c r="W382" i="2"/>
  <c r="Q381" i="2"/>
  <c r="W380" i="2"/>
  <c r="Q383" i="2"/>
  <c r="AA383" i="2" s="1"/>
  <c r="AB383" i="2" s="1"/>
  <c r="W376" i="2" l="1"/>
  <c r="AA376" i="2" s="1"/>
  <c r="AB376" i="2" s="1"/>
  <c r="W377" i="2"/>
  <c r="AA377" i="2" s="1"/>
  <c r="AB377" i="2" s="1"/>
  <c r="AA379" i="2"/>
  <c r="AB379" i="2" s="1"/>
  <c r="AA384" i="2"/>
  <c r="AB384" i="2" s="1"/>
  <c r="AA380" i="2"/>
  <c r="AB380" i="2" s="1"/>
  <c r="AA382" i="2"/>
  <c r="AB382" i="2" s="1"/>
  <c r="AA381" i="2"/>
  <c r="AB381" i="2" s="1"/>
  <c r="AA378" i="2"/>
  <c r="AB378" i="2" s="1"/>
  <c r="AA385" i="2"/>
  <c r="AB385" i="2" s="1"/>
  <c r="O388" i="2" a="1"/>
  <c r="P389" i="2" a="1"/>
  <c r="P386" i="2" a="1"/>
  <c r="P387" i="2" a="1"/>
  <c r="O386" i="2" a="1"/>
  <c r="O387" i="2" a="1"/>
  <c r="P388" i="2" l="1" a="1"/>
  <c r="O389" i="2" a="1"/>
  <c r="Q386" i="2"/>
  <c r="Q387" i="2"/>
  <c r="W386" i="2"/>
  <c r="AA386" i="2" s="1"/>
  <c r="AB386" i="2" s="1"/>
  <c r="W387" i="2"/>
  <c r="P390" i="2" a="1"/>
  <c r="O391" i="2" a="1"/>
  <c r="W388" i="2" l="1"/>
  <c r="AA388" i="2" s="1"/>
  <c r="AB388" i="2" s="1"/>
  <c r="Q388" i="2"/>
  <c r="W389" i="2"/>
  <c r="Q389" i="2"/>
  <c r="AA387" i="2"/>
  <c r="AB387" i="2" s="1"/>
  <c r="P391" i="2" a="1"/>
  <c r="O390" i="2" a="1"/>
  <c r="AA389" i="2" l="1"/>
  <c r="AB389" i="2" s="1"/>
  <c r="Q391" i="2"/>
  <c r="W391" i="2"/>
  <c r="Q390" i="2"/>
  <c r="W390" i="2"/>
  <c r="AA390" i="2" l="1"/>
  <c r="AB390" i="2" s="1"/>
  <c r="AA391" i="2"/>
  <c r="AB391" i="2" s="1"/>
  <c r="P393" i="2" l="1" a="1"/>
  <c r="O393" i="2" a="1"/>
  <c r="O392" i="2" a="1"/>
  <c r="W392" i="2" s="1"/>
  <c r="P392" i="2" a="1"/>
  <c r="O395" i="2" a="1"/>
  <c r="P397" i="2" a="1"/>
  <c r="O397" i="2" a="1"/>
  <c r="P396" i="2" a="1"/>
  <c r="O394" i="2" a="1"/>
  <c r="O396" i="2" a="1"/>
  <c r="P395" i="2" a="1"/>
  <c r="P394" i="2" a="1"/>
  <c r="W393" i="2" l="1"/>
  <c r="Q393" i="2"/>
  <c r="Q392" i="2"/>
  <c r="AA392" i="2" s="1"/>
  <c r="AB392" i="2" s="1"/>
  <c r="Q395" i="2"/>
  <c r="W395" i="2"/>
  <c r="W397" i="2"/>
  <c r="W394" i="2"/>
  <c r="W396" i="2"/>
  <c r="Q397" i="2"/>
  <c r="Q396" i="2"/>
  <c r="Q394" i="2"/>
  <c r="AA393" i="2" l="1"/>
  <c r="AB393" i="2" s="1"/>
  <c r="AA396" i="2"/>
  <c r="AB396" i="2" s="1"/>
  <c r="AA395" i="2"/>
  <c r="AB395" i="2" s="1"/>
  <c r="AA397" i="2"/>
  <c r="AB397" i="2" s="1"/>
  <c r="AA394" i="2"/>
  <c r="AB394" i="2" s="1"/>
  <c r="P399" i="2" l="1" a="1"/>
  <c r="O398" i="2" a="1"/>
  <c r="P398" i="2" a="1"/>
  <c r="O399" i="2" a="1"/>
  <c r="W398" i="2" l="1"/>
  <c r="W399" i="2"/>
  <c r="Q399" i="2"/>
  <c r="Q398" i="2"/>
  <c r="AA398" i="2" l="1"/>
  <c r="AB398" i="2" s="1"/>
  <c r="AA399" i="2"/>
  <c r="AB399" i="2" s="1"/>
  <c r="O401" i="2" l="1" a="1"/>
  <c r="P400" i="2" a="1"/>
  <c r="O400" i="2" a="1"/>
  <c r="P401" i="2" a="1"/>
  <c r="Q400" i="2" l="1"/>
  <c r="W401" i="2"/>
  <c r="W400" i="2"/>
  <c r="Q401" i="2"/>
  <c r="AA400" i="2" l="1"/>
  <c r="AB400" i="2" s="1"/>
  <c r="AA401" i="2"/>
  <c r="AB401" i="2" s="1"/>
  <c r="P409" i="2" a="1"/>
  <c r="P411" i="2" a="1"/>
  <c r="P408" i="2" a="1"/>
  <c r="O408" i="2" a="1"/>
  <c r="O410" i="2" a="1"/>
  <c r="P410" i="2" a="1"/>
  <c r="O409" i="2" a="1"/>
  <c r="O411" i="2" a="1"/>
  <c r="O402" i="2" l="1" a="1"/>
  <c r="P403" i="2" a="1"/>
  <c r="Q403" i="2" s="1"/>
  <c r="O403" i="2" a="1"/>
  <c r="P402" i="2" a="1"/>
  <c r="Q402" i="2" s="1"/>
  <c r="P404" i="2" a="1"/>
  <c r="O404" i="2" a="1"/>
  <c r="W404" i="2" s="1"/>
  <c r="O405" i="2" a="1"/>
  <c r="P405" i="2" a="1"/>
  <c r="Q410" i="2"/>
  <c r="W408" i="2"/>
  <c r="W410" i="2"/>
  <c r="W409" i="2"/>
  <c r="W411" i="2"/>
  <c r="Q411" i="2"/>
  <c r="Q408" i="2"/>
  <c r="Q409" i="2"/>
  <c r="O406" i="2" a="1"/>
  <c r="O407" i="2" a="1"/>
  <c r="P407" i="2" a="1"/>
  <c r="P406" i="2" a="1"/>
  <c r="Q404" i="2" l="1"/>
  <c r="AA404" i="2" s="1"/>
  <c r="AB404" i="2" s="1"/>
  <c r="Q405" i="2"/>
  <c r="W402" i="2"/>
  <c r="AA402" i="2" s="1"/>
  <c r="AB402" i="2" s="1"/>
  <c r="W403" i="2"/>
  <c r="AA403" i="2" s="1"/>
  <c r="AB403" i="2" s="1"/>
  <c r="W405" i="2"/>
  <c r="AA408" i="2"/>
  <c r="AB408" i="2" s="1"/>
  <c r="AA410" i="2"/>
  <c r="AB410" i="2" s="1"/>
  <c r="AA411" i="2"/>
  <c r="AB411" i="2" s="1"/>
  <c r="AA409" i="2"/>
  <c r="AB409" i="2" s="1"/>
  <c r="Q406" i="2"/>
  <c r="Q407" i="2"/>
  <c r="W406" i="2"/>
  <c r="W407" i="2"/>
  <c r="AA405" i="2" l="1"/>
  <c r="AB405" i="2" s="1"/>
  <c r="P413" i="2" a="1"/>
  <c r="Q413" i="2" s="1"/>
  <c r="O412" i="2" a="1"/>
  <c r="P412" i="2" a="1"/>
  <c r="Q412" i="2" s="1"/>
  <c r="O413" i="2" a="1"/>
  <c r="AA406" i="2"/>
  <c r="AB406" i="2" s="1"/>
  <c r="AA407" i="2"/>
  <c r="AB407" i="2" s="1"/>
  <c r="W413" i="2" l="1"/>
  <c r="AA413" i="2" s="1"/>
  <c r="AB413" i="2" s="1"/>
  <c r="W412" i="2"/>
  <c r="AA412" i="2" s="1"/>
  <c r="AB412" i="2" s="1"/>
  <c r="O415" i="2" a="1"/>
  <c r="P414" i="2" a="1"/>
  <c r="O418" i="2" a="1"/>
  <c r="P419" i="2" a="1"/>
  <c r="O425" i="2" a="1"/>
  <c r="P425" i="2" a="1"/>
  <c r="O424" i="2" a="1"/>
  <c r="P424" i="2" a="1"/>
  <c r="O423" i="2" l="1" a="1"/>
  <c r="P422" i="2" a="1"/>
  <c r="O419" i="2" a="1"/>
  <c r="P420" i="2" a="1"/>
  <c r="P421" i="2" a="1"/>
  <c r="O422" i="2" a="1"/>
  <c r="W422" i="2" s="1"/>
  <c r="P415" i="2" a="1"/>
  <c r="O417" i="2" a="1"/>
  <c r="O421" i="2" a="1"/>
  <c r="O416" i="2" a="1"/>
  <c r="O414" i="2" a="1"/>
  <c r="P416" i="2" a="1"/>
  <c r="Q416" i="2" s="1"/>
  <c r="P423" i="2" a="1"/>
  <c r="P418" i="2" a="1"/>
  <c r="P417" i="2" a="1"/>
  <c r="O420" i="2" a="1"/>
  <c r="W425" i="2"/>
  <c r="W424" i="2"/>
  <c r="Q425" i="2"/>
  <c r="Q424" i="2"/>
  <c r="W417" i="2" l="1"/>
  <c r="W420" i="2"/>
  <c r="W421" i="2"/>
  <c r="Q417" i="2"/>
  <c r="AA417" i="2" s="1"/>
  <c r="AB417" i="2" s="1"/>
  <c r="W423" i="2"/>
  <c r="Q420" i="2"/>
  <c r="W416" i="2"/>
  <c r="AA416" i="2" s="1"/>
  <c r="AB416" i="2" s="1"/>
  <c r="Q423" i="2"/>
  <c r="AA423" i="2" s="1"/>
  <c r="AB423" i="2" s="1"/>
  <c r="Q422" i="2"/>
  <c r="AA422" i="2" s="1"/>
  <c r="AB422" i="2" s="1"/>
  <c r="Q421" i="2"/>
  <c r="W419" i="2"/>
  <c r="Q419" i="2"/>
  <c r="W415" i="2"/>
  <c r="Q415" i="2"/>
  <c r="Q414" i="2"/>
  <c r="W414" i="2"/>
  <c r="AA414" i="2" s="1"/>
  <c r="AB414" i="2" s="1"/>
  <c r="Q418" i="2"/>
  <c r="W418" i="2"/>
  <c r="AA418" i="2" s="1"/>
  <c r="AB418" i="2" s="1"/>
  <c r="AA425" i="2"/>
  <c r="AB425" i="2" s="1"/>
  <c r="AA424" i="2"/>
  <c r="AB424" i="2" s="1"/>
  <c r="AA420" i="2" l="1"/>
  <c r="AB420" i="2" s="1"/>
  <c r="P435" i="2" s="1" a="1"/>
  <c r="AA421" i="2"/>
  <c r="AB421" i="2" s="1"/>
  <c r="AA419" i="2"/>
  <c r="AB419" i="2" s="1"/>
  <c r="AA415" i="2"/>
  <c r="AB415" i="2" s="1"/>
  <c r="P428" i="2" a="1"/>
  <c r="O429" i="2" a="1"/>
  <c r="W429" i="2" s="1"/>
  <c r="P429" i="2" a="1"/>
  <c r="O426" i="2" a="1"/>
  <c r="O428" i="2" a="1"/>
  <c r="W428" i="2" s="1"/>
  <c r="O427" i="2" a="1"/>
  <c r="P427" i="2" a="1"/>
  <c r="P426" i="2" a="1"/>
  <c r="P434" i="2" a="1"/>
  <c r="P431" i="2" a="1"/>
  <c r="P433" i="2" a="1"/>
  <c r="P430" i="2" a="1"/>
  <c r="O430" i="2" a="1"/>
  <c r="O432" i="2" a="1"/>
  <c r="O434" i="2" a="1"/>
  <c r="P432" i="2" a="1"/>
  <c r="O431" i="2" a="1"/>
  <c r="O433" i="2" a="1"/>
  <c r="O435" i="2" a="1"/>
  <c r="W426" i="2" l="1"/>
  <c r="Q427" i="2"/>
  <c r="Q428" i="2"/>
  <c r="AA428" i="2" s="1"/>
  <c r="AB428" i="2" s="1"/>
  <c r="Q429" i="2"/>
  <c r="AA429" i="2" s="1"/>
  <c r="AB429" i="2" s="1"/>
  <c r="W427" i="2"/>
  <c r="Q426" i="2"/>
  <c r="Q430" i="2"/>
  <c r="Q432" i="2"/>
  <c r="W430" i="2"/>
  <c r="W432" i="2"/>
  <c r="W434" i="2"/>
  <c r="W431" i="2"/>
  <c r="W433" i="2"/>
  <c r="W435" i="2"/>
  <c r="Q434" i="2"/>
  <c r="Q435" i="2"/>
  <c r="Q431" i="2"/>
  <c r="Q433" i="2"/>
  <c r="AA427" i="2" l="1"/>
  <c r="AB427" i="2" s="1"/>
  <c r="AA426" i="2"/>
  <c r="AB426" i="2" s="1"/>
  <c r="AA430" i="2"/>
  <c r="AB430" i="2" s="1"/>
  <c r="AA432" i="2"/>
  <c r="AB432" i="2" s="1"/>
  <c r="AA433" i="2"/>
  <c r="AB433" i="2" s="1"/>
  <c r="AA435" i="2"/>
  <c r="AB435" i="2" s="1"/>
  <c r="AA434" i="2"/>
  <c r="AB434" i="2" s="1"/>
  <c r="AA431" i="2"/>
  <c r="AB431" i="2" s="1"/>
  <c r="P436" i="2" a="1"/>
  <c r="O441" i="2" a="1"/>
  <c r="O439" i="2" a="1"/>
  <c r="O437" i="2" a="1"/>
  <c r="P439" i="2" a="1"/>
  <c r="O440" i="2" a="1"/>
  <c r="O438" i="2" a="1"/>
  <c r="O436" i="2" a="1"/>
  <c r="P437" i="2" a="1"/>
  <c r="P441" i="2" a="1"/>
  <c r="P438" i="2" a="1"/>
  <c r="P440" i="2" a="1"/>
  <c r="Q439" i="2" l="1"/>
  <c r="Q437" i="2"/>
  <c r="Q438" i="2"/>
  <c r="Q436" i="2"/>
  <c r="W441" i="2"/>
  <c r="W439" i="2"/>
  <c r="AA439" i="2" s="1"/>
  <c r="AB439" i="2" s="1"/>
  <c r="W437" i="2"/>
  <c r="W440" i="2"/>
  <c r="W438" i="2"/>
  <c r="W436" i="2"/>
  <c r="Q441" i="2"/>
  <c r="Q440" i="2"/>
  <c r="AA438" i="2" l="1"/>
  <c r="AB438" i="2" s="1"/>
  <c r="AA437" i="2"/>
  <c r="AB437" i="2" s="1"/>
  <c r="AA436" i="2"/>
  <c r="AB436" i="2" s="1"/>
  <c r="O447" i="2" a="1"/>
  <c r="O445" i="2" a="1"/>
  <c r="P447" i="2" a="1"/>
  <c r="O446" i="2" a="1"/>
  <c r="O444" i="2" a="1"/>
  <c r="P444" i="2" a="1"/>
  <c r="P446" i="2" a="1"/>
  <c r="P445" i="2" a="1"/>
  <c r="Q445" i="2" s="1"/>
  <c r="AA441" i="2"/>
  <c r="AB441" i="2" s="1"/>
  <c r="AA440" i="2"/>
  <c r="AB440" i="2" s="1"/>
  <c r="P443" i="2" l="1" a="1"/>
  <c r="O442" i="2" a="1"/>
  <c r="O443" i="2" a="1"/>
  <c r="P442" i="2" a="1"/>
  <c r="Q447" i="2"/>
  <c r="W447" i="2"/>
  <c r="W445" i="2"/>
  <c r="AA445" i="2" s="1"/>
  <c r="AB445" i="2" s="1"/>
  <c r="W446" i="2"/>
  <c r="W444" i="2"/>
  <c r="Q444" i="2"/>
  <c r="Q446" i="2"/>
  <c r="Q442" i="2" l="1"/>
  <c r="W443" i="2"/>
  <c r="Q443" i="2"/>
  <c r="AA443" i="2" s="1"/>
  <c r="AB443" i="2" s="1"/>
  <c r="W442" i="2"/>
  <c r="AA442" i="2" s="1"/>
  <c r="AB442" i="2" s="1"/>
  <c r="AA447" i="2"/>
  <c r="AB447" i="2" s="1"/>
  <c r="AA446" i="2"/>
  <c r="AB446" i="2" s="1"/>
  <c r="AA444" i="2"/>
  <c r="AB444" i="2" s="1"/>
  <c r="P450" i="2" a="1"/>
  <c r="O453" i="2" a="1"/>
  <c r="O451" i="2" a="1"/>
  <c r="O452" i="2" a="1"/>
  <c r="O450" i="2" a="1"/>
  <c r="P452" i="2" a="1"/>
  <c r="P453" i="2" a="1"/>
  <c r="P451" i="2" a="1"/>
  <c r="Q451" i="2" s="1"/>
  <c r="P448" i="2" l="1" a="1"/>
  <c r="O448" i="2" a="1"/>
  <c r="P449" i="2" a="1"/>
  <c r="O449" i="2" a="1"/>
  <c r="W449" i="2" s="1"/>
  <c r="Q452" i="2"/>
  <c r="W453" i="2"/>
  <c r="W451" i="2"/>
  <c r="AA451" i="2" s="1"/>
  <c r="AB451" i="2" s="1"/>
  <c r="W452" i="2"/>
  <c r="W450" i="2"/>
  <c r="Q450" i="2"/>
  <c r="Q453" i="2"/>
  <c r="Q448" i="2" l="1"/>
  <c r="Q449" i="2"/>
  <c r="AA449" i="2" s="1"/>
  <c r="AB449" i="2" s="1"/>
  <c r="W448" i="2"/>
  <c r="AA453" i="2"/>
  <c r="AB453" i="2" s="1"/>
  <c r="AA452" i="2"/>
  <c r="AB452" i="2" s="1"/>
  <c r="P465" i="2" a="1"/>
  <c r="P458" i="2" a="1"/>
  <c r="O465" i="2" a="1"/>
  <c r="O457" i="2" a="1"/>
  <c r="P461" i="2" a="1"/>
  <c r="O463" i="2" a="1"/>
  <c r="O456" i="2" a="1"/>
  <c r="O462" i="2" a="1"/>
  <c r="P463" i="2" a="1"/>
  <c r="O460" i="2" a="1"/>
  <c r="P460" i="2" a="1"/>
  <c r="O461" i="2" a="1"/>
  <c r="P462" i="2" a="1"/>
  <c r="P457" i="2" a="1"/>
  <c r="O464" i="2" a="1"/>
  <c r="O459" i="2" a="1"/>
  <c r="P464" i="2" a="1"/>
  <c r="Q464" i="2" s="1"/>
  <c r="P456" i="2" a="1"/>
  <c r="AA450" i="2"/>
  <c r="AB450" i="2" s="1"/>
  <c r="AA448" i="2" l="1"/>
  <c r="AB448" i="2" s="1"/>
  <c r="P454" i="2" a="1"/>
  <c r="O455" i="2" a="1"/>
  <c r="O454" i="2" a="1"/>
  <c r="W454" i="2" s="1"/>
  <c r="P455" i="2" a="1"/>
  <c r="Q461" i="2"/>
  <c r="Q460" i="2"/>
  <c r="Q457" i="2"/>
  <c r="Q465" i="2"/>
  <c r="Q456" i="2"/>
  <c r="W465" i="2"/>
  <c r="W457" i="2"/>
  <c r="W463" i="2"/>
  <c r="W456" i="2"/>
  <c r="W462" i="2"/>
  <c r="W460" i="2"/>
  <c r="W461" i="2"/>
  <c r="W464" i="2"/>
  <c r="AA464" i="2" s="1"/>
  <c r="AB464" i="2" s="1"/>
  <c r="Q463" i="2"/>
  <c r="Q462" i="2"/>
  <c r="P459" i="2" l="1" a="1"/>
  <c r="O458" i="2" a="1"/>
  <c r="Q455" i="2"/>
  <c r="Q454" i="2"/>
  <c r="AA454" i="2" s="1"/>
  <c r="AB454" i="2" s="1"/>
  <c r="AA465" i="2"/>
  <c r="AB465" i="2" s="1"/>
  <c r="W455" i="2"/>
  <c r="AA457" i="2"/>
  <c r="AB457" i="2" s="1"/>
  <c r="AA456" i="2"/>
  <c r="AB456" i="2" s="1"/>
  <c r="AA460" i="2"/>
  <c r="AB460" i="2" s="1"/>
  <c r="AA461" i="2"/>
  <c r="AB461" i="2" s="1"/>
  <c r="AA463" i="2"/>
  <c r="AB463" i="2" s="1"/>
  <c r="AA462" i="2"/>
  <c r="AB462" i="2" s="1"/>
  <c r="W459" i="2" l="1"/>
  <c r="Q459" i="2"/>
  <c r="W458" i="2"/>
  <c r="Q458" i="2"/>
  <c r="AA455" i="2"/>
  <c r="AB455" i="2" s="1"/>
  <c r="O467" i="2" a="1"/>
  <c r="P467" i="2" a="1"/>
  <c r="Q467" i="2" s="1"/>
  <c r="P466" i="2" a="1"/>
  <c r="Q466" i="2" s="1"/>
  <c r="O466" i="2" a="1"/>
  <c r="O469" i="2" a="1"/>
  <c r="P471" i="2" a="1"/>
  <c r="P468" i="2" a="1"/>
  <c r="O468" i="2" a="1"/>
  <c r="P470" i="2" a="1"/>
  <c r="O470" i="2" a="1"/>
  <c r="P469" i="2" a="1"/>
  <c r="O471" i="2" a="1"/>
  <c r="AA458" i="2" l="1"/>
  <c r="AB458" i="2" s="1"/>
  <c r="AA459" i="2"/>
  <c r="AB459" i="2" s="1"/>
  <c r="W467" i="2"/>
  <c r="AA467" i="2" s="1"/>
  <c r="AB467" i="2" s="1"/>
  <c r="W466" i="2"/>
  <c r="AA466" i="2" s="1"/>
  <c r="AB466" i="2" s="1"/>
  <c r="Q468" i="2"/>
  <c r="Q470" i="2"/>
  <c r="Q469" i="2"/>
  <c r="Q471" i="2"/>
  <c r="W469" i="2"/>
  <c r="W468" i="2"/>
  <c r="W470" i="2"/>
  <c r="W471" i="2"/>
  <c r="AA469" i="2" l="1"/>
  <c r="AB469" i="2" s="1"/>
  <c r="AA470" i="2"/>
  <c r="AB470" i="2" s="1"/>
  <c r="AA468" i="2"/>
  <c r="AB468" i="2" s="1"/>
  <c r="AA471" i="2"/>
  <c r="AB471" i="2" s="1"/>
  <c r="P472" i="2" a="1"/>
  <c r="P476" i="2" a="1"/>
  <c r="O475" i="2" a="1"/>
  <c r="P474" i="2" a="1"/>
  <c r="O472" i="2" a="1"/>
  <c r="P477" i="2" a="1"/>
  <c r="O476" i="2" a="1"/>
  <c r="P475" i="2" a="1"/>
  <c r="O474" i="2" a="1"/>
  <c r="P473" i="2" a="1"/>
  <c r="O473" i="2" a="1"/>
  <c r="O477" i="2" a="1"/>
  <c r="W475" i="2" l="1"/>
  <c r="W472" i="2"/>
  <c r="W476" i="2"/>
  <c r="W474" i="2"/>
  <c r="W473" i="2"/>
  <c r="W477" i="2"/>
  <c r="Q472" i="2"/>
  <c r="Q477" i="2"/>
  <c r="Q476" i="2"/>
  <c r="Q474" i="2"/>
  <c r="Q475" i="2"/>
  <c r="Q473" i="2"/>
  <c r="AA476" i="2" l="1"/>
  <c r="AB476" i="2" s="1"/>
  <c r="AA473" i="2"/>
  <c r="AB473" i="2" s="1"/>
  <c r="AA475" i="2"/>
  <c r="AB475" i="2" s="1"/>
  <c r="AA472" i="2"/>
  <c r="AB472" i="2" s="1"/>
  <c r="AA477" i="2"/>
  <c r="AB477" i="2" s="1"/>
  <c r="AA474" i="2"/>
  <c r="AB474" i="2" s="1"/>
  <c r="P480" i="2" l="1" a="1"/>
  <c r="P483" i="2" a="1"/>
  <c r="Q483" i="2" s="1"/>
  <c r="O479" i="2" a="1"/>
  <c r="P481" i="2" a="1"/>
  <c r="O482" i="2" a="1"/>
  <c r="P482" i="2" a="1"/>
  <c r="O480" i="2" a="1"/>
  <c r="O483" i="2" a="1"/>
  <c r="O481" i="2" a="1"/>
  <c r="W481" i="2" s="1"/>
  <c r="P479" i="2" a="1"/>
  <c r="O478" i="2" a="1"/>
  <c r="P478" i="2" a="1"/>
  <c r="O485" i="2" a="1"/>
  <c r="P486" i="2" a="1"/>
  <c r="O484" i="2" a="1"/>
  <c r="P484" i="2" a="1"/>
  <c r="P485" i="2" a="1"/>
  <c r="O487" i="2" a="1"/>
  <c r="O486" i="2" a="1"/>
  <c r="P487" i="2" a="1"/>
  <c r="W479" i="2" l="1"/>
  <c r="W482" i="2"/>
  <c r="W480" i="2"/>
  <c r="W478" i="2"/>
  <c r="Q480" i="2"/>
  <c r="Q481" i="2"/>
  <c r="AA481" i="2" s="1"/>
  <c r="AB481" i="2" s="1"/>
  <c r="Q482" i="2"/>
  <c r="AA482" i="2" s="1"/>
  <c r="AB482" i="2" s="1"/>
  <c r="W483" i="2"/>
  <c r="AA483" i="2" s="1"/>
  <c r="AB483" i="2" s="1"/>
  <c r="Q479" i="2"/>
  <c r="AA479" i="2" s="1"/>
  <c r="AB479" i="2" s="1"/>
  <c r="Q478" i="2"/>
  <c r="Q486" i="2"/>
  <c r="Q487" i="2"/>
  <c r="Q485" i="2"/>
  <c r="Q484" i="2"/>
  <c r="W485" i="2"/>
  <c r="W484" i="2"/>
  <c r="W487" i="2"/>
  <c r="AA487" i="2" s="1"/>
  <c r="AB487" i="2" s="1"/>
  <c r="W486" i="2"/>
  <c r="AA486" i="2" s="1"/>
  <c r="AB486" i="2" s="1"/>
  <c r="AA480" i="2" l="1"/>
  <c r="AB480" i="2" s="1"/>
  <c r="AA478" i="2"/>
  <c r="AB478" i="2" s="1"/>
  <c r="P491" i="2" a="1"/>
  <c r="O488" i="2" a="1"/>
  <c r="O491" i="2" a="1"/>
  <c r="P489" i="2" a="1"/>
  <c r="Q489" i="2" s="1"/>
  <c r="O490" i="2" a="1"/>
  <c r="P490" i="2" a="1"/>
  <c r="Q490" i="2" s="1"/>
  <c r="P488" i="2" a="1"/>
  <c r="O489" i="2" a="1"/>
  <c r="AA485" i="2"/>
  <c r="AB485" i="2" s="1"/>
  <c r="AA484" i="2"/>
  <c r="AB484" i="2" s="1"/>
  <c r="P494" i="2" a="1"/>
  <c r="O493" i="2" a="1"/>
  <c r="P495" i="2" a="1"/>
  <c r="O494" i="2" a="1"/>
  <c r="P492" i="2" a="1"/>
  <c r="O495" i="2" a="1"/>
  <c r="P493" i="2" a="1"/>
  <c r="O492" i="2" a="1"/>
  <c r="W491" i="2" l="1"/>
  <c r="Q491" i="2"/>
  <c r="AA491" i="2" s="1"/>
  <c r="AB491" i="2" s="1"/>
  <c r="Q488" i="2"/>
  <c r="W488" i="2"/>
  <c r="AA488" i="2" s="1"/>
  <c r="AB488" i="2" s="1"/>
  <c r="W490" i="2"/>
  <c r="AA490" i="2" s="1"/>
  <c r="AB490" i="2" s="1"/>
  <c r="W489" i="2"/>
  <c r="AA489" i="2" s="1"/>
  <c r="AB489" i="2" s="1"/>
  <c r="Q495" i="2"/>
  <c r="Q492" i="2"/>
  <c r="Q493" i="2"/>
  <c r="W493" i="2"/>
  <c r="W494" i="2"/>
  <c r="W495" i="2"/>
  <c r="W492" i="2"/>
  <c r="Q494" i="2"/>
  <c r="AA495" i="2" l="1"/>
  <c r="AB495" i="2" s="1"/>
  <c r="AA492" i="2"/>
  <c r="AB492" i="2" s="1"/>
  <c r="AA493" i="2"/>
  <c r="AB493" i="2" s="1"/>
  <c r="P498" i="2" a="1"/>
  <c r="P499" i="2" a="1"/>
  <c r="O498" i="2" a="1"/>
  <c r="O499" i="2" a="1"/>
  <c r="AA494" i="2"/>
  <c r="AB494" i="2" s="1"/>
  <c r="P497" i="2" l="1" a="1"/>
  <c r="O497" i="2" a="1"/>
  <c r="O496" i="2" a="1"/>
  <c r="P496" i="2" a="1"/>
  <c r="Q499" i="2"/>
  <c r="Q498" i="2"/>
  <c r="W498" i="2"/>
  <c r="W499" i="2"/>
  <c r="Q496" i="2" l="1"/>
  <c r="W497" i="2"/>
  <c r="W496" i="2"/>
  <c r="AA496" i="2" s="1"/>
  <c r="AB496" i="2" s="1"/>
  <c r="Q497" i="2"/>
  <c r="AA499" i="2"/>
  <c r="AB499" i="2" s="1"/>
  <c r="AA498" i="2"/>
  <c r="AB498" i="2" s="1"/>
  <c r="AA497" i="2" l="1"/>
  <c r="AB497" i="2" s="1"/>
  <c r="P509" i="2" a="1"/>
  <c r="O502" i="2" a="1"/>
  <c r="O501" i="2" a="1"/>
  <c r="W501" i="2" s="1"/>
  <c r="P502" i="2" a="1"/>
  <c r="P505" i="2" a="1"/>
  <c r="O511" i="2" a="1"/>
  <c r="O505" i="2" a="1"/>
  <c r="O508" i="2" a="1"/>
  <c r="O500" i="2" a="1"/>
  <c r="P503" i="2" a="1"/>
  <c r="Q503" i="2" s="1"/>
  <c r="O503" i="2" a="1"/>
  <c r="O504" i="2" a="1"/>
  <c r="P510" i="2" a="1"/>
  <c r="Q510" i="2" s="1"/>
  <c r="O509" i="2" a="1"/>
  <c r="W509" i="2" s="1"/>
  <c r="P507" i="2" a="1"/>
  <c r="O513" i="2" a="1"/>
  <c r="O507" i="2" a="1"/>
  <c r="W507" i="2" s="1"/>
  <c r="P511" i="2" a="1"/>
  <c r="P504" i="2" a="1"/>
  <c r="O510" i="2" a="1"/>
  <c r="P512" i="2" a="1"/>
  <c r="P506" i="2" a="1"/>
  <c r="P501" i="2" a="1"/>
  <c r="P508" i="2" a="1"/>
  <c r="P500" i="2" a="1"/>
  <c r="O506" i="2" a="1"/>
  <c r="P513" i="2" a="1"/>
  <c r="Q513" i="2" s="1"/>
  <c r="O512" i="2" a="1"/>
  <c r="Q508" i="2" l="1"/>
  <c r="Q500" i="2"/>
  <c r="Q502" i="2"/>
  <c r="W511" i="2"/>
  <c r="W505" i="2"/>
  <c r="W504" i="2"/>
  <c r="W510" i="2"/>
  <c r="AA510" i="2" s="1"/>
  <c r="AB510" i="2" s="1"/>
  <c r="Q512" i="2"/>
  <c r="Q506" i="2"/>
  <c r="Q509" i="2"/>
  <c r="AA509" i="2" s="1"/>
  <c r="AB509" i="2" s="1"/>
  <c r="W502" i="2"/>
  <c r="AA502" i="2" s="1"/>
  <c r="AB502" i="2" s="1"/>
  <c r="Q505" i="2"/>
  <c r="W508" i="2"/>
  <c r="AA508" i="2" s="1"/>
  <c r="AB508" i="2" s="1"/>
  <c r="G38" i="3" s="1" a="1"/>
  <c r="W500" i="2"/>
  <c r="AA500" i="2" s="1"/>
  <c r="AB500" i="2" s="1"/>
  <c r="G32" i="3" s="1" a="1"/>
  <c r="Q507" i="2"/>
  <c r="AA507" i="2" s="1"/>
  <c r="AB507" i="2" s="1"/>
  <c r="W503" i="2"/>
  <c r="AA503" i="2" s="1"/>
  <c r="AB503" i="2" s="1"/>
  <c r="W513" i="2"/>
  <c r="AA513" i="2" s="1"/>
  <c r="AB513" i="2" s="1"/>
  <c r="Q511" i="2"/>
  <c r="Q504" i="2"/>
  <c r="Q501" i="2"/>
  <c r="AA501" i="2" s="1"/>
  <c r="AB501" i="2" s="1"/>
  <c r="G27" i="3" s="1" a="1"/>
  <c r="W506" i="2"/>
  <c r="AA506" i="2" s="1"/>
  <c r="AB506" i="2" s="1"/>
  <c r="W512" i="2"/>
  <c r="AA512" i="2" s="1"/>
  <c r="AB512" i="2" s="1"/>
  <c r="P515" i="2" a="1"/>
  <c r="O514" i="2" a="1"/>
  <c r="G29" i="3" l="1" a="1"/>
  <c r="AA505" i="2"/>
  <c r="AB505" i="2" s="1"/>
  <c r="AA511" i="2"/>
  <c r="AB511" i="2" s="1"/>
  <c r="G36" i="3" s="1" a="1"/>
  <c r="AA504" i="2"/>
  <c r="AB504" i="2" s="1"/>
  <c r="O515" i="2" a="1"/>
  <c r="P514" i="2" a="1"/>
  <c r="W515" i="2" l="1"/>
  <c r="Q515" i="2"/>
  <c r="W514" i="2"/>
  <c r="AA514" i="2" s="1"/>
  <c r="AB514" i="2" s="1"/>
  <c r="Q514" i="2"/>
  <c r="AA515" i="2" l="1"/>
  <c r="AB515" i="2" s="1"/>
  <c r="O517" i="2" l="1" a="1"/>
  <c r="W517" i="2" s="1"/>
  <c r="O516" i="2" a="1"/>
  <c r="P516" i="2" a="1"/>
  <c r="P517" i="2" a="1"/>
  <c r="P519" i="2" a="1"/>
  <c r="O519" i="2" a="1"/>
  <c r="O518" i="2" a="1"/>
  <c r="W518" i="2" s="1"/>
  <c r="P518" i="2" a="1"/>
  <c r="G35" i="3" a="1"/>
  <c r="AX6" i="3" a="1"/>
  <c r="W516" i="2" l="1"/>
  <c r="W519" i="2"/>
  <c r="Q518" i="2"/>
  <c r="AA518" i="2" s="1"/>
  <c r="AB518" i="2" s="1"/>
  <c r="Q516" i="2"/>
  <c r="AA516" i="2" s="1"/>
  <c r="AB516" i="2" s="1"/>
  <c r="Q517" i="2"/>
  <c r="AA517" i="2" s="1"/>
  <c r="AB517" i="2" s="1"/>
  <c r="Q519" i="2"/>
  <c r="AA519" i="2" l="1"/>
  <c r="AB519" i="2" s="1"/>
  <c r="P521" i="2" a="1"/>
  <c r="P520" i="2" a="1"/>
  <c r="O521" i="2" a="1"/>
  <c r="O520" i="2" a="1"/>
  <c r="O523" i="2" a="1"/>
  <c r="O522" i="2" a="1"/>
  <c r="P522" i="2" a="1"/>
  <c r="P523" i="2" a="1"/>
  <c r="Q521" i="2" l="1"/>
  <c r="W522" i="2"/>
  <c r="Q523" i="2"/>
  <c r="Q520" i="2"/>
  <c r="Q522" i="2"/>
  <c r="W521" i="2"/>
  <c r="W520" i="2"/>
  <c r="W523" i="2"/>
  <c r="AA523" i="2" s="1"/>
  <c r="AB523" i="2" s="1"/>
  <c r="AA522" i="2" l="1"/>
  <c r="AB522" i="2" s="1"/>
  <c r="AA521" i="2"/>
  <c r="AB521" i="2" s="1"/>
  <c r="AA520" i="2"/>
  <c r="AB520" i="2" s="1"/>
  <c r="O526" i="2" a="1"/>
  <c r="P527" i="2" a="1"/>
  <c r="P526" i="2" a="1"/>
  <c r="Q526" i="2" s="1"/>
  <c r="O524" i="2" a="1"/>
  <c r="P524" i="2" a="1"/>
  <c r="O525" i="2" a="1"/>
  <c r="P525" i="2" a="1"/>
  <c r="Q525" i="2" s="1"/>
  <c r="O527" i="2" a="1"/>
  <c r="W527" i="2" s="1"/>
  <c r="W524" i="2" l="1"/>
  <c r="Q524" i="2"/>
  <c r="AA524" i="2" s="1"/>
  <c r="AB524" i="2" s="1"/>
  <c r="W525" i="2"/>
  <c r="AA525" i="2" s="1"/>
  <c r="AB525" i="2" s="1"/>
  <c r="W526" i="2"/>
  <c r="AA526" i="2" s="1"/>
  <c r="AB526" i="2" s="1"/>
  <c r="Q527" i="2"/>
  <c r="AA527" i="2" s="1"/>
  <c r="AB527" i="2" s="1"/>
  <c r="G39" i="3" l="1" a="1"/>
  <c r="AX9" i="3" a="1"/>
  <c r="P530" i="2" a="1"/>
  <c r="P531" i="2" a="1"/>
  <c r="O530" i="2" a="1"/>
  <c r="O531" i="2" a="1"/>
  <c r="W531" i="2" s="1"/>
  <c r="O528" i="2" a="1"/>
  <c r="O529" i="2" a="1"/>
  <c r="W529" i="2" s="1"/>
  <c r="P529" i="2" a="1"/>
  <c r="P528" i="2" a="1"/>
  <c r="Q530" i="2" l="1"/>
  <c r="Q528" i="2"/>
  <c r="W530" i="2"/>
  <c r="W528" i="2"/>
  <c r="Q529" i="2"/>
  <c r="AA529" i="2" s="1"/>
  <c r="AB529" i="2" s="1"/>
  <c r="Q531" i="2"/>
  <c r="AA531" i="2" s="1"/>
  <c r="AB531" i="2" s="1"/>
  <c r="AA530" i="2" l="1"/>
  <c r="AB530" i="2" s="1"/>
  <c r="G34" i="3" s="1" a="1"/>
  <c r="AA528" i="2"/>
  <c r="AB528" i="2" s="1"/>
  <c r="G40" i="3" s="1" a="1"/>
  <c r="O533" i="2" a="1"/>
  <c r="P532" i="2" a="1"/>
  <c r="O532" i="2" a="1"/>
  <c r="P533" i="2" a="1"/>
  <c r="W533" i="2" l="1"/>
  <c r="W532" i="2"/>
  <c r="Q532" i="2"/>
  <c r="Q533" i="2"/>
  <c r="AA532" i="2" l="1"/>
  <c r="AB532" i="2" s="1"/>
  <c r="G31" i="3" s="1" a="1"/>
  <c r="AA533" i="2"/>
  <c r="AB533" i="2" s="1"/>
  <c r="O537" i="2" a="1"/>
  <c r="O536" i="2" a="1"/>
  <c r="P536" i="2" a="1"/>
  <c r="P534" i="2" a="1"/>
  <c r="Q534" i="2" s="1"/>
  <c r="O535" i="2" a="1"/>
  <c r="O534" i="2" a="1"/>
  <c r="P535" i="2" a="1"/>
  <c r="P537" i="2" a="1"/>
  <c r="Q537" i="2" s="1"/>
  <c r="W535" i="2" l="1"/>
  <c r="W534" i="2"/>
  <c r="AA534" i="2" s="1"/>
  <c r="AB534" i="2" s="1"/>
  <c r="Q536" i="2"/>
  <c r="W537" i="2"/>
  <c r="AA537" i="2" s="1"/>
  <c r="AB537" i="2" s="1"/>
  <c r="W536" i="2"/>
  <c r="Q535" i="2"/>
  <c r="AA536" i="2" l="1"/>
  <c r="AB536" i="2" s="1"/>
  <c r="AA535" i="2"/>
  <c r="AB535" i="2" s="1"/>
  <c r="O539" i="2" a="1"/>
  <c r="P539" i="2" a="1"/>
  <c r="O538" i="2" a="1"/>
  <c r="P538" i="2" a="1"/>
  <c r="O540" i="2" a="1"/>
  <c r="P540" i="2" a="1"/>
  <c r="Q540" i="2" s="1"/>
  <c r="P541" i="2" a="1"/>
  <c r="O541" i="2" a="1"/>
  <c r="G26" i="3" a="1"/>
  <c r="AX5" i="3" a="1"/>
  <c r="W539" i="2" l="1"/>
  <c r="Q539" i="2"/>
  <c r="AA539" i="2" s="1"/>
  <c r="AB539" i="2" s="1"/>
  <c r="W538" i="2"/>
  <c r="Q541" i="2"/>
  <c r="Q538" i="2"/>
  <c r="AA538" i="2" s="1"/>
  <c r="AB538" i="2" s="1"/>
  <c r="W540" i="2"/>
  <c r="AA540" i="2" s="1"/>
  <c r="AB540" i="2" s="1"/>
  <c r="W541" i="2"/>
  <c r="AA541" i="2" l="1"/>
  <c r="AB541" i="2" s="1"/>
  <c r="P543" i="2" a="1"/>
  <c r="Q543" i="2" s="1"/>
  <c r="O543" i="2" a="1"/>
  <c r="O542" i="2" a="1"/>
  <c r="W542" i="2" s="1"/>
  <c r="P542" i="2" a="1"/>
  <c r="O544" i="2" a="1"/>
  <c r="P545" i="2" a="1"/>
  <c r="O545" i="2" a="1"/>
  <c r="P544" i="2" a="1"/>
  <c r="W543" i="2" l="1"/>
  <c r="AA543" i="2" s="1"/>
  <c r="AB543" i="2" s="1"/>
  <c r="Q542" i="2"/>
  <c r="AA542" i="2" s="1"/>
  <c r="AB542" i="2" s="1"/>
  <c r="Q544" i="2"/>
  <c r="Q545" i="2"/>
  <c r="W544" i="2"/>
  <c r="AA544" i="2" s="1"/>
  <c r="AB544" i="2" s="1"/>
  <c r="W545" i="2"/>
  <c r="G37" i="3" l="1" a="1"/>
  <c r="AX8" i="3" a="1"/>
  <c r="AA545" i="2"/>
  <c r="AB545" i="2" s="1"/>
  <c r="G33" i="3" a="1"/>
  <c r="AX3" i="3" a="1"/>
  <c r="O547" i="2" l="1" a="1"/>
  <c r="P546" i="2" a="1"/>
  <c r="O546" i="2" a="1"/>
  <c r="P547" i="2" a="1"/>
  <c r="Q547" i="2" s="1"/>
  <c r="G28" i="3" a="1"/>
  <c r="AX2" i="3" a="1"/>
  <c r="W547" i="2" l="1"/>
  <c r="AA547" i="2" s="1"/>
  <c r="AB547" i="2" s="1"/>
  <c r="W546" i="2"/>
  <c r="Q546" i="2"/>
  <c r="P549" i="2" l="1" a="1"/>
  <c r="O548" i="2" a="1"/>
  <c r="P548" i="2" a="1"/>
  <c r="O549" i="2" a="1"/>
  <c r="AA546" i="2"/>
  <c r="AB546" i="2" s="1"/>
  <c r="W548" i="2" l="1"/>
  <c r="AA548" i="2" s="1"/>
  <c r="AB548" i="2" s="1"/>
  <c r="W549" i="2"/>
  <c r="AA549" i="2" s="1"/>
  <c r="AB549" i="2" s="1"/>
  <c r="Q549" i="2"/>
  <c r="Q548" i="2"/>
  <c r="AX4" i="3" l="1" a="1"/>
  <c r="G25" i="3" a="1"/>
  <c r="A2" i="3" s="1" a="1"/>
  <c r="G30" i="3" a="1"/>
  <c r="AX7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<sst xmlns="http://schemas.openxmlformats.org/spreadsheetml/2006/main" count="2848" uniqueCount="91">
  <si>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</si>
  <si>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</si>
  <si>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</si>
  <si>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</si>
  <si>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</si>
  <si>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</si>
  <si>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</si>
  <si>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</si>
  <si>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</si>
  <si>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</si>
  <si>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</si>
  <si>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</si>
  <si>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</si>
  <si>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</si>
  <si>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</si>
  <si>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</si>
  <si>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</si>
  <si>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</si>
  <si>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</si>
  <si>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</si>
  <si>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</si>
  <si>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</si>
  <si>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</si>
  <si>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</si>
  <si>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</si>
  <si>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</si>
  <si>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</si>
  <si>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</si>
  <si>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</si>
  <si>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</si>
  <si>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</si>
  <si>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</si>
  <si>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</si>
  <si>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</si>
  <si>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</si>
  <si>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</si>
  <si>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</si>
  <si>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</si>
  <si>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</si>
  <si>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</si>
  <si>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</si>
  <si>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</si>
  <si>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</si>
  <si>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</si>
  <si>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</si>
  <si>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</si>
  <si>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</si>
  <si>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</si>
  <si>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</si>
  <si>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</si>
  <si>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</si>
  <si>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</si>
  <si>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</si>
  <si>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</si>
  <si>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</si>
  <si>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</si>
  <si>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</si>
  <si>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</si>
  <si>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</si>
  <si>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</si>
  <si>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</si>
  <si>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</si>
  <si>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</si>
  <si>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</si>
  <si>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</si>
  <si>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</si>
  <si>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</si>
  <si>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</si>
  <si>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</si>
  <si>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Cleveland Rockers</t>
  </si>
  <si>
    <t>Phoenix Mercury</t>
  </si>
  <si>
    <t>LAS</t>
  </si>
  <si>
    <t>Los Angeles Sparks</t>
  </si>
  <si>
    <t>Sacramento Monarchs</t>
  </si>
  <si>
    <t>Utah Starzz</t>
  </si>
  <si>
    <t>WAS</t>
  </si>
  <si>
    <t>Washington Mystics</t>
  </si>
  <si>
    <t>DET</t>
  </si>
  <si>
    <t>Detroit Shock</t>
  </si>
  <si>
    <t>ORL</t>
  </si>
  <si>
    <t>MIN</t>
  </si>
  <si>
    <t>Orlando Miracle</t>
  </si>
  <si>
    <t>Minnesota Lynx</t>
  </si>
  <si>
    <t>MIA</t>
  </si>
  <si>
    <t>Miami Sol</t>
  </si>
  <si>
    <t>IND</t>
  </si>
  <si>
    <t>Indiana Fever</t>
  </si>
  <si>
    <t>SEA</t>
  </si>
  <si>
    <t>Seattle Storm</t>
  </si>
  <si>
    <t>POR</t>
  </si>
  <si>
    <t>Portland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</si>
</sst>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18922106485" createdVersion="8" refreshedVersion="8" minRefreshableVersion="3" recordCount="548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1-05-28T00:00:00" maxDate="2001-09-02T00:00:00"/>
    </cacheField>
    <cacheField name="Season" numFmtId="1">
      <sharedItems containsSemiMixedTypes="0" containsString="0" containsNumber="1" containsInteger="1" minValue="2001" maxValue="2001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5">
        <s v="LAS"/>
        <s v="HOU"/>
        <s v="UTA"/>
        <s v="PHX"/>
        <s v="WAS"/>
        <s v="CLE"/>
        <s v="IND"/>
        <s v="NYL"/>
        <s v="MIA"/>
        <s v="MIN"/>
        <s v="POR"/>
        <s v="SEA"/>
        <s v="ORL"/>
        <s v="CHA"/>
        <s v="DET"/>
        <s v="SAC"/>
        <s v="NO" u="1"/>
        <s v="TOR" u="1"/>
        <s v="LAL" u="1"/>
        <s v="LAC" u="1"/>
        <s v="CHI" u="1"/>
        <s v="BRK" u="1"/>
        <s v="MEM" u="1"/>
        <s v="BOS" u="1"/>
        <s v="PHI" u="1"/>
        <s v="DAL" u="1"/>
        <s v="NY" u="1"/>
        <s v="SA" u="1"/>
        <s v="OKC" u="1"/>
        <s v="DEN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10"/>
    </cacheField>
    <cacheField name="OppDaysOff" numFmtId="1">
      <sharedItems containsSemiMixedTypes="0" containsString="0" containsNumber="1" containsInteger="1" minValue="0" maxValue="10"/>
    </cacheField>
    <cacheField name="RestDiff" numFmtId="1">
      <sharedItems containsSemiMixedTypes="0" containsString="0" containsNumber="1" containsInteger="1" minValue="-9" maxValue="9"/>
    </cacheField>
    <cacheField name="OppRestDiff" numFmtId="1">
      <sharedItems containsSemiMixedTypes="0" containsString="0" containsNumber="1" containsInteger="1" minValue="-9" maxValue="9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54.7104657161663" maxValue="1760.3408998547186"/>
    </cacheField>
    <cacheField name="OppPreGmRate" numFmtId="165">
      <sharedItems containsSemiMixedTypes="0" containsString="0" containsNumber="1" minValue="1354.7104657161663" maxValue="1760.3408998547186"/>
    </cacheField>
    <cacheField name="ExpectedWin%" numFmtId="165">
      <sharedItems containsSemiMixedTypes="0" containsString="0" containsNumber="1" minValue="6.6368993954251401E-2" maxValue="0.93363100604574856"/>
    </cacheField>
    <cacheField name="PointsFor" numFmtId="0">
      <sharedItems containsSemiMixedTypes="0" containsString="0" containsNumber="1" containsInteger="1" minValue="34" maxValue="100"/>
    </cacheField>
    <cacheField name="PointsAgainst" numFmtId="0">
      <sharedItems containsSemiMixedTypes="0" containsString="0" containsNumber="1" containsInteger="1" minValue="34" maxValue="100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9" maxValue="39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422205977073724" maxValue="0.75230105122069035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70" maxValue="75.849999999999994"/>
    </cacheField>
    <cacheField name="Keff" numFmtId="165">
      <sharedItems containsSemiMixedTypes="0" containsString="0" containsNumber="1" minValue="71.2" maxValue="94.905000000000001"/>
    </cacheField>
    <cacheField name="RatingChange" numFmtId="165">
      <sharedItems containsSemiMixedTypes="0" containsString="0" containsNumber="1" minValue="-33.983214295538559" maxValue="33.983214295538559"/>
    </cacheField>
    <cacheField name="PostGmRate" numFmtId="165">
      <sharedItems containsSemiMixedTypes="0" containsString="0" containsNumber="1" minValue="1354.7104657161663" maxValue="1767.751573356926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d v="2001-05-28T00:00:00"/>
    <n v="2001"/>
    <x v="0"/>
    <s v="R"/>
    <s v="RS"/>
    <x v="0"/>
    <s v="HOU"/>
    <s v="A"/>
    <n v="0"/>
    <n v="0"/>
    <n v="0"/>
    <n v="0"/>
    <n v="0"/>
    <n v="0"/>
    <n v="1611.5481899372164"/>
    <n v="1656.8254921214952"/>
    <n v="0.32209077600723091"/>
    <n v="66"/>
    <n v="63"/>
    <n v="0"/>
    <n v="3"/>
    <n v="1"/>
    <n v="0.2796326767601513"/>
    <n v="1"/>
    <n v="75.849999999999994"/>
    <n v="75.849999999999994"/>
    <n v="14.378548553181794"/>
    <n v="1625.9267384903983"/>
    <n v="1"/>
    <n v="0"/>
    <n v="0"/>
    <n v="0"/>
    <n v="0"/>
    <n v="0"/>
    <n v="0"/>
    <n v="0"/>
    <n v="0"/>
    <n v="0"/>
  </r>
  <r>
    <d v="2001-05-28T00:00:00"/>
    <n v="2001"/>
    <x v="0"/>
    <s v="R"/>
    <s v="RS"/>
    <x v="1"/>
    <s v="LAS"/>
    <s v="H"/>
    <n v="0"/>
    <n v="0"/>
    <n v="0"/>
    <n v="0"/>
    <n v="0"/>
    <n v="0"/>
    <n v="1656.8254921214952"/>
    <n v="1611.5481899372164"/>
    <n v="0.67790922399276921"/>
    <n v="63"/>
    <n v="66"/>
    <n v="0"/>
    <n v="-3"/>
    <n v="0"/>
    <n v="0.2796326767601513"/>
    <n v="1"/>
    <n v="75.849999999999994"/>
    <n v="75.849999999999994"/>
    <n v="-14.378548553181798"/>
    <n v="1642.4469435683134"/>
    <n v="0"/>
    <n v="1"/>
    <n v="0"/>
    <n v="0"/>
    <n v="0"/>
    <n v="0"/>
    <n v="0"/>
    <n v="0"/>
    <n v="0"/>
    <n v="0"/>
  </r>
  <r>
    <d v="2001-05-30T00:00:00"/>
    <n v="2001"/>
    <x v="0"/>
    <s v="R"/>
    <s v="RS"/>
    <x v="2"/>
    <s v="PHX"/>
    <s v="A"/>
    <n v="2"/>
    <n v="2"/>
    <n v="0"/>
    <n v="0"/>
    <n v="0"/>
    <n v="0"/>
    <n v="1526.3792497257671"/>
    <n v="1530.4305803336413"/>
    <n v="0.37592891671145129"/>
    <n v="81"/>
    <n v="62"/>
    <n v="0"/>
    <n v="19"/>
    <n v="1"/>
    <n v="0.55909002395094176"/>
    <n v="1"/>
    <n v="75.849999999999994"/>
    <n v="75.849999999999994"/>
    <n v="26.464968897083818"/>
    <n v="1552.8442186228508"/>
    <n v="1"/>
    <n v="0"/>
    <n v="0"/>
    <n v="0"/>
    <n v="0"/>
    <n v="0"/>
    <n v="0"/>
    <n v="0"/>
    <n v="0"/>
    <n v="0"/>
  </r>
  <r>
    <d v="2001-05-30T00:00:00"/>
    <n v="2001"/>
    <x v="0"/>
    <s v="R"/>
    <s v="RS"/>
    <x v="3"/>
    <s v="UTA"/>
    <s v="H"/>
    <n v="2"/>
    <n v="2"/>
    <n v="0"/>
    <n v="0"/>
    <n v="0"/>
    <n v="0"/>
    <n v="1530.4305803336413"/>
    <n v="1526.3792497257671"/>
    <n v="0.62407108328854866"/>
    <n v="62"/>
    <n v="81"/>
    <n v="0"/>
    <n v="-19"/>
    <n v="0"/>
    <n v="0.55909002395094176"/>
    <n v="1"/>
    <n v="75.849999999999994"/>
    <n v="75.849999999999994"/>
    <n v="-26.464968897083814"/>
    <n v="1503.9656114365575"/>
    <n v="0"/>
    <n v="1"/>
    <n v="0"/>
    <n v="0"/>
    <n v="0"/>
    <n v="0"/>
    <n v="0"/>
    <n v="0"/>
    <n v="0"/>
    <n v="0"/>
  </r>
  <r>
    <d v="2001-05-31T00:00:00"/>
    <n v="2001"/>
    <x v="0"/>
    <s v="R"/>
    <s v="RS"/>
    <x v="4"/>
    <s v="CLE"/>
    <s v="A"/>
    <n v="3"/>
    <n v="3"/>
    <n v="0"/>
    <n v="0"/>
    <n v="0"/>
    <n v="0"/>
    <n v="1456.5654882654603"/>
    <n v="1503.0349734958961"/>
    <n v="0.320594137758974"/>
    <n v="34"/>
    <n v="69"/>
    <n v="0"/>
    <n v="-35"/>
    <n v="0"/>
    <n v="0.73376052498033495"/>
    <n v="1"/>
    <n v="75.849999999999994"/>
    <n v="75.849999999999994"/>
    <n v="-17.842902636476691"/>
    <n v="1438.7225856289836"/>
    <n v="0"/>
    <n v="1"/>
    <n v="0"/>
    <n v="0"/>
    <n v="0"/>
    <n v="0"/>
    <n v="0"/>
    <n v="0"/>
    <n v="0"/>
    <n v="0"/>
  </r>
  <r>
    <d v="2001-05-31T00:00:00"/>
    <n v="2001"/>
    <x v="0"/>
    <s v="R"/>
    <s v="RS"/>
    <x v="5"/>
    <s v="WAS"/>
    <s v="H"/>
    <n v="3"/>
    <n v="3"/>
    <n v="0"/>
    <n v="0"/>
    <n v="0"/>
    <n v="0"/>
    <n v="1503.0349734958961"/>
    <n v="1456.5654882654603"/>
    <n v="0.67940586224102606"/>
    <n v="69"/>
    <n v="34"/>
    <n v="0"/>
    <n v="35"/>
    <n v="1"/>
    <n v="0.73376052498033495"/>
    <n v="1"/>
    <n v="75.849999999999994"/>
    <n v="75.849999999999994"/>
    <n v="17.842902636476687"/>
    <n v="1520.8778761323729"/>
    <n v="1"/>
    <n v="0"/>
    <n v="0"/>
    <n v="0"/>
    <n v="0"/>
    <n v="0"/>
    <n v="0"/>
    <n v="0"/>
    <n v="0"/>
    <n v="0"/>
  </r>
  <r>
    <d v="2001-05-31T00:00:00"/>
    <n v="2001"/>
    <x v="1"/>
    <s v="R"/>
    <s v="RS"/>
    <x v="1"/>
    <s v="IND"/>
    <s v="A"/>
    <n v="2"/>
    <n v="3"/>
    <n v="-1"/>
    <n v="1"/>
    <n v="-8"/>
    <n v="8"/>
    <n v="1642.4469435683134"/>
    <n v="1444.4365125162255"/>
    <n v="0.63742225438908673"/>
    <n v="82"/>
    <n v="78"/>
    <n v="0"/>
    <n v="4"/>
    <n v="1"/>
    <n v="0.26732224136797655"/>
    <n v="1"/>
    <n v="75.7"/>
    <n v="75.7"/>
    <n v="7.337229738953102"/>
    <n v="1649.7841733072664"/>
    <n v="1"/>
    <n v="0"/>
    <n v="0"/>
    <n v="0"/>
    <n v="0"/>
    <n v="0"/>
    <n v="0"/>
    <n v="0"/>
    <n v="0"/>
    <n v="0"/>
  </r>
  <r>
    <d v="2001-05-31T00:00:00"/>
    <n v="2001"/>
    <x v="0"/>
    <s v="R"/>
    <s v="RS"/>
    <x v="6"/>
    <s v="HOU"/>
    <s v="H"/>
    <n v="3"/>
    <n v="2"/>
    <n v="1"/>
    <n v="-1"/>
    <n v="8"/>
    <n v="-8"/>
    <n v="1444.4365125162255"/>
    <n v="1642.4469435683134"/>
    <n v="0.36257774561091333"/>
    <n v="78"/>
    <n v="82"/>
    <n v="0"/>
    <n v="-4"/>
    <n v="0"/>
    <n v="0.26732224136797655"/>
    <n v="1"/>
    <n v="75.849999999999994"/>
    <n v="75.849999999999994"/>
    <n v="-7.3517685032971318"/>
    <n v="1437.0847440129285"/>
    <n v="0"/>
    <n v="1"/>
    <n v="0"/>
    <n v="0"/>
    <n v="0"/>
    <n v="0"/>
    <n v="0"/>
    <n v="0"/>
    <n v="0"/>
    <n v="0"/>
  </r>
  <r>
    <d v="2001-05-31T00:00:00"/>
    <n v="2001"/>
    <x v="0"/>
    <s v="R"/>
    <s v="RS"/>
    <x v="7"/>
    <s v="MIA"/>
    <s v="A"/>
    <n v="3"/>
    <n v="3"/>
    <n v="0"/>
    <n v="0"/>
    <n v="0"/>
    <n v="0"/>
    <n v="1544.9196307767356"/>
    <n v="1464.4365234862485"/>
    <n v="0.49493895740226518"/>
    <n v="59"/>
    <n v="68"/>
    <n v="0"/>
    <n v="-9"/>
    <n v="0"/>
    <n v="0.38045471260260383"/>
    <n v="1"/>
    <n v="75.849999999999994"/>
    <n v="75.849999999999994"/>
    <n v="-14.282695989548502"/>
    <n v="1530.6369347871871"/>
    <n v="0"/>
    <n v="1"/>
    <n v="0"/>
    <n v="0"/>
    <n v="0"/>
    <n v="0"/>
    <n v="0"/>
    <n v="0"/>
    <n v="0"/>
    <n v="0"/>
  </r>
  <r>
    <d v="2001-05-31T00:00:00"/>
    <n v="2001"/>
    <x v="0"/>
    <s v="R"/>
    <s v="RS"/>
    <x v="8"/>
    <s v="NYL"/>
    <s v="H"/>
    <n v="3"/>
    <n v="3"/>
    <n v="0"/>
    <n v="0"/>
    <n v="0"/>
    <n v="0"/>
    <n v="1464.4365234862485"/>
    <n v="1544.9196307767356"/>
    <n v="0.50506104259773477"/>
    <n v="68"/>
    <n v="59"/>
    <n v="0"/>
    <n v="9"/>
    <n v="1"/>
    <n v="0.38045471260260383"/>
    <n v="1"/>
    <n v="75.849999999999994"/>
    <n v="75.849999999999994"/>
    <n v="14.282695989548504"/>
    <n v="1478.719219475797"/>
    <n v="1"/>
    <n v="0"/>
    <n v="0"/>
    <n v="0"/>
    <n v="0"/>
    <n v="0"/>
    <n v="0"/>
    <n v="0"/>
    <n v="0"/>
    <n v="0"/>
  </r>
  <r>
    <d v="2001-05-31T00:00:00"/>
    <n v="2001"/>
    <x v="0"/>
    <s v="R"/>
    <s v="RS"/>
    <x v="9"/>
    <s v="POR"/>
    <s v="A"/>
    <n v="3"/>
    <n v="3"/>
    <n v="0"/>
    <n v="0"/>
    <n v="0"/>
    <n v="0"/>
    <n v="1489.0931979180309"/>
    <n v="1451.264190212253"/>
    <n v="0.43394299860314955"/>
    <n v="82"/>
    <n v="65"/>
    <n v="0"/>
    <n v="17"/>
    <n v="1"/>
    <n v="0.51617022942660384"/>
    <n v="1"/>
    <n v="75.849999999999994"/>
    <n v="75.849999999999994"/>
    <n v="22.161987427403691"/>
    <n v="1511.2551853454347"/>
    <n v="1"/>
    <n v="0"/>
    <n v="0"/>
    <n v="0"/>
    <n v="0"/>
    <n v="0"/>
    <n v="0"/>
    <n v="0"/>
    <n v="0"/>
    <n v="0"/>
  </r>
  <r>
    <d v="2001-05-31T00:00:00"/>
    <n v="2001"/>
    <x v="0"/>
    <s v="R"/>
    <s v="RS"/>
    <x v="10"/>
    <s v="MIN"/>
    <s v="H"/>
    <n v="3"/>
    <n v="3"/>
    <n v="0"/>
    <n v="0"/>
    <n v="0"/>
    <n v="0"/>
    <n v="1451.264190212253"/>
    <n v="1489.0931979180309"/>
    <n v="0.56605700139685045"/>
    <n v="65"/>
    <n v="82"/>
    <n v="0"/>
    <n v="-17"/>
    <n v="0"/>
    <n v="0.51617022942660384"/>
    <n v="1"/>
    <n v="75.849999999999994"/>
    <n v="75.849999999999994"/>
    <n v="-22.161987427403691"/>
    <n v="1429.1022027848492"/>
    <n v="0"/>
    <n v="1"/>
    <n v="0"/>
    <n v="0"/>
    <n v="0"/>
    <n v="0"/>
    <n v="0"/>
    <n v="0"/>
    <n v="0"/>
    <n v="0"/>
  </r>
  <r>
    <d v="2001-05-31T00:00:00"/>
    <n v="2001"/>
    <x v="1"/>
    <s v="R"/>
    <s v="RS"/>
    <x v="3"/>
    <s v="SEA"/>
    <s v="A"/>
    <n v="0"/>
    <n v="3"/>
    <n v="-3"/>
    <n v="3"/>
    <n v="-16"/>
    <n v="16"/>
    <n v="1503.9656114365575"/>
    <n v="1413.340744812107"/>
    <n v="0.4635470401704731"/>
    <n v="70"/>
    <n v="83"/>
    <n v="0"/>
    <n v="-13"/>
    <n v="0"/>
    <n v="0.43889787143065251"/>
    <n v="1"/>
    <n v="75.7"/>
    <n v="75.7"/>
    <n v="-15.401150559377148"/>
    <n v="1488.5644608771804"/>
    <n v="0"/>
    <n v="1"/>
    <n v="0"/>
    <n v="0"/>
    <n v="0"/>
    <n v="0"/>
    <n v="0"/>
    <n v="0"/>
    <n v="0"/>
    <n v="0"/>
  </r>
  <r>
    <d v="2001-05-31T00:00:00"/>
    <n v="2001"/>
    <x v="0"/>
    <s v="R"/>
    <s v="RS"/>
    <x v="11"/>
    <s v="PHX"/>
    <s v="H"/>
    <n v="3"/>
    <n v="0"/>
    <n v="3"/>
    <n v="-3"/>
    <n v="16"/>
    <n v="-16"/>
    <n v="1413.340744812107"/>
    <n v="1503.9656114365575"/>
    <n v="0.5364529598295269"/>
    <n v="83"/>
    <n v="70"/>
    <n v="0"/>
    <n v="13"/>
    <n v="1"/>
    <n v="0.43889787143065251"/>
    <n v="1"/>
    <n v="75.849999999999994"/>
    <n v="75.849999999999994"/>
    <n v="15.431668030762966"/>
    <n v="1428.7724128428699"/>
    <n v="1"/>
    <n v="0"/>
    <n v="0"/>
    <n v="0"/>
    <n v="0"/>
    <n v="0"/>
    <n v="0"/>
    <n v="0"/>
    <n v="0"/>
    <n v="0"/>
  </r>
  <r>
    <d v="2001-06-01T00:00:00"/>
    <n v="2001"/>
    <x v="1"/>
    <s v="R"/>
    <s v="RS"/>
    <x v="0"/>
    <s v="ORL"/>
    <s v="A"/>
    <n v="3"/>
    <n v="4"/>
    <n v="-1"/>
    <n v="1"/>
    <n v="-8"/>
    <n v="8"/>
    <n v="1625.9267384903983"/>
    <n v="1476.0953971033637"/>
    <n v="0.57122533992135005"/>
    <n v="68"/>
    <n v="62"/>
    <n v="0"/>
    <n v="6"/>
    <n v="1"/>
    <n v="0.31228858034666385"/>
    <n v="1"/>
    <n v="75.7"/>
    <n v="75.7"/>
    <n v="10.136338242263081"/>
    <n v="1636.0630767326613"/>
    <n v="1"/>
    <n v="0"/>
    <n v="0"/>
    <n v="0"/>
    <n v="0"/>
    <n v="0"/>
    <n v="0"/>
    <n v="0"/>
    <n v="0"/>
    <n v="0"/>
  </r>
  <r>
    <d v="2001-06-01T00:00:00"/>
    <n v="2001"/>
    <x v="0"/>
    <s v="R"/>
    <s v="RS"/>
    <x v="12"/>
    <s v="LAS"/>
    <s v="H"/>
    <n v="4"/>
    <n v="3"/>
    <n v="1"/>
    <n v="-1"/>
    <n v="8"/>
    <n v="-8"/>
    <n v="1476.0953971033637"/>
    <n v="1625.9267384903983"/>
    <n v="0.42877466007865001"/>
    <n v="62"/>
    <n v="68"/>
    <n v="0"/>
    <n v="-6"/>
    <n v="0"/>
    <n v="0.31228858034666385"/>
    <n v="1"/>
    <n v="75.849999999999994"/>
    <n v="75.849999999999994"/>
    <n v="-10.15642345674577"/>
    <n v="1465.9389736466178"/>
    <n v="0"/>
    <n v="1"/>
    <n v="0"/>
    <n v="0"/>
    <n v="0"/>
    <n v="0"/>
    <n v="0"/>
    <n v="0"/>
    <n v="0"/>
    <n v="0"/>
  </r>
  <r>
    <d v="2001-06-02T00:00:00"/>
    <n v="2001"/>
    <x v="2"/>
    <s v="R"/>
    <s v="RS"/>
    <x v="0"/>
    <s v="CHA"/>
    <s v="A"/>
    <n v="0"/>
    <n v="5"/>
    <n v="-5"/>
    <n v="5"/>
    <n v="-16"/>
    <n v="16"/>
    <n v="1636.0630767326613"/>
    <n v="1416.9250041337284"/>
    <n v="0.64421604647228814"/>
    <n v="76"/>
    <n v="67"/>
    <n v="0"/>
    <n v="9"/>
    <n v="1"/>
    <n v="0.34328289965790443"/>
    <n v="1"/>
    <n v="75.55"/>
    <n v="75.55"/>
    <n v="9.2272650423762634"/>
    <n v="1645.2903417750376"/>
    <n v="1"/>
    <n v="0"/>
    <n v="0"/>
    <n v="0"/>
    <n v="0"/>
    <n v="0"/>
    <n v="0"/>
    <n v="0"/>
    <n v="0"/>
    <n v="0"/>
  </r>
  <r>
    <d v="2001-06-02T00:00:00"/>
    <n v="2001"/>
    <x v="0"/>
    <s v="R"/>
    <s v="RS"/>
    <x v="13"/>
    <s v="LAS"/>
    <s v="H"/>
    <n v="5"/>
    <n v="0"/>
    <n v="5"/>
    <n v="-5"/>
    <n v="16"/>
    <n v="-16"/>
    <n v="1416.9250041337284"/>
    <n v="1636.0630767326613"/>
    <n v="0.35578395352771186"/>
    <n v="67"/>
    <n v="76"/>
    <n v="0"/>
    <n v="-9"/>
    <n v="0"/>
    <n v="0.34328289965790443"/>
    <n v="1"/>
    <n v="75.849999999999994"/>
    <n v="75.849999999999994"/>
    <n v="-9.2639054065418858"/>
    <n v="1407.6610987271865"/>
    <n v="0"/>
    <n v="1"/>
    <n v="0"/>
    <n v="0"/>
    <n v="0"/>
    <n v="0"/>
    <n v="0"/>
    <n v="0"/>
    <n v="0"/>
    <n v="0"/>
  </r>
  <r>
    <d v="2001-06-02T00:00:00"/>
    <n v="2001"/>
    <x v="2"/>
    <s v="R"/>
    <s v="RS"/>
    <x v="1"/>
    <s v="DET"/>
    <s v="A"/>
    <n v="1"/>
    <n v="5"/>
    <n v="-4"/>
    <n v="4"/>
    <n v="-16"/>
    <n v="16"/>
    <n v="1649.7841733072664"/>
    <n v="1465.2809890382894"/>
    <n v="0.59732607236913482"/>
    <n v="74"/>
    <n v="73"/>
    <n v="0"/>
    <n v="1"/>
    <n v="1"/>
    <n v="0.21163953141289846"/>
    <n v="1"/>
    <n v="75.55"/>
    <n v="75.55"/>
    <n v="6.4385010484448699"/>
    <n v="1656.2226743557112"/>
    <n v="1"/>
    <n v="0"/>
    <n v="0"/>
    <n v="0"/>
    <n v="0"/>
    <n v="0"/>
    <n v="0"/>
    <n v="0"/>
    <n v="0"/>
    <n v="0"/>
  </r>
  <r>
    <d v="2001-06-02T00:00:00"/>
    <n v="2001"/>
    <x v="0"/>
    <s v="R"/>
    <s v="RS"/>
    <x v="14"/>
    <s v="HOU"/>
    <s v="H"/>
    <n v="5"/>
    <n v="1"/>
    <n v="4"/>
    <n v="-4"/>
    <n v="16"/>
    <n v="-16"/>
    <n v="1465.2809890382894"/>
    <n v="1649.7841733072664"/>
    <n v="0.40267392763086524"/>
    <n v="73"/>
    <n v="74"/>
    <n v="0"/>
    <n v="-1"/>
    <n v="0"/>
    <n v="0.21163953141289846"/>
    <n v="1"/>
    <n v="75.849999999999994"/>
    <n v="75.849999999999994"/>
    <n v="-6.4640675648516668"/>
    <n v="1458.8169214734378"/>
    <n v="0"/>
    <n v="1"/>
    <n v="0"/>
    <n v="0"/>
    <n v="0"/>
    <n v="0"/>
    <n v="0"/>
    <n v="0"/>
    <n v="0"/>
    <n v="0"/>
  </r>
  <r>
    <d v="2001-06-02T00:00:00"/>
    <n v="2001"/>
    <x v="2"/>
    <s v="R"/>
    <s v="RS"/>
    <x v="3"/>
    <s v="MIN"/>
    <s v="A"/>
    <n v="1"/>
    <n v="1"/>
    <n v="0"/>
    <n v="0"/>
    <n v="0"/>
    <n v="0"/>
    <n v="1488.5644608771804"/>
    <n v="1511.2551853454347"/>
    <n v="0.35111056202181806"/>
    <n v="89"/>
    <n v="80"/>
    <n v="0"/>
    <n v="9"/>
    <n v="1"/>
    <n v="0.39843749758432068"/>
    <n v="1"/>
    <n v="75.55"/>
    <n v="75.55"/>
    <n v="19.532839326901538"/>
    <n v="1508.0973002040819"/>
    <n v="1"/>
    <n v="0"/>
    <n v="0"/>
    <n v="0"/>
    <n v="0"/>
    <n v="0"/>
    <n v="0"/>
    <n v="0"/>
    <n v="0"/>
    <n v="0"/>
  </r>
  <r>
    <d v="2001-06-02T00:00:00"/>
    <n v="2001"/>
    <x v="1"/>
    <s v="R"/>
    <s v="RS"/>
    <x v="9"/>
    <s v="PHX"/>
    <s v="H"/>
    <n v="1"/>
    <n v="1"/>
    <n v="0"/>
    <n v="0"/>
    <n v="0"/>
    <n v="0"/>
    <n v="1511.2551853454347"/>
    <n v="1488.5644608771804"/>
    <n v="0.6488894379781821"/>
    <n v="80"/>
    <n v="89"/>
    <n v="0"/>
    <n v="-9"/>
    <n v="0"/>
    <n v="0.39843749758432068"/>
    <n v="1"/>
    <n v="75.7"/>
    <n v="75.7"/>
    <n v="-19.57162060948308"/>
    <n v="1491.6835647359517"/>
    <n v="0"/>
    <n v="1"/>
    <n v="0"/>
    <n v="0"/>
    <n v="0"/>
    <n v="0"/>
    <n v="0"/>
    <n v="0"/>
    <n v="0"/>
    <n v="0"/>
  </r>
  <r>
    <d v="2001-06-02T00:00:00"/>
    <n v="2001"/>
    <x v="1"/>
    <s v="R"/>
    <s v="RS"/>
    <x v="6"/>
    <s v="NYL"/>
    <s v="A"/>
    <n v="1"/>
    <n v="1"/>
    <n v="0"/>
    <n v="0"/>
    <n v="0"/>
    <n v="0"/>
    <n v="1437.0847440129285"/>
    <n v="1530.6369347871871"/>
    <n v="0.26462388582064128"/>
    <n v="58"/>
    <n v="75"/>
    <n v="0"/>
    <n v="-17"/>
    <n v="0"/>
    <n v="0.49393483112263409"/>
    <n v="1"/>
    <n v="75.7"/>
    <n v="75.7"/>
    <n v="-9.8945164445852072"/>
    <n v="1427.1902275683433"/>
    <n v="0"/>
    <n v="1"/>
    <n v="0"/>
    <n v="0"/>
    <n v="0"/>
    <n v="0"/>
    <n v="0"/>
    <n v="0"/>
    <n v="0"/>
    <n v="0"/>
  </r>
  <r>
    <d v="2001-06-02T00:00:00"/>
    <n v="2001"/>
    <x v="1"/>
    <s v="R"/>
    <s v="RS"/>
    <x v="7"/>
    <s v="IND"/>
    <s v="H"/>
    <n v="1"/>
    <n v="1"/>
    <n v="0"/>
    <n v="0"/>
    <n v="0"/>
    <n v="0"/>
    <n v="1530.6369347871871"/>
    <n v="1437.0847440129285"/>
    <n v="0.73537611417935866"/>
    <n v="75"/>
    <n v="58"/>
    <n v="0"/>
    <n v="17"/>
    <n v="1"/>
    <n v="0.49393483112263409"/>
    <n v="1"/>
    <n v="75.7"/>
    <n v="75.7"/>
    <n v="9.894516444585209"/>
    <n v="1540.5314512317723"/>
    <n v="1"/>
    <n v="0"/>
    <n v="0"/>
    <n v="0"/>
    <n v="0"/>
    <n v="0"/>
    <n v="0"/>
    <n v="0"/>
    <n v="0"/>
    <n v="0"/>
  </r>
  <r>
    <d v="2001-06-02T00:00:00"/>
    <n v="2001"/>
    <x v="1"/>
    <s v="R"/>
    <s v="RS"/>
    <x v="5"/>
    <s v="SAC"/>
    <s v="A"/>
    <n v="1"/>
    <n v="5"/>
    <n v="-4"/>
    <n v="4"/>
    <n v="-16"/>
    <n v="16"/>
    <n v="1520.8778761323729"/>
    <n v="1548.9492946962955"/>
    <n v="0.30378427128777474"/>
    <n v="65"/>
    <n v="70"/>
    <n v="0"/>
    <n v="-5"/>
    <n v="0"/>
    <n v="0.32417265358967012"/>
    <n v="1"/>
    <n v="75.7"/>
    <n v="75.7"/>
    <n v="-7.454826488001677"/>
    <n v="1513.4230496443713"/>
    <n v="0"/>
    <n v="1"/>
    <n v="0"/>
    <n v="0"/>
    <n v="0"/>
    <n v="0"/>
    <n v="0"/>
    <n v="0"/>
    <n v="0"/>
    <n v="0"/>
  </r>
  <r>
    <d v="2001-06-02T00:00:00"/>
    <n v="2001"/>
    <x v="0"/>
    <s v="R"/>
    <s v="RS"/>
    <x v="15"/>
    <s v="CLE"/>
    <s v="H"/>
    <n v="5"/>
    <n v="1"/>
    <n v="4"/>
    <n v="-4"/>
    <n v="16"/>
    <n v="-16"/>
    <n v="1548.9492946962955"/>
    <n v="1520.8778761323729"/>
    <n v="0.69621572871222526"/>
    <n v="70"/>
    <n v="65"/>
    <n v="0"/>
    <n v="5"/>
    <n v="1"/>
    <n v="0.32417265358967012"/>
    <n v="1"/>
    <n v="75.849999999999994"/>
    <n v="75.849999999999994"/>
    <n v="7.469598271003"/>
    <n v="1556.4188929672985"/>
    <n v="1"/>
    <n v="0"/>
    <n v="0"/>
    <n v="0"/>
    <n v="0"/>
    <n v="0"/>
    <n v="0"/>
    <n v="0"/>
    <n v="0"/>
    <n v="0"/>
  </r>
  <r>
    <d v="2001-06-02T00:00:00"/>
    <n v="2001"/>
    <x v="1"/>
    <s v="R"/>
    <s v="RS"/>
    <x v="10"/>
    <s v="UTA"/>
    <s v="A"/>
    <n v="1"/>
    <n v="2"/>
    <n v="-1"/>
    <n v="1"/>
    <n v="-8"/>
    <n v="8"/>
    <n v="1429.1022027848492"/>
    <n v="1552.8442186228508"/>
    <n v="0.21619786563846338"/>
    <n v="76"/>
    <n v="71"/>
    <n v="0"/>
    <n v="5"/>
    <n v="1"/>
    <n v="0.30074377468594093"/>
    <n v="1"/>
    <n v="75.7"/>
    <n v="75.7"/>
    <n v="17.844277465855271"/>
    <n v="1446.9464802507046"/>
    <n v="1"/>
    <n v="0"/>
    <n v="0"/>
    <n v="0"/>
    <n v="0"/>
    <n v="0"/>
    <n v="0"/>
    <n v="0"/>
    <n v="0"/>
    <n v="0"/>
  </r>
  <r>
    <d v="2001-06-02T00:00:00"/>
    <n v="2001"/>
    <x v="1"/>
    <s v="R"/>
    <s v="RS"/>
    <x v="2"/>
    <s v="POR"/>
    <s v="H"/>
    <n v="2"/>
    <n v="1"/>
    <n v="1"/>
    <n v="-1"/>
    <n v="8"/>
    <n v="-8"/>
    <n v="1552.8442186228508"/>
    <n v="1429.1022027848492"/>
    <n v="0.78380213436153656"/>
    <n v="71"/>
    <n v="76"/>
    <n v="0"/>
    <n v="-5"/>
    <n v="0"/>
    <n v="0.30074377468594093"/>
    <n v="1"/>
    <n v="75.7"/>
    <n v="75.7"/>
    <n v="-17.844277465855267"/>
    <n v="1534.9999411569956"/>
    <n v="0"/>
    <n v="1"/>
    <n v="0"/>
    <n v="0"/>
    <n v="0"/>
    <n v="0"/>
    <n v="0"/>
    <n v="0"/>
    <n v="0"/>
    <n v="0"/>
  </r>
  <r>
    <d v="2001-06-03T00:00:00"/>
    <n v="2001"/>
    <x v="1"/>
    <s v="R"/>
    <s v="RS"/>
    <x v="11"/>
    <s v="WAS"/>
    <s v="A"/>
    <n v="2"/>
    <n v="2"/>
    <n v="0"/>
    <n v="0"/>
    <n v="0"/>
    <n v="0"/>
    <n v="1428.7724128428699"/>
    <n v="1438.7225856289836"/>
    <n v="0.36799669454866996"/>
    <n v="63"/>
    <n v="68"/>
    <n v="0"/>
    <n v="-5"/>
    <n v="0"/>
    <n v="0.32902773974302479"/>
    <n v="1"/>
    <n v="75.7"/>
    <n v="75.7"/>
    <n v="-9.1658408324671647"/>
    <n v="1419.6065720104027"/>
    <n v="0"/>
    <n v="1"/>
    <n v="0"/>
    <n v="0"/>
    <n v="0"/>
    <n v="0"/>
    <n v="0"/>
    <n v="0"/>
    <n v="0"/>
    <n v="0"/>
  </r>
  <r>
    <d v="2001-06-03T00:00:00"/>
    <n v="2001"/>
    <x v="1"/>
    <s v="R"/>
    <s v="RS"/>
    <x v="4"/>
    <s v="SEA"/>
    <s v="H"/>
    <n v="2"/>
    <n v="2"/>
    <n v="0"/>
    <n v="0"/>
    <n v="0"/>
    <n v="0"/>
    <n v="1438.7225856289836"/>
    <n v="1428.7724128428699"/>
    <n v="0.63200330545132999"/>
    <n v="68"/>
    <n v="63"/>
    <n v="0"/>
    <n v="5"/>
    <n v="1"/>
    <n v="0.32902773974302479"/>
    <n v="1"/>
    <n v="75.7"/>
    <n v="75.7"/>
    <n v="9.1658408324671665"/>
    <n v="1447.8884264614508"/>
    <n v="1"/>
    <n v="0"/>
    <n v="0"/>
    <n v="0"/>
    <n v="0"/>
    <n v="0"/>
    <n v="0"/>
    <n v="0"/>
    <n v="0"/>
    <n v="0"/>
  </r>
  <r>
    <d v="2001-06-04T00:00:00"/>
    <n v="2001"/>
    <x v="2"/>
    <s v="R"/>
    <s v="RS"/>
    <x v="11"/>
    <s v="IND"/>
    <s v="A"/>
    <n v="0"/>
    <n v="1"/>
    <n v="-1"/>
    <n v="1"/>
    <n v="-8"/>
    <n v="8"/>
    <n v="1419.6065720104027"/>
    <n v="1427.1902275683433"/>
    <n v="0.34994037563238389"/>
    <n v="74"/>
    <n v="71"/>
    <n v="1"/>
    <n v="3"/>
    <n v="1"/>
    <n v="0.25952504519598285"/>
    <n v="1"/>
    <n v="75.55"/>
    <n v="75.55"/>
    <n v="12.745795218923439"/>
    <n v="1432.3523672293261"/>
    <n v="1"/>
    <n v="0"/>
    <n v="0"/>
    <n v="0"/>
    <n v="0"/>
    <n v="0"/>
    <n v="0"/>
    <n v="0"/>
    <n v="0"/>
    <n v="0"/>
  </r>
  <r>
    <d v="2001-06-04T00:00:00"/>
    <n v="2001"/>
    <x v="2"/>
    <s v="R"/>
    <s v="RS"/>
    <x v="6"/>
    <s v="SEA"/>
    <s v="H"/>
    <n v="1"/>
    <n v="0"/>
    <n v="1"/>
    <n v="-1"/>
    <n v="8"/>
    <n v="-8"/>
    <n v="1427.1902275683433"/>
    <n v="1419.6065720104027"/>
    <n v="0.65005962436761611"/>
    <n v="71"/>
    <n v="74"/>
    <n v="1"/>
    <n v="-3"/>
    <n v="0"/>
    <n v="0.25952504519598285"/>
    <n v="1"/>
    <n v="75.55"/>
    <n v="75.55"/>
    <n v="-12.745795218923439"/>
    <n v="1414.4444323494199"/>
    <n v="0"/>
    <n v="1"/>
    <n v="0"/>
    <n v="0"/>
    <n v="0"/>
    <n v="0"/>
    <n v="0"/>
    <n v="0"/>
    <n v="0"/>
    <n v="0"/>
  </r>
  <r>
    <d v="2001-06-04T00:00:00"/>
    <n v="2001"/>
    <x v="1"/>
    <s v="R"/>
    <s v="RS"/>
    <x v="15"/>
    <s v="NYL"/>
    <s v="A"/>
    <n v="1"/>
    <n v="1"/>
    <n v="0"/>
    <n v="0"/>
    <n v="0"/>
    <n v="0"/>
    <n v="1556.4188929672985"/>
    <n v="1540.5314512317723"/>
    <n v="0.40321490201814758"/>
    <n v="80"/>
    <n v="63"/>
    <n v="0"/>
    <n v="17"/>
    <n v="1"/>
    <n v="0.52548489355758454"/>
    <n v="1"/>
    <n v="75.7"/>
    <n v="75.7"/>
    <n v="23.739637614313803"/>
    <n v="1580.1585305816122"/>
    <n v="1"/>
    <n v="0"/>
    <n v="0"/>
    <n v="0"/>
    <n v="0"/>
    <n v="0"/>
    <n v="0"/>
    <n v="0"/>
    <n v="0"/>
    <n v="0"/>
  </r>
  <r>
    <d v="2001-06-04T00:00:00"/>
    <n v="2001"/>
    <x v="2"/>
    <s v="R"/>
    <s v="RS"/>
    <x v="7"/>
    <s v="SAC"/>
    <s v="H"/>
    <n v="1"/>
    <n v="1"/>
    <n v="0"/>
    <n v="0"/>
    <n v="0"/>
    <n v="0"/>
    <n v="1540.5314512317723"/>
    <n v="1556.4188929672985"/>
    <n v="0.59678509798185242"/>
    <n v="63"/>
    <n v="80"/>
    <n v="0"/>
    <n v="-17"/>
    <n v="0"/>
    <n v="0.52548489355758454"/>
    <n v="1"/>
    <n v="75.55"/>
    <n v="75.55"/>
    <n v="-23.692597381260338"/>
    <n v="1516.8388538505119"/>
    <n v="0"/>
    <n v="1"/>
    <n v="0"/>
    <n v="0"/>
    <n v="0"/>
    <n v="0"/>
    <n v="0"/>
    <n v="0"/>
    <n v="0"/>
    <n v="0"/>
  </r>
  <r>
    <d v="2001-06-04T00:00:00"/>
    <n v="2001"/>
    <x v="3"/>
    <s v="R"/>
    <s v="RS"/>
    <x v="3"/>
    <s v="POR"/>
    <s v="A"/>
    <n v="1"/>
    <n v="1"/>
    <n v="0"/>
    <n v="0"/>
    <n v="0"/>
    <n v="0"/>
    <n v="1508.0973002040819"/>
    <n v="1446.9464802507046"/>
    <n v="0.46716471125783704"/>
    <n v="69"/>
    <n v="71"/>
    <n v="1"/>
    <n v="-2"/>
    <n v="0"/>
    <n v="0.22936878119393939"/>
    <n v="1"/>
    <n v="75.400000000000006"/>
    <n v="75.400000000000006"/>
    <n v="-8.0793362330273641"/>
    <n v="1500.0179639710545"/>
    <n v="0"/>
    <n v="1"/>
    <n v="0"/>
    <n v="0"/>
    <n v="0"/>
    <n v="0"/>
    <n v="0"/>
    <n v="0"/>
    <n v="0"/>
    <n v="0"/>
  </r>
  <r>
    <d v="2001-06-04T00:00:00"/>
    <n v="2001"/>
    <x v="2"/>
    <s v="R"/>
    <s v="RS"/>
    <x v="10"/>
    <s v="PHX"/>
    <s v="H"/>
    <n v="1"/>
    <n v="1"/>
    <n v="0"/>
    <n v="0"/>
    <n v="0"/>
    <n v="0"/>
    <n v="1446.9464802507046"/>
    <n v="1508.0973002040819"/>
    <n v="0.5328352887421629"/>
    <n v="71"/>
    <n v="69"/>
    <n v="1"/>
    <n v="2"/>
    <n v="1"/>
    <n v="0.22936878119393939"/>
    <n v="1"/>
    <n v="75.55"/>
    <n v="75.55"/>
    <n v="8.0954091830930679"/>
    <n v="1455.0418894337977"/>
    <n v="1"/>
    <n v="0"/>
    <n v="0"/>
    <n v="0"/>
    <n v="0"/>
    <n v="0"/>
    <n v="0"/>
    <n v="0"/>
    <n v="0"/>
    <n v="0"/>
  </r>
  <r>
    <d v="2001-06-05T00:00:00"/>
    <n v="2001"/>
    <x v="1"/>
    <s v="R"/>
    <s v="RS"/>
    <x v="12"/>
    <s v="DET"/>
    <s v="A"/>
    <n v="3"/>
    <n v="2"/>
    <n v="1"/>
    <n v="-1"/>
    <n v="8"/>
    <n v="-8"/>
    <n v="1465.9389736466178"/>
    <n v="1458.8169214734378"/>
    <n v="0.41327532914191906"/>
    <n v="92"/>
    <n v="71"/>
    <n v="0"/>
    <n v="21"/>
    <n v="1"/>
    <n v="0.58510367369509075"/>
    <n v="1"/>
    <n v="75.7"/>
    <n v="75.7"/>
    <n v="25.987413359752082"/>
    <n v="1491.9263870063699"/>
    <n v="1"/>
    <n v="0"/>
    <n v="0"/>
    <n v="0"/>
    <n v="0"/>
    <n v="0"/>
    <n v="0"/>
    <n v="0"/>
    <n v="0"/>
    <n v="0"/>
  </r>
  <r>
    <d v="2001-06-05T00:00:00"/>
    <n v="2001"/>
    <x v="1"/>
    <s v="R"/>
    <s v="RS"/>
    <x v="14"/>
    <s v="ORL"/>
    <s v="H"/>
    <n v="2"/>
    <n v="3"/>
    <n v="-1"/>
    <n v="1"/>
    <n v="-8"/>
    <n v="8"/>
    <n v="1458.8169214734378"/>
    <n v="1465.9389736466178"/>
    <n v="0.586724670858081"/>
    <n v="71"/>
    <n v="92"/>
    <n v="0"/>
    <n v="-21"/>
    <n v="0"/>
    <n v="0.58510367369509075"/>
    <n v="1"/>
    <n v="75.7"/>
    <n v="75.7"/>
    <n v="-25.987413359752086"/>
    <n v="1432.8295081136857"/>
    <n v="0"/>
    <n v="1"/>
    <n v="0"/>
    <n v="0"/>
    <n v="0"/>
    <n v="0"/>
    <n v="0"/>
    <n v="0"/>
    <n v="0"/>
    <n v="0"/>
  </r>
  <r>
    <d v="2001-06-05T00:00:00"/>
    <n v="2001"/>
    <x v="2"/>
    <s v="R"/>
    <s v="RS"/>
    <x v="5"/>
    <s v="LAS"/>
    <s v="A"/>
    <n v="2"/>
    <n v="2"/>
    <n v="0"/>
    <n v="0"/>
    <n v="0"/>
    <n v="0"/>
    <n v="1513.4230496443713"/>
    <n v="1645.2903417750376"/>
    <n v="0.22397817646047952"/>
    <n v="50"/>
    <n v="58"/>
    <n v="0"/>
    <n v="-8"/>
    <n v="0"/>
    <n v="0.3498686729202225"/>
    <n v="1"/>
    <n v="75.55"/>
    <n v="75.55"/>
    <n v="-5.9203206731476792"/>
    <n v="1507.5027289712236"/>
    <n v="0"/>
    <n v="1"/>
    <n v="0"/>
    <n v="0"/>
    <n v="0"/>
    <n v="0"/>
    <n v="0"/>
    <n v="0"/>
    <n v="0"/>
    <n v="0"/>
  </r>
  <r>
    <d v="2001-06-05T00:00:00"/>
    <n v="2001"/>
    <x v="3"/>
    <s v="R"/>
    <s v="RS"/>
    <x v="0"/>
    <s v="CLE"/>
    <s v="H"/>
    <n v="2"/>
    <n v="2"/>
    <n v="0"/>
    <n v="0"/>
    <n v="0"/>
    <n v="0"/>
    <n v="1645.2903417750376"/>
    <n v="1513.4230496443713"/>
    <n v="0.77602182353952043"/>
    <n v="58"/>
    <n v="50"/>
    <n v="0"/>
    <n v="8"/>
    <n v="1"/>
    <n v="0.3498686729202225"/>
    <n v="1"/>
    <n v="75.400000000000006"/>
    <n v="75.400000000000006"/>
    <n v="5.9085662310434834"/>
    <n v="1651.1989080060812"/>
    <n v="1"/>
    <n v="0"/>
    <n v="0"/>
    <n v="0"/>
    <n v="0"/>
    <n v="0"/>
    <n v="0"/>
    <n v="0"/>
    <n v="0"/>
    <n v="0"/>
  </r>
  <r>
    <d v="2001-06-05T00:00:00"/>
    <n v="2001"/>
    <x v="3"/>
    <s v="R"/>
    <s v="RS"/>
    <x v="6"/>
    <s v="MIA"/>
    <s v="A"/>
    <n v="0"/>
    <n v="4"/>
    <n v="-4"/>
    <n v="4"/>
    <n v="-16"/>
    <n v="16"/>
    <n v="1414.4444323494199"/>
    <n v="1478.719219475797"/>
    <n v="0.26158531387962558"/>
    <n v="61"/>
    <n v="63"/>
    <n v="0"/>
    <n v="-2"/>
    <n v="0"/>
    <n v="0.25422446784859887"/>
    <n v="1"/>
    <n v="75.400000000000006"/>
    <n v="75.400000000000006"/>
    <n v="-5.0142045962414619"/>
    <n v="1409.4302277531785"/>
    <n v="0"/>
    <n v="1"/>
    <n v="0"/>
    <n v="0"/>
    <n v="0"/>
    <n v="0"/>
    <n v="0"/>
    <n v="0"/>
    <n v="0"/>
    <n v="0"/>
  </r>
  <r>
    <d v="2001-06-05T00:00:00"/>
    <n v="2001"/>
    <x v="1"/>
    <s v="R"/>
    <s v="RS"/>
    <x v="8"/>
    <s v="IND"/>
    <s v="H"/>
    <n v="4"/>
    <n v="0"/>
    <n v="4"/>
    <n v="-4"/>
    <n v="16"/>
    <n v="-16"/>
    <n v="1478.719219475797"/>
    <n v="1414.4444323494199"/>
    <n v="0.73841468612037442"/>
    <n v="63"/>
    <n v="61"/>
    <n v="0"/>
    <n v="2"/>
    <n v="1"/>
    <n v="0.25422446784859887"/>
    <n v="1"/>
    <n v="75.7"/>
    <n v="75.7"/>
    <n v="5.0341550124068792"/>
    <n v="1483.7533744882039"/>
    <n v="1"/>
    <n v="0"/>
    <n v="0"/>
    <n v="0"/>
    <n v="0"/>
    <n v="0"/>
    <n v="0"/>
    <n v="0"/>
    <n v="0"/>
    <n v="0"/>
  </r>
  <r>
    <d v="2001-06-05T00:00:00"/>
    <n v="2001"/>
    <x v="1"/>
    <s v="R"/>
    <s v="RS"/>
    <x v="13"/>
    <s v="PHX"/>
    <s v="A"/>
    <n v="2"/>
    <n v="0"/>
    <n v="2"/>
    <n v="-2"/>
    <n v="16"/>
    <n v="-16"/>
    <n v="1407.6610987271865"/>
    <n v="1500.0179639710545"/>
    <n v="0.30343685537223397"/>
    <n v="69"/>
    <n v="76"/>
    <n v="0"/>
    <n v="-7"/>
    <n v="0"/>
    <n v="0.3436578695318625"/>
    <n v="1"/>
    <n v="75.7"/>
    <n v="75.7"/>
    <n v="-7.8938796683785055"/>
    <n v="1399.767219058808"/>
    <n v="0"/>
    <n v="1"/>
    <n v="0"/>
    <n v="0"/>
    <n v="0"/>
    <n v="0"/>
    <n v="0"/>
    <n v="0"/>
    <n v="0"/>
    <n v="0"/>
  </r>
  <r>
    <d v="2001-06-05T00:00:00"/>
    <n v="2001"/>
    <x v="4"/>
    <s v="R"/>
    <s v="RS"/>
    <x v="3"/>
    <s v="CHA"/>
    <s v="H"/>
    <n v="0"/>
    <n v="2"/>
    <n v="-2"/>
    <n v="2"/>
    <n v="-16"/>
    <n v="16"/>
    <n v="1500.0179639710545"/>
    <n v="1407.6610987271865"/>
    <n v="0.69656314462776603"/>
    <n v="76"/>
    <n v="69"/>
    <n v="0"/>
    <n v="7"/>
    <n v="1"/>
    <n v="0.3436578695318625"/>
    <n v="1"/>
    <n v="75.25"/>
    <n v="75.25"/>
    <n v="7.8469543599139033"/>
    <n v="1507.8649183309685"/>
    <n v="1"/>
    <n v="0"/>
    <n v="0"/>
    <n v="0"/>
    <n v="0"/>
    <n v="0"/>
    <n v="0"/>
    <n v="0"/>
    <n v="0"/>
    <n v="0"/>
  </r>
  <r>
    <d v="2001-06-05T00:00:00"/>
    <n v="2001"/>
    <x v="3"/>
    <s v="R"/>
    <s v="RS"/>
    <x v="1"/>
    <s v="UTA"/>
    <s v="A"/>
    <n v="2"/>
    <n v="2"/>
    <n v="0"/>
    <n v="0"/>
    <n v="0"/>
    <n v="0"/>
    <n v="1656.2226743557112"/>
    <n v="1534.9999411569956"/>
    <n v="0.55336380446041844"/>
    <n v="72"/>
    <n v="68"/>
    <n v="0"/>
    <n v="4"/>
    <n v="1"/>
    <n v="0.28285865243922259"/>
    <n v="1"/>
    <n v="75.400000000000006"/>
    <n v="75.400000000000006"/>
    <n v="9.5256523950284002"/>
    <n v="1665.7483267507396"/>
    <n v="1"/>
    <n v="0"/>
    <n v="0"/>
    <n v="0"/>
    <n v="0"/>
    <n v="0"/>
    <n v="0"/>
    <n v="0"/>
    <n v="0"/>
    <n v="0"/>
  </r>
  <r>
    <d v="2001-06-05T00:00:00"/>
    <n v="2001"/>
    <x v="2"/>
    <s v="R"/>
    <s v="RS"/>
    <x v="2"/>
    <s v="HOU"/>
    <s v="H"/>
    <n v="2"/>
    <n v="2"/>
    <n v="0"/>
    <n v="0"/>
    <n v="0"/>
    <n v="0"/>
    <n v="1534.9999411569956"/>
    <n v="1656.2226743557112"/>
    <n v="0.44663619553958156"/>
    <n v="68"/>
    <n v="72"/>
    <n v="0"/>
    <n v="-4"/>
    <n v="0"/>
    <n v="0.28285865243922259"/>
    <n v="1"/>
    <n v="75.55"/>
    <n v="75.55"/>
    <n v="-9.5446026318885355"/>
    <n v="1525.4553385251072"/>
    <n v="0"/>
    <n v="1"/>
    <n v="0"/>
    <n v="0"/>
    <n v="0"/>
    <n v="0"/>
    <n v="0"/>
    <n v="0"/>
    <n v="0"/>
    <n v="0"/>
  </r>
  <r>
    <d v="2001-06-05T00:00:00"/>
    <n v="2001"/>
    <x v="2"/>
    <s v="R"/>
    <s v="RS"/>
    <x v="15"/>
    <s v="WAS"/>
    <s v="A"/>
    <n v="0"/>
    <n v="1"/>
    <n v="-1"/>
    <n v="1"/>
    <n v="-8"/>
    <n v="8"/>
    <n v="1580.1585305816122"/>
    <n v="1447.8884264614508"/>
    <n v="0.54630732736838494"/>
    <n v="72"/>
    <n v="75"/>
    <n v="0"/>
    <n v="-3"/>
    <n v="0"/>
    <n v="0.26137359401937205"/>
    <n v="1"/>
    <n v="75.55"/>
    <n v="75.55"/>
    <n v="-10.787807889780797"/>
    <n v="1569.3707226918314"/>
    <n v="0"/>
    <n v="1"/>
    <n v="0"/>
    <n v="0"/>
    <n v="0"/>
    <n v="0"/>
    <n v="0"/>
    <n v="0"/>
    <n v="0"/>
    <n v="0"/>
  </r>
  <r>
    <d v="2001-06-05T00:00:00"/>
    <n v="2001"/>
    <x v="2"/>
    <s v="R"/>
    <s v="RS"/>
    <x v="4"/>
    <s v="SAC"/>
    <s v="H"/>
    <n v="1"/>
    <n v="0"/>
    <n v="1"/>
    <n v="-1"/>
    <n v="8"/>
    <n v="-8"/>
    <n v="1447.8884264614508"/>
    <n v="1580.1585305816122"/>
    <n v="0.453692672631615"/>
    <n v="75"/>
    <n v="72"/>
    <n v="0"/>
    <n v="3"/>
    <n v="1"/>
    <n v="0.26137359401937205"/>
    <n v="1"/>
    <n v="75.55"/>
    <n v="75.55"/>
    <n v="10.787807889780797"/>
    <n v="1458.6762343512316"/>
    <n v="1"/>
    <n v="0"/>
    <n v="0"/>
    <n v="0"/>
    <n v="0"/>
    <n v="0"/>
    <n v="0"/>
    <n v="0"/>
    <n v="0"/>
    <n v="0"/>
  </r>
  <r>
    <d v="2001-06-07T00:00:00"/>
    <n v="2001"/>
    <x v="3"/>
    <s v="R"/>
    <s v="RS"/>
    <x v="7"/>
    <s v="CLE"/>
    <s v="A"/>
    <n v="2"/>
    <n v="1"/>
    <n v="1"/>
    <n v="-1"/>
    <n v="8"/>
    <n v="-8"/>
    <n v="1516.8388538505119"/>
    <n v="1507.5027289712236"/>
    <n v="0.41636915470088004"/>
    <n v="49"/>
    <n v="67"/>
    <n v="0"/>
    <n v="-18"/>
    <n v="0"/>
    <n v="0.54261235156361931"/>
    <n v="1"/>
    <n v="75.400000000000006"/>
    <n v="75.400000000000006"/>
    <n v="-17.034899279770389"/>
    <n v="1499.8039545707416"/>
    <n v="0"/>
    <n v="1"/>
    <n v="0"/>
    <n v="0"/>
    <n v="0"/>
    <n v="0"/>
    <n v="0"/>
    <n v="0"/>
    <n v="0"/>
    <n v="0"/>
  </r>
  <r>
    <d v="2001-06-07T00:00:00"/>
    <n v="2001"/>
    <x v="3"/>
    <s v="R"/>
    <s v="RS"/>
    <x v="5"/>
    <s v="NYL"/>
    <s v="H"/>
    <n v="1"/>
    <n v="2"/>
    <n v="-1"/>
    <n v="1"/>
    <n v="-8"/>
    <n v="8"/>
    <n v="1507.5027289712236"/>
    <n v="1516.8388538505119"/>
    <n v="0.58363084529912002"/>
    <n v="67"/>
    <n v="49"/>
    <n v="0"/>
    <n v="18"/>
    <n v="1"/>
    <n v="0.54261235156361931"/>
    <n v="1"/>
    <n v="75.400000000000006"/>
    <n v="75.400000000000006"/>
    <n v="17.034899279770386"/>
    <n v="1524.537628250994"/>
    <n v="1"/>
    <n v="0"/>
    <n v="0"/>
    <n v="0"/>
    <n v="0"/>
    <n v="0"/>
    <n v="0"/>
    <n v="0"/>
    <n v="0"/>
    <n v="0"/>
  </r>
  <r>
    <d v="2001-06-07T00:00:00"/>
    <n v="2001"/>
    <x v="2"/>
    <s v="R"/>
    <s v="RS"/>
    <x v="14"/>
    <s v="HOU"/>
    <s v="A"/>
    <n v="1"/>
    <n v="1"/>
    <n v="0"/>
    <n v="0"/>
    <n v="0"/>
    <n v="0"/>
    <n v="1432.8295081136857"/>
    <n v="1665.7483267507396"/>
    <n v="0.13891495430284925"/>
    <n v="66"/>
    <n v="87"/>
    <n v="0"/>
    <n v="-21"/>
    <n v="0"/>
    <n v="0.49290409068441593"/>
    <n v="1"/>
    <n v="75.55"/>
    <n v="75.55"/>
    <n v="-5.173040654561694"/>
    <n v="1427.6564674591241"/>
    <n v="0"/>
    <n v="1"/>
    <n v="0"/>
    <n v="0"/>
    <n v="0"/>
    <n v="0"/>
    <n v="0"/>
    <n v="0"/>
    <n v="0"/>
    <n v="0"/>
  </r>
  <r>
    <d v="2001-06-07T00:00:00"/>
    <n v="2001"/>
    <x v="4"/>
    <s v="R"/>
    <s v="RS"/>
    <x v="1"/>
    <s v="DET"/>
    <s v="H"/>
    <n v="1"/>
    <n v="1"/>
    <n v="0"/>
    <n v="0"/>
    <n v="0"/>
    <n v="0"/>
    <n v="1665.7483267507396"/>
    <n v="1432.8295081136857"/>
    <n v="0.86108504569715072"/>
    <n v="87"/>
    <n v="66"/>
    <n v="0"/>
    <n v="21"/>
    <n v="1"/>
    <n v="0.49290409068441593"/>
    <n v="1"/>
    <n v="75.25"/>
    <n v="75.25"/>
    <n v="5.1524991297917619"/>
    <n v="1670.9008258805313"/>
    <n v="1"/>
    <n v="0"/>
    <n v="0"/>
    <n v="0"/>
    <n v="0"/>
    <n v="0"/>
    <n v="0"/>
    <n v="0"/>
    <n v="0"/>
    <n v="0"/>
  </r>
  <r>
    <d v="2001-06-07T00:00:00"/>
    <n v="2001"/>
    <x v="2"/>
    <s v="R"/>
    <s v="RS"/>
    <x v="13"/>
    <s v="SAC"/>
    <s v="A"/>
    <n v="1"/>
    <n v="1"/>
    <n v="0"/>
    <n v="0"/>
    <n v="0"/>
    <n v="0"/>
    <n v="1399.767219058808"/>
    <n v="1569.3707226918314"/>
    <n v="0.18848887377192217"/>
    <n v="65"/>
    <n v="77"/>
    <n v="0"/>
    <n v="-12"/>
    <n v="0"/>
    <n v="0.39964510184146645"/>
    <n v="1"/>
    <n v="75.55"/>
    <n v="75.55"/>
    <n v="-5.6910798969272456"/>
    <n v="1394.0761391618807"/>
    <n v="0"/>
    <n v="1"/>
    <n v="0"/>
    <n v="0"/>
    <n v="0"/>
    <n v="0"/>
    <n v="0"/>
    <n v="0"/>
    <n v="0"/>
    <n v="0"/>
  </r>
  <r>
    <d v="2001-06-07T00:00:00"/>
    <n v="2001"/>
    <x v="3"/>
    <s v="R"/>
    <s v="RS"/>
    <x v="15"/>
    <s v="CHA"/>
    <s v="H"/>
    <n v="1"/>
    <n v="1"/>
    <n v="0"/>
    <n v="0"/>
    <n v="0"/>
    <n v="0"/>
    <n v="1569.3707226918314"/>
    <n v="1399.767219058808"/>
    <n v="0.81151112622807786"/>
    <n v="77"/>
    <n v="65"/>
    <n v="0"/>
    <n v="12"/>
    <n v="1"/>
    <n v="0.39964510184146645"/>
    <n v="1"/>
    <n v="75.400000000000006"/>
    <n v="75.400000000000006"/>
    <n v="5.6797805986540606"/>
    <n v="1575.0505032904855"/>
    <n v="1"/>
    <n v="0"/>
    <n v="0"/>
    <n v="0"/>
    <n v="0"/>
    <n v="0"/>
    <n v="0"/>
    <n v="0"/>
    <n v="0"/>
    <n v="0"/>
  </r>
  <r>
    <d v="2001-06-07T00:00:00"/>
    <n v="2001"/>
    <x v="2"/>
    <s v="R"/>
    <s v="RS"/>
    <x v="8"/>
    <s v="SEA"/>
    <s v="A"/>
    <n v="1"/>
    <n v="2"/>
    <n v="-1"/>
    <n v="1"/>
    <n v="-8"/>
    <n v="8"/>
    <n v="1483.7533744882039"/>
    <n v="1432.3523672293261"/>
    <n v="0.43051303534838525"/>
    <n v="70"/>
    <n v="57"/>
    <n v="0"/>
    <n v="13"/>
    <n v="1"/>
    <n v="0.45265466744167226"/>
    <n v="1"/>
    <n v="75.55"/>
    <n v="75.55"/>
    <n v="19.475349457684011"/>
    <n v="1503.2287239458879"/>
    <n v="1"/>
    <n v="0"/>
    <n v="0"/>
    <n v="0"/>
    <n v="0"/>
    <n v="0"/>
    <n v="0"/>
    <n v="0"/>
    <n v="0"/>
    <n v="0"/>
  </r>
  <r>
    <d v="2001-06-07T00:00:00"/>
    <n v="2001"/>
    <x v="3"/>
    <s v="R"/>
    <s v="RS"/>
    <x v="11"/>
    <s v="MIA"/>
    <s v="H"/>
    <n v="2"/>
    <n v="1"/>
    <n v="1"/>
    <n v="-1"/>
    <n v="8"/>
    <n v="-8"/>
    <n v="1432.3523672293261"/>
    <n v="1483.7533744882039"/>
    <n v="0.56948696465161475"/>
    <n v="57"/>
    <n v="70"/>
    <n v="0"/>
    <n v="-13"/>
    <n v="0"/>
    <n v="0.45265466744167226"/>
    <n v="1"/>
    <n v="75.400000000000006"/>
    <n v="75.400000000000006"/>
    <n v="-19.436682317794503"/>
    <n v="1412.9156849115316"/>
    <n v="0"/>
    <n v="1"/>
    <n v="0"/>
    <n v="0"/>
    <n v="0"/>
    <n v="0"/>
    <n v="0"/>
    <n v="0"/>
    <n v="0"/>
    <n v="0"/>
  </r>
  <r>
    <d v="2001-06-07T00:00:00"/>
    <n v="2001"/>
    <x v="2"/>
    <s v="R"/>
    <s v="RS"/>
    <x v="12"/>
    <s v="UTA"/>
    <s v="A"/>
    <n v="1"/>
    <n v="1"/>
    <n v="0"/>
    <n v="0"/>
    <n v="0"/>
    <n v="0"/>
    <n v="1491.9263870063699"/>
    <n v="1525.4553385251072"/>
    <n v="0.33703151129385067"/>
    <n v="79"/>
    <n v="82"/>
    <n v="0"/>
    <n v="-3"/>
    <n v="0"/>
    <n v="0.28229594845724232"/>
    <n v="1"/>
    <n v="75.55"/>
    <n v="75.55"/>
    <n v="-7.1880257071280225"/>
    <n v="1484.7383612992419"/>
    <n v="0"/>
    <n v="1"/>
    <n v="0"/>
    <n v="0"/>
    <n v="0"/>
    <n v="0"/>
    <n v="0"/>
    <n v="0"/>
    <n v="0"/>
    <n v="0"/>
  </r>
  <r>
    <d v="2001-06-07T00:00:00"/>
    <n v="2001"/>
    <x v="3"/>
    <s v="R"/>
    <s v="RS"/>
    <x v="2"/>
    <s v="ORL"/>
    <s v="H"/>
    <n v="1"/>
    <n v="1"/>
    <n v="0"/>
    <n v="0"/>
    <n v="0"/>
    <n v="0"/>
    <n v="1525.4553385251072"/>
    <n v="1491.9263870063699"/>
    <n v="0.66296848870614933"/>
    <n v="82"/>
    <n v="79"/>
    <n v="0"/>
    <n v="3"/>
    <n v="1"/>
    <n v="0.28229594845724232"/>
    <n v="1"/>
    <n v="75.400000000000006"/>
    <n v="75.400000000000006"/>
    <n v="7.1737543126069214"/>
    <n v="1532.6290928377141"/>
    <n v="1"/>
    <n v="0"/>
    <n v="0"/>
    <n v="0"/>
    <n v="0"/>
    <n v="0"/>
    <n v="0"/>
    <n v="0"/>
    <n v="0"/>
    <n v="0"/>
  </r>
  <r>
    <d v="2001-06-09T00:00:00"/>
    <n v="2001"/>
    <x v="4"/>
    <s v="R"/>
    <s v="RS"/>
    <x v="6"/>
    <s v="CLE"/>
    <s v="A"/>
    <n v="3"/>
    <n v="1"/>
    <n v="2"/>
    <n v="-2"/>
    <n v="16"/>
    <n v="-16"/>
    <n v="1409.4302277531785"/>
    <n v="1524.537628250994"/>
    <n v="0.27648843775370208"/>
    <n v="76"/>
    <n v="86"/>
    <n v="0"/>
    <n v="-10"/>
    <n v="0"/>
    <n v="0.3860944277300371"/>
    <n v="1"/>
    <n v="75.25"/>
    <n v="75.25"/>
    <n v="-8.0329860474236909"/>
    <n v="1401.3972417057548"/>
    <n v="0"/>
    <n v="1"/>
    <n v="0"/>
    <n v="0"/>
    <n v="0"/>
    <n v="0"/>
    <n v="0"/>
    <n v="0"/>
    <n v="0"/>
    <n v="0"/>
  </r>
  <r>
    <d v="2001-06-09T00:00:00"/>
    <n v="2001"/>
    <x v="4"/>
    <s v="R"/>
    <s v="RS"/>
    <x v="5"/>
    <s v="IND"/>
    <s v="H"/>
    <n v="1"/>
    <n v="3"/>
    <n v="-2"/>
    <n v="2"/>
    <n v="-16"/>
    <n v="16"/>
    <n v="1524.537628250994"/>
    <n v="1409.4302277531785"/>
    <n v="0.72351156224629798"/>
    <n v="86"/>
    <n v="76"/>
    <n v="0"/>
    <n v="10"/>
    <n v="1"/>
    <n v="0.3860944277300371"/>
    <n v="1"/>
    <n v="75.25"/>
    <n v="75.25"/>
    <n v="8.0329860474236892"/>
    <n v="1532.5706142984177"/>
    <n v="1"/>
    <n v="0"/>
    <n v="0"/>
    <n v="0"/>
    <n v="0"/>
    <n v="0"/>
    <n v="0"/>
    <n v="0"/>
    <n v="0"/>
    <n v="0"/>
  </r>
  <r>
    <d v="2001-06-09T00:00:00"/>
    <n v="2001"/>
    <x v="4"/>
    <s v="R"/>
    <s v="RS"/>
    <x v="0"/>
    <s v="MIN"/>
    <s v="A"/>
    <n v="3"/>
    <n v="6"/>
    <n v="-3"/>
    <n v="3"/>
    <n v="-16"/>
    <n v="16"/>
    <n v="1651.1989080060812"/>
    <n v="1491.6835647359517"/>
    <n v="0.56229819858853214"/>
    <n v="62"/>
    <n v="60"/>
    <n v="0"/>
    <n v="2"/>
    <n v="1"/>
    <n v="0.23641482721224516"/>
    <n v="1"/>
    <n v="75.25"/>
    <n v="75.25"/>
    <n v="7.7868094802763412"/>
    <n v="1658.9857174863575"/>
    <n v="1"/>
    <n v="0"/>
    <n v="0"/>
    <n v="0"/>
    <n v="0"/>
    <n v="0"/>
    <n v="0"/>
    <n v="0"/>
    <n v="0"/>
    <n v="0"/>
  </r>
  <r>
    <d v="2001-06-09T00:00:00"/>
    <n v="2001"/>
    <x v="2"/>
    <s v="R"/>
    <s v="RS"/>
    <x v="9"/>
    <s v="LAS"/>
    <s v="H"/>
    <n v="6"/>
    <n v="3"/>
    <n v="3"/>
    <n v="-3"/>
    <n v="16"/>
    <n v="-16"/>
    <n v="1491.6835647359517"/>
    <n v="1651.1989080060812"/>
    <n v="0.43770180141146786"/>
    <n v="60"/>
    <n v="62"/>
    <n v="0"/>
    <n v="-2"/>
    <n v="0"/>
    <n v="0.23641482721224516"/>
    <n v="1"/>
    <n v="75.55"/>
    <n v="75.55"/>
    <n v="-7.8178532390016953"/>
    <n v="1483.8657114969499"/>
    <n v="0"/>
    <n v="1"/>
    <n v="0"/>
    <n v="0"/>
    <n v="0"/>
    <n v="0"/>
    <n v="0"/>
    <n v="0"/>
    <n v="0"/>
    <n v="0"/>
  </r>
  <r>
    <d v="2001-06-09T00:00:00"/>
    <n v="2001"/>
    <x v="3"/>
    <s v="R"/>
    <s v="RS"/>
    <x v="13"/>
    <s v="ORL"/>
    <s v="A"/>
    <n v="1"/>
    <n v="1"/>
    <n v="0"/>
    <n v="0"/>
    <n v="0"/>
    <n v="0"/>
    <n v="1394.0761391618807"/>
    <n v="1484.7383612992419"/>
    <n v="0.26787386999115037"/>
    <n v="86"/>
    <n v="79"/>
    <n v="0"/>
    <n v="7"/>
    <n v="1"/>
    <n v="0.34410909327546491"/>
    <n v="1"/>
    <n v="75.400000000000006"/>
    <n v="75.400000000000006"/>
    <n v="18.99561691055078"/>
    <n v="1413.0717560724315"/>
    <n v="1"/>
    <n v="0"/>
    <n v="0"/>
    <n v="0"/>
    <n v="0"/>
    <n v="0"/>
    <n v="0"/>
    <n v="0"/>
    <n v="0"/>
    <n v="0"/>
  </r>
  <r>
    <d v="2001-06-09T00:00:00"/>
    <n v="2001"/>
    <x v="3"/>
    <s v="R"/>
    <s v="RS"/>
    <x v="12"/>
    <s v="CHA"/>
    <s v="H"/>
    <n v="1"/>
    <n v="1"/>
    <n v="0"/>
    <n v="0"/>
    <n v="0"/>
    <n v="0"/>
    <n v="1484.7383612992419"/>
    <n v="1394.0761391618807"/>
    <n v="0.73212613000884963"/>
    <n v="79"/>
    <n v="86"/>
    <n v="0"/>
    <n v="-7"/>
    <n v="0"/>
    <n v="0.34410909327546491"/>
    <n v="1"/>
    <n v="75.400000000000006"/>
    <n v="75.400000000000006"/>
    <n v="-18.99561691055078"/>
    <n v="1465.7427443886911"/>
    <n v="0"/>
    <n v="1"/>
    <n v="0"/>
    <n v="0"/>
    <n v="0"/>
    <n v="0"/>
    <n v="0"/>
    <n v="0"/>
    <n v="0"/>
    <n v="0"/>
  </r>
  <r>
    <d v="2001-06-09T00:00:00"/>
    <n v="2001"/>
    <x v="3"/>
    <s v="R"/>
    <s v="RS"/>
    <x v="8"/>
    <s v="SAC"/>
    <s v="A"/>
    <n v="1"/>
    <n v="1"/>
    <n v="0"/>
    <n v="0"/>
    <n v="0"/>
    <n v="0"/>
    <n v="1503.2287239458879"/>
    <n v="1575.0505032904855"/>
    <n v="0.28967103725802779"/>
    <n v="71"/>
    <n v="67"/>
    <n v="0"/>
    <n v="4"/>
    <n v="1"/>
    <n v="0.29384563777264638"/>
    <n v="1"/>
    <n v="75.400000000000006"/>
    <n v="75.400000000000006"/>
    <n v="15.738020858231408"/>
    <n v="1518.9667448041193"/>
    <n v="1"/>
    <n v="0"/>
    <n v="0"/>
    <n v="0"/>
    <n v="0"/>
    <n v="0"/>
    <n v="0"/>
    <n v="0"/>
    <n v="0"/>
    <n v="0"/>
  </r>
  <r>
    <d v="2001-06-09T00:00:00"/>
    <n v="2001"/>
    <x v="4"/>
    <s v="R"/>
    <s v="RS"/>
    <x v="15"/>
    <s v="MIA"/>
    <s v="H"/>
    <n v="1"/>
    <n v="1"/>
    <n v="0"/>
    <n v="0"/>
    <n v="0"/>
    <n v="0"/>
    <n v="1575.0505032904855"/>
    <n v="1503.2287239458879"/>
    <n v="0.71032896274197221"/>
    <n v="67"/>
    <n v="71"/>
    <n v="0"/>
    <n v="-4"/>
    <n v="0"/>
    <n v="0.29384563777264638"/>
    <n v="1"/>
    <n v="75.25"/>
    <n v="75.25"/>
    <n v="-15.706711798168612"/>
    <n v="1559.343791492317"/>
    <n v="0"/>
    <n v="1"/>
    <n v="0"/>
    <n v="0"/>
    <n v="0"/>
    <n v="0"/>
    <n v="0"/>
    <n v="0"/>
    <n v="0"/>
    <n v="0"/>
  </r>
  <r>
    <d v="2001-06-09T00:00:00"/>
    <n v="2001"/>
    <x v="4"/>
    <s v="R"/>
    <s v="RS"/>
    <x v="11"/>
    <s v="UTA"/>
    <s v="A"/>
    <n v="1"/>
    <n v="1"/>
    <n v="0"/>
    <n v="0"/>
    <n v="0"/>
    <n v="0"/>
    <n v="1412.9156849115316"/>
    <n v="1532.6290928377141"/>
    <n v="0.23637295368482106"/>
    <n v="73"/>
    <n v="65"/>
    <n v="0"/>
    <n v="8"/>
    <n v="1"/>
    <n v="0.35309078410884104"/>
    <n v="1"/>
    <n v="75.25"/>
    <n v="75.25"/>
    <n v="20.289632859398399"/>
    <n v="1433.2053177709299"/>
    <n v="1"/>
    <n v="0"/>
    <n v="0"/>
    <n v="0"/>
    <n v="0"/>
    <n v="0"/>
    <n v="0"/>
    <n v="0"/>
    <n v="0"/>
    <n v="0"/>
  </r>
  <r>
    <d v="2001-06-09T00:00:00"/>
    <n v="2001"/>
    <x v="4"/>
    <s v="R"/>
    <s v="RS"/>
    <x v="2"/>
    <s v="SEA"/>
    <s v="H"/>
    <n v="1"/>
    <n v="1"/>
    <n v="0"/>
    <n v="0"/>
    <n v="0"/>
    <n v="0"/>
    <n v="1532.6290928377141"/>
    <n v="1412.9156849115316"/>
    <n v="0.76362704631517897"/>
    <n v="65"/>
    <n v="73"/>
    <n v="0"/>
    <n v="-8"/>
    <n v="0"/>
    <n v="0.35309078410884104"/>
    <n v="1"/>
    <n v="75.25"/>
    <n v="75.25"/>
    <n v="-20.289632859398399"/>
    <n v="1512.3394599783157"/>
    <n v="0"/>
    <n v="1"/>
    <n v="0"/>
    <n v="0"/>
    <n v="0"/>
    <n v="0"/>
    <n v="0"/>
    <n v="0"/>
    <n v="0"/>
    <n v="0"/>
  </r>
  <r>
    <d v="2001-06-10T00:00:00"/>
    <n v="2001"/>
    <x v="5"/>
    <s v="R"/>
    <s v="RS"/>
    <x v="1"/>
    <s v="PHX"/>
    <s v="A"/>
    <n v="2"/>
    <n v="4"/>
    <n v="-2"/>
    <n v="2"/>
    <n v="-16"/>
    <n v="16"/>
    <n v="1670.9008258805313"/>
    <n v="1507.8649183309685"/>
    <n v="0.56727958452765437"/>
    <n v="60"/>
    <n v="58"/>
    <n v="0"/>
    <n v="2"/>
    <n v="1"/>
    <n v="0.23580419502625372"/>
    <n v="1"/>
    <n v="75.099999999999994"/>
    <n v="75.099999999999994"/>
    <n v="7.6630004220653776"/>
    <n v="1678.5638263025967"/>
    <n v="1"/>
    <n v="0"/>
    <n v="0"/>
    <n v="0"/>
    <n v="0"/>
    <n v="0"/>
    <n v="0"/>
    <n v="0"/>
    <n v="0"/>
    <n v="0"/>
  </r>
  <r>
    <d v="2001-06-10T00:00:00"/>
    <n v="2001"/>
    <x v="5"/>
    <s v="R"/>
    <s v="RS"/>
    <x v="3"/>
    <s v="HOU"/>
    <s v="H"/>
    <n v="4"/>
    <n v="2"/>
    <n v="2"/>
    <n v="-2"/>
    <n v="16"/>
    <n v="-16"/>
    <n v="1507.8649183309685"/>
    <n v="1670.9008258805313"/>
    <n v="0.43272041547234558"/>
    <n v="58"/>
    <n v="60"/>
    <n v="0"/>
    <n v="-2"/>
    <n v="0"/>
    <n v="0.23580419502625372"/>
    <n v="1"/>
    <n v="75.099999999999994"/>
    <n v="75.099999999999994"/>
    <n v="-7.6630004220653767"/>
    <n v="1500.2019179089032"/>
    <n v="0"/>
    <n v="1"/>
    <n v="0"/>
    <n v="0"/>
    <n v="0"/>
    <n v="0"/>
    <n v="0"/>
    <n v="0"/>
    <n v="0"/>
    <n v="0"/>
  </r>
  <r>
    <d v="2001-06-10T00:00:00"/>
    <n v="2001"/>
    <x v="4"/>
    <s v="R"/>
    <s v="RS"/>
    <x v="7"/>
    <s v="WAS"/>
    <s v="A"/>
    <n v="2"/>
    <n v="4"/>
    <n v="-2"/>
    <n v="2"/>
    <n v="-16"/>
    <n v="16"/>
    <n v="1499.8039545707416"/>
    <n v="1458.6762343512316"/>
    <n v="0.39388768827544046"/>
    <n v="81"/>
    <n v="80"/>
    <n v="0"/>
    <n v="1"/>
    <n v="1"/>
    <n v="0.23608819655283214"/>
    <n v="1"/>
    <n v="75.25"/>
    <n v="75.25"/>
    <n v="10.767971184409825"/>
    <n v="1510.5719257551514"/>
    <n v="1"/>
    <n v="0"/>
    <n v="0"/>
    <n v="0"/>
    <n v="0"/>
    <n v="0"/>
    <n v="0"/>
    <n v="0"/>
    <n v="0"/>
    <n v="0"/>
  </r>
  <r>
    <d v="2001-06-10T00:00:00"/>
    <n v="2001"/>
    <x v="3"/>
    <s v="R"/>
    <s v="RS"/>
    <x v="4"/>
    <s v="NYL"/>
    <s v="H"/>
    <n v="4"/>
    <n v="2"/>
    <n v="2"/>
    <n v="-2"/>
    <n v="16"/>
    <n v="-16"/>
    <n v="1458.6762343512316"/>
    <n v="1499.8039545707416"/>
    <n v="0.60611231172455948"/>
    <n v="80"/>
    <n v="81"/>
    <n v="0"/>
    <n v="-1"/>
    <n v="0"/>
    <n v="0.23608819655283214"/>
    <n v="1"/>
    <n v="75.400000000000006"/>
    <n v="75.400000000000006"/>
    <n v="-10.789435578797352"/>
    <n v="1447.8867987724343"/>
    <n v="0"/>
    <n v="1"/>
    <n v="0"/>
    <n v="0"/>
    <n v="0"/>
    <n v="0"/>
    <n v="0"/>
    <n v="0"/>
    <n v="0"/>
    <n v="0"/>
  </r>
  <r>
    <d v="2001-06-12T00:00:00"/>
    <n v="2001"/>
    <x v="3"/>
    <s v="R"/>
    <s v="RS"/>
    <x v="14"/>
    <s v="MIA"/>
    <s v="A"/>
    <n v="4"/>
    <n v="2"/>
    <n v="2"/>
    <n v="-2"/>
    <n v="16"/>
    <n v="-16"/>
    <n v="1427.6564674591241"/>
    <n v="1518.9667448041193"/>
    <n v="0.30471174773195642"/>
    <n v="68"/>
    <n v="67"/>
    <n v="1"/>
    <n v="1"/>
    <n v="1"/>
    <n v="0.20422205977073724"/>
    <n v="1"/>
    <n v="75.400000000000006"/>
    <n v="75.400000000000006"/>
    <n v="10.706287205548218"/>
    <n v="1438.3627546646724"/>
    <n v="1"/>
    <n v="0"/>
    <n v="0"/>
    <n v="0"/>
    <n v="0"/>
    <n v="0"/>
    <n v="0"/>
    <n v="0"/>
    <n v="0"/>
    <n v="0"/>
  </r>
  <r>
    <d v="2001-06-12T00:00:00"/>
    <n v="2001"/>
    <x v="4"/>
    <s v="R"/>
    <s v="RS"/>
    <x v="8"/>
    <s v="DET"/>
    <s v="H"/>
    <n v="2"/>
    <n v="4"/>
    <n v="-2"/>
    <n v="2"/>
    <n v="-16"/>
    <n v="16"/>
    <n v="1518.9667448041193"/>
    <n v="1427.6564674591241"/>
    <n v="0.69528825226804358"/>
    <n v="67"/>
    <n v="68"/>
    <n v="1"/>
    <n v="-1"/>
    <n v="0"/>
    <n v="0.20422205977073724"/>
    <n v="1"/>
    <n v="75.25"/>
    <n v="75.25"/>
    <n v="-10.68498822569633"/>
    <n v="1508.281756578423"/>
    <n v="0"/>
    <n v="1"/>
    <n v="0"/>
    <n v="0"/>
    <n v="0"/>
    <n v="0"/>
    <n v="0"/>
    <n v="0"/>
    <n v="0"/>
    <n v="0"/>
  </r>
  <r>
    <d v="2001-06-12T00:00:00"/>
    <n v="2001"/>
    <x v="5"/>
    <s v="R"/>
    <s v="RS"/>
    <x v="6"/>
    <s v="MIN"/>
    <s v="A"/>
    <n v="2"/>
    <n v="2"/>
    <n v="0"/>
    <n v="0"/>
    <n v="0"/>
    <n v="0"/>
    <n v="1401.3972417057548"/>
    <n v="1483.8657114969499"/>
    <n v="0.27722479503610548"/>
    <n v="65"/>
    <n v="60"/>
    <n v="0"/>
    <n v="5"/>
    <n v="1"/>
    <n v="0.3104225795261189"/>
    <n v="1"/>
    <n v="75.099999999999994"/>
    <n v="75.099999999999994"/>
    <n v="16.849867340035097"/>
    <n v="1418.24710904579"/>
    <n v="1"/>
    <n v="0"/>
    <n v="0"/>
    <n v="0"/>
    <n v="0"/>
    <n v="0"/>
    <n v="0"/>
    <n v="0"/>
    <n v="0"/>
    <n v="0"/>
  </r>
  <r>
    <d v="2001-06-12T00:00:00"/>
    <n v="2001"/>
    <x v="3"/>
    <s v="R"/>
    <s v="RS"/>
    <x v="9"/>
    <s v="IND"/>
    <s v="H"/>
    <n v="2"/>
    <n v="2"/>
    <n v="0"/>
    <n v="0"/>
    <n v="0"/>
    <n v="0"/>
    <n v="1483.8657114969499"/>
    <n v="1401.3972417057548"/>
    <n v="0.72277520496389458"/>
    <n v="60"/>
    <n v="65"/>
    <n v="0"/>
    <n v="-5"/>
    <n v="0"/>
    <n v="0.3104225795261189"/>
    <n v="1"/>
    <n v="75.400000000000006"/>
    <n v="75.400000000000006"/>
    <n v="-16.917177063097824"/>
    <n v="1466.948534433852"/>
    <n v="0"/>
    <n v="1"/>
    <n v="0"/>
    <n v="0"/>
    <n v="0"/>
    <n v="0"/>
    <n v="0"/>
    <n v="0"/>
    <n v="0"/>
    <n v="0"/>
  </r>
  <r>
    <d v="2001-06-12T00:00:00"/>
    <n v="2001"/>
    <x v="4"/>
    <s v="R"/>
    <s v="RS"/>
    <x v="13"/>
    <s v="NYL"/>
    <s v="A"/>
    <n v="2"/>
    <n v="1"/>
    <n v="1"/>
    <n v="-1"/>
    <n v="8"/>
    <n v="-8"/>
    <n v="1413.0717560724315"/>
    <n v="1510.5719257551514"/>
    <n v="0.27834304652960501"/>
    <n v="70"/>
    <n v="79"/>
    <n v="0"/>
    <n v="-9"/>
    <n v="0"/>
    <n v="0.37546494710348971"/>
    <n v="1"/>
    <n v="75.25"/>
    <n v="75.25"/>
    <n v="-7.8642313074501402"/>
    <n v="1405.2075247649814"/>
    <n v="0"/>
    <n v="1"/>
    <n v="0"/>
    <n v="0"/>
    <n v="0"/>
    <n v="0"/>
    <n v="0"/>
    <n v="0"/>
    <n v="0"/>
    <n v="0"/>
  </r>
  <r>
    <d v="2001-06-12T00:00:00"/>
    <n v="2001"/>
    <x v="5"/>
    <s v="R"/>
    <s v="RS"/>
    <x v="7"/>
    <s v="CHA"/>
    <s v="H"/>
    <n v="1"/>
    <n v="2"/>
    <n v="-1"/>
    <n v="1"/>
    <n v="-8"/>
    <n v="8"/>
    <n v="1510.5719257551514"/>
    <n v="1413.0717560724315"/>
    <n v="0.72165695347039494"/>
    <n v="79"/>
    <n v="70"/>
    <n v="0"/>
    <n v="9"/>
    <n v="1"/>
    <n v="0.37546494710348971"/>
    <n v="1"/>
    <n v="75.099999999999994"/>
    <n v="75.099999999999994"/>
    <n v="7.8485550988638613"/>
    <n v="1518.4204808540153"/>
    <n v="1"/>
    <n v="0"/>
    <n v="0"/>
    <n v="0"/>
    <n v="0"/>
    <n v="0"/>
    <n v="0"/>
    <n v="0"/>
    <n v="0"/>
    <n v="0"/>
  </r>
  <r>
    <d v="2001-06-12T00:00:00"/>
    <n v="2001"/>
    <x v="5"/>
    <s v="R"/>
    <s v="RS"/>
    <x v="15"/>
    <s v="PHX"/>
    <s v="A"/>
    <n v="2"/>
    <n v="1"/>
    <n v="1"/>
    <n v="-1"/>
    <n v="8"/>
    <n v="-8"/>
    <n v="1559.343791492317"/>
    <n v="1500.2019179089032"/>
    <n v="0.48725489280962764"/>
    <n v="64"/>
    <n v="78"/>
    <n v="0"/>
    <n v="-14"/>
    <n v="0"/>
    <n v="0.46470515874092144"/>
    <n v="1"/>
    <n v="75.099999999999994"/>
    <n v="75.099999999999994"/>
    <n v="-17.004882659510187"/>
    <n v="1542.3389088328067"/>
    <n v="0"/>
    <n v="1"/>
    <n v="0"/>
    <n v="0"/>
    <n v="0"/>
    <n v="0"/>
    <n v="0"/>
    <n v="0"/>
    <n v="0"/>
    <n v="0"/>
  </r>
  <r>
    <d v="2001-06-12T00:00:00"/>
    <n v="2001"/>
    <x v="6"/>
    <s v="R"/>
    <s v="RS"/>
    <x v="3"/>
    <s v="SAC"/>
    <s v="H"/>
    <n v="1"/>
    <n v="2"/>
    <n v="-1"/>
    <n v="1"/>
    <n v="-8"/>
    <n v="8"/>
    <n v="1500.2019179089032"/>
    <n v="1559.343791492317"/>
    <n v="0.51274510719037236"/>
    <n v="78"/>
    <n v="64"/>
    <n v="0"/>
    <n v="14"/>
    <n v="1"/>
    <n v="0.46470515874092144"/>
    <n v="1"/>
    <n v="74.95"/>
    <n v="74.95"/>
    <n v="16.970918180163633"/>
    <n v="1517.1728360890668"/>
    <n v="1"/>
    <n v="0"/>
    <n v="0"/>
    <n v="0"/>
    <n v="0"/>
    <n v="0"/>
    <n v="0"/>
    <n v="0"/>
    <n v="0"/>
    <n v="0"/>
  </r>
  <r>
    <d v="2001-06-12T00:00:00"/>
    <n v="2001"/>
    <x v="5"/>
    <s v="R"/>
    <s v="RS"/>
    <x v="5"/>
    <s v="POR"/>
    <s v="A"/>
    <n v="2"/>
    <n v="7"/>
    <n v="-5"/>
    <n v="5"/>
    <n v="-16"/>
    <n v="16"/>
    <n v="1532.5706142984177"/>
    <n v="1455.0418894337977"/>
    <n v="0.44486055483794862"/>
    <n v="62"/>
    <n v="67"/>
    <n v="0"/>
    <n v="-5"/>
    <n v="0"/>
    <n v="0.31162287219466217"/>
    <n v="1"/>
    <n v="75.099999999999994"/>
    <n v="75.099999999999994"/>
    <n v="-10.411017159235913"/>
    <n v="1522.1595971391819"/>
    <n v="0"/>
    <n v="1"/>
    <n v="0"/>
    <n v="0"/>
    <n v="0"/>
    <n v="0"/>
    <n v="0"/>
    <n v="0"/>
    <n v="0"/>
    <n v="0"/>
  </r>
  <r>
    <d v="2001-06-12T00:00:00"/>
    <n v="2001"/>
    <x v="3"/>
    <s v="R"/>
    <s v="RS"/>
    <x v="10"/>
    <s v="CLE"/>
    <s v="H"/>
    <n v="7"/>
    <n v="2"/>
    <n v="5"/>
    <n v="-5"/>
    <n v="16"/>
    <n v="-16"/>
    <n v="1455.0418894337977"/>
    <n v="1532.5706142984177"/>
    <n v="0.55513944516205149"/>
    <n v="67"/>
    <n v="62"/>
    <n v="0"/>
    <n v="5"/>
    <n v="1"/>
    <n v="0.31162287219466217"/>
    <n v="1"/>
    <n v="75.400000000000006"/>
    <n v="75.400000000000006"/>
    <n v="10.452605776383326"/>
    <n v="1465.494495210181"/>
    <n v="1"/>
    <n v="0"/>
    <n v="0"/>
    <n v="0"/>
    <n v="0"/>
    <n v="0"/>
    <n v="0"/>
    <n v="0"/>
    <n v="0"/>
    <n v="0"/>
  </r>
  <r>
    <d v="2001-06-12T00:00:00"/>
    <n v="2001"/>
    <x v="4"/>
    <s v="R"/>
    <s v="RS"/>
    <x v="12"/>
    <s v="SEA"/>
    <s v="A"/>
    <n v="2"/>
    <n v="2"/>
    <n v="0"/>
    <n v="0"/>
    <n v="0"/>
    <n v="0"/>
    <n v="1465.7427443886911"/>
    <n v="1433.2053177709299"/>
    <n v="0.4264763191548675"/>
    <n v="63"/>
    <n v="70"/>
    <n v="0"/>
    <n v="-7"/>
    <n v="0"/>
    <n v="0.36033681200523798"/>
    <n v="1"/>
    <n v="75.25"/>
    <n v="75.25"/>
    <n v="-11.564052572309501"/>
    <n v="1454.1786918163816"/>
    <n v="0"/>
    <n v="1"/>
    <n v="0"/>
    <n v="0"/>
    <n v="0"/>
    <n v="0"/>
    <n v="0"/>
    <n v="0"/>
    <n v="0"/>
    <n v="0"/>
  </r>
  <r>
    <d v="2001-06-12T00:00:00"/>
    <n v="2001"/>
    <x v="5"/>
    <s v="R"/>
    <s v="RS"/>
    <x v="11"/>
    <s v="ORL"/>
    <s v="H"/>
    <n v="2"/>
    <n v="2"/>
    <n v="0"/>
    <n v="0"/>
    <n v="0"/>
    <n v="0"/>
    <n v="1433.2053177709299"/>
    <n v="1465.7427443886911"/>
    <n v="0.5735236808451325"/>
    <n v="70"/>
    <n v="63"/>
    <n v="0"/>
    <n v="7"/>
    <n v="1"/>
    <n v="0.36033681200523798"/>
    <n v="1"/>
    <n v="75.099999999999994"/>
    <n v="75.099999999999994"/>
    <n v="11.541001304723501"/>
    <n v="1444.7463190756534"/>
    <n v="1"/>
    <n v="0"/>
    <n v="0"/>
    <n v="0"/>
    <n v="0"/>
    <n v="0"/>
    <n v="0"/>
    <n v="0"/>
    <n v="0"/>
    <n v="0"/>
  </r>
  <r>
    <d v="2001-06-14T00:00:00"/>
    <n v="2001"/>
    <x v="5"/>
    <s v="R"/>
    <s v="RS"/>
    <x v="2"/>
    <s v="CHA"/>
    <s v="A"/>
    <n v="4"/>
    <n v="1"/>
    <n v="3"/>
    <n v="-3"/>
    <n v="16"/>
    <n v="-16"/>
    <n v="1512.3394599783157"/>
    <n v="1405.2075247649814"/>
    <n v="0.57868193161147841"/>
    <n v="73"/>
    <n v="59"/>
    <n v="0"/>
    <n v="14"/>
    <n v="1"/>
    <n v="0.44764396651775146"/>
    <n v="1"/>
    <n v="75.099999999999994"/>
    <n v="75.099999999999994"/>
    <n v="14.163896896557532"/>
    <n v="1526.5033568748734"/>
    <n v="1"/>
    <n v="0"/>
    <n v="0"/>
    <n v="0"/>
    <n v="0"/>
    <n v="0"/>
    <n v="0"/>
    <n v="0"/>
    <n v="0"/>
    <n v="0"/>
  </r>
  <r>
    <d v="2001-06-14T00:00:00"/>
    <n v="2001"/>
    <x v="5"/>
    <s v="R"/>
    <s v="RS"/>
    <x v="13"/>
    <s v="UTA"/>
    <s v="H"/>
    <n v="1"/>
    <n v="4"/>
    <n v="-3"/>
    <n v="3"/>
    <n v="-16"/>
    <n v="16"/>
    <n v="1405.2075247649814"/>
    <n v="1512.3394599783157"/>
    <n v="0.42131806838852148"/>
    <n v="59"/>
    <n v="73"/>
    <n v="0"/>
    <n v="-14"/>
    <n v="0"/>
    <n v="0.44764396651775146"/>
    <n v="1"/>
    <n v="75.099999999999994"/>
    <n v="75.099999999999994"/>
    <n v="-14.163896896557528"/>
    <n v="1391.0436278684238"/>
    <n v="0"/>
    <n v="1"/>
    <n v="0"/>
    <n v="0"/>
    <n v="0"/>
    <n v="0"/>
    <n v="0"/>
    <n v="0"/>
    <n v="0"/>
    <n v="0"/>
  </r>
  <r>
    <d v="2001-06-14T00:00:00"/>
    <n v="2001"/>
    <x v="4"/>
    <s v="R"/>
    <s v="RS"/>
    <x v="4"/>
    <s v="DET"/>
    <s v="A"/>
    <n v="3"/>
    <n v="1"/>
    <n v="2"/>
    <n v="-2"/>
    <n v="16"/>
    <n v="-16"/>
    <n v="1447.8867987724343"/>
    <n v="1438.3627546646724"/>
    <n v="0.43917492361724109"/>
    <n v="65"/>
    <n v="80"/>
    <n v="0"/>
    <n v="-15"/>
    <n v="0"/>
    <n v="0.49888849799562562"/>
    <n v="1"/>
    <n v="75.25"/>
    <n v="75.25"/>
    <n v="-16.487223679556362"/>
    <n v="1431.399575092878"/>
    <n v="0"/>
    <n v="1"/>
    <n v="0"/>
    <n v="0"/>
    <n v="0"/>
    <n v="0"/>
    <n v="0"/>
    <n v="0"/>
    <n v="0"/>
    <n v="0"/>
  </r>
  <r>
    <d v="2001-06-14T00:00:00"/>
    <n v="2001"/>
    <x v="4"/>
    <s v="R"/>
    <s v="RS"/>
    <x v="14"/>
    <s v="WAS"/>
    <s v="H"/>
    <n v="1"/>
    <n v="3"/>
    <n v="-2"/>
    <n v="2"/>
    <n v="-16"/>
    <n v="16"/>
    <n v="1438.3627546646724"/>
    <n v="1447.8867987724343"/>
    <n v="0.56082507638275891"/>
    <n v="80"/>
    <n v="65"/>
    <n v="0"/>
    <n v="15"/>
    <n v="1"/>
    <n v="0.49888849799562562"/>
    <n v="1"/>
    <n v="75.25"/>
    <n v="75.25"/>
    <n v="16.487223679556362"/>
    <n v="1454.8499783442287"/>
    <n v="1"/>
    <n v="0"/>
    <n v="0"/>
    <n v="0"/>
    <n v="0"/>
    <n v="0"/>
    <n v="0"/>
    <n v="0"/>
    <n v="0"/>
    <n v="0"/>
  </r>
  <r>
    <d v="2001-06-14T00:00:00"/>
    <n v="2001"/>
    <x v="5"/>
    <s v="R"/>
    <s v="RS"/>
    <x v="12"/>
    <s v="LAS"/>
    <s v="A"/>
    <n v="1"/>
    <n v="4"/>
    <n v="-3"/>
    <n v="3"/>
    <n v="-16"/>
    <n v="16"/>
    <n v="1454.1786918163816"/>
    <n v="1658.9857174863575"/>
    <n v="0.1362592096516056"/>
    <n v="68"/>
    <n v="84"/>
    <n v="0"/>
    <n v="-16"/>
    <n v="0"/>
    <n v="0.44229792945386592"/>
    <n v="1"/>
    <n v="75.099999999999994"/>
    <n v="75.099999999999994"/>
    <n v="-4.5260641889741953"/>
    <n v="1449.6526276274074"/>
    <n v="0"/>
    <n v="1"/>
    <n v="0"/>
    <n v="0"/>
    <n v="0"/>
    <n v="0"/>
    <n v="0"/>
    <n v="0"/>
    <n v="0"/>
    <n v="0"/>
  </r>
  <r>
    <d v="2001-06-14T00:00:00"/>
    <n v="2001"/>
    <x v="5"/>
    <s v="R"/>
    <s v="RS"/>
    <x v="0"/>
    <s v="ORL"/>
    <s v="H"/>
    <n v="4"/>
    <n v="1"/>
    <n v="3"/>
    <n v="-3"/>
    <n v="16"/>
    <n v="-16"/>
    <n v="1658.9857174863575"/>
    <n v="1454.1786918163816"/>
    <n v="0.86374079034839446"/>
    <n v="84"/>
    <n v="68"/>
    <n v="0"/>
    <n v="16"/>
    <n v="1"/>
    <n v="0.44229792945386592"/>
    <n v="1"/>
    <n v="75.099999999999994"/>
    <n v="75.099999999999994"/>
    <n v="4.5260641889741935"/>
    <n v="1663.5117816753318"/>
    <n v="1"/>
    <n v="0"/>
    <n v="0"/>
    <n v="0"/>
    <n v="0"/>
    <n v="0"/>
    <n v="0"/>
    <n v="0"/>
    <n v="0"/>
    <n v="0"/>
  </r>
  <r>
    <d v="2001-06-14T00:00:00"/>
    <n v="2001"/>
    <x v="7"/>
    <s v="R"/>
    <s v="RS"/>
    <x v="3"/>
    <s v="SAC"/>
    <s v="A"/>
    <n v="1"/>
    <n v="1"/>
    <n v="0"/>
    <n v="0"/>
    <n v="0"/>
    <n v="0"/>
    <n v="1517.1728360890668"/>
    <n v="1542.3389088328067"/>
    <n v="0.34787105542544489"/>
    <n v="59"/>
    <n v="81"/>
    <n v="0"/>
    <n v="-22"/>
    <n v="0"/>
    <n v="0.58968936673724015"/>
    <n v="1"/>
    <n v="74.8"/>
    <n v="74.8"/>
    <n v="-15.344162506027438"/>
    <n v="1501.8286735830393"/>
    <n v="0"/>
    <n v="1"/>
    <n v="0"/>
    <n v="0"/>
    <n v="0"/>
    <n v="0"/>
    <n v="0"/>
    <n v="0"/>
    <n v="0"/>
    <n v="0"/>
  </r>
  <r>
    <d v="2001-06-14T00:00:00"/>
    <n v="2001"/>
    <x v="6"/>
    <s v="R"/>
    <s v="RS"/>
    <x v="15"/>
    <s v="PHX"/>
    <s v="H"/>
    <n v="1"/>
    <n v="1"/>
    <n v="0"/>
    <n v="0"/>
    <n v="0"/>
    <n v="0"/>
    <n v="1542.3389088328067"/>
    <n v="1517.1728360890668"/>
    <n v="0.65212894457455517"/>
    <n v="81"/>
    <n v="59"/>
    <n v="0"/>
    <n v="22"/>
    <n v="1"/>
    <n v="0.58968936673724015"/>
    <n v="1"/>
    <n v="74.95"/>
    <n v="74.95"/>
    <n v="15.374932885384442"/>
    <n v="1557.7138417181911"/>
    <n v="1"/>
    <n v="0"/>
    <n v="0"/>
    <n v="0"/>
    <n v="0"/>
    <n v="0"/>
    <n v="0"/>
    <n v="0"/>
    <n v="0"/>
    <n v="0"/>
  </r>
  <r>
    <d v="2001-06-14T00:00:00"/>
    <n v="2001"/>
    <x v="6"/>
    <s v="R"/>
    <s v="RS"/>
    <x v="5"/>
    <s v="SEA"/>
    <s v="A"/>
    <n v="1"/>
    <n v="1"/>
    <n v="0"/>
    <n v="0"/>
    <n v="0"/>
    <n v="0"/>
    <n v="1522.1595971391819"/>
    <n v="1444.7463190756534"/>
    <n v="0.490522080619749"/>
    <n v="58"/>
    <n v="36"/>
    <n v="0"/>
    <n v="22"/>
    <n v="1"/>
    <n v="0.56557060897270384"/>
    <n v="1"/>
    <n v="74.95"/>
    <n v="74.95"/>
    <n v="21.5965229972965"/>
    <n v="1543.7561201364783"/>
    <n v="1"/>
    <n v="0"/>
    <n v="0"/>
    <n v="0"/>
    <n v="0"/>
    <n v="0"/>
    <n v="0"/>
    <n v="0"/>
    <n v="0"/>
    <n v="0"/>
  </r>
  <r>
    <d v="2001-06-14T00:00:00"/>
    <n v="2001"/>
    <x v="6"/>
    <s v="R"/>
    <s v="RS"/>
    <x v="11"/>
    <s v="CLE"/>
    <s v="H"/>
    <n v="1"/>
    <n v="1"/>
    <n v="0"/>
    <n v="0"/>
    <n v="0"/>
    <n v="0"/>
    <n v="1444.7463190756534"/>
    <n v="1522.1595971391819"/>
    <n v="0.509477919380251"/>
    <n v="36"/>
    <n v="58"/>
    <n v="0"/>
    <n v="-22"/>
    <n v="0"/>
    <n v="0.56557060897270384"/>
    <n v="1"/>
    <n v="74.95"/>
    <n v="74.95"/>
    <n v="-21.5965229972965"/>
    <n v="1423.149796078357"/>
    <n v="0"/>
    <n v="1"/>
    <n v="0"/>
    <n v="0"/>
    <n v="0"/>
    <n v="0"/>
    <n v="0"/>
    <n v="0"/>
    <n v="0"/>
    <n v="0"/>
  </r>
  <r>
    <d v="2001-06-16T00:00:00"/>
    <n v="2001"/>
    <x v="5"/>
    <s v="R"/>
    <s v="RS"/>
    <x v="14"/>
    <s v="CHA"/>
    <s v="A"/>
    <n v="1"/>
    <n v="1"/>
    <n v="0"/>
    <n v="0"/>
    <n v="0"/>
    <n v="0"/>
    <n v="1454.8499783442287"/>
    <n v="1391.0436278684238"/>
    <n v="0.47097168240634801"/>
    <n v="72"/>
    <n v="69"/>
    <n v="1"/>
    <n v="3"/>
    <n v="1"/>
    <n v="0.24797960753133955"/>
    <n v="1"/>
    <n v="75.099999999999994"/>
    <n v="75.099999999999994"/>
    <n v="9.8522364161948843"/>
    <n v="1464.7022147604237"/>
    <n v="1"/>
    <n v="0"/>
    <n v="0"/>
    <n v="0"/>
    <n v="0"/>
    <n v="0"/>
    <n v="0"/>
    <n v="0"/>
    <n v="0"/>
    <n v="0"/>
  </r>
  <r>
    <d v="2001-06-16T00:00:00"/>
    <n v="2001"/>
    <x v="6"/>
    <s v="R"/>
    <s v="RS"/>
    <x v="13"/>
    <s v="DET"/>
    <s v="H"/>
    <n v="1"/>
    <n v="1"/>
    <n v="0"/>
    <n v="0"/>
    <n v="0"/>
    <n v="0"/>
    <n v="1391.0436278684238"/>
    <n v="1454.8499783442287"/>
    <n v="0.52902831759365188"/>
    <n v="69"/>
    <n v="72"/>
    <n v="1"/>
    <n v="-3"/>
    <n v="0"/>
    <n v="0.24797960753133955"/>
    <n v="1"/>
    <n v="74.95"/>
    <n v="74.95"/>
    <n v="-9.8325581810094071"/>
    <n v="1381.2110696874142"/>
    <n v="0"/>
    <n v="1"/>
    <n v="0"/>
    <n v="0"/>
    <n v="0"/>
    <n v="0"/>
    <n v="0"/>
    <n v="0"/>
    <n v="0"/>
    <n v="0"/>
  </r>
  <r>
    <d v="2001-06-16T00:00:00"/>
    <n v="2001"/>
    <x v="5"/>
    <s v="R"/>
    <s v="RS"/>
    <x v="8"/>
    <s v="CLE"/>
    <s v="A"/>
    <n v="3"/>
    <n v="1"/>
    <n v="2"/>
    <n v="-2"/>
    <n v="16"/>
    <n v="-16"/>
    <n v="1508.281756578423"/>
    <n v="1543.7561201364783"/>
    <n v="0.3767084328335456"/>
    <n v="53"/>
    <n v="70"/>
    <n v="0"/>
    <n v="-17"/>
    <n v="0"/>
    <n v="0.51715397886390324"/>
    <n v="1"/>
    <n v="75.099999999999994"/>
    <n v="75.099999999999994"/>
    <n v="-14.630701494850161"/>
    <n v="1493.6510550835728"/>
    <n v="0"/>
    <n v="1"/>
    <n v="0"/>
    <n v="0"/>
    <n v="0"/>
    <n v="0"/>
    <n v="0"/>
    <n v="0"/>
    <n v="0"/>
    <n v="0"/>
  </r>
  <r>
    <d v="2001-06-16T00:00:00"/>
    <n v="2001"/>
    <x v="7"/>
    <s v="R"/>
    <s v="RS"/>
    <x v="5"/>
    <s v="MIA"/>
    <s v="H"/>
    <n v="1"/>
    <n v="3"/>
    <n v="-2"/>
    <n v="2"/>
    <n v="-16"/>
    <n v="16"/>
    <n v="1543.7561201364783"/>
    <n v="1508.281756578423"/>
    <n v="0.6232915671664544"/>
    <n v="70"/>
    <n v="53"/>
    <n v="0"/>
    <n v="17"/>
    <n v="1"/>
    <n v="0.51715397886390324"/>
    <n v="1"/>
    <n v="74.8"/>
    <n v="74.8"/>
    <n v="14.572256615376725"/>
    <n v="1558.3283767518551"/>
    <n v="1"/>
    <n v="0"/>
    <n v="0"/>
    <n v="0"/>
    <n v="0"/>
    <n v="0"/>
    <n v="0"/>
    <n v="0"/>
    <n v="0"/>
    <n v="0"/>
  </r>
  <r>
    <d v="2001-06-16T00:00:00"/>
    <n v="2001"/>
    <x v="4"/>
    <s v="R"/>
    <s v="RS"/>
    <x v="9"/>
    <s v="IND"/>
    <s v="A"/>
    <n v="3"/>
    <n v="3"/>
    <n v="0"/>
    <n v="0"/>
    <n v="0"/>
    <n v="0"/>
    <n v="1466.948534433852"/>
    <n v="1418.24710904579"/>
    <n v="0.44937533130635243"/>
    <n v="65"/>
    <n v="67"/>
    <n v="0"/>
    <n v="-2"/>
    <n v="0"/>
    <n v="0.25739506533494871"/>
    <n v="1"/>
    <n v="75.25"/>
    <n v="75.25"/>
    <n v="-8.7039412053038383"/>
    <n v="1458.2445932285482"/>
    <n v="0"/>
    <n v="1"/>
    <n v="0"/>
    <n v="0"/>
    <n v="0"/>
    <n v="0"/>
    <n v="0"/>
    <n v="0"/>
    <n v="0"/>
    <n v="0"/>
  </r>
  <r>
    <d v="2001-06-16T00:00:00"/>
    <n v="2001"/>
    <x v="6"/>
    <s v="R"/>
    <s v="RS"/>
    <x v="6"/>
    <s v="MIN"/>
    <s v="H"/>
    <n v="3"/>
    <n v="3"/>
    <n v="0"/>
    <n v="0"/>
    <n v="0"/>
    <n v="0"/>
    <n v="1418.24710904579"/>
    <n v="1466.948534433852"/>
    <n v="0.55062466869364757"/>
    <n v="67"/>
    <n v="65"/>
    <n v="0"/>
    <n v="2"/>
    <n v="1"/>
    <n v="0.25739506533494871"/>
    <n v="1"/>
    <n v="74.95"/>
    <n v="74.95"/>
    <n v="8.6692411074753863"/>
    <n v="1426.9163501532653"/>
    <n v="1"/>
    <n v="0"/>
    <n v="0"/>
    <n v="0"/>
    <n v="0"/>
    <n v="0"/>
    <n v="0"/>
    <n v="0"/>
    <n v="0"/>
    <n v="0"/>
  </r>
  <r>
    <d v="2001-06-16T00:00:00"/>
    <n v="2001"/>
    <x v="5"/>
    <s v="R"/>
    <s v="RS"/>
    <x v="4"/>
    <s v="NYL"/>
    <s v="A"/>
    <n v="1"/>
    <n v="3"/>
    <n v="-2"/>
    <n v="2"/>
    <n v="-16"/>
    <n v="16"/>
    <n v="1431.399575092878"/>
    <n v="1518.4204808540153"/>
    <n v="0.2370932513167221"/>
    <n v="63"/>
    <n v="86"/>
    <n v="0"/>
    <n v="-23"/>
    <n v="0"/>
    <n v="0.5737321901835255"/>
    <n v="1"/>
    <n v="75.099999999999994"/>
    <n v="75.099999999999994"/>
    <n v="-10.215705079711269"/>
    <n v="1421.1838700131666"/>
    <n v="0"/>
    <n v="1"/>
    <n v="0"/>
    <n v="0"/>
    <n v="0"/>
    <n v="0"/>
    <n v="0"/>
    <n v="0"/>
    <n v="0"/>
    <n v="0"/>
  </r>
  <r>
    <d v="2001-06-16T00:00:00"/>
    <n v="2001"/>
    <x v="6"/>
    <s v="R"/>
    <s v="RS"/>
    <x v="7"/>
    <s v="WAS"/>
    <s v="H"/>
    <n v="3"/>
    <n v="1"/>
    <n v="2"/>
    <n v="-2"/>
    <n v="16"/>
    <n v="-16"/>
    <n v="1518.4204808540153"/>
    <n v="1431.399575092878"/>
    <n v="0.7629067486832779"/>
    <n v="86"/>
    <n v="63"/>
    <n v="0"/>
    <n v="23"/>
    <n v="1"/>
    <n v="0.5737321901835255"/>
    <n v="1"/>
    <n v="74.95"/>
    <n v="74.95"/>
    <n v="10.195300875157917"/>
    <n v="1528.6157817291732"/>
    <n v="1"/>
    <n v="0"/>
    <n v="0"/>
    <n v="0"/>
    <n v="0"/>
    <n v="0"/>
    <n v="0"/>
    <n v="0"/>
    <n v="0"/>
    <n v="0"/>
  </r>
  <r>
    <d v="2001-06-16T00:00:00"/>
    <n v="2001"/>
    <x v="6"/>
    <s v="R"/>
    <s v="RS"/>
    <x v="12"/>
    <s v="PHX"/>
    <s v="A"/>
    <n v="1"/>
    <n v="1"/>
    <n v="0"/>
    <n v="0"/>
    <n v="0"/>
    <n v="0"/>
    <n v="1449.6526276274074"/>
    <n v="1501.8286735830393"/>
    <n v="0.31348160596232044"/>
    <n v="68"/>
    <n v="72"/>
    <n v="0"/>
    <n v="-4"/>
    <n v="0"/>
    <n v="0.29845586256958084"/>
    <n v="1"/>
    <n v="74.95"/>
    <n v="74.95"/>
    <n v="-7.0123537118832759"/>
    <n v="1442.6402739155242"/>
    <n v="0"/>
    <n v="1"/>
    <n v="0"/>
    <n v="0"/>
    <n v="0"/>
    <n v="0"/>
    <n v="0"/>
    <n v="0"/>
    <n v="0"/>
    <n v="0"/>
  </r>
  <r>
    <d v="2001-06-16T00:00:00"/>
    <n v="2001"/>
    <x v="8"/>
    <s v="R"/>
    <s v="RS"/>
    <x v="3"/>
    <s v="ORL"/>
    <s v="H"/>
    <n v="1"/>
    <n v="1"/>
    <n v="0"/>
    <n v="0"/>
    <n v="0"/>
    <n v="0"/>
    <n v="1501.8286735830393"/>
    <n v="1449.6526276274074"/>
    <n v="0.68651839403767956"/>
    <n v="72"/>
    <n v="68"/>
    <n v="0"/>
    <n v="4"/>
    <n v="1"/>
    <n v="0.29845586256958084"/>
    <n v="1"/>
    <n v="74.650000000000006"/>
    <n v="74.650000000000006"/>
    <n v="6.9842855849511221"/>
    <n v="1508.8129591679904"/>
    <n v="1"/>
    <n v="0"/>
    <n v="0"/>
    <n v="0"/>
    <n v="0"/>
    <n v="0"/>
    <n v="0"/>
    <n v="0"/>
    <n v="0"/>
    <n v="0"/>
  </r>
  <r>
    <d v="2001-06-16T00:00:00"/>
    <n v="2001"/>
    <x v="4"/>
    <s v="R"/>
    <s v="RS"/>
    <x v="10"/>
    <s v="SAC"/>
    <s v="A"/>
    <n v="3"/>
    <n v="1"/>
    <n v="2"/>
    <n v="-2"/>
    <n v="16"/>
    <n v="-16"/>
    <n v="1465.494495210181"/>
    <n v="1557.7138417181911"/>
    <n v="0.30360420083822837"/>
    <n v="81"/>
    <n v="74"/>
    <n v="1"/>
    <n v="7"/>
    <n v="1"/>
    <n v="0.30932499762233506"/>
    <n v="1"/>
    <n v="75.25"/>
    <n v="75.25"/>
    <n v="16.209800326223917"/>
    <n v="1481.704295536405"/>
    <n v="1"/>
    <n v="0"/>
    <n v="0"/>
    <n v="0"/>
    <n v="0"/>
    <n v="0"/>
    <n v="0"/>
    <n v="0"/>
    <n v="0"/>
    <n v="0"/>
  </r>
  <r>
    <d v="2001-06-16T00:00:00"/>
    <n v="2001"/>
    <x v="7"/>
    <s v="R"/>
    <s v="RS"/>
    <x v="15"/>
    <s v="POR"/>
    <s v="H"/>
    <n v="1"/>
    <n v="3"/>
    <n v="-2"/>
    <n v="2"/>
    <n v="-16"/>
    <n v="16"/>
    <n v="1557.7138417181911"/>
    <n v="1465.494495210181"/>
    <n v="0.69639579916177163"/>
    <n v="74"/>
    <n v="81"/>
    <n v="1"/>
    <n v="-7"/>
    <n v="0"/>
    <n v="0.30932499762233506"/>
    <n v="1"/>
    <n v="74.8"/>
    <n v="74.8"/>
    <n v="-16.112864643209949"/>
    <n v="1541.6009770749811"/>
    <n v="0"/>
    <n v="1"/>
    <n v="0"/>
    <n v="0"/>
    <n v="0"/>
    <n v="0"/>
    <n v="0"/>
    <n v="0"/>
    <n v="0"/>
    <n v="0"/>
  </r>
  <r>
    <d v="2001-06-16T00:00:00"/>
    <n v="2001"/>
    <x v="6"/>
    <s v="R"/>
    <s v="RS"/>
    <x v="0"/>
    <s v="SEA"/>
    <s v="A"/>
    <n v="1"/>
    <n v="1"/>
    <n v="0"/>
    <n v="0"/>
    <n v="0"/>
    <n v="0"/>
    <n v="1663.5117816753318"/>
    <n v="1423.149796078357"/>
    <n v="0.71096839654583222"/>
    <n v="73"/>
    <n v="60"/>
    <n v="0"/>
    <n v="13"/>
    <n v="1"/>
    <n v="0.39327093636268684"/>
    <n v="1"/>
    <n v="74.95"/>
    <n v="74.95"/>
    <n v="8.5193963131957613"/>
    <n v="1672.0311779885276"/>
    <n v="1"/>
    <n v="0"/>
    <n v="0"/>
    <n v="0"/>
    <n v="0"/>
    <n v="0"/>
    <n v="0"/>
    <n v="0"/>
    <n v="0"/>
    <n v="0"/>
  </r>
  <r>
    <d v="2001-06-16T00:00:00"/>
    <n v="2001"/>
    <x v="7"/>
    <s v="R"/>
    <s v="RS"/>
    <x v="11"/>
    <s v="LAS"/>
    <s v="H"/>
    <n v="1"/>
    <n v="1"/>
    <n v="0"/>
    <n v="0"/>
    <n v="0"/>
    <n v="0"/>
    <n v="1423.149796078357"/>
    <n v="1663.5117816753318"/>
    <n v="0.28903160345416778"/>
    <n v="60"/>
    <n v="73"/>
    <n v="0"/>
    <n v="-13"/>
    <n v="0"/>
    <n v="0.39327093636268684"/>
    <n v="1"/>
    <n v="74.8"/>
    <n v="74.8"/>
    <n v="-8.5023461537964344"/>
    <n v="1414.6474499245605"/>
    <n v="0"/>
    <n v="1"/>
    <n v="0"/>
    <n v="0"/>
    <n v="0"/>
    <n v="0"/>
    <n v="0"/>
    <n v="0"/>
    <n v="0"/>
    <n v="0"/>
  </r>
  <r>
    <d v="2001-06-17T00:00:00"/>
    <n v="2001"/>
    <x v="5"/>
    <s v="R"/>
    <s v="RS"/>
    <x v="9"/>
    <s v="DET"/>
    <s v="A"/>
    <n v="0"/>
    <n v="0"/>
    <n v="0"/>
    <n v="0"/>
    <n v="0"/>
    <n v="0"/>
    <n v="1458.2445932285482"/>
    <n v="1464.7022147604237"/>
    <n v="0.37268484120344164"/>
    <n v="71"/>
    <n v="63"/>
    <n v="0"/>
    <n v="8"/>
    <n v="1"/>
    <n v="0.38623705771939132"/>
    <n v="1"/>
    <n v="75.099999999999994"/>
    <n v="75.099999999999994"/>
    <n v="18.196156325846296"/>
    <n v="1476.4407495543944"/>
    <n v="1"/>
    <n v="0"/>
    <n v="0"/>
    <n v="0"/>
    <n v="0"/>
    <n v="0"/>
    <n v="0"/>
    <n v="0"/>
    <n v="0"/>
    <n v="0"/>
  </r>
  <r>
    <d v="2001-06-17T00:00:00"/>
    <n v="2001"/>
    <x v="6"/>
    <s v="R"/>
    <s v="RS"/>
    <x v="14"/>
    <s v="MIN"/>
    <s v="H"/>
    <n v="0"/>
    <n v="0"/>
    <n v="0"/>
    <n v="0"/>
    <n v="0"/>
    <n v="0"/>
    <n v="1464.7022147604237"/>
    <n v="1458.2445932285482"/>
    <n v="0.62731515879655841"/>
    <n v="63"/>
    <n v="71"/>
    <n v="0"/>
    <n v="-8"/>
    <n v="0"/>
    <n v="0.38623705771939132"/>
    <n v="1"/>
    <n v="74.95"/>
    <n v="74.95"/>
    <n v="-18.159812471666843"/>
    <n v="1446.5424022887569"/>
    <n v="0"/>
    <n v="1"/>
    <n v="0"/>
    <n v="0"/>
    <n v="0"/>
    <n v="0"/>
    <n v="0"/>
    <n v="0"/>
    <n v="0"/>
    <n v="0"/>
  </r>
  <r>
    <d v="2001-06-17T00:00:00"/>
    <n v="2001"/>
    <x v="5"/>
    <s v="R"/>
    <s v="RS"/>
    <x v="10"/>
    <s v="LAS"/>
    <s v="A"/>
    <n v="0"/>
    <n v="0"/>
    <n v="0"/>
    <n v="0"/>
    <n v="0"/>
    <n v="0"/>
    <n v="1481.704295536405"/>
    <n v="1672.0311779885276"/>
    <n v="0.17091554567100586"/>
    <n v="75"/>
    <n v="90"/>
    <n v="0"/>
    <n v="-15"/>
    <n v="0"/>
    <n v="0.43401134026141186"/>
    <n v="1"/>
    <n v="75.099999999999994"/>
    <n v="75.099999999999994"/>
    <n v="-5.5708643071186037"/>
    <n v="1476.1334312292863"/>
    <n v="0"/>
    <n v="1"/>
    <n v="0"/>
    <n v="0"/>
    <n v="0"/>
    <n v="0"/>
    <n v="0"/>
    <n v="0"/>
    <n v="0"/>
    <n v="0"/>
  </r>
  <r>
    <d v="2001-06-17T00:00:00"/>
    <n v="2001"/>
    <x v="7"/>
    <s v="R"/>
    <s v="RS"/>
    <x v="0"/>
    <s v="POR"/>
    <s v="H"/>
    <n v="0"/>
    <n v="0"/>
    <n v="0"/>
    <n v="0"/>
    <n v="0"/>
    <n v="0"/>
    <n v="1672.0311779885276"/>
    <n v="1481.704295536405"/>
    <n v="0.82908445432899414"/>
    <n v="90"/>
    <n v="75"/>
    <n v="0"/>
    <n v="15"/>
    <n v="1"/>
    <n v="0.43401134026141186"/>
    <n v="1"/>
    <n v="74.8"/>
    <n v="74.8"/>
    <n v="5.5486105216041484"/>
    <n v="1677.5797885101317"/>
    <n v="1"/>
    <n v="0"/>
    <n v="0"/>
    <n v="0"/>
    <n v="0"/>
    <n v="0"/>
    <n v="0"/>
    <n v="0"/>
    <n v="0"/>
    <n v="0"/>
  </r>
  <r>
    <d v="2001-06-17T00:00:00"/>
    <n v="2001"/>
    <x v="7"/>
    <s v="R"/>
    <s v="RS"/>
    <x v="7"/>
    <s v="MIA"/>
    <s v="A"/>
    <n v="0"/>
    <n v="0"/>
    <n v="0"/>
    <n v="0"/>
    <n v="0"/>
    <n v="0"/>
    <n v="1528.6157817291732"/>
    <n v="1493.6510550835728"/>
    <n v="0.42989741113249785"/>
    <n v="55"/>
    <n v="48"/>
    <n v="0"/>
    <n v="7"/>
    <n v="1"/>
    <n v="0.35962857675370369"/>
    <n v="1"/>
    <n v="74.8"/>
    <n v="74.8"/>
    <n v="15.335883661324022"/>
    <n v="1543.9516653904973"/>
    <n v="1"/>
    <n v="0"/>
    <n v="0"/>
    <n v="0"/>
    <n v="0"/>
    <n v="0"/>
    <n v="0"/>
    <n v="0"/>
    <n v="0"/>
    <n v="0"/>
  </r>
  <r>
    <d v="2001-06-17T00:00:00"/>
    <n v="2001"/>
    <x v="6"/>
    <s v="R"/>
    <s v="RS"/>
    <x v="8"/>
    <s v="NYL"/>
    <s v="H"/>
    <n v="0"/>
    <n v="0"/>
    <n v="0"/>
    <n v="0"/>
    <n v="0"/>
    <n v="0"/>
    <n v="1493.6510550835728"/>
    <n v="1528.6157817291732"/>
    <n v="0.5701025888675022"/>
    <n v="48"/>
    <n v="55"/>
    <n v="0"/>
    <n v="-7"/>
    <n v="0"/>
    <n v="0.35962857675370369"/>
    <n v="1"/>
    <n v="74.95"/>
    <n v="74.95"/>
    <n v="-15.366637438719726"/>
    <n v="1478.2844176448532"/>
    <n v="0"/>
    <n v="1"/>
    <n v="0"/>
    <n v="0"/>
    <n v="0"/>
    <n v="0"/>
    <n v="0"/>
    <n v="0"/>
    <n v="0"/>
    <n v="0"/>
  </r>
  <r>
    <d v="2001-06-17T00:00:00"/>
    <n v="2001"/>
    <x v="8"/>
    <s v="R"/>
    <s v="RS"/>
    <x v="5"/>
    <s v="WAS"/>
    <s v="A"/>
    <n v="0"/>
    <n v="0"/>
    <n v="0"/>
    <n v="0"/>
    <n v="0"/>
    <n v="0"/>
    <n v="1558.3283767518551"/>
    <n v="1421.1838700131666"/>
    <n v="0.57589013623464336"/>
    <n v="57"/>
    <n v="55"/>
    <n v="0"/>
    <n v="2"/>
    <n v="1"/>
    <n v="0.24037011957333293"/>
    <n v="1"/>
    <n v="74.650000000000006"/>
    <n v="74.650000000000006"/>
    <n v="7.6100702313802255"/>
    <n v="1565.9384469832353"/>
    <n v="1"/>
    <n v="0"/>
    <n v="0"/>
    <n v="0"/>
    <n v="0"/>
    <n v="0"/>
    <n v="0"/>
    <n v="0"/>
    <n v="0"/>
    <n v="0"/>
  </r>
  <r>
    <d v="2001-06-17T00:00:00"/>
    <n v="2001"/>
    <x v="6"/>
    <s v="R"/>
    <s v="RS"/>
    <x v="4"/>
    <s v="CLE"/>
    <s v="H"/>
    <n v="0"/>
    <n v="0"/>
    <n v="0"/>
    <n v="0"/>
    <n v="0"/>
    <n v="0"/>
    <n v="1421.1838700131666"/>
    <n v="1558.3283767518551"/>
    <n v="0.4241098637653567"/>
    <n v="55"/>
    <n v="57"/>
    <n v="0"/>
    <n v="-2"/>
    <n v="0"/>
    <n v="0.24037011957333293"/>
    <n v="1"/>
    <n v="74.95"/>
    <n v="74.95"/>
    <n v="-7.6406532329798784"/>
    <n v="1413.5432167801866"/>
    <n v="0"/>
    <n v="1"/>
    <n v="0"/>
    <n v="0"/>
    <n v="0"/>
    <n v="0"/>
    <n v="0"/>
    <n v="0"/>
    <n v="0"/>
    <n v="0"/>
  </r>
  <r>
    <d v="2001-06-18T00:00:00"/>
    <n v="2001"/>
    <x v="7"/>
    <s v="R"/>
    <s v="RS"/>
    <x v="12"/>
    <s v="IND"/>
    <s v="A"/>
    <n v="1"/>
    <n v="1"/>
    <n v="0"/>
    <n v="0"/>
    <n v="0"/>
    <n v="0"/>
    <n v="1442.6402739155242"/>
    <n v="1426.9163501532653"/>
    <n v="0.40298841874028063"/>
    <n v="72"/>
    <n v="65"/>
    <n v="0"/>
    <n v="7"/>
    <n v="1"/>
    <n v="0.36532028226454122"/>
    <n v="1"/>
    <n v="74.8"/>
    <n v="74.8"/>
    <n v="16.313912865698857"/>
    <n v="1458.9541867812231"/>
    <n v="1"/>
    <n v="0"/>
    <n v="0"/>
    <n v="0"/>
    <n v="0"/>
    <n v="0"/>
    <n v="0"/>
    <n v="0"/>
    <n v="0"/>
    <n v="0"/>
  </r>
  <r>
    <d v="2001-06-18T00:00:00"/>
    <n v="2001"/>
    <x v="7"/>
    <s v="R"/>
    <s v="RS"/>
    <x v="6"/>
    <s v="ORL"/>
    <s v="H"/>
    <n v="1"/>
    <n v="1"/>
    <n v="0"/>
    <n v="0"/>
    <n v="0"/>
    <n v="0"/>
    <n v="1426.9163501532653"/>
    <n v="1442.6402739155242"/>
    <n v="0.59701158125971932"/>
    <n v="65"/>
    <n v="72"/>
    <n v="0"/>
    <n v="-7"/>
    <n v="0"/>
    <n v="0.36532028226454122"/>
    <n v="1"/>
    <n v="74.8"/>
    <n v="74.8"/>
    <n v="-16.313912865698853"/>
    <n v="1410.6024372875663"/>
    <n v="0"/>
    <n v="1"/>
    <n v="0"/>
    <n v="0"/>
    <n v="0"/>
    <n v="0"/>
    <n v="0"/>
    <n v="0"/>
    <n v="0"/>
    <n v="0"/>
  </r>
  <r>
    <d v="2001-06-18T00:00:00"/>
    <n v="2001"/>
    <x v="7"/>
    <s v="R"/>
    <s v="RS"/>
    <x v="13"/>
    <s v="SEA"/>
    <s v="A"/>
    <n v="1"/>
    <n v="1"/>
    <n v="0"/>
    <n v="0"/>
    <n v="0"/>
    <n v="0"/>
    <n v="1381.2110696874142"/>
    <n v="1414.6474499245605"/>
    <n v="0.33715058971698386"/>
    <n v="52"/>
    <n v="60"/>
    <n v="0"/>
    <n v="-8"/>
    <n v="0"/>
    <n v="0.37778895569304949"/>
    <n v="1"/>
    <n v="74.8"/>
    <n v="74.8"/>
    <n v="-9.5274083361955402"/>
    <n v="1371.6836613512187"/>
    <n v="0"/>
    <n v="1"/>
    <n v="0"/>
    <n v="0"/>
    <n v="0"/>
    <n v="0"/>
    <n v="0"/>
    <n v="0"/>
    <n v="0"/>
    <n v="0"/>
  </r>
  <r>
    <d v="2001-06-18T00:00:00"/>
    <n v="2001"/>
    <x v="8"/>
    <s v="R"/>
    <s v="RS"/>
    <x v="11"/>
    <s v="CHA"/>
    <s v="H"/>
    <n v="1"/>
    <n v="1"/>
    <n v="0"/>
    <n v="0"/>
    <n v="0"/>
    <n v="0"/>
    <n v="1414.6474499245605"/>
    <n v="1381.2110696874142"/>
    <n v="0.66284941028301614"/>
    <n v="60"/>
    <n v="52"/>
    <n v="0"/>
    <n v="8"/>
    <n v="1"/>
    <n v="0.37778895569304949"/>
    <n v="1"/>
    <n v="74.650000000000006"/>
    <n v="74.650000000000006"/>
    <n v="9.5083025708154683"/>
    <n v="1424.155752495376"/>
    <n v="1"/>
    <n v="0"/>
    <n v="0"/>
    <n v="0"/>
    <n v="0"/>
    <n v="0"/>
    <n v="0"/>
    <n v="0"/>
    <n v="0"/>
    <n v="0"/>
  </r>
  <r>
    <d v="2001-06-19T00:00:00"/>
    <n v="2001"/>
    <x v="8"/>
    <s v="R"/>
    <s v="RS"/>
    <x v="13"/>
    <s v="LAS"/>
    <s v="A"/>
    <n v="0"/>
    <n v="1"/>
    <n v="-1"/>
    <n v="1"/>
    <n v="-8"/>
    <n v="8"/>
    <n v="1371.6836613512187"/>
    <n v="1677.5797885101317"/>
    <n v="8.8142739162411152E-2"/>
    <n v="69"/>
    <n v="73"/>
    <n v="0"/>
    <n v="-4"/>
    <n v="0"/>
    <n v="0.24817069062374822"/>
    <n v="1"/>
    <n v="74.650000000000006"/>
    <n v="74.650000000000006"/>
    <n v="-1.6329272782973441"/>
    <n v="1370.0507340729214"/>
    <n v="0"/>
    <n v="1"/>
    <n v="0"/>
    <n v="0"/>
    <n v="0"/>
    <n v="0"/>
    <n v="0"/>
    <n v="0"/>
    <n v="0"/>
    <n v="0"/>
  </r>
  <r>
    <d v="2001-06-19T00:00:00"/>
    <n v="2001"/>
    <x v="8"/>
    <s v="R"/>
    <s v="RS"/>
    <x v="0"/>
    <s v="CHA"/>
    <s v="H"/>
    <n v="1"/>
    <n v="0"/>
    <n v="1"/>
    <n v="-1"/>
    <n v="8"/>
    <n v="-8"/>
    <n v="1677.5797885101317"/>
    <n v="1371.6836613512187"/>
    <n v="0.91185726083758889"/>
    <n v="73"/>
    <n v="69"/>
    <n v="0"/>
    <n v="4"/>
    <n v="1"/>
    <n v="0.24817069062374822"/>
    <n v="1"/>
    <n v="74.650000000000006"/>
    <n v="74.650000000000006"/>
    <n v="1.6329272782973434"/>
    <n v="1679.212715788429"/>
    <n v="1"/>
    <n v="0"/>
    <n v="0"/>
    <n v="0"/>
    <n v="0"/>
    <n v="0"/>
    <n v="0"/>
    <n v="0"/>
    <n v="0"/>
    <n v="0"/>
  </r>
  <r>
    <d v="2001-06-19T00:00:00"/>
    <n v="2001"/>
    <x v="9"/>
    <s v="R"/>
    <s v="RS"/>
    <x v="11"/>
    <s v="POR"/>
    <s v="A"/>
    <n v="0"/>
    <n v="1"/>
    <n v="-1"/>
    <n v="1"/>
    <n v="-8"/>
    <n v="8"/>
    <n v="1424.155752495376"/>
    <n v="1476.1334312292863"/>
    <n v="0.29424532277908488"/>
    <n v="43"/>
    <n v="58"/>
    <n v="0"/>
    <n v="-15"/>
    <n v="0"/>
    <n v="0.48197155900154337"/>
    <n v="1"/>
    <n v="74.5"/>
    <n v="74.5"/>
    <n v="-10.565431832681718"/>
    <n v="1413.5903206626942"/>
    <n v="0"/>
    <n v="1"/>
    <n v="0"/>
    <n v="0"/>
    <n v="0"/>
    <n v="0"/>
    <n v="0"/>
    <n v="0"/>
    <n v="0"/>
    <n v="0"/>
  </r>
  <r>
    <d v="2001-06-19T00:00:00"/>
    <n v="2001"/>
    <x v="6"/>
    <s v="R"/>
    <s v="RS"/>
    <x v="10"/>
    <s v="SEA"/>
    <s v="H"/>
    <n v="1"/>
    <n v="0"/>
    <n v="1"/>
    <n v="-1"/>
    <n v="8"/>
    <n v="-8"/>
    <n v="1476.1334312292863"/>
    <n v="1424.155752495376"/>
    <n v="0.70575467722091512"/>
    <n v="58"/>
    <n v="43"/>
    <n v="0"/>
    <n v="15"/>
    <n v="1"/>
    <n v="0.48197155900154337"/>
    <n v="1"/>
    <n v="74.95"/>
    <n v="74.95"/>
    <n v="10.629249877308656"/>
    <n v="1486.762681106595"/>
    <n v="1"/>
    <n v="0"/>
    <n v="0"/>
    <n v="0"/>
    <n v="0"/>
    <n v="0"/>
    <n v="0"/>
    <n v="0"/>
    <n v="0"/>
    <n v="0"/>
  </r>
  <r>
    <d v="2001-06-19T00:00:00"/>
    <n v="2001"/>
    <x v="8"/>
    <s v="R"/>
    <s v="RS"/>
    <x v="7"/>
    <s v="SAC"/>
    <s v="A"/>
    <n v="1"/>
    <n v="2"/>
    <n v="-1"/>
    <n v="1"/>
    <n v="-8"/>
    <n v="8"/>
    <n v="1543.9516653904973"/>
    <n v="1541.6009770749811"/>
    <n v="0.36305831795089544"/>
    <n v="65"/>
    <n v="56"/>
    <n v="0"/>
    <n v="9"/>
    <n v="1"/>
    <n v="0.40517782150497778"/>
    <n v="1"/>
    <n v="74.650000000000006"/>
    <n v="74.650000000000006"/>
    <n v="19.265272111772497"/>
    <n v="1563.2169375022697"/>
    <n v="1"/>
    <n v="0"/>
    <n v="0"/>
    <n v="0"/>
    <n v="0"/>
    <n v="0"/>
    <n v="0"/>
    <n v="0"/>
    <n v="0"/>
    <n v="0"/>
  </r>
  <r>
    <d v="2001-06-19T00:00:00"/>
    <n v="2001"/>
    <x v="8"/>
    <s v="R"/>
    <s v="RS"/>
    <x v="15"/>
    <s v="NYL"/>
    <s v="H"/>
    <n v="2"/>
    <n v="1"/>
    <n v="1"/>
    <n v="-1"/>
    <n v="8"/>
    <n v="-8"/>
    <n v="1541.6009770749811"/>
    <n v="1543.9516653904973"/>
    <n v="0.63694168204910451"/>
    <n v="56"/>
    <n v="65"/>
    <n v="0"/>
    <n v="-9"/>
    <n v="0"/>
    <n v="0.40517782150497778"/>
    <n v="1"/>
    <n v="74.650000000000006"/>
    <n v="74.650000000000006"/>
    <n v="-19.265272111772497"/>
    <n v="1522.3357049632086"/>
    <n v="0"/>
    <n v="1"/>
    <n v="0"/>
    <n v="0"/>
    <n v="0"/>
    <n v="0"/>
    <n v="0"/>
    <n v="0"/>
    <n v="0"/>
    <n v="0"/>
  </r>
  <r>
    <d v="2001-06-21T00:00:00"/>
    <n v="2001"/>
    <x v="9"/>
    <s v="R"/>
    <s v="RS"/>
    <x v="0"/>
    <s v="HOU"/>
    <s v="A"/>
    <n v="1"/>
    <n v="10"/>
    <n v="-9"/>
    <n v="9"/>
    <n v="-16"/>
    <n v="16"/>
    <n v="1679.212715788429"/>
    <n v="1678.5638263025967"/>
    <n v="0.3398384166477037"/>
    <n v="65"/>
    <n v="69"/>
    <n v="0"/>
    <n v="-4"/>
    <n v="0"/>
    <n v="0.31126442139524846"/>
    <n v="1"/>
    <n v="74.5"/>
    <n v="74.5"/>
    <n v="-7.8805808053665016"/>
    <n v="1671.3321349830626"/>
    <n v="0"/>
    <n v="1"/>
    <n v="0"/>
    <n v="0"/>
    <n v="0"/>
    <n v="0"/>
    <n v="0"/>
    <n v="0"/>
    <n v="0"/>
    <n v="0"/>
  </r>
  <r>
    <d v="2001-06-21T00:00:00"/>
    <n v="2001"/>
    <x v="6"/>
    <s v="R"/>
    <s v="RS"/>
    <x v="1"/>
    <s v="LAS"/>
    <s v="H"/>
    <n v="10"/>
    <n v="1"/>
    <n v="9"/>
    <n v="-9"/>
    <n v="16"/>
    <n v="-16"/>
    <n v="1678.5638263025967"/>
    <n v="1679.212715788429"/>
    <n v="0.66016158335229636"/>
    <n v="69"/>
    <n v="65"/>
    <n v="0"/>
    <n v="4"/>
    <n v="1"/>
    <n v="0.31126442139524846"/>
    <n v="1"/>
    <n v="74.95"/>
    <n v="74.95"/>
    <n v="7.9281816290230775"/>
    <n v="1686.4920079316198"/>
    <n v="1"/>
    <n v="0"/>
    <n v="0"/>
    <n v="0"/>
    <n v="0"/>
    <n v="0"/>
    <n v="0"/>
    <n v="0"/>
    <n v="0"/>
    <n v="0"/>
  </r>
  <r>
    <d v="2001-06-21T00:00:00"/>
    <n v="2001"/>
    <x v="9"/>
    <s v="R"/>
    <s v="RS"/>
    <x v="7"/>
    <s v="PHX"/>
    <s v="A"/>
    <n v="1"/>
    <n v="4"/>
    <n v="-3"/>
    <n v="3"/>
    <n v="-16"/>
    <n v="16"/>
    <n v="1563.2169375022697"/>
    <n v="1508.8129591679904"/>
    <n v="0.41227338766463928"/>
    <n v="95"/>
    <n v="70"/>
    <n v="0"/>
    <n v="25"/>
    <n v="1"/>
    <n v="0.61352933135191134"/>
    <n v="1"/>
    <n v="74.5"/>
    <n v="74.5"/>
    <n v="26.863769903545922"/>
    <n v="1590.0807074058157"/>
    <n v="1"/>
    <n v="0"/>
    <n v="0"/>
    <n v="0"/>
    <n v="0"/>
    <n v="0"/>
    <n v="0"/>
    <n v="0"/>
    <n v="0"/>
    <n v="0"/>
  </r>
  <r>
    <d v="2001-06-21T00:00:00"/>
    <n v="2001"/>
    <x v="9"/>
    <s v="R"/>
    <s v="RS"/>
    <x v="3"/>
    <s v="NYL"/>
    <s v="H"/>
    <n v="4"/>
    <n v="1"/>
    <n v="3"/>
    <n v="-3"/>
    <n v="16"/>
    <n v="-16"/>
    <n v="1508.8129591679904"/>
    <n v="1563.2169375022697"/>
    <n v="0.58772661233536072"/>
    <n v="70"/>
    <n v="95"/>
    <n v="0"/>
    <n v="-25"/>
    <n v="0"/>
    <n v="0.61352933135191134"/>
    <n v="1"/>
    <n v="74.5"/>
    <n v="74.5"/>
    <n v="-26.863769903545922"/>
    <n v="1481.9491892644444"/>
    <n v="0"/>
    <n v="1"/>
    <n v="0"/>
    <n v="0"/>
    <n v="0"/>
    <n v="0"/>
    <n v="0"/>
    <n v="0"/>
    <n v="0"/>
    <n v="0"/>
  </r>
  <r>
    <d v="2001-06-21T00:00:00"/>
    <n v="2001"/>
    <x v="9"/>
    <s v="R"/>
    <s v="RS"/>
    <x v="15"/>
    <s v="UTA"/>
    <s v="A"/>
    <n v="1"/>
    <n v="6"/>
    <n v="-5"/>
    <n v="5"/>
    <n v="-16"/>
    <n v="16"/>
    <n v="1522.3357049632086"/>
    <n v="1526.5033568748734"/>
    <n v="0.33364597783682043"/>
    <n v="87"/>
    <n v="75"/>
    <n v="0"/>
    <n v="12"/>
    <n v="1"/>
    <n v="0.45455076859347632"/>
    <n v="1"/>
    <n v="74.5"/>
    <n v="74.5"/>
    <n v="22.565434103257264"/>
    <n v="1544.9011390664659"/>
    <n v="1"/>
    <n v="0"/>
    <n v="0"/>
    <n v="0"/>
    <n v="0"/>
    <n v="0"/>
    <n v="0"/>
    <n v="0"/>
    <n v="0"/>
    <n v="0"/>
  </r>
  <r>
    <d v="2001-06-21T00:00:00"/>
    <n v="2001"/>
    <x v="6"/>
    <s v="R"/>
    <s v="RS"/>
    <x v="2"/>
    <s v="SAC"/>
    <s v="H"/>
    <n v="6"/>
    <n v="1"/>
    <n v="5"/>
    <n v="-5"/>
    <n v="16"/>
    <n v="-16"/>
    <n v="1526.5033568748734"/>
    <n v="1522.3357049632086"/>
    <n v="0.66635402216317963"/>
    <n v="75"/>
    <n v="87"/>
    <n v="0"/>
    <n v="-12"/>
    <n v="0"/>
    <n v="0.45455076859347632"/>
    <n v="1"/>
    <n v="74.95"/>
    <n v="74.95"/>
    <n v="-22.701735383075594"/>
    <n v="1503.8016214917977"/>
    <n v="0"/>
    <n v="1"/>
    <n v="0"/>
    <n v="0"/>
    <n v="0"/>
    <n v="0"/>
    <n v="0"/>
    <n v="0"/>
    <n v="0"/>
    <n v="0"/>
  </r>
  <r>
    <d v="2001-06-21T00:00:00"/>
    <n v="2001"/>
    <x v="7"/>
    <s v="R"/>
    <s v="RS"/>
    <x v="8"/>
    <s v="WAS"/>
    <s v="A"/>
    <n v="3"/>
    <n v="3"/>
    <n v="0"/>
    <n v="0"/>
    <n v="0"/>
    <n v="0"/>
    <n v="1478.2844176448532"/>
    <n v="1413.5432167801866"/>
    <n v="0.47231271188673318"/>
    <n v="74"/>
    <n v="63"/>
    <n v="0"/>
    <n v="11"/>
    <n v="1"/>
    <n v="0.41732108035091614"/>
    <n v="1"/>
    <n v="74.8"/>
    <n v="74.8"/>
    <n v="16.47208418138295"/>
    <n v="1494.7565018262362"/>
    <n v="1"/>
    <n v="0"/>
    <n v="0"/>
    <n v="0"/>
    <n v="0"/>
    <n v="0"/>
    <n v="0"/>
    <n v="0"/>
    <n v="0"/>
    <n v="0"/>
  </r>
  <r>
    <d v="2001-06-21T00:00:00"/>
    <n v="2001"/>
    <x v="7"/>
    <s v="R"/>
    <s v="RS"/>
    <x v="4"/>
    <s v="MIA"/>
    <s v="H"/>
    <n v="3"/>
    <n v="3"/>
    <n v="0"/>
    <n v="0"/>
    <n v="0"/>
    <n v="0"/>
    <n v="1413.5432167801866"/>
    <n v="1478.2844176448532"/>
    <n v="0.52768728811326682"/>
    <n v="63"/>
    <n v="74"/>
    <n v="0"/>
    <n v="-11"/>
    <n v="0"/>
    <n v="0.41732108035091614"/>
    <n v="1"/>
    <n v="74.8"/>
    <n v="74.8"/>
    <n v="-16.47208418138295"/>
    <n v="1397.0711325988036"/>
    <n v="0"/>
    <n v="1"/>
    <n v="0"/>
    <n v="0"/>
    <n v="0"/>
    <n v="0"/>
    <n v="0"/>
    <n v="0"/>
    <n v="0"/>
    <n v="0"/>
  </r>
  <r>
    <d v="2001-06-22T00:00:00"/>
    <n v="2001"/>
    <x v="10"/>
    <s v="R"/>
    <s v="RS"/>
    <x v="0"/>
    <s v="CLE"/>
    <s v="A"/>
    <n v="0"/>
    <n v="4"/>
    <n v="-4"/>
    <n v="4"/>
    <n v="-16"/>
    <n v="16"/>
    <n v="1671.3321349830626"/>
    <n v="1565.9384469832353"/>
    <n v="0.48474102982961503"/>
    <n v="70"/>
    <n v="74"/>
    <n v="0"/>
    <n v="-4"/>
    <n v="0"/>
    <n v="0.28628856207913933"/>
    <n v="1"/>
    <n v="74.349999999999994"/>
    <n v="74.349999999999994"/>
    <n v="-10.317981652734181"/>
    <n v="1661.0141533303283"/>
    <n v="0"/>
    <n v="1"/>
    <n v="0"/>
    <n v="0"/>
    <n v="0"/>
    <n v="0"/>
    <n v="0"/>
    <n v="0"/>
    <n v="0"/>
    <n v="0"/>
  </r>
  <r>
    <d v="2001-06-22T00:00:00"/>
    <n v="2001"/>
    <x v="9"/>
    <s v="R"/>
    <s v="RS"/>
    <x v="5"/>
    <s v="LAS"/>
    <s v="H"/>
    <n v="4"/>
    <n v="0"/>
    <n v="4"/>
    <n v="-4"/>
    <n v="16"/>
    <n v="-16"/>
    <n v="1565.9384469832353"/>
    <n v="1671.3321349830626"/>
    <n v="0.51525897017038502"/>
    <n v="74"/>
    <n v="70"/>
    <n v="0"/>
    <n v="4"/>
    <n v="1"/>
    <n v="0.28628856207913933"/>
    <n v="1"/>
    <n v="74.5"/>
    <n v="74.5"/>
    <n v="10.338798024595784"/>
    <n v="1576.277245007831"/>
    <n v="1"/>
    <n v="0"/>
    <n v="0"/>
    <n v="0"/>
    <n v="0"/>
    <n v="0"/>
    <n v="0"/>
    <n v="0"/>
    <n v="0"/>
    <n v="0"/>
  </r>
  <r>
    <d v="2001-06-22T00:00:00"/>
    <n v="2001"/>
    <x v="7"/>
    <s v="R"/>
    <s v="RS"/>
    <x v="14"/>
    <s v="IND"/>
    <s v="A"/>
    <n v="4"/>
    <n v="3"/>
    <n v="1"/>
    <n v="-1"/>
    <n v="8"/>
    <n v="-8"/>
    <n v="1446.5424022887569"/>
    <n v="1410.6024372875663"/>
    <n v="0.45399241005811525"/>
    <n v="56"/>
    <n v="77"/>
    <n v="0"/>
    <n v="-21"/>
    <n v="0"/>
    <n v="0.57146104772508444"/>
    <n v="1"/>
    <n v="74.8"/>
    <n v="74.8"/>
    <n v="-19.406035577666291"/>
    <n v="1427.1363667110907"/>
    <n v="0"/>
    <n v="1"/>
    <n v="0"/>
    <n v="0"/>
    <n v="0"/>
    <n v="0"/>
    <n v="0"/>
    <n v="0"/>
    <n v="0"/>
    <n v="0"/>
  </r>
  <r>
    <d v="2001-06-22T00:00:00"/>
    <n v="2001"/>
    <x v="8"/>
    <s v="R"/>
    <s v="RS"/>
    <x v="6"/>
    <s v="DET"/>
    <s v="H"/>
    <n v="3"/>
    <n v="4"/>
    <n v="-1"/>
    <n v="1"/>
    <n v="-8"/>
    <n v="8"/>
    <n v="1410.6024372875663"/>
    <n v="1446.5424022887569"/>
    <n v="0.5460075899418847"/>
    <n v="77"/>
    <n v="56"/>
    <n v="0"/>
    <n v="21"/>
    <n v="1"/>
    <n v="0.57146104772508444"/>
    <n v="1"/>
    <n v="74.650000000000006"/>
    <n v="74.650000000000006"/>
    <n v="19.36711973091964"/>
    <n v="1429.9695570184861"/>
    <n v="1"/>
    <n v="0"/>
    <n v="0"/>
    <n v="0"/>
    <n v="0"/>
    <n v="0"/>
    <n v="0"/>
    <n v="0"/>
    <n v="0"/>
    <n v="0"/>
  </r>
  <r>
    <d v="2001-06-22T00:00:00"/>
    <n v="2001"/>
    <x v="8"/>
    <s v="R"/>
    <s v="RS"/>
    <x v="8"/>
    <s v="MIN"/>
    <s v="A"/>
    <n v="0"/>
    <n v="4"/>
    <n v="-4"/>
    <n v="4"/>
    <n v="-16"/>
    <n v="16"/>
    <n v="1494.7565018262362"/>
    <n v="1476.4407495543944"/>
    <n v="0.36301181360726148"/>
    <n v="57"/>
    <n v="63"/>
    <n v="0"/>
    <n v="-6"/>
    <n v="0"/>
    <n v="0.34599972340760876"/>
    <n v="1"/>
    <n v="74.650000000000006"/>
    <n v="74.650000000000006"/>
    <n v="-9.3761883371498858"/>
    <n v="1485.3803134890863"/>
    <n v="0"/>
    <n v="1"/>
    <n v="0"/>
    <n v="0"/>
    <n v="0"/>
    <n v="0"/>
    <n v="0"/>
    <n v="0"/>
    <n v="0"/>
    <n v="0"/>
  </r>
  <r>
    <d v="2001-06-22T00:00:00"/>
    <n v="2001"/>
    <x v="6"/>
    <s v="R"/>
    <s v="RS"/>
    <x v="9"/>
    <s v="MIA"/>
    <s v="H"/>
    <n v="4"/>
    <n v="0"/>
    <n v="4"/>
    <n v="-4"/>
    <n v="16"/>
    <n v="-16"/>
    <n v="1476.4407495543944"/>
    <n v="1494.7565018262362"/>
    <n v="0.63698818639273858"/>
    <n v="63"/>
    <n v="57"/>
    <n v="0"/>
    <n v="6"/>
    <n v="1"/>
    <n v="0.34599972340760876"/>
    <n v="1"/>
    <n v="74.95"/>
    <n v="74.95"/>
    <n v="9.4138689332804262"/>
    <n v="1485.8546184876748"/>
    <n v="1"/>
    <n v="0"/>
    <n v="0"/>
    <n v="0"/>
    <n v="0"/>
    <n v="0"/>
    <n v="0"/>
    <n v="0"/>
    <n v="0"/>
    <n v="0"/>
  </r>
  <r>
    <d v="2001-06-22T00:00:00"/>
    <n v="2001"/>
    <x v="10"/>
    <s v="R"/>
    <s v="RS"/>
    <x v="11"/>
    <s v="PHX"/>
    <s v="A"/>
    <n v="2"/>
    <n v="0"/>
    <n v="2"/>
    <n v="-2"/>
    <n v="16"/>
    <n v="-16"/>
    <n v="1413.5903206626942"/>
    <n v="1481.9491892644444"/>
    <n v="0.33340130100397414"/>
    <n v="58"/>
    <n v="55"/>
    <n v="0"/>
    <n v="3"/>
    <n v="1"/>
    <n v="0.27454392754184048"/>
    <n v="1"/>
    <n v="74.349999999999994"/>
    <n v="74.349999999999994"/>
    <n v="13.606839962552931"/>
    <n v="1427.1971606252471"/>
    <n v="1"/>
    <n v="0"/>
    <n v="0"/>
    <n v="0"/>
    <n v="0"/>
    <n v="0"/>
    <n v="0"/>
    <n v="0"/>
    <n v="0"/>
    <n v="0"/>
  </r>
  <r>
    <d v="2001-06-22T00:00:00"/>
    <n v="2001"/>
    <x v="10"/>
    <s v="R"/>
    <s v="RS"/>
    <x v="3"/>
    <s v="SEA"/>
    <s v="H"/>
    <n v="0"/>
    <n v="2"/>
    <n v="-2"/>
    <n v="2"/>
    <n v="-16"/>
    <n v="16"/>
    <n v="1481.9491892644444"/>
    <n v="1413.5903206626942"/>
    <n v="0.66659869899602586"/>
    <n v="55"/>
    <n v="58"/>
    <n v="0"/>
    <n v="-3"/>
    <n v="0"/>
    <n v="0.27454392754184048"/>
    <n v="1"/>
    <n v="74.349999999999994"/>
    <n v="74.349999999999994"/>
    <n v="-13.606839962552931"/>
    <n v="1468.3423493018915"/>
    <n v="0"/>
    <n v="1"/>
    <n v="0"/>
    <n v="0"/>
    <n v="0"/>
    <n v="0"/>
    <n v="0"/>
    <n v="0"/>
    <n v="0"/>
    <n v="0"/>
  </r>
  <r>
    <d v="2001-06-22T00:00:00"/>
    <n v="2001"/>
    <x v="9"/>
    <s v="R"/>
    <s v="RS"/>
    <x v="13"/>
    <s v="POR"/>
    <s v="A"/>
    <n v="2"/>
    <n v="2"/>
    <n v="0"/>
    <n v="0"/>
    <n v="0"/>
    <n v="0"/>
    <n v="1370.0507340729214"/>
    <n v="1486.762681106595"/>
    <n v="0.23950580152420459"/>
    <n v="62"/>
    <n v="66"/>
    <n v="1"/>
    <n v="-4"/>
    <n v="0"/>
    <n v="0.25544490156250399"/>
    <n v="1"/>
    <n v="74.5"/>
    <n v="74.5"/>
    <n v="-4.55794992410293"/>
    <n v="1365.4927841488184"/>
    <n v="0"/>
    <n v="1"/>
    <n v="0"/>
    <n v="0"/>
    <n v="0"/>
    <n v="0"/>
    <n v="0"/>
    <n v="0"/>
    <n v="0"/>
    <n v="0"/>
  </r>
  <r>
    <d v="2001-06-22T00:00:00"/>
    <n v="2001"/>
    <x v="7"/>
    <s v="R"/>
    <s v="RS"/>
    <x v="10"/>
    <s v="CHA"/>
    <s v="H"/>
    <n v="2"/>
    <n v="2"/>
    <n v="0"/>
    <n v="0"/>
    <n v="0"/>
    <n v="0"/>
    <n v="1486.762681106595"/>
    <n v="1370.0507340729214"/>
    <n v="0.76049419847579547"/>
    <n v="66"/>
    <n v="62"/>
    <n v="1"/>
    <n v="4"/>
    <n v="1"/>
    <n v="0.25544490156250399"/>
    <n v="1"/>
    <n v="74.8"/>
    <n v="74.8"/>
    <n v="4.5763040848711283"/>
    <n v="1491.338985191466"/>
    <n v="1"/>
    <n v="0"/>
    <n v="0"/>
    <n v="0"/>
    <n v="0"/>
    <n v="0"/>
    <n v="0"/>
    <n v="0"/>
    <n v="0"/>
    <n v="0"/>
  </r>
  <r>
    <d v="2001-06-23T00:00:00"/>
    <n v="2001"/>
    <x v="9"/>
    <s v="R"/>
    <s v="RS"/>
    <x v="6"/>
    <s v="DET"/>
    <s v="A"/>
    <n v="0"/>
    <n v="0"/>
    <n v="0"/>
    <n v="0"/>
    <n v="0"/>
    <n v="0"/>
    <n v="1429.9695570184861"/>
    <n v="1427.1363667110907"/>
    <n v="0.38527119477542671"/>
    <n v="74"/>
    <n v="70"/>
    <n v="0"/>
    <n v="4"/>
    <n v="1"/>
    <n v="0.31069917665736152"/>
    <n v="1"/>
    <n v="74.5"/>
    <n v="74.5"/>
    <n v="14.229182156987468"/>
    <n v="1444.1987391754735"/>
    <n v="1"/>
    <n v="0"/>
    <n v="0"/>
    <n v="0"/>
    <n v="0"/>
    <n v="0"/>
    <n v="0"/>
    <n v="0"/>
    <n v="0"/>
    <n v="0"/>
  </r>
  <r>
    <d v="2001-06-23T00:00:00"/>
    <n v="2001"/>
    <x v="8"/>
    <s v="R"/>
    <s v="RS"/>
    <x v="14"/>
    <s v="IND"/>
    <s v="H"/>
    <n v="0"/>
    <n v="0"/>
    <n v="0"/>
    <n v="0"/>
    <n v="0"/>
    <n v="0"/>
    <n v="1427.1363667110907"/>
    <n v="1429.9695570184861"/>
    <n v="0.6147288052245734"/>
    <n v="70"/>
    <n v="74"/>
    <n v="0"/>
    <n v="-4"/>
    <n v="0"/>
    <n v="0.31069917665736152"/>
    <n v="1"/>
    <n v="74.650000000000006"/>
    <n v="74.650000000000006"/>
    <n v="-14.257831517035097"/>
    <n v="1412.8785351940555"/>
    <n v="0"/>
    <n v="1"/>
    <n v="0"/>
    <n v="0"/>
    <n v="0"/>
    <n v="0"/>
    <n v="0"/>
    <n v="0"/>
    <n v="0"/>
    <n v="0"/>
  </r>
  <r>
    <d v="2001-06-23T00:00:00"/>
    <n v="2001"/>
    <x v="10"/>
    <s v="R"/>
    <s v="RS"/>
    <x v="15"/>
    <s v="HOU"/>
    <s v="A"/>
    <n v="1"/>
    <n v="1"/>
    <n v="0"/>
    <n v="0"/>
    <n v="0"/>
    <n v="0"/>
    <n v="1544.9011390664659"/>
    <n v="1686.4920079316198"/>
    <n v="0.2143998144601218"/>
    <n v="56"/>
    <n v="70"/>
    <n v="0"/>
    <n v="-14"/>
    <n v="0"/>
    <n v="0.43614617378536596"/>
    <n v="1"/>
    <n v="74.349999999999994"/>
    <n v="74.349999999999994"/>
    <n v="-6.952443127101489"/>
    <n v="1537.9486959393644"/>
    <n v="0"/>
    <n v="1"/>
    <n v="0"/>
    <n v="0"/>
    <n v="0"/>
    <n v="0"/>
    <n v="0"/>
    <n v="0"/>
    <n v="0"/>
    <n v="0"/>
  </r>
  <r>
    <d v="2001-06-23T00:00:00"/>
    <n v="2001"/>
    <x v="7"/>
    <s v="R"/>
    <s v="RS"/>
    <x v="1"/>
    <s v="SAC"/>
    <s v="H"/>
    <n v="1"/>
    <n v="1"/>
    <n v="0"/>
    <n v="0"/>
    <n v="0"/>
    <n v="0"/>
    <n v="1686.4920079316198"/>
    <n v="1544.9011390664659"/>
    <n v="0.7856001855398782"/>
    <n v="70"/>
    <n v="56"/>
    <n v="0"/>
    <n v="14"/>
    <n v="1"/>
    <n v="0.43614617378536596"/>
    <n v="1"/>
    <n v="74.8"/>
    <n v="74.8"/>
    <n v="6.9945224735331717"/>
    <n v="1693.486530405153"/>
    <n v="1"/>
    <n v="0"/>
    <n v="0"/>
    <n v="0"/>
    <n v="0"/>
    <n v="0"/>
    <n v="0"/>
    <n v="0"/>
    <n v="0"/>
    <n v="0"/>
  </r>
  <r>
    <d v="2001-06-23T00:00:00"/>
    <n v="2001"/>
    <x v="8"/>
    <s v="R"/>
    <s v="RS"/>
    <x v="4"/>
    <s v="ORL"/>
    <s v="A"/>
    <n v="1"/>
    <n v="4"/>
    <n v="-3"/>
    <n v="3"/>
    <n v="-16"/>
    <n v="16"/>
    <n v="1397.0711325988036"/>
    <n v="1458.9541867812231"/>
    <n v="0.26425341993912843"/>
    <n v="59"/>
    <n v="67"/>
    <n v="0"/>
    <n v="-8"/>
    <n v="0"/>
    <n v="0.3692724460156227"/>
    <n v="1"/>
    <n v="74.650000000000006"/>
    <n v="74.650000000000006"/>
    <n v="-7.2844594788065411"/>
    <n v="1389.786673119997"/>
    <n v="0"/>
    <n v="1"/>
    <n v="0"/>
    <n v="0"/>
    <n v="0"/>
    <n v="0"/>
    <n v="0"/>
    <n v="0"/>
    <n v="0"/>
    <n v="0"/>
  </r>
  <r>
    <d v="2001-06-23T00:00:00"/>
    <n v="2001"/>
    <x v="8"/>
    <s v="R"/>
    <s v="RS"/>
    <x v="12"/>
    <s v="WAS"/>
    <s v="H"/>
    <n v="4"/>
    <n v="1"/>
    <n v="3"/>
    <n v="-3"/>
    <n v="16"/>
    <n v="-16"/>
    <n v="1458.9541867812231"/>
    <n v="1397.0711325988036"/>
    <n v="0.73574658006087157"/>
    <n v="67"/>
    <n v="59"/>
    <n v="0"/>
    <n v="8"/>
    <n v="1"/>
    <n v="0.3692724460156227"/>
    <n v="1"/>
    <n v="74.650000000000006"/>
    <n v="74.650000000000006"/>
    <n v="7.2844594788065411"/>
    <n v="1466.2386462600298"/>
    <n v="1"/>
    <n v="0"/>
    <n v="0"/>
    <n v="0"/>
    <n v="0"/>
    <n v="0"/>
    <n v="0"/>
    <n v="0"/>
    <n v="0"/>
    <n v="0"/>
  </r>
  <r>
    <d v="2001-06-23T00:00:00"/>
    <n v="2001"/>
    <x v="7"/>
    <s v="R"/>
    <s v="RS"/>
    <x v="9"/>
    <s v="UTA"/>
    <s v="A"/>
    <n v="0"/>
    <n v="1"/>
    <n v="-1"/>
    <n v="1"/>
    <n v="-8"/>
    <n v="8"/>
    <n v="1485.8546184876748"/>
    <n v="1503.8016214917977"/>
    <n v="0.33649401142389873"/>
    <n v="80"/>
    <n v="87"/>
    <n v="0"/>
    <n v="-7"/>
    <n v="0"/>
    <n v="0.36465347497807382"/>
    <n v="1"/>
    <n v="74.8"/>
    <n v="74.8"/>
    <n v="-9.1782375510127174"/>
    <n v="1476.6763809366621"/>
    <n v="0"/>
    <n v="1"/>
    <n v="0"/>
    <n v="0"/>
    <n v="0"/>
    <n v="0"/>
    <n v="0"/>
    <n v="0"/>
    <n v="0"/>
    <n v="0"/>
  </r>
  <r>
    <d v="2001-06-23T00:00:00"/>
    <n v="2001"/>
    <x v="7"/>
    <s v="R"/>
    <s v="RS"/>
    <x v="2"/>
    <s v="MIN"/>
    <s v="H"/>
    <n v="1"/>
    <n v="0"/>
    <n v="1"/>
    <n v="-1"/>
    <n v="8"/>
    <n v="-8"/>
    <n v="1503.8016214917977"/>
    <n v="1485.8546184876748"/>
    <n v="0.66350598857610132"/>
    <n v="87"/>
    <n v="80"/>
    <n v="0"/>
    <n v="7"/>
    <n v="1"/>
    <n v="0.36465347497807382"/>
    <n v="1"/>
    <n v="74.8"/>
    <n v="74.8"/>
    <n v="9.1782375510127157"/>
    <n v="1512.9798590428104"/>
    <n v="1"/>
    <n v="0"/>
    <n v="0"/>
    <n v="0"/>
    <n v="0"/>
    <n v="0"/>
    <n v="0"/>
    <n v="0"/>
    <n v="0"/>
    <n v="0"/>
  </r>
  <r>
    <d v="2001-06-24T00:00:00"/>
    <n v="2001"/>
    <x v="11"/>
    <s v="R"/>
    <s v="RS"/>
    <x v="15"/>
    <s v="CHA"/>
    <s v="A"/>
    <n v="0"/>
    <n v="1"/>
    <n v="-1"/>
    <n v="1"/>
    <n v="-8"/>
    <n v="8"/>
    <n v="1537.9486959393644"/>
    <n v="1365.4927841488184"/>
    <n v="0.60278664473015431"/>
    <n v="85"/>
    <n v="82"/>
    <n v="1"/>
    <n v="3"/>
    <n v="1"/>
    <n v="0.22834846649298646"/>
    <n v="1"/>
    <n v="74.2"/>
    <n v="74.2"/>
    <n v="6.730167092543109"/>
    <n v="1544.6788630319074"/>
    <n v="1"/>
    <n v="0"/>
    <n v="0"/>
    <n v="0"/>
    <n v="0"/>
    <n v="0"/>
    <n v="0"/>
    <n v="0"/>
    <n v="0"/>
    <n v="0"/>
  </r>
  <r>
    <d v="2001-06-24T00:00:00"/>
    <n v="2001"/>
    <x v="10"/>
    <s v="R"/>
    <s v="RS"/>
    <x v="13"/>
    <s v="SAC"/>
    <s v="H"/>
    <n v="1"/>
    <n v="0"/>
    <n v="1"/>
    <n v="-1"/>
    <n v="8"/>
    <n v="-8"/>
    <n v="1365.4927841488184"/>
    <n v="1537.9486959393644"/>
    <n v="0.39721335526984564"/>
    <n v="82"/>
    <n v="85"/>
    <n v="1"/>
    <n v="-3"/>
    <n v="0"/>
    <n v="0.22834846649298646"/>
    <n v="1"/>
    <n v="74.349999999999994"/>
    <n v="74.349999999999994"/>
    <n v="-6.7437725516250682"/>
    <n v="1358.7490115971932"/>
    <n v="0"/>
    <n v="1"/>
    <n v="0"/>
    <n v="0"/>
    <n v="0"/>
    <n v="0"/>
    <n v="0"/>
    <n v="0"/>
    <n v="0"/>
    <n v="0"/>
  </r>
  <r>
    <d v="2001-06-24T00:00:00"/>
    <n v="2001"/>
    <x v="8"/>
    <s v="R"/>
    <s v="RS"/>
    <x v="10"/>
    <s v="HOU"/>
    <s v="A"/>
    <n v="1"/>
    <n v="0"/>
    <n v="1"/>
    <n v="-1"/>
    <n v="8"/>
    <n v="-8"/>
    <n v="1491.338985191466"/>
    <n v="1693.486530405153"/>
    <n v="0.1743517138270107"/>
    <n v="57"/>
    <n v="67"/>
    <n v="0"/>
    <n v="-10"/>
    <n v="0"/>
    <n v="0.36212711061114394"/>
    <n v="1"/>
    <n v="74.650000000000006"/>
    <n v="74.650000000000006"/>
    <n v="-4.7132130580453353"/>
    <n v="1486.6257721334207"/>
    <n v="0"/>
    <n v="1"/>
    <n v="0"/>
    <n v="0"/>
    <n v="0"/>
    <n v="0"/>
    <n v="0"/>
    <n v="0"/>
    <n v="0"/>
    <n v="0"/>
  </r>
  <r>
    <d v="2001-06-24T00:00:00"/>
    <n v="2001"/>
    <x v="8"/>
    <s v="R"/>
    <s v="RS"/>
    <x v="1"/>
    <s v="POR"/>
    <s v="H"/>
    <n v="0"/>
    <n v="1"/>
    <n v="-1"/>
    <n v="1"/>
    <n v="-8"/>
    <n v="8"/>
    <n v="1693.486530405153"/>
    <n v="1491.338985191466"/>
    <n v="0.82564828617298924"/>
    <n v="67"/>
    <n v="57"/>
    <n v="0"/>
    <n v="10"/>
    <n v="1"/>
    <n v="0.36212711061114394"/>
    <n v="1"/>
    <n v="74.650000000000006"/>
    <n v="74.650000000000006"/>
    <n v="4.7132130580453362"/>
    <n v="1698.1997434631983"/>
    <n v="1"/>
    <n v="0"/>
    <n v="0"/>
    <n v="0"/>
    <n v="0"/>
    <n v="0"/>
    <n v="0"/>
    <n v="0"/>
    <n v="0"/>
    <n v="0"/>
  </r>
  <r>
    <d v="2001-06-24T00:00:00"/>
    <n v="2001"/>
    <x v="10"/>
    <s v="R"/>
    <s v="RS"/>
    <x v="5"/>
    <s v="MIA"/>
    <s v="A"/>
    <n v="1"/>
    <n v="1"/>
    <n v="0"/>
    <n v="0"/>
    <n v="0"/>
    <n v="0"/>
    <n v="1576.277245007831"/>
    <n v="1485.3803134890863"/>
    <n v="0.50992417877168572"/>
    <n v="54"/>
    <n v="35"/>
    <n v="0"/>
    <n v="19"/>
    <n v="1"/>
    <n v="0.52147702177564959"/>
    <n v="1"/>
    <n v="74.349999999999994"/>
    <n v="74.349999999999994"/>
    <n v="19.001129845575814"/>
    <n v="1595.2783748534068"/>
    <n v="1"/>
    <n v="0"/>
    <n v="0"/>
    <n v="0"/>
    <n v="0"/>
    <n v="0"/>
    <n v="0"/>
    <n v="0"/>
    <n v="0"/>
    <n v="0"/>
  </r>
  <r>
    <d v="2001-06-24T00:00:00"/>
    <n v="2001"/>
    <x v="9"/>
    <s v="R"/>
    <s v="RS"/>
    <x v="8"/>
    <s v="CLE"/>
    <s v="H"/>
    <n v="1"/>
    <n v="1"/>
    <n v="0"/>
    <n v="0"/>
    <n v="0"/>
    <n v="0"/>
    <n v="1485.3803134890863"/>
    <n v="1576.277245007831"/>
    <n v="0.49007582122831428"/>
    <n v="35"/>
    <n v="54"/>
    <n v="0"/>
    <n v="-19"/>
    <n v="0"/>
    <n v="0.52147702177564959"/>
    <n v="1"/>
    <n v="74.5"/>
    <n v="74.5"/>
    <n v="-19.039464337530578"/>
    <n v="1466.3408491515559"/>
    <n v="0"/>
    <n v="1"/>
    <n v="0"/>
    <n v="0"/>
    <n v="0"/>
    <n v="0"/>
    <n v="0"/>
    <n v="0"/>
    <n v="0"/>
    <n v="0"/>
  </r>
  <r>
    <d v="2001-06-24T00:00:00"/>
    <n v="2001"/>
    <x v="11"/>
    <s v="R"/>
    <s v="RS"/>
    <x v="0"/>
    <s v="NYL"/>
    <s v="A"/>
    <n v="1"/>
    <n v="2"/>
    <n v="-1"/>
    <n v="1"/>
    <n v="-8"/>
    <n v="8"/>
    <n v="1661.0141533303283"/>
    <n v="1590.0807074058157"/>
    <n v="0.45826718399749333"/>
    <n v="69"/>
    <n v="82"/>
    <n v="0"/>
    <n v="-13"/>
    <n v="0"/>
    <n v="0.44569800928079883"/>
    <n v="1"/>
    <n v="74.2"/>
    <n v="74.2"/>
    <n v="-15.155258854678905"/>
    <n v="1645.8588944756493"/>
    <n v="0"/>
    <n v="1"/>
    <n v="0"/>
    <n v="0"/>
    <n v="0"/>
    <n v="0"/>
    <n v="0"/>
    <n v="0"/>
    <n v="0"/>
    <n v="0"/>
  </r>
  <r>
    <d v="2001-06-24T00:00:00"/>
    <n v="2001"/>
    <x v="10"/>
    <s v="R"/>
    <s v="RS"/>
    <x v="7"/>
    <s v="LAS"/>
    <s v="H"/>
    <n v="2"/>
    <n v="1"/>
    <n v="1"/>
    <n v="-1"/>
    <n v="8"/>
    <n v="-8"/>
    <n v="1590.0807074058157"/>
    <n v="1661.0141533303283"/>
    <n v="0.54173281600250667"/>
    <n v="82"/>
    <n v="69"/>
    <n v="0"/>
    <n v="13"/>
    <n v="1"/>
    <n v="0.44569800928079883"/>
    <n v="1"/>
    <n v="74.349999999999994"/>
    <n v="74.349999999999994"/>
    <n v="15.185896170422863"/>
    <n v="1605.2666035762386"/>
    <n v="1"/>
    <n v="0"/>
    <n v="0"/>
    <n v="0"/>
    <n v="0"/>
    <n v="0"/>
    <n v="0"/>
    <n v="0"/>
    <n v="0"/>
    <n v="0"/>
  </r>
  <r>
    <d v="2001-06-25T00:00:00"/>
    <n v="2001"/>
    <x v="11"/>
    <s v="R"/>
    <s v="RS"/>
    <x v="7"/>
    <s v="ORL"/>
    <s v="A"/>
    <n v="0"/>
    <n v="1"/>
    <n v="-1"/>
    <n v="1"/>
    <n v="-8"/>
    <n v="8"/>
    <n v="1605.2666035762386"/>
    <n v="1466.2386462600298"/>
    <n v="0.55593069184215504"/>
    <n v="54"/>
    <n v="67"/>
    <n v="0"/>
    <n v="-13"/>
    <n v="0"/>
    <n v="0.42303262129961222"/>
    <n v="1"/>
    <n v="74.2"/>
    <n v="74.2"/>
    <n v="-17.45011988305232"/>
    <n v="1587.8164836931862"/>
    <n v="0"/>
    <n v="1"/>
    <n v="0"/>
    <n v="0"/>
    <n v="0"/>
    <n v="0"/>
    <n v="0"/>
    <n v="0"/>
    <n v="0"/>
    <n v="0"/>
  </r>
  <r>
    <d v="2001-06-25T00:00:00"/>
    <n v="2001"/>
    <x v="9"/>
    <s v="R"/>
    <s v="RS"/>
    <x v="12"/>
    <s v="NYL"/>
    <s v="H"/>
    <n v="1"/>
    <n v="0"/>
    <n v="1"/>
    <n v="-1"/>
    <n v="8"/>
    <n v="-8"/>
    <n v="1466.2386462600298"/>
    <n v="1605.2666035762386"/>
    <n v="0.44406930815784507"/>
    <n v="67"/>
    <n v="54"/>
    <n v="0"/>
    <n v="13"/>
    <n v="1"/>
    <n v="0.42303262129961222"/>
    <n v="1"/>
    <n v="74.5"/>
    <n v="74.5"/>
    <n v="17.520672928401584"/>
    <n v="1483.7593191884314"/>
    <n v="1"/>
    <n v="0"/>
    <n v="0"/>
    <n v="0"/>
    <n v="0"/>
    <n v="0"/>
    <n v="0"/>
    <n v="0"/>
    <n v="0"/>
    <n v="0"/>
  </r>
  <r>
    <d v="2001-06-25T00:00:00"/>
    <n v="2001"/>
    <x v="11"/>
    <s v="R"/>
    <s v="RS"/>
    <x v="11"/>
    <s v="UTA"/>
    <s v="A"/>
    <n v="2"/>
    <n v="1"/>
    <n v="1"/>
    <n v="-1"/>
    <n v="8"/>
    <n v="-8"/>
    <n v="1427.1971606252471"/>
    <n v="1512.9798590428104"/>
    <n v="0.29209219607746179"/>
    <n v="65"/>
    <n v="47"/>
    <n v="0"/>
    <n v="18"/>
    <n v="1"/>
    <n v="0.51035118092597132"/>
    <n v="1"/>
    <n v="74.2"/>
    <n v="74.2"/>
    <n v="26.807093511918509"/>
    <n v="1454.0042541371656"/>
    <n v="1"/>
    <n v="0"/>
    <n v="0"/>
    <n v="0"/>
    <n v="0"/>
    <n v="0"/>
    <n v="0"/>
    <n v="0"/>
    <n v="0"/>
    <n v="0"/>
  </r>
  <r>
    <d v="2001-06-25T00:00:00"/>
    <n v="2001"/>
    <x v="8"/>
    <s v="R"/>
    <s v="RS"/>
    <x v="2"/>
    <s v="SEA"/>
    <s v="H"/>
    <n v="1"/>
    <n v="2"/>
    <n v="-1"/>
    <n v="1"/>
    <n v="-8"/>
    <n v="8"/>
    <n v="1512.9798590428104"/>
    <n v="1427.1971606252471"/>
    <n v="0.70790780392253827"/>
    <n v="47"/>
    <n v="65"/>
    <n v="0"/>
    <n v="-18"/>
    <n v="0"/>
    <n v="0.51035118092597132"/>
    <n v="1"/>
    <n v="74.650000000000006"/>
    <n v="74.650000000000006"/>
    <n v="-26.969670224591876"/>
    <n v="1486.0101888182185"/>
    <n v="0"/>
    <n v="1"/>
    <n v="0"/>
    <n v="0"/>
    <n v="0"/>
    <n v="0"/>
    <n v="0"/>
    <n v="0"/>
    <n v="0"/>
    <n v="0"/>
  </r>
  <r>
    <d v="2001-06-25T00:00:00"/>
    <n v="2001"/>
    <x v="8"/>
    <s v="R"/>
    <s v="RS"/>
    <x v="9"/>
    <s v="WAS"/>
    <s v="A"/>
    <n v="1"/>
    <n v="1"/>
    <n v="0"/>
    <n v="0"/>
    <n v="0"/>
    <n v="0"/>
    <n v="1476.6763809366621"/>
    <n v="1389.786673119997"/>
    <n v="0.50415852794808935"/>
    <n v="55"/>
    <n v="51"/>
    <n v="0"/>
    <n v="4"/>
    <n v="1"/>
    <n v="0.29040505927948301"/>
    <n v="1"/>
    <n v="74.650000000000006"/>
    <n v="74.650000000000006"/>
    <n v="10.749217201105031"/>
    <n v="1487.4255981377671"/>
    <n v="1"/>
    <n v="0"/>
    <n v="0"/>
    <n v="0"/>
    <n v="0"/>
    <n v="0"/>
    <n v="0"/>
    <n v="0"/>
    <n v="0"/>
    <n v="0"/>
  </r>
  <r>
    <d v="2001-06-25T00:00:00"/>
    <n v="2001"/>
    <x v="9"/>
    <s v="R"/>
    <s v="RS"/>
    <x v="4"/>
    <s v="MIN"/>
    <s v="H"/>
    <n v="1"/>
    <n v="1"/>
    <n v="0"/>
    <n v="0"/>
    <n v="0"/>
    <n v="0"/>
    <n v="1389.786673119997"/>
    <n v="1476.6763809366621"/>
    <n v="0.49584147205191076"/>
    <n v="51"/>
    <n v="55"/>
    <n v="0"/>
    <n v="-4"/>
    <n v="0"/>
    <n v="0.29040505927948301"/>
    <n v="1"/>
    <n v="74.5"/>
    <n v="74.5"/>
    <n v="-10.727617970292364"/>
    <n v="1379.0590551497046"/>
    <n v="0"/>
    <n v="1"/>
    <n v="0"/>
    <n v="0"/>
    <n v="0"/>
    <n v="0"/>
    <n v="0"/>
    <n v="0"/>
    <n v="0"/>
    <n v="0"/>
  </r>
  <r>
    <d v="2001-06-26T00:00:00"/>
    <n v="2001"/>
    <x v="9"/>
    <s v="R"/>
    <s v="RS"/>
    <x v="10"/>
    <s v="CLE"/>
    <s v="A"/>
    <n v="1"/>
    <n v="1"/>
    <n v="0"/>
    <n v="0"/>
    <n v="0"/>
    <n v="0"/>
    <n v="1486.6257721334207"/>
    <n v="1595.2783748534068"/>
    <n v="0.2480578275859564"/>
    <n v="57"/>
    <n v="61"/>
    <n v="0"/>
    <n v="-4"/>
    <n v="0"/>
    <n v="0.28557562267319342"/>
    <n v="1"/>
    <n v="74.5"/>
    <n v="74.5"/>
    <n v="-5.2775255086005268"/>
    <n v="1481.3482466248201"/>
    <n v="0"/>
    <n v="1"/>
    <n v="0"/>
    <n v="0"/>
    <n v="0"/>
    <n v="0"/>
    <n v="0"/>
    <n v="0"/>
    <n v="0"/>
    <n v="0"/>
  </r>
  <r>
    <d v="2001-06-26T00:00:00"/>
    <n v="2001"/>
    <x v="11"/>
    <s v="R"/>
    <s v="RS"/>
    <x v="5"/>
    <s v="POR"/>
    <s v="H"/>
    <n v="1"/>
    <n v="1"/>
    <n v="0"/>
    <n v="0"/>
    <n v="0"/>
    <n v="0"/>
    <n v="1595.2783748534068"/>
    <n v="1486.6257721334207"/>
    <n v="0.75194217241404349"/>
    <n v="61"/>
    <n v="57"/>
    <n v="0"/>
    <n v="4"/>
    <n v="1"/>
    <n v="0.28557562267319342"/>
    <n v="1"/>
    <n v="74.2"/>
    <n v="74.2"/>
    <n v="5.256273728028984"/>
    <n v="1600.5346485814357"/>
    <n v="1"/>
    <n v="0"/>
    <n v="0"/>
    <n v="0"/>
    <n v="0"/>
    <n v="0"/>
    <n v="0"/>
    <n v="0"/>
    <n v="0"/>
    <n v="0"/>
  </r>
  <r>
    <d v="2001-06-26T00:00:00"/>
    <n v="2001"/>
    <x v="12"/>
    <s v="R"/>
    <s v="RS"/>
    <x v="0"/>
    <s v="DET"/>
    <s v="A"/>
    <n v="1"/>
    <n v="2"/>
    <n v="-1"/>
    <n v="1"/>
    <n v="-8"/>
    <n v="8"/>
    <n v="1645.8588944756493"/>
    <n v="1412.8785351940555"/>
    <n v="0.68254588824847529"/>
    <n v="98"/>
    <n v="89"/>
    <n v="1"/>
    <n v="9"/>
    <n v="1"/>
    <n v="0.30597017361691764"/>
    <n v="1"/>
    <n v="74.05"/>
    <n v="74.05"/>
    <n v="7.1925868113977609"/>
    <n v="1653.0514812870472"/>
    <n v="1"/>
    <n v="0"/>
    <n v="0"/>
    <n v="0"/>
    <n v="0"/>
    <n v="0"/>
    <n v="0"/>
    <n v="0"/>
    <n v="0"/>
    <n v="0"/>
  </r>
  <r>
    <d v="2001-06-26T00:00:00"/>
    <n v="2001"/>
    <x v="9"/>
    <s v="R"/>
    <s v="RS"/>
    <x v="14"/>
    <s v="LAS"/>
    <s v="H"/>
    <n v="2"/>
    <n v="1"/>
    <n v="1"/>
    <n v="-1"/>
    <n v="8"/>
    <n v="-8"/>
    <n v="1412.8785351940555"/>
    <n v="1645.8588944756493"/>
    <n v="0.31745411175152466"/>
    <n v="89"/>
    <n v="98"/>
    <n v="1"/>
    <n v="-9"/>
    <n v="0"/>
    <n v="0.30597017361691764"/>
    <n v="1"/>
    <n v="74.5"/>
    <n v="74.5"/>
    <n v="-7.2362959817573689"/>
    <n v="1405.6422392122981"/>
    <n v="0"/>
    <n v="1"/>
    <n v="0"/>
    <n v="0"/>
    <n v="0"/>
    <n v="0"/>
    <n v="0"/>
    <n v="0"/>
    <n v="0"/>
    <n v="0"/>
  </r>
  <r>
    <d v="2001-06-27T00:00:00"/>
    <n v="2001"/>
    <x v="10"/>
    <s v="R"/>
    <s v="RS"/>
    <x v="14"/>
    <s v="CHA"/>
    <s v="A"/>
    <n v="0"/>
    <n v="2"/>
    <n v="-2"/>
    <n v="2"/>
    <n v="-16"/>
    <n v="16"/>
    <n v="1405.6422392122981"/>
    <n v="1358.7490115971932"/>
    <n v="0.40183848989915832"/>
    <n v="50"/>
    <n v="74"/>
    <n v="0"/>
    <n v="-24"/>
    <n v="0"/>
    <n v="0.60479686683369127"/>
    <n v="1"/>
    <n v="74.349999999999994"/>
    <n v="74.349999999999994"/>
    <n v="-18.069329546032737"/>
    <n v="1387.5729096662653"/>
    <n v="0"/>
    <n v="1"/>
    <n v="0"/>
    <n v="0"/>
    <n v="0"/>
    <n v="0"/>
    <n v="0"/>
    <n v="0"/>
    <n v="0"/>
    <n v="0"/>
  </r>
  <r>
    <d v="2001-06-27T00:00:00"/>
    <n v="2001"/>
    <x v="11"/>
    <s v="R"/>
    <s v="RS"/>
    <x v="13"/>
    <s v="DET"/>
    <s v="H"/>
    <n v="2"/>
    <n v="0"/>
    <n v="2"/>
    <n v="-2"/>
    <n v="16"/>
    <n v="-16"/>
    <n v="1358.7490115971932"/>
    <n v="1405.6422392122981"/>
    <n v="0.59816151010084173"/>
    <n v="74"/>
    <n v="50"/>
    <n v="0"/>
    <n v="24"/>
    <n v="1"/>
    <n v="0.60479686683369127"/>
    <n v="1"/>
    <n v="74.2"/>
    <n v="74.2"/>
    <n v="18.032874947083108"/>
    <n v="1376.7818865442764"/>
    <n v="1"/>
    <n v="0"/>
    <n v="0"/>
    <n v="0"/>
    <n v="0"/>
    <n v="0"/>
    <n v="0"/>
    <n v="0"/>
    <n v="0"/>
    <n v="0"/>
  </r>
  <r>
    <d v="2001-06-27T00:00:00"/>
    <n v="2001"/>
    <x v="10"/>
    <s v="R"/>
    <s v="RS"/>
    <x v="4"/>
    <s v="HOU"/>
    <s v="A"/>
    <n v="1"/>
    <n v="2"/>
    <n v="-1"/>
    <n v="1"/>
    <n v="-8"/>
    <n v="8"/>
    <n v="1379.0590551497046"/>
    <n v="1698.1997434631983"/>
    <n v="8.2204258712447353E-2"/>
    <n v="63"/>
    <n v="76"/>
    <n v="0"/>
    <n v="-13"/>
    <n v="0"/>
    <n v="0.37287692386529414"/>
    <n v="1"/>
    <n v="74.349999999999994"/>
    <n v="74.349999999999994"/>
    <n v="-2.2789814875730521"/>
    <n v="1376.7800736621316"/>
    <n v="0"/>
    <n v="1"/>
    <n v="0"/>
    <n v="0"/>
    <n v="0"/>
    <n v="0"/>
    <n v="0"/>
    <n v="0"/>
    <n v="0"/>
    <n v="0"/>
  </r>
  <r>
    <d v="2001-06-27T00:00:00"/>
    <n v="2001"/>
    <x v="9"/>
    <s v="R"/>
    <s v="RS"/>
    <x v="1"/>
    <s v="WAS"/>
    <s v="H"/>
    <n v="2"/>
    <n v="1"/>
    <n v="1"/>
    <n v="-1"/>
    <n v="8"/>
    <n v="-8"/>
    <n v="1698.1997434631983"/>
    <n v="1379.0590551497046"/>
    <n v="0.91779574128755259"/>
    <n v="76"/>
    <n v="63"/>
    <n v="0"/>
    <n v="13"/>
    <n v="1"/>
    <n v="0.37287692386529414"/>
    <n v="1"/>
    <n v="74.5"/>
    <n v="74.5"/>
    <n v="2.2835792982406526"/>
    <n v="1700.483322761439"/>
    <n v="1"/>
    <n v="0"/>
    <n v="0"/>
    <n v="0"/>
    <n v="0"/>
    <n v="0"/>
    <n v="0"/>
    <n v="0"/>
    <n v="0"/>
    <n v="0"/>
  </r>
  <r>
    <d v="2001-06-27T00:00:00"/>
    <n v="2001"/>
    <x v="10"/>
    <s v="R"/>
    <s v="RS"/>
    <x v="10"/>
    <s v="IND"/>
    <s v="A"/>
    <n v="0"/>
    <n v="3"/>
    <n v="-3"/>
    <n v="3"/>
    <n v="-16"/>
    <n v="16"/>
    <n v="1481.3482466248201"/>
    <n v="1444.1987391754735"/>
    <n v="0.38843392579026531"/>
    <n v="68"/>
    <n v="65"/>
    <n v="0"/>
    <n v="3"/>
    <n v="1"/>
    <n v="0.28146980071663408"/>
    <n v="1"/>
    <n v="74.349999999999994"/>
    <n v="74.349999999999994"/>
    <n v="12.798414279793754"/>
    <n v="1494.146660904614"/>
    <n v="1"/>
    <n v="0"/>
    <n v="0"/>
    <n v="0"/>
    <n v="0"/>
    <n v="0"/>
    <n v="0"/>
    <n v="0"/>
    <n v="0"/>
    <n v="0"/>
  </r>
  <r>
    <d v="2001-06-27T00:00:00"/>
    <n v="2001"/>
    <x v="10"/>
    <s v="R"/>
    <s v="RS"/>
    <x v="6"/>
    <s v="POR"/>
    <s v="H"/>
    <n v="3"/>
    <n v="0"/>
    <n v="3"/>
    <n v="-3"/>
    <n v="16"/>
    <n v="-16"/>
    <n v="1444.1987391754735"/>
    <n v="1481.3482466248201"/>
    <n v="0.61156607420973474"/>
    <n v="65"/>
    <n v="68"/>
    <n v="0"/>
    <n v="-3"/>
    <n v="0"/>
    <n v="0.28146980071663408"/>
    <n v="1"/>
    <n v="74.349999999999994"/>
    <n v="74.349999999999994"/>
    <n v="-12.798414279793757"/>
    <n v="1431.4003248956797"/>
    <n v="0"/>
    <n v="1"/>
    <n v="0"/>
    <n v="0"/>
    <n v="0"/>
    <n v="0"/>
    <n v="0"/>
    <n v="0"/>
    <n v="0"/>
    <n v="0"/>
  </r>
  <r>
    <d v="2001-06-27T00:00:00"/>
    <n v="2001"/>
    <x v="9"/>
    <s v="R"/>
    <s v="RS"/>
    <x v="2"/>
    <s v="MIA"/>
    <s v="A"/>
    <n v="1"/>
    <n v="2"/>
    <n v="-1"/>
    <n v="1"/>
    <n v="-8"/>
    <n v="8"/>
    <n v="1486.0101888182185"/>
    <n v="1466.3408491515559"/>
    <n v="0.38641178255903713"/>
    <n v="68"/>
    <n v="63"/>
    <n v="1"/>
    <n v="5"/>
    <n v="1"/>
    <n v="0.29376523771276442"/>
    <n v="1"/>
    <n v="74.5"/>
    <n v="74.5"/>
    <n v="13.428691197295038"/>
    <n v="1499.4388800155134"/>
    <n v="1"/>
    <n v="0"/>
    <n v="0"/>
    <n v="0"/>
    <n v="0"/>
    <n v="0"/>
    <n v="0"/>
    <n v="0"/>
    <n v="0"/>
    <n v="0"/>
  </r>
  <r>
    <d v="2001-06-27T00:00:00"/>
    <n v="2001"/>
    <x v="10"/>
    <s v="R"/>
    <s v="RS"/>
    <x v="8"/>
    <s v="UTA"/>
    <s v="H"/>
    <n v="2"/>
    <n v="1"/>
    <n v="1"/>
    <n v="-1"/>
    <n v="8"/>
    <n v="-8"/>
    <n v="1466.3408491515559"/>
    <n v="1486.0101888182185"/>
    <n v="0.61358821744096292"/>
    <n v="63"/>
    <n v="68"/>
    <n v="1"/>
    <n v="-5"/>
    <n v="0"/>
    <n v="0.29376523771276442"/>
    <n v="1"/>
    <n v="74.349999999999994"/>
    <n v="74.349999999999994"/>
    <n v="-13.401653564011896"/>
    <n v="1452.939195587544"/>
    <n v="0"/>
    <n v="1"/>
    <n v="0"/>
    <n v="0"/>
    <n v="0"/>
    <n v="0"/>
    <n v="0"/>
    <n v="0"/>
    <n v="0"/>
    <n v="0"/>
  </r>
  <r>
    <d v="2001-06-27T00:00:00"/>
    <n v="2001"/>
    <x v="12"/>
    <s v="R"/>
    <s v="RS"/>
    <x v="5"/>
    <s v="ORL"/>
    <s v="A"/>
    <n v="0"/>
    <n v="1"/>
    <n v="-1"/>
    <n v="1"/>
    <n v="-8"/>
    <n v="8"/>
    <n v="1600.5346485814357"/>
    <n v="1483.7593191884314"/>
    <n v="0.52412289682924118"/>
    <n v="65"/>
    <n v="41"/>
    <n v="0"/>
    <n v="24"/>
    <n v="1"/>
    <n v="0.57269991357249261"/>
    <n v="1"/>
    <n v="74.05"/>
    <n v="74.05"/>
    <n v="20.181200152212458"/>
    <n v="1620.7158487336483"/>
    <n v="1"/>
    <n v="0"/>
    <n v="0"/>
    <n v="0"/>
    <n v="0"/>
    <n v="0"/>
    <n v="0"/>
    <n v="0"/>
    <n v="0"/>
    <n v="0"/>
  </r>
  <r>
    <d v="2001-06-27T00:00:00"/>
    <n v="2001"/>
    <x v="10"/>
    <s v="R"/>
    <s v="RS"/>
    <x v="12"/>
    <s v="CLE"/>
    <s v="H"/>
    <n v="1"/>
    <n v="0"/>
    <n v="1"/>
    <n v="-1"/>
    <n v="8"/>
    <n v="-8"/>
    <n v="1483.7593191884314"/>
    <n v="1600.5346485814357"/>
    <n v="0.47587710317075876"/>
    <n v="41"/>
    <n v="65"/>
    <n v="0"/>
    <n v="-24"/>
    <n v="0"/>
    <n v="0.57269991357249261"/>
    <n v="1"/>
    <n v="74.349999999999994"/>
    <n v="74.349999999999994"/>
    <n v="-20.262960584969562"/>
    <n v="1463.4963586034619"/>
    <n v="0"/>
    <n v="1"/>
    <n v="0"/>
    <n v="0"/>
    <n v="0"/>
    <n v="0"/>
    <n v="0"/>
    <n v="0"/>
    <n v="0"/>
    <n v="0"/>
  </r>
  <r>
    <d v="2001-06-28T00:00:00"/>
    <n v="2001"/>
    <x v="12"/>
    <s v="R"/>
    <s v="RS"/>
    <x v="11"/>
    <s v="MIN"/>
    <s v="A"/>
    <n v="2"/>
    <n v="2"/>
    <n v="0"/>
    <n v="0"/>
    <n v="0"/>
    <n v="0"/>
    <n v="1454.0042541371656"/>
    <n v="1487.4255981377671"/>
    <n v="0.33716993342668355"/>
    <n v="59"/>
    <n v="68"/>
    <n v="0"/>
    <n v="-9"/>
    <n v="0"/>
    <n v="0.39497113857018984"/>
    <n v="1"/>
    <n v="74.05"/>
    <n v="74.05"/>
    <n v="-9.8614156644156097"/>
    <n v="1444.1428384727501"/>
    <n v="0"/>
    <n v="1"/>
    <n v="0"/>
    <n v="0"/>
    <n v="0"/>
    <n v="0"/>
    <n v="0"/>
    <n v="0"/>
    <n v="0"/>
    <n v="0"/>
  </r>
  <r>
    <d v="2001-06-28T00:00:00"/>
    <n v="2001"/>
    <x v="9"/>
    <s v="R"/>
    <s v="RS"/>
    <x v="9"/>
    <s v="SEA"/>
    <s v="H"/>
    <n v="2"/>
    <n v="2"/>
    <n v="0"/>
    <n v="0"/>
    <n v="0"/>
    <n v="0"/>
    <n v="1487.4255981377671"/>
    <n v="1454.0042541371656"/>
    <n v="0.66283006657331656"/>
    <n v="68"/>
    <n v="59"/>
    <n v="0"/>
    <n v="9"/>
    <n v="1"/>
    <n v="0.39497113857018984"/>
    <n v="1"/>
    <n v="74.5"/>
    <n v="74.5"/>
    <n v="9.9213432410393327"/>
    <n v="1497.3469413788064"/>
    <n v="1"/>
    <n v="0"/>
    <n v="0"/>
    <n v="0"/>
    <n v="0"/>
    <n v="0"/>
    <n v="0"/>
    <n v="0"/>
    <n v="0"/>
    <n v="0"/>
  </r>
  <r>
    <d v="2001-06-28T00:00:00"/>
    <n v="2001"/>
    <x v="10"/>
    <s v="R"/>
    <s v="RS"/>
    <x v="1"/>
    <s v="SAC"/>
    <s v="A"/>
    <n v="0"/>
    <n v="3"/>
    <n v="-3"/>
    <n v="3"/>
    <n v="-16"/>
    <n v="16"/>
    <n v="1700.483322761439"/>
    <n v="1544.6788630319074"/>
    <n v="0.55703390804397168"/>
    <n v="54"/>
    <n v="64"/>
    <n v="0"/>
    <n v="-10"/>
    <n v="0"/>
    <n v="0.37450506638695708"/>
    <n v="1"/>
    <n v="74.349999999999994"/>
    <n v="74.349999999999994"/>
    <n v="-15.510303739921865"/>
    <n v="1684.9730190215171"/>
    <n v="0"/>
    <n v="1"/>
    <n v="0"/>
    <n v="0"/>
    <n v="0"/>
    <n v="0"/>
    <n v="0"/>
    <n v="0"/>
    <n v="0"/>
    <n v="0"/>
  </r>
  <r>
    <d v="2001-06-28T00:00:00"/>
    <n v="2001"/>
    <x v="12"/>
    <s v="R"/>
    <s v="RS"/>
    <x v="15"/>
    <s v="HOU"/>
    <s v="H"/>
    <n v="3"/>
    <n v="0"/>
    <n v="3"/>
    <n v="-3"/>
    <n v="16"/>
    <n v="-16"/>
    <n v="1544.6788630319074"/>
    <n v="1700.483322761439"/>
    <n v="0.44296609195602832"/>
    <n v="64"/>
    <n v="54"/>
    <n v="0"/>
    <n v="10"/>
    <n v="1"/>
    <n v="0.37450506638695708"/>
    <n v="1"/>
    <n v="74.05"/>
    <n v="74.05"/>
    <n v="15.447720133708327"/>
    <n v="1560.1265831656158"/>
    <n v="1"/>
    <n v="0"/>
    <n v="0"/>
    <n v="0"/>
    <n v="0"/>
    <n v="0"/>
    <n v="0"/>
    <n v="0"/>
    <n v="0"/>
    <n v="0"/>
  </r>
  <r>
    <d v="2001-06-29T00:00:00"/>
    <n v="2001"/>
    <x v="11"/>
    <s v="R"/>
    <s v="RS"/>
    <x v="3"/>
    <s v="DET"/>
    <s v="A"/>
    <n v="6"/>
    <n v="1"/>
    <n v="5"/>
    <n v="-5"/>
    <n v="16"/>
    <n v="-16"/>
    <n v="1468.3423493018915"/>
    <n v="1387.5729096662653"/>
    <n v="0.54130818250231316"/>
    <n v="71"/>
    <n v="75"/>
    <n v="0"/>
    <n v="-4"/>
    <n v="0"/>
    <n v="0.29179278511749696"/>
    <n v="1"/>
    <n v="74.2"/>
    <n v="74.2"/>
    <n v="-11.719876805699629"/>
    <n v="1456.6224724961919"/>
    <n v="0"/>
    <n v="1"/>
    <n v="0"/>
    <n v="0"/>
    <n v="0"/>
    <n v="0"/>
    <n v="0"/>
    <n v="0"/>
    <n v="0"/>
    <n v="0"/>
  </r>
  <r>
    <d v="2001-06-29T00:00:00"/>
    <n v="2001"/>
    <x v="11"/>
    <s v="R"/>
    <s v="RS"/>
    <x v="14"/>
    <s v="PHX"/>
    <s v="H"/>
    <n v="1"/>
    <n v="6"/>
    <n v="-5"/>
    <n v="5"/>
    <n v="-16"/>
    <n v="16"/>
    <n v="1387.5729096662653"/>
    <n v="1468.3423493018915"/>
    <n v="0.45869181749768684"/>
    <n v="75"/>
    <n v="71"/>
    <n v="0"/>
    <n v="4"/>
    <n v="1"/>
    <n v="0.29179278511749696"/>
    <n v="1"/>
    <n v="74.2"/>
    <n v="74.2"/>
    <n v="11.719876805699629"/>
    <n v="1399.292786471965"/>
    <n v="1"/>
    <n v="0"/>
    <n v="0"/>
    <n v="0"/>
    <n v="0"/>
    <n v="0"/>
    <n v="0"/>
    <n v="0"/>
    <n v="0"/>
    <n v="0"/>
  </r>
  <r>
    <d v="2001-06-29T00:00:00"/>
    <n v="2001"/>
    <x v="12"/>
    <s v="R"/>
    <s v="RS"/>
    <x v="13"/>
    <s v="IND"/>
    <s v="A"/>
    <n v="1"/>
    <n v="1"/>
    <n v="0"/>
    <n v="0"/>
    <n v="0"/>
    <n v="0"/>
    <n v="1376.7818865442764"/>
    <n v="1431.4003248956797"/>
    <n v="0.31046380317634947"/>
    <n v="75"/>
    <n v="67"/>
    <n v="0"/>
    <n v="8"/>
    <n v="1"/>
    <n v="0.37141064387345762"/>
    <n v="1"/>
    <n v="74.05"/>
    <n v="74.05"/>
    <n v="18.964285184030032"/>
    <n v="1395.7461717283065"/>
    <n v="1"/>
    <n v="0"/>
    <n v="0"/>
    <n v="0"/>
    <n v="0"/>
    <n v="0"/>
    <n v="0"/>
    <n v="0"/>
    <n v="0"/>
    <n v="0"/>
  </r>
  <r>
    <d v="2001-06-29T00:00:00"/>
    <n v="2001"/>
    <x v="11"/>
    <s v="R"/>
    <s v="RS"/>
    <x v="6"/>
    <s v="CHA"/>
    <s v="H"/>
    <n v="1"/>
    <n v="1"/>
    <n v="0"/>
    <n v="0"/>
    <n v="0"/>
    <n v="0"/>
    <n v="1431.4003248956797"/>
    <n v="1376.7818865442764"/>
    <n v="0.68953619682365053"/>
    <n v="67"/>
    <n v="75"/>
    <n v="0"/>
    <n v="-8"/>
    <n v="0"/>
    <n v="0.37141064387345762"/>
    <n v="1"/>
    <n v="74.2"/>
    <n v="74.2"/>
    <n v="-19.002700346455484"/>
    <n v="1412.3976245492242"/>
    <n v="0"/>
    <n v="1"/>
    <n v="0"/>
    <n v="0"/>
    <n v="0"/>
    <n v="0"/>
    <n v="0"/>
    <n v="0"/>
    <n v="0"/>
    <n v="0"/>
  </r>
  <r>
    <d v="2001-06-29T00:00:00"/>
    <n v="2001"/>
    <x v="11"/>
    <s v="R"/>
    <s v="RS"/>
    <x v="10"/>
    <s v="MIA"/>
    <s v="A"/>
    <n v="1"/>
    <n v="1"/>
    <n v="0"/>
    <n v="0"/>
    <n v="0"/>
    <n v="0"/>
    <n v="1494.146660904614"/>
    <n v="1452.939195587544"/>
    <n v="0.43872612220543061"/>
    <n v="74"/>
    <n v="72"/>
    <n v="1"/>
    <n v="2"/>
    <n v="1"/>
    <n v="0.23305421096589116"/>
    <n v="1"/>
    <n v="74.2"/>
    <n v="74.2"/>
    <n v="9.7058972618083104"/>
    <n v="1503.8525581664223"/>
    <n v="1"/>
    <n v="0"/>
    <n v="0"/>
    <n v="0"/>
    <n v="0"/>
    <n v="0"/>
    <n v="0"/>
    <n v="0"/>
    <n v="0"/>
    <n v="0"/>
  </r>
  <r>
    <d v="2001-06-29T00:00:00"/>
    <n v="2001"/>
    <x v="11"/>
    <s v="R"/>
    <s v="RS"/>
    <x v="8"/>
    <s v="POR"/>
    <s v="H"/>
    <n v="1"/>
    <n v="1"/>
    <n v="0"/>
    <n v="0"/>
    <n v="0"/>
    <n v="0"/>
    <n v="1452.939195587544"/>
    <n v="1494.146660904614"/>
    <n v="0.5612738777945695"/>
    <n v="72"/>
    <n v="74"/>
    <n v="1"/>
    <n v="-2"/>
    <n v="0"/>
    <n v="0.23305421096589116"/>
    <n v="1"/>
    <n v="74.2"/>
    <n v="74.2"/>
    <n v="-9.7058972618083139"/>
    <n v="1443.2332983257356"/>
    <n v="0"/>
    <n v="1"/>
    <n v="0"/>
    <n v="0"/>
    <n v="0"/>
    <n v="0"/>
    <n v="0"/>
    <n v="0"/>
    <n v="0"/>
    <n v="0"/>
  </r>
  <r>
    <d v="2001-06-29T00:00:00"/>
    <n v="2001"/>
    <x v="10"/>
    <s v="R"/>
    <s v="RS"/>
    <x v="2"/>
    <s v="WAS"/>
    <s v="A"/>
    <n v="1"/>
    <n v="1"/>
    <n v="0"/>
    <n v="0"/>
    <n v="0"/>
    <n v="0"/>
    <n v="1499.4388800155134"/>
    <n v="1376.7800736621316"/>
    <n v="0.55540602626813274"/>
    <n v="64"/>
    <n v="74"/>
    <n v="0"/>
    <n v="-10"/>
    <n v="0"/>
    <n v="0.38389011342890567"/>
    <n v="1"/>
    <n v="74.349999999999994"/>
    <n v="74.349999999999994"/>
    <n v="-15.85252650816278"/>
    <n v="1483.5863535073506"/>
    <n v="0"/>
    <n v="1"/>
    <n v="0"/>
    <n v="0"/>
    <n v="0"/>
    <n v="0"/>
    <n v="0"/>
    <n v="0"/>
    <n v="0"/>
    <n v="0"/>
  </r>
  <r>
    <d v="2001-06-29T00:00:00"/>
    <n v="2001"/>
    <x v="11"/>
    <s v="R"/>
    <s v="RS"/>
    <x v="4"/>
    <s v="UTA"/>
    <s v="H"/>
    <n v="1"/>
    <n v="1"/>
    <n v="0"/>
    <n v="0"/>
    <n v="0"/>
    <n v="0"/>
    <n v="1376.7800736621316"/>
    <n v="1499.4388800155134"/>
    <n v="0.44459397373186738"/>
    <n v="74"/>
    <n v="64"/>
    <n v="0"/>
    <n v="10"/>
    <n v="1"/>
    <n v="0.38389011342890567"/>
    <n v="1"/>
    <n v="74.2"/>
    <n v="74.2"/>
    <n v="15.820544275799303"/>
    <n v="1392.6006179379308"/>
    <n v="1"/>
    <n v="0"/>
    <n v="0"/>
    <n v="0"/>
    <n v="0"/>
    <n v="0"/>
    <n v="0"/>
    <n v="0"/>
    <n v="0"/>
    <n v="0"/>
  </r>
  <r>
    <d v="2001-06-30T00:00:00"/>
    <n v="2001"/>
    <x v="13"/>
    <s v="R"/>
    <s v="RS"/>
    <x v="5"/>
    <s v="CHA"/>
    <s v="A"/>
    <n v="2"/>
    <n v="0"/>
    <n v="2"/>
    <n v="-2"/>
    <n v="16"/>
    <n v="-16"/>
    <n v="1620.7158487336483"/>
    <n v="1395.7461717283065"/>
    <n v="0.730211027197884"/>
    <n v="55"/>
    <n v="58"/>
    <n v="0"/>
    <n v="-3"/>
    <n v="0"/>
    <n v="0.24437027042586273"/>
    <n v="1"/>
    <n v="73.900000000000006"/>
    <n v="73.900000000000006"/>
    <n v="-13.186853911019321"/>
    <n v="1607.5289948226289"/>
    <n v="0"/>
    <n v="1"/>
    <n v="0"/>
    <n v="0"/>
    <n v="0"/>
    <n v="0"/>
    <n v="0"/>
    <n v="0"/>
    <n v="0"/>
    <n v="0"/>
  </r>
  <r>
    <d v="2001-06-30T00:00:00"/>
    <n v="2001"/>
    <x v="13"/>
    <s v="R"/>
    <s v="RS"/>
    <x v="13"/>
    <s v="CLE"/>
    <s v="H"/>
    <n v="0"/>
    <n v="2"/>
    <n v="-2"/>
    <n v="2"/>
    <n v="-16"/>
    <n v="16"/>
    <n v="1395.7461717283065"/>
    <n v="1620.7158487336483"/>
    <n v="0.269788972802116"/>
    <n v="58"/>
    <n v="55"/>
    <n v="0"/>
    <n v="3"/>
    <n v="1"/>
    <n v="0.24437027042586273"/>
    <n v="1"/>
    <n v="73.900000000000006"/>
    <n v="73.900000000000006"/>
    <n v="13.186853911019321"/>
    <n v="1408.9330256393259"/>
    <n v="1"/>
    <n v="0"/>
    <n v="0"/>
    <n v="0"/>
    <n v="0"/>
    <n v="0"/>
    <n v="0"/>
    <n v="0"/>
    <n v="0"/>
    <n v="0"/>
  </r>
  <r>
    <d v="2001-06-30T00:00:00"/>
    <n v="2001"/>
    <x v="11"/>
    <s v="R"/>
    <s v="RS"/>
    <x v="1"/>
    <s v="MIN"/>
    <s v="A"/>
    <n v="1"/>
    <n v="1"/>
    <n v="0"/>
    <n v="0"/>
    <n v="0"/>
    <n v="0"/>
    <n v="1684.9730190215171"/>
    <n v="1497.3469413788064"/>
    <n v="0.64485965487849273"/>
    <n v="59"/>
    <n v="52"/>
    <n v="0"/>
    <n v="7"/>
    <n v="1"/>
    <n v="0.32006360657264854"/>
    <n v="1"/>
    <n v="74.2"/>
    <n v="74.2"/>
    <n v="8.4341284776691179"/>
    <n v="1693.4071474991863"/>
    <n v="1"/>
    <n v="0"/>
    <n v="0"/>
    <n v="0"/>
    <n v="0"/>
    <n v="0"/>
    <n v="0"/>
    <n v="0"/>
    <n v="0"/>
    <n v="0"/>
  </r>
  <r>
    <d v="2001-06-30T00:00:00"/>
    <n v="2001"/>
    <x v="10"/>
    <s v="R"/>
    <s v="RS"/>
    <x v="9"/>
    <s v="HOU"/>
    <s v="H"/>
    <n v="1"/>
    <n v="1"/>
    <n v="0"/>
    <n v="0"/>
    <n v="0"/>
    <n v="0"/>
    <n v="1497.3469413788064"/>
    <n v="1684.9730190215171"/>
    <n v="0.35514034512150727"/>
    <n v="52"/>
    <n v="59"/>
    <n v="0"/>
    <n v="-7"/>
    <n v="0"/>
    <n v="0.32006360657264854"/>
    <n v="1"/>
    <n v="74.349999999999994"/>
    <n v="74.349999999999994"/>
    <n v="-8.4511786026239744"/>
    <n v="1488.8957627761824"/>
    <n v="0"/>
    <n v="1"/>
    <n v="0"/>
    <n v="0"/>
    <n v="0"/>
    <n v="0"/>
    <n v="0"/>
    <n v="0"/>
    <n v="0"/>
    <n v="0"/>
  </r>
  <r>
    <d v="2001-06-30T00:00:00"/>
    <n v="2001"/>
    <x v="11"/>
    <s v="R"/>
    <s v="RS"/>
    <x v="12"/>
    <s v="NYL"/>
    <s v="A"/>
    <n v="2"/>
    <n v="4"/>
    <n v="-2"/>
    <n v="2"/>
    <n v="-16"/>
    <n v="16"/>
    <n v="1463.4963586034619"/>
    <n v="1587.8164836931862"/>
    <n v="0.20046448659771951"/>
    <n v="60"/>
    <n v="72"/>
    <n v="0"/>
    <n v="-12"/>
    <n v="0"/>
    <n v="0.41331043855787125"/>
    <n v="1"/>
    <n v="74.2"/>
    <n v="74.2"/>
    <n v="-6.147771613426861"/>
    <n v="1457.3485869900351"/>
    <n v="0"/>
    <n v="1"/>
    <n v="0"/>
    <n v="0"/>
    <n v="0"/>
    <n v="0"/>
    <n v="0"/>
    <n v="0"/>
    <n v="0"/>
    <n v="0"/>
  </r>
  <r>
    <d v="2001-06-30T00:00:00"/>
    <n v="2001"/>
    <x v="12"/>
    <s v="R"/>
    <s v="RS"/>
    <x v="7"/>
    <s v="ORL"/>
    <s v="H"/>
    <n v="4"/>
    <n v="2"/>
    <n v="2"/>
    <n v="-2"/>
    <n v="16"/>
    <n v="-16"/>
    <n v="1587.8164836931862"/>
    <n v="1463.4963586034619"/>
    <n v="0.79953551340228057"/>
    <n v="72"/>
    <n v="60"/>
    <n v="0"/>
    <n v="12"/>
    <n v="1"/>
    <n v="0.41331043855787125"/>
    <n v="1"/>
    <n v="74.05"/>
    <n v="74.05"/>
    <n v="6.1353435036962107"/>
    <n v="1593.9518271968825"/>
    <n v="1"/>
    <n v="0"/>
    <n v="0"/>
    <n v="0"/>
    <n v="0"/>
    <n v="0"/>
    <n v="0"/>
    <n v="0"/>
    <n v="0"/>
    <n v="0"/>
  </r>
  <r>
    <d v="2001-06-30T00:00:00"/>
    <n v="2001"/>
    <x v="13"/>
    <s v="R"/>
    <s v="RS"/>
    <x v="15"/>
    <s v="SEA"/>
    <s v="A"/>
    <n v="1"/>
    <n v="1"/>
    <n v="0"/>
    <n v="0"/>
    <n v="0"/>
    <n v="0"/>
    <n v="1560.1265831656158"/>
    <n v="1444.1428384727501"/>
    <n v="0.54589872674243589"/>
    <n v="65"/>
    <n v="59"/>
    <n v="0"/>
    <n v="6"/>
    <n v="1"/>
    <n v="0.32032076004675231"/>
    <n v="1"/>
    <n v="73.900000000000006"/>
    <n v="73.900000000000006"/>
    <n v="10.749351002617701"/>
    <n v="1570.8759341682335"/>
    <n v="1"/>
    <n v="0"/>
    <n v="0"/>
    <n v="0"/>
    <n v="0"/>
    <n v="0"/>
    <n v="0"/>
    <n v="0"/>
    <n v="0"/>
    <n v="0"/>
  </r>
  <r>
    <d v="2001-06-30T00:00:00"/>
    <n v="2001"/>
    <x v="13"/>
    <s v="R"/>
    <s v="RS"/>
    <x v="11"/>
    <s v="SAC"/>
    <s v="H"/>
    <n v="1"/>
    <n v="1"/>
    <n v="0"/>
    <n v="0"/>
    <n v="0"/>
    <n v="0"/>
    <n v="1444.1428384727501"/>
    <n v="1560.1265831656158"/>
    <n v="0.45410127325756411"/>
    <n v="59"/>
    <n v="65"/>
    <n v="0"/>
    <n v="-6"/>
    <n v="0"/>
    <n v="0.32032076004675231"/>
    <n v="1"/>
    <n v="73.900000000000006"/>
    <n v="73.900000000000006"/>
    <n v="-10.749351002617701"/>
    <n v="1433.3934874701324"/>
    <n v="0"/>
    <n v="1"/>
    <n v="0"/>
    <n v="0"/>
    <n v="0"/>
    <n v="0"/>
    <n v="0"/>
    <n v="0"/>
    <n v="0"/>
    <n v="0"/>
  </r>
  <r>
    <d v="2001-07-01T00:00:00"/>
    <n v="2001"/>
    <x v="11"/>
    <s v="R"/>
    <s v="RS"/>
    <x v="9"/>
    <s v="CLE"/>
    <s v="A"/>
    <n v="0"/>
    <n v="0"/>
    <n v="0"/>
    <n v="0"/>
    <n v="0"/>
    <n v="0"/>
    <n v="1488.8957627761824"/>
    <n v="1607.5289948226289"/>
    <n v="0.23749714531666946"/>
    <n v="47"/>
    <n v="52"/>
    <n v="0"/>
    <n v="-5"/>
    <n v="0"/>
    <n v="0.30190894699025356"/>
    <n v="1"/>
    <n v="74.2"/>
    <n v="74.2"/>
    <n v="-5.32032646873642"/>
    <n v="1483.5754363074461"/>
    <n v="0"/>
    <n v="1"/>
    <n v="0"/>
    <n v="0"/>
    <n v="0"/>
    <n v="0"/>
    <n v="0"/>
    <n v="0"/>
    <n v="0"/>
    <n v="0"/>
  </r>
  <r>
    <d v="2001-07-01T00:00:00"/>
    <n v="2001"/>
    <x v="14"/>
    <s v="R"/>
    <s v="RS"/>
    <x v="5"/>
    <s v="MIN"/>
    <s v="H"/>
    <n v="0"/>
    <n v="0"/>
    <n v="0"/>
    <n v="0"/>
    <n v="0"/>
    <n v="0"/>
    <n v="1607.5289948226289"/>
    <n v="1488.8957627761824"/>
    <n v="0.76250285468333057"/>
    <n v="52"/>
    <n v="47"/>
    <n v="0"/>
    <n v="5"/>
    <n v="1"/>
    <n v="0.30190894699025356"/>
    <n v="1"/>
    <n v="73.75"/>
    <n v="73.75"/>
    <n v="5.2880603378613342"/>
    <n v="1612.8170551604901"/>
    <n v="1"/>
    <n v="0"/>
    <n v="0"/>
    <n v="0"/>
    <n v="0"/>
    <n v="0"/>
    <n v="0"/>
    <n v="0"/>
    <n v="0"/>
    <n v="0"/>
  </r>
  <r>
    <d v="2001-07-01T00:00:00"/>
    <n v="2001"/>
    <x v="12"/>
    <s v="R"/>
    <s v="RS"/>
    <x v="3"/>
    <s v="IND"/>
    <s v="A"/>
    <n v="1"/>
    <n v="1"/>
    <n v="0"/>
    <n v="0"/>
    <n v="0"/>
    <n v="0"/>
    <n v="1456.6224724961919"/>
    <n v="1412.3976245492242"/>
    <n v="0.44300772070696109"/>
    <n v="78"/>
    <n v="86"/>
    <n v="1"/>
    <n v="-8"/>
    <n v="0"/>
    <n v="0.33706188917159541"/>
    <n v="1"/>
    <n v="74.05"/>
    <n v="74.05"/>
    <n v="-11.057221476135673"/>
    <n v="1445.5652510200562"/>
    <n v="0"/>
    <n v="1"/>
    <n v="0"/>
    <n v="0"/>
    <n v="0"/>
    <n v="0"/>
    <n v="0"/>
    <n v="0"/>
    <n v="0"/>
    <n v="0"/>
  </r>
  <r>
    <d v="2001-07-01T00:00:00"/>
    <n v="2001"/>
    <x v="12"/>
    <s v="R"/>
    <s v="RS"/>
    <x v="6"/>
    <s v="PHX"/>
    <s v="H"/>
    <n v="1"/>
    <n v="1"/>
    <n v="0"/>
    <n v="0"/>
    <n v="0"/>
    <n v="0"/>
    <n v="1412.3976245492242"/>
    <n v="1456.6224724961919"/>
    <n v="0.55699227929303896"/>
    <n v="86"/>
    <n v="78"/>
    <n v="1"/>
    <n v="8"/>
    <n v="1"/>
    <n v="0.33706188917159541"/>
    <n v="1"/>
    <n v="74.05"/>
    <n v="74.05"/>
    <n v="11.057221476135673"/>
    <n v="1423.45484602536"/>
    <n v="1"/>
    <n v="0"/>
    <n v="0"/>
    <n v="0"/>
    <n v="0"/>
    <n v="0"/>
    <n v="0"/>
    <n v="0"/>
    <n v="0"/>
    <n v="0"/>
  </r>
  <r>
    <d v="2001-07-01T00:00:00"/>
    <n v="2001"/>
    <x v="12"/>
    <s v="R"/>
    <s v="RS"/>
    <x v="8"/>
    <s v="LAS"/>
    <s v="A"/>
    <n v="1"/>
    <n v="4"/>
    <n v="-3"/>
    <n v="3"/>
    <n v="-16"/>
    <n v="16"/>
    <n v="1443.2332983257356"/>
    <n v="1653.0514812870472"/>
    <n v="0.13289966775667891"/>
    <n v="60"/>
    <n v="86"/>
    <n v="0"/>
    <n v="-26"/>
    <n v="0"/>
    <n v="0.5567419019745633"/>
    <n v="1"/>
    <n v="74.05"/>
    <n v="74.05"/>
    <n v="-5.4790197617893632"/>
    <n v="1437.7542785639462"/>
    <n v="0"/>
    <n v="1"/>
    <n v="0"/>
    <n v="0"/>
    <n v="0"/>
    <n v="0"/>
    <n v="0"/>
    <n v="0"/>
    <n v="0"/>
    <n v="0"/>
  </r>
  <r>
    <d v="2001-07-01T00:00:00"/>
    <n v="2001"/>
    <x v="13"/>
    <s v="R"/>
    <s v="RS"/>
    <x v="0"/>
    <s v="MIA"/>
    <s v="H"/>
    <n v="4"/>
    <n v="1"/>
    <n v="3"/>
    <n v="-3"/>
    <n v="16"/>
    <n v="-16"/>
    <n v="1653.0514812870472"/>
    <n v="1443.2332983257356"/>
    <n v="0.86710033224332106"/>
    <n v="86"/>
    <n v="60"/>
    <n v="0"/>
    <n v="26"/>
    <n v="1"/>
    <n v="0.5567419019745633"/>
    <n v="1"/>
    <n v="73.900000000000006"/>
    <n v="73.900000000000006"/>
    <n v="5.4679211397195688"/>
    <n v="1658.5194024267666"/>
    <n v="1"/>
    <n v="0"/>
    <n v="0"/>
    <n v="0"/>
    <n v="0"/>
    <n v="0"/>
    <n v="0"/>
    <n v="0"/>
    <n v="0"/>
    <n v="0"/>
  </r>
  <r>
    <d v="2001-07-01T00:00:00"/>
    <n v="2001"/>
    <x v="12"/>
    <s v="R"/>
    <s v="RS"/>
    <x v="12"/>
    <s v="WAS"/>
    <s v="A"/>
    <n v="0"/>
    <n v="1"/>
    <n v="-1"/>
    <n v="1"/>
    <n v="-8"/>
    <n v="8"/>
    <n v="1457.3485869900351"/>
    <n v="1392.6006179379308"/>
    <n v="0.44944162726377868"/>
    <n v="64"/>
    <n v="76"/>
    <n v="0"/>
    <n v="-12"/>
    <n v="0"/>
    <n v="0.43277818591958478"/>
    <n v="1"/>
    <n v="74.05"/>
    <n v="74.05"/>
    <n v="-14.403356803779559"/>
    <n v="1442.9452301862555"/>
    <n v="0"/>
    <n v="1"/>
    <n v="0"/>
    <n v="0"/>
    <n v="0"/>
    <n v="0"/>
    <n v="0"/>
    <n v="0"/>
    <n v="0"/>
    <n v="0"/>
  </r>
  <r>
    <d v="2001-07-01T00:00:00"/>
    <n v="2001"/>
    <x v="12"/>
    <s v="R"/>
    <s v="RS"/>
    <x v="4"/>
    <s v="ORL"/>
    <s v="H"/>
    <n v="1"/>
    <n v="0"/>
    <n v="1"/>
    <n v="-1"/>
    <n v="8"/>
    <n v="-8"/>
    <n v="1392.6006179379308"/>
    <n v="1457.3485869900351"/>
    <n v="0.55055837273622132"/>
    <n v="76"/>
    <n v="64"/>
    <n v="0"/>
    <n v="12"/>
    <n v="1"/>
    <n v="0.43277818591958478"/>
    <n v="1"/>
    <n v="74.05"/>
    <n v="74.05"/>
    <n v="14.403356803779559"/>
    <n v="1407.0039747417104"/>
    <n v="1"/>
    <n v="0"/>
    <n v="0"/>
    <n v="0"/>
    <n v="0"/>
    <n v="0"/>
    <n v="0"/>
    <n v="0"/>
    <n v="0"/>
    <n v="0"/>
  </r>
  <r>
    <d v="2001-07-02T00:00:00"/>
    <n v="2001"/>
    <x v="12"/>
    <s v="R"/>
    <s v="RS"/>
    <x v="10"/>
    <s v="HOU"/>
    <s v="A"/>
    <n v="2"/>
    <n v="1"/>
    <n v="1"/>
    <n v="-1"/>
    <n v="8"/>
    <n v="-8"/>
    <n v="1503.8525581664223"/>
    <n v="1693.4071474991863"/>
    <n v="0.18503451384368239"/>
    <n v="67"/>
    <n v="74"/>
    <n v="0"/>
    <n v="-7"/>
    <n v="0"/>
    <n v="0.31961940206886408"/>
    <n v="1"/>
    <n v="74.05"/>
    <n v="74.05"/>
    <n v="-4.3793629611185736"/>
    <n v="1499.4731952053037"/>
    <n v="0"/>
    <n v="1"/>
    <n v="0"/>
    <n v="0"/>
    <n v="0"/>
    <n v="0"/>
    <n v="0"/>
    <n v="0"/>
    <n v="0"/>
    <n v="0"/>
  </r>
  <r>
    <d v="2001-07-02T00:00:00"/>
    <n v="2001"/>
    <x v="12"/>
    <s v="R"/>
    <s v="RS"/>
    <x v="1"/>
    <s v="POR"/>
    <s v="H"/>
    <n v="1"/>
    <n v="2"/>
    <n v="-1"/>
    <n v="1"/>
    <n v="-8"/>
    <n v="8"/>
    <n v="1693.4071474991863"/>
    <n v="1503.8525581664223"/>
    <n v="0.81496548615631759"/>
    <n v="74"/>
    <n v="67"/>
    <n v="0"/>
    <n v="7"/>
    <n v="1"/>
    <n v="0.31961940206886408"/>
    <n v="1"/>
    <n v="74.05"/>
    <n v="74.05"/>
    <n v="4.3793629611185745"/>
    <n v="1697.786510460305"/>
    <n v="1"/>
    <n v="0"/>
    <n v="0"/>
    <n v="0"/>
    <n v="0"/>
    <n v="0"/>
    <n v="0"/>
    <n v="0"/>
    <n v="0"/>
    <n v="0"/>
  </r>
  <r>
    <d v="2001-07-02T00:00:00"/>
    <n v="2001"/>
    <x v="12"/>
    <s v="R"/>
    <s v="RS"/>
    <x v="14"/>
    <s v="NYL"/>
    <s v="A"/>
    <n v="2"/>
    <n v="1"/>
    <n v="1"/>
    <n v="-1"/>
    <n v="8"/>
    <n v="-8"/>
    <n v="1399.292786471965"/>
    <n v="1593.9518271968825"/>
    <n v="0.18064450959227493"/>
    <n v="60"/>
    <n v="66"/>
    <n v="0"/>
    <n v="-6"/>
    <n v="0"/>
    <n v="0.30225087351105046"/>
    <n v="1"/>
    <n v="74.05"/>
    <n v="74.05"/>
    <n v="-4.0431270986647538"/>
    <n v="1395.2496593733001"/>
    <n v="0"/>
    <n v="1"/>
    <n v="0"/>
    <n v="0"/>
    <n v="0"/>
    <n v="0"/>
    <n v="0"/>
    <n v="0"/>
    <n v="0"/>
    <n v="0"/>
  </r>
  <r>
    <d v="2001-07-02T00:00:00"/>
    <n v="2001"/>
    <x v="13"/>
    <s v="R"/>
    <s v="RS"/>
    <x v="7"/>
    <s v="DET"/>
    <s v="H"/>
    <n v="1"/>
    <n v="2"/>
    <n v="-1"/>
    <n v="1"/>
    <n v="-8"/>
    <n v="8"/>
    <n v="1593.9518271968825"/>
    <n v="1399.292786471965"/>
    <n v="0.81935549040772504"/>
    <n v="66"/>
    <n v="60"/>
    <n v="0"/>
    <n v="6"/>
    <n v="1"/>
    <n v="0.30225087351105046"/>
    <n v="1"/>
    <n v="73.900000000000006"/>
    <n v="73.900000000000006"/>
    <n v="4.0349371045418687"/>
    <n v="1597.9867643014243"/>
    <n v="1"/>
    <n v="0"/>
    <n v="0"/>
    <n v="0"/>
    <n v="0"/>
    <n v="0"/>
    <n v="0"/>
    <n v="0"/>
    <n v="0"/>
    <n v="0"/>
  </r>
  <r>
    <d v="2001-07-02T00:00:00"/>
    <n v="2001"/>
    <x v="13"/>
    <s v="R"/>
    <s v="RS"/>
    <x v="8"/>
    <s v="UTA"/>
    <s v="A"/>
    <n v="0"/>
    <n v="2"/>
    <n v="-2"/>
    <n v="2"/>
    <n v="-16"/>
    <n v="16"/>
    <n v="1437.7542785639462"/>
    <n v="1483.5863535073506"/>
    <n v="0.28260421421978688"/>
    <n v="69"/>
    <n v="59"/>
    <n v="0"/>
    <n v="10"/>
    <n v="1"/>
    <n v="0.40756346654649023"/>
    <n v="1"/>
    <n v="73.900000000000006"/>
    <n v="73.900000000000006"/>
    <n v="21.607200755709755"/>
    <n v="1459.3614793196559"/>
    <n v="1"/>
    <n v="0"/>
    <n v="0"/>
    <n v="0"/>
    <n v="0"/>
    <n v="0"/>
    <n v="0"/>
    <n v="0"/>
    <n v="0"/>
    <n v="0"/>
  </r>
  <r>
    <d v="2001-07-02T00:00:00"/>
    <n v="2001"/>
    <x v="11"/>
    <s v="R"/>
    <s v="RS"/>
    <x v="2"/>
    <s v="MIA"/>
    <s v="H"/>
    <n v="2"/>
    <n v="0"/>
    <n v="2"/>
    <n v="-2"/>
    <n v="16"/>
    <n v="-16"/>
    <n v="1483.5863535073506"/>
    <n v="1437.7542785639462"/>
    <n v="0.71739578578021312"/>
    <n v="59"/>
    <n v="69"/>
    <n v="0"/>
    <n v="-10"/>
    <n v="0"/>
    <n v="0.40756346654649023"/>
    <n v="1"/>
    <n v="74.2"/>
    <n v="74.2"/>
    <n v="-21.694916049711281"/>
    <n v="1461.8914374576393"/>
    <n v="0"/>
    <n v="1"/>
    <n v="0"/>
    <n v="0"/>
    <n v="0"/>
    <n v="0"/>
    <n v="0"/>
    <n v="0"/>
    <n v="0"/>
    <n v="0"/>
  </r>
  <r>
    <d v="2001-07-03T00:00:00"/>
    <n v="2001"/>
    <x v="14"/>
    <s v="R"/>
    <s v="RS"/>
    <x v="7"/>
    <s v="CHA"/>
    <s v="A"/>
    <n v="0"/>
    <n v="2"/>
    <n v="-2"/>
    <n v="2"/>
    <n v="-16"/>
    <n v="16"/>
    <n v="1597.9867643014243"/>
    <n v="1408.9330256393259"/>
    <n v="0.60361033620354299"/>
    <n v="61"/>
    <n v="66"/>
    <n v="0"/>
    <n v="-5"/>
    <n v="0"/>
    <n v="0.28660314534478992"/>
    <n v="1"/>
    <n v="73.75"/>
    <n v="73.75"/>
    <n v="-12.758500792743915"/>
    <n v="1585.2282635086804"/>
    <n v="0"/>
    <n v="1"/>
    <n v="0"/>
    <n v="0"/>
    <n v="0"/>
    <n v="0"/>
    <n v="0"/>
    <n v="0"/>
    <n v="0"/>
    <n v="0"/>
  </r>
  <r>
    <d v="2001-07-03T00:00:00"/>
    <n v="2001"/>
    <x v="14"/>
    <s v="R"/>
    <s v="RS"/>
    <x v="13"/>
    <s v="NYL"/>
    <s v="H"/>
    <n v="2"/>
    <n v="0"/>
    <n v="2"/>
    <n v="-2"/>
    <n v="16"/>
    <n v="-16"/>
    <n v="1408.9330256393259"/>
    <n v="1597.9867643014243"/>
    <n v="0.39638966379645701"/>
    <n v="66"/>
    <n v="61"/>
    <n v="0"/>
    <n v="5"/>
    <n v="1"/>
    <n v="0.28660314534478992"/>
    <n v="1"/>
    <n v="73.75"/>
    <n v="73.75"/>
    <n v="12.758500792743915"/>
    <n v="1421.6915264320698"/>
    <n v="1"/>
    <n v="0"/>
    <n v="0"/>
    <n v="0"/>
    <n v="0"/>
    <n v="0"/>
    <n v="0"/>
    <n v="0"/>
    <n v="0"/>
    <n v="0"/>
  </r>
  <r>
    <d v="2001-07-03T00:00:00"/>
    <n v="2001"/>
    <x v="12"/>
    <s v="R"/>
    <s v="RS"/>
    <x v="2"/>
    <s v="LAS"/>
    <s v="A"/>
    <n v="0"/>
    <n v="1"/>
    <n v="-1"/>
    <n v="1"/>
    <n v="-8"/>
    <n v="8"/>
    <n v="1461.8914374576393"/>
    <n v="1658.5194024267666"/>
    <n v="0.15348464312880802"/>
    <n v="71"/>
    <n v="84"/>
    <n v="0"/>
    <n v="-13"/>
    <n v="0"/>
    <n v="0.40558582599301068"/>
    <n v="1"/>
    <n v="74.05"/>
    <n v="74.05"/>
    <n v="-4.6097010460753971"/>
    <n v="1457.281736411564"/>
    <n v="0"/>
    <n v="1"/>
    <n v="0"/>
    <n v="0"/>
    <n v="0"/>
    <n v="0"/>
    <n v="0"/>
    <n v="0"/>
    <n v="0"/>
    <n v="0"/>
  </r>
  <r>
    <d v="2001-07-03T00:00:00"/>
    <n v="2001"/>
    <x v="14"/>
    <s v="R"/>
    <s v="RS"/>
    <x v="0"/>
    <s v="UTA"/>
    <s v="H"/>
    <n v="1"/>
    <n v="0"/>
    <n v="1"/>
    <n v="-1"/>
    <n v="8"/>
    <n v="-8"/>
    <n v="1658.5194024267666"/>
    <n v="1461.8914374576393"/>
    <n v="0.84651535687119184"/>
    <n v="84"/>
    <n v="71"/>
    <n v="0"/>
    <n v="13"/>
    <n v="1"/>
    <n v="0.40558582599301068"/>
    <n v="1"/>
    <n v="73.75"/>
    <n v="73.75"/>
    <n v="4.5910256873472095"/>
    <n v="1663.1104281141138"/>
    <n v="1"/>
    <n v="0"/>
    <n v="0"/>
    <n v="0"/>
    <n v="0"/>
    <n v="0"/>
    <n v="0"/>
    <n v="0"/>
    <n v="0"/>
    <n v="0"/>
  </r>
  <r>
    <d v="2001-07-03T00:00:00"/>
    <n v="2001"/>
    <x v="14"/>
    <s v="R"/>
    <s v="RS"/>
    <x v="15"/>
    <s v="MIN"/>
    <s v="A"/>
    <n v="2"/>
    <n v="1"/>
    <n v="1"/>
    <n v="-1"/>
    <n v="8"/>
    <n v="-8"/>
    <n v="1570.8759341682335"/>
    <n v="1483.5754363074461"/>
    <n v="0.52774711299604438"/>
    <n v="91"/>
    <n v="52"/>
    <n v="0"/>
    <n v="39"/>
    <n v="1"/>
    <n v="0.75230105122069035"/>
    <n v="1"/>
    <n v="73.75"/>
    <n v="73.75"/>
    <n v="26.201630320962277"/>
    <n v="1597.0775644891958"/>
    <n v="1"/>
    <n v="0"/>
    <n v="0"/>
    <n v="0"/>
    <n v="0"/>
    <n v="0"/>
    <n v="0"/>
    <n v="0"/>
    <n v="0"/>
    <n v="0"/>
  </r>
  <r>
    <d v="2001-07-03T00:00:00"/>
    <n v="2001"/>
    <x v="12"/>
    <s v="R"/>
    <s v="RS"/>
    <x v="9"/>
    <s v="SAC"/>
    <s v="H"/>
    <n v="1"/>
    <n v="2"/>
    <n v="-1"/>
    <n v="1"/>
    <n v="-8"/>
    <n v="8"/>
    <n v="1483.5754363074461"/>
    <n v="1570.8759341682335"/>
    <n v="0.47225288700395557"/>
    <n v="52"/>
    <n v="91"/>
    <n v="0"/>
    <n v="-39"/>
    <n v="0"/>
    <n v="0.75230105122069035"/>
    <n v="1"/>
    <n v="74.05"/>
    <n v="74.05"/>
    <n v="-26.308213223962799"/>
    <n v="1457.2672230834833"/>
    <n v="0"/>
    <n v="1"/>
    <n v="0"/>
    <n v="0"/>
    <n v="0"/>
    <n v="0"/>
    <n v="0"/>
    <n v="0"/>
    <n v="0"/>
    <n v="0"/>
  </r>
  <r>
    <d v="2001-07-03T00:00:00"/>
    <n v="2001"/>
    <x v="13"/>
    <s v="R"/>
    <s v="RS"/>
    <x v="4"/>
    <s v="SEA"/>
    <s v="A"/>
    <n v="1"/>
    <n v="2"/>
    <n v="-1"/>
    <n v="1"/>
    <n v="-8"/>
    <n v="8"/>
    <n v="1407.0039747417104"/>
    <n v="1433.3934874701324"/>
    <n v="0.32573116119051165"/>
    <n v="72"/>
    <n v="69"/>
    <n v="1"/>
    <n v="3"/>
    <n v="1"/>
    <n v="0.25554540342518828"/>
    <n v="1"/>
    <n v="73.900000000000006"/>
    <n v="73.900000000000006"/>
    <n v="12.733435749621634"/>
    <n v="1419.737410491332"/>
    <n v="1"/>
    <n v="0"/>
    <n v="0"/>
    <n v="0"/>
    <n v="0"/>
    <n v="0"/>
    <n v="0"/>
    <n v="0"/>
    <n v="0"/>
    <n v="0"/>
  </r>
  <r>
    <d v="2001-07-03T00:00:00"/>
    <n v="2001"/>
    <x v="14"/>
    <s v="R"/>
    <s v="RS"/>
    <x v="11"/>
    <s v="WAS"/>
    <s v="H"/>
    <n v="2"/>
    <n v="1"/>
    <n v="1"/>
    <n v="-1"/>
    <n v="8"/>
    <n v="-8"/>
    <n v="1433.3934874701324"/>
    <n v="1407.0039747417104"/>
    <n v="0.6742688388094884"/>
    <n v="69"/>
    <n v="72"/>
    <n v="1"/>
    <n v="-3"/>
    <n v="0"/>
    <n v="0.25554540342518828"/>
    <n v="1"/>
    <n v="73.75"/>
    <n v="73.75"/>
    <n v="-12.707589804257044"/>
    <n v="1420.6858976658755"/>
    <n v="0"/>
    <n v="1"/>
    <n v="0"/>
    <n v="0"/>
    <n v="0"/>
    <n v="0"/>
    <n v="0"/>
    <n v="0"/>
    <n v="0"/>
    <n v="0"/>
  </r>
  <r>
    <d v="2001-07-04T00:00:00"/>
    <n v="2001"/>
    <x v="14"/>
    <s v="R"/>
    <s v="RS"/>
    <x v="8"/>
    <s v="PHX"/>
    <s v="A"/>
    <n v="1"/>
    <n v="2"/>
    <n v="-1"/>
    <n v="1"/>
    <n v="-8"/>
    <n v="8"/>
    <n v="1459.3614793196559"/>
    <n v="1445.5652510200562"/>
    <n v="0.3784273234101217"/>
    <n v="47"/>
    <n v="60"/>
    <n v="0"/>
    <n v="-13"/>
    <n v="0"/>
    <n v="0.46667842061964648"/>
    <n v="1"/>
    <n v="73.75"/>
    <n v="73.75"/>
    <n v="-13.02453508861624"/>
    <n v="1446.3369442310398"/>
    <n v="0"/>
    <n v="1"/>
    <n v="0"/>
    <n v="0"/>
    <n v="0"/>
    <n v="0"/>
    <n v="0"/>
    <n v="0"/>
    <n v="0"/>
    <n v="0"/>
  </r>
  <r>
    <d v="2001-07-04T00:00:00"/>
    <n v="2001"/>
    <x v="13"/>
    <s v="R"/>
    <s v="RS"/>
    <x v="3"/>
    <s v="MIA"/>
    <s v="H"/>
    <n v="2"/>
    <n v="1"/>
    <n v="1"/>
    <n v="-1"/>
    <n v="8"/>
    <n v="-8"/>
    <n v="1445.5652510200562"/>
    <n v="1459.3614793196559"/>
    <n v="0.62157267658987825"/>
    <n v="60"/>
    <n v="47"/>
    <n v="0"/>
    <n v="13"/>
    <n v="1"/>
    <n v="0.46667842061964648"/>
    <n v="1"/>
    <n v="73.900000000000006"/>
    <n v="73.900000000000006"/>
    <n v="13.051025668457495"/>
    <n v="1458.6162766885136"/>
    <n v="1"/>
    <n v="0"/>
    <n v="0"/>
    <n v="0"/>
    <n v="0"/>
    <n v="0"/>
    <n v="0"/>
    <n v="0"/>
    <n v="0"/>
    <n v="0"/>
  </r>
  <r>
    <d v="2001-07-04T00:00:00"/>
    <n v="2001"/>
    <x v="15"/>
    <s v="R"/>
    <s v="RS"/>
    <x v="11"/>
    <s v="POR"/>
    <s v="A"/>
    <n v="0"/>
    <n v="1"/>
    <n v="-1"/>
    <n v="1"/>
    <n v="-8"/>
    <n v="8"/>
    <n v="1420.6858976658755"/>
    <n v="1499.4731952053037"/>
    <n v="0.26324264070828951"/>
    <n v="61"/>
    <n v="56"/>
    <n v="0"/>
    <n v="5"/>
    <n v="1"/>
    <n v="0.31131617534793554"/>
    <n v="1"/>
    <n v="73.599999999999994"/>
    <n v="73.599999999999994"/>
    <n v="16.881225967504712"/>
    <n v="1437.5671236333801"/>
    <n v="1"/>
    <n v="0"/>
    <n v="0"/>
    <n v="0"/>
    <n v="0"/>
    <n v="0"/>
    <n v="0"/>
    <n v="0"/>
    <n v="0"/>
    <n v="0"/>
  </r>
  <r>
    <d v="2001-07-04T00:00:00"/>
    <n v="2001"/>
    <x v="13"/>
    <s v="R"/>
    <s v="RS"/>
    <x v="10"/>
    <s v="SEA"/>
    <s v="H"/>
    <n v="1"/>
    <n v="0"/>
    <n v="1"/>
    <n v="-1"/>
    <n v="8"/>
    <n v="-8"/>
    <n v="1499.4731952053037"/>
    <n v="1420.6858976658755"/>
    <n v="0.7367573592917106"/>
    <n v="56"/>
    <n v="61"/>
    <n v="0"/>
    <n v="-5"/>
    <n v="0"/>
    <n v="0.31131617534793554"/>
    <n v="1"/>
    <n v="73.900000000000006"/>
    <n v="73.900000000000006"/>
    <n v="-16.950035312480956"/>
    <n v="1482.5231598928228"/>
    <n v="0"/>
    <n v="1"/>
    <n v="0"/>
    <n v="0"/>
    <n v="0"/>
    <n v="0"/>
    <n v="0"/>
    <n v="0"/>
    <n v="0"/>
    <n v="0"/>
  </r>
  <r>
    <d v="2001-07-05T00:00:00"/>
    <n v="2001"/>
    <x v="14"/>
    <s v="R"/>
    <s v="RS"/>
    <x v="3"/>
    <s v="LAS"/>
    <s v="A"/>
    <n v="0"/>
    <n v="1"/>
    <n v="-1"/>
    <n v="1"/>
    <n v="-8"/>
    <n v="8"/>
    <n v="1458.6162766885136"/>
    <n v="1663.1104281141138"/>
    <n v="0.14769322162087542"/>
    <n v="50"/>
    <n v="73"/>
    <n v="0"/>
    <n v="-23"/>
    <n v="0"/>
    <n v="0.52574467634829258"/>
    <n v="1"/>
    <n v="73.75"/>
    <n v="73.75"/>
    <n v="-5.7266082187429044"/>
    <n v="1452.8896684697706"/>
    <n v="0"/>
    <n v="1"/>
    <n v="0"/>
    <n v="0"/>
    <n v="0"/>
    <n v="0"/>
    <n v="0"/>
    <n v="0"/>
    <n v="0"/>
    <n v="0"/>
  </r>
  <r>
    <d v="2001-07-05T00:00:00"/>
    <n v="2001"/>
    <x v="15"/>
    <s v="R"/>
    <s v="RS"/>
    <x v="0"/>
    <s v="PHX"/>
    <s v="H"/>
    <n v="1"/>
    <n v="0"/>
    <n v="1"/>
    <n v="-1"/>
    <n v="8"/>
    <n v="-8"/>
    <n v="1663.1104281141138"/>
    <n v="1458.6162766885136"/>
    <n v="0.8523067783791245"/>
    <n v="73"/>
    <n v="50"/>
    <n v="0"/>
    <n v="23"/>
    <n v="1"/>
    <n v="0.52574467634829258"/>
    <n v="1"/>
    <n v="73.599999999999994"/>
    <n v="73.599999999999994"/>
    <n v="5.7149608799929217"/>
    <n v="1668.8253889941068"/>
    <n v="1"/>
    <n v="0"/>
    <n v="0"/>
    <n v="0"/>
    <n v="0"/>
    <n v="0"/>
    <n v="0"/>
    <n v="0"/>
    <n v="0"/>
    <n v="0"/>
  </r>
  <r>
    <d v="2001-07-06T00:00:00"/>
    <n v="2001"/>
    <x v="15"/>
    <s v="R"/>
    <s v="RS"/>
    <x v="13"/>
    <s v="DET"/>
    <s v="A"/>
    <n v="2"/>
    <n v="3"/>
    <n v="-1"/>
    <n v="1"/>
    <n v="-8"/>
    <n v="8"/>
    <n v="1421.6915264320698"/>
    <n v="1395.2496593733001"/>
    <n v="0.39569516115421305"/>
    <n v="67"/>
    <n v="50"/>
    <n v="0"/>
    <n v="17"/>
    <n v="1"/>
    <n v="0.52096271340660294"/>
    <n v="1"/>
    <n v="73.599999999999994"/>
    <n v="73.599999999999994"/>
    <n v="23.170773238740303"/>
    <n v="1444.8622996708102"/>
    <n v="1"/>
    <n v="0"/>
    <n v="0"/>
    <n v="0"/>
    <n v="0"/>
    <n v="0"/>
    <n v="0"/>
    <n v="0"/>
    <n v="0"/>
    <n v="0"/>
  </r>
  <r>
    <d v="2001-07-06T00:00:00"/>
    <n v="2001"/>
    <x v="13"/>
    <s v="R"/>
    <s v="RS"/>
    <x v="14"/>
    <s v="CHA"/>
    <s v="H"/>
    <n v="3"/>
    <n v="2"/>
    <n v="1"/>
    <n v="-1"/>
    <n v="8"/>
    <n v="-8"/>
    <n v="1395.2496593733001"/>
    <n v="1421.6915264320698"/>
    <n v="0.6043048388457869"/>
    <n v="50"/>
    <n v="67"/>
    <n v="0"/>
    <n v="-17"/>
    <n v="0"/>
    <n v="0.52096271340660294"/>
    <n v="1"/>
    <n v="73.900000000000006"/>
    <n v="73.900000000000006"/>
    <n v="-23.265219325311257"/>
    <n v="1371.9844400479888"/>
    <n v="0"/>
    <n v="1"/>
    <n v="0"/>
    <n v="0"/>
    <n v="0"/>
    <n v="0"/>
    <n v="0"/>
    <n v="0"/>
    <n v="0"/>
    <n v="0"/>
  </r>
  <r>
    <d v="2001-07-06T00:00:00"/>
    <n v="2001"/>
    <x v="13"/>
    <s v="R"/>
    <s v="RS"/>
    <x v="6"/>
    <s v="HOU"/>
    <s v="A"/>
    <n v="4"/>
    <n v="3"/>
    <n v="1"/>
    <n v="-1"/>
    <n v="8"/>
    <n v="-8"/>
    <n v="1423.45484602536"/>
    <n v="1697.786510460305"/>
    <n v="0.12232236537211025"/>
    <n v="64"/>
    <n v="79"/>
    <n v="0"/>
    <n v="-15"/>
    <n v="0"/>
    <n v="0.40928215015023983"/>
    <n v="1"/>
    <n v="73.900000000000006"/>
    <n v="73.900000000000006"/>
    <n v="-3.6997562565399833"/>
    <n v="1419.75508976882"/>
    <n v="0"/>
    <n v="1"/>
    <n v="0"/>
    <n v="0"/>
    <n v="0"/>
    <n v="0"/>
    <n v="0"/>
    <n v="0"/>
    <n v="0"/>
    <n v="0"/>
  </r>
  <r>
    <d v="2001-07-06T00:00:00"/>
    <n v="2001"/>
    <x v="13"/>
    <s v="R"/>
    <s v="RS"/>
    <x v="1"/>
    <s v="IND"/>
    <s v="H"/>
    <n v="3"/>
    <n v="4"/>
    <n v="-1"/>
    <n v="1"/>
    <n v="-8"/>
    <n v="8"/>
    <n v="1697.786510460305"/>
    <n v="1423.45484602536"/>
    <n v="0.87767763462788972"/>
    <n v="79"/>
    <n v="64"/>
    <n v="0"/>
    <n v="15"/>
    <n v="1"/>
    <n v="0.40928215015023983"/>
    <n v="1"/>
    <n v="73.900000000000006"/>
    <n v="73.900000000000006"/>
    <n v="3.6997562565399837"/>
    <n v="1701.486266716845"/>
    <n v="1"/>
    <n v="0"/>
    <n v="0"/>
    <n v="0"/>
    <n v="0"/>
    <n v="0"/>
    <n v="0"/>
    <n v="0"/>
    <n v="0"/>
    <n v="0"/>
  </r>
  <r>
    <d v="2001-07-06T00:00:00"/>
    <n v="2001"/>
    <x v="15"/>
    <s v="R"/>
    <s v="RS"/>
    <x v="7"/>
    <s v="MIN"/>
    <s v="A"/>
    <n v="2"/>
    <n v="2"/>
    <n v="0"/>
    <n v="0"/>
    <n v="0"/>
    <n v="0"/>
    <n v="1585.2282635086804"/>
    <n v="1457.2672230834833"/>
    <n v="0.56292954968280751"/>
    <n v="70"/>
    <n v="57"/>
    <n v="0"/>
    <n v="13"/>
    <n v="1"/>
    <n v="0.4265580762787814"/>
    <n v="1"/>
    <n v="73.599999999999994"/>
    <n v="73.599999999999994"/>
    <n v="13.721684483740331"/>
    <n v="1598.9499479924207"/>
    <n v="1"/>
    <n v="0"/>
    <n v="0"/>
    <n v="0"/>
    <n v="0"/>
    <n v="0"/>
    <n v="0"/>
    <n v="0"/>
    <n v="0"/>
    <n v="0"/>
  </r>
  <r>
    <d v="2001-07-06T00:00:00"/>
    <n v="2001"/>
    <x v="13"/>
    <s v="R"/>
    <s v="RS"/>
    <x v="9"/>
    <s v="NYL"/>
    <s v="H"/>
    <n v="2"/>
    <n v="2"/>
    <n v="0"/>
    <n v="0"/>
    <n v="0"/>
    <n v="0"/>
    <n v="1457.2672230834833"/>
    <n v="1585.2282635086804"/>
    <n v="0.4370704503171926"/>
    <n v="57"/>
    <n v="70"/>
    <n v="0"/>
    <n v="-13"/>
    <n v="0"/>
    <n v="0.4265580762787814"/>
    <n v="1"/>
    <n v="73.900000000000006"/>
    <n v="73.900000000000006"/>
    <n v="-13.777615262886018"/>
    <n v="1443.4896078205973"/>
    <n v="0"/>
    <n v="1"/>
    <n v="0"/>
    <n v="0"/>
    <n v="0"/>
    <n v="0"/>
    <n v="0"/>
    <n v="0"/>
    <n v="0"/>
    <n v="0"/>
  </r>
  <r>
    <d v="2001-07-06T00:00:00"/>
    <n v="2001"/>
    <x v="15"/>
    <s v="R"/>
    <s v="RS"/>
    <x v="15"/>
    <s v="ORL"/>
    <s v="A"/>
    <n v="2"/>
    <n v="4"/>
    <n v="-2"/>
    <n v="2"/>
    <n v="-16"/>
    <n v="16"/>
    <n v="1597.0775644891958"/>
    <n v="1442.9452301862555"/>
    <n v="0.55465755044795184"/>
    <n v="75"/>
    <n v="68"/>
    <n v="0"/>
    <n v="7"/>
    <n v="1"/>
    <n v="0.3279802097135549"/>
    <n v="1"/>
    <n v="73.599999999999994"/>
    <n v="73.599999999999994"/>
    <n v="10.750274335884374"/>
    <n v="1607.8278388250801"/>
    <n v="1"/>
    <n v="0"/>
    <n v="0"/>
    <n v="0"/>
    <n v="0"/>
    <n v="0"/>
    <n v="0"/>
    <n v="0"/>
    <n v="0"/>
    <n v="0"/>
  </r>
  <r>
    <d v="2001-07-06T00:00:00"/>
    <n v="2001"/>
    <x v="13"/>
    <s v="R"/>
    <s v="RS"/>
    <x v="12"/>
    <s v="SAC"/>
    <s v="H"/>
    <n v="4"/>
    <n v="2"/>
    <n v="2"/>
    <n v="-2"/>
    <n v="16"/>
    <n v="-16"/>
    <n v="1442.9452301862555"/>
    <n v="1597.0775644891958"/>
    <n v="0.44534244955204821"/>
    <n v="68"/>
    <n v="75"/>
    <n v="0"/>
    <n v="-7"/>
    <n v="0"/>
    <n v="0.3279802097135549"/>
    <n v="1"/>
    <n v="73.900000000000006"/>
    <n v="73.900000000000006"/>
    <n v="-10.794093388883905"/>
    <n v="1432.1511367973715"/>
    <n v="0"/>
    <n v="1"/>
    <n v="0"/>
    <n v="0"/>
    <n v="0"/>
    <n v="0"/>
    <n v="0"/>
    <n v="0"/>
    <n v="0"/>
    <n v="0"/>
  </r>
  <r>
    <d v="2001-07-06T00:00:00"/>
    <n v="2001"/>
    <x v="14"/>
    <s v="R"/>
    <s v="RS"/>
    <x v="4"/>
    <s v="POR"/>
    <s v="A"/>
    <n v="2"/>
    <n v="1"/>
    <n v="1"/>
    <n v="-1"/>
    <n v="8"/>
    <n v="-8"/>
    <n v="1419.737410491332"/>
    <n v="1482.5231598928228"/>
    <n v="0.32019772409800545"/>
    <n v="58"/>
    <n v="69"/>
    <n v="0"/>
    <n v="-11"/>
    <n v="0"/>
    <n v="0.41796731120802949"/>
    <n v="1"/>
    <n v="73.75"/>
    <n v="73.75"/>
    <n v="-9.870123407467819"/>
    <n v="1409.8672870838641"/>
    <n v="0"/>
    <n v="1"/>
    <n v="0"/>
    <n v="0"/>
    <n v="0"/>
    <n v="0"/>
    <n v="0"/>
    <n v="0"/>
    <n v="0"/>
    <n v="0"/>
  </r>
  <r>
    <d v="2001-07-06T00:00:00"/>
    <n v="2001"/>
    <x v="14"/>
    <s v="R"/>
    <s v="RS"/>
    <x v="10"/>
    <s v="WAS"/>
    <s v="H"/>
    <n v="1"/>
    <n v="2"/>
    <n v="-1"/>
    <n v="1"/>
    <n v="-8"/>
    <n v="8"/>
    <n v="1482.5231598928228"/>
    <n v="1419.737410491332"/>
    <n v="0.67980227590199449"/>
    <n v="69"/>
    <n v="58"/>
    <n v="0"/>
    <n v="11"/>
    <n v="1"/>
    <n v="0.41796731120802949"/>
    <n v="1"/>
    <n v="73.75"/>
    <n v="73.75"/>
    <n v="9.8701234074678208"/>
    <n v="1492.3932833002907"/>
    <n v="1"/>
    <n v="0"/>
    <n v="0"/>
    <n v="0"/>
    <n v="0"/>
    <n v="0"/>
    <n v="0"/>
    <n v="0"/>
    <n v="0"/>
    <n v="0"/>
  </r>
  <r>
    <d v="2001-07-06T00:00:00"/>
    <n v="2001"/>
    <x v="15"/>
    <s v="R"/>
    <s v="RS"/>
    <x v="5"/>
    <s v="UTA"/>
    <s v="A"/>
    <n v="4"/>
    <n v="2"/>
    <n v="2"/>
    <n v="-2"/>
    <n v="16"/>
    <n v="-16"/>
    <n v="1612.8170551604901"/>
    <n v="1457.281736411564"/>
    <n v="0.64473999653957148"/>
    <n v="69"/>
    <n v="73"/>
    <n v="0"/>
    <n v="-4"/>
    <n v="0"/>
    <n v="0.27569866805799986"/>
    <n v="1"/>
    <n v="73.599999999999994"/>
    <n v="73.599999999999994"/>
    <n v="-13.082691330120396"/>
    <n v="1599.7343638303696"/>
    <n v="0"/>
    <n v="1"/>
    <n v="0"/>
    <n v="0"/>
    <n v="0"/>
    <n v="0"/>
    <n v="0"/>
    <n v="0"/>
    <n v="0"/>
    <n v="0"/>
  </r>
  <r>
    <d v="2001-07-06T00:00:00"/>
    <n v="2001"/>
    <x v="13"/>
    <s v="R"/>
    <s v="RS"/>
    <x v="2"/>
    <s v="CLE"/>
    <s v="H"/>
    <n v="2"/>
    <n v="4"/>
    <n v="-2"/>
    <n v="2"/>
    <n v="-16"/>
    <n v="16"/>
    <n v="1457.281736411564"/>
    <n v="1612.8170551604901"/>
    <n v="0.35526000346042858"/>
    <n v="73"/>
    <n v="69"/>
    <n v="0"/>
    <n v="4"/>
    <n v="1"/>
    <n v="0.27569866805799986"/>
    <n v="1"/>
    <n v="73.900000000000006"/>
    <n v="73.900000000000006"/>
    <n v="13.136017517607302"/>
    <n v="1470.4177539291713"/>
    <n v="1"/>
    <n v="0"/>
    <n v="0"/>
    <n v="0"/>
    <n v="0"/>
    <n v="0"/>
    <n v="0"/>
    <n v="0"/>
    <n v="0"/>
    <n v="0"/>
  </r>
  <r>
    <d v="2001-07-07T00:00:00"/>
    <n v="2001"/>
    <x v="16"/>
    <s v="R"/>
    <s v="RS"/>
    <x v="11"/>
    <s v="CHA"/>
    <s v="A"/>
    <n v="2"/>
    <n v="0"/>
    <n v="2"/>
    <n v="-2"/>
    <n v="16"/>
    <n v="-16"/>
    <n v="1437.5671236333801"/>
    <n v="1444.8622996708102"/>
    <n v="0.41548632597822654"/>
    <n v="38"/>
    <n v="48"/>
    <n v="0"/>
    <n v="-10"/>
    <n v="0"/>
    <n v="0.42057290485106569"/>
    <n v="1"/>
    <n v="73.45"/>
    <n v="73.45"/>
    <n v="-12.834821277075998"/>
    <n v="1424.7323023563042"/>
    <n v="0"/>
    <n v="1"/>
    <n v="0"/>
    <n v="0"/>
    <n v="0"/>
    <n v="0"/>
    <n v="0"/>
    <n v="0"/>
    <n v="0"/>
    <n v="0"/>
  </r>
  <r>
    <d v="2001-07-07T00:00:00"/>
    <n v="2001"/>
    <x v="16"/>
    <s v="R"/>
    <s v="RS"/>
    <x v="13"/>
    <s v="SEA"/>
    <s v="H"/>
    <n v="0"/>
    <n v="2"/>
    <n v="-2"/>
    <n v="2"/>
    <n v="-16"/>
    <n v="16"/>
    <n v="1444.8622996708102"/>
    <n v="1437.5671236333801"/>
    <n v="0.58451367402177346"/>
    <n v="48"/>
    <n v="38"/>
    <n v="0"/>
    <n v="10"/>
    <n v="1"/>
    <n v="0.42057290485106569"/>
    <n v="1"/>
    <n v="73.45"/>
    <n v="73.45"/>
    <n v="12.834821277075998"/>
    <n v="1457.6971209478861"/>
    <n v="1"/>
    <n v="0"/>
    <n v="0"/>
    <n v="0"/>
    <n v="0"/>
    <n v="0"/>
    <n v="0"/>
    <n v="0"/>
    <n v="0"/>
    <n v="0"/>
  </r>
  <r>
    <d v="2001-07-07T00:00:00"/>
    <n v="2001"/>
    <x v="16"/>
    <s v="R"/>
    <s v="RS"/>
    <x v="15"/>
    <s v="MIA"/>
    <s v="A"/>
    <n v="0"/>
    <n v="2"/>
    <n v="-2"/>
    <n v="2"/>
    <n v="-16"/>
    <n v="16"/>
    <n v="1607.8278388250801"/>
    <n v="1446.3369442310398"/>
    <n v="0.56509509762335641"/>
    <n v="54"/>
    <n v="66"/>
    <n v="0"/>
    <n v="-12"/>
    <n v="0"/>
    <n v="0.40202643577359759"/>
    <n v="1"/>
    <n v="73.45"/>
    <n v="73.45"/>
    <n v="-16.686603687444329"/>
    <n v="1591.1412351376357"/>
    <n v="0"/>
    <n v="1"/>
    <n v="0"/>
    <n v="0"/>
    <n v="0"/>
    <n v="0"/>
    <n v="0"/>
    <n v="0"/>
    <n v="0"/>
    <n v="0"/>
  </r>
  <r>
    <d v="2001-07-07T00:00:00"/>
    <n v="2001"/>
    <x v="15"/>
    <s v="R"/>
    <s v="RS"/>
    <x v="8"/>
    <s v="SAC"/>
    <s v="H"/>
    <n v="2"/>
    <n v="0"/>
    <n v="2"/>
    <n v="-2"/>
    <n v="16"/>
    <n v="-16"/>
    <n v="1446.3369442310398"/>
    <n v="1607.8278388250801"/>
    <n v="0.43490490237664359"/>
    <n v="66"/>
    <n v="54"/>
    <n v="0"/>
    <n v="12"/>
    <n v="1"/>
    <n v="0.40202643577359759"/>
    <n v="1"/>
    <n v="73.599999999999994"/>
    <n v="73.599999999999994"/>
    <n v="16.720681162639924"/>
    <n v="1463.0576253936797"/>
    <n v="1"/>
    <n v="0"/>
    <n v="0"/>
    <n v="0"/>
    <n v="0"/>
    <n v="0"/>
    <n v="0"/>
    <n v="0"/>
    <n v="0"/>
    <n v="0"/>
  </r>
  <r>
    <d v="2001-07-07T00:00:00"/>
    <n v="2001"/>
    <x v="15"/>
    <s v="R"/>
    <s v="RS"/>
    <x v="4"/>
    <s v="PHX"/>
    <s v="A"/>
    <n v="0"/>
    <n v="1"/>
    <n v="-1"/>
    <n v="1"/>
    <n v="-8"/>
    <n v="8"/>
    <n v="1409.8672870838641"/>
    <n v="1452.8896684697706"/>
    <n v="0.30506297306765628"/>
    <n v="52"/>
    <n v="66"/>
    <n v="0"/>
    <n v="-14"/>
    <n v="0"/>
    <n v="0.4707314469981882"/>
    <n v="1"/>
    <n v="73.599999999999994"/>
    <n v="73.599999999999994"/>
    <n v="-10.569161276695247"/>
    <n v="1399.2981258071688"/>
    <n v="0"/>
    <n v="1"/>
    <n v="0"/>
    <n v="0"/>
    <n v="0"/>
    <n v="0"/>
    <n v="0"/>
    <n v="0"/>
    <n v="0"/>
    <n v="0"/>
  </r>
  <r>
    <d v="2001-07-07T00:00:00"/>
    <n v="2001"/>
    <x v="15"/>
    <s v="R"/>
    <s v="RS"/>
    <x v="3"/>
    <s v="WAS"/>
    <s v="H"/>
    <n v="1"/>
    <n v="0"/>
    <n v="1"/>
    <n v="-1"/>
    <n v="8"/>
    <n v="-8"/>
    <n v="1452.8896684697706"/>
    <n v="1409.8672870838641"/>
    <n v="0.69493702693234372"/>
    <n v="66"/>
    <n v="52"/>
    <n v="0"/>
    <n v="14"/>
    <n v="1"/>
    <n v="0.4707314469981882"/>
    <n v="1"/>
    <n v="73.599999999999994"/>
    <n v="73.599999999999994"/>
    <n v="10.569161276695247"/>
    <n v="1463.4588297464659"/>
    <n v="1"/>
    <n v="0"/>
    <n v="0"/>
    <n v="0"/>
    <n v="0"/>
    <n v="0"/>
    <n v="0"/>
    <n v="0"/>
    <n v="0"/>
    <n v="0"/>
  </r>
  <r>
    <d v="2001-07-08T00:00:00"/>
    <n v="2001"/>
    <x v="16"/>
    <s v="R"/>
    <s v="RS"/>
    <x v="5"/>
    <s v="HOU"/>
    <s v="A"/>
    <n v="1"/>
    <n v="1"/>
    <n v="0"/>
    <n v="0"/>
    <n v="0"/>
    <n v="0"/>
    <n v="1599.7343638303696"/>
    <n v="1701.486266716845"/>
    <n v="0.25554119160940242"/>
    <n v="63"/>
    <n v="53"/>
    <n v="0"/>
    <n v="10"/>
    <n v="1"/>
    <n v="0.39005561510826664"/>
    <n v="1"/>
    <n v="73.45"/>
    <n v="73.45"/>
    <n v="21.328435857651314"/>
    <n v="1621.062799688021"/>
    <n v="1"/>
    <n v="0"/>
    <n v="0"/>
    <n v="0"/>
    <n v="0"/>
    <n v="0"/>
    <n v="0"/>
    <n v="0"/>
    <n v="0"/>
    <n v="0"/>
  </r>
  <r>
    <d v="2001-07-08T00:00:00"/>
    <n v="2001"/>
    <x v="14"/>
    <s v="R"/>
    <s v="RS"/>
    <x v="1"/>
    <s v="CLE"/>
    <s v="H"/>
    <n v="1"/>
    <n v="1"/>
    <n v="0"/>
    <n v="0"/>
    <n v="0"/>
    <n v="0"/>
    <n v="1701.486266716845"/>
    <n v="1599.7343638303696"/>
    <n v="0.74445880839059753"/>
    <n v="53"/>
    <n v="63"/>
    <n v="0"/>
    <n v="-10"/>
    <n v="0"/>
    <n v="0.39005561510826664"/>
    <n v="1"/>
    <n v="73.75"/>
    <n v="73.75"/>
    <n v="-21.415549959180179"/>
    <n v="1680.0707167576647"/>
    <n v="0"/>
    <n v="1"/>
    <n v="0"/>
    <n v="0"/>
    <n v="0"/>
    <n v="0"/>
    <n v="0"/>
    <n v="0"/>
    <n v="0"/>
    <n v="0"/>
  </r>
  <r>
    <d v="2001-07-08T00:00:00"/>
    <n v="2001"/>
    <x v="16"/>
    <s v="R"/>
    <s v="RS"/>
    <x v="7"/>
    <s v="IND"/>
    <s v="A"/>
    <n v="1"/>
    <n v="1"/>
    <n v="0"/>
    <n v="0"/>
    <n v="0"/>
    <n v="0"/>
    <n v="1598.9499479924207"/>
    <n v="1419.75508976882"/>
    <n v="0.63366812112019066"/>
    <n v="58"/>
    <n v="56"/>
    <n v="0"/>
    <n v="2"/>
    <n v="1"/>
    <n v="0.23304146115044144"/>
    <n v="1"/>
    <n v="73.45"/>
    <n v="73.45"/>
    <n v="6.2704644237140856"/>
    <n v="1605.2204124161346"/>
    <n v="1"/>
    <n v="0"/>
    <n v="0"/>
    <n v="0"/>
    <n v="0"/>
    <n v="0"/>
    <n v="0"/>
    <n v="0"/>
    <n v="0"/>
    <n v="0"/>
  </r>
  <r>
    <d v="2001-07-08T00:00:00"/>
    <n v="2001"/>
    <x v="14"/>
    <s v="R"/>
    <s v="RS"/>
    <x v="6"/>
    <s v="NYL"/>
    <s v="H"/>
    <n v="1"/>
    <n v="1"/>
    <n v="0"/>
    <n v="0"/>
    <n v="0"/>
    <n v="0"/>
    <n v="1419.75508976882"/>
    <n v="1598.9499479924207"/>
    <n v="0.36633187887980939"/>
    <n v="56"/>
    <n v="58"/>
    <n v="0"/>
    <n v="-2"/>
    <n v="0"/>
    <n v="0.23304146115044144"/>
    <n v="1"/>
    <n v="73.75"/>
    <n v="73.75"/>
    <n v="-6.296075578610127"/>
    <n v="1413.4590141902099"/>
    <n v="0"/>
    <n v="1"/>
    <n v="0"/>
    <n v="0"/>
    <n v="0"/>
    <n v="0"/>
    <n v="0"/>
    <n v="0"/>
    <n v="0"/>
    <n v="0"/>
  </r>
  <r>
    <d v="2001-07-08T00:00:00"/>
    <n v="2001"/>
    <x v="14"/>
    <s v="R"/>
    <s v="RS"/>
    <x v="9"/>
    <s v="LAS"/>
    <s v="A"/>
    <n v="1"/>
    <n v="2"/>
    <n v="-1"/>
    <n v="1"/>
    <n v="-8"/>
    <n v="8"/>
    <n v="1443.4896078205973"/>
    <n v="1668.8253889941068"/>
    <n v="0.13321999990397415"/>
    <n v="95"/>
    <n v="100"/>
    <n v="1"/>
    <n v="-5"/>
    <n v="0"/>
    <n v="0.25137687429915945"/>
    <n v="1"/>
    <n v="73.75"/>
    <n v="73.75"/>
    <n v="-2.4697715037871566"/>
    <n v="1441.0198363168101"/>
    <n v="0"/>
    <n v="1"/>
    <n v="0"/>
    <n v="0"/>
    <n v="0"/>
    <n v="0"/>
    <n v="0"/>
    <n v="0"/>
    <n v="0"/>
    <n v="0"/>
  </r>
  <r>
    <d v="2001-07-08T00:00:00"/>
    <n v="2001"/>
    <x v="16"/>
    <s v="R"/>
    <s v="RS"/>
    <x v="0"/>
    <s v="MIN"/>
    <s v="H"/>
    <n v="2"/>
    <n v="1"/>
    <n v="1"/>
    <n v="-1"/>
    <n v="8"/>
    <n v="-8"/>
    <n v="1668.8253889941068"/>
    <n v="1443.4896078205973"/>
    <n v="0.86678000009602574"/>
    <n v="100"/>
    <n v="95"/>
    <n v="1"/>
    <n v="5"/>
    <n v="1"/>
    <n v="0.25137687429915945"/>
    <n v="1"/>
    <n v="73.45"/>
    <n v="73.45"/>
    <n v="2.4597249756361603"/>
    <n v="1671.285113969743"/>
    <n v="1"/>
    <n v="0"/>
    <n v="0"/>
    <n v="0"/>
    <n v="0"/>
    <n v="0"/>
    <n v="0"/>
    <n v="0"/>
    <n v="0"/>
    <n v="0"/>
  </r>
  <r>
    <d v="2001-07-08T00:00:00"/>
    <n v="2001"/>
    <x v="14"/>
    <s v="R"/>
    <s v="RS"/>
    <x v="14"/>
    <s v="ORL"/>
    <s v="A"/>
    <n v="1"/>
    <n v="1"/>
    <n v="0"/>
    <n v="0"/>
    <n v="0"/>
    <n v="0"/>
    <n v="1371.9844400479888"/>
    <n v="1432.1511367973715"/>
    <n v="0.30366828369275933"/>
    <n v="67"/>
    <n v="73"/>
    <n v="0"/>
    <n v="-6"/>
    <n v="0"/>
    <n v="0.3345088506120264"/>
    <n v="1"/>
    <n v="73.75"/>
    <n v="73.75"/>
    <n v="-7.4915049802226363"/>
    <n v="1364.4929350677662"/>
    <n v="0"/>
    <n v="1"/>
    <n v="0"/>
    <n v="0"/>
    <n v="0"/>
    <n v="0"/>
    <n v="0"/>
    <n v="0"/>
    <n v="0"/>
    <n v="0"/>
  </r>
  <r>
    <d v="2001-07-08T00:00:00"/>
    <n v="2001"/>
    <x v="14"/>
    <s v="R"/>
    <s v="RS"/>
    <x v="12"/>
    <s v="DET"/>
    <s v="H"/>
    <n v="1"/>
    <n v="1"/>
    <n v="0"/>
    <n v="0"/>
    <n v="0"/>
    <n v="0"/>
    <n v="1432.1511367973715"/>
    <n v="1371.9844400479888"/>
    <n v="0.69633171630724067"/>
    <n v="73"/>
    <n v="67"/>
    <n v="0"/>
    <n v="6"/>
    <n v="1"/>
    <n v="0.3345088506120264"/>
    <n v="1"/>
    <n v="73.75"/>
    <n v="73.75"/>
    <n v="7.4915049802226363"/>
    <n v="1439.642641777594"/>
    <n v="1"/>
    <n v="0"/>
    <n v="0"/>
    <n v="0"/>
    <n v="0"/>
    <n v="0"/>
    <n v="0"/>
    <n v="0"/>
    <n v="0"/>
    <n v="0"/>
  </r>
  <r>
    <d v="2001-07-08T00:00:00"/>
    <n v="2001"/>
    <x v="14"/>
    <s v="R"/>
    <s v="RS"/>
    <x v="2"/>
    <s v="POR"/>
    <s v="A"/>
    <n v="1"/>
    <n v="1"/>
    <n v="0"/>
    <n v="0"/>
    <n v="0"/>
    <n v="0"/>
    <n v="1470.4177539291713"/>
    <n v="1492.3932833002907"/>
    <n v="0.3520491187026612"/>
    <n v="65"/>
    <n v="63"/>
    <n v="0"/>
    <n v="2"/>
    <n v="1"/>
    <n v="0.26302456738803509"/>
    <n v="1"/>
    <n v="73.75"/>
    <n v="73.75"/>
    <n v="12.568991267842236"/>
    <n v="1482.9867451970135"/>
    <n v="1"/>
    <n v="0"/>
    <n v="0"/>
    <n v="0"/>
    <n v="0"/>
    <n v="0"/>
    <n v="0"/>
    <n v="0"/>
    <n v="0"/>
    <n v="0"/>
  </r>
  <r>
    <d v="2001-07-08T00:00:00"/>
    <n v="2001"/>
    <x v="15"/>
    <s v="R"/>
    <s v="RS"/>
    <x v="10"/>
    <s v="UTA"/>
    <s v="H"/>
    <n v="1"/>
    <n v="1"/>
    <n v="0"/>
    <n v="0"/>
    <n v="0"/>
    <n v="0"/>
    <n v="1492.3932833002907"/>
    <n v="1470.4177539291713"/>
    <n v="0.64795088129733869"/>
    <n v="63"/>
    <n v="65"/>
    <n v="0"/>
    <n v="-2"/>
    <n v="0"/>
    <n v="0.26302456738803509"/>
    <n v="1"/>
    <n v="73.599999999999994"/>
    <n v="73.599999999999994"/>
    <n v="-12.543427217805943"/>
    <n v="1479.8498560824848"/>
    <n v="0"/>
    <n v="1"/>
    <n v="0"/>
    <n v="0"/>
    <n v="0"/>
    <n v="0"/>
    <n v="0"/>
    <n v="0"/>
    <n v="0"/>
    <n v="0"/>
  </r>
  <r>
    <d v="2001-07-09T00:00:00"/>
    <n v="2001"/>
    <x v="15"/>
    <s v="R"/>
    <s v="RS"/>
    <x v="6"/>
    <s v="NYL"/>
    <s v="A"/>
    <n v="0"/>
    <n v="0"/>
    <n v="0"/>
    <n v="0"/>
    <n v="0"/>
    <n v="0"/>
    <n v="1413.4590141902099"/>
    <n v="1605.2204124161346"/>
    <n v="0.16974857400710205"/>
    <n v="65"/>
    <n v="72"/>
    <n v="0"/>
    <n v="-7"/>
    <n v="0"/>
    <n v="0.31911260619148785"/>
    <n v="1"/>
    <n v="73.599999999999994"/>
    <n v="73.599999999999994"/>
    <n v="-3.9868317648639509"/>
    <n v="1409.4721824253459"/>
    <n v="0"/>
    <n v="1"/>
    <n v="0"/>
    <n v="0"/>
    <n v="0"/>
    <n v="0"/>
    <n v="0"/>
    <n v="0"/>
    <n v="0"/>
    <n v="0"/>
  </r>
  <r>
    <d v="2001-07-09T00:00:00"/>
    <n v="2001"/>
    <x v="17"/>
    <s v="R"/>
    <s v="RS"/>
    <x v="7"/>
    <s v="IND"/>
    <s v="H"/>
    <n v="0"/>
    <n v="0"/>
    <n v="0"/>
    <n v="0"/>
    <n v="0"/>
    <n v="0"/>
    <n v="1605.2204124161346"/>
    <n v="1413.4590141902099"/>
    <n v="0.83025142599289803"/>
    <n v="72"/>
    <n v="65"/>
    <n v="0"/>
    <n v="7"/>
    <n v="1"/>
    <n v="0.31911260619148785"/>
    <n v="1"/>
    <n v="73.3"/>
    <n v="73.3"/>
    <n v="3.9705810919093407"/>
    <n v="1609.1909935080439"/>
    <n v="1"/>
    <n v="0"/>
    <n v="0"/>
    <n v="0"/>
    <n v="0"/>
    <n v="0"/>
    <n v="0"/>
    <n v="0"/>
    <n v="0"/>
    <n v="0"/>
  </r>
  <r>
    <d v="2001-07-10T00:00:00"/>
    <n v="2001"/>
    <x v="17"/>
    <s v="R"/>
    <s v="RS"/>
    <x v="11"/>
    <s v="CLE"/>
    <s v="A"/>
    <n v="2"/>
    <n v="1"/>
    <n v="1"/>
    <n v="-1"/>
    <n v="8"/>
    <n v="-8"/>
    <n v="1424.7323023563042"/>
    <n v="1621.062799688021"/>
    <n v="0.17922475862915646"/>
    <n v="53"/>
    <n v="59"/>
    <n v="0"/>
    <n v="-6"/>
    <n v="0"/>
    <n v="0.3018890686085533"/>
    <n v="1"/>
    <n v="73.3"/>
    <n v="73.3"/>
    <n v="-3.9659694667891086"/>
    <n v="1420.7663328895151"/>
    <n v="0"/>
    <n v="1"/>
    <n v="0"/>
    <n v="0"/>
    <n v="0"/>
    <n v="0"/>
    <n v="0"/>
    <n v="0"/>
    <n v="0"/>
    <n v="0"/>
  </r>
  <r>
    <d v="2001-07-10T00:00:00"/>
    <n v="2001"/>
    <x v="17"/>
    <s v="R"/>
    <s v="RS"/>
    <x v="5"/>
    <s v="SEA"/>
    <s v="H"/>
    <n v="1"/>
    <n v="2"/>
    <n v="-1"/>
    <n v="1"/>
    <n v="-8"/>
    <n v="8"/>
    <n v="1621.062799688021"/>
    <n v="1424.7323023563042"/>
    <n v="0.82077524137084357"/>
    <n v="59"/>
    <n v="53"/>
    <n v="0"/>
    <n v="6"/>
    <n v="1"/>
    <n v="0.3018890686085533"/>
    <n v="1"/>
    <n v="73.3"/>
    <n v="73.3"/>
    <n v="3.9659694667891081"/>
    <n v="1625.0287691548101"/>
    <n v="1"/>
    <n v="0"/>
    <n v="0"/>
    <n v="0"/>
    <n v="0"/>
    <n v="0"/>
    <n v="0"/>
    <n v="0"/>
    <n v="0"/>
    <n v="0"/>
  </r>
  <r>
    <d v="2001-07-10T00:00:00"/>
    <n v="2001"/>
    <x v="16"/>
    <s v="R"/>
    <s v="RS"/>
    <x v="10"/>
    <s v="MIN"/>
    <s v="A"/>
    <n v="1"/>
    <n v="1"/>
    <n v="0"/>
    <n v="0"/>
    <n v="0"/>
    <n v="0"/>
    <n v="1479.8498560824848"/>
    <n v="1441.0198363168101"/>
    <n v="0.4353589619066871"/>
    <n v="52"/>
    <n v="73"/>
    <n v="0"/>
    <n v="-21"/>
    <n v="0"/>
    <n v="0.57012789168483335"/>
    <n v="1"/>
    <n v="73.45"/>
    <n v="73.45"/>
    <n v="-18.231045585875957"/>
    <n v="1461.6188104966088"/>
    <n v="0"/>
    <n v="1"/>
    <n v="0"/>
    <n v="0"/>
    <n v="0"/>
    <n v="0"/>
    <n v="0"/>
    <n v="0"/>
    <n v="0"/>
    <n v="0"/>
  </r>
  <r>
    <d v="2001-07-10T00:00:00"/>
    <n v="2001"/>
    <x v="15"/>
    <s v="R"/>
    <s v="RS"/>
    <x v="9"/>
    <s v="POR"/>
    <s v="H"/>
    <n v="1"/>
    <n v="1"/>
    <n v="0"/>
    <n v="0"/>
    <n v="0"/>
    <n v="0"/>
    <n v="1441.0198363168101"/>
    <n v="1479.8498560824848"/>
    <n v="0.5646410380933129"/>
    <n v="73"/>
    <n v="52"/>
    <n v="0"/>
    <n v="21"/>
    <n v="1"/>
    <n v="0.57012789168483335"/>
    <n v="1"/>
    <n v="73.599999999999994"/>
    <n v="73.599999999999994"/>
    <n v="18.268277128937648"/>
    <n v="1459.2881134457477"/>
    <n v="1"/>
    <n v="0"/>
    <n v="0"/>
    <n v="0"/>
    <n v="0"/>
    <n v="0"/>
    <n v="0"/>
    <n v="0"/>
    <n v="0"/>
    <n v="0"/>
  </r>
  <r>
    <d v="2001-07-10T00:00:00"/>
    <n v="2001"/>
    <x v="16"/>
    <s v="R"/>
    <s v="RS"/>
    <x v="8"/>
    <s v="ORL"/>
    <s v="A"/>
    <n v="2"/>
    <n v="1"/>
    <n v="1"/>
    <n v="-1"/>
    <n v="8"/>
    <n v="-8"/>
    <n v="1463.0576253936797"/>
    <n v="1439.642641777594"/>
    <n v="0.43618690175529429"/>
    <n v="65"/>
    <n v="63"/>
    <n v="1"/>
    <n v="2"/>
    <n v="1"/>
    <n v="0.2364435864758197"/>
    <n v="1"/>
    <n v="73.45"/>
    <n v="73.45"/>
    <n v="9.7916188426975594"/>
    <n v="1472.8492442363772"/>
    <n v="1"/>
    <n v="0"/>
    <n v="0"/>
    <n v="0"/>
    <n v="0"/>
    <n v="0"/>
    <n v="0"/>
    <n v="0"/>
    <n v="0"/>
    <n v="0"/>
  </r>
  <r>
    <d v="2001-07-10T00:00:00"/>
    <n v="2001"/>
    <x v="15"/>
    <s v="R"/>
    <s v="RS"/>
    <x v="12"/>
    <s v="MIA"/>
    <s v="H"/>
    <n v="1"/>
    <n v="2"/>
    <n v="-1"/>
    <n v="1"/>
    <n v="-8"/>
    <n v="8"/>
    <n v="1439.642641777594"/>
    <n v="1463.0576253936797"/>
    <n v="0.56381309824470571"/>
    <n v="63"/>
    <n v="65"/>
    <n v="1"/>
    <n v="-2"/>
    <n v="0"/>
    <n v="0.2364435864758197"/>
    <n v="1"/>
    <n v="73.599999999999994"/>
    <n v="73.599999999999994"/>
    <n v="-9.8116153413552123"/>
    <n v="1429.8310264362387"/>
    <n v="0"/>
    <n v="1"/>
    <n v="0"/>
    <n v="0"/>
    <n v="0"/>
    <n v="0"/>
    <n v="0"/>
    <n v="0"/>
    <n v="0"/>
    <n v="0"/>
  </r>
  <r>
    <d v="2001-07-10T00:00:00"/>
    <n v="2001"/>
    <x v="15"/>
    <s v="R"/>
    <s v="RS"/>
    <x v="1"/>
    <s v="SAC"/>
    <s v="A"/>
    <n v="1"/>
    <n v="2"/>
    <n v="-1"/>
    <n v="1"/>
    <n v="-8"/>
    <n v="8"/>
    <n v="1680.0707167576647"/>
    <n v="1591.1412351376357"/>
    <n v="0.48407363294008665"/>
    <n v="76"/>
    <n v="78"/>
    <n v="1"/>
    <n v="-2"/>
    <n v="0"/>
    <n v="0.22442548688611549"/>
    <n v="1"/>
    <n v="73.599999999999994"/>
    <n v="73.599999999999994"/>
    <n v="-7.9957907120323926"/>
    <n v="1672.0749260456323"/>
    <n v="0"/>
    <n v="1"/>
    <n v="0"/>
    <n v="0"/>
    <n v="0"/>
    <n v="0"/>
    <n v="0"/>
    <n v="0"/>
    <n v="0"/>
    <n v="0"/>
  </r>
  <r>
    <d v="2001-07-10T00:00:00"/>
    <n v="2001"/>
    <x v="17"/>
    <s v="R"/>
    <s v="RS"/>
    <x v="15"/>
    <s v="HOU"/>
    <s v="H"/>
    <n v="2"/>
    <n v="1"/>
    <n v="1"/>
    <n v="-1"/>
    <n v="8"/>
    <n v="-8"/>
    <n v="1591.1412351376357"/>
    <n v="1680.0707167576647"/>
    <n v="0.51592636705991335"/>
    <n v="78"/>
    <n v="76"/>
    <n v="1"/>
    <n v="2"/>
    <n v="1"/>
    <n v="0.22442548688611549"/>
    <n v="1"/>
    <n v="73.3"/>
    <n v="73.3"/>
    <n v="7.963199173804"/>
    <n v="1599.1044343114397"/>
    <n v="1"/>
    <n v="0"/>
    <n v="0"/>
    <n v="0"/>
    <n v="0"/>
    <n v="0"/>
    <n v="0"/>
    <n v="0"/>
    <n v="0"/>
    <n v="0"/>
  </r>
  <r>
    <d v="2001-07-10T00:00:00"/>
    <n v="2001"/>
    <x v="17"/>
    <s v="R"/>
    <s v="RS"/>
    <x v="0"/>
    <s v="UTA"/>
    <s v="A"/>
    <n v="1"/>
    <n v="1"/>
    <n v="0"/>
    <n v="0"/>
    <n v="0"/>
    <n v="0"/>
    <n v="1671.285113969743"/>
    <n v="1482.9867451970135"/>
    <n v="0.64574545218316448"/>
    <n v="79"/>
    <n v="67"/>
    <n v="0"/>
    <n v="12"/>
    <n v="1"/>
    <n v="0.39426346958522812"/>
    <n v="1"/>
    <n v="73.3"/>
    <n v="73.3"/>
    <n v="10.237783669260235"/>
    <n v="1681.5228976390031"/>
    <n v="1"/>
    <n v="0"/>
    <n v="0"/>
    <n v="0"/>
    <n v="0"/>
    <n v="0"/>
    <n v="0"/>
    <n v="0"/>
    <n v="0"/>
    <n v="0"/>
  </r>
  <r>
    <d v="2001-07-10T00:00:00"/>
    <n v="2001"/>
    <x v="15"/>
    <s v="R"/>
    <s v="RS"/>
    <x v="2"/>
    <s v="LAS"/>
    <s v="H"/>
    <n v="1"/>
    <n v="1"/>
    <n v="0"/>
    <n v="0"/>
    <n v="0"/>
    <n v="0"/>
    <n v="1482.9867451970135"/>
    <n v="1671.285113969743"/>
    <n v="0.35425454781683546"/>
    <n v="67"/>
    <n v="79"/>
    <n v="0"/>
    <n v="-12"/>
    <n v="0"/>
    <n v="0.39426346958522812"/>
    <n v="1"/>
    <n v="73.599999999999994"/>
    <n v="73.599999999999994"/>
    <n v="-10.279684557401817"/>
    <n v="1472.7070606396117"/>
    <n v="0"/>
    <n v="1"/>
    <n v="0"/>
    <n v="0"/>
    <n v="0"/>
    <n v="0"/>
    <n v="0"/>
    <n v="0"/>
    <n v="0"/>
    <n v="0"/>
  </r>
  <r>
    <d v="2001-07-11T00:00:00"/>
    <n v="2001"/>
    <x v="18"/>
    <s v="R"/>
    <s v="RS"/>
    <x v="5"/>
    <s v="IND"/>
    <s v="A"/>
    <n v="0"/>
    <n v="1"/>
    <n v="-1"/>
    <n v="1"/>
    <n v="-8"/>
    <n v="8"/>
    <n v="1625.0287691548101"/>
    <n v="1409.4721824253459"/>
    <n v="0.66042689581958702"/>
    <n v="76"/>
    <n v="58"/>
    <n v="0"/>
    <n v="18"/>
    <n v="1"/>
    <n v="0.46356374920178023"/>
    <n v="1"/>
    <n v="73.150000000000006"/>
    <n v="73.150000000000006"/>
    <n v="11.5148181022383"/>
    <n v="1636.5435872570483"/>
    <n v="1"/>
    <n v="0"/>
    <n v="0"/>
    <n v="0"/>
    <n v="0"/>
    <n v="0"/>
    <n v="0"/>
    <n v="0"/>
    <n v="0"/>
    <n v="0"/>
  </r>
  <r>
    <d v="2001-07-11T00:00:00"/>
    <n v="2001"/>
    <x v="16"/>
    <s v="R"/>
    <s v="RS"/>
    <x v="6"/>
    <s v="CLE"/>
    <s v="H"/>
    <n v="1"/>
    <n v="0"/>
    <n v="1"/>
    <n v="-1"/>
    <n v="8"/>
    <n v="-8"/>
    <n v="1409.4721824253459"/>
    <n v="1625.0287691548101"/>
    <n v="0.33957310418041292"/>
    <n v="58"/>
    <n v="76"/>
    <n v="0"/>
    <n v="-18"/>
    <n v="0"/>
    <n v="0.46356374920178023"/>
    <n v="1"/>
    <n v="73.45"/>
    <n v="73.45"/>
    <n v="-11.562042236628884"/>
    <n v="1397.9101401887169"/>
    <n v="0"/>
    <n v="1"/>
    <n v="0"/>
    <n v="0"/>
    <n v="0"/>
    <n v="0"/>
    <n v="0"/>
    <n v="0"/>
    <n v="0"/>
    <n v="0"/>
  </r>
  <r>
    <d v="2001-07-11T00:00:00"/>
    <n v="2001"/>
    <x v="18"/>
    <s v="R"/>
    <s v="RS"/>
    <x v="11"/>
    <s v="NYL"/>
    <s v="A"/>
    <n v="0"/>
    <n v="1"/>
    <n v="-1"/>
    <n v="1"/>
    <n v="-8"/>
    <n v="8"/>
    <n v="1420.7663328895151"/>
    <n v="1609.1909935080439"/>
    <n v="0.15972094986376562"/>
    <n v="53"/>
    <n v="67"/>
    <n v="0"/>
    <n v="-14"/>
    <n v="0"/>
    <n v="0.42143426347689061"/>
    <n v="1"/>
    <n v="73.150000000000006"/>
    <n v="73.150000000000006"/>
    <n v="-4.9238640854697264"/>
    <n v="1415.8424688040454"/>
    <n v="0"/>
    <n v="1"/>
    <n v="0"/>
    <n v="0"/>
    <n v="0"/>
    <n v="0"/>
    <n v="0"/>
    <n v="0"/>
    <n v="0"/>
    <n v="0"/>
  </r>
  <r>
    <d v="2001-07-11T00:00:00"/>
    <n v="2001"/>
    <x v="18"/>
    <s v="R"/>
    <s v="RS"/>
    <x v="7"/>
    <s v="SEA"/>
    <s v="H"/>
    <n v="1"/>
    <n v="0"/>
    <n v="1"/>
    <n v="-1"/>
    <n v="8"/>
    <n v="-8"/>
    <n v="1609.1909935080439"/>
    <n v="1420.7663328895151"/>
    <n v="0.84027905013623438"/>
    <n v="67"/>
    <n v="53"/>
    <n v="0"/>
    <n v="14"/>
    <n v="1"/>
    <n v="0.42143426347689061"/>
    <n v="1"/>
    <n v="73.150000000000006"/>
    <n v="73.150000000000006"/>
    <n v="4.9238640854697264"/>
    <n v="1614.1148575935135"/>
    <n v="1"/>
    <n v="0"/>
    <n v="0"/>
    <n v="0"/>
    <n v="0"/>
    <n v="0"/>
    <n v="0"/>
    <n v="0"/>
    <n v="0"/>
    <n v="0"/>
  </r>
  <r>
    <d v="2001-07-11T00:00:00"/>
    <n v="2001"/>
    <x v="18"/>
    <s v="R"/>
    <s v="RS"/>
    <x v="0"/>
    <s v="PHX"/>
    <s v="A"/>
    <n v="0"/>
    <n v="3"/>
    <n v="-3"/>
    <n v="3"/>
    <n v="-16"/>
    <n v="16"/>
    <n v="1681.5228976390031"/>
    <n v="1463.4588297464659"/>
    <n v="0.64279775403601647"/>
    <n v="75"/>
    <n v="61"/>
    <n v="0"/>
    <n v="14"/>
    <n v="1"/>
    <n v="0.41262573214376336"/>
    <n v="1"/>
    <n v="73.150000000000006"/>
    <n v="73.150000000000006"/>
    <n v="10.781639819032474"/>
    <n v="1692.3045374580356"/>
    <n v="1"/>
    <n v="0"/>
    <n v="0"/>
    <n v="0"/>
    <n v="0"/>
    <n v="0"/>
    <n v="0"/>
    <n v="0"/>
    <n v="0"/>
    <n v="0"/>
  </r>
  <r>
    <d v="2001-07-11T00:00:00"/>
    <n v="2001"/>
    <x v="16"/>
    <s v="R"/>
    <s v="RS"/>
    <x v="3"/>
    <s v="LAS"/>
    <s v="H"/>
    <n v="3"/>
    <n v="0"/>
    <n v="3"/>
    <n v="-3"/>
    <n v="16"/>
    <n v="-16"/>
    <n v="1463.4588297464659"/>
    <n v="1681.5228976390031"/>
    <n v="0.35720224596398353"/>
    <n v="61"/>
    <n v="75"/>
    <n v="0"/>
    <n v="-14"/>
    <n v="0"/>
    <n v="0.41262573214376336"/>
    <n v="1"/>
    <n v="73.45"/>
    <n v="73.45"/>
    <n v="-10.825857070511759"/>
    <n v="1452.6329726759541"/>
    <n v="0"/>
    <n v="1"/>
    <n v="0"/>
    <n v="0"/>
    <n v="0"/>
    <n v="0"/>
    <n v="0"/>
    <n v="0"/>
    <n v="0"/>
    <n v="0"/>
  </r>
  <r>
    <d v="2001-07-11T00:00:00"/>
    <n v="2001"/>
    <x v="15"/>
    <s v="R"/>
    <s v="RS"/>
    <x v="14"/>
    <s v="WAS"/>
    <s v="A"/>
    <n v="2"/>
    <n v="3"/>
    <n v="-1"/>
    <n v="1"/>
    <n v="-8"/>
    <n v="8"/>
    <n v="1364.4929350677662"/>
    <n v="1399.2981258071688"/>
    <n v="0.31518238919355235"/>
    <n v="64"/>
    <n v="52"/>
    <n v="0"/>
    <n v="12"/>
    <n v="1"/>
    <n v="0.443272619678649"/>
    <n v="1"/>
    <n v="73.599999999999994"/>
    <n v="73.599999999999994"/>
    <n v="22.342081970936615"/>
    <n v="1386.8350170387027"/>
    <n v="1"/>
    <n v="0"/>
    <n v="0"/>
    <n v="0"/>
    <n v="0"/>
    <n v="0"/>
    <n v="0"/>
    <n v="0"/>
    <n v="0"/>
    <n v="0"/>
  </r>
  <r>
    <d v="2001-07-11T00:00:00"/>
    <n v="2001"/>
    <x v="16"/>
    <s v="R"/>
    <s v="RS"/>
    <x v="4"/>
    <s v="DET"/>
    <s v="H"/>
    <n v="3"/>
    <n v="2"/>
    <n v="1"/>
    <n v="-1"/>
    <n v="8"/>
    <n v="-8"/>
    <n v="1399.2981258071688"/>
    <n v="1364.4929350677662"/>
    <n v="0.68481761080644765"/>
    <n v="52"/>
    <n v="64"/>
    <n v="0"/>
    <n v="-12"/>
    <n v="0"/>
    <n v="0.443272619678649"/>
    <n v="1"/>
    <n v="73.45"/>
    <n v="73.45"/>
    <n v="-22.296547836484983"/>
    <n v="1377.0015779706839"/>
    <n v="0"/>
    <n v="1"/>
    <n v="0"/>
    <n v="0"/>
    <n v="0"/>
    <n v="0"/>
    <n v="0"/>
    <n v="0"/>
    <n v="0"/>
    <n v="0"/>
  </r>
  <r>
    <d v="2001-07-12T00:00:00"/>
    <n v="2001"/>
    <x v="16"/>
    <s v="R"/>
    <s v="RS"/>
    <x v="12"/>
    <s v="CHA"/>
    <s v="A"/>
    <n v="1"/>
    <n v="4"/>
    <n v="-3"/>
    <n v="3"/>
    <n v="-16"/>
    <n v="16"/>
    <n v="1429.8310264362387"/>
    <n v="1457.6971209478861"/>
    <n v="0.30403430888656019"/>
    <n v="72"/>
    <n v="69"/>
    <n v="0"/>
    <n v="3"/>
    <n v="1"/>
    <n v="0.28359788325040886"/>
    <n v="1"/>
    <n v="73.45"/>
    <n v="73.45"/>
    <n v="14.497149446038202"/>
    <n v="1444.328175882277"/>
    <n v="1"/>
    <n v="0"/>
    <n v="0"/>
    <n v="0"/>
    <n v="0"/>
    <n v="0"/>
    <n v="0"/>
    <n v="0"/>
    <n v="0"/>
    <n v="0"/>
  </r>
  <r>
    <d v="2001-07-12T00:00:00"/>
    <n v="2001"/>
    <x v="17"/>
    <s v="R"/>
    <s v="RS"/>
    <x v="13"/>
    <s v="ORL"/>
    <s v="H"/>
    <n v="4"/>
    <n v="1"/>
    <n v="3"/>
    <n v="-3"/>
    <n v="16"/>
    <n v="-16"/>
    <n v="1457.6971209478861"/>
    <n v="1429.8310264362387"/>
    <n v="0.69596569111343976"/>
    <n v="69"/>
    <n v="72"/>
    <n v="0"/>
    <n v="-3"/>
    <n v="0"/>
    <n v="0.28359788325040886"/>
    <n v="1"/>
    <n v="73.3"/>
    <n v="73.3"/>
    <n v="-14.467543286515998"/>
    <n v="1443.2295776613701"/>
    <n v="0"/>
    <n v="1"/>
    <n v="0"/>
    <n v="0"/>
    <n v="0"/>
    <n v="0"/>
    <n v="0"/>
    <n v="0"/>
    <n v="0"/>
    <n v="0"/>
  </r>
  <r>
    <d v="2001-07-12T00:00:00"/>
    <n v="2001"/>
    <x v="16"/>
    <s v="R"/>
    <s v="RS"/>
    <x v="1"/>
    <s v="POR"/>
    <s v="A"/>
    <n v="1"/>
    <n v="1"/>
    <n v="0"/>
    <n v="0"/>
    <n v="0"/>
    <n v="0"/>
    <n v="1672.0749260456323"/>
    <n v="1461.6188104966088"/>
    <n v="0.6743530387325356"/>
    <n v="71"/>
    <n v="57"/>
    <n v="0"/>
    <n v="14"/>
    <n v="1"/>
    <n v="0.41485142131710945"/>
    <n v="1"/>
    <n v="73.45"/>
    <n v="73.45"/>
    <n v="9.9227354423748189"/>
    <n v="1681.9976614880072"/>
    <n v="1"/>
    <n v="0"/>
    <n v="0"/>
    <n v="0"/>
    <n v="0"/>
    <n v="0"/>
    <n v="0"/>
    <n v="0"/>
    <n v="0"/>
    <n v="0"/>
  </r>
  <r>
    <d v="2001-07-12T00:00:00"/>
    <n v="2001"/>
    <x v="17"/>
    <s v="R"/>
    <s v="RS"/>
    <x v="10"/>
    <s v="HOU"/>
    <s v="H"/>
    <n v="1"/>
    <n v="1"/>
    <n v="0"/>
    <n v="0"/>
    <n v="0"/>
    <n v="0"/>
    <n v="1461.6188104966088"/>
    <n v="1672.0749260456323"/>
    <n v="0.3256469612674644"/>
    <n v="57"/>
    <n v="71"/>
    <n v="0"/>
    <n v="-14"/>
    <n v="0"/>
    <n v="0.41485142131710945"/>
    <n v="1"/>
    <n v="73.3"/>
    <n v="73.3"/>
    <n v="-9.9024711766654079"/>
    <n v="1451.7163393199435"/>
    <n v="0"/>
    <n v="1"/>
    <n v="0"/>
    <n v="0"/>
    <n v="0"/>
    <n v="0"/>
    <n v="0"/>
    <n v="0"/>
    <n v="0"/>
    <n v="0"/>
  </r>
  <r>
    <d v="2001-07-12T00:00:00"/>
    <n v="2001"/>
    <x v="16"/>
    <s v="R"/>
    <s v="RS"/>
    <x v="2"/>
    <s v="SAC"/>
    <s v="A"/>
    <n v="1"/>
    <n v="1"/>
    <n v="0"/>
    <n v="0"/>
    <n v="0"/>
    <n v="0"/>
    <n v="1472.7070606396117"/>
    <n v="1599.1044343114397"/>
    <n v="0.2294985826604527"/>
    <n v="67"/>
    <n v="69"/>
    <n v="0"/>
    <n v="-2"/>
    <n v="0"/>
    <n v="0.24231771816756154"/>
    <n v="1"/>
    <n v="73.45"/>
    <n v="73.45"/>
    <n v="-4.0846700275196763"/>
    <n v="1468.622390612092"/>
    <n v="0"/>
    <n v="1"/>
    <n v="0"/>
    <n v="0"/>
    <n v="0"/>
    <n v="0"/>
    <n v="0"/>
    <n v="0"/>
    <n v="0"/>
    <n v="0"/>
  </r>
  <r>
    <d v="2001-07-12T00:00:00"/>
    <n v="2001"/>
    <x v="18"/>
    <s v="R"/>
    <s v="RS"/>
    <x v="15"/>
    <s v="UTA"/>
    <s v="H"/>
    <n v="1"/>
    <n v="1"/>
    <n v="0"/>
    <n v="0"/>
    <n v="0"/>
    <n v="0"/>
    <n v="1599.1044343114397"/>
    <n v="1472.7070606396117"/>
    <n v="0.77050141733954736"/>
    <n v="69"/>
    <n v="67"/>
    <n v="0"/>
    <n v="2"/>
    <n v="1"/>
    <n v="0.24231771816756154"/>
    <n v="1"/>
    <n v="73.150000000000006"/>
    <n v="73.150000000000006"/>
    <n v="4.0679865556577841"/>
    <n v="1603.1724208670976"/>
    <n v="1"/>
    <n v="0"/>
    <n v="0"/>
    <n v="0"/>
    <n v="0"/>
    <n v="0"/>
    <n v="0"/>
    <n v="0"/>
    <n v="0"/>
    <n v="0"/>
  </r>
  <r>
    <d v="2001-07-13T00:00:00"/>
    <n v="2001"/>
    <x v="17"/>
    <s v="R"/>
    <s v="RS"/>
    <x v="3"/>
    <s v="CLE"/>
    <s v="A"/>
    <n v="1"/>
    <n v="1"/>
    <n v="0"/>
    <n v="0"/>
    <n v="0"/>
    <n v="0"/>
    <n v="1452.6329726759541"/>
    <n v="1636.5435872570483"/>
    <n v="0.17621315130220563"/>
    <n v="61"/>
    <n v="69"/>
    <n v="0"/>
    <n v="-8"/>
    <n v="0"/>
    <n v="0.33671151669333571"/>
    <n v="1"/>
    <n v="73.3"/>
    <n v="73.3"/>
    <n v="-4.34910871207917"/>
    <n v="1448.2838639638749"/>
    <n v="0"/>
    <n v="1"/>
    <n v="0"/>
    <n v="0"/>
    <n v="0"/>
    <n v="0"/>
    <n v="0"/>
    <n v="0"/>
    <n v="0"/>
    <n v="0"/>
  </r>
  <r>
    <d v="2001-07-13T00:00:00"/>
    <n v="2001"/>
    <x v="19"/>
    <s v="R"/>
    <s v="RS"/>
    <x v="5"/>
    <s v="PHX"/>
    <s v="H"/>
    <n v="1"/>
    <n v="1"/>
    <n v="0"/>
    <n v="0"/>
    <n v="0"/>
    <n v="0"/>
    <n v="1636.5435872570483"/>
    <n v="1452.6329726759541"/>
    <n v="0.82378684869779428"/>
    <n v="69"/>
    <n v="61"/>
    <n v="0"/>
    <n v="8"/>
    <n v="1"/>
    <n v="0.33671151669333571"/>
    <n v="1"/>
    <n v="73"/>
    <n v="73"/>
    <n v="4.3313088128482891"/>
    <n v="1640.8748960698965"/>
    <n v="1"/>
    <n v="0"/>
    <n v="0"/>
    <n v="0"/>
    <n v="0"/>
    <n v="0"/>
    <n v="0"/>
    <n v="0"/>
    <n v="0"/>
    <n v="0"/>
  </r>
  <r>
    <d v="2001-07-13T00:00:00"/>
    <n v="2001"/>
    <x v="17"/>
    <s v="R"/>
    <s v="RS"/>
    <x v="8"/>
    <s v="DET"/>
    <s v="A"/>
    <n v="2"/>
    <n v="1"/>
    <n v="1"/>
    <n v="-1"/>
    <n v="8"/>
    <n v="-8"/>
    <n v="1472.8492442363772"/>
    <n v="1386.8350170387027"/>
    <n v="0.52590135057382303"/>
    <n v="56"/>
    <n v="55"/>
    <n v="0"/>
    <n v="1"/>
    <n v="1"/>
    <n v="0.22784787210080562"/>
    <n v="1"/>
    <n v="73.3"/>
    <n v="73.3"/>
    <n v="7.9180396064775636"/>
    <n v="1480.7672838428548"/>
    <n v="1"/>
    <n v="0"/>
    <n v="0"/>
    <n v="0"/>
    <n v="0"/>
    <n v="0"/>
    <n v="0"/>
    <n v="0"/>
    <n v="0"/>
    <n v="0"/>
  </r>
  <r>
    <d v="2001-07-13T00:00:00"/>
    <n v="2001"/>
    <x v="16"/>
    <s v="R"/>
    <s v="RS"/>
    <x v="14"/>
    <s v="MIA"/>
    <s v="H"/>
    <n v="1"/>
    <n v="2"/>
    <n v="-1"/>
    <n v="1"/>
    <n v="-8"/>
    <n v="8"/>
    <n v="1386.8350170387027"/>
    <n v="1472.8492442363772"/>
    <n v="0.47409864942617697"/>
    <n v="55"/>
    <n v="56"/>
    <n v="0"/>
    <n v="-1"/>
    <n v="0"/>
    <n v="0.22784787210080562"/>
    <n v="1"/>
    <n v="73.45"/>
    <n v="73.45"/>
    <n v="-7.934242961743208"/>
    <n v="1378.9007740769596"/>
    <n v="0"/>
    <n v="1"/>
    <n v="0"/>
    <n v="0"/>
    <n v="0"/>
    <n v="0"/>
    <n v="0"/>
    <n v="0"/>
    <n v="0"/>
    <n v="0"/>
  </r>
  <r>
    <d v="2001-07-13T00:00:00"/>
    <n v="2001"/>
    <x v="17"/>
    <s v="R"/>
    <s v="RS"/>
    <x v="12"/>
    <s v="IND"/>
    <s v="A"/>
    <n v="0"/>
    <n v="1"/>
    <n v="-1"/>
    <n v="1"/>
    <n v="-8"/>
    <n v="8"/>
    <n v="1444.328175882277"/>
    <n v="1397.9101401887169"/>
    <n v="0.42349493271017485"/>
    <n v="60"/>
    <n v="74"/>
    <n v="0"/>
    <n v="-14"/>
    <n v="0"/>
    <n v="0.46944901909681558"/>
    <n v="1"/>
    <n v="73.3"/>
    <n v="73.3"/>
    <n v="-14.572720279214213"/>
    <n v="1429.7554556030627"/>
    <n v="0"/>
    <n v="1"/>
    <n v="0"/>
    <n v="0"/>
    <n v="0"/>
    <n v="0"/>
    <n v="0"/>
    <n v="0"/>
    <n v="0"/>
    <n v="0"/>
  </r>
  <r>
    <d v="2001-07-13T00:00:00"/>
    <n v="2001"/>
    <x v="17"/>
    <s v="R"/>
    <s v="RS"/>
    <x v="6"/>
    <s v="ORL"/>
    <s v="H"/>
    <n v="1"/>
    <n v="0"/>
    <n v="1"/>
    <n v="-1"/>
    <n v="8"/>
    <n v="-8"/>
    <n v="1397.9101401887169"/>
    <n v="1444.328175882277"/>
    <n v="0.57650506728982509"/>
    <n v="74"/>
    <n v="60"/>
    <n v="0"/>
    <n v="14"/>
    <n v="1"/>
    <n v="0.46944901909681558"/>
    <n v="1"/>
    <n v="73.3"/>
    <n v="73.3"/>
    <n v="14.572720279214215"/>
    <n v="1412.4828604679312"/>
    <n v="1"/>
    <n v="0"/>
    <n v="0"/>
    <n v="0"/>
    <n v="0"/>
    <n v="0"/>
    <n v="0"/>
    <n v="0"/>
    <n v="0"/>
    <n v="0"/>
  </r>
  <r>
    <d v="2001-07-13T00:00:00"/>
    <n v="2001"/>
    <x v="16"/>
    <s v="R"/>
    <s v="RS"/>
    <x v="9"/>
    <s v="NYL"/>
    <s v="A"/>
    <n v="2"/>
    <n v="1"/>
    <n v="1"/>
    <n v="-1"/>
    <n v="8"/>
    <n v="-8"/>
    <n v="1459.2881134457477"/>
    <n v="1614.1148575935135"/>
    <n v="0.21709201987983689"/>
    <n v="64"/>
    <n v="67"/>
    <n v="0"/>
    <n v="-3"/>
    <n v="0"/>
    <n v="0.25702196005696104"/>
    <n v="1"/>
    <n v="73.45"/>
    <n v="73.45"/>
    <n v="-4.0983202391515601"/>
    <n v="1455.1897932065963"/>
    <n v="0"/>
    <n v="1"/>
    <n v="0"/>
    <n v="0"/>
    <n v="0"/>
    <n v="0"/>
    <n v="0"/>
    <n v="0"/>
    <n v="0"/>
    <n v="0"/>
  </r>
  <r>
    <d v="2001-07-13T00:00:00"/>
    <n v="2001"/>
    <x v="19"/>
    <s v="R"/>
    <s v="RS"/>
    <x v="7"/>
    <s v="MIN"/>
    <s v="H"/>
    <n v="1"/>
    <n v="2"/>
    <n v="-1"/>
    <n v="1"/>
    <n v="-8"/>
    <n v="8"/>
    <n v="1614.1148575935135"/>
    <n v="1459.2881134457477"/>
    <n v="0.78290798012016316"/>
    <n v="67"/>
    <n v="64"/>
    <n v="0"/>
    <n v="3"/>
    <n v="1"/>
    <n v="0.25702196005696104"/>
    <n v="1"/>
    <n v="73"/>
    <n v="73"/>
    <n v="4.0732114017435501"/>
    <n v="1618.188068995257"/>
    <n v="1"/>
    <n v="0"/>
    <n v="0"/>
    <n v="0"/>
    <n v="0"/>
    <n v="0"/>
    <n v="0"/>
    <n v="0"/>
    <n v="0"/>
    <n v="0"/>
  </r>
  <r>
    <d v="2001-07-13T00:00:00"/>
    <n v="2001"/>
    <x v="17"/>
    <s v="R"/>
    <s v="RS"/>
    <x v="1"/>
    <s v="SEA"/>
    <s v="A"/>
    <n v="0"/>
    <n v="1"/>
    <n v="-1"/>
    <n v="1"/>
    <n v="-8"/>
    <n v="8"/>
    <n v="1681.9976614880072"/>
    <n v="1415.8424688040454"/>
    <n v="0.72241371681229294"/>
    <n v="58"/>
    <n v="55"/>
    <n v="0"/>
    <n v="3"/>
    <n v="1"/>
    <n v="0.23750570680106067"/>
    <n v="1"/>
    <n v="73.3"/>
    <n v="73.3"/>
    <n v="4.8325463241506625"/>
    <n v="1686.8302078121578"/>
    <n v="1"/>
    <n v="0"/>
    <n v="0"/>
    <n v="0"/>
    <n v="0"/>
    <n v="0"/>
    <n v="0"/>
    <n v="0"/>
    <n v="0"/>
    <n v="0"/>
  </r>
  <r>
    <d v="2001-07-13T00:00:00"/>
    <n v="2001"/>
    <x v="19"/>
    <s v="R"/>
    <s v="RS"/>
    <x v="11"/>
    <s v="HOU"/>
    <s v="H"/>
    <n v="1"/>
    <n v="0"/>
    <n v="1"/>
    <n v="-1"/>
    <n v="8"/>
    <n v="-8"/>
    <n v="1415.8424688040454"/>
    <n v="1681.9976614880072"/>
    <n v="0.27758628318770701"/>
    <n v="55"/>
    <n v="58"/>
    <n v="0"/>
    <n v="-3"/>
    <n v="0"/>
    <n v="0.23750570680106067"/>
    <n v="1"/>
    <n v="73"/>
    <n v="73"/>
    <n v="-4.8127678262346292"/>
    <n v="1411.0297009778108"/>
    <n v="0"/>
    <n v="1"/>
    <n v="0"/>
    <n v="0"/>
    <n v="0"/>
    <n v="0"/>
    <n v="0"/>
    <n v="0"/>
    <n v="0"/>
    <n v="0"/>
  </r>
  <r>
    <d v="2001-07-14T00:00:00"/>
    <n v="2001"/>
    <x v="18"/>
    <s v="R"/>
    <s v="RS"/>
    <x v="6"/>
    <s v="CHA"/>
    <s v="A"/>
    <n v="0"/>
    <n v="1"/>
    <n v="-1"/>
    <n v="1"/>
    <n v="-8"/>
    <n v="8"/>
    <n v="1412.4828604679312"/>
    <n v="1443.2295776613701"/>
    <n v="0.32024663404769016"/>
    <n v="58"/>
    <n v="71"/>
    <n v="0"/>
    <n v="-13"/>
    <n v="0"/>
    <n v="0.46025108079805721"/>
    <n v="1"/>
    <n v="73.150000000000006"/>
    <n v="73.150000000000006"/>
    <n v="-10.781860818210777"/>
    <n v="1401.7009996497204"/>
    <n v="0"/>
    <n v="1"/>
    <n v="0"/>
    <n v="0"/>
    <n v="0"/>
    <n v="0"/>
    <n v="0"/>
    <n v="0"/>
    <n v="0"/>
    <n v="0"/>
  </r>
  <r>
    <d v="2001-07-14T00:00:00"/>
    <n v="2001"/>
    <x v="18"/>
    <s v="R"/>
    <s v="RS"/>
    <x v="13"/>
    <s v="IND"/>
    <s v="H"/>
    <n v="1"/>
    <n v="0"/>
    <n v="1"/>
    <n v="-1"/>
    <n v="8"/>
    <n v="-8"/>
    <n v="1443.2295776613701"/>
    <n v="1412.4828604679312"/>
    <n v="0.67975336595230984"/>
    <n v="71"/>
    <n v="58"/>
    <n v="0"/>
    <n v="13"/>
    <n v="1"/>
    <n v="0.46025108079805721"/>
    <n v="1"/>
    <n v="73.150000000000006"/>
    <n v="73.150000000000006"/>
    <n v="10.781860818210777"/>
    <n v="1454.0114384795809"/>
    <n v="1"/>
    <n v="0"/>
    <n v="0"/>
    <n v="0"/>
    <n v="0"/>
    <n v="0"/>
    <n v="0"/>
    <n v="0"/>
    <n v="0"/>
    <n v="0"/>
  </r>
  <r>
    <d v="2001-07-14T00:00:00"/>
    <n v="2001"/>
    <x v="17"/>
    <s v="R"/>
    <s v="RS"/>
    <x v="14"/>
    <s v="MIA"/>
    <s v="A"/>
    <n v="0"/>
    <n v="0"/>
    <n v="0"/>
    <n v="0"/>
    <n v="0"/>
    <n v="0"/>
    <n v="1378.9007740769596"/>
    <n v="1480.7672838428548"/>
    <n v="0.25541570484497039"/>
    <n v="51"/>
    <n v="66"/>
    <n v="0"/>
    <n v="-15"/>
    <n v="0"/>
    <n v="0.4635019252189107"/>
    <n v="1"/>
    <n v="73.3"/>
    <n v="73.3"/>
    <n v="-8.6776696789336221"/>
    <n v="1370.223104398026"/>
    <n v="0"/>
    <n v="1"/>
    <n v="0"/>
    <n v="0"/>
    <n v="0"/>
    <n v="0"/>
    <n v="0"/>
    <n v="0"/>
    <n v="0"/>
    <n v="0"/>
  </r>
  <r>
    <d v="2001-07-14T00:00:00"/>
    <n v="2001"/>
    <x v="18"/>
    <s v="R"/>
    <s v="RS"/>
    <x v="8"/>
    <s v="DET"/>
    <s v="H"/>
    <n v="0"/>
    <n v="0"/>
    <n v="0"/>
    <n v="0"/>
    <n v="0"/>
    <n v="0"/>
    <n v="1480.7672838428548"/>
    <n v="1378.9007740769596"/>
    <n v="0.74458429515502966"/>
    <n v="66"/>
    <n v="51"/>
    <n v="0"/>
    <n v="15"/>
    <n v="1"/>
    <n v="0.4635019252189107"/>
    <n v="1"/>
    <n v="73.150000000000006"/>
    <n v="73.150000000000006"/>
    <n v="8.6599118282946019"/>
    <n v="1489.4271956711493"/>
    <n v="1"/>
    <n v="0"/>
    <n v="0"/>
    <n v="0"/>
    <n v="0"/>
    <n v="0"/>
    <n v="0"/>
    <n v="0"/>
    <n v="0"/>
    <n v="0"/>
  </r>
  <r>
    <d v="2001-07-14T00:00:00"/>
    <n v="2001"/>
    <x v="18"/>
    <s v="R"/>
    <s v="RS"/>
    <x v="3"/>
    <s v="MIN"/>
    <s v="A"/>
    <n v="0"/>
    <n v="0"/>
    <n v="0"/>
    <n v="0"/>
    <n v="0"/>
    <n v="0"/>
    <n v="1448.2838639638749"/>
    <n v="1455.1897932065963"/>
    <n v="0.37208170345798225"/>
    <n v="80"/>
    <n v="67"/>
    <n v="0"/>
    <n v="13"/>
    <n v="1"/>
    <n v="0.46934271599143129"/>
    <n v="1"/>
    <n v="73.150000000000006"/>
    <n v="73.150000000000006"/>
    <n v="21.557954478349245"/>
    <n v="1469.8418184422242"/>
    <n v="1"/>
    <n v="0"/>
    <n v="0"/>
    <n v="0"/>
    <n v="0"/>
    <n v="0"/>
    <n v="0"/>
    <n v="0"/>
    <n v="0"/>
    <n v="0"/>
  </r>
  <r>
    <d v="2001-07-14T00:00:00"/>
    <n v="2001"/>
    <x v="17"/>
    <s v="R"/>
    <s v="RS"/>
    <x v="9"/>
    <s v="PHX"/>
    <s v="H"/>
    <n v="0"/>
    <n v="0"/>
    <n v="0"/>
    <n v="0"/>
    <n v="0"/>
    <n v="0"/>
    <n v="1455.1897932065963"/>
    <n v="1448.2838639638749"/>
    <n v="0.6279182965420177"/>
    <n v="67"/>
    <n v="80"/>
    <n v="0"/>
    <n v="-13"/>
    <n v="0"/>
    <n v="0.46934271599143129"/>
    <n v="1"/>
    <n v="73.3"/>
    <n v="73.3"/>
    <n v="-21.602160810157201"/>
    <n v="1433.5876323964392"/>
    <n v="0"/>
    <n v="1"/>
    <n v="0"/>
    <n v="0"/>
    <n v="0"/>
    <n v="0"/>
    <n v="0"/>
    <n v="0"/>
    <n v="0"/>
    <n v="0"/>
  </r>
  <r>
    <d v="2001-07-14T00:00:00"/>
    <n v="2001"/>
    <x v="19"/>
    <s v="R"/>
    <s v="RS"/>
    <x v="15"/>
    <s v="UTA"/>
    <s v="A"/>
    <n v="1"/>
    <n v="1"/>
    <n v="0"/>
    <n v="0"/>
    <n v="0"/>
    <n v="0"/>
    <n v="1603.1724208670976"/>
    <n v="1468.622390612092"/>
    <n v="0.57223832866354252"/>
    <n v="57"/>
    <n v="69"/>
    <n v="0"/>
    <n v="-12"/>
    <n v="0"/>
    <n v="0.41014223467310573"/>
    <n v="1"/>
    <n v="73"/>
    <n v="73"/>
    <n v="-17.133034802507797"/>
    <n v="1586.0393860645897"/>
    <n v="0"/>
    <n v="1"/>
    <n v="0"/>
    <n v="0"/>
    <n v="0"/>
    <n v="0"/>
    <n v="0"/>
    <n v="0"/>
    <n v="0"/>
    <n v="0"/>
  </r>
  <r>
    <d v="2001-07-14T00:00:00"/>
    <n v="2001"/>
    <x v="17"/>
    <s v="R"/>
    <s v="RS"/>
    <x v="2"/>
    <s v="SAC"/>
    <s v="H"/>
    <n v="1"/>
    <n v="1"/>
    <n v="0"/>
    <n v="0"/>
    <n v="0"/>
    <n v="0"/>
    <n v="1468.622390612092"/>
    <n v="1603.1724208670976"/>
    <n v="0.42776167133645748"/>
    <n v="69"/>
    <n v="57"/>
    <n v="0"/>
    <n v="12"/>
    <n v="1"/>
    <n v="0.41014223467310573"/>
    <n v="1"/>
    <n v="73.3"/>
    <n v="73.3"/>
    <n v="17.203444534572899"/>
    <n v="1485.825835146665"/>
    <n v="1"/>
    <n v="0"/>
    <n v="0"/>
    <n v="0"/>
    <n v="0"/>
    <n v="0"/>
    <n v="0"/>
    <n v="0"/>
    <n v="0"/>
    <n v="0"/>
  </r>
  <r>
    <d v="2001-07-14T00:00:00"/>
    <n v="2001"/>
    <x v="19"/>
    <s v="R"/>
    <s v="RS"/>
    <x v="0"/>
    <s v="WAS"/>
    <s v="A"/>
    <n v="2"/>
    <n v="2"/>
    <n v="0"/>
    <n v="0"/>
    <n v="0"/>
    <n v="0"/>
    <n v="1692.3045374580356"/>
    <n v="1377.0015779706839"/>
    <n v="0.79108647353448991"/>
    <n v="62"/>
    <n v="50"/>
    <n v="0"/>
    <n v="12"/>
    <n v="1"/>
    <n v="0.36121841395797633"/>
    <n v="1"/>
    <n v="73"/>
    <n v="73"/>
    <n v="5.5088291259494664"/>
    <n v="1697.813366583985"/>
    <n v="1"/>
    <n v="0"/>
    <n v="0"/>
    <n v="0"/>
    <n v="0"/>
    <n v="0"/>
    <n v="0"/>
    <n v="0"/>
    <n v="0"/>
    <n v="0"/>
  </r>
  <r>
    <d v="2001-07-14T00:00:00"/>
    <n v="2001"/>
    <x v="17"/>
    <s v="R"/>
    <s v="RS"/>
    <x v="4"/>
    <s v="LAS"/>
    <s v="H"/>
    <n v="2"/>
    <n v="2"/>
    <n v="0"/>
    <n v="0"/>
    <n v="0"/>
    <n v="0"/>
    <n v="1377.0015779706839"/>
    <n v="1692.3045374580356"/>
    <n v="0.20891352646551009"/>
    <n v="50"/>
    <n v="62"/>
    <n v="0"/>
    <n v="-12"/>
    <n v="0"/>
    <n v="0.36121841395797633"/>
    <n v="1"/>
    <n v="73.3"/>
    <n v="73.3"/>
    <n v="-5.5314681497547387"/>
    <n v="1371.4701098209291"/>
    <n v="0"/>
    <n v="1"/>
    <n v="0"/>
    <n v="0"/>
    <n v="0"/>
    <n v="0"/>
    <n v="0"/>
    <n v="0"/>
    <n v="0"/>
    <n v="0"/>
  </r>
  <r>
    <d v="2001-07-18T00:00:00"/>
    <n v="2001"/>
    <x v="20"/>
    <s v="R"/>
    <s v="RS"/>
    <x v="7"/>
    <s v="DET"/>
    <s v="A"/>
    <n v="4"/>
    <n v="3"/>
    <n v="1"/>
    <n v="-1"/>
    <n v="8"/>
    <n v="-8"/>
    <n v="1618.188068995257"/>
    <n v="1370.223104398026"/>
    <n v="0.73807004510157337"/>
    <n v="80"/>
    <n v="67"/>
    <n v="0"/>
    <n v="13"/>
    <n v="1"/>
    <n v="0.39120594809039921"/>
    <n v="1"/>
    <n v="72.849999999999994"/>
    <n v="72.849999999999994"/>
    <n v="7.4648343293190607"/>
    <n v="1625.6529033245761"/>
    <n v="1"/>
    <n v="0"/>
    <n v="0"/>
    <n v="0"/>
    <n v="0"/>
    <n v="0"/>
    <n v="0"/>
    <n v="0"/>
    <n v="0"/>
    <n v="0"/>
  </r>
  <r>
    <d v="2001-07-18T00:00:00"/>
    <n v="2001"/>
    <x v="18"/>
    <s v="R"/>
    <s v="RS"/>
    <x v="14"/>
    <s v="NYL"/>
    <s v="H"/>
    <n v="3"/>
    <n v="4"/>
    <n v="-1"/>
    <n v="1"/>
    <n v="-8"/>
    <n v="8"/>
    <n v="1370.223104398026"/>
    <n v="1618.188068995257"/>
    <n v="0.26192995489842663"/>
    <n v="67"/>
    <n v="80"/>
    <n v="0"/>
    <n v="-13"/>
    <n v="0"/>
    <n v="0.39120594809039921"/>
    <n v="1"/>
    <n v="73.150000000000006"/>
    <n v="73.150000000000006"/>
    <n v="-7.4955748962208562"/>
    <n v="1362.7275295018051"/>
    <n v="0"/>
    <n v="1"/>
    <n v="0"/>
    <n v="0"/>
    <n v="0"/>
    <n v="0"/>
    <n v="0"/>
    <n v="0"/>
    <n v="0"/>
    <n v="0"/>
  </r>
  <r>
    <d v="2001-07-18T00:00:00"/>
    <n v="2001"/>
    <x v="18"/>
    <s v="R"/>
    <s v="RS"/>
    <x v="2"/>
    <s v="IND"/>
    <s v="A"/>
    <n v="3"/>
    <n v="3"/>
    <n v="0"/>
    <n v="0"/>
    <n v="0"/>
    <n v="0"/>
    <n v="1485.825835146665"/>
    <n v="1401.7009996497204"/>
    <n v="0.5001796527137321"/>
    <n v="61"/>
    <n v="57"/>
    <n v="0"/>
    <n v="4"/>
    <n v="1"/>
    <n v="0.29103033564492137"/>
    <n v="1"/>
    <n v="73.150000000000006"/>
    <n v="73.150000000000006"/>
    <n v="10.640609923115445"/>
    <n v="1496.4664450697803"/>
    <n v="1"/>
    <n v="0"/>
    <n v="0"/>
    <n v="0"/>
    <n v="0"/>
    <n v="0"/>
    <n v="0"/>
    <n v="0"/>
    <n v="0"/>
    <n v="0"/>
  </r>
  <r>
    <d v="2001-07-18T00:00:00"/>
    <n v="2001"/>
    <x v="19"/>
    <s v="R"/>
    <s v="RS"/>
    <x v="6"/>
    <s v="UTA"/>
    <s v="H"/>
    <n v="3"/>
    <n v="3"/>
    <n v="0"/>
    <n v="0"/>
    <n v="0"/>
    <n v="0"/>
    <n v="1401.7009996497204"/>
    <n v="1485.825835146665"/>
    <n v="0.49982034728626795"/>
    <n v="57"/>
    <n v="61"/>
    <n v="0"/>
    <n v="-4"/>
    <n v="0"/>
    <n v="0.29103033564492137"/>
    <n v="1"/>
    <n v="73"/>
    <n v="73"/>
    <n v="-10.618790490600512"/>
    <n v="1391.0822091591199"/>
    <n v="0"/>
    <n v="1"/>
    <n v="0"/>
    <n v="0"/>
    <n v="0"/>
    <n v="0"/>
    <n v="0"/>
    <n v="0"/>
    <n v="0"/>
    <n v="0"/>
  </r>
  <r>
    <d v="2001-07-18T00:00:00"/>
    <n v="2001"/>
    <x v="19"/>
    <s v="R"/>
    <s v="RS"/>
    <x v="13"/>
    <s v="MIA"/>
    <s v="A"/>
    <n v="3"/>
    <n v="3"/>
    <n v="0"/>
    <n v="0"/>
    <n v="0"/>
    <n v="0"/>
    <n v="1454.0114384795809"/>
    <n v="1489.4271956711493"/>
    <n v="0.33460895455129569"/>
    <n v="48"/>
    <n v="68"/>
    <n v="0"/>
    <n v="-20"/>
    <n v="0"/>
    <n v="0.55840701943032933"/>
    <n v="1"/>
    <n v="73"/>
    <n v="73"/>
    <n v="-13.639903195955192"/>
    <n v="1440.3715352836257"/>
    <n v="0"/>
    <n v="1"/>
    <n v="0"/>
    <n v="0"/>
    <n v="0"/>
    <n v="0"/>
    <n v="0"/>
    <n v="0"/>
    <n v="0"/>
    <n v="0"/>
  </r>
  <r>
    <d v="2001-07-18T00:00:00"/>
    <n v="2001"/>
    <x v="19"/>
    <s v="R"/>
    <s v="RS"/>
    <x v="8"/>
    <s v="CHA"/>
    <s v="H"/>
    <n v="3"/>
    <n v="3"/>
    <n v="0"/>
    <n v="0"/>
    <n v="0"/>
    <n v="0"/>
    <n v="1489.4271956711493"/>
    <n v="1454.0114384795809"/>
    <n v="0.66539104544870431"/>
    <n v="68"/>
    <n v="48"/>
    <n v="0"/>
    <n v="20"/>
    <n v="1"/>
    <n v="0.55840701943032933"/>
    <n v="1"/>
    <n v="73"/>
    <n v="73"/>
    <n v="13.639903195955192"/>
    <n v="1503.0670988671045"/>
    <n v="1"/>
    <n v="0"/>
    <n v="0"/>
    <n v="0"/>
    <n v="0"/>
    <n v="0"/>
    <n v="0"/>
    <n v="0"/>
    <n v="0"/>
    <n v="0"/>
  </r>
  <r>
    <d v="2001-07-18T00:00:00"/>
    <n v="2001"/>
    <x v="20"/>
    <s v="R"/>
    <s v="RS"/>
    <x v="11"/>
    <s v="MIN"/>
    <s v="A"/>
    <n v="4"/>
    <n v="3"/>
    <n v="1"/>
    <n v="-1"/>
    <n v="8"/>
    <n v="-8"/>
    <n v="1411.0297009778108"/>
    <n v="1433.5876323964392"/>
    <n v="0.37254985325102608"/>
    <n v="58"/>
    <n v="68"/>
    <n v="0"/>
    <n v="-10"/>
    <n v="0"/>
    <n v="0.4153223549983866"/>
    <n v="1"/>
    <n v="72.849999999999994"/>
    <n v="72.849999999999994"/>
    <n v="-11.271955373314944"/>
    <n v="1399.7577456044958"/>
    <n v="0"/>
    <n v="1"/>
    <n v="0"/>
    <n v="0"/>
    <n v="0"/>
    <n v="0"/>
    <n v="0"/>
    <n v="0"/>
    <n v="0"/>
    <n v="0"/>
  </r>
  <r>
    <d v="2001-07-18T00:00:00"/>
    <n v="2001"/>
    <x v="18"/>
    <s v="R"/>
    <s v="RS"/>
    <x v="9"/>
    <s v="SEA"/>
    <s v="H"/>
    <n v="3"/>
    <n v="4"/>
    <n v="-1"/>
    <n v="1"/>
    <n v="-8"/>
    <n v="8"/>
    <n v="1433.5876323964392"/>
    <n v="1411.0297009778108"/>
    <n v="0.62745014674897392"/>
    <n v="68"/>
    <n v="58"/>
    <n v="0"/>
    <n v="10"/>
    <n v="1"/>
    <n v="0.4153223549983866"/>
    <n v="1"/>
    <n v="73.150000000000006"/>
    <n v="73.150000000000006"/>
    <n v="11.318373858036901"/>
    <n v="1444.9060062544761"/>
    <n v="1"/>
    <n v="0"/>
    <n v="0"/>
    <n v="0"/>
    <n v="0"/>
    <n v="0"/>
    <n v="0"/>
    <n v="0"/>
    <n v="0"/>
    <n v="0"/>
  </r>
  <r>
    <d v="2001-07-18T00:00:00"/>
    <n v="2001"/>
    <x v="18"/>
    <s v="R"/>
    <s v="RS"/>
    <x v="1"/>
    <s v="ORL"/>
    <s v="A"/>
    <n v="4"/>
    <n v="4"/>
    <n v="0"/>
    <n v="0"/>
    <n v="0"/>
    <n v="0"/>
    <n v="1686.8302078121578"/>
    <n v="1429.7554556030627"/>
    <n v="0.73033017006231848"/>
    <n v="52"/>
    <n v="57"/>
    <n v="0"/>
    <n v="-5"/>
    <n v="0"/>
    <n v="0.27322357343020348"/>
    <n v="1"/>
    <n v="73.150000000000006"/>
    <n v="73.150000000000006"/>
    <n v="-14.596601088754232"/>
    <n v="1672.2336067234037"/>
    <n v="0"/>
    <n v="1"/>
    <n v="0"/>
    <n v="0"/>
    <n v="0"/>
    <n v="0"/>
    <n v="0"/>
    <n v="0"/>
    <n v="0"/>
    <n v="0"/>
  </r>
  <r>
    <d v="2001-07-18T00:00:00"/>
    <n v="2001"/>
    <x v="18"/>
    <s v="R"/>
    <s v="RS"/>
    <x v="12"/>
    <s v="HOU"/>
    <s v="H"/>
    <n v="4"/>
    <n v="4"/>
    <n v="0"/>
    <n v="0"/>
    <n v="0"/>
    <n v="0"/>
    <n v="1429.7554556030627"/>
    <n v="1686.8302078121578"/>
    <n v="0.26966982993768152"/>
    <n v="57"/>
    <n v="52"/>
    <n v="0"/>
    <n v="5"/>
    <n v="1"/>
    <n v="0.27322357343020348"/>
    <n v="1"/>
    <n v="73.150000000000006"/>
    <n v="73.150000000000006"/>
    <n v="14.596601088754232"/>
    <n v="1444.3520566918169"/>
    <n v="1"/>
    <n v="0"/>
    <n v="0"/>
    <n v="0"/>
    <n v="0"/>
    <n v="0"/>
    <n v="0"/>
    <n v="0"/>
    <n v="0"/>
    <n v="0"/>
  </r>
  <r>
    <d v="2001-07-19T00:00:00"/>
    <n v="2001"/>
    <x v="21"/>
    <s v="R"/>
    <s v="RS"/>
    <x v="7"/>
    <s v="CLE"/>
    <s v="A"/>
    <n v="0"/>
    <n v="5"/>
    <n v="-5"/>
    <n v="5"/>
    <n v="-16"/>
    <n v="16"/>
    <n v="1625.6529033245761"/>
    <n v="1640.8748960698965"/>
    <n v="0.31965135127616157"/>
    <n v="60"/>
    <n v="65"/>
    <n v="0"/>
    <n v="-5"/>
    <n v="0"/>
    <n v="0.32760036678905824"/>
    <n v="1"/>
    <n v="72.7"/>
    <n v="72.7"/>
    <n v="-7.6129913243794629"/>
    <n v="1618.0399120001966"/>
    <n v="0"/>
    <n v="1"/>
    <n v="0"/>
    <n v="0"/>
    <n v="0"/>
    <n v="0"/>
    <n v="0"/>
    <n v="0"/>
    <n v="0"/>
    <n v="0"/>
  </r>
  <r>
    <d v="2001-07-19T00:00:00"/>
    <n v="2001"/>
    <x v="20"/>
    <s v="R"/>
    <s v="RS"/>
    <x v="5"/>
    <s v="NYL"/>
    <s v="H"/>
    <n v="5"/>
    <n v="0"/>
    <n v="5"/>
    <n v="-5"/>
    <n v="16"/>
    <n v="-16"/>
    <n v="1640.8748960698965"/>
    <n v="1625.6529033245761"/>
    <n v="0.68034864872383838"/>
    <n v="65"/>
    <n v="60"/>
    <n v="0"/>
    <n v="5"/>
    <n v="1"/>
    <n v="0.32760036678905824"/>
    <n v="1"/>
    <n v="72.849999999999994"/>
    <n v="72.849999999999994"/>
    <n v="7.6286990093678666"/>
    <n v="1648.5035950792644"/>
    <n v="1"/>
    <n v="0"/>
    <n v="0"/>
    <n v="0"/>
    <n v="0"/>
    <n v="0"/>
    <n v="0"/>
    <n v="0"/>
    <n v="0"/>
    <n v="0"/>
  </r>
  <r>
    <d v="2001-07-19T00:00:00"/>
    <n v="2001"/>
    <x v="18"/>
    <s v="R"/>
    <s v="RS"/>
    <x v="10"/>
    <s v="PHX"/>
    <s v="A"/>
    <n v="6"/>
    <n v="4"/>
    <n v="2"/>
    <n v="-2"/>
    <n v="16"/>
    <n v="-16"/>
    <n v="1451.7163393199435"/>
    <n v="1469.8418184422242"/>
    <n v="0.4004297730581467"/>
    <n v="58"/>
    <n v="60"/>
    <n v="0"/>
    <n v="-2"/>
    <n v="0"/>
    <n v="0.26385589209019356"/>
    <n v="1"/>
    <n v="73.150000000000006"/>
    <n v="73.150000000000006"/>
    <n v="-7.7287184774988269"/>
    <n v="1443.9876208424446"/>
    <n v="0"/>
    <n v="1"/>
    <n v="0"/>
    <n v="0"/>
    <n v="0"/>
    <n v="0"/>
    <n v="0"/>
    <n v="0"/>
    <n v="0"/>
    <n v="0"/>
  </r>
  <r>
    <d v="2001-07-19T00:00:00"/>
    <n v="2001"/>
    <x v="19"/>
    <s v="R"/>
    <s v="RS"/>
    <x v="3"/>
    <s v="POR"/>
    <s v="H"/>
    <n v="4"/>
    <n v="6"/>
    <n v="-2"/>
    <n v="2"/>
    <n v="-16"/>
    <n v="16"/>
    <n v="1469.8418184422242"/>
    <n v="1451.7163393199435"/>
    <n v="0.59957022694185336"/>
    <n v="60"/>
    <n v="58"/>
    <n v="0"/>
    <n v="2"/>
    <n v="1"/>
    <n v="0.26385589209019356"/>
    <n v="1"/>
    <n v="73"/>
    <n v="73"/>
    <n v="7.7128701142503653"/>
    <n v="1477.5546885564745"/>
    <n v="1"/>
    <n v="0"/>
    <n v="0"/>
    <n v="0"/>
    <n v="0"/>
    <n v="0"/>
    <n v="0"/>
    <n v="0"/>
    <n v="0"/>
    <n v="0"/>
  </r>
  <r>
    <d v="2001-07-19T00:00:00"/>
    <n v="2001"/>
    <x v="20"/>
    <s v="R"/>
    <s v="RS"/>
    <x v="0"/>
    <s v="SAC"/>
    <s v="A"/>
    <n v="4"/>
    <n v="4"/>
    <n v="0"/>
    <n v="0"/>
    <n v="0"/>
    <n v="0"/>
    <n v="1697.813366583985"/>
    <n v="1586.0393860645897"/>
    <n v="0.53988504672961535"/>
    <n v="83"/>
    <n v="68"/>
    <n v="0"/>
    <n v="15"/>
    <n v="1"/>
    <n v="0.46000122171625463"/>
    <n v="1"/>
    <n v="72.849999999999994"/>
    <n v="72.849999999999994"/>
    <n v="15.418953150208342"/>
    <n v="1713.2323197341934"/>
    <n v="1"/>
    <n v="0"/>
    <n v="0"/>
    <n v="0"/>
    <n v="0"/>
    <n v="0"/>
    <n v="0"/>
    <n v="0"/>
    <n v="0"/>
    <n v="0"/>
  </r>
  <r>
    <d v="2001-07-19T00:00:00"/>
    <n v="2001"/>
    <x v="20"/>
    <s v="R"/>
    <s v="RS"/>
    <x v="15"/>
    <s v="LAS"/>
    <s v="H"/>
    <n v="4"/>
    <n v="4"/>
    <n v="0"/>
    <n v="0"/>
    <n v="0"/>
    <n v="0"/>
    <n v="1586.0393860645897"/>
    <n v="1697.813366583985"/>
    <n v="0.4601149532703846"/>
    <n v="68"/>
    <n v="83"/>
    <n v="0"/>
    <n v="-15"/>
    <n v="0"/>
    <n v="0.46000122171625463"/>
    <n v="1"/>
    <n v="72.849999999999994"/>
    <n v="72.849999999999994"/>
    <n v="-15.41895315020834"/>
    <n v="1570.6204329143814"/>
    <n v="0"/>
    <n v="1"/>
    <n v="0"/>
    <n v="0"/>
    <n v="0"/>
    <n v="0"/>
    <n v="0"/>
    <n v="0"/>
    <n v="0"/>
    <n v="0"/>
  </r>
  <r>
    <d v="2001-07-20T00:00:00"/>
    <n v="2001"/>
    <x v="19"/>
    <s v="R"/>
    <s v="RS"/>
    <x v="12"/>
    <s v="CHA"/>
    <s v="A"/>
    <n v="1"/>
    <n v="1"/>
    <n v="0"/>
    <n v="0"/>
    <n v="0"/>
    <n v="0"/>
    <n v="1444.3520566918169"/>
    <n v="1440.3715352836257"/>
    <n v="0.38683658346628835"/>
    <n v="65"/>
    <n v="72"/>
    <n v="0"/>
    <n v="-7"/>
    <n v="0"/>
    <n v="0.36888354843575494"/>
    <n v="1"/>
    <n v="73"/>
    <n v="73"/>
    <n v="-10.416928564888023"/>
    <n v="1433.9351281269289"/>
    <n v="0"/>
    <n v="1"/>
    <n v="0"/>
    <n v="0"/>
    <n v="0"/>
    <n v="0"/>
    <n v="0"/>
    <n v="0"/>
    <n v="0"/>
    <n v="0"/>
  </r>
  <r>
    <d v="2001-07-20T00:00:00"/>
    <n v="2001"/>
    <x v="20"/>
    <s v="R"/>
    <s v="RS"/>
    <x v="13"/>
    <s v="ORL"/>
    <s v="H"/>
    <n v="1"/>
    <n v="1"/>
    <n v="0"/>
    <n v="0"/>
    <n v="0"/>
    <n v="0"/>
    <n v="1440.3715352836257"/>
    <n v="1444.3520566918169"/>
    <n v="0.61316341653371165"/>
    <n v="72"/>
    <n v="65"/>
    <n v="0"/>
    <n v="7"/>
    <n v="1"/>
    <n v="0.36888354843575494"/>
    <n v="1"/>
    <n v="72.849999999999994"/>
    <n v="72.849999999999994"/>
    <n v="10.395523917151952"/>
    <n v="1450.7670592007776"/>
    <n v="1"/>
    <n v="0"/>
    <n v="0"/>
    <n v="0"/>
    <n v="0"/>
    <n v="0"/>
    <n v="0"/>
    <n v="0"/>
    <n v="0"/>
    <n v="0"/>
  </r>
  <r>
    <d v="2001-07-20T00:00:00"/>
    <n v="2001"/>
    <x v="18"/>
    <s v="R"/>
    <s v="RS"/>
    <x v="4"/>
    <s v="IND"/>
    <s v="A"/>
    <n v="5"/>
    <n v="1"/>
    <n v="4"/>
    <n v="-4"/>
    <n v="16"/>
    <n v="-16"/>
    <n v="1371.4701098209291"/>
    <n v="1391.0822091591199"/>
    <n v="0.39837695904765125"/>
    <n v="65"/>
    <n v="73"/>
    <n v="0"/>
    <n v="-8"/>
    <n v="0"/>
    <n v="0.38207118661455136"/>
    <n v="1"/>
    <n v="73.150000000000006"/>
    <n v="73.150000000000006"/>
    <n v="-11.134041348435469"/>
    <n v="1360.3360684724937"/>
    <n v="0"/>
    <n v="1"/>
    <n v="0"/>
    <n v="0"/>
    <n v="0"/>
    <n v="0"/>
    <n v="0"/>
    <n v="0"/>
    <n v="0"/>
    <n v="0"/>
  </r>
  <r>
    <d v="2001-07-20T00:00:00"/>
    <n v="2001"/>
    <x v="20"/>
    <s v="R"/>
    <s v="RS"/>
    <x v="6"/>
    <s v="WAS"/>
    <s v="H"/>
    <n v="1"/>
    <n v="5"/>
    <n v="-4"/>
    <n v="4"/>
    <n v="-16"/>
    <n v="16"/>
    <n v="1391.0822091591199"/>
    <n v="1371.4701098209291"/>
    <n v="0.60162304095234875"/>
    <n v="73"/>
    <n v="65"/>
    <n v="0"/>
    <n v="8"/>
    <n v="1"/>
    <n v="0.38207118661455136"/>
    <n v="1"/>
    <n v="72.849999999999994"/>
    <n v="72.849999999999994"/>
    <n v="11.088378841196498"/>
    <n v="1402.1705880003165"/>
    <n v="1"/>
    <n v="0"/>
    <n v="0"/>
    <n v="0"/>
    <n v="0"/>
    <n v="0"/>
    <n v="0"/>
    <n v="0"/>
    <n v="0"/>
    <n v="0"/>
  </r>
  <r>
    <d v="2001-07-20T00:00:00"/>
    <n v="2001"/>
    <x v="19"/>
    <s v="R"/>
    <s v="RS"/>
    <x v="1"/>
    <s v="MIA"/>
    <s v="A"/>
    <n v="1"/>
    <n v="1"/>
    <n v="0"/>
    <n v="0"/>
    <n v="0"/>
    <n v="0"/>
    <n v="1672.2336067234037"/>
    <n v="1503.0670988671045"/>
    <n v="0.62016716827495078"/>
    <n v="50"/>
    <n v="64"/>
    <n v="0"/>
    <n v="-14"/>
    <n v="0"/>
    <n v="0.42736199058583296"/>
    <n v="1"/>
    <n v="73"/>
    <n v="73"/>
    <n v="-19.347618913687239"/>
    <n v="1652.8859878097164"/>
    <n v="0"/>
    <n v="1"/>
    <n v="0"/>
    <n v="0"/>
    <n v="0"/>
    <n v="0"/>
    <n v="0"/>
    <n v="0"/>
    <n v="0"/>
    <n v="0"/>
  </r>
  <r>
    <d v="2001-07-20T00:00:00"/>
    <n v="2001"/>
    <x v="20"/>
    <s v="R"/>
    <s v="RS"/>
    <x v="8"/>
    <s v="HOU"/>
    <s v="H"/>
    <n v="1"/>
    <n v="1"/>
    <n v="0"/>
    <n v="0"/>
    <n v="0"/>
    <n v="0"/>
    <n v="1503.0670988671045"/>
    <n v="1672.2336067234037"/>
    <n v="0.37983283172504917"/>
    <n v="64"/>
    <n v="50"/>
    <n v="0"/>
    <n v="14"/>
    <n v="1"/>
    <n v="0.42736199058583296"/>
    <n v="1"/>
    <n v="72.849999999999994"/>
    <n v="72.849999999999994"/>
    <n v="19.307863532357747"/>
    <n v="1522.3749623994622"/>
    <n v="1"/>
    <n v="0"/>
    <n v="0"/>
    <n v="0"/>
    <n v="0"/>
    <n v="0"/>
    <n v="0"/>
    <n v="0"/>
    <n v="0"/>
    <n v="0"/>
  </r>
  <r>
    <d v="2001-07-20T00:00:00"/>
    <n v="2001"/>
    <x v="19"/>
    <s v="R"/>
    <s v="RS"/>
    <x v="10"/>
    <s v="SEA"/>
    <s v="A"/>
    <n v="0"/>
    <n v="1"/>
    <n v="-1"/>
    <n v="1"/>
    <n v="-8"/>
    <n v="8"/>
    <n v="1443.9876208424446"/>
    <n v="1399.7577456044958"/>
    <n v="0.4204226430354906"/>
    <n v="56"/>
    <n v="49"/>
    <n v="0"/>
    <n v="7"/>
    <n v="1"/>
    <n v="0.35695060520842103"/>
    <n v="1"/>
    <n v="73"/>
    <n v="73"/>
    <n v="15.102275648351245"/>
    <n v="1459.0898964907958"/>
    <n v="1"/>
    <n v="0"/>
    <n v="0"/>
    <n v="0"/>
    <n v="0"/>
    <n v="0"/>
    <n v="0"/>
    <n v="0"/>
    <n v="0"/>
    <n v="0"/>
  </r>
  <r>
    <d v="2001-07-20T00:00:00"/>
    <n v="2001"/>
    <x v="21"/>
    <s v="R"/>
    <s v="RS"/>
    <x v="11"/>
    <s v="POR"/>
    <s v="H"/>
    <n v="1"/>
    <n v="0"/>
    <n v="1"/>
    <n v="-1"/>
    <n v="8"/>
    <n v="-8"/>
    <n v="1399.7577456044958"/>
    <n v="1443.9876208424446"/>
    <n v="0.5795773569645094"/>
    <n v="49"/>
    <n v="56"/>
    <n v="0"/>
    <n v="-7"/>
    <n v="0"/>
    <n v="0.35695060520842103"/>
    <n v="1"/>
    <n v="72.7"/>
    <n v="72.7"/>
    <n v="-15.040211501851173"/>
    <n v="1384.7175341026445"/>
    <n v="0"/>
    <n v="1"/>
    <n v="0"/>
    <n v="0"/>
    <n v="0"/>
    <n v="0"/>
    <n v="0"/>
    <n v="0"/>
    <n v="0"/>
    <n v="0"/>
  </r>
  <r>
    <d v="2001-07-21T00:00:00"/>
    <n v="2001"/>
    <x v="21"/>
    <s v="R"/>
    <s v="RS"/>
    <x v="13"/>
    <s v="CLE"/>
    <s v="A"/>
    <n v="0"/>
    <n v="1"/>
    <n v="-1"/>
    <n v="1"/>
    <n v="-8"/>
    <n v="8"/>
    <n v="1450.7670592007776"/>
    <n v="1648.5035950792644"/>
    <n v="0.15265735233267533"/>
    <n v="41"/>
    <n v="56"/>
    <n v="0"/>
    <n v="-15"/>
    <n v="0"/>
    <n v="0.43171056788271195"/>
    <n v="1"/>
    <n v="72.7"/>
    <n v="72.7"/>
    <n v="-4.7912056978116642"/>
    <n v="1445.9758535029659"/>
    <n v="0"/>
    <n v="1"/>
    <n v="0"/>
    <n v="0"/>
    <n v="0"/>
    <n v="0"/>
    <n v="0"/>
    <n v="0"/>
    <n v="0"/>
    <n v="0"/>
  </r>
  <r>
    <d v="2001-07-21T00:00:00"/>
    <n v="2001"/>
    <x v="21"/>
    <s v="R"/>
    <s v="RS"/>
    <x v="5"/>
    <s v="CHA"/>
    <s v="H"/>
    <n v="1"/>
    <n v="0"/>
    <n v="1"/>
    <n v="-1"/>
    <n v="8"/>
    <n v="-8"/>
    <n v="1648.5035950792644"/>
    <n v="1450.7670592007776"/>
    <n v="0.8473426476673247"/>
    <n v="56"/>
    <n v="41"/>
    <n v="0"/>
    <n v="15"/>
    <n v="1"/>
    <n v="0.43171056788271195"/>
    <n v="1"/>
    <n v="72.7"/>
    <n v="72.7"/>
    <n v="4.7912056978116633"/>
    <n v="1653.294800777076"/>
    <n v="1"/>
    <n v="0"/>
    <n v="0"/>
    <n v="0"/>
    <n v="0"/>
    <n v="0"/>
    <n v="0"/>
    <n v="0"/>
    <n v="0"/>
    <n v="0"/>
  </r>
  <r>
    <d v="2001-07-21T00:00:00"/>
    <n v="2001"/>
    <x v="22"/>
    <s v="R"/>
    <s v="RS"/>
    <x v="11"/>
    <s v="LAS"/>
    <s v="A"/>
    <n v="0"/>
    <n v="1"/>
    <n v="-1"/>
    <n v="1"/>
    <n v="-8"/>
    <n v="8"/>
    <n v="1384.7175341026445"/>
    <n v="1713.2323197341934"/>
    <n v="7.8223736405258884E-2"/>
    <n v="79"/>
    <n v="85"/>
    <n v="0"/>
    <n v="-6"/>
    <n v="0"/>
    <n v="0.27578203185978351"/>
    <n v="1"/>
    <n v="72.55"/>
    <n v="72.55"/>
    <n v="-1.5650994550474902"/>
    <n v="1383.1524346475971"/>
    <n v="0"/>
    <n v="1"/>
    <n v="0"/>
    <n v="0"/>
    <n v="0"/>
    <n v="0"/>
    <n v="0"/>
    <n v="0"/>
    <n v="0"/>
    <n v="0"/>
  </r>
  <r>
    <d v="2001-07-21T00:00:00"/>
    <n v="2001"/>
    <x v="21"/>
    <s v="R"/>
    <s v="RS"/>
    <x v="0"/>
    <s v="SEA"/>
    <s v="H"/>
    <n v="1"/>
    <n v="0"/>
    <n v="1"/>
    <n v="-1"/>
    <n v="8"/>
    <n v="-8"/>
    <n v="1713.2323197341934"/>
    <n v="1384.7175341026445"/>
    <n v="0.92177626359474107"/>
    <n v="85"/>
    <n v="79"/>
    <n v="0"/>
    <n v="6"/>
    <n v="1"/>
    <n v="0.27578203185978351"/>
    <n v="1"/>
    <n v="72.7"/>
    <n v="72.7"/>
    <n v="1.5683353601923171"/>
    <n v="1714.8006550943858"/>
    <n v="1"/>
    <n v="0"/>
    <n v="0"/>
    <n v="0"/>
    <n v="0"/>
    <n v="0"/>
    <n v="0"/>
    <n v="0"/>
    <n v="0"/>
    <n v="0"/>
  </r>
  <r>
    <d v="2001-07-21T00:00:00"/>
    <n v="2001"/>
    <x v="19"/>
    <s v="R"/>
    <s v="RS"/>
    <x v="9"/>
    <s v="ORL"/>
    <s v="A"/>
    <n v="2"/>
    <n v="0"/>
    <n v="2"/>
    <n v="-2"/>
    <n v="16"/>
    <n v="-16"/>
    <n v="1444.9060062544761"/>
    <n v="1433.9351281269289"/>
    <n v="0.44122729958837259"/>
    <n v="49"/>
    <n v="71"/>
    <n v="0"/>
    <n v="-22"/>
    <n v="0"/>
    <n v="0.59660179995518658"/>
    <n v="1"/>
    <n v="73"/>
    <n v="73"/>
    <n v="-19.21630108203663"/>
    <n v="1425.6897051724395"/>
    <n v="0"/>
    <n v="1"/>
    <n v="0"/>
    <n v="0"/>
    <n v="0"/>
    <n v="0"/>
    <n v="0"/>
    <n v="0"/>
    <n v="0"/>
    <n v="0"/>
  </r>
  <r>
    <d v="2001-07-21T00:00:00"/>
    <n v="2001"/>
    <x v="20"/>
    <s v="R"/>
    <s v="RS"/>
    <x v="12"/>
    <s v="MIN"/>
    <s v="H"/>
    <n v="0"/>
    <n v="2"/>
    <n v="-2"/>
    <n v="2"/>
    <n v="-16"/>
    <n v="16"/>
    <n v="1433.9351281269289"/>
    <n v="1444.9060062544761"/>
    <n v="0.55877270041162752"/>
    <n v="71"/>
    <n v="49"/>
    <n v="0"/>
    <n v="22"/>
    <n v="1"/>
    <n v="0.59660179995518658"/>
    <n v="1"/>
    <n v="72.849999999999994"/>
    <n v="72.849999999999994"/>
    <n v="19.176815531868055"/>
    <n v="1453.1119436587969"/>
    <n v="1"/>
    <n v="0"/>
    <n v="0"/>
    <n v="0"/>
    <n v="0"/>
    <n v="0"/>
    <n v="0"/>
    <n v="0"/>
    <n v="0"/>
    <n v="0"/>
  </r>
  <r>
    <d v="2001-07-21T00:00:00"/>
    <n v="2001"/>
    <x v="19"/>
    <s v="R"/>
    <s v="RS"/>
    <x v="2"/>
    <s v="PHX"/>
    <s v="A"/>
    <n v="2"/>
    <n v="1"/>
    <n v="1"/>
    <n v="-1"/>
    <n v="8"/>
    <n v="-8"/>
    <n v="1496.4664450697803"/>
    <n v="1477.5546885564745"/>
    <n v="0.42982268107588001"/>
    <n v="50"/>
    <n v="59"/>
    <n v="0"/>
    <n v="-9"/>
    <n v="0"/>
    <n v="0.39967276545943581"/>
    <n v="1"/>
    <n v="73"/>
    <n v="73"/>
    <n v="-12.540554631003383"/>
    <n v="1483.9258904387768"/>
    <n v="0"/>
    <n v="1"/>
    <n v="0"/>
    <n v="0"/>
    <n v="0"/>
    <n v="0"/>
    <n v="0"/>
    <n v="0"/>
    <n v="0"/>
    <n v="0"/>
  </r>
  <r>
    <d v="2001-07-21T00:00:00"/>
    <n v="2001"/>
    <x v="20"/>
    <s v="R"/>
    <s v="RS"/>
    <x v="3"/>
    <s v="UTA"/>
    <s v="H"/>
    <n v="1"/>
    <n v="2"/>
    <n v="-1"/>
    <n v="1"/>
    <n v="-8"/>
    <n v="8"/>
    <n v="1477.5546885564745"/>
    <n v="1496.4664450697803"/>
    <n v="0.57017731892411994"/>
    <n v="59"/>
    <n v="50"/>
    <n v="0"/>
    <n v="9"/>
    <n v="1"/>
    <n v="0.39967276545943581"/>
    <n v="1"/>
    <n v="72.849999999999994"/>
    <n v="72.849999999999994"/>
    <n v="12.514786368062966"/>
    <n v="1490.0694749245374"/>
    <n v="1"/>
    <n v="0"/>
    <n v="0"/>
    <n v="0"/>
    <n v="0"/>
    <n v="0"/>
    <n v="0"/>
    <n v="0"/>
    <n v="0"/>
    <n v="0"/>
  </r>
  <r>
    <d v="2001-07-21T00:00:00"/>
    <n v="2001"/>
    <x v="19"/>
    <s v="R"/>
    <s v="RS"/>
    <x v="14"/>
    <s v="SAC"/>
    <s v="A"/>
    <n v="2"/>
    <n v="1"/>
    <n v="1"/>
    <n v="-1"/>
    <n v="8"/>
    <n v="-8"/>
    <n v="1362.7275295018051"/>
    <n v="1570.6204329143814"/>
    <n v="0.16964191297971395"/>
    <n v="52"/>
    <n v="66"/>
    <n v="0"/>
    <n v="-14"/>
    <n v="0"/>
    <n v="0.41560670049734033"/>
    <n v="1"/>
    <n v="73"/>
    <n v="73"/>
    <n v="-5.1468150475275767"/>
    <n v="1357.5807144542775"/>
    <n v="0"/>
    <n v="1"/>
    <n v="0"/>
    <n v="0"/>
    <n v="0"/>
    <n v="0"/>
    <n v="0"/>
    <n v="0"/>
    <n v="0"/>
    <n v="0"/>
  </r>
  <r>
    <d v="2001-07-21T00:00:00"/>
    <n v="2001"/>
    <x v="21"/>
    <s v="R"/>
    <s v="RS"/>
    <x v="15"/>
    <s v="DET"/>
    <s v="H"/>
    <n v="1"/>
    <n v="2"/>
    <n v="-1"/>
    <n v="1"/>
    <n v="-8"/>
    <n v="8"/>
    <n v="1570.6204329143814"/>
    <n v="1362.7275295018051"/>
    <n v="0.83035808702028613"/>
    <n v="66"/>
    <n v="52"/>
    <n v="0"/>
    <n v="14"/>
    <n v="1"/>
    <n v="0.41560670049734033"/>
    <n v="1"/>
    <n v="72.7"/>
    <n v="72.7"/>
    <n v="5.1256637528117075"/>
    <n v="1575.7460966671931"/>
    <n v="1"/>
    <n v="0"/>
    <n v="0"/>
    <n v="0"/>
    <n v="0"/>
    <n v="0"/>
    <n v="0"/>
    <n v="0"/>
    <n v="0"/>
    <n v="0"/>
  </r>
  <r>
    <d v="2001-07-22T00:00:00"/>
    <n v="2001"/>
    <x v="21"/>
    <s v="R"/>
    <s v="RS"/>
    <x v="8"/>
    <s v="NYL"/>
    <s v="A"/>
    <n v="1"/>
    <n v="2"/>
    <n v="-1"/>
    <n v="1"/>
    <n v="-8"/>
    <n v="8"/>
    <n v="1522.3749623994622"/>
    <n v="1618.0399120001966"/>
    <n v="0.24483754479325651"/>
    <n v="68"/>
    <n v="52"/>
    <n v="0"/>
    <n v="16"/>
    <n v="1"/>
    <n v="0.4795554891930543"/>
    <n v="1"/>
    <n v="72.7"/>
    <n v="72.7"/>
    <n v="26.327745255575472"/>
    <n v="1548.7027076550378"/>
    <n v="1"/>
    <n v="0"/>
    <n v="0"/>
    <n v="0"/>
    <n v="0"/>
    <n v="0"/>
    <n v="0"/>
    <n v="0"/>
    <n v="0"/>
    <n v="0"/>
  </r>
  <r>
    <d v="2001-07-22T00:00:00"/>
    <n v="2001"/>
    <x v="22"/>
    <s v="R"/>
    <s v="RS"/>
    <x v="7"/>
    <s v="MIA"/>
    <s v="H"/>
    <n v="2"/>
    <n v="1"/>
    <n v="1"/>
    <n v="-1"/>
    <n v="8"/>
    <n v="-8"/>
    <n v="1618.0399120001966"/>
    <n v="1522.3749623994622"/>
    <n v="0.75516245520674352"/>
    <n v="52"/>
    <n v="68"/>
    <n v="0"/>
    <n v="-16"/>
    <n v="0"/>
    <n v="0.4795554891930543"/>
    <n v="1"/>
    <n v="72.55"/>
    <n v="72.55"/>
    <n v="-26.273423910481437"/>
    <n v="1591.7664880897153"/>
    <n v="0"/>
    <n v="1"/>
    <n v="0"/>
    <n v="0"/>
    <n v="0"/>
    <n v="0"/>
    <n v="0"/>
    <n v="0"/>
    <n v="0"/>
    <n v="0"/>
  </r>
  <r>
    <d v="2001-07-22T00:00:00"/>
    <n v="2001"/>
    <x v="20"/>
    <s v="R"/>
    <s v="RS"/>
    <x v="14"/>
    <s v="POR"/>
    <s v="A"/>
    <n v="0"/>
    <n v="1"/>
    <n v="-1"/>
    <n v="1"/>
    <n v="-8"/>
    <n v="8"/>
    <n v="1357.5807144542775"/>
    <n v="1459.0898964907958"/>
    <n v="0.23867090171892066"/>
    <n v="80"/>
    <n v="77"/>
    <n v="1"/>
    <n v="3"/>
    <n v="1"/>
    <n v="0.24079599830115625"/>
    <n v="1"/>
    <n v="72.849999999999994"/>
    <n v="72.849999999999994"/>
    <n v="13.3552262686723"/>
    <n v="1370.9359407229499"/>
    <n v="1"/>
    <n v="0"/>
    <n v="0"/>
    <n v="0"/>
    <n v="0"/>
    <n v="0"/>
    <n v="0"/>
    <n v="0"/>
    <n v="0"/>
    <n v="0"/>
  </r>
  <r>
    <d v="2001-07-22T00:00:00"/>
    <n v="2001"/>
    <x v="20"/>
    <s v="R"/>
    <s v="RS"/>
    <x v="10"/>
    <s v="DET"/>
    <s v="H"/>
    <n v="1"/>
    <n v="0"/>
    <n v="1"/>
    <n v="-1"/>
    <n v="8"/>
    <n v="-8"/>
    <n v="1459.0898964907958"/>
    <n v="1357.5807144542775"/>
    <n v="0.76132909828107931"/>
    <n v="77"/>
    <n v="80"/>
    <n v="1"/>
    <n v="-3"/>
    <n v="0"/>
    <n v="0.24079599830115625"/>
    <n v="1"/>
    <n v="72.849999999999994"/>
    <n v="72.849999999999994"/>
    <n v="-13.3552262686723"/>
    <n v="1445.7346702221234"/>
    <n v="0"/>
    <n v="1"/>
    <n v="0"/>
    <n v="0"/>
    <n v="0"/>
    <n v="0"/>
    <n v="0"/>
    <n v="0"/>
    <n v="0"/>
    <n v="0"/>
  </r>
  <r>
    <d v="2001-07-22T00:00:00"/>
    <n v="2001"/>
    <x v="21"/>
    <s v="R"/>
    <s v="RS"/>
    <x v="6"/>
    <s v="WAS"/>
    <s v="A"/>
    <n v="1"/>
    <n v="1"/>
    <n v="0"/>
    <n v="0"/>
    <n v="0"/>
    <n v="0"/>
    <n v="1402.1705880003165"/>
    <n v="1360.3360684724937"/>
    <n v="0.4396151691704589"/>
    <n v="61"/>
    <n v="69"/>
    <n v="0"/>
    <n v="-8"/>
    <n v="0"/>
    <n v="0.37523408689008225"/>
    <n v="1"/>
    <n v="72.7"/>
    <n v="72.7"/>
    <n v="-11.992489971853541"/>
    <n v="1390.178098028463"/>
    <n v="0"/>
    <n v="1"/>
    <n v="0"/>
    <n v="0"/>
    <n v="0"/>
    <n v="0"/>
    <n v="0"/>
    <n v="0"/>
    <n v="0"/>
    <n v="0"/>
  </r>
  <r>
    <d v="2001-07-22T00:00:00"/>
    <n v="2001"/>
    <x v="19"/>
    <s v="R"/>
    <s v="RS"/>
    <x v="4"/>
    <s v="IND"/>
    <s v="H"/>
    <n v="1"/>
    <n v="1"/>
    <n v="0"/>
    <n v="0"/>
    <n v="0"/>
    <n v="0"/>
    <n v="1360.3360684724937"/>
    <n v="1402.1705880003165"/>
    <n v="0.56038483082954116"/>
    <n v="69"/>
    <n v="61"/>
    <n v="0"/>
    <n v="8"/>
    <n v="1"/>
    <n v="0.37523408689008225"/>
    <n v="1"/>
    <n v="73"/>
    <n v="73"/>
    <n v="12.04197755082955"/>
    <n v="1372.3780460233233"/>
    <n v="1"/>
    <n v="0"/>
    <n v="0"/>
    <n v="0"/>
    <n v="0"/>
    <n v="0"/>
    <n v="0"/>
    <n v="0"/>
    <n v="0"/>
    <n v="0"/>
  </r>
  <r>
    <d v="2001-07-23T00:00:00"/>
    <n v="2001"/>
    <x v="20"/>
    <s v="R"/>
    <s v="RS"/>
    <x v="1"/>
    <s v="MIN"/>
    <s v="A"/>
    <n v="2"/>
    <n v="1"/>
    <n v="1"/>
    <n v="-1"/>
    <n v="8"/>
    <n v="-8"/>
    <n v="1652.8859878097164"/>
    <n v="1425.6897051724395"/>
    <n v="0.71430953741985492"/>
    <n v="51"/>
    <n v="46"/>
    <n v="0"/>
    <n v="5"/>
    <n v="1"/>
    <n v="0.27894353103123692"/>
    <n v="1"/>
    <n v="72.849999999999994"/>
    <n v="72.849999999999994"/>
    <n v="5.8055262422637703"/>
    <n v="1658.6915140519802"/>
    <n v="1"/>
    <n v="0"/>
    <n v="0"/>
    <n v="0"/>
    <n v="0"/>
    <n v="0"/>
    <n v="0"/>
    <n v="0"/>
    <n v="0"/>
    <n v="0"/>
  </r>
  <r>
    <d v="2001-07-23T00:00:00"/>
    <n v="2001"/>
    <x v="20"/>
    <s v="R"/>
    <s v="RS"/>
    <x v="9"/>
    <s v="HOU"/>
    <s v="H"/>
    <n v="1"/>
    <n v="2"/>
    <n v="-1"/>
    <n v="1"/>
    <n v="-8"/>
    <n v="8"/>
    <n v="1425.6897051724395"/>
    <n v="1652.8859878097164"/>
    <n v="0.28569046258014513"/>
    <n v="46"/>
    <n v="51"/>
    <n v="0"/>
    <n v="-5"/>
    <n v="0"/>
    <n v="0.27894353103123692"/>
    <n v="1"/>
    <n v="72.849999999999994"/>
    <n v="72.849999999999994"/>
    <n v="-5.8055262422637712"/>
    <n v="1419.8841789301757"/>
    <n v="0"/>
    <n v="1"/>
    <n v="0"/>
    <n v="0"/>
    <n v="0"/>
    <n v="0"/>
    <n v="0"/>
    <n v="0"/>
    <n v="0"/>
    <n v="0"/>
  </r>
  <r>
    <d v="2001-07-24T00:00:00"/>
    <n v="2001"/>
    <x v="22"/>
    <s v="R"/>
    <s v="RS"/>
    <x v="6"/>
    <s v="CHA"/>
    <s v="A"/>
    <n v="1"/>
    <n v="2"/>
    <n v="-1"/>
    <n v="1"/>
    <n v="-8"/>
    <n v="8"/>
    <n v="1390.178098028463"/>
    <n v="1445.9758535029659"/>
    <n v="0.28969949339202683"/>
    <n v="66"/>
    <n v="75"/>
    <n v="0"/>
    <n v="-9"/>
    <n v="0"/>
    <n v="0.38793335188962486"/>
    <n v="1"/>
    <n v="72.55"/>
    <n v="72.55"/>
    <n v="-8.1534661294170157"/>
    <n v="1382.024631899046"/>
    <n v="0"/>
    <n v="1"/>
    <n v="0"/>
    <n v="0"/>
    <n v="0"/>
    <n v="0"/>
    <n v="0"/>
    <n v="0"/>
    <n v="0"/>
    <n v="0"/>
  </r>
  <r>
    <d v="2001-07-24T00:00:00"/>
    <n v="2001"/>
    <x v="22"/>
    <s v="R"/>
    <s v="RS"/>
    <x v="13"/>
    <s v="IND"/>
    <s v="H"/>
    <n v="2"/>
    <n v="1"/>
    <n v="1"/>
    <n v="-1"/>
    <n v="8"/>
    <n v="-8"/>
    <n v="1445.9758535029659"/>
    <n v="1390.178098028463"/>
    <n v="0.71030050660797317"/>
    <n v="75"/>
    <n v="66"/>
    <n v="0"/>
    <n v="9"/>
    <n v="1"/>
    <n v="0.38793335188962486"/>
    <n v="1"/>
    <n v="72.55"/>
    <n v="72.55"/>
    <n v="8.1534661294170157"/>
    <n v="1454.1293196323829"/>
    <n v="1"/>
    <n v="0"/>
    <n v="0"/>
    <n v="0"/>
    <n v="0"/>
    <n v="0"/>
    <n v="0"/>
    <n v="0"/>
    <n v="0"/>
    <n v="0"/>
  </r>
  <r>
    <d v="2001-07-24T00:00:00"/>
    <n v="2001"/>
    <x v="20"/>
    <s v="R"/>
    <s v="RS"/>
    <x v="2"/>
    <s v="HOU"/>
    <s v="A"/>
    <n v="2"/>
    <n v="0"/>
    <n v="2"/>
    <n v="-2"/>
    <n v="16"/>
    <n v="-16"/>
    <n v="1483.9258904387768"/>
    <n v="1658.6915140519802"/>
    <n v="0.21326300083383765"/>
    <n v="76"/>
    <n v="67"/>
    <n v="0"/>
    <n v="9"/>
    <n v="1"/>
    <n v="0.35436282680411113"/>
    <n v="1"/>
    <n v="72.849999999999994"/>
    <n v="72.849999999999994"/>
    <n v="20.309876777194674"/>
    <n v="1504.2357672159715"/>
    <n v="1"/>
    <n v="0"/>
    <n v="0"/>
    <n v="0"/>
    <n v="0"/>
    <n v="0"/>
    <n v="0"/>
    <n v="0"/>
    <n v="0"/>
    <n v="0"/>
  </r>
  <r>
    <d v="2001-07-24T00:00:00"/>
    <n v="2001"/>
    <x v="21"/>
    <s v="R"/>
    <s v="RS"/>
    <x v="1"/>
    <s v="UTA"/>
    <s v="H"/>
    <n v="0"/>
    <n v="2"/>
    <n v="-2"/>
    <n v="2"/>
    <n v="-16"/>
    <n v="16"/>
    <n v="1658.6915140519802"/>
    <n v="1483.9258904387768"/>
    <n v="0.78673699916616235"/>
    <n v="67"/>
    <n v="76"/>
    <n v="0"/>
    <n v="-9"/>
    <n v="0"/>
    <n v="0.35436282680411113"/>
    <n v="1"/>
    <n v="72.7"/>
    <n v="72.7"/>
    <n v="-20.268058225148287"/>
    <n v="1638.423455826832"/>
    <n v="0"/>
    <n v="1"/>
    <n v="0"/>
    <n v="0"/>
    <n v="0"/>
    <n v="0"/>
    <n v="0"/>
    <n v="0"/>
    <n v="0"/>
    <n v="0"/>
  </r>
  <r>
    <d v="2001-07-24T00:00:00"/>
    <n v="2001"/>
    <x v="20"/>
    <s v="R"/>
    <s v="RS"/>
    <x v="4"/>
    <s v="ORL"/>
    <s v="A"/>
    <n v="1"/>
    <n v="2"/>
    <n v="-1"/>
    <n v="1"/>
    <n v="-8"/>
    <n v="8"/>
    <n v="1372.3780460233233"/>
    <n v="1453.1119436587969"/>
    <n v="0.26107514636431256"/>
    <n v="63"/>
    <n v="71"/>
    <n v="0"/>
    <n v="-8"/>
    <n v="0"/>
    <n v="0.36383720526481678"/>
    <n v="1"/>
    <n v="72.849999999999994"/>
    <n v="72.849999999999994"/>
    <n v="-6.9199378403199017"/>
    <n v="1365.4581081830036"/>
    <n v="0"/>
    <n v="1"/>
    <n v="0"/>
    <n v="0"/>
    <n v="0"/>
    <n v="0"/>
    <n v="0"/>
    <n v="0"/>
    <n v="0"/>
    <n v="0"/>
  </r>
  <r>
    <d v="2001-07-24T00:00:00"/>
    <n v="2001"/>
    <x v="21"/>
    <s v="R"/>
    <s v="RS"/>
    <x v="12"/>
    <s v="WAS"/>
    <s v="H"/>
    <n v="2"/>
    <n v="1"/>
    <n v="1"/>
    <n v="-1"/>
    <n v="8"/>
    <n v="-8"/>
    <n v="1453.1119436587969"/>
    <n v="1372.3780460233233"/>
    <n v="0.7389248536356875"/>
    <n v="71"/>
    <n v="63"/>
    <n v="0"/>
    <n v="8"/>
    <n v="1"/>
    <n v="0.36383720526481678"/>
    <n v="1"/>
    <n v="72.7"/>
    <n v="72.7"/>
    <n v="6.9056895125773066"/>
    <n v="1460.0176331713742"/>
    <n v="1"/>
    <n v="0"/>
    <n v="0"/>
    <n v="0"/>
    <n v="0"/>
    <n v="0"/>
    <n v="0"/>
    <n v="0"/>
    <n v="0"/>
    <n v="0"/>
  </r>
  <r>
    <d v="2001-07-24T00:00:00"/>
    <n v="2001"/>
    <x v="23"/>
    <s v="R"/>
    <s v="RS"/>
    <x v="7"/>
    <s v="POR"/>
    <s v="A"/>
    <n v="1"/>
    <n v="1"/>
    <n v="0"/>
    <n v="0"/>
    <n v="0"/>
    <n v="0"/>
    <n v="1591.7664880897153"/>
    <n v="1445.7346702221234"/>
    <n v="0.5883343329966213"/>
    <n v="68"/>
    <n v="86"/>
    <n v="0"/>
    <n v="-18"/>
    <n v="0"/>
    <n v="0.48750758328369281"/>
    <n v="1"/>
    <n v="72.400000000000006"/>
    <n v="72.400000000000006"/>
    <n v="-20.765583296161253"/>
    <n v="1571.0009047935541"/>
    <n v="0"/>
    <n v="1"/>
    <n v="0"/>
    <n v="0"/>
    <n v="0"/>
    <n v="0"/>
    <n v="0"/>
    <n v="0"/>
    <n v="0"/>
    <n v="0"/>
  </r>
  <r>
    <d v="2001-07-24T00:00:00"/>
    <n v="2001"/>
    <x v="21"/>
    <s v="R"/>
    <s v="RS"/>
    <x v="10"/>
    <s v="NYL"/>
    <s v="H"/>
    <n v="1"/>
    <n v="1"/>
    <n v="0"/>
    <n v="0"/>
    <n v="0"/>
    <n v="0"/>
    <n v="1445.7346702221234"/>
    <n v="1591.7664880897153"/>
    <n v="0.4116656670033787"/>
    <n v="86"/>
    <n v="68"/>
    <n v="0"/>
    <n v="18"/>
    <n v="1"/>
    <n v="0.48750758328369281"/>
    <n v="1"/>
    <n v="72.7"/>
    <n v="72.7"/>
    <n v="20.851628530813855"/>
    <n v="1466.5862987529372"/>
    <n v="1"/>
    <n v="0"/>
    <n v="0"/>
    <n v="0"/>
    <n v="0"/>
    <n v="0"/>
    <n v="0"/>
    <n v="0"/>
    <n v="0"/>
    <n v="0"/>
  </r>
  <r>
    <d v="2001-07-24T00:00:00"/>
    <n v="2001"/>
    <x v="21"/>
    <s v="R"/>
    <s v="RS"/>
    <x v="14"/>
    <s v="SEA"/>
    <s v="A"/>
    <n v="1"/>
    <n v="2"/>
    <n v="-1"/>
    <n v="1"/>
    <n v="-8"/>
    <n v="8"/>
    <n v="1370.9359407229499"/>
    <n v="1383.1524346475971"/>
    <n v="0.34389824766234384"/>
    <n v="69"/>
    <n v="74"/>
    <n v="1"/>
    <n v="-5"/>
    <n v="0"/>
    <n v="0.29557134001545737"/>
    <n v="1"/>
    <n v="72.7"/>
    <n v="72.7"/>
    <n v="-7.389698070241284"/>
    <n v="1363.5462426527085"/>
    <n v="0"/>
    <n v="1"/>
    <n v="0"/>
    <n v="0"/>
    <n v="0"/>
    <n v="0"/>
    <n v="0"/>
    <n v="0"/>
    <n v="0"/>
    <n v="0"/>
  </r>
  <r>
    <d v="2001-07-24T00:00:00"/>
    <n v="2001"/>
    <x v="23"/>
    <s v="R"/>
    <s v="RS"/>
    <x v="11"/>
    <s v="DET"/>
    <s v="H"/>
    <n v="2"/>
    <n v="1"/>
    <n v="1"/>
    <n v="-1"/>
    <n v="8"/>
    <n v="-8"/>
    <n v="1383.1524346475971"/>
    <n v="1370.9359407229499"/>
    <n v="0.65610175233765622"/>
    <n v="74"/>
    <n v="69"/>
    <n v="1"/>
    <n v="5"/>
    <n v="1"/>
    <n v="0.29557134001545737"/>
    <n v="1"/>
    <n v="72.400000000000006"/>
    <n v="72.400000000000006"/>
    <n v="7.3592041304741258"/>
    <n v="1390.5116387780713"/>
    <n v="1"/>
    <n v="0"/>
    <n v="0"/>
    <n v="0"/>
    <n v="0"/>
    <n v="0"/>
    <n v="0"/>
    <n v="0"/>
    <n v="0"/>
    <n v="0"/>
  </r>
  <r>
    <d v="2001-07-25T00:00:00"/>
    <n v="2001"/>
    <x v="22"/>
    <s v="R"/>
    <s v="RS"/>
    <x v="8"/>
    <s v="CLE"/>
    <s v="A"/>
    <n v="2"/>
    <n v="3"/>
    <n v="-1"/>
    <n v="1"/>
    <n v="-8"/>
    <n v="8"/>
    <n v="1548.7027076550378"/>
    <n v="1653.294800777076"/>
    <n v="0.23546117709158418"/>
    <n v="48"/>
    <n v="52"/>
    <n v="1"/>
    <n v="-4"/>
    <n v="0"/>
    <n v="0.25781802256004172"/>
    <n v="1"/>
    <n v="72.55"/>
    <n v="72.55"/>
    <n v="-4.4042300991407419"/>
    <n v="1544.2984775558971"/>
    <n v="0"/>
    <n v="1"/>
    <n v="0"/>
    <n v="0"/>
    <n v="0"/>
    <n v="0"/>
    <n v="0"/>
    <n v="0"/>
    <n v="0"/>
    <n v="0"/>
  </r>
  <r>
    <d v="2001-07-25T00:00:00"/>
    <n v="2001"/>
    <x v="22"/>
    <s v="R"/>
    <s v="RS"/>
    <x v="5"/>
    <s v="MIA"/>
    <s v="H"/>
    <n v="3"/>
    <n v="2"/>
    <n v="1"/>
    <n v="-1"/>
    <n v="8"/>
    <n v="-8"/>
    <n v="1653.294800777076"/>
    <n v="1548.7027076550378"/>
    <n v="0.7645388229084159"/>
    <n v="52"/>
    <n v="48"/>
    <n v="1"/>
    <n v="4"/>
    <n v="1"/>
    <n v="0.25781802256004172"/>
    <n v="1"/>
    <n v="72.55"/>
    <n v="72.55"/>
    <n v="4.404230099140741"/>
    <n v="1657.6990308762167"/>
    <n v="1"/>
    <n v="0"/>
    <n v="0"/>
    <n v="0"/>
    <n v="0"/>
    <n v="0"/>
    <n v="0"/>
    <n v="0"/>
    <n v="0"/>
    <n v="0"/>
  </r>
  <r>
    <d v="2001-07-25T00:00:00"/>
    <n v="2001"/>
    <x v="22"/>
    <s v="R"/>
    <s v="RS"/>
    <x v="15"/>
    <s v="LAS"/>
    <s v="A"/>
    <n v="3"/>
    <n v="3"/>
    <n v="0"/>
    <n v="0"/>
    <n v="0"/>
    <n v="0"/>
    <n v="1575.7460966671931"/>
    <n v="1714.8006550943858"/>
    <n v="0.21686921224919289"/>
    <n v="78"/>
    <n v="80"/>
    <n v="0"/>
    <n v="-2"/>
    <n v="0"/>
    <n v="0.24002725127878319"/>
    <n v="1"/>
    <n v="72.55"/>
    <n v="72.55"/>
    <n v="-3.7765554915248956"/>
    <n v="1571.9695411756682"/>
    <n v="0"/>
    <n v="1"/>
    <n v="0"/>
    <n v="0"/>
    <n v="0"/>
    <n v="0"/>
    <n v="0"/>
    <n v="0"/>
    <n v="0"/>
    <n v="0"/>
  </r>
  <r>
    <d v="2001-07-25T00:00:00"/>
    <n v="2001"/>
    <x v="22"/>
    <s v="R"/>
    <s v="RS"/>
    <x v="0"/>
    <s v="SAC"/>
    <s v="H"/>
    <n v="3"/>
    <n v="3"/>
    <n v="0"/>
    <n v="0"/>
    <n v="0"/>
    <n v="0"/>
    <n v="1714.8006550943858"/>
    <n v="1575.7460966671931"/>
    <n v="0.78313078775080713"/>
    <n v="80"/>
    <n v="78"/>
    <n v="0"/>
    <n v="2"/>
    <n v="1"/>
    <n v="0.24002725127878319"/>
    <n v="1"/>
    <n v="72.55"/>
    <n v="72.55"/>
    <n v="3.7765554915248951"/>
    <n v="1718.5772105859107"/>
    <n v="1"/>
    <n v="0"/>
    <n v="0"/>
    <n v="0"/>
    <n v="0"/>
    <n v="0"/>
    <n v="0"/>
    <n v="0"/>
    <n v="0"/>
    <n v="0"/>
  </r>
  <r>
    <d v="2001-07-26T00:00:00"/>
    <n v="2001"/>
    <x v="21"/>
    <s v="R"/>
    <s v="RS"/>
    <x v="4"/>
    <s v="CHA"/>
    <s v="A"/>
    <n v="1"/>
    <n v="1"/>
    <n v="0"/>
    <n v="0"/>
    <n v="0"/>
    <n v="0"/>
    <n v="1365.4581081830036"/>
    <n v="1454.1293196323829"/>
    <n v="0.27012757845211"/>
    <n v="60"/>
    <n v="62"/>
    <n v="0"/>
    <n v="-2"/>
    <n v="0"/>
    <n v="0.2494116281298096"/>
    <n v="1"/>
    <n v="72.7"/>
    <n v="72.7"/>
    <n v="-4.8980141298054134"/>
    <n v="1360.5600940531981"/>
    <n v="0"/>
    <n v="1"/>
    <n v="0"/>
    <n v="0"/>
    <n v="0"/>
    <n v="0"/>
    <n v="0"/>
    <n v="0"/>
    <n v="0"/>
    <n v="0"/>
  </r>
  <r>
    <d v="2001-07-26T00:00:00"/>
    <n v="2001"/>
    <x v="23"/>
    <s v="R"/>
    <s v="RS"/>
    <x v="13"/>
    <s v="WAS"/>
    <s v="H"/>
    <n v="1"/>
    <n v="1"/>
    <n v="0"/>
    <n v="0"/>
    <n v="0"/>
    <n v="0"/>
    <n v="1454.1293196323829"/>
    <n v="1365.4581081830036"/>
    <n v="0.72987242154789"/>
    <n v="62"/>
    <n v="60"/>
    <n v="0"/>
    <n v="2"/>
    <n v="1"/>
    <n v="0.2494116281298096"/>
    <n v="1"/>
    <n v="72.400000000000006"/>
    <n v="72.400000000000006"/>
    <n v="4.8778022420620628"/>
    <n v="1459.0071218744449"/>
    <n v="1"/>
    <n v="0"/>
    <n v="0"/>
    <n v="0"/>
    <n v="0"/>
    <n v="0"/>
    <n v="0"/>
    <n v="0"/>
    <n v="0"/>
    <n v="0"/>
  </r>
  <r>
    <d v="2001-07-26T00:00:00"/>
    <n v="2001"/>
    <x v="22"/>
    <s v="R"/>
    <s v="RS"/>
    <x v="14"/>
    <s v="PHX"/>
    <s v="A"/>
    <n v="1"/>
    <n v="4"/>
    <n v="-3"/>
    <n v="3"/>
    <n v="-16"/>
    <n v="16"/>
    <n v="1363.5462426527085"/>
    <n v="1490.0694749245374"/>
    <n v="0.19843953762727751"/>
    <n v="62"/>
    <n v="63"/>
    <n v="0"/>
    <n v="-1"/>
    <n v="0"/>
    <n v="0.22088991585660209"/>
    <n v="1"/>
    <n v="72.55"/>
    <n v="72.55"/>
    <n v="-3.1801053903991012"/>
    <n v="1360.3661372623094"/>
    <n v="0"/>
    <n v="1"/>
    <n v="0"/>
    <n v="0"/>
    <n v="0"/>
    <n v="0"/>
    <n v="0"/>
    <n v="0"/>
    <n v="0"/>
    <n v="0"/>
  </r>
  <r>
    <d v="2001-07-26T00:00:00"/>
    <n v="2001"/>
    <x v="21"/>
    <s v="R"/>
    <s v="RS"/>
    <x v="3"/>
    <s v="DET"/>
    <s v="H"/>
    <n v="4"/>
    <n v="1"/>
    <n v="3"/>
    <n v="-3"/>
    <n v="16"/>
    <n v="-16"/>
    <n v="1490.0694749245374"/>
    <n v="1363.5462426527085"/>
    <n v="0.80156046237272249"/>
    <n v="63"/>
    <n v="62"/>
    <n v="0"/>
    <n v="1"/>
    <n v="1"/>
    <n v="0.22088991585660209"/>
    <n v="1"/>
    <n v="72.7"/>
    <n v="72.7"/>
    <n v="3.1866803843144678"/>
    <n v="1493.2561553088519"/>
    <n v="1"/>
    <n v="0"/>
    <n v="0"/>
    <n v="0"/>
    <n v="0"/>
    <n v="0"/>
    <n v="0"/>
    <n v="0"/>
    <n v="0"/>
    <n v="0"/>
  </r>
  <r>
    <d v="2001-07-26T00:00:00"/>
    <n v="2001"/>
    <x v="24"/>
    <s v="R"/>
    <s v="RS"/>
    <x v="7"/>
    <s v="UTA"/>
    <s v="A"/>
    <n v="1"/>
    <n v="1"/>
    <n v="0"/>
    <n v="0"/>
    <n v="0"/>
    <n v="0"/>
    <n v="1571.0009047935541"/>
    <n v="1504.2357672159715"/>
    <n v="0.47521736379380963"/>
    <n v="63"/>
    <n v="71"/>
    <n v="0"/>
    <n v="-8"/>
    <n v="0"/>
    <n v="0.36784927859215566"/>
    <n v="1"/>
    <n v="72.25"/>
    <n v="72.25"/>
    <n v="-12.629904331224864"/>
    <n v="1558.3710004623292"/>
    <n v="0"/>
    <n v="1"/>
    <n v="0"/>
    <n v="0"/>
    <n v="0"/>
    <n v="0"/>
    <n v="0"/>
    <n v="0"/>
    <n v="0"/>
    <n v="0"/>
  </r>
  <r>
    <d v="2001-07-26T00:00:00"/>
    <n v="2001"/>
    <x v="21"/>
    <s v="R"/>
    <s v="RS"/>
    <x v="2"/>
    <s v="NYL"/>
    <s v="H"/>
    <n v="1"/>
    <n v="1"/>
    <n v="0"/>
    <n v="0"/>
    <n v="0"/>
    <n v="0"/>
    <n v="1504.2357672159715"/>
    <n v="1571.0009047935541"/>
    <n v="0.52478263620619037"/>
    <n v="71"/>
    <n v="63"/>
    <n v="0"/>
    <n v="8"/>
    <n v="1"/>
    <n v="0.36784927859215566"/>
    <n v="1"/>
    <n v="72.7"/>
    <n v="72.7"/>
    <n v="12.708568095225571"/>
    <n v="1516.9443353111969"/>
    <n v="1"/>
    <n v="0"/>
    <n v="0"/>
    <n v="0"/>
    <n v="0"/>
    <n v="0"/>
    <n v="0"/>
    <n v="0"/>
    <n v="0"/>
    <n v="0"/>
  </r>
  <r>
    <d v="2001-07-27T00:00:00"/>
    <n v="2001"/>
    <x v="23"/>
    <s v="R"/>
    <s v="RS"/>
    <x v="6"/>
    <s v="CLE"/>
    <s v="A"/>
    <n v="2"/>
    <n v="1"/>
    <n v="1"/>
    <n v="-1"/>
    <n v="8"/>
    <n v="-8"/>
    <n v="1382.024631899046"/>
    <n v="1657.6990308762167"/>
    <n v="0.12149495940255069"/>
    <n v="67"/>
    <n v="63"/>
    <n v="0"/>
    <n v="4"/>
    <n v="1"/>
    <n v="0.25325321232359249"/>
    <n v="1"/>
    <n v="72.400000000000006"/>
    <n v="72.400000000000006"/>
    <n v="16.107857786741096"/>
    <n v="1398.132489685787"/>
    <n v="1"/>
    <n v="0"/>
    <n v="0"/>
    <n v="0"/>
    <n v="0"/>
    <n v="0"/>
    <n v="0"/>
    <n v="0"/>
    <n v="0"/>
    <n v="0"/>
  </r>
  <r>
    <d v="2001-07-27T00:00:00"/>
    <n v="2001"/>
    <x v="23"/>
    <s v="R"/>
    <s v="RS"/>
    <x v="5"/>
    <s v="IND"/>
    <s v="H"/>
    <n v="1"/>
    <n v="2"/>
    <n v="-1"/>
    <n v="1"/>
    <n v="-8"/>
    <n v="8"/>
    <n v="1657.6990308762167"/>
    <n v="1382.024631899046"/>
    <n v="0.87850504059744927"/>
    <n v="63"/>
    <n v="67"/>
    <n v="0"/>
    <n v="-4"/>
    <n v="0"/>
    <n v="0.25325321232359249"/>
    <n v="1"/>
    <n v="72.400000000000006"/>
    <n v="72.400000000000006"/>
    <n v="-16.107857786741096"/>
    <n v="1641.5911730894757"/>
    <n v="0"/>
    <n v="1"/>
    <n v="0"/>
    <n v="0"/>
    <n v="0"/>
    <n v="0"/>
    <n v="0"/>
    <n v="0"/>
    <n v="0"/>
    <n v="0"/>
  </r>
  <r>
    <d v="2001-07-27T00:00:00"/>
    <n v="2001"/>
    <x v="22"/>
    <s v="R"/>
    <s v="RS"/>
    <x v="12"/>
    <s v="MIA"/>
    <s v="A"/>
    <n v="2"/>
    <n v="1"/>
    <n v="1"/>
    <n v="-1"/>
    <n v="8"/>
    <n v="-8"/>
    <n v="1460.0176331713742"/>
    <n v="1544.2984775558971"/>
    <n v="0.29388304391517661"/>
    <n v="63"/>
    <n v="71"/>
    <n v="1"/>
    <n v="-8"/>
    <n v="0"/>
    <n v="0.32654911862695379"/>
    <n v="1"/>
    <n v="72.55"/>
    <n v="72.55"/>
    <n v="-6.9624239127667726"/>
    <n v="1453.0552092586074"/>
    <n v="0"/>
    <n v="1"/>
    <n v="0"/>
    <n v="0"/>
    <n v="0"/>
    <n v="0"/>
    <n v="0"/>
    <n v="0"/>
    <n v="0"/>
    <n v="0"/>
  </r>
  <r>
    <d v="2001-07-27T00:00:00"/>
    <n v="2001"/>
    <x v="23"/>
    <s v="R"/>
    <s v="RS"/>
    <x v="8"/>
    <s v="ORL"/>
    <s v="H"/>
    <n v="1"/>
    <n v="2"/>
    <n v="-1"/>
    <n v="1"/>
    <n v="-8"/>
    <n v="8"/>
    <n v="1544.2984775558971"/>
    <n v="1460.0176331713742"/>
    <n v="0.70611695608482339"/>
    <n v="71"/>
    <n v="63"/>
    <n v="1"/>
    <n v="8"/>
    <n v="1"/>
    <n v="0.32654911862695379"/>
    <n v="1"/>
    <n v="72.400000000000006"/>
    <n v="72.400000000000006"/>
    <n v="6.9480288254212876"/>
    <n v="1551.2465063813183"/>
    <n v="1"/>
    <n v="0"/>
    <n v="0"/>
    <n v="0"/>
    <n v="0"/>
    <n v="0"/>
    <n v="0"/>
    <n v="0"/>
    <n v="0"/>
    <n v="0"/>
  </r>
  <r>
    <d v="2001-07-27T00:00:00"/>
    <n v="2001"/>
    <x v="22"/>
    <s v="R"/>
    <s v="RS"/>
    <x v="4"/>
    <s v="MIN"/>
    <s v="A"/>
    <n v="0"/>
    <n v="3"/>
    <n v="-3"/>
    <n v="3"/>
    <n v="-16"/>
    <n v="16"/>
    <n v="1360.5600940531981"/>
    <n v="1419.8841789301757"/>
    <n v="0.26712732592968491"/>
    <n v="62"/>
    <n v="60"/>
    <n v="0"/>
    <n v="2"/>
    <n v="1"/>
    <n v="0.25522388464681994"/>
    <n v="1"/>
    <n v="72.55"/>
    <n v="72.55"/>
    <n v="13.570231615551707"/>
    <n v="1374.1303256687497"/>
    <n v="1"/>
    <n v="0"/>
    <n v="0"/>
    <n v="0"/>
    <n v="0"/>
    <n v="0"/>
    <n v="0"/>
    <n v="0"/>
    <n v="0"/>
    <n v="0"/>
  </r>
  <r>
    <d v="2001-07-27T00:00:00"/>
    <n v="2001"/>
    <x v="21"/>
    <s v="R"/>
    <s v="RS"/>
    <x v="9"/>
    <s v="WAS"/>
    <s v="H"/>
    <n v="3"/>
    <n v="0"/>
    <n v="3"/>
    <n v="-3"/>
    <n v="16"/>
    <n v="-16"/>
    <n v="1419.8841789301757"/>
    <n v="1360.5600940531981"/>
    <n v="0.7328726740703152"/>
    <n v="60"/>
    <n v="62"/>
    <n v="0"/>
    <n v="-2"/>
    <n v="0"/>
    <n v="0.25522388464681994"/>
    <n v="1"/>
    <n v="72.7"/>
    <n v="72.7"/>
    <n v="-13.598288607175869"/>
    <n v="1406.2858903229999"/>
    <n v="0"/>
    <n v="1"/>
    <n v="0"/>
    <n v="0"/>
    <n v="0"/>
    <n v="0"/>
    <n v="0"/>
    <n v="0"/>
    <n v="0"/>
    <n v="0"/>
  </r>
  <r>
    <d v="2001-07-27T00:00:00"/>
    <n v="2001"/>
    <x v="22"/>
    <s v="R"/>
    <s v="RS"/>
    <x v="10"/>
    <s v="SAC"/>
    <s v="A"/>
    <n v="2"/>
    <n v="1"/>
    <n v="1"/>
    <n v="-1"/>
    <n v="8"/>
    <n v="-8"/>
    <n v="1466.5862987529372"/>
    <n v="1571.9695411756682"/>
    <n v="0.26932023029712526"/>
    <n v="62"/>
    <n v="85"/>
    <n v="0"/>
    <n v="-23"/>
    <n v="0"/>
    <n v="0.56566171456581282"/>
    <n v="1"/>
    <n v="72.55"/>
    <n v="72.55"/>
    <n v="-11.052567591853887"/>
    <n v="1455.5337311610833"/>
    <n v="0"/>
    <n v="1"/>
    <n v="0"/>
    <n v="0"/>
    <n v="0"/>
    <n v="0"/>
    <n v="0"/>
    <n v="0"/>
    <n v="0"/>
    <n v="0"/>
  </r>
  <r>
    <d v="2001-07-27T00:00:00"/>
    <n v="2001"/>
    <x v="23"/>
    <s v="R"/>
    <s v="RS"/>
    <x v="15"/>
    <s v="POR"/>
    <s v="H"/>
    <n v="1"/>
    <n v="2"/>
    <n v="-1"/>
    <n v="1"/>
    <n v="-8"/>
    <n v="8"/>
    <n v="1571.9695411756682"/>
    <n v="1466.5862987529372"/>
    <n v="0.73067976970287474"/>
    <n v="85"/>
    <n v="62"/>
    <n v="0"/>
    <n v="23"/>
    <n v="1"/>
    <n v="0.56566171456581282"/>
    <n v="1"/>
    <n v="72.400000000000006"/>
    <n v="72.400000000000006"/>
    <n v="11.029715970368317"/>
    <n v="1582.9992571460364"/>
    <n v="1"/>
    <n v="0"/>
    <n v="0"/>
    <n v="0"/>
    <n v="0"/>
    <n v="0"/>
    <n v="0"/>
    <n v="0"/>
    <n v="0"/>
    <n v="0"/>
  </r>
  <r>
    <d v="2001-07-27T00:00:00"/>
    <n v="2001"/>
    <x v="22"/>
    <s v="R"/>
    <s v="RS"/>
    <x v="3"/>
    <s v="SEA"/>
    <s v="A"/>
    <n v="0"/>
    <n v="2"/>
    <n v="-2"/>
    <n v="2"/>
    <n v="-16"/>
    <n v="16"/>
    <n v="1493.2561553088519"/>
    <n v="1390.5116387780713"/>
    <n v="0.48093307623656112"/>
    <n v="56"/>
    <n v="54"/>
    <n v="0"/>
    <n v="2"/>
    <n v="1"/>
    <n v="0.24671728101187498"/>
    <n v="1"/>
    <n v="72.55"/>
    <n v="72.55"/>
    <n v="9.2909546958279581"/>
    <n v="1502.5471100046798"/>
    <n v="1"/>
    <n v="0"/>
    <n v="0"/>
    <n v="0"/>
    <n v="0"/>
    <n v="0"/>
    <n v="0"/>
    <n v="0"/>
    <n v="0"/>
    <n v="0"/>
  </r>
  <r>
    <d v="2001-07-27T00:00:00"/>
    <n v="2001"/>
    <x v="24"/>
    <s v="R"/>
    <s v="RS"/>
    <x v="11"/>
    <s v="PHX"/>
    <s v="H"/>
    <n v="2"/>
    <n v="0"/>
    <n v="2"/>
    <n v="-2"/>
    <n v="16"/>
    <n v="-16"/>
    <n v="1390.5116387780713"/>
    <n v="1493.2561553088519"/>
    <n v="0.51906692376343888"/>
    <n v="54"/>
    <n v="56"/>
    <n v="0"/>
    <n v="-2"/>
    <n v="0"/>
    <n v="0.24671728101187498"/>
    <n v="1"/>
    <n v="72.25"/>
    <n v="72.25"/>
    <n v="-9.2525358617997249"/>
    <n v="1381.2591029162716"/>
    <n v="0"/>
    <n v="1"/>
    <n v="0"/>
    <n v="0"/>
    <n v="0"/>
    <n v="0"/>
    <n v="0"/>
    <n v="0"/>
    <n v="0"/>
    <n v="0"/>
  </r>
  <r>
    <d v="2001-07-28T00:00:00"/>
    <n v="2001"/>
    <x v="24"/>
    <s v="R"/>
    <s v="RS"/>
    <x v="5"/>
    <s v="DET"/>
    <s v="A"/>
    <n v="0"/>
    <n v="1"/>
    <n v="-1"/>
    <n v="1"/>
    <n v="-8"/>
    <n v="8"/>
    <n v="1641.5911730894757"/>
    <n v="1360.3661372623094"/>
    <n v="0.73946989775192973"/>
    <n v="57"/>
    <n v="50"/>
    <n v="0"/>
    <n v="7"/>
    <n v="1"/>
    <n v="0.29983871204051554"/>
    <n v="1"/>
    <n v="72.25"/>
    <n v="72.25"/>
    <n v="5.6439539945973172"/>
    <n v="1647.2351270840729"/>
    <n v="1"/>
    <n v="0"/>
    <n v="0"/>
    <n v="0"/>
    <n v="0"/>
    <n v="0"/>
    <n v="0"/>
    <n v="0"/>
    <n v="0"/>
    <n v="0"/>
  </r>
  <r>
    <d v="2001-07-28T00:00:00"/>
    <n v="2001"/>
    <x v="23"/>
    <s v="R"/>
    <s v="RS"/>
    <x v="14"/>
    <s v="CLE"/>
    <s v="H"/>
    <n v="1"/>
    <n v="0"/>
    <n v="1"/>
    <n v="-1"/>
    <n v="8"/>
    <n v="-8"/>
    <n v="1360.3661372623094"/>
    <n v="1641.5911730894757"/>
    <n v="0.26053010224807033"/>
    <n v="50"/>
    <n v="57"/>
    <n v="0"/>
    <n v="-7"/>
    <n v="0"/>
    <n v="0.29983871204051554"/>
    <n v="1"/>
    <n v="72.400000000000006"/>
    <n v="72.400000000000006"/>
    <n v="-5.6556715461431954"/>
    <n v="1354.7104657161663"/>
    <n v="0"/>
    <n v="1"/>
    <n v="0"/>
    <n v="0"/>
    <n v="0"/>
    <n v="0"/>
    <n v="0"/>
    <n v="0"/>
    <n v="0"/>
    <n v="0"/>
  </r>
  <r>
    <d v="2001-07-28T00:00:00"/>
    <n v="2001"/>
    <x v="25"/>
    <s v="R"/>
    <s v="RS"/>
    <x v="7"/>
    <s v="HOU"/>
    <s v="A"/>
    <n v="1"/>
    <n v="3"/>
    <n v="-2"/>
    <n v="2"/>
    <n v="-16"/>
    <n v="16"/>
    <n v="1558.3710004623292"/>
    <n v="1638.423455826832"/>
    <n v="0.24442534765947702"/>
    <n v="64"/>
    <n v="61"/>
    <n v="0"/>
    <n v="3"/>
    <n v="1"/>
    <n v="0.27203590279375839"/>
    <n v="1"/>
    <n v="72.099999999999994"/>
    <n v="72.099999999999994"/>
    <n v="14.819681496050221"/>
    <n v="1573.1906819583794"/>
    <n v="1"/>
    <n v="0"/>
    <n v="0"/>
    <n v="0"/>
    <n v="0"/>
    <n v="0"/>
    <n v="0"/>
    <n v="0"/>
    <n v="0"/>
    <n v="0"/>
  </r>
  <r>
    <d v="2001-07-28T00:00:00"/>
    <n v="2001"/>
    <x v="22"/>
    <s v="R"/>
    <s v="RS"/>
    <x v="1"/>
    <s v="NYL"/>
    <s v="H"/>
    <n v="3"/>
    <n v="1"/>
    <n v="2"/>
    <n v="-2"/>
    <n v="16"/>
    <n v="-16"/>
    <n v="1638.423455826832"/>
    <n v="1558.3710004623292"/>
    <n v="0.75557465234052301"/>
    <n v="61"/>
    <n v="64"/>
    <n v="0"/>
    <n v="-3"/>
    <n v="0"/>
    <n v="0.27203590279375839"/>
    <n v="1"/>
    <n v="72.55"/>
    <n v="72.55"/>
    <n v="-14.912176040755114"/>
    <n v="1623.5112797860768"/>
    <n v="0"/>
    <n v="1"/>
    <n v="0"/>
    <n v="0"/>
    <n v="0"/>
    <n v="0"/>
    <n v="0"/>
    <n v="0"/>
    <n v="0"/>
    <n v="0"/>
  </r>
  <r>
    <d v="2001-07-28T00:00:00"/>
    <n v="2001"/>
    <x v="24"/>
    <s v="R"/>
    <s v="RS"/>
    <x v="8"/>
    <s v="IND"/>
    <s v="A"/>
    <n v="0"/>
    <n v="0"/>
    <n v="0"/>
    <n v="0"/>
    <n v="0"/>
    <n v="0"/>
    <n v="1551.2465063813183"/>
    <n v="1398.132489685787"/>
    <n v="0.59817153363745934"/>
    <n v="69"/>
    <n v="63"/>
    <n v="0"/>
    <n v="6"/>
    <n v="1"/>
    <n v="0.31153096347241627"/>
    <n v="1"/>
    <n v="72.25"/>
    <n v="72.25"/>
    <n v="9.0444001702318708"/>
    <n v="1560.2909065515503"/>
    <n v="1"/>
    <n v="0"/>
    <n v="0"/>
    <n v="0"/>
    <n v="0"/>
    <n v="0"/>
    <n v="0"/>
    <n v="0"/>
    <n v="0"/>
    <n v="0"/>
  </r>
  <r>
    <d v="2001-07-28T00:00:00"/>
    <n v="2001"/>
    <x v="24"/>
    <s v="R"/>
    <s v="RS"/>
    <x v="6"/>
    <s v="MIA"/>
    <s v="H"/>
    <n v="0"/>
    <n v="0"/>
    <n v="0"/>
    <n v="0"/>
    <n v="0"/>
    <n v="0"/>
    <n v="1398.132489685787"/>
    <n v="1551.2465063813183"/>
    <n v="0.40182846636254071"/>
    <n v="63"/>
    <n v="69"/>
    <n v="0"/>
    <n v="-6"/>
    <n v="0"/>
    <n v="0.31153096347241627"/>
    <n v="1"/>
    <n v="72.25"/>
    <n v="72.25"/>
    <n v="-9.0444001702318726"/>
    <n v="1389.0880895155551"/>
    <n v="0"/>
    <n v="1"/>
    <n v="0"/>
    <n v="0"/>
    <n v="0"/>
    <n v="0"/>
    <n v="0"/>
    <n v="0"/>
    <n v="0"/>
    <n v="0"/>
  </r>
  <r>
    <d v="2001-07-28T00:00:00"/>
    <n v="2001"/>
    <x v="23"/>
    <s v="R"/>
    <s v="RS"/>
    <x v="0"/>
    <s v="POR"/>
    <s v="A"/>
    <n v="2"/>
    <n v="0"/>
    <n v="2"/>
    <n v="-2"/>
    <n v="16"/>
    <n v="-16"/>
    <n v="1718.5772105859107"/>
    <n v="1455.5337311610833"/>
    <n v="0.77115843273061679"/>
    <n v="88"/>
    <n v="83"/>
    <n v="0"/>
    <n v="5"/>
    <n v="1"/>
    <n v="0.27210891279185145"/>
    <n v="1"/>
    <n v="72.400000000000006"/>
    <n v="72.400000000000006"/>
    <n v="4.5083356971588771"/>
    <n v="1723.0855462830696"/>
    <n v="1"/>
    <n v="0"/>
    <n v="0"/>
    <n v="0"/>
    <n v="0"/>
    <n v="0"/>
    <n v="0"/>
    <n v="0"/>
    <n v="0"/>
    <n v="0"/>
  </r>
  <r>
    <d v="2001-07-28T00:00:00"/>
    <n v="2001"/>
    <x v="23"/>
    <s v="R"/>
    <s v="RS"/>
    <x v="10"/>
    <s v="LAS"/>
    <s v="H"/>
    <n v="0"/>
    <n v="2"/>
    <n v="-2"/>
    <n v="2"/>
    <n v="-16"/>
    <n v="16"/>
    <n v="1455.5337311610833"/>
    <n v="1718.5772105859107"/>
    <n v="0.22884156726938323"/>
    <n v="83"/>
    <n v="88"/>
    <n v="0"/>
    <n v="-5"/>
    <n v="0"/>
    <n v="0.27210891279185145"/>
    <n v="1"/>
    <n v="72.400000000000006"/>
    <n v="72.400000000000006"/>
    <n v="-4.5083356971588771"/>
    <n v="1451.0253954639245"/>
    <n v="0"/>
    <n v="1"/>
    <n v="0"/>
    <n v="0"/>
    <n v="0"/>
    <n v="0"/>
    <n v="0"/>
    <n v="0"/>
    <n v="0"/>
    <n v="0"/>
  </r>
  <r>
    <d v="2001-07-28T00:00:00"/>
    <n v="2001"/>
    <x v="22"/>
    <s v="R"/>
    <s v="RS"/>
    <x v="9"/>
    <s v="UTA"/>
    <s v="A"/>
    <n v="0"/>
    <n v="1"/>
    <n v="-1"/>
    <n v="1"/>
    <n v="-8"/>
    <n v="8"/>
    <n v="1406.2858903229999"/>
    <n v="1516.9443353111969"/>
    <n v="0.2292329437380462"/>
    <n v="60"/>
    <n v="68"/>
    <n v="1"/>
    <n v="-8"/>
    <n v="0"/>
    <n v="0.31997716827515854"/>
    <n v="1"/>
    <n v="72.55"/>
    <n v="72.55"/>
    <n v="-5.3214923108298446"/>
    <n v="1400.96439801217"/>
    <n v="0"/>
    <n v="1"/>
    <n v="0"/>
    <n v="0"/>
    <n v="0"/>
    <n v="0"/>
    <n v="0"/>
    <n v="0"/>
    <n v="0"/>
    <n v="0"/>
  </r>
  <r>
    <d v="2001-07-28T00:00:00"/>
    <n v="2001"/>
    <x v="22"/>
    <s v="R"/>
    <s v="RS"/>
    <x v="2"/>
    <s v="MIN"/>
    <s v="H"/>
    <n v="1"/>
    <n v="0"/>
    <n v="1"/>
    <n v="-1"/>
    <n v="8"/>
    <n v="-8"/>
    <n v="1516.9443353111969"/>
    <n v="1406.2858903229999"/>
    <n v="0.77076705626195385"/>
    <n v="68"/>
    <n v="60"/>
    <n v="1"/>
    <n v="8"/>
    <n v="1"/>
    <n v="0.31997716827515854"/>
    <n v="1"/>
    <n v="72.55"/>
    <n v="72.55"/>
    <n v="5.3214923108298429"/>
    <n v="1522.2658276220268"/>
    <n v="1"/>
    <n v="0"/>
    <n v="0"/>
    <n v="0"/>
    <n v="0"/>
    <n v="0"/>
    <n v="0"/>
    <n v="0"/>
    <n v="0"/>
    <n v="0"/>
  </r>
  <r>
    <d v="2001-07-29T00:00:00"/>
    <n v="2001"/>
    <x v="23"/>
    <s v="R"/>
    <s v="RS"/>
    <x v="12"/>
    <s v="DET"/>
    <s v="A"/>
    <n v="1"/>
    <n v="0"/>
    <n v="1"/>
    <n v="-1"/>
    <n v="8"/>
    <n v="-8"/>
    <n v="1453.0552092586074"/>
    <n v="1354.7104657161663"/>
    <n v="0.54355889491219656"/>
    <n v="62"/>
    <n v="64"/>
    <n v="0"/>
    <n v="-2"/>
    <n v="0"/>
    <n v="0.24755334557342659"/>
    <n v="1"/>
    <n v="72.400000000000006"/>
    <n v="72.400000000000006"/>
    <n v="-9.7421311817037228"/>
    <n v="1443.3130780769036"/>
    <n v="0"/>
    <n v="1"/>
    <n v="0"/>
    <n v="0"/>
    <n v="0"/>
    <n v="0"/>
    <n v="0"/>
    <n v="0"/>
    <n v="0"/>
    <n v="0"/>
  </r>
  <r>
    <d v="2001-07-29T00:00:00"/>
    <n v="2001"/>
    <x v="24"/>
    <s v="R"/>
    <s v="RS"/>
    <x v="14"/>
    <s v="ORL"/>
    <s v="H"/>
    <n v="0"/>
    <n v="1"/>
    <n v="-1"/>
    <n v="1"/>
    <n v="-8"/>
    <n v="8"/>
    <n v="1354.7104657161663"/>
    <n v="1453.0552092586074"/>
    <n v="0.45644110508780344"/>
    <n v="64"/>
    <n v="62"/>
    <n v="0"/>
    <n v="2"/>
    <n v="1"/>
    <n v="0.24755334557342659"/>
    <n v="1"/>
    <n v="72.25"/>
    <n v="72.25"/>
    <n v="9.7219472082609659"/>
    <n v="1364.4324129244271"/>
    <n v="1"/>
    <n v="0"/>
    <n v="0"/>
    <n v="0"/>
    <n v="0"/>
    <n v="0"/>
    <n v="0"/>
    <n v="0"/>
    <n v="0"/>
    <n v="0"/>
  </r>
  <r>
    <d v="2001-07-29T00:00:00"/>
    <n v="2001"/>
    <x v="23"/>
    <s v="R"/>
    <s v="RS"/>
    <x v="3"/>
    <s v="SAC"/>
    <s v="A"/>
    <n v="1"/>
    <n v="1"/>
    <n v="0"/>
    <n v="0"/>
    <n v="0"/>
    <n v="0"/>
    <n v="1502.5471100046798"/>
    <n v="1582.9992571460364"/>
    <n v="0.2795564837760775"/>
    <n v="47"/>
    <n v="63"/>
    <n v="0"/>
    <n v="-16"/>
    <n v="0"/>
    <n v="0.48525299451700682"/>
    <n v="1"/>
    <n v="72.400000000000006"/>
    <n v="72.400000000000006"/>
    <n v="-9.8214669523626323"/>
    <n v="1492.7256430523171"/>
    <n v="0"/>
    <n v="1"/>
    <n v="0"/>
    <n v="0"/>
    <n v="0"/>
    <n v="0"/>
    <n v="0"/>
    <n v="0"/>
    <n v="0"/>
    <n v="0"/>
  </r>
  <r>
    <d v="2001-07-29T00:00:00"/>
    <n v="2001"/>
    <x v="24"/>
    <s v="R"/>
    <s v="RS"/>
    <x v="15"/>
    <s v="PHX"/>
    <s v="H"/>
    <n v="1"/>
    <n v="1"/>
    <n v="0"/>
    <n v="0"/>
    <n v="0"/>
    <n v="0"/>
    <n v="1582.9992571460364"/>
    <n v="1502.5471100046798"/>
    <n v="0.72044351622392244"/>
    <n v="63"/>
    <n v="47"/>
    <n v="0"/>
    <n v="16"/>
    <n v="1"/>
    <n v="0.48525299451700682"/>
    <n v="1"/>
    <n v="72.25"/>
    <n v="72.25"/>
    <n v="9.8011186092292863"/>
    <n v="1592.8003757552656"/>
    <n v="1"/>
    <n v="0"/>
    <n v="0"/>
    <n v="0"/>
    <n v="0"/>
    <n v="0"/>
    <n v="0"/>
    <n v="0"/>
    <n v="0"/>
    <n v="0"/>
  </r>
  <r>
    <d v="2001-07-29T00:00:00"/>
    <n v="2001"/>
    <x v="24"/>
    <s v="R"/>
    <s v="RS"/>
    <x v="13"/>
    <s v="WAS"/>
    <s v="A"/>
    <n v="2"/>
    <n v="1"/>
    <n v="1"/>
    <n v="-1"/>
    <n v="8"/>
    <n v="-8"/>
    <n v="1459.0071218744449"/>
    <n v="1374.1303256687497"/>
    <n v="0.52426857736373556"/>
    <n v="42"/>
    <n v="55"/>
    <n v="0"/>
    <n v="-13"/>
    <n v="0"/>
    <n v="0.44086134051895354"/>
    <n v="1"/>
    <n v="72.25"/>
    <n v="72.25"/>
    <n v="-16.699124279167098"/>
    <n v="1442.3079975952778"/>
    <n v="0"/>
    <n v="1"/>
    <n v="0"/>
    <n v="0"/>
    <n v="0"/>
    <n v="0"/>
    <n v="0"/>
    <n v="0"/>
    <n v="0"/>
    <n v="0"/>
  </r>
  <r>
    <d v="2001-07-29T00:00:00"/>
    <n v="2001"/>
    <x v="23"/>
    <s v="R"/>
    <s v="RS"/>
    <x v="4"/>
    <s v="CHA"/>
    <s v="H"/>
    <n v="1"/>
    <n v="2"/>
    <n v="-1"/>
    <n v="1"/>
    <n v="-8"/>
    <n v="8"/>
    <n v="1374.1303256687497"/>
    <n v="1459.0071218744449"/>
    <n v="0.47573142263626444"/>
    <n v="55"/>
    <n v="42"/>
    <n v="0"/>
    <n v="13"/>
    <n v="1"/>
    <n v="0.44086134051895354"/>
    <n v="1"/>
    <n v="72.400000000000006"/>
    <n v="72.400000000000006"/>
    <n v="16.733793741338381"/>
    <n v="1390.8641194100881"/>
    <n v="1"/>
    <n v="0"/>
    <n v="0"/>
    <n v="0"/>
    <n v="0"/>
    <n v="0"/>
    <n v="0"/>
    <n v="0"/>
    <n v="0"/>
    <n v="0"/>
  </r>
  <r>
    <d v="2001-07-30T00:00:00"/>
    <n v="2001"/>
    <x v="24"/>
    <s v="R"/>
    <s v="RS"/>
    <x v="12"/>
    <s v="CLE"/>
    <s v="A"/>
    <n v="0"/>
    <n v="1"/>
    <n v="-1"/>
    <n v="1"/>
    <n v="-8"/>
    <n v="8"/>
    <n v="1443.3130780769036"/>
    <n v="1647.2351270840729"/>
    <n v="0.14810826145010239"/>
    <n v="47"/>
    <n v="65"/>
    <n v="0"/>
    <n v="-18"/>
    <n v="0"/>
    <n v="0.46740537981837371"/>
    <n v="1"/>
    <n v="72.25"/>
    <n v="72.25"/>
    <n v="-5.0016217197566668"/>
    <n v="1438.3114563571469"/>
    <n v="0"/>
    <n v="1"/>
    <n v="0"/>
    <n v="0"/>
    <n v="0"/>
    <n v="0"/>
    <n v="0"/>
    <n v="0"/>
    <n v="0"/>
    <n v="0"/>
  </r>
  <r>
    <d v="2001-07-30T00:00:00"/>
    <n v="2001"/>
    <x v="25"/>
    <s v="R"/>
    <s v="RS"/>
    <x v="5"/>
    <s v="ORL"/>
    <s v="H"/>
    <n v="1"/>
    <n v="0"/>
    <n v="1"/>
    <n v="-1"/>
    <n v="8"/>
    <n v="-8"/>
    <n v="1647.2351270840729"/>
    <n v="1443.3130780769036"/>
    <n v="0.85189173854989753"/>
    <n v="65"/>
    <n v="47"/>
    <n v="0"/>
    <n v="18"/>
    <n v="1"/>
    <n v="0.46740537981837371"/>
    <n v="1"/>
    <n v="72.099999999999994"/>
    <n v="72.099999999999994"/>
    <n v="4.9912377300270698"/>
    <n v="1652.2263648141"/>
    <n v="1"/>
    <n v="0"/>
    <n v="0"/>
    <n v="0"/>
    <n v="0"/>
    <n v="0"/>
    <n v="0"/>
    <n v="0"/>
    <n v="0"/>
    <n v="0"/>
  </r>
  <r>
    <d v="2001-07-30T00:00:00"/>
    <n v="2001"/>
    <x v="25"/>
    <s v="R"/>
    <s v="RS"/>
    <x v="11"/>
    <s v="HOU"/>
    <s v="A"/>
    <n v="2"/>
    <n v="1"/>
    <n v="1"/>
    <n v="-1"/>
    <n v="8"/>
    <n v="-8"/>
    <n v="1381.2591029162716"/>
    <n v="1623.5112797860768"/>
    <n v="0.14356935711692714"/>
    <n v="51"/>
    <n v="55"/>
    <n v="0"/>
    <n v="-4"/>
    <n v="0"/>
    <n v="0.2591220092284815"/>
    <n v="1"/>
    <n v="72.099999999999994"/>
    <n v="72.099999999999994"/>
    <n v="-2.6822627781721056"/>
    <n v="1378.5768401380994"/>
    <n v="0"/>
    <n v="1"/>
    <n v="0"/>
    <n v="0"/>
    <n v="0"/>
    <n v="0"/>
    <n v="0"/>
    <n v="0"/>
    <n v="0"/>
    <n v="0"/>
  </r>
  <r>
    <d v="2001-07-30T00:00:00"/>
    <n v="2001"/>
    <x v="23"/>
    <s v="R"/>
    <s v="RS"/>
    <x v="1"/>
    <s v="SEA"/>
    <s v="H"/>
    <n v="1"/>
    <n v="2"/>
    <n v="-1"/>
    <n v="1"/>
    <n v="-8"/>
    <n v="8"/>
    <n v="1623.5112797860768"/>
    <n v="1381.2591029162716"/>
    <n v="0.85643064288307291"/>
    <n v="55"/>
    <n v="51"/>
    <n v="0"/>
    <n v="4"/>
    <n v="1"/>
    <n v="0.2591220092284815"/>
    <n v="1"/>
    <n v="72.400000000000006"/>
    <n v="72.400000000000006"/>
    <n v="2.6934233722560386"/>
    <n v="1626.2047031583329"/>
    <n v="1"/>
    <n v="0"/>
    <n v="0"/>
    <n v="0"/>
    <n v="0"/>
    <n v="0"/>
    <n v="0"/>
    <n v="0"/>
    <n v="0"/>
    <n v="0"/>
  </r>
  <r>
    <d v="2001-07-30T00:00:00"/>
    <n v="2001"/>
    <x v="23"/>
    <s v="R"/>
    <s v="RS"/>
    <x v="9"/>
    <s v="LAS"/>
    <s v="A"/>
    <n v="1"/>
    <n v="1"/>
    <n v="0"/>
    <n v="0"/>
    <n v="0"/>
    <n v="0"/>
    <n v="1400.96439801217"/>
    <n v="1723.0855462830696"/>
    <n v="8.8038684707901216E-2"/>
    <n v="69"/>
    <n v="78"/>
    <n v="0"/>
    <n v="-9"/>
    <n v="0"/>
    <n v="0.32005719986881626"/>
    <n v="1"/>
    <n v="72.400000000000006"/>
    <n v="72.400000000000006"/>
    <n v="-2.0400448393206974"/>
    <n v="1398.9243531728494"/>
    <n v="0"/>
    <n v="1"/>
    <n v="0"/>
    <n v="0"/>
    <n v="0"/>
    <n v="0"/>
    <n v="0"/>
    <n v="0"/>
    <n v="0"/>
    <n v="0"/>
  </r>
  <r>
    <d v="2001-07-30T00:00:00"/>
    <n v="2001"/>
    <x v="24"/>
    <s v="R"/>
    <s v="RS"/>
    <x v="0"/>
    <s v="MIN"/>
    <s v="H"/>
    <n v="1"/>
    <n v="1"/>
    <n v="0"/>
    <n v="0"/>
    <n v="0"/>
    <n v="0"/>
    <n v="1723.0855462830696"/>
    <n v="1400.96439801217"/>
    <n v="0.91196131529209878"/>
    <n v="78"/>
    <n v="69"/>
    <n v="0"/>
    <n v="9"/>
    <n v="1"/>
    <n v="0.32005719986881626"/>
    <n v="1"/>
    <n v="72.25"/>
    <n v="72.25"/>
    <n v="2.0358182270845355"/>
    <n v="1725.1213645101541"/>
    <n v="1"/>
    <n v="0"/>
    <n v="0"/>
    <n v="0"/>
    <n v="0"/>
    <n v="0"/>
    <n v="0"/>
    <n v="0"/>
    <n v="0"/>
    <n v="0"/>
  </r>
  <r>
    <d v="2001-07-30T00:00:00"/>
    <n v="2001"/>
    <x v="23"/>
    <s v="R"/>
    <s v="RS"/>
    <x v="2"/>
    <s v="POR"/>
    <s v="A"/>
    <n v="1"/>
    <n v="1"/>
    <n v="0"/>
    <n v="0"/>
    <n v="0"/>
    <n v="0"/>
    <n v="1522.2658276220268"/>
    <n v="1451.0253954639245"/>
    <n v="0.48164575667457338"/>
    <n v="79"/>
    <n v="73"/>
    <n v="0"/>
    <n v="6"/>
    <n v="1"/>
    <n v="0.33159495453867383"/>
    <n v="1"/>
    <n v="72.400000000000006"/>
    <n v="72.400000000000006"/>
    <n v="12.444376386730664"/>
    <n v="1534.7102040087575"/>
    <n v="1"/>
    <n v="0"/>
    <n v="0"/>
    <n v="0"/>
    <n v="0"/>
    <n v="0"/>
    <n v="0"/>
    <n v="0"/>
    <n v="0"/>
    <n v="0"/>
  </r>
  <r>
    <d v="2001-07-30T00:00:00"/>
    <n v="2001"/>
    <x v="24"/>
    <s v="R"/>
    <s v="RS"/>
    <x v="10"/>
    <s v="UTA"/>
    <s v="H"/>
    <n v="1"/>
    <n v="1"/>
    <n v="0"/>
    <n v="0"/>
    <n v="0"/>
    <n v="0"/>
    <n v="1451.0253954639245"/>
    <n v="1522.2658276220268"/>
    <n v="0.51835424332542668"/>
    <n v="73"/>
    <n v="79"/>
    <n v="0"/>
    <n v="-6"/>
    <n v="0"/>
    <n v="0.33159495453867383"/>
    <n v="1"/>
    <n v="72.25"/>
    <n v="72.25"/>
    <n v="-12.4185938389681"/>
    <n v="1438.6068016249565"/>
    <n v="0"/>
    <n v="1"/>
    <n v="0"/>
    <n v="0"/>
    <n v="0"/>
    <n v="0"/>
    <n v="0"/>
    <n v="0"/>
    <n v="0"/>
    <n v="0"/>
  </r>
  <r>
    <d v="2001-07-31T00:00:00"/>
    <n v="2001"/>
    <x v="25"/>
    <s v="R"/>
    <s v="RS"/>
    <x v="8"/>
    <s v="CHA"/>
    <s v="A"/>
    <n v="2"/>
    <n v="1"/>
    <n v="1"/>
    <n v="-1"/>
    <n v="8"/>
    <n v="-8"/>
    <n v="1560.2909065515503"/>
    <n v="1442.3079975952778"/>
    <n v="0.57143902369454969"/>
    <n v="45"/>
    <n v="63"/>
    <n v="0"/>
    <n v="-18"/>
    <n v="0"/>
    <n v="0.49788257047372425"/>
    <n v="1"/>
    <n v="72.099999999999994"/>
    <n v="72.099999999999994"/>
    <n v="-20.513137111993323"/>
    <n v="1539.777769439557"/>
    <n v="0"/>
    <n v="1"/>
    <n v="0"/>
    <n v="0"/>
    <n v="0"/>
    <n v="0"/>
    <n v="0"/>
    <n v="0"/>
    <n v="0"/>
    <n v="0"/>
  </r>
  <r>
    <d v="2001-07-31T00:00:00"/>
    <n v="2001"/>
    <x v="25"/>
    <s v="R"/>
    <s v="RS"/>
    <x v="13"/>
    <s v="MIA"/>
    <s v="H"/>
    <n v="1"/>
    <n v="2"/>
    <n v="-1"/>
    <n v="1"/>
    <n v="-8"/>
    <n v="8"/>
    <n v="1442.3079975952778"/>
    <n v="1560.2909065515503"/>
    <n v="0.42856097630545037"/>
    <n v="63"/>
    <n v="45"/>
    <n v="0"/>
    <n v="18"/>
    <n v="1"/>
    <n v="0.49788257047372425"/>
    <n v="1"/>
    <n v="72.099999999999994"/>
    <n v="72.099999999999994"/>
    <n v="20.513137111993323"/>
    <n v="1462.8211347072711"/>
    <n v="1"/>
    <n v="0"/>
    <n v="0"/>
    <n v="0"/>
    <n v="0"/>
    <n v="0"/>
    <n v="0"/>
    <n v="0"/>
    <n v="0"/>
    <n v="0"/>
  </r>
  <r>
    <d v="2001-08-01T00:00:00"/>
    <n v="2001"/>
    <x v="24"/>
    <s v="R"/>
    <s v="RS"/>
    <x v="2"/>
    <s v="HOU"/>
    <s v="A"/>
    <n v="1"/>
    <n v="1"/>
    <n v="0"/>
    <n v="0"/>
    <n v="0"/>
    <n v="0"/>
    <n v="1534.7102040087575"/>
    <n v="1626.2047031583329"/>
    <n v="0.26693532237351936"/>
    <n v="71"/>
    <n v="63"/>
    <n v="0"/>
    <n v="8"/>
    <n v="1"/>
    <n v="0.36080575047779506"/>
    <n v="1"/>
    <n v="72.25"/>
    <n v="72.25"/>
    <n v="19.109687971294484"/>
    <n v="1553.819891980052"/>
    <n v="1"/>
    <n v="0"/>
    <n v="0"/>
    <n v="0"/>
    <n v="0"/>
    <n v="0"/>
    <n v="0"/>
    <n v="0"/>
    <n v="0"/>
    <n v="0"/>
  </r>
  <r>
    <d v="2001-08-01T00:00:00"/>
    <n v="2001"/>
    <x v="24"/>
    <s v="R"/>
    <s v="RS"/>
    <x v="1"/>
    <s v="UTA"/>
    <s v="H"/>
    <n v="1"/>
    <n v="1"/>
    <n v="0"/>
    <n v="0"/>
    <n v="0"/>
    <n v="0"/>
    <n v="1626.2047031583329"/>
    <n v="1534.7102040087575"/>
    <n v="0.73306467762648064"/>
    <n v="63"/>
    <n v="71"/>
    <n v="0"/>
    <n v="-8"/>
    <n v="0"/>
    <n v="0.36080575047779506"/>
    <n v="1"/>
    <n v="72.25"/>
    <n v="72.25"/>
    <n v="-19.109687971294484"/>
    <n v="1607.0950151870384"/>
    <n v="0"/>
    <n v="1"/>
    <n v="0"/>
    <n v="0"/>
    <n v="0"/>
    <n v="0"/>
    <n v="0"/>
    <n v="0"/>
    <n v="0"/>
    <n v="0"/>
  </r>
  <r>
    <d v="2001-08-01T00:00:00"/>
    <n v="2001"/>
    <x v="24"/>
    <s v="R"/>
    <s v="RS"/>
    <x v="4"/>
    <s v="IND"/>
    <s v="A"/>
    <n v="2"/>
    <n v="3"/>
    <n v="-1"/>
    <n v="1"/>
    <n v="-8"/>
    <n v="8"/>
    <n v="1390.8641194100881"/>
    <n v="1389.0880895155551"/>
    <n v="0.36229370007659356"/>
    <n v="64"/>
    <n v="70"/>
    <n v="0"/>
    <n v="-6"/>
    <n v="0"/>
    <n v="0.35076162514756082"/>
    <n v="1"/>
    <n v="72.25"/>
    <n v="72.25"/>
    <n v="-9.1814380271653011"/>
    <n v="1381.6826813829227"/>
    <n v="0"/>
    <n v="1"/>
    <n v="0"/>
    <n v="0"/>
    <n v="0"/>
    <n v="0"/>
    <n v="0"/>
    <n v="0"/>
    <n v="0"/>
    <n v="0"/>
  </r>
  <r>
    <d v="2001-08-01T00:00:00"/>
    <n v="2001"/>
    <x v="25"/>
    <s v="R"/>
    <s v="RS"/>
    <x v="6"/>
    <s v="WAS"/>
    <s v="H"/>
    <n v="3"/>
    <n v="2"/>
    <n v="1"/>
    <n v="-1"/>
    <n v="8"/>
    <n v="-8"/>
    <n v="1389.0880895155551"/>
    <n v="1390.8641194100881"/>
    <n v="0.63770629992340644"/>
    <n v="70"/>
    <n v="64"/>
    <n v="0"/>
    <n v="6"/>
    <n v="1"/>
    <n v="0.35076162514756082"/>
    <n v="1"/>
    <n v="72.099999999999994"/>
    <n v="72.099999999999994"/>
    <n v="9.162376218112362"/>
    <n v="1398.2504657336674"/>
    <n v="1"/>
    <n v="0"/>
    <n v="0"/>
    <n v="0"/>
    <n v="0"/>
    <n v="0"/>
    <n v="0"/>
    <n v="0"/>
    <n v="0"/>
    <n v="0"/>
  </r>
  <r>
    <d v="2001-08-01T00:00:00"/>
    <n v="2001"/>
    <x v="25"/>
    <s v="R"/>
    <s v="RS"/>
    <x v="14"/>
    <s v="NYL"/>
    <s v="A"/>
    <n v="2"/>
    <n v="3"/>
    <n v="-1"/>
    <n v="1"/>
    <n v="-8"/>
    <n v="8"/>
    <n v="1364.4324129244271"/>
    <n v="1573.1906819583794"/>
    <n v="0.14462998734918583"/>
    <n v="63"/>
    <n v="66"/>
    <n v="0"/>
    <n v="-3"/>
    <n v="0"/>
    <n v="0.24718238250856167"/>
    <n v="1"/>
    <n v="72.099999999999994"/>
    <n v="72.099999999999994"/>
    <n v="-2.5775739080566673"/>
    <n v="1361.8548390163705"/>
    <n v="0"/>
    <n v="1"/>
    <n v="0"/>
    <n v="0"/>
    <n v="0"/>
    <n v="0"/>
    <n v="0"/>
    <n v="0"/>
    <n v="0"/>
    <n v="0"/>
  </r>
  <r>
    <d v="2001-08-01T00:00:00"/>
    <n v="2001"/>
    <x v="26"/>
    <s v="R"/>
    <s v="RS"/>
    <x v="7"/>
    <s v="DET"/>
    <s v="H"/>
    <n v="3"/>
    <n v="2"/>
    <n v="1"/>
    <n v="-1"/>
    <n v="8"/>
    <n v="-8"/>
    <n v="1573.1906819583794"/>
    <n v="1364.4324129244271"/>
    <n v="0.85537001265081414"/>
    <n v="66"/>
    <n v="63"/>
    <n v="0"/>
    <n v="3"/>
    <n v="1"/>
    <n v="0.24718238250856167"/>
    <n v="1"/>
    <n v="71.95"/>
    <n v="71.95"/>
    <n v="2.5722114103283946"/>
    <n v="1575.7628933687079"/>
    <n v="1"/>
    <n v="0"/>
    <n v="0"/>
    <n v="0"/>
    <n v="0"/>
    <n v="0"/>
    <n v="0"/>
    <n v="0"/>
    <n v="0"/>
    <n v="0"/>
  </r>
  <r>
    <d v="2001-08-01T00:00:00"/>
    <n v="2001"/>
    <x v="25"/>
    <s v="R"/>
    <s v="RS"/>
    <x v="10"/>
    <s v="ORL"/>
    <s v="A"/>
    <n v="1"/>
    <n v="1"/>
    <n v="0"/>
    <n v="0"/>
    <n v="0"/>
    <n v="0"/>
    <n v="1438.6068016249565"/>
    <n v="1438.3114563571469"/>
    <n v="0.38181708695379829"/>
    <n v="63"/>
    <n v="65"/>
    <n v="0"/>
    <n v="-2"/>
    <n v="0"/>
    <n v="0.26777541564146534"/>
    <n v="1"/>
    <n v="72.099999999999994"/>
    <n v="72.099999999999994"/>
    <n v="-7.3715926222966193"/>
    <n v="1431.2352090026598"/>
    <n v="0"/>
    <n v="1"/>
    <n v="0"/>
    <n v="0"/>
    <n v="0"/>
    <n v="0"/>
    <n v="0"/>
    <n v="0"/>
    <n v="0"/>
    <n v="0"/>
  </r>
  <r>
    <d v="2001-08-01T00:00:00"/>
    <n v="2001"/>
    <x v="25"/>
    <s v="R"/>
    <s v="RS"/>
    <x v="12"/>
    <s v="POR"/>
    <s v="H"/>
    <n v="1"/>
    <n v="1"/>
    <n v="0"/>
    <n v="0"/>
    <n v="0"/>
    <n v="0"/>
    <n v="1438.3114563571469"/>
    <n v="1438.6068016249565"/>
    <n v="0.61818291304620165"/>
    <n v="65"/>
    <n v="63"/>
    <n v="0"/>
    <n v="2"/>
    <n v="1"/>
    <n v="0.26777541564146534"/>
    <n v="1"/>
    <n v="72.099999999999994"/>
    <n v="72.099999999999994"/>
    <n v="7.371592622296621"/>
    <n v="1445.6830489794436"/>
    <n v="1"/>
    <n v="0"/>
    <n v="0"/>
    <n v="0"/>
    <n v="0"/>
    <n v="0"/>
    <n v="0"/>
    <n v="0"/>
    <n v="0"/>
    <n v="0"/>
  </r>
  <r>
    <d v="2001-08-01T00:00:00"/>
    <n v="2001"/>
    <x v="24"/>
    <s v="R"/>
    <s v="RS"/>
    <x v="9"/>
    <s v="PHX"/>
    <s v="A"/>
    <n v="1"/>
    <n v="2"/>
    <n v="-1"/>
    <n v="1"/>
    <n v="-8"/>
    <n v="8"/>
    <n v="1398.9243531728494"/>
    <n v="1492.7256430523171"/>
    <n v="0.24682650921853874"/>
    <n v="68"/>
    <n v="63"/>
    <n v="0"/>
    <n v="5"/>
    <n v="1"/>
    <n v="0.30770348867915065"/>
    <n v="1"/>
    <n v="72.25"/>
    <n v="72.25"/>
    <n v="16.744234497649426"/>
    <n v="1415.6685876704987"/>
    <n v="1"/>
    <n v="0"/>
    <n v="0"/>
    <n v="0"/>
    <n v="0"/>
    <n v="0"/>
    <n v="0"/>
    <n v="0"/>
    <n v="0"/>
    <n v="0"/>
  </r>
  <r>
    <d v="2001-08-01T00:00:00"/>
    <n v="2001"/>
    <x v="24"/>
    <s v="R"/>
    <s v="RS"/>
    <x v="3"/>
    <s v="MIN"/>
    <s v="H"/>
    <n v="2"/>
    <n v="1"/>
    <n v="1"/>
    <n v="-1"/>
    <n v="8"/>
    <n v="-8"/>
    <n v="1492.7256430523171"/>
    <n v="1398.9243531728494"/>
    <n v="0.75317349078146134"/>
    <n v="63"/>
    <n v="68"/>
    <n v="0"/>
    <n v="-5"/>
    <n v="0"/>
    <n v="0.30770348867915065"/>
    <n v="1"/>
    <n v="72.25"/>
    <n v="72.25"/>
    <n v="-16.74423449764943"/>
    <n v="1475.9814085546677"/>
    <n v="0"/>
    <n v="1"/>
    <n v="0"/>
    <n v="0"/>
    <n v="0"/>
    <n v="0"/>
    <n v="0"/>
    <n v="0"/>
    <n v="0"/>
    <n v="0"/>
  </r>
  <r>
    <d v="2001-08-02T00:00:00"/>
    <n v="2001"/>
    <x v="25"/>
    <s v="R"/>
    <s v="RS"/>
    <x v="15"/>
    <s v="LAS"/>
    <s v="A"/>
    <n v="3"/>
    <n v="2"/>
    <n v="1"/>
    <n v="-1"/>
    <n v="8"/>
    <n v="-8"/>
    <n v="1592.8003757552656"/>
    <n v="1725.1213645101541"/>
    <n v="0.23991596081323557"/>
    <n v="62"/>
    <n v="67"/>
    <n v="0"/>
    <n v="-5"/>
    <n v="0"/>
    <n v="0.29880724983965434"/>
    <n v="1"/>
    <n v="72.099999999999994"/>
    <n v="72.099999999999994"/>
    <n v="-5.1687501107576903"/>
    <n v="1587.6316256445079"/>
    <n v="0"/>
    <n v="1"/>
    <n v="0"/>
    <n v="0"/>
    <n v="0"/>
    <n v="0"/>
    <n v="0"/>
    <n v="0"/>
    <n v="0"/>
    <n v="0"/>
  </r>
  <r>
    <d v="2001-08-02T00:00:00"/>
    <n v="2001"/>
    <x v="25"/>
    <s v="R"/>
    <s v="RS"/>
    <x v="0"/>
    <s v="SAC"/>
    <s v="H"/>
    <n v="2"/>
    <n v="3"/>
    <n v="-1"/>
    <n v="1"/>
    <n v="-8"/>
    <n v="8"/>
    <n v="1725.1213645101541"/>
    <n v="1592.8003757552656"/>
    <n v="0.76008403918676448"/>
    <n v="67"/>
    <n v="62"/>
    <n v="0"/>
    <n v="5"/>
    <n v="1"/>
    <n v="0.29880724983965434"/>
    <n v="1"/>
    <n v="72.099999999999994"/>
    <n v="72.099999999999994"/>
    <n v="5.1687501107576894"/>
    <n v="1730.2901146209117"/>
    <n v="1"/>
    <n v="0"/>
    <n v="0"/>
    <n v="0"/>
    <n v="0"/>
    <n v="0"/>
    <n v="0"/>
    <n v="0"/>
    <n v="0"/>
    <n v="0"/>
  </r>
  <r>
    <d v="2001-08-03T00:00:00"/>
    <n v="2001"/>
    <x v="26"/>
    <s v="R"/>
    <s v="RS"/>
    <x v="12"/>
    <s v="HOU"/>
    <s v="A"/>
    <n v="1"/>
    <n v="1"/>
    <n v="0"/>
    <n v="0"/>
    <n v="0"/>
    <n v="0"/>
    <n v="1445.6830489794436"/>
    <n v="1607.0950151870384"/>
    <n v="0.19580778297552465"/>
    <n v="60"/>
    <n v="72"/>
    <n v="0"/>
    <n v="-12"/>
    <n v="0"/>
    <n v="0.4020497434120433"/>
    <n v="1"/>
    <n v="71.95"/>
    <n v="71.95"/>
    <n v="-5.6642255375989645"/>
    <n v="1440.0188234418447"/>
    <n v="0"/>
    <n v="1"/>
    <n v="0"/>
    <n v="0"/>
    <n v="0"/>
    <n v="0"/>
    <n v="0"/>
    <n v="0"/>
    <n v="0"/>
    <n v="0"/>
  </r>
  <r>
    <d v="2001-08-03T00:00:00"/>
    <n v="2001"/>
    <x v="25"/>
    <s v="R"/>
    <s v="RS"/>
    <x v="1"/>
    <s v="ORL"/>
    <s v="H"/>
    <n v="1"/>
    <n v="1"/>
    <n v="0"/>
    <n v="0"/>
    <n v="0"/>
    <n v="0"/>
    <n v="1607.0950151870384"/>
    <n v="1445.6830489794436"/>
    <n v="0.80419221702447541"/>
    <n v="72"/>
    <n v="60"/>
    <n v="0"/>
    <n v="12"/>
    <n v="1"/>
    <n v="0.4020497434120433"/>
    <n v="1"/>
    <n v="72.099999999999994"/>
    <n v="72.099999999999994"/>
    <n v="5.6760342079344701"/>
    <n v="1612.7710493949728"/>
    <n v="1"/>
    <n v="0"/>
    <n v="0"/>
    <n v="0"/>
    <n v="0"/>
    <n v="0"/>
    <n v="0"/>
    <n v="0"/>
    <n v="0"/>
    <n v="0"/>
  </r>
  <r>
    <d v="2001-08-03T00:00:00"/>
    <n v="2001"/>
    <x v="25"/>
    <s v="R"/>
    <s v="RS"/>
    <x v="3"/>
    <s v="MIA"/>
    <s v="A"/>
    <n v="1"/>
    <n v="2"/>
    <n v="-1"/>
    <n v="1"/>
    <n v="-8"/>
    <n v="8"/>
    <n v="1475.9814085546677"/>
    <n v="1539.777769439557"/>
    <n v="0.28031742052493908"/>
    <n v="61"/>
    <n v="72"/>
    <n v="0"/>
    <n v="-11"/>
    <n v="0"/>
    <n v="0.41763307811679301"/>
    <n v="1"/>
    <n v="72.099999999999994"/>
    <n v="72.099999999999994"/>
    <n v="-8.4407345399368232"/>
    <n v="1467.5406740147309"/>
    <n v="0"/>
    <n v="1"/>
    <n v="0"/>
    <n v="0"/>
    <n v="0"/>
    <n v="0"/>
    <n v="0"/>
    <n v="0"/>
    <n v="0"/>
    <n v="0"/>
  </r>
  <r>
    <d v="2001-08-03T00:00:00"/>
    <n v="2001"/>
    <x v="26"/>
    <s v="R"/>
    <s v="RS"/>
    <x v="8"/>
    <s v="PHX"/>
    <s v="H"/>
    <n v="2"/>
    <n v="1"/>
    <n v="1"/>
    <n v="-1"/>
    <n v="8"/>
    <n v="-8"/>
    <n v="1539.777769439557"/>
    <n v="1475.9814085546677"/>
    <n v="0.71968257947506098"/>
    <n v="72"/>
    <n v="61"/>
    <n v="0"/>
    <n v="11"/>
    <n v="1"/>
    <n v="0.41763307811679301"/>
    <n v="1"/>
    <n v="71.95"/>
    <n v="71.95"/>
    <n v="8.4231740658592837"/>
    <n v="1548.2009435054163"/>
    <n v="1"/>
    <n v="0"/>
    <n v="0"/>
    <n v="0"/>
    <n v="0"/>
    <n v="0"/>
    <n v="0"/>
    <n v="0"/>
    <n v="0"/>
    <n v="0"/>
  </r>
  <r>
    <d v="2001-08-03T00:00:00"/>
    <n v="2001"/>
    <x v="26"/>
    <s v="R"/>
    <s v="RS"/>
    <x v="13"/>
    <s v="MIN"/>
    <s v="A"/>
    <n v="2"/>
    <n v="1"/>
    <n v="1"/>
    <n v="-1"/>
    <n v="8"/>
    <n v="-8"/>
    <n v="1462.8211347072711"/>
    <n v="1415.6685876704987"/>
    <n v="0.47003405853443625"/>
    <n v="72"/>
    <n v="64"/>
    <n v="0"/>
    <n v="8"/>
    <n v="1"/>
    <n v="0.37363403788154809"/>
    <n v="1"/>
    <n v="71.95"/>
    <n v="71.95"/>
    <n v="14.247057989029708"/>
    <n v="1477.0681926963007"/>
    <n v="1"/>
    <n v="0"/>
    <n v="0"/>
    <n v="0"/>
    <n v="0"/>
    <n v="0"/>
    <n v="0"/>
    <n v="0"/>
    <n v="0"/>
    <n v="0"/>
  </r>
  <r>
    <d v="2001-08-03T00:00:00"/>
    <n v="2001"/>
    <x v="25"/>
    <s v="R"/>
    <s v="RS"/>
    <x v="9"/>
    <s v="CHA"/>
    <s v="H"/>
    <n v="1"/>
    <n v="2"/>
    <n v="-1"/>
    <n v="1"/>
    <n v="-8"/>
    <n v="8"/>
    <n v="1415.6685876704987"/>
    <n v="1462.8211347072711"/>
    <n v="0.52996594146556375"/>
    <n v="64"/>
    <n v="72"/>
    <n v="0"/>
    <n v="-8"/>
    <n v="0"/>
    <n v="0.37363403788154809"/>
    <n v="1"/>
    <n v="72.099999999999994"/>
    <n v="72.099999999999994"/>
    <n v="-14.276759986227129"/>
    <n v="1401.3918276842717"/>
    <n v="0"/>
    <n v="1"/>
    <n v="0"/>
    <n v="0"/>
    <n v="0"/>
    <n v="0"/>
    <n v="0"/>
    <n v="0"/>
    <n v="0"/>
    <n v="0"/>
  </r>
  <r>
    <d v="2001-08-03T00:00:00"/>
    <n v="2001"/>
    <x v="26"/>
    <s v="R"/>
    <s v="RS"/>
    <x v="6"/>
    <s v="SAC"/>
    <s v="A"/>
    <n v="1"/>
    <n v="0"/>
    <n v="1"/>
    <n v="-1"/>
    <n v="8"/>
    <n v="-8"/>
    <n v="1398.2504657336674"/>
    <n v="1587.6316256445079"/>
    <n v="0.18518510760481871"/>
    <n v="69"/>
    <n v="81"/>
    <n v="0"/>
    <n v="-12"/>
    <n v="0"/>
    <n v="0.39395620689643857"/>
    <n v="1"/>
    <n v="71.95"/>
    <n v="71.95"/>
    <n v="-5.249099483602345"/>
    <n v="1393.0013662500651"/>
    <n v="0"/>
    <n v="1"/>
    <n v="0"/>
    <n v="0"/>
    <n v="0"/>
    <n v="0"/>
    <n v="0"/>
    <n v="0"/>
    <n v="0"/>
    <n v="0"/>
  </r>
  <r>
    <d v="2001-08-03T00:00:00"/>
    <n v="2001"/>
    <x v="26"/>
    <s v="R"/>
    <s v="RS"/>
    <x v="15"/>
    <s v="IND"/>
    <s v="H"/>
    <n v="0"/>
    <n v="1"/>
    <n v="-1"/>
    <n v="1"/>
    <n v="-8"/>
    <n v="8"/>
    <n v="1587.6316256445079"/>
    <n v="1398.2504657336674"/>
    <n v="0.81481489239518123"/>
    <n v="81"/>
    <n v="69"/>
    <n v="0"/>
    <n v="12"/>
    <n v="1"/>
    <n v="0.39395620689643857"/>
    <n v="1"/>
    <n v="71.95"/>
    <n v="71.95"/>
    <n v="5.2490994836023468"/>
    <n v="1592.8807251281103"/>
    <n v="1"/>
    <n v="0"/>
    <n v="0"/>
    <n v="0"/>
    <n v="0"/>
    <n v="0"/>
    <n v="0"/>
    <n v="0"/>
    <n v="0"/>
    <n v="0"/>
  </r>
  <r>
    <d v="2001-08-03T00:00:00"/>
    <n v="2001"/>
    <x v="25"/>
    <s v="R"/>
    <s v="RS"/>
    <x v="2"/>
    <s v="SEA"/>
    <s v="A"/>
    <n v="1"/>
    <n v="3"/>
    <n v="-2"/>
    <n v="2"/>
    <n v="-16"/>
    <n v="16"/>
    <n v="1553.819891980052"/>
    <n v="1378.5768401380994"/>
    <n v="0.58444080255975295"/>
    <n v="64"/>
    <n v="61"/>
    <n v="0"/>
    <n v="3"/>
    <n v="1"/>
    <n v="0.2532063149506959"/>
    <n v="1"/>
    <n v="72.099999999999994"/>
    <n v="72.099999999999994"/>
    <n v="7.5865215592981512"/>
    <n v="1561.4064135393503"/>
    <n v="1"/>
    <n v="0"/>
    <n v="0"/>
    <n v="0"/>
    <n v="0"/>
    <n v="0"/>
    <n v="0"/>
    <n v="0"/>
    <n v="0"/>
    <n v="0"/>
  </r>
  <r>
    <d v="2001-08-03T00:00:00"/>
    <n v="2001"/>
    <x v="26"/>
    <s v="R"/>
    <s v="RS"/>
    <x v="11"/>
    <s v="UTA"/>
    <s v="H"/>
    <n v="3"/>
    <n v="1"/>
    <n v="2"/>
    <n v="-2"/>
    <n v="16"/>
    <n v="-16"/>
    <n v="1378.5768401380994"/>
    <n v="1553.819891980052"/>
    <n v="0.415559197440247"/>
    <n v="61"/>
    <n v="64"/>
    <n v="0"/>
    <n v="-3"/>
    <n v="0"/>
    <n v="0.2532063149506959"/>
    <n v="1"/>
    <n v="71.95"/>
    <n v="71.95"/>
    <n v="-7.5707382273439947"/>
    <n v="1371.0061019107554"/>
    <n v="0"/>
    <n v="1"/>
    <n v="0"/>
    <n v="0"/>
    <n v="0"/>
    <n v="0"/>
    <n v="0"/>
    <n v="0"/>
    <n v="0"/>
    <n v="0"/>
  </r>
  <r>
    <d v="2001-08-03T00:00:00"/>
    <n v="2001"/>
    <x v="26"/>
    <s v="R"/>
    <s v="RS"/>
    <x v="10"/>
    <s v="WAS"/>
    <s v="A"/>
    <n v="1"/>
    <n v="1"/>
    <n v="0"/>
    <n v="0"/>
    <n v="0"/>
    <n v="0"/>
    <n v="1431.2352090026598"/>
    <n v="1381.6826813829227"/>
    <n v="0.45058790789878461"/>
    <n v="50"/>
    <n v="64"/>
    <n v="0"/>
    <n v="-14"/>
    <n v="0"/>
    <n v="0.46827141021076613"/>
    <n v="1"/>
    <n v="71.95"/>
    <n v="71.95"/>
    <n v="-15.181265452256367"/>
    <n v="1416.0539435504033"/>
    <n v="0"/>
    <n v="1"/>
    <n v="0"/>
    <n v="0"/>
    <n v="0"/>
    <n v="0"/>
    <n v="0"/>
    <n v="0"/>
    <n v="0"/>
    <n v="0"/>
  </r>
  <r>
    <d v="2001-08-03T00:00:00"/>
    <n v="2001"/>
    <x v="25"/>
    <s v="R"/>
    <s v="RS"/>
    <x v="4"/>
    <s v="POR"/>
    <s v="H"/>
    <n v="1"/>
    <n v="1"/>
    <n v="0"/>
    <n v="0"/>
    <n v="0"/>
    <n v="0"/>
    <n v="1381.6826813829227"/>
    <n v="1431.2352090026598"/>
    <n v="0.54941209210121544"/>
    <n v="64"/>
    <n v="50"/>
    <n v="0"/>
    <n v="14"/>
    <n v="1"/>
    <n v="0.46827141021076613"/>
    <n v="1"/>
    <n v="72.099999999999994"/>
    <n v="72.099999999999994"/>
    <n v="15.212915067514716"/>
    <n v="1396.8955964504376"/>
    <n v="1"/>
    <n v="0"/>
    <n v="0"/>
    <n v="0"/>
    <n v="0"/>
    <n v="0"/>
    <n v="0"/>
    <n v="0"/>
    <n v="0"/>
    <n v="0"/>
  </r>
  <r>
    <d v="2001-08-04T00:00:00"/>
    <n v="2001"/>
    <x v="26"/>
    <s v="R"/>
    <s v="RS"/>
    <x v="1"/>
    <s v="CHA"/>
    <s v="A"/>
    <n v="0"/>
    <n v="0"/>
    <n v="0"/>
    <n v="0"/>
    <n v="0"/>
    <n v="0"/>
    <n v="1612.7710493949728"/>
    <n v="1477.0681926963007"/>
    <n v="0.57386196476746421"/>
    <n v="49"/>
    <n v="54"/>
    <n v="0"/>
    <n v="-5"/>
    <n v="0"/>
    <n v="0.29805069934301137"/>
    <n v="1"/>
    <n v="71.95"/>
    <n v="71.95"/>
    <n v="-12.306325116625139"/>
    <n v="1600.4647242783476"/>
    <n v="0"/>
    <n v="1"/>
    <n v="0"/>
    <n v="0"/>
    <n v="0"/>
    <n v="0"/>
    <n v="0"/>
    <n v="0"/>
    <n v="0"/>
    <n v="0"/>
  </r>
  <r>
    <d v="2001-08-04T00:00:00"/>
    <n v="2001"/>
    <x v="27"/>
    <s v="R"/>
    <s v="RS"/>
    <x v="13"/>
    <s v="HOU"/>
    <s v="H"/>
    <n v="0"/>
    <n v="0"/>
    <n v="0"/>
    <n v="0"/>
    <n v="0"/>
    <n v="0"/>
    <n v="1477.0681926963007"/>
    <n v="1612.7710493949728"/>
    <n v="0.42613803523253585"/>
    <n v="54"/>
    <n v="49"/>
    <n v="0"/>
    <n v="5"/>
    <n v="1"/>
    <n v="0.29805069934301137"/>
    <n v="1"/>
    <n v="71.8"/>
    <n v="71.8"/>
    <n v="12.28066912263634"/>
    <n v="1489.3488618189369"/>
    <n v="1"/>
    <n v="0"/>
    <n v="0"/>
    <n v="0"/>
    <n v="0"/>
    <n v="0"/>
    <n v="0"/>
    <n v="0"/>
    <n v="0"/>
    <n v="0"/>
  </r>
  <r>
    <d v="2001-08-04T00:00:00"/>
    <n v="2001"/>
    <x v="27"/>
    <s v="R"/>
    <s v="RS"/>
    <x v="10"/>
    <s v="DET"/>
    <s v="A"/>
    <n v="0"/>
    <n v="2"/>
    <n v="-2"/>
    <n v="2"/>
    <n v="-16"/>
    <n v="16"/>
    <n v="1416.0539435504033"/>
    <n v="1361.8548390163705"/>
    <n v="0.41198765637691548"/>
    <n v="65"/>
    <n v="70"/>
    <n v="0"/>
    <n v="-5"/>
    <n v="0"/>
    <n v="0.31741943453340632"/>
    <n v="1"/>
    <n v="71.8"/>
    <n v="71.8"/>
    <n v="-9.3894934245926951"/>
    <n v="1406.6644501258106"/>
    <n v="0"/>
    <n v="1"/>
    <n v="0"/>
    <n v="0"/>
    <n v="0"/>
    <n v="0"/>
    <n v="0"/>
    <n v="0"/>
    <n v="0"/>
    <n v="0"/>
  </r>
  <r>
    <d v="2001-08-04T00:00:00"/>
    <n v="2001"/>
    <x v="26"/>
    <s v="R"/>
    <s v="RS"/>
    <x v="14"/>
    <s v="POR"/>
    <s v="H"/>
    <n v="2"/>
    <n v="0"/>
    <n v="2"/>
    <n v="-2"/>
    <n v="16"/>
    <n v="-16"/>
    <n v="1361.8548390163705"/>
    <n v="1416.0539435504033"/>
    <n v="0.58801234362308452"/>
    <n v="70"/>
    <n v="65"/>
    <n v="0"/>
    <n v="5"/>
    <n v="1"/>
    <n v="0.31741943453340632"/>
    <n v="1"/>
    <n v="71.95"/>
    <n v="71.95"/>
    <n v="9.4091093579309799"/>
    <n v="1371.2639483743014"/>
    <n v="1"/>
    <n v="0"/>
    <n v="0"/>
    <n v="0"/>
    <n v="0"/>
    <n v="0"/>
    <n v="0"/>
    <n v="0"/>
    <n v="0"/>
    <n v="0"/>
  </r>
  <r>
    <d v="2001-08-04T00:00:00"/>
    <n v="2001"/>
    <x v="27"/>
    <s v="R"/>
    <s v="RS"/>
    <x v="11"/>
    <s v="LAS"/>
    <s v="A"/>
    <n v="0"/>
    <n v="1"/>
    <n v="-1"/>
    <n v="1"/>
    <n v="-8"/>
    <n v="8"/>
    <n v="1371.0061019107554"/>
    <n v="1730.2901146209117"/>
    <n v="6.6368993954251401E-2"/>
    <n v="60"/>
    <n v="79"/>
    <n v="0"/>
    <n v="-19"/>
    <n v="0"/>
    <n v="0.43171935438348574"/>
    <n v="1"/>
    <n v="71.8"/>
    <n v="71.8"/>
    <n v="-2.0572695480685814"/>
    <n v="1368.9488323626867"/>
    <n v="0"/>
    <n v="1"/>
    <n v="0"/>
    <n v="0"/>
    <n v="0"/>
    <n v="0"/>
    <n v="0"/>
    <n v="0"/>
    <n v="0"/>
    <n v="0"/>
  </r>
  <r>
    <d v="2001-08-04T00:00:00"/>
    <n v="2001"/>
    <x v="26"/>
    <s v="R"/>
    <s v="RS"/>
    <x v="0"/>
    <s v="SEA"/>
    <s v="H"/>
    <n v="1"/>
    <n v="0"/>
    <n v="1"/>
    <n v="-1"/>
    <n v="8"/>
    <n v="-8"/>
    <n v="1730.2901146209117"/>
    <n v="1371.0061019107554"/>
    <n v="0.93363100604574856"/>
    <n v="79"/>
    <n v="60"/>
    <n v="0"/>
    <n v="19"/>
    <n v="1"/>
    <n v="0.43171935438348574"/>
    <n v="1"/>
    <n v="71.95"/>
    <n v="71.95"/>
    <n v="2.0615674649517346"/>
    <n v="1732.3516820858633"/>
    <n v="1"/>
    <n v="0"/>
    <n v="0"/>
    <n v="0"/>
    <n v="0"/>
    <n v="0"/>
    <n v="0"/>
    <n v="0"/>
    <n v="0"/>
    <n v="0"/>
  </r>
  <r>
    <d v="2001-08-04T00:00:00"/>
    <n v="2001"/>
    <x v="26"/>
    <s v="R"/>
    <s v="RS"/>
    <x v="5"/>
    <s v="NYL"/>
    <s v="A"/>
    <n v="4"/>
    <n v="2"/>
    <n v="2"/>
    <n v="-2"/>
    <n v="16"/>
    <n v="-16"/>
    <n v="1652.2263648141"/>
    <n v="1575.7628933687079"/>
    <n v="0.53514769971246245"/>
    <n v="58"/>
    <n v="43"/>
    <n v="0"/>
    <n v="15"/>
    <n v="1"/>
    <n v="0.47272612742395331"/>
    <n v="1"/>
    <n v="71.95"/>
    <n v="71.95"/>
    <n v="15.810856205824237"/>
    <n v="1668.0372210199241"/>
    <n v="1"/>
    <n v="0"/>
    <n v="0"/>
    <n v="0"/>
    <n v="0"/>
    <n v="0"/>
    <n v="0"/>
    <n v="0"/>
    <n v="0"/>
    <n v="0"/>
  </r>
  <r>
    <d v="2001-08-04T00:00:00"/>
    <n v="2001"/>
    <x v="27"/>
    <s v="R"/>
    <s v="RS"/>
    <x v="7"/>
    <s v="CLE"/>
    <s v="H"/>
    <n v="2"/>
    <n v="4"/>
    <n v="-2"/>
    <n v="2"/>
    <n v="-16"/>
    <n v="16"/>
    <n v="1575.7628933687079"/>
    <n v="1652.2263648141"/>
    <n v="0.4648523002875376"/>
    <n v="43"/>
    <n v="58"/>
    <n v="0"/>
    <n v="-15"/>
    <n v="0"/>
    <n v="0.47272612742395331"/>
    <n v="1"/>
    <n v="71.8"/>
    <n v="71.8"/>
    <n v="-15.777894031663381"/>
    <n v="1559.9849993370444"/>
    <n v="0"/>
    <n v="1"/>
    <n v="0"/>
    <n v="0"/>
    <n v="0"/>
    <n v="0"/>
    <n v="0"/>
    <n v="0"/>
    <n v="0"/>
    <n v="0"/>
  </r>
  <r>
    <d v="2001-08-04T00:00:00"/>
    <n v="2001"/>
    <x v="27"/>
    <s v="R"/>
    <s v="RS"/>
    <x v="6"/>
    <s v="UTA"/>
    <s v="A"/>
    <n v="0"/>
    <n v="0"/>
    <n v="0"/>
    <n v="0"/>
    <n v="0"/>
    <n v="0"/>
    <n v="1393.0013662500651"/>
    <n v="1561.4064135393503"/>
    <n v="0.18954639896789857"/>
    <n v="54"/>
    <n v="65"/>
    <n v="0"/>
    <n v="-11"/>
    <n v="0"/>
    <n v="0.38570682368842385"/>
    <n v="1"/>
    <n v="71.8"/>
    <n v="71.8"/>
    <n v="-5.2492505752015592"/>
    <n v="1387.7521156748635"/>
    <n v="0"/>
    <n v="1"/>
    <n v="0"/>
    <n v="0"/>
    <n v="0"/>
    <n v="0"/>
    <n v="0"/>
    <n v="0"/>
    <n v="0"/>
    <n v="0"/>
  </r>
  <r>
    <d v="2001-08-04T00:00:00"/>
    <n v="2001"/>
    <x v="26"/>
    <s v="R"/>
    <s v="RS"/>
    <x v="2"/>
    <s v="IND"/>
    <s v="H"/>
    <n v="0"/>
    <n v="0"/>
    <n v="0"/>
    <n v="0"/>
    <n v="0"/>
    <n v="0"/>
    <n v="1561.4064135393503"/>
    <n v="1393.0013662500651"/>
    <n v="0.8104536010321014"/>
    <n v="65"/>
    <n v="54"/>
    <n v="0"/>
    <n v="11"/>
    <n v="1"/>
    <n v="0.38570682368842385"/>
    <n v="1"/>
    <n v="71.95"/>
    <n v="71.95"/>
    <n v="5.2602169761246831"/>
    <n v="1566.6666305154749"/>
    <n v="1"/>
    <n v="0"/>
    <n v="0"/>
    <n v="0"/>
    <n v="0"/>
    <n v="0"/>
    <n v="0"/>
    <n v="0"/>
    <n v="0"/>
    <n v="0"/>
  </r>
  <r>
    <d v="2001-08-05T00:00:00"/>
    <n v="2001"/>
    <x v="26"/>
    <s v="R"/>
    <s v="RS"/>
    <x v="4"/>
    <s v="MIA"/>
    <s v="A"/>
    <n v="1"/>
    <n v="1"/>
    <n v="0"/>
    <n v="0"/>
    <n v="0"/>
    <n v="0"/>
    <n v="1396.8955964504376"/>
    <n v="1548.2009435054163"/>
    <n v="0.20513133599981426"/>
    <n v="44"/>
    <n v="52"/>
    <n v="0"/>
    <n v="-8"/>
    <n v="0"/>
    <n v="0.344835934394218"/>
    <n v="1"/>
    <n v="71.95"/>
    <n v="71.95"/>
    <n v="-5.0895023936620261"/>
    <n v="1391.8060940567755"/>
    <n v="0"/>
    <n v="1"/>
    <n v="0"/>
    <n v="0"/>
    <n v="0"/>
    <n v="0"/>
    <n v="0"/>
    <n v="0"/>
    <n v="0"/>
    <n v="0"/>
  </r>
  <r>
    <d v="2001-08-05T00:00:00"/>
    <n v="2001"/>
    <x v="27"/>
    <s v="R"/>
    <s v="RS"/>
    <x v="8"/>
    <s v="WAS"/>
    <s v="H"/>
    <n v="1"/>
    <n v="1"/>
    <n v="0"/>
    <n v="0"/>
    <n v="0"/>
    <n v="0"/>
    <n v="1548.2009435054163"/>
    <n v="1396.8955964504376"/>
    <n v="0.79486866400018574"/>
    <n v="52"/>
    <n v="44"/>
    <n v="0"/>
    <n v="8"/>
    <n v="1"/>
    <n v="0.344835934394218"/>
    <n v="1"/>
    <n v="71.8"/>
    <n v="71.8"/>
    <n v="5.0788918952735704"/>
    <n v="1553.2798354006898"/>
    <n v="1"/>
    <n v="0"/>
    <n v="0"/>
    <n v="0"/>
    <n v="0"/>
    <n v="0"/>
    <n v="0"/>
    <n v="0"/>
    <n v="0"/>
    <n v="0"/>
  </r>
  <r>
    <d v="2001-08-05T00:00:00"/>
    <n v="2001"/>
    <x v="27"/>
    <s v="R"/>
    <s v="RS"/>
    <x v="15"/>
    <s v="MIN"/>
    <s v="A"/>
    <n v="1"/>
    <n v="1"/>
    <n v="0"/>
    <n v="0"/>
    <n v="0"/>
    <n v="0"/>
    <n v="1592.8807251281103"/>
    <n v="1401.3918276842717"/>
    <n v="0.64993552919387965"/>
    <n v="76"/>
    <n v="79"/>
    <n v="1"/>
    <n v="-3"/>
    <n v="0"/>
    <n v="0.22522508326319843"/>
    <n v="1"/>
    <n v="71.8"/>
    <n v="71.8"/>
    <n v="-10.510212068109297"/>
    <n v="1582.370513060001"/>
    <n v="0"/>
    <n v="1"/>
    <n v="0"/>
    <n v="0"/>
    <n v="0"/>
    <n v="0"/>
    <n v="0"/>
    <n v="0"/>
    <n v="0"/>
    <n v="0"/>
  </r>
  <r>
    <d v="2001-08-05T00:00:00"/>
    <n v="2001"/>
    <x v="26"/>
    <s v="R"/>
    <s v="RS"/>
    <x v="9"/>
    <s v="SAC"/>
    <s v="H"/>
    <n v="1"/>
    <n v="1"/>
    <n v="0"/>
    <n v="0"/>
    <n v="0"/>
    <n v="0"/>
    <n v="1401.3918276842717"/>
    <n v="1592.8807251281103"/>
    <n v="0.35006447080612041"/>
    <n v="79"/>
    <n v="76"/>
    <n v="1"/>
    <n v="3"/>
    <n v="1"/>
    <n v="0.22522508326319843"/>
    <n v="1"/>
    <n v="71.95"/>
    <n v="71.95"/>
    <n v="10.532169335661056"/>
    <n v="1411.9239970199328"/>
    <n v="1"/>
    <n v="0"/>
    <n v="0"/>
    <n v="0"/>
    <n v="0"/>
    <n v="0"/>
    <n v="0"/>
    <n v="0"/>
    <n v="0"/>
    <n v="0"/>
  </r>
  <r>
    <d v="2001-08-05T00:00:00"/>
    <n v="2001"/>
    <x v="26"/>
    <s v="R"/>
    <s v="RS"/>
    <x v="3"/>
    <s v="ORL"/>
    <s v="A"/>
    <n v="1"/>
    <n v="1"/>
    <n v="0"/>
    <n v="0"/>
    <n v="0"/>
    <n v="0"/>
    <n v="1467.5406740147309"/>
    <n v="1440.0188234418447"/>
    <n v="0.41942984671758515"/>
    <n v="69"/>
    <n v="78"/>
    <n v="0"/>
    <n v="-9"/>
    <n v="0"/>
    <n v="0.39686937739587314"/>
    <n v="1"/>
    <n v="71.95"/>
    <n v="71.95"/>
    <n v="-11.976715130113524"/>
    <n v="1455.5639588846175"/>
    <n v="0"/>
    <n v="1"/>
    <n v="0"/>
    <n v="0"/>
    <n v="0"/>
    <n v="0"/>
    <n v="0"/>
    <n v="0"/>
    <n v="0"/>
    <n v="0"/>
  </r>
  <r>
    <d v="2001-08-05T00:00:00"/>
    <n v="2001"/>
    <x v="27"/>
    <s v="R"/>
    <s v="RS"/>
    <x v="12"/>
    <s v="PHX"/>
    <s v="H"/>
    <n v="1"/>
    <n v="1"/>
    <n v="0"/>
    <n v="0"/>
    <n v="0"/>
    <n v="0"/>
    <n v="1440.0188234418447"/>
    <n v="1467.5406740147309"/>
    <n v="0.58057015328241479"/>
    <n v="78"/>
    <n v="69"/>
    <n v="0"/>
    <n v="9"/>
    <n v="1"/>
    <n v="0.39686937739587314"/>
    <n v="1"/>
    <n v="71.8"/>
    <n v="71.8"/>
    <n v="11.951746300794316"/>
    <n v="1451.9705697426391"/>
    <n v="1"/>
    <n v="0"/>
    <n v="0"/>
    <n v="0"/>
    <n v="0"/>
    <n v="0"/>
    <n v="0"/>
    <n v="0"/>
    <n v="0"/>
    <n v="0"/>
  </r>
  <r>
    <d v="2001-08-06T00:00:00"/>
    <n v="2001"/>
    <x v="27"/>
    <s v="R"/>
    <s v="RS"/>
    <x v="3"/>
    <s v="HOU"/>
    <s v="A"/>
    <n v="0"/>
    <n v="1"/>
    <n v="-1"/>
    <n v="1"/>
    <n v="-8"/>
    <n v="8"/>
    <n v="1455.5639588846175"/>
    <n v="1600.4647242783476"/>
    <n v="0.19627157755489902"/>
    <n v="48"/>
    <n v="62"/>
    <n v="0"/>
    <n v="-14"/>
    <n v="0"/>
    <n v="0.43507278700196167"/>
    <n v="1"/>
    <n v="71.8"/>
    <n v="71.8"/>
    <n v="-6.1311759179866572"/>
    <n v="1449.4327829666308"/>
    <n v="0"/>
    <n v="1"/>
    <n v="0"/>
    <n v="0"/>
    <n v="0"/>
    <n v="0"/>
    <n v="0"/>
    <n v="0"/>
    <n v="0"/>
    <n v="0"/>
  </r>
  <r>
    <d v="2001-08-06T00:00:00"/>
    <n v="2001"/>
    <x v="27"/>
    <s v="R"/>
    <s v="RS"/>
    <x v="1"/>
    <s v="PHX"/>
    <s v="H"/>
    <n v="1"/>
    <n v="0"/>
    <n v="1"/>
    <n v="-1"/>
    <n v="8"/>
    <n v="-8"/>
    <n v="1600.4647242783476"/>
    <n v="1455.5639588846175"/>
    <n v="0.80372842244510101"/>
    <n v="62"/>
    <n v="48"/>
    <n v="0"/>
    <n v="14"/>
    <n v="1"/>
    <n v="0.43507278700196167"/>
    <n v="1"/>
    <n v="71.8"/>
    <n v="71.8"/>
    <n v="6.1311759179866563"/>
    <n v="1606.5959001963342"/>
    <n v="1"/>
    <n v="0"/>
    <n v="0"/>
    <n v="0"/>
    <n v="0"/>
    <n v="0"/>
    <n v="0"/>
    <n v="0"/>
    <n v="0"/>
    <n v="0"/>
  </r>
  <r>
    <d v="2001-08-06T00:00:00"/>
    <n v="2001"/>
    <x v="28"/>
    <s v="R"/>
    <s v="RS"/>
    <x v="6"/>
    <s v="LAS"/>
    <s v="A"/>
    <n v="1"/>
    <n v="1"/>
    <n v="0"/>
    <n v="0"/>
    <n v="0"/>
    <n v="0"/>
    <n v="1387.7521156748635"/>
    <n v="1732.3516820858633"/>
    <n v="7.8188553817172698E-2"/>
    <n v="66"/>
    <n v="81"/>
    <n v="0"/>
    <n v="-15"/>
    <n v="0"/>
    <n v="0.39066282729614193"/>
    <n v="1"/>
    <n v="71.650000000000006"/>
    <n v="71.650000000000006"/>
    <n v="-2.1885751512180085"/>
    <n v="1385.5635405236455"/>
    <n v="0"/>
    <n v="1"/>
    <n v="0"/>
    <n v="0"/>
    <n v="0"/>
    <n v="0"/>
    <n v="0"/>
    <n v="0"/>
    <n v="0"/>
    <n v="0"/>
  </r>
  <r>
    <d v="2001-08-06T00:00:00"/>
    <n v="2001"/>
    <x v="27"/>
    <s v="R"/>
    <s v="RS"/>
    <x v="0"/>
    <s v="IND"/>
    <s v="H"/>
    <n v="1"/>
    <n v="1"/>
    <n v="0"/>
    <n v="0"/>
    <n v="0"/>
    <n v="0"/>
    <n v="1732.3516820858633"/>
    <n v="1387.7521156748635"/>
    <n v="0.92181144618282729"/>
    <n v="81"/>
    <n v="66"/>
    <n v="0"/>
    <n v="15"/>
    <n v="1"/>
    <n v="0.39066282729614193"/>
    <n v="1"/>
    <n v="71.8"/>
    <n v="71.8"/>
    <n v="2.1931569554424706"/>
    <n v="1734.5448390413057"/>
    <n v="1"/>
    <n v="0"/>
    <n v="0"/>
    <n v="0"/>
    <n v="0"/>
    <n v="0"/>
    <n v="0"/>
    <n v="0"/>
    <n v="0"/>
    <n v="0"/>
  </r>
  <r>
    <d v="2001-08-06T00:00:00"/>
    <n v="2001"/>
    <x v="28"/>
    <s v="R"/>
    <s v="RS"/>
    <x v="13"/>
    <s v="WAS"/>
    <s v="A"/>
    <n v="1"/>
    <n v="0"/>
    <n v="1"/>
    <n v="-1"/>
    <n v="8"/>
    <n v="-8"/>
    <n v="1489.3488618189369"/>
    <n v="1391.8060940567755"/>
    <n v="0.54241328997781413"/>
    <n v="65"/>
    <n v="60"/>
    <n v="0"/>
    <n v="5"/>
    <n v="1"/>
    <n v="0.30681622251272872"/>
    <n v="1"/>
    <n v="71.650000000000006"/>
    <n v="71.650000000000006"/>
    <n v="10.05930360151012"/>
    <n v="1499.4081654204469"/>
    <n v="1"/>
    <n v="0"/>
    <n v="0"/>
    <n v="0"/>
    <n v="0"/>
    <n v="0"/>
    <n v="0"/>
    <n v="0"/>
    <n v="0"/>
    <n v="0"/>
  </r>
  <r>
    <d v="2001-08-06T00:00:00"/>
    <n v="2001"/>
    <x v="27"/>
    <s v="R"/>
    <s v="RS"/>
    <x v="4"/>
    <s v="CHA"/>
    <s v="H"/>
    <n v="0"/>
    <n v="1"/>
    <n v="-1"/>
    <n v="1"/>
    <n v="-8"/>
    <n v="8"/>
    <n v="1391.8060940567755"/>
    <n v="1489.3488618189369"/>
    <n v="0.45758671002218587"/>
    <n v="60"/>
    <n v="65"/>
    <n v="0"/>
    <n v="-5"/>
    <n v="0"/>
    <n v="0.30681622251272872"/>
    <n v="1"/>
    <n v="71.8"/>
    <n v="71.8"/>
    <n v="-10.080362855386275"/>
    <n v="1381.7257312013892"/>
    <n v="0"/>
    <n v="1"/>
    <n v="0"/>
    <n v="0"/>
    <n v="0"/>
    <n v="0"/>
    <n v="0"/>
    <n v="0"/>
    <n v="0"/>
    <n v="0"/>
  </r>
  <r>
    <d v="2001-08-07T00:00:00"/>
    <n v="2001"/>
    <x v="27"/>
    <s v="R"/>
    <s v="RS"/>
    <x v="2"/>
    <s v="DET"/>
    <s v="A"/>
    <n v="2"/>
    <n v="2"/>
    <n v="0"/>
    <n v="0"/>
    <n v="0"/>
    <n v="0"/>
    <n v="1566.6666305154749"/>
    <n v="1371.2639483743014"/>
    <n v="0.65504396650326069"/>
    <n v="76"/>
    <n v="69"/>
    <n v="0"/>
    <n v="7"/>
    <n v="1"/>
    <n v="0.3182798862784838"/>
    <n v="1"/>
    <n v="71.8"/>
    <n v="71.8"/>
    <n v="7.8831063186716861"/>
    <n v="1574.5497368341466"/>
    <n v="1"/>
    <n v="0"/>
    <n v="0"/>
    <n v="0"/>
    <n v="0"/>
    <n v="0"/>
    <n v="0"/>
    <n v="0"/>
    <n v="0"/>
    <n v="0"/>
  </r>
  <r>
    <d v="2001-08-07T00:00:00"/>
    <n v="2001"/>
    <x v="27"/>
    <s v="R"/>
    <s v="RS"/>
    <x v="14"/>
    <s v="UTA"/>
    <s v="H"/>
    <n v="2"/>
    <n v="2"/>
    <n v="0"/>
    <n v="0"/>
    <n v="0"/>
    <n v="0"/>
    <n v="1371.2639483743014"/>
    <n v="1566.6666305154749"/>
    <n v="0.34495603349673931"/>
    <n v="69"/>
    <n v="76"/>
    <n v="0"/>
    <n v="-7"/>
    <n v="0"/>
    <n v="0.3182798862784838"/>
    <n v="1"/>
    <n v="71.8"/>
    <n v="71.8"/>
    <n v="-7.8831063186716861"/>
    <n v="1363.3808420556297"/>
    <n v="0"/>
    <n v="1"/>
    <n v="0"/>
    <n v="0"/>
    <n v="0"/>
    <n v="0"/>
    <n v="0"/>
    <n v="0"/>
    <n v="0"/>
    <n v="0"/>
  </r>
  <r>
    <d v="2001-08-07T00:00:00"/>
    <n v="2001"/>
    <x v="27"/>
    <s v="R"/>
    <s v="RS"/>
    <x v="5"/>
    <s v="ORL"/>
    <s v="A"/>
    <n v="2"/>
    <n v="1"/>
    <n v="1"/>
    <n v="-1"/>
    <n v="8"/>
    <n v="-8"/>
    <n v="1668.0372210199241"/>
    <n v="1451.9705697426391"/>
    <n v="0.70105781391485267"/>
    <n v="67"/>
    <n v="74"/>
    <n v="0"/>
    <n v="-7"/>
    <n v="0"/>
    <n v="0.31363538332322294"/>
    <n v="1"/>
    <n v="71.8"/>
    <n v="71.8"/>
    <n v="-15.78713529908285"/>
    <n v="1652.2500857208413"/>
    <n v="0"/>
    <n v="1"/>
    <n v="0"/>
    <n v="0"/>
    <n v="0"/>
    <n v="0"/>
    <n v="0"/>
    <n v="0"/>
    <n v="0"/>
    <n v="0"/>
  </r>
  <r>
    <d v="2001-08-07T00:00:00"/>
    <n v="2001"/>
    <x v="28"/>
    <s v="R"/>
    <s v="RS"/>
    <x v="12"/>
    <s v="CLE"/>
    <s v="H"/>
    <n v="1"/>
    <n v="2"/>
    <n v="-1"/>
    <n v="1"/>
    <n v="-8"/>
    <n v="8"/>
    <n v="1451.9705697426391"/>
    <n v="1668.0372210199241"/>
    <n v="0.29894218608514733"/>
    <n v="74"/>
    <n v="67"/>
    <n v="0"/>
    <n v="7"/>
    <n v="1"/>
    <n v="0.31363538332322294"/>
    <n v="1"/>
    <n v="71.650000000000006"/>
    <n v="71.650000000000006"/>
    <n v="15.754153818653014"/>
    <n v="1467.7247235612922"/>
    <n v="1"/>
    <n v="0"/>
    <n v="0"/>
    <n v="0"/>
    <n v="0"/>
    <n v="0"/>
    <n v="0"/>
    <n v="0"/>
    <n v="0"/>
    <n v="0"/>
  </r>
  <r>
    <d v="2001-08-07T00:00:00"/>
    <n v="2001"/>
    <x v="27"/>
    <s v="R"/>
    <s v="RS"/>
    <x v="9"/>
    <s v="SAC"/>
    <s v="A"/>
    <n v="1"/>
    <n v="1"/>
    <n v="0"/>
    <n v="0"/>
    <n v="0"/>
    <n v="0"/>
    <n v="1411.9239970199328"/>
    <n v="1582.370513060001"/>
    <n v="0.1877477120403758"/>
    <n v="59"/>
    <n v="76"/>
    <n v="0"/>
    <n v="-17"/>
    <n v="0"/>
    <n v="0.46622066269656315"/>
    <n v="1"/>
    <n v="71.8"/>
    <n v="71.8"/>
    <n v="-6.2847877438149355"/>
    <n v="1405.639209276118"/>
    <n v="0"/>
    <n v="1"/>
    <n v="0"/>
    <n v="0"/>
    <n v="0"/>
    <n v="0"/>
    <n v="0"/>
    <n v="0"/>
    <n v="0"/>
    <n v="0"/>
  </r>
  <r>
    <d v="2001-08-07T00:00:00"/>
    <n v="2001"/>
    <x v="28"/>
    <s v="R"/>
    <s v="RS"/>
    <x v="15"/>
    <s v="MIN"/>
    <s v="H"/>
    <n v="1"/>
    <n v="1"/>
    <n v="0"/>
    <n v="0"/>
    <n v="0"/>
    <n v="0"/>
    <n v="1582.370513060001"/>
    <n v="1411.9239970199328"/>
    <n v="0.81225228795962423"/>
    <n v="76"/>
    <n v="59"/>
    <n v="0"/>
    <n v="17"/>
    <n v="1"/>
    <n v="0.46622066269656315"/>
    <n v="1"/>
    <n v="71.650000000000006"/>
    <n v="71.650000000000006"/>
    <n v="6.2716579644058505"/>
    <n v="1588.6421710244069"/>
    <n v="1"/>
    <n v="0"/>
    <n v="0"/>
    <n v="0"/>
    <n v="0"/>
    <n v="0"/>
    <n v="0"/>
    <n v="0"/>
    <n v="0"/>
    <n v="0"/>
  </r>
  <r>
    <d v="2001-08-08T00:00:00"/>
    <n v="2001"/>
    <x v="28"/>
    <s v="R"/>
    <s v="RS"/>
    <x v="14"/>
    <s v="CLE"/>
    <s v="A"/>
    <n v="0"/>
    <n v="0"/>
    <n v="0"/>
    <n v="0"/>
    <n v="0"/>
    <n v="0"/>
    <n v="1363.3808420556297"/>
    <n v="1652.2500857208413"/>
    <n v="0.10466736818653431"/>
    <n v="66"/>
    <n v="73"/>
    <n v="0"/>
    <n v="-7"/>
    <n v="0"/>
    <n v="0.29829926897492626"/>
    <n v="1"/>
    <n v="71.650000000000006"/>
    <n v="71.650000000000006"/>
    <n v="-2.2370705881257797"/>
    <n v="1361.1437714675039"/>
    <n v="0"/>
    <n v="1"/>
    <n v="0"/>
    <n v="0"/>
    <n v="0"/>
    <n v="0"/>
    <n v="0"/>
    <n v="0"/>
    <n v="0"/>
    <n v="0"/>
  </r>
  <r>
    <d v="2001-08-08T00:00:00"/>
    <n v="2001"/>
    <x v="28"/>
    <s v="R"/>
    <s v="RS"/>
    <x v="5"/>
    <s v="DET"/>
    <s v="H"/>
    <n v="0"/>
    <n v="0"/>
    <n v="0"/>
    <n v="0"/>
    <n v="0"/>
    <n v="0"/>
    <n v="1652.2500857208413"/>
    <n v="1363.3808420556297"/>
    <n v="0.89533263181346578"/>
    <n v="73"/>
    <n v="66"/>
    <n v="0"/>
    <n v="7"/>
    <n v="1"/>
    <n v="0.29829926897492626"/>
    <n v="1"/>
    <n v="71.650000000000006"/>
    <n v="71.650000000000006"/>
    <n v="2.2370705881257775"/>
    <n v="1654.4871563089671"/>
    <n v="1"/>
    <n v="0"/>
    <n v="0"/>
    <n v="0"/>
    <n v="0"/>
    <n v="0"/>
    <n v="0"/>
    <n v="0"/>
    <n v="0"/>
    <n v="0"/>
  </r>
  <r>
    <d v="2001-08-08T00:00:00"/>
    <n v="2001"/>
    <x v="28"/>
    <s v="R"/>
    <s v="RS"/>
    <x v="3"/>
    <s v="LAS"/>
    <s v="A"/>
    <n v="1"/>
    <n v="1"/>
    <n v="0"/>
    <n v="0"/>
    <n v="0"/>
    <n v="0"/>
    <n v="1449.4327829666308"/>
    <n v="1734.5448390413057"/>
    <n v="0.10671158300699841"/>
    <n v="67"/>
    <n v="79"/>
    <n v="0"/>
    <n v="-12"/>
    <n v="0"/>
    <n v="0.3685616377922169"/>
    <n v="1"/>
    <n v="71.650000000000006"/>
    <n v="71.650000000000006"/>
    <n v="-2.8179798693895193"/>
    <n v="1446.6148030972413"/>
    <n v="0"/>
    <n v="1"/>
    <n v="0"/>
    <n v="0"/>
    <n v="0"/>
    <n v="0"/>
    <n v="0"/>
    <n v="0"/>
    <n v="0"/>
    <n v="0"/>
  </r>
  <r>
    <d v="2001-08-08T00:00:00"/>
    <n v="2001"/>
    <x v="28"/>
    <s v="R"/>
    <s v="RS"/>
    <x v="0"/>
    <s v="PHX"/>
    <s v="H"/>
    <n v="1"/>
    <n v="1"/>
    <n v="0"/>
    <n v="0"/>
    <n v="0"/>
    <n v="0"/>
    <n v="1734.5448390413057"/>
    <n v="1449.4327829666308"/>
    <n v="0.89328841699300154"/>
    <n v="79"/>
    <n v="67"/>
    <n v="0"/>
    <n v="12"/>
    <n v="1"/>
    <n v="0.3685616377922169"/>
    <n v="1"/>
    <n v="71.650000000000006"/>
    <n v="71.650000000000006"/>
    <n v="2.8179798693895202"/>
    <n v="1737.3628189106953"/>
    <n v="1"/>
    <n v="0"/>
    <n v="0"/>
    <n v="0"/>
    <n v="0"/>
    <n v="0"/>
    <n v="0"/>
    <n v="0"/>
    <n v="0"/>
    <n v="0"/>
  </r>
  <r>
    <d v="2001-08-08T00:00:00"/>
    <n v="2001"/>
    <x v="28"/>
    <s v="R"/>
    <s v="RS"/>
    <x v="2"/>
    <s v="NYL"/>
    <s v="A"/>
    <n v="0"/>
    <n v="3"/>
    <n v="-3"/>
    <n v="3"/>
    <n v="-16"/>
    <n v="16"/>
    <n v="1574.5497368341466"/>
    <n v="1559.9849993370444"/>
    <n v="0.35803378865006302"/>
    <n v="63"/>
    <n v="82"/>
    <n v="0"/>
    <n v="-19"/>
    <n v="0"/>
    <n v="0.55425047878053169"/>
    <n v="1"/>
    <n v="71.650000000000006"/>
    <n v="71.650000000000006"/>
    <n v="-14.218254572508553"/>
    <n v="1560.331482261638"/>
    <n v="0"/>
    <n v="1"/>
    <n v="0"/>
    <n v="0"/>
    <n v="0"/>
    <n v="0"/>
    <n v="0"/>
    <n v="0"/>
    <n v="0"/>
    <n v="0"/>
  </r>
  <r>
    <d v="2001-08-08T00:00:00"/>
    <n v="2001"/>
    <x v="28"/>
    <s v="R"/>
    <s v="RS"/>
    <x v="7"/>
    <s v="UTA"/>
    <s v="H"/>
    <n v="3"/>
    <n v="0"/>
    <n v="3"/>
    <n v="-3"/>
    <n v="16"/>
    <n v="-16"/>
    <n v="1559.9849993370444"/>
    <n v="1574.5497368341466"/>
    <n v="0.64196621134993692"/>
    <n v="82"/>
    <n v="63"/>
    <n v="0"/>
    <n v="19"/>
    <n v="1"/>
    <n v="0.55425047878053169"/>
    <n v="1"/>
    <n v="71.650000000000006"/>
    <n v="71.650000000000006"/>
    <n v="14.218254572508554"/>
    <n v="1574.203253909553"/>
    <n v="1"/>
    <n v="0"/>
    <n v="0"/>
    <n v="0"/>
    <n v="0"/>
    <n v="0"/>
    <n v="0"/>
    <n v="0"/>
    <n v="0"/>
    <n v="0"/>
  </r>
  <r>
    <d v="2001-08-08T00:00:00"/>
    <n v="2001"/>
    <x v="28"/>
    <s v="R"/>
    <s v="RS"/>
    <x v="9"/>
    <s v="POR"/>
    <s v="A"/>
    <n v="0"/>
    <n v="3"/>
    <n v="-3"/>
    <n v="3"/>
    <n v="-16"/>
    <n v="16"/>
    <n v="1405.639209276118"/>
    <n v="1406.6644501258106"/>
    <n v="0.3376797055943383"/>
    <n v="70"/>
    <n v="58"/>
    <n v="0"/>
    <n v="12"/>
    <n v="1"/>
    <n v="0.45574007362627106"/>
    <n v="1"/>
    <n v="71.650000000000006"/>
    <n v="71.650000000000006"/>
    <n v="21.62725871612809"/>
    <n v="1427.2664679922461"/>
    <n v="1"/>
    <n v="0"/>
    <n v="0"/>
    <n v="0"/>
    <n v="0"/>
    <n v="0"/>
    <n v="0"/>
    <n v="0"/>
    <n v="0"/>
    <n v="0"/>
  </r>
  <r>
    <d v="2001-08-08T00:00:00"/>
    <n v="2001"/>
    <x v="28"/>
    <s v="R"/>
    <s v="RS"/>
    <x v="10"/>
    <s v="MIN"/>
    <s v="H"/>
    <n v="3"/>
    <n v="0"/>
    <n v="3"/>
    <n v="-3"/>
    <n v="16"/>
    <n v="-16"/>
    <n v="1406.6644501258106"/>
    <n v="1405.639209276118"/>
    <n v="0.66232029440566165"/>
    <n v="58"/>
    <n v="70"/>
    <n v="0"/>
    <n v="-12"/>
    <n v="0"/>
    <n v="0.45574007362627106"/>
    <n v="1"/>
    <n v="71.650000000000006"/>
    <n v="71.650000000000006"/>
    <n v="-21.62725871612809"/>
    <n v="1385.0371914096825"/>
    <n v="0"/>
    <n v="1"/>
    <n v="0"/>
    <n v="0"/>
    <n v="0"/>
    <n v="0"/>
    <n v="0"/>
    <n v="0"/>
    <n v="0"/>
    <n v="0"/>
  </r>
  <r>
    <d v="2001-08-08T00:00:00"/>
    <n v="2001"/>
    <x v="28"/>
    <s v="R"/>
    <s v="RS"/>
    <x v="1"/>
    <s v="SEA"/>
    <s v="A"/>
    <n v="1"/>
    <n v="3"/>
    <n v="-2"/>
    <n v="2"/>
    <n v="-16"/>
    <n v="16"/>
    <n v="1606.5959001963342"/>
    <n v="1368.9488323626867"/>
    <n v="0.6682447083460038"/>
    <n v="55"/>
    <n v="72"/>
    <n v="0"/>
    <n v="-17"/>
    <n v="0"/>
    <n v="0.44442791085101596"/>
    <n v="1"/>
    <n v="71.650000000000006"/>
    <n v="71.650000000000006"/>
    <n v="-21.279089866173578"/>
    <n v="1585.3168103301607"/>
    <n v="0"/>
    <n v="1"/>
    <n v="0"/>
    <n v="0"/>
    <n v="0"/>
    <n v="0"/>
    <n v="0"/>
    <n v="0"/>
    <n v="0"/>
    <n v="0"/>
  </r>
  <r>
    <d v="2001-08-08T00:00:00"/>
    <n v="2001"/>
    <x v="28"/>
    <s v="R"/>
    <s v="RS"/>
    <x v="11"/>
    <s v="HOU"/>
    <s v="H"/>
    <n v="3"/>
    <n v="1"/>
    <n v="2"/>
    <n v="-2"/>
    <n v="16"/>
    <n v="-16"/>
    <n v="1368.9488323626867"/>
    <n v="1606.5959001963342"/>
    <n v="0.33175529165399625"/>
    <n v="72"/>
    <n v="55"/>
    <n v="0"/>
    <n v="17"/>
    <n v="1"/>
    <n v="0.44442791085101596"/>
    <n v="1"/>
    <n v="71.650000000000006"/>
    <n v="71.650000000000006"/>
    <n v="21.279089866173575"/>
    <n v="1390.2279222288603"/>
    <n v="1"/>
    <n v="0"/>
    <n v="0"/>
    <n v="0"/>
    <n v="0"/>
    <n v="0"/>
    <n v="0"/>
    <n v="0"/>
    <n v="0"/>
    <n v="0"/>
  </r>
  <r>
    <d v="2001-08-08T00:00:00"/>
    <n v="2001"/>
    <x v="28"/>
    <s v="R"/>
    <s v="RS"/>
    <x v="8"/>
    <s v="WAS"/>
    <s v="A"/>
    <n v="2"/>
    <n v="1"/>
    <n v="1"/>
    <n v="-1"/>
    <n v="8"/>
    <n v="-8"/>
    <n v="1553.2798354006898"/>
    <n v="1381.7257312013892"/>
    <n v="0.64476476513841685"/>
    <n v="42"/>
    <n v="36"/>
    <n v="0"/>
    <n v="6"/>
    <n v="1"/>
    <n v="0.30734253356726238"/>
    <n v="1"/>
    <n v="71.650000000000006"/>
    <n v="71.650000000000006"/>
    <n v="7.8226679768367209"/>
    <n v="1561.1025033775265"/>
    <n v="1"/>
    <n v="0"/>
    <n v="0"/>
    <n v="0"/>
    <n v="0"/>
    <n v="0"/>
    <n v="0"/>
    <n v="0"/>
    <n v="0"/>
    <n v="0"/>
  </r>
  <r>
    <d v="2001-08-08T00:00:00"/>
    <n v="2001"/>
    <x v="28"/>
    <s v="R"/>
    <s v="RS"/>
    <x v="4"/>
    <s v="MIA"/>
    <s v="H"/>
    <n v="1"/>
    <n v="2"/>
    <n v="-1"/>
    <n v="1"/>
    <n v="-8"/>
    <n v="8"/>
    <n v="1381.7257312013892"/>
    <n v="1553.2798354006898"/>
    <n v="0.35523523486158315"/>
    <n v="36"/>
    <n v="42"/>
    <n v="0"/>
    <n v="-6"/>
    <n v="0"/>
    <n v="0.30734253356726238"/>
    <n v="1"/>
    <n v="71.650000000000006"/>
    <n v="71.650000000000006"/>
    <n v="-7.8226679768367209"/>
    <n v="1373.9030632245524"/>
    <n v="0"/>
    <n v="1"/>
    <n v="0"/>
    <n v="0"/>
    <n v="0"/>
    <n v="0"/>
    <n v="0"/>
    <n v="0"/>
    <n v="0"/>
    <n v="0"/>
  </r>
  <r>
    <d v="2001-08-10T00:00:00"/>
    <n v="2001"/>
    <x v="29"/>
    <s v="R"/>
    <s v="RS"/>
    <x v="13"/>
    <s v="CLE"/>
    <s v="A"/>
    <n v="3"/>
    <n v="1"/>
    <n v="2"/>
    <n v="-2"/>
    <n v="16"/>
    <n v="-16"/>
    <n v="1499.4081654204469"/>
    <n v="1654.4871563089671"/>
    <n v="0.23289383643150108"/>
    <n v="55"/>
    <n v="53"/>
    <n v="0"/>
    <n v="2"/>
    <n v="1"/>
    <n v="0.2371888186096493"/>
    <n v="1"/>
    <n v="71.5"/>
    <n v="71.5"/>
    <n v="13.009353834976976"/>
    <n v="1512.4175192554239"/>
    <n v="1"/>
    <n v="0"/>
    <n v="0"/>
    <n v="0"/>
    <n v="0"/>
    <n v="0"/>
    <n v="0"/>
    <n v="0"/>
    <n v="0"/>
    <n v="0"/>
  </r>
  <r>
    <d v="2001-08-10T00:00:00"/>
    <n v="2001"/>
    <x v="29"/>
    <s v="R"/>
    <s v="RS"/>
    <x v="5"/>
    <s v="CHA"/>
    <s v="H"/>
    <n v="1"/>
    <n v="3"/>
    <n v="-2"/>
    <n v="2"/>
    <n v="-16"/>
    <n v="16"/>
    <n v="1654.4871563089671"/>
    <n v="1499.4081654204469"/>
    <n v="0.76710616356849892"/>
    <n v="53"/>
    <n v="55"/>
    <n v="0"/>
    <n v="-2"/>
    <n v="0"/>
    <n v="0.2371888186096493"/>
    <n v="1"/>
    <n v="71.5"/>
    <n v="71.5"/>
    <n v="-13.009353834976976"/>
    <n v="1641.4778024739901"/>
    <n v="0"/>
    <n v="1"/>
    <n v="0"/>
    <n v="0"/>
    <n v="0"/>
    <n v="0"/>
    <n v="0"/>
    <n v="0"/>
    <n v="0"/>
    <n v="0"/>
  </r>
  <r>
    <d v="2001-08-10T00:00:00"/>
    <n v="2001"/>
    <x v="29"/>
    <s v="R"/>
    <s v="RS"/>
    <x v="4"/>
    <s v="DET"/>
    <s v="A"/>
    <n v="1"/>
    <n v="1"/>
    <n v="0"/>
    <n v="0"/>
    <n v="0"/>
    <n v="0"/>
    <n v="1373.9030632245524"/>
    <n v="1361.1437714675039"/>
    <n v="0.39888946634810729"/>
    <n v="63"/>
    <n v="69"/>
    <n v="0"/>
    <n v="-6"/>
    <n v="0"/>
    <n v="0.3475849792900505"/>
    <n v="1"/>
    <n v="71.5"/>
    <n v="71.5"/>
    <n v="-9.9133310633232714"/>
    <n v="1363.9897321612291"/>
    <n v="0"/>
    <n v="1"/>
    <n v="0"/>
    <n v="0"/>
    <n v="0"/>
    <n v="0"/>
    <n v="0"/>
    <n v="0"/>
    <n v="0"/>
    <n v="0"/>
  </r>
  <r>
    <d v="2001-08-10T00:00:00"/>
    <n v="2001"/>
    <x v="29"/>
    <s v="R"/>
    <s v="RS"/>
    <x v="14"/>
    <s v="WAS"/>
    <s v="H"/>
    <n v="1"/>
    <n v="1"/>
    <n v="0"/>
    <n v="0"/>
    <n v="0"/>
    <n v="0"/>
    <n v="1361.1437714675039"/>
    <n v="1373.9030632245524"/>
    <n v="0.60111053365189271"/>
    <n v="69"/>
    <n v="63"/>
    <n v="0"/>
    <n v="6"/>
    <n v="1"/>
    <n v="0.3475849792900505"/>
    <n v="1"/>
    <n v="71.5"/>
    <n v="71.5"/>
    <n v="9.9133310633232714"/>
    <n v="1371.0571025308273"/>
    <n v="1"/>
    <n v="0"/>
    <n v="0"/>
    <n v="0"/>
    <n v="0"/>
    <n v="0"/>
    <n v="0"/>
    <n v="0"/>
    <n v="0"/>
    <n v="0"/>
  </r>
  <r>
    <d v="2001-08-10T00:00:00"/>
    <n v="2001"/>
    <x v="29"/>
    <s v="R"/>
    <s v="RS"/>
    <x v="6"/>
    <s v="MIA"/>
    <s v="A"/>
    <n v="3"/>
    <n v="1"/>
    <n v="2"/>
    <n v="-2"/>
    <n v="16"/>
    <n v="-16"/>
    <n v="1385.5635405236455"/>
    <n v="1561.1025033775265"/>
    <n v="0.21251703985421855"/>
    <n v="67"/>
    <n v="72"/>
    <n v="1"/>
    <n v="-5"/>
    <n v="0"/>
    <n v="0.26047713890617596"/>
    <n v="1"/>
    <n v="71.5"/>
    <n v="71.5"/>
    <n v="-3.9579418814676179"/>
    <n v="1381.6055986421779"/>
    <n v="0"/>
    <n v="1"/>
    <n v="0"/>
    <n v="0"/>
    <n v="0"/>
    <n v="0"/>
    <n v="0"/>
    <n v="0"/>
    <n v="0"/>
    <n v="0"/>
  </r>
  <r>
    <d v="2001-08-10T00:00:00"/>
    <n v="2001"/>
    <x v="29"/>
    <s v="R"/>
    <s v="RS"/>
    <x v="8"/>
    <s v="IND"/>
    <s v="H"/>
    <n v="1"/>
    <n v="3"/>
    <n v="-2"/>
    <n v="2"/>
    <n v="-16"/>
    <n v="16"/>
    <n v="1561.1025033775265"/>
    <n v="1385.5635405236455"/>
    <n v="0.78748296014578145"/>
    <n v="72"/>
    <n v="67"/>
    <n v="1"/>
    <n v="5"/>
    <n v="1"/>
    <n v="0.26047713890617596"/>
    <n v="1"/>
    <n v="71.5"/>
    <n v="71.5"/>
    <n v="3.9579418814676179"/>
    <n v="1565.0604452589942"/>
    <n v="1"/>
    <n v="0"/>
    <n v="0"/>
    <n v="0"/>
    <n v="0"/>
    <n v="0"/>
    <n v="0"/>
    <n v="0"/>
    <n v="0"/>
    <n v="0"/>
  </r>
  <r>
    <d v="2001-08-10T00:00:00"/>
    <n v="2001"/>
    <x v="29"/>
    <s v="R"/>
    <s v="RS"/>
    <x v="12"/>
    <s v="NYL"/>
    <s v="A"/>
    <n v="2"/>
    <n v="1"/>
    <n v="1"/>
    <n v="-1"/>
    <n v="8"/>
    <n v="-8"/>
    <n v="1467.7247235612922"/>
    <n v="1574.203253909553"/>
    <n v="0.2680812984174879"/>
    <n v="67"/>
    <n v="77"/>
    <n v="0"/>
    <n v="-10"/>
    <n v="0"/>
    <n v="0.38864445714495677"/>
    <n v="1"/>
    <n v="71.5"/>
    <n v="71.5"/>
    <n v="-7.4494642146338519"/>
    <n v="1460.2752593466582"/>
    <n v="0"/>
    <n v="1"/>
    <n v="0"/>
    <n v="0"/>
    <n v="0"/>
    <n v="0"/>
    <n v="0"/>
    <n v="0"/>
    <n v="0"/>
    <n v="0"/>
  </r>
  <r>
    <d v="2001-08-10T00:00:00"/>
    <n v="2001"/>
    <x v="29"/>
    <s v="R"/>
    <s v="RS"/>
    <x v="7"/>
    <s v="ORL"/>
    <s v="H"/>
    <n v="1"/>
    <n v="2"/>
    <n v="-1"/>
    <n v="1"/>
    <n v="-8"/>
    <n v="8"/>
    <n v="1574.203253909553"/>
    <n v="1467.7247235612922"/>
    <n v="0.73191870158251215"/>
    <n v="77"/>
    <n v="67"/>
    <n v="0"/>
    <n v="10"/>
    <n v="1"/>
    <n v="0.38864445714495677"/>
    <n v="1"/>
    <n v="71.5"/>
    <n v="71.5"/>
    <n v="7.4494642146338501"/>
    <n v="1581.652718124187"/>
    <n v="1"/>
    <n v="0"/>
    <n v="0"/>
    <n v="0"/>
    <n v="0"/>
    <n v="0"/>
    <n v="0"/>
    <n v="0"/>
    <n v="0"/>
    <n v="0"/>
  </r>
  <r>
    <d v="2001-08-10T00:00:00"/>
    <n v="2001"/>
    <x v="29"/>
    <s v="R"/>
    <s v="RS"/>
    <x v="9"/>
    <s v="SEA"/>
    <s v="A"/>
    <n v="1"/>
    <n v="1"/>
    <n v="0"/>
    <n v="0"/>
    <n v="0"/>
    <n v="0"/>
    <n v="1427.2664679922461"/>
    <n v="1390.2279222288603"/>
    <n v="0.43282562541427705"/>
    <n v="65"/>
    <n v="51"/>
    <n v="0"/>
    <n v="14"/>
    <n v="1"/>
    <n v="0.47300848162320885"/>
    <n v="1"/>
    <n v="71.5"/>
    <n v="71.5"/>
    <n v="19.181897716294593"/>
    <n v="1446.4483657085407"/>
    <n v="1"/>
    <n v="0"/>
    <n v="0"/>
    <n v="0"/>
    <n v="0"/>
    <n v="0"/>
    <n v="0"/>
    <n v="0"/>
    <n v="0"/>
    <n v="0"/>
  </r>
  <r>
    <d v="2001-08-10T00:00:00"/>
    <n v="2001"/>
    <x v="29"/>
    <s v="R"/>
    <s v="RS"/>
    <x v="11"/>
    <s v="MIN"/>
    <s v="H"/>
    <n v="1"/>
    <n v="1"/>
    <n v="0"/>
    <n v="0"/>
    <n v="0"/>
    <n v="0"/>
    <n v="1390.2279222288603"/>
    <n v="1427.2664679922461"/>
    <n v="0.56717437458572295"/>
    <n v="51"/>
    <n v="65"/>
    <n v="0"/>
    <n v="-14"/>
    <n v="0"/>
    <n v="0.47300848162320885"/>
    <n v="1"/>
    <n v="71.5"/>
    <n v="71.5"/>
    <n v="-19.181897716294593"/>
    <n v="1371.0460245125657"/>
    <n v="0"/>
    <n v="1"/>
    <n v="0"/>
    <n v="0"/>
    <n v="0"/>
    <n v="0"/>
    <n v="0"/>
    <n v="0"/>
    <n v="0"/>
    <n v="0"/>
  </r>
  <r>
    <d v="2001-08-10T00:00:00"/>
    <n v="2001"/>
    <x v="29"/>
    <s v="R"/>
    <s v="RS"/>
    <x v="3"/>
    <s v="UTA"/>
    <s v="A"/>
    <n v="1"/>
    <n v="1"/>
    <n v="0"/>
    <n v="0"/>
    <n v="0"/>
    <n v="0"/>
    <n v="1446.6148030972413"/>
    <n v="1560.331482261638"/>
    <n v="0.24266042491395454"/>
    <n v="57"/>
    <n v="69"/>
    <n v="0"/>
    <n v="-12"/>
    <n v="0"/>
    <n v="0.41664640509854833"/>
    <n v="1"/>
    <n v="71.5"/>
    <n v="71.5"/>
    <n v="-7.2289069495561042"/>
    <n v="1439.3858961476851"/>
    <n v="0"/>
    <n v="1"/>
    <n v="0"/>
    <n v="0"/>
    <n v="0"/>
    <n v="0"/>
    <n v="0"/>
    <n v="0"/>
    <n v="0"/>
    <n v="0"/>
  </r>
  <r>
    <d v="2001-08-10T00:00:00"/>
    <n v="2001"/>
    <x v="29"/>
    <s v="R"/>
    <s v="RS"/>
    <x v="2"/>
    <s v="PHX"/>
    <s v="H"/>
    <n v="1"/>
    <n v="1"/>
    <n v="0"/>
    <n v="0"/>
    <n v="0"/>
    <n v="0"/>
    <n v="1560.331482261638"/>
    <n v="1446.6148030972413"/>
    <n v="0.75733957508604544"/>
    <n v="69"/>
    <n v="57"/>
    <n v="0"/>
    <n v="12"/>
    <n v="1"/>
    <n v="0.41664640509854833"/>
    <n v="1"/>
    <n v="71.5"/>
    <n v="71.5"/>
    <n v="7.2289069495561051"/>
    <n v="1567.5603892111942"/>
    <n v="1"/>
    <n v="0"/>
    <n v="0"/>
    <n v="0"/>
    <n v="0"/>
    <n v="0"/>
    <n v="0"/>
    <n v="0"/>
    <n v="0"/>
    <n v="0"/>
  </r>
  <r>
    <d v="2001-08-11T00:00:00"/>
    <n v="2001"/>
    <x v="30"/>
    <s v="R"/>
    <s v="RS"/>
    <x v="7"/>
    <s v="CHA"/>
    <s v="A"/>
    <n v="0"/>
    <n v="0"/>
    <n v="0"/>
    <n v="0"/>
    <n v="0"/>
    <n v="0"/>
    <n v="1581.652718124187"/>
    <n v="1512.4175192554239"/>
    <n v="0.47876452502310568"/>
    <n v="60"/>
    <n v="80"/>
    <n v="0"/>
    <n v="-20"/>
    <n v="0"/>
    <n v="0.54352796971393968"/>
    <n v="1"/>
    <n v="71.349999999999994"/>
    <n v="71.349999999999994"/>
    <n v="-18.566833296827483"/>
    <n v="1563.0858848273595"/>
    <n v="0"/>
    <n v="1"/>
    <n v="0"/>
    <n v="0"/>
    <n v="0"/>
    <n v="0"/>
    <n v="0"/>
    <n v="0"/>
    <n v="0"/>
    <n v="0"/>
  </r>
  <r>
    <d v="2001-08-11T00:00:00"/>
    <n v="2001"/>
    <x v="30"/>
    <s v="R"/>
    <s v="RS"/>
    <x v="13"/>
    <s v="NYL"/>
    <s v="H"/>
    <n v="0"/>
    <n v="0"/>
    <n v="0"/>
    <n v="0"/>
    <n v="0"/>
    <n v="0"/>
    <n v="1512.4175192554239"/>
    <n v="1581.652718124187"/>
    <n v="0.52123547497689438"/>
    <n v="80"/>
    <n v="60"/>
    <n v="0"/>
    <n v="20"/>
    <n v="1"/>
    <n v="0.54352796971393968"/>
    <n v="1"/>
    <n v="71.349999999999994"/>
    <n v="71.349999999999994"/>
    <n v="18.566833296827479"/>
    <n v="1530.9843525522515"/>
    <n v="1"/>
    <n v="0"/>
    <n v="0"/>
    <n v="0"/>
    <n v="0"/>
    <n v="0"/>
    <n v="0"/>
    <n v="0"/>
    <n v="0"/>
    <n v="0"/>
  </r>
  <r>
    <d v="2001-08-11T00:00:00"/>
    <n v="2001"/>
    <x v="29"/>
    <s v="R"/>
    <s v="RS"/>
    <x v="1"/>
    <s v="LAS"/>
    <s v="A"/>
    <n v="2"/>
    <n v="2"/>
    <n v="0"/>
    <n v="0"/>
    <n v="0"/>
    <n v="0"/>
    <n v="1585.3168103301607"/>
    <n v="1737.3628189106953"/>
    <n v="0.20443702098259567"/>
    <n v="54"/>
    <n v="65"/>
    <n v="0"/>
    <n v="-11"/>
    <n v="0"/>
    <n v="0.39037367142800089"/>
    <n v="1"/>
    <n v="71.5"/>
    <n v="71.5"/>
    <n v="-5.706188377659708"/>
    <n v="1579.6106219525011"/>
    <n v="0"/>
    <n v="1"/>
    <n v="0"/>
    <n v="0"/>
    <n v="0"/>
    <n v="0"/>
    <n v="0"/>
    <n v="0"/>
    <n v="0"/>
    <n v="0"/>
  </r>
  <r>
    <d v="2001-08-11T00:00:00"/>
    <n v="2001"/>
    <x v="29"/>
    <s v="R"/>
    <s v="RS"/>
    <x v="0"/>
    <s v="HOU"/>
    <s v="H"/>
    <n v="2"/>
    <n v="2"/>
    <n v="0"/>
    <n v="0"/>
    <n v="0"/>
    <n v="0"/>
    <n v="1737.3628189106953"/>
    <n v="1585.3168103301607"/>
    <n v="0.79556297901740425"/>
    <n v="65"/>
    <n v="54"/>
    <n v="0"/>
    <n v="11"/>
    <n v="1"/>
    <n v="0.39037367142800089"/>
    <n v="1"/>
    <n v="71.5"/>
    <n v="71.5"/>
    <n v="5.7061883776597098"/>
    <n v="1743.0690072883549"/>
    <n v="1"/>
    <n v="0"/>
    <n v="0"/>
    <n v="0"/>
    <n v="0"/>
    <n v="0"/>
    <n v="0"/>
    <n v="0"/>
    <n v="0"/>
    <n v="0"/>
  </r>
  <r>
    <d v="2001-08-11T00:00:00"/>
    <n v="2001"/>
    <x v="30"/>
    <s v="R"/>
    <s v="RS"/>
    <x v="8"/>
    <s v="ORL"/>
    <s v="A"/>
    <n v="0"/>
    <n v="0"/>
    <n v="0"/>
    <n v="0"/>
    <n v="0"/>
    <n v="0"/>
    <n v="1565.0604452589942"/>
    <n v="1460.2752593466582"/>
    <n v="0.52987665288010277"/>
    <n v="75"/>
    <n v="64"/>
    <n v="0"/>
    <n v="11"/>
    <n v="1"/>
    <n v="0.40451345555406926"/>
    <n v="1"/>
    <n v="71.349999999999994"/>
    <n v="71.349999999999994"/>
    <n v="13.568716524176192"/>
    <n v="1578.6291617831703"/>
    <n v="1"/>
    <n v="0"/>
    <n v="0"/>
    <n v="0"/>
    <n v="0"/>
    <n v="0"/>
    <n v="0"/>
    <n v="0"/>
    <n v="0"/>
    <n v="0"/>
  </r>
  <r>
    <d v="2001-08-11T00:00:00"/>
    <n v="2001"/>
    <x v="30"/>
    <s v="R"/>
    <s v="RS"/>
    <x v="12"/>
    <s v="MIA"/>
    <s v="H"/>
    <n v="0"/>
    <n v="0"/>
    <n v="0"/>
    <n v="0"/>
    <n v="0"/>
    <n v="0"/>
    <n v="1460.2752593466582"/>
    <n v="1565.0604452589942"/>
    <n v="0.47012334711989723"/>
    <n v="64"/>
    <n v="75"/>
    <n v="0"/>
    <n v="-11"/>
    <n v="0"/>
    <n v="0.40451345555406926"/>
    <n v="1"/>
    <n v="71.349999999999994"/>
    <n v="71.349999999999994"/>
    <n v="-13.568716524176192"/>
    <n v="1446.7065428224821"/>
    <n v="0"/>
    <n v="1"/>
    <n v="0"/>
    <n v="0"/>
    <n v="0"/>
    <n v="0"/>
    <n v="0"/>
    <n v="0"/>
    <n v="0"/>
    <n v="0"/>
  </r>
  <r>
    <d v="2001-08-11T00:00:00"/>
    <n v="2001"/>
    <x v="29"/>
    <s v="R"/>
    <s v="RS"/>
    <x v="10"/>
    <s v="PHX"/>
    <s v="A"/>
    <n v="2"/>
    <n v="0"/>
    <n v="2"/>
    <n v="-2"/>
    <n v="16"/>
    <n v="-16"/>
    <n v="1385.0371914096825"/>
    <n v="1439.3858961476851"/>
    <n v="0.35155925434882873"/>
    <n v="62"/>
    <n v="73"/>
    <n v="0"/>
    <n v="-11"/>
    <n v="0"/>
    <n v="0.42077865773329803"/>
    <n v="1"/>
    <n v="71.5"/>
    <n v="71.5"/>
    <n v="-10.576897127841278"/>
    <n v="1374.4602942818412"/>
    <n v="0"/>
    <n v="1"/>
    <n v="0"/>
    <n v="0"/>
    <n v="0"/>
    <n v="0"/>
    <n v="0"/>
    <n v="0"/>
    <n v="0"/>
    <n v="0"/>
  </r>
  <r>
    <d v="2001-08-11T00:00:00"/>
    <n v="2001"/>
    <x v="30"/>
    <s v="R"/>
    <s v="RS"/>
    <x v="3"/>
    <s v="POR"/>
    <s v="H"/>
    <n v="0"/>
    <n v="2"/>
    <n v="-2"/>
    <n v="2"/>
    <n v="-16"/>
    <n v="16"/>
    <n v="1439.3858961476851"/>
    <n v="1385.0371914096825"/>
    <n v="0.64844074565117127"/>
    <n v="73"/>
    <n v="62"/>
    <n v="0"/>
    <n v="11"/>
    <n v="1"/>
    <n v="0.42077865773329803"/>
    <n v="1"/>
    <n v="71.349999999999994"/>
    <n v="71.349999999999994"/>
    <n v="10.554707833167484"/>
    <n v="1449.9406039808525"/>
    <n v="1"/>
    <n v="0"/>
    <n v="0"/>
    <n v="0"/>
    <n v="0"/>
    <n v="0"/>
    <n v="0"/>
    <n v="0"/>
    <n v="0"/>
    <n v="0"/>
  </r>
  <r>
    <d v="2001-08-11T00:00:00"/>
    <n v="2001"/>
    <x v="30"/>
    <s v="R"/>
    <s v="RS"/>
    <x v="11"/>
    <s v="SAC"/>
    <s v="A"/>
    <n v="0"/>
    <n v="3"/>
    <n v="-3"/>
    <n v="3"/>
    <n v="-16"/>
    <n v="16"/>
    <n v="1371.0460245125657"/>
    <n v="1588.6421710244069"/>
    <n v="0.127824349569475"/>
    <n v="61"/>
    <n v="81"/>
    <n v="0"/>
    <n v="-20"/>
    <n v="0"/>
    <n v="0.48664412105528027"/>
    <n v="1"/>
    <n v="71.349999999999994"/>
    <n v="71.349999999999994"/>
    <n v="-4.4383244843306988"/>
    <n v="1366.6077000282351"/>
    <n v="0"/>
    <n v="1"/>
    <n v="0"/>
    <n v="0"/>
    <n v="0"/>
    <n v="0"/>
    <n v="0"/>
    <n v="0"/>
    <n v="0"/>
    <n v="0"/>
  </r>
  <r>
    <d v="2001-08-11T00:00:00"/>
    <n v="2001"/>
    <x v="29"/>
    <s v="R"/>
    <s v="RS"/>
    <x v="15"/>
    <s v="SEA"/>
    <s v="H"/>
    <n v="3"/>
    <n v="0"/>
    <n v="3"/>
    <n v="-3"/>
    <n v="16"/>
    <n v="-16"/>
    <n v="1588.6421710244069"/>
    <n v="1371.0460245125657"/>
    <n v="0.87217565043052503"/>
    <n v="81"/>
    <n v="61"/>
    <n v="0"/>
    <n v="20"/>
    <n v="1"/>
    <n v="0.48664412105528027"/>
    <n v="1"/>
    <n v="71.5"/>
    <n v="71.5"/>
    <n v="4.4476552295675527"/>
    <n v="1593.0898262539745"/>
    <n v="1"/>
    <n v="0"/>
    <n v="0"/>
    <n v="0"/>
    <n v="0"/>
    <n v="0"/>
    <n v="0"/>
    <n v="0"/>
    <n v="0"/>
    <n v="0"/>
  </r>
  <r>
    <d v="2001-08-12T00:00:00"/>
    <n v="2001"/>
    <x v="30"/>
    <s v="R"/>
    <s v="RS"/>
    <x v="14"/>
    <s v="IND"/>
    <s v="A"/>
    <n v="1"/>
    <n v="1"/>
    <n v="0"/>
    <n v="0"/>
    <n v="0"/>
    <n v="0"/>
    <n v="1371.0571025308273"/>
    <n v="1381.6055986421779"/>
    <n v="0.36719601808427671"/>
    <n v="66"/>
    <n v="83"/>
    <n v="0"/>
    <n v="-17"/>
    <n v="0"/>
    <n v="0.52780246718808499"/>
    <n v="1"/>
    <n v="71.349999999999994"/>
    <n v="71.349999999999994"/>
    <n v="-13.828126901843339"/>
    <n v="1357.228975628984"/>
    <n v="0"/>
    <n v="1"/>
    <n v="0"/>
    <n v="0"/>
    <n v="0"/>
    <n v="0"/>
    <n v="0"/>
    <n v="0"/>
    <n v="0"/>
    <n v="0"/>
  </r>
  <r>
    <d v="2001-08-12T00:00:00"/>
    <n v="2001"/>
    <x v="30"/>
    <s v="R"/>
    <s v="RS"/>
    <x v="6"/>
    <s v="DET"/>
    <s v="H"/>
    <n v="1"/>
    <n v="1"/>
    <n v="0"/>
    <n v="0"/>
    <n v="0"/>
    <n v="0"/>
    <n v="1381.6055986421779"/>
    <n v="1371.0571025308273"/>
    <n v="0.63280398191572329"/>
    <n v="83"/>
    <n v="66"/>
    <n v="0"/>
    <n v="17"/>
    <n v="1"/>
    <n v="0.52780246718808499"/>
    <n v="1"/>
    <n v="71.349999999999994"/>
    <n v="71.349999999999994"/>
    <n v="13.828126901843339"/>
    <n v="1395.4337255440212"/>
    <n v="1"/>
    <n v="0"/>
    <n v="0"/>
    <n v="0"/>
    <n v="0"/>
    <n v="0"/>
    <n v="0"/>
    <n v="0"/>
    <n v="0"/>
    <n v="0"/>
  </r>
  <r>
    <d v="2001-08-12T00:00:00"/>
    <n v="2001"/>
    <x v="30"/>
    <s v="R"/>
    <s v="RS"/>
    <x v="2"/>
    <s v="MIN"/>
    <s v="A"/>
    <n v="1"/>
    <n v="1"/>
    <n v="0"/>
    <n v="0"/>
    <n v="0"/>
    <n v="0"/>
    <n v="1567.5603892111942"/>
    <n v="1446.4483657085407"/>
    <n v="0.55320628987474418"/>
    <n v="62"/>
    <n v="69"/>
    <n v="0"/>
    <n v="-7"/>
    <n v="0"/>
    <n v="0.33617785553648166"/>
    <n v="1"/>
    <n v="71.349999999999994"/>
    <n v="71.349999999999994"/>
    <n v="-13.269366494626102"/>
    <n v="1554.291022716568"/>
    <n v="0"/>
    <n v="1"/>
    <n v="0"/>
    <n v="0"/>
    <n v="0"/>
    <n v="0"/>
    <n v="0"/>
    <n v="0"/>
    <n v="0"/>
    <n v="0"/>
  </r>
  <r>
    <d v="2001-08-12T00:00:00"/>
    <n v="2001"/>
    <x v="30"/>
    <s v="R"/>
    <s v="RS"/>
    <x v="9"/>
    <s v="UTA"/>
    <s v="H"/>
    <n v="1"/>
    <n v="1"/>
    <n v="0"/>
    <n v="0"/>
    <n v="0"/>
    <n v="0"/>
    <n v="1446.4483657085407"/>
    <n v="1567.5603892111942"/>
    <n v="0.44679371012525587"/>
    <n v="69"/>
    <n v="62"/>
    <n v="0"/>
    <n v="7"/>
    <n v="1"/>
    <n v="0.33617785553648166"/>
    <n v="1"/>
    <n v="71.349999999999994"/>
    <n v="71.349999999999994"/>
    <n v="13.269366494626098"/>
    <n v="1459.7177322031669"/>
    <n v="1"/>
    <n v="0"/>
    <n v="0"/>
    <n v="0"/>
    <n v="0"/>
    <n v="0"/>
    <n v="0"/>
    <n v="0"/>
    <n v="0"/>
    <n v="0"/>
  </r>
  <r>
    <d v="2001-08-12T00:00:00"/>
    <n v="2001"/>
    <x v="30"/>
    <s v="R"/>
    <s v="RS"/>
    <x v="15"/>
    <s v="POR"/>
    <s v="A"/>
    <n v="0"/>
    <n v="0"/>
    <n v="0"/>
    <n v="0"/>
    <n v="0"/>
    <n v="0"/>
    <n v="1593.0898262539745"/>
    <n v="1374.4602942818412"/>
    <n v="0.6845993159392767"/>
    <n v="64"/>
    <n v="58"/>
    <n v="0"/>
    <n v="6"/>
    <n v="1"/>
    <n v="0.29714376009301241"/>
    <n v="1"/>
    <n v="71.349999999999994"/>
    <n v="71.349999999999994"/>
    <n v="6.6868752798567206"/>
    <n v="1599.7767015338311"/>
    <n v="1"/>
    <n v="0"/>
    <n v="0"/>
    <n v="0"/>
    <n v="0"/>
    <n v="0"/>
    <n v="0"/>
    <n v="0"/>
    <n v="0"/>
    <n v="0"/>
  </r>
  <r>
    <d v="2001-08-12T00:00:00"/>
    <n v="2001"/>
    <x v="30"/>
    <s v="R"/>
    <s v="RS"/>
    <x v="10"/>
    <s v="SAC"/>
    <s v="H"/>
    <n v="0"/>
    <n v="0"/>
    <n v="0"/>
    <n v="0"/>
    <n v="0"/>
    <n v="0"/>
    <n v="1374.4602942818412"/>
    <n v="1593.0898262539745"/>
    <n v="0.31540068406072336"/>
    <n v="58"/>
    <n v="64"/>
    <n v="0"/>
    <n v="-6"/>
    <n v="0"/>
    <n v="0.29714376009301241"/>
    <n v="1"/>
    <n v="71.349999999999994"/>
    <n v="71.349999999999994"/>
    <n v="-6.6868752798567215"/>
    <n v="1367.7734190019846"/>
    <n v="0"/>
    <n v="1"/>
    <n v="0"/>
    <n v="0"/>
    <n v="0"/>
    <n v="0"/>
    <n v="0"/>
    <n v="0"/>
    <n v="0"/>
    <n v="0"/>
  </r>
  <r>
    <d v="2001-08-12T00:00:00"/>
    <n v="2001"/>
    <x v="30"/>
    <s v="R"/>
    <s v="RS"/>
    <x v="5"/>
    <s v="WAS"/>
    <s v="A"/>
    <n v="1"/>
    <n v="1"/>
    <n v="0"/>
    <n v="0"/>
    <n v="0"/>
    <n v="0"/>
    <n v="1641.4778024739901"/>
    <n v="1363.9897321612291"/>
    <n v="0.75283814752014888"/>
    <n v="49"/>
    <n v="57"/>
    <n v="0"/>
    <n v="-8"/>
    <n v="0"/>
    <n v="0.31538572213646787"/>
    <n v="1"/>
    <n v="71.349999999999994"/>
    <n v="71.349999999999994"/>
    <n v="-16.940944640316758"/>
    <n v="1624.5368578336734"/>
    <n v="0"/>
    <n v="1"/>
    <n v="0"/>
    <n v="0"/>
    <n v="0"/>
    <n v="0"/>
    <n v="0"/>
    <n v="0"/>
    <n v="0"/>
    <n v="0"/>
  </r>
  <r>
    <d v="2001-08-12T00:00:00"/>
    <n v="2001"/>
    <x v="30"/>
    <s v="R"/>
    <s v="RS"/>
    <x v="4"/>
    <s v="CLE"/>
    <s v="H"/>
    <n v="1"/>
    <n v="1"/>
    <n v="0"/>
    <n v="0"/>
    <n v="0"/>
    <n v="0"/>
    <n v="1363.9897321612291"/>
    <n v="1641.4778024739901"/>
    <n v="0.24716185247985112"/>
    <n v="57"/>
    <n v="49"/>
    <n v="0"/>
    <n v="8"/>
    <n v="1"/>
    <n v="0.31538572213646787"/>
    <n v="1"/>
    <n v="71.349999999999994"/>
    <n v="71.349999999999994"/>
    <n v="16.940944640316758"/>
    <n v="1380.9306768015458"/>
    <n v="1"/>
    <n v="0"/>
    <n v="0"/>
    <n v="0"/>
    <n v="0"/>
    <n v="0"/>
    <n v="0"/>
    <n v="0"/>
    <n v="0"/>
    <n v="0"/>
  </r>
  <r>
    <d v="2001-08-13T00:00:00"/>
    <n v="2001"/>
    <x v="31"/>
    <s v="R"/>
    <s v="RS"/>
    <x v="9"/>
    <s v="HOU"/>
    <s v="A"/>
    <n v="0"/>
    <n v="1"/>
    <n v="-1"/>
    <n v="1"/>
    <n v="-8"/>
    <n v="8"/>
    <n v="1459.7177322031669"/>
    <n v="1579.6106219525011"/>
    <n v="0.21997617398335023"/>
    <n v="60"/>
    <n v="74"/>
    <n v="0"/>
    <n v="-14"/>
    <n v="0"/>
    <n v="0.44331606661813722"/>
    <n v="1"/>
    <n v="71.2"/>
    <n v="71.2"/>
    <n v="-6.9433508206404158"/>
    <n v="1452.7743813825264"/>
    <n v="0"/>
    <n v="1"/>
    <n v="0"/>
    <n v="0"/>
    <n v="0"/>
    <n v="0"/>
    <n v="0"/>
    <n v="0"/>
    <n v="0"/>
    <n v="0"/>
  </r>
  <r>
    <d v="2001-08-13T00:00:00"/>
    <n v="2001"/>
    <x v="30"/>
    <s v="R"/>
    <s v="RS"/>
    <x v="1"/>
    <s v="MIN"/>
    <s v="H"/>
    <n v="1"/>
    <n v="0"/>
    <n v="1"/>
    <n v="-1"/>
    <n v="8"/>
    <n v="-8"/>
    <n v="1579.6106219525011"/>
    <n v="1459.7177322031669"/>
    <n v="0.78002382601664977"/>
    <n v="74"/>
    <n v="60"/>
    <n v="0"/>
    <n v="14"/>
    <n v="1"/>
    <n v="0.44331606661813722"/>
    <n v="1"/>
    <n v="71.349999999999994"/>
    <n v="71.349999999999994"/>
    <n v="6.9579786664704155"/>
    <n v="1586.5686006189715"/>
    <n v="1"/>
    <n v="0"/>
    <n v="0"/>
    <n v="0"/>
    <n v="0"/>
    <n v="0"/>
    <n v="0"/>
    <n v="0"/>
    <n v="0"/>
    <n v="0"/>
  </r>
  <r>
    <d v="2001-08-13T00:00:00"/>
    <n v="2001"/>
    <x v="30"/>
    <s v="R"/>
    <s v="RS"/>
    <x v="0"/>
    <s v="UTA"/>
    <s v="A"/>
    <n v="1"/>
    <n v="0"/>
    <n v="1"/>
    <n v="-1"/>
    <n v="8"/>
    <n v="-8"/>
    <n v="1743.0690072883549"/>
    <n v="1554.291022716568"/>
    <n v="0.66713467694553585"/>
    <n v="78"/>
    <n v="80"/>
    <n v="1"/>
    <n v="-2"/>
    <n v="0"/>
    <n v="0.20829004325240366"/>
    <n v="1"/>
    <n v="71.349999999999994"/>
    <n v="71.349999999999994"/>
    <n v="-9.9146183895983011"/>
    <n v="1733.1543888987567"/>
    <n v="0"/>
    <n v="1"/>
    <n v="0"/>
    <n v="0"/>
    <n v="0"/>
    <n v="0"/>
    <n v="0"/>
    <n v="0"/>
    <n v="0"/>
    <n v="0"/>
  </r>
  <r>
    <d v="2001-08-13T00:00:00"/>
    <n v="2001"/>
    <x v="31"/>
    <s v="R"/>
    <s v="RS"/>
    <x v="2"/>
    <s v="LAS"/>
    <s v="H"/>
    <n v="0"/>
    <n v="1"/>
    <n v="-1"/>
    <n v="1"/>
    <n v="-8"/>
    <n v="8"/>
    <n v="1554.291022716568"/>
    <n v="1743.0690072883549"/>
    <n v="0.33286532305446415"/>
    <n v="80"/>
    <n v="78"/>
    <n v="1"/>
    <n v="2"/>
    <n v="1"/>
    <n v="0.20829004325240366"/>
    <n v="1"/>
    <n v="71.2"/>
    <n v="71.2"/>
    <n v="9.8937747629908781"/>
    <n v="1564.1847974795589"/>
    <n v="1"/>
    <n v="0"/>
    <n v="0"/>
    <n v="0"/>
    <n v="0"/>
    <n v="0"/>
    <n v="0"/>
    <n v="0"/>
    <n v="0"/>
    <n v="0"/>
  </r>
  <r>
    <d v="2001-08-14T00:00:00"/>
    <n v="2001"/>
    <x v="31"/>
    <s v="R"/>
    <s v="RS"/>
    <x v="5"/>
    <s v="DET"/>
    <s v="A"/>
    <n v="1"/>
    <n v="1"/>
    <n v="0"/>
    <n v="0"/>
    <n v="0"/>
    <n v="0"/>
    <n v="1624.5368578336734"/>
    <n v="1357.228975628984"/>
    <n v="0.7417731473151965"/>
    <n v="65"/>
    <n v="76"/>
    <n v="0"/>
    <n v="-11"/>
    <n v="0"/>
    <n v="0.35970853200632447"/>
    <n v="1"/>
    <n v="71.2"/>
    <n v="71.2"/>
    <n v="-18.99773564905518"/>
    <n v="1605.5391221846182"/>
    <n v="0"/>
    <n v="1"/>
    <n v="0"/>
    <n v="0"/>
    <n v="0"/>
    <n v="0"/>
    <n v="0"/>
    <n v="0"/>
    <n v="0"/>
    <n v="0"/>
  </r>
  <r>
    <d v="2001-08-14T00:00:00"/>
    <n v="2001"/>
    <x v="31"/>
    <s v="R"/>
    <s v="RS"/>
    <x v="14"/>
    <s v="CLE"/>
    <s v="H"/>
    <n v="1"/>
    <n v="1"/>
    <n v="0"/>
    <n v="0"/>
    <n v="0"/>
    <n v="0"/>
    <n v="1357.228975628984"/>
    <n v="1624.5368578336734"/>
    <n v="0.25822685268480355"/>
    <n v="76"/>
    <n v="65"/>
    <n v="0"/>
    <n v="11"/>
    <n v="1"/>
    <n v="0.35970853200632447"/>
    <n v="1"/>
    <n v="71.2"/>
    <n v="71.2"/>
    <n v="18.99773564905518"/>
    <n v="1376.2267112780391"/>
    <n v="1"/>
    <n v="0"/>
    <n v="0"/>
    <n v="0"/>
    <n v="0"/>
    <n v="0"/>
    <n v="0"/>
    <n v="0"/>
    <n v="0"/>
    <n v="0"/>
  </r>
  <r>
    <d v="2001-08-14T00:00:00"/>
    <n v="2001"/>
    <x v="31"/>
    <s v="R"/>
    <s v="RS"/>
    <x v="13"/>
    <s v="MIA"/>
    <s v="A"/>
    <n v="2"/>
    <n v="2"/>
    <n v="0"/>
    <n v="0"/>
    <n v="0"/>
    <n v="0"/>
    <n v="1530.9843525522515"/>
    <n v="1578.6291617831703"/>
    <n v="0.3191222669788904"/>
    <n v="48"/>
    <n v="41"/>
    <n v="0"/>
    <n v="7"/>
    <n v="1"/>
    <n v="0.35597359416608049"/>
    <n v="1"/>
    <n v="71.2"/>
    <n v="71.2"/>
    <n v="17.257063959355829"/>
    <n v="1548.2414165116072"/>
    <n v="1"/>
    <n v="0"/>
    <n v="0"/>
    <n v="0"/>
    <n v="0"/>
    <n v="0"/>
    <n v="0"/>
    <n v="0"/>
    <n v="0"/>
    <n v="0"/>
  </r>
  <r>
    <d v="2001-08-14T00:00:00"/>
    <n v="2001"/>
    <x v="31"/>
    <s v="R"/>
    <s v="RS"/>
    <x v="8"/>
    <s v="CHA"/>
    <s v="H"/>
    <n v="2"/>
    <n v="2"/>
    <n v="0"/>
    <n v="0"/>
    <n v="0"/>
    <n v="0"/>
    <n v="1578.6291617831703"/>
    <n v="1530.9843525522515"/>
    <n v="0.68087773302110954"/>
    <n v="41"/>
    <n v="48"/>
    <n v="0"/>
    <n v="-7"/>
    <n v="0"/>
    <n v="0.35597359416608049"/>
    <n v="1"/>
    <n v="71.2"/>
    <n v="71.2"/>
    <n v="-17.257063959355829"/>
    <n v="1561.3720978238146"/>
    <n v="0"/>
    <n v="1"/>
    <n v="0"/>
    <n v="0"/>
    <n v="0"/>
    <n v="0"/>
    <n v="0"/>
    <n v="0"/>
    <n v="0"/>
    <n v="0"/>
  </r>
  <r>
    <d v="2001-08-14T00:00:00"/>
    <n v="2001"/>
    <x v="31"/>
    <s v="R"/>
    <s v="RS"/>
    <x v="4"/>
    <s v="NYL"/>
    <s v="A"/>
    <n v="1"/>
    <n v="2"/>
    <n v="-1"/>
    <n v="1"/>
    <n v="-8"/>
    <n v="8"/>
    <n v="1380.9306768015458"/>
    <n v="1563.0858848273595"/>
    <n v="0.16462426094816357"/>
    <n v="56"/>
    <n v="71"/>
    <n v="0"/>
    <n v="-15"/>
    <n v="0"/>
    <n v="0.43657733237962559"/>
    <n v="1"/>
    <n v="71.2"/>
    <n v="71.2"/>
    <n v="-5.1172309131078233"/>
    <n v="1375.8134458884381"/>
    <n v="0"/>
    <n v="1"/>
    <n v="0"/>
    <n v="0"/>
    <n v="0"/>
    <n v="0"/>
    <n v="0"/>
    <n v="0"/>
    <n v="0"/>
    <n v="0"/>
  </r>
  <r>
    <d v="2001-08-14T00:00:00"/>
    <n v="2001"/>
    <x v="31"/>
    <s v="R"/>
    <s v="RS"/>
    <x v="7"/>
    <s v="WAS"/>
    <s v="H"/>
    <n v="2"/>
    <n v="1"/>
    <n v="1"/>
    <n v="-1"/>
    <n v="8"/>
    <n v="-8"/>
    <n v="1563.0858848273595"/>
    <n v="1380.9306768015458"/>
    <n v="0.83537573905183649"/>
    <n v="71"/>
    <n v="56"/>
    <n v="0"/>
    <n v="15"/>
    <n v="1"/>
    <n v="0.43657733237962559"/>
    <n v="1"/>
    <n v="71.2"/>
    <n v="71.2"/>
    <n v="5.1172309131078215"/>
    <n v="1568.2031157404672"/>
    <n v="1"/>
    <n v="0"/>
    <n v="0"/>
    <n v="0"/>
    <n v="0"/>
    <n v="0"/>
    <n v="0"/>
    <n v="0"/>
    <n v="0"/>
    <n v="0"/>
  </r>
  <r>
    <d v="2001-08-14T00:00:00"/>
    <n v="2001"/>
    <x v="31"/>
    <s v="R"/>
    <s v="RS"/>
    <x v="6"/>
    <s v="ORL"/>
    <s v="A"/>
    <n v="1"/>
    <n v="2"/>
    <n v="-1"/>
    <n v="1"/>
    <n v="-8"/>
    <n v="8"/>
    <n v="1395.4337255440212"/>
    <n v="1446.7065428224821"/>
    <n v="0.29508862825296284"/>
    <n v="72"/>
    <n v="78"/>
    <n v="0"/>
    <n v="-6"/>
    <n v="0"/>
    <n v="0.33688649468629855"/>
    <n v="1"/>
    <n v="71.2"/>
    <n v="71.2"/>
    <n v="-7.0780897998877368"/>
    <n v="1388.3556357441335"/>
    <n v="0"/>
    <n v="1"/>
    <n v="0"/>
    <n v="0"/>
    <n v="0"/>
    <n v="0"/>
    <n v="0"/>
    <n v="0"/>
    <n v="0"/>
    <n v="0"/>
  </r>
  <r>
    <d v="2001-08-14T00:00:00"/>
    <n v="2001"/>
    <x v="31"/>
    <s v="R"/>
    <s v="RS"/>
    <x v="12"/>
    <s v="IND"/>
    <s v="H"/>
    <n v="2"/>
    <n v="1"/>
    <n v="1"/>
    <n v="-1"/>
    <n v="8"/>
    <n v="-8"/>
    <n v="1446.7065428224821"/>
    <n v="1395.4337255440212"/>
    <n v="0.70491137174703722"/>
    <n v="78"/>
    <n v="72"/>
    <n v="0"/>
    <n v="6"/>
    <n v="1"/>
    <n v="0.33688649468629855"/>
    <n v="1"/>
    <n v="71.2"/>
    <n v="71.2"/>
    <n v="7.0780897998877359"/>
    <n v="1453.7846326223698"/>
    <n v="1"/>
    <n v="0"/>
    <n v="0"/>
    <n v="0"/>
    <n v="0"/>
    <n v="0"/>
    <n v="0"/>
    <n v="0"/>
    <n v="0"/>
    <n v="0"/>
  </r>
  <r>
    <d v="2001-08-14T00:00:00"/>
    <n v="2001"/>
    <x v="31"/>
    <s v="R"/>
    <s v="RS"/>
    <x v="1"/>
    <s v="PHX"/>
    <s v="A"/>
    <n v="0"/>
    <n v="2"/>
    <n v="-2"/>
    <n v="2"/>
    <n v="-16"/>
    <n v="16"/>
    <n v="1586.5686006189715"/>
    <n v="1449.9406039808525"/>
    <n v="0.52965124093782523"/>
    <n v="38"/>
    <n v="56"/>
    <n v="0"/>
    <n v="-18"/>
    <n v="0"/>
    <n v="0.49093743375274101"/>
    <n v="1"/>
    <n v="71.2"/>
    <n v="71.2"/>
    <n v="-18.51382421590991"/>
    <n v="1568.0547764030616"/>
    <n v="0"/>
    <n v="1"/>
    <n v="0"/>
    <n v="0"/>
    <n v="0"/>
    <n v="0"/>
    <n v="0"/>
    <n v="0"/>
    <n v="0"/>
    <n v="0"/>
  </r>
  <r>
    <d v="2001-08-14T00:00:00"/>
    <n v="2001"/>
    <x v="31"/>
    <s v="R"/>
    <s v="RS"/>
    <x v="3"/>
    <s v="HOU"/>
    <s v="H"/>
    <n v="2"/>
    <n v="0"/>
    <n v="2"/>
    <n v="-2"/>
    <n v="16"/>
    <n v="-16"/>
    <n v="1449.9406039808525"/>
    <n v="1586.5686006189715"/>
    <n v="0.47034875906217471"/>
    <n v="56"/>
    <n v="38"/>
    <n v="0"/>
    <n v="18"/>
    <n v="1"/>
    <n v="0.49093743375274101"/>
    <n v="1"/>
    <n v="71.2"/>
    <n v="71.2"/>
    <n v="18.513824215909914"/>
    <n v="1468.4544281967624"/>
    <n v="1"/>
    <n v="0"/>
    <n v="0"/>
    <n v="0"/>
    <n v="0"/>
    <n v="0"/>
    <n v="0"/>
    <n v="0"/>
    <n v="0"/>
    <n v="0"/>
  </r>
  <r>
    <d v="2001-08-14T00:00:00"/>
    <n v="2001"/>
    <x v="31"/>
    <s v="R"/>
    <s v="RS"/>
    <x v="0"/>
    <s v="POR"/>
    <s v="A"/>
    <n v="0"/>
    <n v="1"/>
    <n v="-1"/>
    <n v="1"/>
    <n v="-8"/>
    <n v="8"/>
    <n v="1733.1543888987567"/>
    <n v="1367.7734190019846"/>
    <n v="0.82166305078268076"/>
    <n v="67"/>
    <n v="58"/>
    <n v="0"/>
    <n v="9"/>
    <n v="1"/>
    <n v="0.31121231313347142"/>
    <n v="1"/>
    <n v="71.2"/>
    <n v="71.2"/>
    <n v="3.9516465991958905"/>
    <n v="1737.1060354979525"/>
    <n v="1"/>
    <n v="0"/>
    <n v="0"/>
    <n v="0"/>
    <n v="0"/>
    <n v="0"/>
    <n v="0"/>
    <n v="0"/>
    <n v="0"/>
    <n v="0"/>
  </r>
  <r>
    <d v="2001-08-14T00:00:00"/>
    <n v="2001"/>
    <x v="31"/>
    <s v="R"/>
    <s v="RS"/>
    <x v="10"/>
    <s v="LAS"/>
    <s v="H"/>
    <n v="1"/>
    <n v="0"/>
    <n v="1"/>
    <n v="-1"/>
    <n v="8"/>
    <n v="-8"/>
    <n v="1367.7734190019846"/>
    <n v="1733.1543888987567"/>
    <n v="0.17833694921731932"/>
    <n v="58"/>
    <n v="67"/>
    <n v="0"/>
    <n v="-9"/>
    <n v="0"/>
    <n v="0.31121231313347142"/>
    <n v="1"/>
    <n v="71.2"/>
    <n v="71.2"/>
    <n v="-3.9516465991958927"/>
    <n v="1363.8217724027888"/>
    <n v="0"/>
    <n v="1"/>
    <n v="0"/>
    <n v="0"/>
    <n v="0"/>
    <n v="0"/>
    <n v="0"/>
    <n v="0"/>
    <n v="0"/>
    <n v="0"/>
  </r>
  <r>
    <d v="2001-08-14T00:00:00"/>
    <n v="2001"/>
    <x v="31"/>
    <s v="R"/>
    <s v="RS"/>
    <x v="15"/>
    <s v="SEA"/>
    <s v="A"/>
    <n v="1"/>
    <n v="2"/>
    <n v="-1"/>
    <n v="1"/>
    <n v="-8"/>
    <n v="8"/>
    <n v="1599.7767015338311"/>
    <n v="1366.6077000282351"/>
    <n v="0.68278113373125149"/>
    <n v="72"/>
    <n v="62"/>
    <n v="0"/>
    <n v="10"/>
    <n v="1"/>
    <n v="0.35428873961502449"/>
    <n v="1"/>
    <n v="71.2"/>
    <n v="71.2"/>
    <n v="8.0019595486472888"/>
    <n v="1607.7786610824785"/>
    <n v="1"/>
    <n v="0"/>
    <n v="0"/>
    <n v="0"/>
    <n v="0"/>
    <n v="0"/>
    <n v="0"/>
    <n v="0"/>
    <n v="0"/>
    <n v="0"/>
  </r>
  <r>
    <d v="2001-08-14T00:00:00"/>
    <n v="2001"/>
    <x v="31"/>
    <s v="R"/>
    <s v="RS"/>
    <x v="11"/>
    <s v="SAC"/>
    <s v="H"/>
    <n v="2"/>
    <n v="1"/>
    <n v="1"/>
    <n v="-1"/>
    <n v="8"/>
    <n v="-8"/>
    <n v="1366.6077000282351"/>
    <n v="1599.7767015338311"/>
    <n v="0.31721886626874862"/>
    <n v="62"/>
    <n v="72"/>
    <n v="0"/>
    <n v="-10"/>
    <n v="0"/>
    <n v="0.35428873961502449"/>
    <n v="1"/>
    <n v="71.2"/>
    <n v="71.2"/>
    <n v="-8.0019595486472905"/>
    <n v="1358.6057404795877"/>
    <n v="0"/>
    <n v="1"/>
    <n v="0"/>
    <n v="0"/>
    <n v="0"/>
    <n v="0"/>
    <n v="0"/>
    <n v="0"/>
    <n v="0"/>
    <n v="0"/>
  </r>
  <r>
    <d v="2001-08-16T00:00:00"/>
    <n v="2001"/>
    <x v="32"/>
    <s v="P"/>
    <n v="1"/>
    <x v="5"/>
    <s v="CHA"/>
    <s v="A"/>
    <n v="1"/>
    <n v="1"/>
    <n v="0"/>
    <n v="0"/>
    <n v="0"/>
    <n v="0"/>
    <n v="1605.5391221846182"/>
    <n v="1548.2414165116072"/>
    <n v="0.46164779203631251"/>
    <n v="46"/>
    <n v="53"/>
    <n v="0"/>
    <n v="-7"/>
    <n v="0"/>
    <n v="0.35324060879189245"/>
    <n v="1.1000000000000001"/>
    <n v="71.05"/>
    <n v="78.155000000000001"/>
    <n v="-12.744950550096004"/>
    <n v="1592.7941716345222"/>
    <n v="0"/>
    <n v="0"/>
    <n v="0"/>
    <n v="1"/>
    <n v="0"/>
    <n v="0"/>
    <n v="0"/>
    <n v="0"/>
    <n v="0"/>
    <n v="0"/>
  </r>
  <r>
    <d v="2001-08-16T00:00:00"/>
    <n v="2001"/>
    <x v="32"/>
    <s v="P"/>
    <n v="1"/>
    <x v="13"/>
    <s v="CLE"/>
    <s v="H"/>
    <n v="1"/>
    <n v="1"/>
    <n v="0"/>
    <n v="0"/>
    <n v="0"/>
    <n v="0"/>
    <n v="1548.2414165116072"/>
    <n v="1605.5391221846182"/>
    <n v="0.53835220796368743"/>
    <n v="53"/>
    <n v="46"/>
    <n v="0"/>
    <n v="7"/>
    <n v="1"/>
    <n v="0.35324060879189245"/>
    <n v="1.1000000000000001"/>
    <n v="71.05"/>
    <n v="78.155000000000001"/>
    <n v="12.744950550096004"/>
    <n v="1560.9863670617033"/>
    <n v="0"/>
    <n v="0"/>
    <n v="1"/>
    <n v="0"/>
    <n v="0"/>
    <n v="0"/>
    <n v="0"/>
    <n v="0"/>
    <n v="0"/>
    <n v="0"/>
  </r>
  <r>
    <d v="2001-08-17T00:00:00"/>
    <n v="2001"/>
    <x v="32"/>
    <s v="P"/>
    <n v="1"/>
    <x v="7"/>
    <s v="MIA"/>
    <s v="A"/>
    <n v="2"/>
    <n v="2"/>
    <n v="0"/>
    <n v="0"/>
    <n v="0"/>
    <n v="0"/>
    <n v="1568.2031157404672"/>
    <n v="1561.3720978238146"/>
    <n v="0.39073580043851425"/>
    <n v="62"/>
    <n v="46"/>
    <n v="0"/>
    <n v="16"/>
    <n v="1"/>
    <n v="0.51485521130265322"/>
    <n v="1.1000000000000001"/>
    <n v="71.05"/>
    <n v="78.155000000000001"/>
    <n v="24.515883001412586"/>
    <n v="1592.7189987418797"/>
    <n v="0"/>
    <n v="0"/>
    <n v="1"/>
    <n v="0"/>
    <n v="0"/>
    <n v="0"/>
    <n v="0"/>
    <n v="0"/>
    <n v="0"/>
    <n v="0"/>
  </r>
  <r>
    <d v="2001-08-17T00:00:00"/>
    <n v="2001"/>
    <x v="32"/>
    <s v="P"/>
    <n v="1"/>
    <x v="8"/>
    <s v="NYL"/>
    <s v="H"/>
    <n v="2"/>
    <n v="2"/>
    <n v="0"/>
    <n v="0"/>
    <n v="0"/>
    <n v="0"/>
    <n v="1561.3720978238146"/>
    <n v="1568.2031157404672"/>
    <n v="0.60926419956148581"/>
    <n v="46"/>
    <n v="62"/>
    <n v="0"/>
    <n v="-16"/>
    <n v="0"/>
    <n v="0.51485521130265322"/>
    <n v="1.1000000000000001"/>
    <n v="71.05"/>
    <n v="78.155000000000001"/>
    <n v="-24.515883001412586"/>
    <n v="1536.8562148224021"/>
    <n v="0"/>
    <n v="0"/>
    <n v="0"/>
    <n v="1"/>
    <n v="0"/>
    <n v="0"/>
    <n v="0"/>
    <n v="0"/>
    <n v="0"/>
    <n v="0"/>
  </r>
  <r>
    <d v="2001-08-17T00:00:00"/>
    <n v="2001"/>
    <x v="32"/>
    <s v="P"/>
    <n v="1"/>
    <x v="15"/>
    <s v="UTA"/>
    <s v="A"/>
    <n v="2"/>
    <n v="3"/>
    <n v="-1"/>
    <n v="1"/>
    <n v="-8"/>
    <n v="8"/>
    <n v="1607.7786610824785"/>
    <n v="1564.1847974795589"/>
    <n v="0.41953079415957945"/>
    <n v="89"/>
    <n v="65"/>
    <n v="0"/>
    <n v="24"/>
    <n v="1"/>
    <n v="0.60640144617065606"/>
    <n v="1.1000000000000001"/>
    <n v="71.05"/>
    <n v="78.155000000000001"/>
    <n v="27.510354130286007"/>
    <n v="1635.2890152127645"/>
    <n v="0"/>
    <n v="0"/>
    <n v="1"/>
    <n v="0"/>
    <n v="0"/>
    <n v="0"/>
    <n v="0"/>
    <n v="0"/>
    <n v="0"/>
    <n v="0"/>
  </r>
  <r>
    <d v="2001-08-17T00:00:00"/>
    <n v="2001"/>
    <x v="32"/>
    <s v="P"/>
    <n v="1"/>
    <x v="2"/>
    <s v="SAC"/>
    <s v="H"/>
    <n v="3"/>
    <n v="2"/>
    <n v="1"/>
    <n v="-1"/>
    <n v="8"/>
    <n v="-8"/>
    <n v="1564.1847974795589"/>
    <n v="1607.7786610824785"/>
    <n v="0.5804692058404205"/>
    <n v="65"/>
    <n v="89"/>
    <n v="0"/>
    <n v="-24"/>
    <n v="0"/>
    <n v="0.60640144617065606"/>
    <n v="1.1000000000000001"/>
    <n v="71.05"/>
    <n v="78.155000000000001"/>
    <n v="-27.510354130286004"/>
    <n v="1536.6744433492729"/>
    <n v="0"/>
    <n v="0"/>
    <n v="0"/>
    <n v="1"/>
    <n v="0"/>
    <n v="0"/>
    <n v="0"/>
    <n v="0"/>
    <n v="0"/>
    <n v="0"/>
  </r>
  <r>
    <d v="2001-08-18T00:00:00"/>
    <n v="2001"/>
    <x v="33"/>
    <s v="P"/>
    <n v="1"/>
    <x v="13"/>
    <s v="CLE"/>
    <s v="A"/>
    <n v="1"/>
    <n v="1"/>
    <n v="0"/>
    <n v="0"/>
    <n v="0"/>
    <n v="0"/>
    <n v="1560.9863670617033"/>
    <n v="1592.7941716345222"/>
    <n v="0.3392488665645193"/>
    <n v="51"/>
    <n v="69"/>
    <n v="0"/>
    <n v="-18"/>
    <n v="0"/>
    <n v="0.53271355816677146"/>
    <n v="1.1000000000000001"/>
    <n v="70.900000000000006"/>
    <n v="77.990000000000009"/>
    <n v="-14.094545498598974"/>
    <n v="1546.8918215631043"/>
    <n v="0"/>
    <n v="0"/>
    <n v="0"/>
    <n v="1"/>
    <n v="0"/>
    <n v="0"/>
    <n v="0"/>
    <n v="0"/>
    <n v="0"/>
    <n v="0"/>
  </r>
  <r>
    <d v="2001-08-18T00:00:00"/>
    <n v="2001"/>
    <x v="33"/>
    <s v="P"/>
    <n v="1"/>
    <x v="5"/>
    <s v="CHA"/>
    <s v="H"/>
    <n v="1"/>
    <n v="1"/>
    <n v="0"/>
    <n v="0"/>
    <n v="0"/>
    <n v="0"/>
    <n v="1592.7941716345222"/>
    <n v="1560.9863670617033"/>
    <n v="0.66075113343548075"/>
    <n v="69"/>
    <n v="51"/>
    <n v="0"/>
    <n v="18"/>
    <n v="1"/>
    <n v="0.53271355816677146"/>
    <n v="1.1000000000000001"/>
    <n v="70.900000000000006"/>
    <n v="77.990000000000009"/>
    <n v="14.094545498598972"/>
    <n v="1606.8887171331212"/>
    <n v="0"/>
    <n v="0"/>
    <n v="1"/>
    <n v="0"/>
    <n v="0"/>
    <n v="0"/>
    <n v="0"/>
    <n v="0"/>
    <n v="0"/>
    <n v="0"/>
  </r>
  <r>
    <d v="2001-08-18T00:00:00"/>
    <n v="2001"/>
    <x v="32"/>
    <s v="P"/>
    <n v="1"/>
    <x v="0"/>
    <s v="HOU"/>
    <s v="A"/>
    <n v="3"/>
    <n v="3"/>
    <n v="0"/>
    <n v="0"/>
    <n v="0"/>
    <n v="0"/>
    <n v="1737.1060354979525"/>
    <n v="1568.0547764030616"/>
    <n v="0.62001087947933087"/>
    <n v="64"/>
    <n v="59"/>
    <n v="0"/>
    <n v="5"/>
    <n v="1"/>
    <n v="0.2907905514193051"/>
    <n v="1.1000000000000001"/>
    <n v="71.05"/>
    <n v="78.155000000000001"/>
    <n v="8.6359122524971674"/>
    <n v="1745.7419477504495"/>
    <n v="0"/>
    <n v="0"/>
    <n v="1"/>
    <n v="0"/>
    <n v="0"/>
    <n v="0"/>
    <n v="0"/>
    <n v="0"/>
    <n v="0"/>
    <n v="0"/>
  </r>
  <r>
    <d v="2001-08-18T00:00:00"/>
    <n v="2001"/>
    <x v="32"/>
    <s v="P"/>
    <n v="1"/>
    <x v="1"/>
    <s v="LAS"/>
    <s v="H"/>
    <n v="3"/>
    <n v="3"/>
    <n v="0"/>
    <n v="0"/>
    <n v="0"/>
    <n v="0"/>
    <n v="1568.0547764030616"/>
    <n v="1737.1060354979525"/>
    <n v="0.37998912052066913"/>
    <n v="59"/>
    <n v="64"/>
    <n v="0"/>
    <n v="-5"/>
    <n v="0"/>
    <n v="0.2907905514193051"/>
    <n v="1.1000000000000001"/>
    <n v="71.05"/>
    <n v="78.155000000000001"/>
    <n v="-8.6359122524971674"/>
    <n v="1559.4188641505646"/>
    <n v="0"/>
    <n v="0"/>
    <n v="0"/>
    <n v="1"/>
    <n v="0"/>
    <n v="0"/>
    <n v="0"/>
    <n v="0"/>
    <n v="0"/>
    <n v="0"/>
  </r>
  <r>
    <d v="2001-08-19T00:00:00"/>
    <n v="2001"/>
    <x v="33"/>
    <s v="P"/>
    <n v="1"/>
    <x v="8"/>
    <s v="NYL"/>
    <s v="A"/>
    <n v="1"/>
    <n v="1"/>
    <n v="0"/>
    <n v="0"/>
    <n v="0"/>
    <n v="0"/>
    <n v="1536.8562148224021"/>
    <n v="1592.7189987418797"/>
    <n v="0.30893245597451707"/>
    <n v="53"/>
    <n v="50"/>
    <n v="0"/>
    <n v="3"/>
    <n v="1"/>
    <n v="0.27727569426945975"/>
    <n v="1.1000000000000001"/>
    <n v="70.900000000000006"/>
    <n v="77.990000000000009"/>
    <n v="14.944150016096421"/>
    <n v="1551.8003648384986"/>
    <n v="0"/>
    <n v="0"/>
    <n v="1"/>
    <n v="0"/>
    <n v="0"/>
    <n v="0"/>
    <n v="0"/>
    <n v="0"/>
    <n v="0"/>
    <n v="0"/>
  </r>
  <r>
    <d v="2001-08-19T00:00:00"/>
    <n v="2001"/>
    <x v="33"/>
    <s v="P"/>
    <n v="1"/>
    <x v="7"/>
    <s v="MIA"/>
    <s v="H"/>
    <n v="1"/>
    <n v="1"/>
    <n v="0"/>
    <n v="0"/>
    <n v="0"/>
    <n v="0"/>
    <n v="1592.7189987418797"/>
    <n v="1536.8562148224021"/>
    <n v="0.69106754402548287"/>
    <n v="50"/>
    <n v="53"/>
    <n v="0"/>
    <n v="-3"/>
    <n v="0"/>
    <n v="0.27727569426945975"/>
    <n v="1.1000000000000001"/>
    <n v="70.900000000000006"/>
    <n v="77.990000000000009"/>
    <n v="-14.944150016096419"/>
    <n v="1577.7748487257832"/>
    <n v="0"/>
    <n v="0"/>
    <n v="0"/>
    <n v="1"/>
    <n v="0"/>
    <n v="0"/>
    <n v="0"/>
    <n v="0"/>
    <n v="0"/>
    <n v="0"/>
  </r>
  <r>
    <d v="2001-08-19T00:00:00"/>
    <n v="2001"/>
    <x v="33"/>
    <s v="P"/>
    <n v="1"/>
    <x v="2"/>
    <s v="SAC"/>
    <s v="A"/>
    <n v="1"/>
    <n v="1"/>
    <n v="0"/>
    <n v="0"/>
    <n v="0"/>
    <n v="0"/>
    <n v="1536.6744433492729"/>
    <n v="1635.2890152127645"/>
    <n v="0.25899205199492303"/>
    <n v="66"/>
    <n v="71"/>
    <n v="0"/>
    <n v="-5"/>
    <n v="0"/>
    <n v="0.30656299350023442"/>
    <n v="1.1000000000000001"/>
    <n v="70.900000000000006"/>
    <n v="77.990000000000009"/>
    <n v="-6.1922015688943706"/>
    <n v="1530.4822417803784"/>
    <n v="0"/>
    <n v="0"/>
    <n v="0"/>
    <n v="1"/>
    <n v="0"/>
    <n v="0"/>
    <n v="0"/>
    <n v="0"/>
    <n v="0"/>
    <n v="0"/>
  </r>
  <r>
    <d v="2001-08-19T00:00:00"/>
    <n v="2001"/>
    <x v="33"/>
    <s v="P"/>
    <n v="1"/>
    <x v="15"/>
    <s v="UTA"/>
    <s v="H"/>
    <n v="1"/>
    <n v="1"/>
    <n v="0"/>
    <n v="0"/>
    <n v="0"/>
    <n v="0"/>
    <n v="1635.2890152127645"/>
    <n v="1536.6744433492729"/>
    <n v="0.74100794800507697"/>
    <n v="71"/>
    <n v="66"/>
    <n v="0"/>
    <n v="5"/>
    <n v="1"/>
    <n v="0.30656299350023442"/>
    <n v="1.1000000000000001"/>
    <n v="70.900000000000006"/>
    <n v="77.990000000000009"/>
    <n v="6.1922015688943706"/>
    <n v="1641.481216781659"/>
    <n v="0"/>
    <n v="0"/>
    <n v="1"/>
    <n v="0"/>
    <n v="0"/>
    <n v="0"/>
    <n v="0"/>
    <n v="0"/>
    <n v="0"/>
    <n v="0"/>
  </r>
  <r>
    <d v="2001-08-20T00:00:00"/>
    <n v="2001"/>
    <x v="34"/>
    <s v="P"/>
    <n v="1"/>
    <x v="13"/>
    <s v="CLE"/>
    <s v="A"/>
    <n v="1"/>
    <n v="1"/>
    <n v="0"/>
    <n v="0"/>
    <n v="0"/>
    <n v="0"/>
    <n v="1546.8918215631043"/>
    <n v="1606.8887171331212"/>
    <n v="0.30387500980066801"/>
    <n v="72"/>
    <n v="64"/>
    <n v="0"/>
    <n v="8"/>
    <n v="1"/>
    <n v="0.36982523023820618"/>
    <n v="1.1000000000000001"/>
    <n v="70.75"/>
    <n v="77.825000000000003"/>
    <n v="20.035624810117255"/>
    <n v="1566.9274463732215"/>
    <n v="0"/>
    <n v="0"/>
    <n v="1"/>
    <n v="0"/>
    <n v="0"/>
    <n v="0"/>
    <n v="0"/>
    <n v="0"/>
    <n v="0"/>
    <n v="0"/>
  </r>
  <r>
    <d v="2001-08-20T00:00:00"/>
    <n v="2001"/>
    <x v="34"/>
    <s v="P"/>
    <n v="1"/>
    <x v="5"/>
    <s v="CHA"/>
    <s v="H"/>
    <n v="1"/>
    <n v="1"/>
    <n v="0"/>
    <n v="0"/>
    <n v="0"/>
    <n v="0"/>
    <n v="1606.8887171331212"/>
    <n v="1546.8918215631043"/>
    <n v="0.69612499019933194"/>
    <n v="64"/>
    <n v="72"/>
    <n v="0"/>
    <n v="-8"/>
    <n v="0"/>
    <n v="0.36982523023820618"/>
    <n v="1.1000000000000001"/>
    <n v="70.75"/>
    <n v="77.825000000000003"/>
    <n v="-20.035624810117252"/>
    <n v="1586.8530923230039"/>
    <n v="0"/>
    <n v="0"/>
    <n v="0"/>
    <n v="1"/>
    <n v="0"/>
    <n v="0"/>
    <n v="0"/>
    <n v="0"/>
    <n v="0"/>
    <n v="0"/>
  </r>
  <r>
    <d v="2001-08-20T00:00:00"/>
    <n v="2001"/>
    <x v="33"/>
    <s v="P"/>
    <n v="1"/>
    <x v="1"/>
    <s v="LAS"/>
    <s v="A"/>
    <n v="1"/>
    <n v="1"/>
    <n v="0"/>
    <n v="0"/>
    <n v="0"/>
    <n v="0"/>
    <n v="1559.4188641505646"/>
    <n v="1745.7419477504495"/>
    <n v="0.17420629984063057"/>
    <n v="58"/>
    <n v="70"/>
    <n v="0"/>
    <n v="-12"/>
    <n v="0"/>
    <n v="0.39482523097756073"/>
    <n v="1.1000000000000001"/>
    <n v="70.900000000000006"/>
    <n v="77.990000000000009"/>
    <n v="-5.3642335102154846"/>
    <n v="1554.0546306403492"/>
    <n v="0"/>
    <n v="0"/>
    <n v="0"/>
    <n v="1"/>
    <n v="0"/>
    <n v="0"/>
    <n v="0"/>
    <n v="0"/>
    <n v="0"/>
    <n v="0"/>
  </r>
  <r>
    <d v="2001-08-20T00:00:00"/>
    <n v="2001"/>
    <x v="33"/>
    <s v="P"/>
    <n v="1"/>
    <x v="0"/>
    <s v="HOU"/>
    <s v="H"/>
    <n v="1"/>
    <n v="1"/>
    <n v="0"/>
    <n v="0"/>
    <n v="0"/>
    <n v="0"/>
    <n v="1745.7419477504495"/>
    <n v="1559.4188641505646"/>
    <n v="0.82579370015936948"/>
    <n v="70"/>
    <n v="58"/>
    <n v="0"/>
    <n v="12"/>
    <n v="1"/>
    <n v="0.39482523097756073"/>
    <n v="1.1000000000000001"/>
    <n v="70.900000000000006"/>
    <n v="77.990000000000009"/>
    <n v="5.3642335102154828"/>
    <n v="1751.1061812606649"/>
    <n v="0"/>
    <n v="0"/>
    <n v="1"/>
    <n v="0"/>
    <n v="0"/>
    <n v="0"/>
    <n v="0"/>
    <n v="0"/>
    <n v="0"/>
    <n v="0"/>
  </r>
  <r>
    <d v="2001-08-21T00:00:00"/>
    <n v="2001"/>
    <x v="34"/>
    <s v="P"/>
    <n v="1"/>
    <x v="8"/>
    <s v="NYL"/>
    <s v="A"/>
    <n v="1"/>
    <n v="1"/>
    <n v="0"/>
    <n v="0"/>
    <n v="0"/>
    <n v="0"/>
    <n v="1551.8003648384986"/>
    <n v="1577.7748487257832"/>
    <n v="0.34681610602646723"/>
    <n v="61"/>
    <n v="72"/>
    <n v="0"/>
    <n v="-11"/>
    <n v="0"/>
    <n v="0.43051725076333935"/>
    <n v="1.1000000000000001"/>
    <n v="70.75"/>
    <n v="77.825000000000003"/>
    <n v="-11.620075380597779"/>
    <n v="1540.1802894579007"/>
    <n v="0"/>
    <n v="0"/>
    <n v="0"/>
    <n v="1"/>
    <n v="0"/>
    <n v="0"/>
    <n v="0"/>
    <n v="0"/>
    <n v="0"/>
    <n v="0"/>
  </r>
  <r>
    <d v="2001-08-21T00:00:00"/>
    <n v="2001"/>
    <x v="34"/>
    <s v="P"/>
    <n v="1"/>
    <x v="7"/>
    <s v="MIA"/>
    <s v="H"/>
    <n v="1"/>
    <n v="1"/>
    <n v="0"/>
    <n v="0"/>
    <n v="0"/>
    <n v="0"/>
    <n v="1577.7748487257832"/>
    <n v="1551.8003648384986"/>
    <n v="0.65318389397353271"/>
    <n v="72"/>
    <n v="61"/>
    <n v="0"/>
    <n v="11"/>
    <n v="1"/>
    <n v="0.43051725076333935"/>
    <n v="1.1000000000000001"/>
    <n v="70.75"/>
    <n v="77.825000000000003"/>
    <n v="11.620075380597781"/>
    <n v="1589.394924106381"/>
    <n v="0"/>
    <n v="0"/>
    <n v="1"/>
    <n v="0"/>
    <n v="0"/>
    <n v="0"/>
    <n v="0"/>
    <n v="0"/>
    <n v="0"/>
    <n v="0"/>
  </r>
  <r>
    <d v="2001-08-24T00:00:00"/>
    <n v="2001"/>
    <x v="35"/>
    <s v="P"/>
    <n v="2"/>
    <x v="7"/>
    <s v="CHA"/>
    <s v="A"/>
    <n v="2"/>
    <n v="3"/>
    <n v="-1"/>
    <n v="1"/>
    <n v="-8"/>
    <n v="8"/>
    <n v="1589.394924106381"/>
    <n v="1566.9274463732215"/>
    <n v="0.39023772224100378"/>
    <n v="61"/>
    <n v="57"/>
    <n v="0"/>
    <n v="4"/>
    <n v="1"/>
    <n v="0.30570897687818144"/>
    <n v="1.2"/>
    <n v="70.599999999999994"/>
    <n v="84.719999999999985"/>
    <n v="15.792638431591703"/>
    <n v="1605.1875625379728"/>
    <n v="0"/>
    <n v="0"/>
    <n v="0"/>
    <n v="0"/>
    <n v="1"/>
    <n v="0"/>
    <n v="0"/>
    <n v="0"/>
    <n v="0"/>
    <n v="0"/>
  </r>
  <r>
    <d v="2001-08-24T00:00:00"/>
    <n v="2001"/>
    <x v="35"/>
    <s v="P"/>
    <n v="2"/>
    <x v="13"/>
    <s v="NYL"/>
    <s v="H"/>
    <n v="3"/>
    <n v="2"/>
    <n v="1"/>
    <n v="-1"/>
    <n v="8"/>
    <n v="-8"/>
    <n v="1566.9274463732215"/>
    <n v="1589.394924106381"/>
    <n v="0.60976227775899616"/>
    <n v="57"/>
    <n v="61"/>
    <n v="0"/>
    <n v="-4"/>
    <n v="0"/>
    <n v="0.30570897687818144"/>
    <n v="1.2"/>
    <n v="70.599999999999994"/>
    <n v="84.719999999999985"/>
    <n v="-15.792638431591703"/>
    <n v="1551.1348079416298"/>
    <n v="0"/>
    <n v="0"/>
    <n v="0"/>
    <n v="0"/>
    <n v="0"/>
    <n v="1"/>
    <n v="0"/>
    <n v="0"/>
    <n v="0"/>
    <n v="0"/>
  </r>
  <r>
    <d v="2001-08-24T00:00:00"/>
    <n v="2001"/>
    <x v="34"/>
    <s v="P"/>
    <n v="2"/>
    <x v="0"/>
    <s v="SAC"/>
    <s v="A"/>
    <n v="3"/>
    <n v="4"/>
    <n v="-1"/>
    <n v="1"/>
    <n v="-8"/>
    <n v="8"/>
    <n v="1751.1061812606649"/>
    <n v="1641.481216781659"/>
    <n v="0.51384789499351347"/>
    <n v="74"/>
    <n v="73"/>
    <n v="0"/>
    <n v="1"/>
    <n v="1"/>
    <n v="0.2237400882739887"/>
    <n v="1.2"/>
    <n v="70.75"/>
    <n v="84.899999999999991"/>
    <n v="9.2347185940537475"/>
    <n v="1760.3408998547186"/>
    <n v="0"/>
    <n v="0"/>
    <n v="0"/>
    <n v="0"/>
    <n v="1"/>
    <n v="0"/>
    <n v="0"/>
    <n v="0"/>
    <n v="0"/>
    <n v="0"/>
  </r>
  <r>
    <d v="2001-08-24T00:00:00"/>
    <n v="2001"/>
    <x v="34"/>
    <s v="P"/>
    <n v="2"/>
    <x v="15"/>
    <s v="LAS"/>
    <s v="H"/>
    <n v="4"/>
    <n v="3"/>
    <n v="1"/>
    <n v="-1"/>
    <n v="8"/>
    <n v="-8"/>
    <n v="1641.481216781659"/>
    <n v="1751.1061812606649"/>
    <n v="0.48615210500648648"/>
    <n v="73"/>
    <n v="74"/>
    <n v="0"/>
    <n v="-1"/>
    <n v="0"/>
    <n v="0.2237400882739887"/>
    <n v="1.2"/>
    <n v="70.75"/>
    <n v="84.899999999999991"/>
    <n v="-9.2347185940537457"/>
    <n v="1632.2464981876053"/>
    <n v="0"/>
    <n v="0"/>
    <n v="0"/>
    <n v="0"/>
    <n v="0"/>
    <n v="1"/>
    <n v="0"/>
    <n v="0"/>
    <n v="0"/>
    <n v="0"/>
  </r>
  <r>
    <d v="2001-08-26T00:00:00"/>
    <n v="2001"/>
    <x v="35"/>
    <s v="P"/>
    <n v="2"/>
    <x v="15"/>
    <s v="LAS"/>
    <s v="A"/>
    <n v="1"/>
    <n v="1"/>
    <n v="0"/>
    <n v="0"/>
    <n v="0"/>
    <n v="0"/>
    <n v="1632.2464981876053"/>
    <n v="1760.3408998547186"/>
    <n v="0.22777572816019817"/>
    <n v="80"/>
    <n v="60"/>
    <n v="0"/>
    <n v="20"/>
    <n v="1"/>
    <n v="0.51943960449245363"/>
    <n v="1.2"/>
    <n v="70.599999999999994"/>
    <n v="84.719999999999985"/>
    <n v="33.983214295538559"/>
    <n v="1666.2297124831439"/>
    <n v="0"/>
    <n v="0"/>
    <n v="0"/>
    <n v="0"/>
    <n v="1"/>
    <n v="0"/>
    <n v="0"/>
    <n v="0"/>
    <n v="0"/>
    <n v="0"/>
  </r>
  <r>
    <d v="2001-08-26T00:00:00"/>
    <n v="2001"/>
    <x v="35"/>
    <s v="P"/>
    <n v="2"/>
    <x v="0"/>
    <s v="SAC"/>
    <s v="H"/>
    <n v="1"/>
    <n v="1"/>
    <n v="0"/>
    <n v="0"/>
    <n v="0"/>
    <n v="0"/>
    <n v="1760.3408998547186"/>
    <n v="1632.2464981876053"/>
    <n v="0.7722242718398018"/>
    <n v="60"/>
    <n v="80"/>
    <n v="0"/>
    <n v="-20"/>
    <n v="0"/>
    <n v="0.51943960449245363"/>
    <n v="1.2"/>
    <n v="70.599999999999994"/>
    <n v="84.719999999999985"/>
    <n v="-33.983214295538559"/>
    <n v="1726.35768555918"/>
    <n v="0"/>
    <n v="0"/>
    <n v="0"/>
    <n v="0"/>
    <n v="0"/>
    <n v="1"/>
    <n v="0"/>
    <n v="0"/>
    <n v="0"/>
    <n v="0"/>
  </r>
  <r>
    <d v="2001-08-26T00:00:00"/>
    <n v="2001"/>
    <x v="36"/>
    <s v="P"/>
    <n v="2"/>
    <x v="13"/>
    <s v="NYL"/>
    <s v="A"/>
    <n v="1"/>
    <n v="1"/>
    <n v="0"/>
    <n v="0"/>
    <n v="0"/>
    <n v="0"/>
    <n v="1551.1348079416298"/>
    <n v="1605.1875625379728"/>
    <n v="0.31116133686833752"/>
    <n v="62"/>
    <n v="53"/>
    <n v="0"/>
    <n v="9"/>
    <n v="1"/>
    <n v="0.38847315696340168"/>
    <n v="1.2"/>
    <n v="70.45"/>
    <n v="84.54"/>
    <n v="22.622509207094126"/>
    <n v="1573.7573171487238"/>
    <n v="0"/>
    <n v="0"/>
    <n v="0"/>
    <n v="0"/>
    <n v="1"/>
    <n v="0"/>
    <n v="0"/>
    <n v="0"/>
    <n v="0"/>
    <n v="0"/>
  </r>
  <r>
    <d v="2001-08-26T00:00:00"/>
    <n v="2001"/>
    <x v="36"/>
    <s v="P"/>
    <n v="2"/>
    <x v="7"/>
    <s v="CHA"/>
    <s v="H"/>
    <n v="1"/>
    <n v="1"/>
    <n v="0"/>
    <n v="0"/>
    <n v="0"/>
    <n v="0"/>
    <n v="1605.1875625379728"/>
    <n v="1551.1348079416298"/>
    <n v="0.68883866313166242"/>
    <n v="53"/>
    <n v="62"/>
    <n v="0"/>
    <n v="-9"/>
    <n v="0"/>
    <n v="0.38847315696340168"/>
    <n v="1.2"/>
    <n v="70.45"/>
    <n v="84.54"/>
    <n v="-22.622509207094122"/>
    <n v="1582.5650533308788"/>
    <n v="0"/>
    <n v="0"/>
    <n v="0"/>
    <n v="0"/>
    <n v="0"/>
    <n v="1"/>
    <n v="0"/>
    <n v="0"/>
    <n v="0"/>
    <n v="0"/>
  </r>
  <r>
    <d v="2001-08-27T00:00:00"/>
    <n v="2001"/>
    <x v="36"/>
    <s v="P"/>
    <n v="2"/>
    <x v="15"/>
    <s v="LAS"/>
    <s v="A"/>
    <n v="0"/>
    <n v="0"/>
    <n v="0"/>
    <n v="0"/>
    <n v="0"/>
    <n v="0"/>
    <n v="1666.2297124831439"/>
    <n v="1726.35768555918"/>
    <n v="0.30371542122715212"/>
    <n v="62"/>
    <n v="93"/>
    <n v="0"/>
    <n v="-31"/>
    <n v="0"/>
    <n v="0.68134464674037221"/>
    <n v="1.2"/>
    <n v="70.45"/>
    <n v="84.54"/>
    <n v="-17.494274449640088"/>
    <n v="1648.7354380335039"/>
    <n v="0"/>
    <n v="0"/>
    <n v="0"/>
    <n v="0"/>
    <n v="0"/>
    <n v="1"/>
    <n v="0"/>
    <n v="0"/>
    <n v="0"/>
    <n v="0"/>
  </r>
  <r>
    <d v="2001-08-27T00:00:00"/>
    <n v="2001"/>
    <x v="36"/>
    <s v="P"/>
    <n v="2"/>
    <x v="0"/>
    <s v="SAC"/>
    <s v="H"/>
    <n v="0"/>
    <n v="0"/>
    <n v="0"/>
    <n v="0"/>
    <n v="0"/>
    <n v="0"/>
    <n v="1726.35768555918"/>
    <n v="1666.2297124831439"/>
    <n v="0.69628457877284788"/>
    <n v="93"/>
    <n v="62"/>
    <n v="0"/>
    <n v="31"/>
    <n v="1"/>
    <n v="0.68134464674037221"/>
    <n v="1.2"/>
    <n v="70.45"/>
    <n v="84.54"/>
    <n v="17.494274449640088"/>
    <n v="1743.85196000882"/>
    <n v="0"/>
    <n v="0"/>
    <n v="0"/>
    <n v="0"/>
    <n v="1"/>
    <n v="0"/>
    <n v="0"/>
    <n v="0"/>
    <n v="0"/>
    <n v="0"/>
  </r>
  <r>
    <d v="2001-08-27T00:00:00"/>
    <n v="2001"/>
    <x v="37"/>
    <s v="P"/>
    <n v="3"/>
    <x v="13"/>
    <s v="NYL"/>
    <s v="A"/>
    <n v="0"/>
    <n v="0"/>
    <n v="0"/>
    <n v="0"/>
    <n v="0"/>
    <n v="0"/>
    <n v="1573.7573171487238"/>
    <n v="1582.5650533308788"/>
    <n v="0.36952752356325558"/>
    <n v="48"/>
    <n v="44"/>
    <n v="0"/>
    <n v="4"/>
    <n v="1"/>
    <n v="0.30916354247119043"/>
    <n v="1.35"/>
    <n v="70.3"/>
    <n v="94.905000000000001"/>
    <n v="18.498797588444617"/>
    <n v="1592.2561147371684"/>
    <n v="0"/>
    <n v="0"/>
    <n v="0"/>
    <n v="0"/>
    <n v="0"/>
    <n v="0"/>
    <n v="1"/>
    <n v="0"/>
    <n v="0"/>
    <n v="0"/>
  </r>
  <r>
    <d v="2001-08-27T00:00:00"/>
    <n v="2001"/>
    <x v="37"/>
    <s v="P"/>
    <n v="3"/>
    <x v="7"/>
    <s v="CHA"/>
    <s v="H"/>
    <n v="0"/>
    <n v="0"/>
    <n v="0"/>
    <n v="0"/>
    <n v="0"/>
    <n v="0"/>
    <n v="1582.5650533308788"/>
    <n v="1573.7573171487238"/>
    <n v="0.63047247643674453"/>
    <n v="44"/>
    <n v="48"/>
    <n v="0"/>
    <n v="-4"/>
    <n v="0"/>
    <n v="0.30916354247119043"/>
    <n v="1.35"/>
    <n v="70.3"/>
    <n v="94.905000000000001"/>
    <n v="-18.498797588444617"/>
    <n v="1564.0662557424341"/>
    <n v="0"/>
    <n v="0"/>
    <n v="0"/>
    <n v="0"/>
    <n v="0"/>
    <n v="0"/>
    <n v="0"/>
    <n v="1"/>
    <n v="0"/>
    <n v="0"/>
  </r>
  <r>
    <d v="2001-08-30T00:00:00"/>
    <n v="2001"/>
    <x v="37"/>
    <s v="P"/>
    <n v="3"/>
    <x v="0"/>
    <s v="CHA"/>
    <s v="A"/>
    <n v="2"/>
    <n v="2"/>
    <n v="0"/>
    <n v="0"/>
    <n v="0"/>
    <n v="0"/>
    <n v="1743.85196000882"/>
    <n v="1592.2561147371684"/>
    <n v="0.59606914525602395"/>
    <n v="75"/>
    <n v="66"/>
    <n v="0"/>
    <n v="9"/>
    <n v="1"/>
    <n v="0.3604375037707947"/>
    <n v="1.35"/>
    <n v="70.3"/>
    <n v="94.905000000000001"/>
    <n v="13.817392529339516"/>
    <n v="1757.6693525381595"/>
    <n v="0"/>
    <n v="0"/>
    <n v="0"/>
    <n v="0"/>
    <n v="0"/>
    <n v="0"/>
    <n v="1"/>
    <n v="0"/>
    <n v="0"/>
    <n v="0"/>
  </r>
  <r>
    <d v="2001-08-30T00:00:00"/>
    <n v="2001"/>
    <x v="38"/>
    <s v="P"/>
    <n v="3"/>
    <x v="13"/>
    <s v="LAS"/>
    <s v="H"/>
    <n v="2"/>
    <n v="2"/>
    <n v="0"/>
    <n v="0"/>
    <n v="0"/>
    <n v="0"/>
    <n v="1592.2561147371684"/>
    <n v="1743.85196000882"/>
    <n v="0.40393085474397605"/>
    <n v="66"/>
    <n v="75"/>
    <n v="0"/>
    <n v="-9"/>
    <n v="0"/>
    <n v="0.3604375037707947"/>
    <n v="1.35"/>
    <n v="70.150000000000006"/>
    <n v="94.702500000000015"/>
    <n v="-13.787910183971084"/>
    <n v="1578.4682045531974"/>
    <n v="0"/>
    <n v="0"/>
    <n v="0"/>
    <n v="0"/>
    <n v="0"/>
    <n v="0"/>
    <n v="0"/>
    <n v="1"/>
    <n v="0"/>
    <n v="0"/>
  </r>
  <r>
    <d v="2001-09-01T00:00:00"/>
    <n v="2001"/>
    <x v="39"/>
    <s v="P"/>
    <n v="3"/>
    <x v="13"/>
    <s v="LAS"/>
    <s v="A"/>
    <n v="1"/>
    <n v="1"/>
    <n v="0"/>
    <n v="0"/>
    <n v="0"/>
    <n v="0"/>
    <n v="1578.4682045531974"/>
    <n v="1757.6693525381595"/>
    <n v="0.18018308035755221"/>
    <n v="54"/>
    <n v="82"/>
    <n v="0"/>
    <n v="-28"/>
    <n v="0"/>
    <n v="0.59085478088230836"/>
    <n v="1.35"/>
    <n v="70"/>
    <n v="94.5"/>
    <n v="-10.060662256787602"/>
    <n v="1568.4075422964099"/>
    <n v="0"/>
    <n v="0"/>
    <n v="0"/>
    <n v="0"/>
    <n v="0"/>
    <n v="0"/>
    <n v="0"/>
    <n v="1"/>
    <n v="0"/>
    <n v="0"/>
  </r>
  <r>
    <d v="2001-09-01T00:00:00"/>
    <n v="2001"/>
    <x v="38"/>
    <s v="P"/>
    <n v="3"/>
    <x v="0"/>
    <s v="CHA"/>
    <s v="H"/>
    <n v="1"/>
    <n v="1"/>
    <n v="0"/>
    <n v="0"/>
    <n v="0"/>
    <n v="0"/>
    <n v="1757.6693525381595"/>
    <n v="1578.4682045531974"/>
    <n v="0.81981691964244774"/>
    <n v="82"/>
    <n v="54"/>
    <n v="0"/>
    <n v="28"/>
    <n v="1"/>
    <n v="0.59085478088230836"/>
    <n v="1.35"/>
    <n v="70.150000000000006"/>
    <n v="94.702500000000015"/>
    <n v="10.082220818766437"/>
    <n v="1767.751573356926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0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6">
        <item m="1" x="36"/>
        <item m="1" x="30"/>
        <item m="1" x="47"/>
        <item m="1" x="23"/>
        <item m="1" x="21"/>
        <item m="1" x="35"/>
        <item m="1" x="51"/>
        <item x="13"/>
        <item m="1" x="20"/>
        <item m="1" x="37"/>
        <item x="5"/>
        <item m="1" x="25"/>
        <item m="1" x="29"/>
        <item x="14"/>
        <item m="1" x="52"/>
        <item m="1" x="32"/>
        <item x="1"/>
        <item x="6"/>
        <item m="1" x="46"/>
        <item m="1" x="45"/>
        <item m="1" x="19"/>
        <item m="1" x="18"/>
        <item m="1" x="54"/>
        <item x="0"/>
        <item m="1" x="53"/>
        <item m="1" x="22"/>
        <item x="8"/>
        <item m="1" x="31"/>
        <item x="9"/>
        <item m="1" x="39"/>
        <item m="1" x="16"/>
        <item m="1" x="26"/>
        <item m="1" x="40"/>
        <item m="1" x="48"/>
        <item x="7"/>
        <item m="1" x="41"/>
        <item m="1" x="28"/>
        <item x="12"/>
        <item m="1" x="24"/>
        <item x="3"/>
        <item m="1" x="43"/>
        <item x="10"/>
        <item m="1" x="27"/>
        <item x="15"/>
        <item m="1" x="38"/>
        <item x="11"/>
        <item m="1" x="49"/>
        <item m="1" x="44"/>
        <item m="1" x="50"/>
        <item m="1" x="42"/>
        <item m="1" x="17"/>
        <item x="2"/>
        <item m="1" x="34"/>
        <item x="4"/>
        <item m="1" x="33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7">
    <i>
      <x v="7"/>
    </i>
    <i>
      <x v="10"/>
    </i>
    <i>
      <x v="13"/>
    </i>
    <i>
      <x v="16"/>
    </i>
    <i>
      <x v="17"/>
    </i>
    <i>
      <x v="23"/>
    </i>
    <i>
      <x v="26"/>
    </i>
    <i>
      <x v="28"/>
    </i>
    <i>
      <x v="34"/>
    </i>
    <i>
      <x v="37"/>
    </i>
    <i>
      <x v="39"/>
    </i>
    <i>
      <x v="41"/>
    </i>
    <i>
      <x v="43"/>
    </i>
    <i>
      <x v="45"/>
    </i>
    <i>
      <x v="51"/>
    </i>
    <i>
      <x v="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4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7" totalsRowShown="0">
  <autoFilter ref="A1:D17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7">
    <sortCondition ref="C13:C17"/>
  </sortState>
  <tableColumns count="4">
    <tableColumn id="1" xr3:uid="{8C17ECDF-4459-4994-A3F5-8E8FEDF92B6F}" name="TeamID"/>
    <tableColumn id="4" xr3:uid="{789F069E-DAF9-4B19-A6DB-107BA6995CE5}" name="Logo" dataDxfId="46"/>
    <tableColumn id="5" xr3:uid="{A9DA91BA-5529-4913-978B-19C8EF225B29}" name="TeamName" dataDxfId="45"/>
    <tableColumn id="2" xr3:uid="{AA4C8157-DB69-4779-8EEE-6F419B992D71}" name="PreSeasonElo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49" totalsRowShown="0" headerRowDxfId="41" dataDxfId="40">
  <autoFilter ref="A1:AL549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9"/>
    <tableColumn id="21" xr3:uid="{D754AB95-C77C-4DD5-B1B9-A24A4FEE7279}" name="Season" dataDxfId="38"/>
    <tableColumn id="19" xr3:uid="{4C42B78B-6AFC-42C3-A5F4-3266E247C458}" name="GamesPlayed" dataDxfId="37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6"/>
    <tableColumn id="14" xr3:uid="{EFA83923-8CCA-4DC9-BC85-5D86949A45D9}" name="Round" dataDxfId="35"/>
    <tableColumn id="2" xr3:uid="{6E102E51-A49B-416B-8CD2-B93B2A4EA389}" name="Team" dataDxfId="34"/>
    <tableColumn id="3" xr3:uid="{19101345-1C34-4AF3-88E6-76A7F19B7FE6}" name="Opponent" dataDxfId="33"/>
    <tableColumn id="16" xr3:uid="{4CBCDF29-B095-48DF-8EF6-06DC7D78C844}" name="HomeAway" dataDxfId="32"/>
    <tableColumn id="32" xr3:uid="{E3FA53E3-DAD6-4BC2-969A-C53F4798E86D}" name="DaysOff" dataDxfId="31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0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9">
      <calculatedColumnFormula>Games[[#This Row],[DaysOff]]-Games[[#This Row],[OppDaysOff]]</calculatedColumnFormula>
    </tableColumn>
    <tableColumn id="35" xr3:uid="{3F2DB366-7372-41BA-8B0C-09F9BA7EA850}" name="OppRestDiff" dataDxfId="28">
      <calculatedColumnFormula>Games[[#This Row],[OppDaysOff]]-Games[[#This Row],[DaysOff]]</calculatedColumnFormula>
    </tableColumn>
    <tableColumn id="36" xr3:uid="{BDD0FD2C-608F-4CCC-867B-4481F0F4B802}" name="RestAdj" dataDxfId="27">
      <calculatedColumnFormula>MAX(-16, MIN(16, Games[[#This Row],[RestDiff]]*8))</calculatedColumnFormula>
    </tableColumn>
    <tableColumn id="37" xr3:uid="{5F89213A-4C28-428C-B766-3B05D4F530A5}" name="OppRestAdj" dataDxfId="26">
      <calculatedColumnFormula>MAX(-16, MIN(16, Games[[#This Row],[OppRestDiff]]*8))</calculatedColumnFormula>
    </tableColumn>
    <tableColumn id="4" xr3:uid="{68053CFA-948B-4F2C-A114-7C46ABD9EA33}" name="PreGmRate" dataDxfId="25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4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3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2"/>
    <tableColumn id="8" xr3:uid="{0CDDF0F9-2F1E-487C-96DD-90F70CE7DAFC}" name="PointsAgainst" dataDxfId="21"/>
    <tableColumn id="22" xr3:uid="{AB7B5B5C-5BAD-4213-990E-8EB9B177497C}" name="OT" dataDxfId="20"/>
    <tableColumn id="9" xr3:uid="{CE171F1D-5E5D-4800-A6DC-8F6DBD74C939}" name="MOV" dataDxfId="19">
      <calculatedColumnFormula>Games[[#This Row],[PointsFor]]-Games[[#This Row],[PointsAgainst]]</calculatedColumnFormula>
    </tableColumn>
    <tableColumn id="10" xr3:uid="{883A3911-25F6-4C39-9637-F1C42D6A1FC2}" name="Result" dataDxfId="18">
      <calculatedColumnFormula>IF(Games[[#This Row],[MOV]]&gt;0,1,IF(Games[[#This Row],[MOV]]=0,0.5,0))</calculatedColumnFormula>
    </tableColumn>
    <tableColumn id="15" xr3:uid="{00048431-5FD6-47EE-807E-5B63FD521193}" name="MOVMult" dataDxfId="17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6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5">
      <calculatedColumnFormula>MAX(kmin, kmax - 0.15 * MIN(Games[[#This Row],[GamesPlayed]], 82))</calculatedColumnFormula>
    </tableColumn>
    <tableColumn id="29" xr3:uid="{FBA5D644-15ED-4725-9E52-1D37FD0FAC64}" name="Keff" dataDxfId="14">
      <calculatedColumnFormula>Games[[#This Row],[K]]*Games[[#This Row],[POMult]]</calculatedColumnFormula>
    </tableColumn>
    <tableColumn id="11" xr3:uid="{309DAEBD-E62C-4090-89E9-A58FD32AB89B}" name="RatingChange" dataDxfId="13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2">
      <calculatedColumnFormula>Games[[#This Row],[PreGmRate]]+Games[[#This Row],[RatingChange]]</calculatedColumnFormula>
    </tableColumn>
    <tableColumn id="17" xr3:uid="{90B7BF87-E472-4474-A10D-555BD3BF8F04}" name="W" dataDxfId="11">
      <calculatedColumnFormula>IF(Games[[#This Row],[Type]]="R",IF(Games[[#This Row],[Result]]&gt;0.5,1,0),0)</calculatedColumnFormula>
    </tableColumn>
    <tableColumn id="18" xr3:uid="{29756EA1-783D-4C76-A7B8-F906AF0EC7E7}" name="L" dataDxfId="10">
      <calculatedColumnFormula>IF(Games[[#This Row],[Type]]="R",IF(Games[[#This Row],[Result]]&lt;0.5,1,0),0)</calculatedColumnFormula>
    </tableColumn>
    <tableColumn id="23" xr3:uid="{C253CFA7-28A4-4AE5-B131-DC1E8F2B73F8}" name="R1W" dataDxfId="9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8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7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6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5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4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3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31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1333.8500082674568</v>
      </c>
      <c r="G2" t="s">
        <v>68</v>
      </c>
      <c r="H2" s="12">
        <v>1568.4075422964099</v>
      </c>
    </row>
    <row r="3" spans="1:8" x14ac:dyDescent="0.35">
      <c r="A3" t="s">
        <v>1</v>
      </c>
      <c r="B3" s="8"/>
      <c r="C3" s="15" t="s">
        <v>69</v>
      </c>
      <c r="D3" s="13">
        <v>1506.0699469917922</v>
      </c>
      <c r="G3" t="s">
        <v>69</v>
      </c>
      <c r="H3" s="12">
        <v>1586.8530923230039</v>
      </c>
    </row>
    <row r="4" spans="1:8" x14ac:dyDescent="0.35">
      <c r="A4" t="s">
        <v>77</v>
      </c>
      <c r="B4" s="8"/>
      <c r="C4" s="15" t="s">
        <v>78</v>
      </c>
      <c r="D4" s="13">
        <v>1430.5619780765787</v>
      </c>
      <c r="G4" t="s">
        <v>78</v>
      </c>
      <c r="H4" s="12">
        <v>1376.2267112780391</v>
      </c>
    </row>
    <row r="5" spans="1:8" x14ac:dyDescent="0.35">
      <c r="A5" t="s">
        <v>2</v>
      </c>
      <c r="B5" s="8"/>
      <c r="C5" s="15" t="s">
        <v>65</v>
      </c>
      <c r="D5" s="13">
        <v>1813.6509842429907</v>
      </c>
      <c r="G5" t="s">
        <v>65</v>
      </c>
      <c r="H5" s="12">
        <v>1554.0546306403492</v>
      </c>
    </row>
    <row r="6" spans="1:8" x14ac:dyDescent="0.35">
      <c r="A6" t="s">
        <v>85</v>
      </c>
      <c r="B6" s="8"/>
      <c r="C6" s="15" t="s">
        <v>86</v>
      </c>
      <c r="D6" s="13">
        <v>1388.8730250324511</v>
      </c>
      <c r="G6" t="s">
        <v>86</v>
      </c>
      <c r="H6" s="12">
        <v>1388.3556357441335</v>
      </c>
    </row>
    <row r="7" spans="1:8" x14ac:dyDescent="0.35">
      <c r="A7" t="s">
        <v>71</v>
      </c>
      <c r="B7" s="8"/>
      <c r="C7" s="15" t="s">
        <v>72</v>
      </c>
      <c r="D7" s="13">
        <v>1723.0963798744328</v>
      </c>
      <c r="G7" t="s">
        <v>72</v>
      </c>
      <c r="H7" s="12">
        <v>1767.751573356926</v>
      </c>
    </row>
    <row r="8" spans="1:8" x14ac:dyDescent="0.35">
      <c r="A8" t="s">
        <v>83</v>
      </c>
      <c r="B8" s="8"/>
      <c r="C8" s="15" t="s">
        <v>84</v>
      </c>
      <c r="D8" s="13">
        <v>1428.8730469724971</v>
      </c>
      <c r="G8" t="s">
        <v>84</v>
      </c>
      <c r="H8" s="12">
        <v>1540.1802894579007</v>
      </c>
    </row>
    <row r="9" spans="1:8" x14ac:dyDescent="0.35">
      <c r="A9" t="s">
        <v>80</v>
      </c>
      <c r="B9" s="8"/>
      <c r="C9" s="15" t="s">
        <v>82</v>
      </c>
      <c r="D9" s="13">
        <v>1478.186395836062</v>
      </c>
      <c r="G9" t="s">
        <v>82</v>
      </c>
      <c r="H9" s="12">
        <v>1452.7743813825264</v>
      </c>
    </row>
    <row r="10" spans="1:8" x14ac:dyDescent="0.35">
      <c r="A10" t="s">
        <v>66</v>
      </c>
      <c r="B10" s="8"/>
      <c r="C10" s="15" t="s">
        <v>67</v>
      </c>
      <c r="D10" s="13">
        <v>1589.8392615534715</v>
      </c>
      <c r="G10" t="s">
        <v>67</v>
      </c>
      <c r="H10" s="12">
        <v>1564.0662557424341</v>
      </c>
    </row>
    <row r="11" spans="1:8" x14ac:dyDescent="0.35">
      <c r="A11" t="s">
        <v>79</v>
      </c>
      <c r="B11" s="8"/>
      <c r="C11" s="15" t="s">
        <v>81</v>
      </c>
      <c r="D11" s="13">
        <v>1452.1907942067276</v>
      </c>
      <c r="G11" t="s">
        <v>81</v>
      </c>
      <c r="H11" s="12">
        <v>1453.7846326223698</v>
      </c>
    </row>
    <row r="12" spans="1:8" x14ac:dyDescent="0.35">
      <c r="A12" t="s">
        <v>44</v>
      </c>
      <c r="B12" s="8"/>
      <c r="C12" s="15" t="s">
        <v>70</v>
      </c>
      <c r="D12" s="13">
        <v>1560.8611606672825</v>
      </c>
      <c r="G12" t="s">
        <v>70</v>
      </c>
      <c r="H12" s="12">
        <v>1468.4544281967624</v>
      </c>
    </row>
    <row r="13" spans="1:8" x14ac:dyDescent="0.35">
      <c r="A13" t="s">
        <v>89</v>
      </c>
      <c r="B13" s="8"/>
      <c r="C13" s="15" t="s">
        <v>90</v>
      </c>
      <c r="D13" s="13">
        <v>1402.5283804245059</v>
      </c>
      <c r="G13" t="s">
        <v>90</v>
      </c>
      <c r="H13" s="12">
        <v>1363.8217724027888</v>
      </c>
    </row>
    <row r="14" spans="1:8" x14ac:dyDescent="0.35">
      <c r="A14" t="s">
        <v>45</v>
      </c>
      <c r="B14" s="8"/>
      <c r="C14" s="15" t="s">
        <v>73</v>
      </c>
      <c r="D14" s="13">
        <v>1597.8985893925908</v>
      </c>
      <c r="G14" t="s">
        <v>73</v>
      </c>
      <c r="H14" s="12">
        <v>1648.7354380335039</v>
      </c>
    </row>
    <row r="15" spans="1:8" x14ac:dyDescent="0.35">
      <c r="A15" t="s">
        <v>87</v>
      </c>
      <c r="B15" s="8"/>
      <c r="C15" s="15" t="s">
        <v>88</v>
      </c>
      <c r="D15" s="13">
        <v>1326.6814896242142</v>
      </c>
      <c r="G15" t="s">
        <v>88</v>
      </c>
      <c r="H15" s="12">
        <v>1358.6057404795877</v>
      </c>
    </row>
    <row r="16" spans="1:8" x14ac:dyDescent="0.35">
      <c r="A16" t="s">
        <v>43</v>
      </c>
      <c r="B16" s="8"/>
      <c r="C16" s="15" t="s">
        <v>74</v>
      </c>
      <c r="D16" s="13">
        <v>1552.7584994515341</v>
      </c>
      <c r="G16" t="s">
        <v>74</v>
      </c>
      <c r="H16" s="12">
        <v>1530.4822417803784</v>
      </c>
    </row>
    <row r="17" spans="1:8" x14ac:dyDescent="0.35">
      <c r="A17" t="s">
        <v>75</v>
      </c>
      <c r="B17" s="8"/>
      <c r="C17" s="15" t="s">
        <v>76</v>
      </c>
      <c r="D17" s="13">
        <v>1413.1309765309209</v>
      </c>
      <c r="G17" t="s">
        <v>76</v>
      </c>
      <c r="H17" s="12">
        <v>1375.8134458884381</v>
      </c>
    </row>
    <row r="18" spans="1:8" x14ac:dyDescent="0.35">
      <c r="B18" s="8"/>
      <c r="C18" s="15"/>
      <c r="D18" s="13"/>
    </row>
    <row r="19" spans="1:8" x14ac:dyDescent="0.35">
      <c r="B19" s="8"/>
      <c r="C19" s="15"/>
      <c r="D19" s="13"/>
    </row>
    <row r="20" spans="1:8" x14ac:dyDescent="0.35">
      <c r="B20" s="8"/>
      <c r="C20" s="15"/>
      <c r="D20" s="13"/>
    </row>
    <row r="21" spans="1:8" x14ac:dyDescent="0.35">
      <c r="B21" s="8"/>
      <c r="C21" s="15"/>
      <c r="D21" s="13"/>
    </row>
    <row r="22" spans="1:8" x14ac:dyDescent="0.35">
      <c r="B22" s="8"/>
      <c r="C22" s="15"/>
      <c r="D22" s="13"/>
    </row>
    <row r="23" spans="1:8" x14ac:dyDescent="0.35">
      <c r="B23" s="8"/>
      <c r="C23" s="15"/>
      <c r="D23" s="13"/>
    </row>
    <row r="24" spans="1:8" x14ac:dyDescent="0.35">
      <c r="B24" s="8"/>
      <c r="C24" s="15"/>
      <c r="D24" s="13"/>
    </row>
    <row r="25" spans="1:8" x14ac:dyDescent="0.35">
      <c r="B25" s="8"/>
      <c r="C25" s="15"/>
      <c r="D25" s="13"/>
    </row>
    <row r="26" spans="1:8" x14ac:dyDescent="0.35">
      <c r="B26" s="8"/>
      <c r="C26" s="15"/>
      <c r="D26" s="13"/>
    </row>
    <row r="27" spans="1:8" x14ac:dyDescent="0.35">
      <c r="B27" s="8"/>
      <c r="C27" s="15"/>
      <c r="D27" s="13"/>
    </row>
    <row r="28" spans="1:8" x14ac:dyDescent="0.35">
      <c r="B28" s="8"/>
      <c r="C28" s="15"/>
      <c r="D28" s="13"/>
    </row>
    <row r="29" spans="1:8" x14ac:dyDescent="0.35">
      <c r="B29" s="8"/>
      <c r="C29" s="8"/>
      <c r="D29" s="13"/>
    </row>
    <row r="30" spans="1:8" x14ac:dyDescent="0.35">
      <c r="B30" s="8"/>
      <c r="C30" s="8"/>
      <c r="D30" s="13"/>
    </row>
    <row r="31" spans="1:8" x14ac:dyDescent="0.35">
      <c r="B31" s="8"/>
      <c r="C31" s="8"/>
      <c r="D31" s="13"/>
    </row>
  </sheetData>
  <sortState xmlns:xlrd2="http://schemas.microsoft.com/office/spreadsheetml/2017/richdata2" ref="G2:H17">
    <sortCondition ref="G2:G17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40"/>
  <sheetViews>
    <sheetView workbookViewId="0">
      <selection activeCell="C2" sqref="C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7">_xlfn.SORTBY(A25:H40,G25:G40,-1)</f>
        <v>LAS</v>
      </c>
      <c r="B2">
        <v>0</v>
      </c>
      <c r="C2" t="str">
        <v>Los Angeles Sparks</v>
      </c>
      <c r="D2" s="1">
        <v>28</v>
      </c>
      <c r="E2" s="1">
        <v>4</v>
      </c>
      <c r="F2" s="3">
        <v>0.875</v>
      </c>
      <c r="G2" s="9">
        <v>1767.751573356926</v>
      </c>
      <c r="H2" s="1">
        <v>37135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2</v>
      </c>
      <c r="AP2" s="1">
        <f>_xlfn.XLOOKUP($AK2,StandingsPivot!$A$4:$A$33,StandingsPivot!F$4:F$33)</f>
        <v>0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0</v>
      </c>
      <c r="AW2" s="1">
        <f t="shared" ref="AW2:AW5" si="1">SUM(AO2,AQ2,AS2,AU2)</f>
        <v>2</v>
      </c>
      <c r="AX2" s="4" cm="1">
        <f t="array" ref="AX2">_xlfn.IFNA(INDEX(Games[PostGmRate], MATCH(1, (Games[Team]=AK2)*(Games[Date]=AY2), 0)),0)</f>
        <v>1554.0546306403492</v>
      </c>
      <c r="AY2" s="1">
        <f>_xlfn.MAXIFS(Games[Date], Games[Team], AK2)</f>
        <v>37123</v>
      </c>
      <c r="AZ2">
        <f t="shared" ref="AZ2:AZ5" si="2">SUM(AV2:AW2)</f>
        <v>2</v>
      </c>
    </row>
    <row r="3" spans="1:68" x14ac:dyDescent="0.35">
      <c r="A3" t="str">
        <v>SAC</v>
      </c>
      <c r="B3">
        <v>0</v>
      </c>
      <c r="C3" t="str">
        <v>Sacramento Monarchs</v>
      </c>
      <c r="D3" s="1">
        <v>20</v>
      </c>
      <c r="E3" s="1">
        <v>12</v>
      </c>
      <c r="F3" s="3">
        <v>0.625</v>
      </c>
      <c r="G3" s="9">
        <v>1648.7354380335039</v>
      </c>
      <c r="H3" s="1">
        <v>37130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2</v>
      </c>
      <c r="AO3" s="1">
        <f>_xlfn.XLOOKUP($AK3,StandingsPivot!$A$4:$A$33,StandingsPivot!E$4:E$33)</f>
        <v>1</v>
      </c>
      <c r="AP3" s="1">
        <f>_xlfn.XLOOKUP($AK3,StandingsPivot!$A$4:$A$33,StandingsPivot!F$4:F$33)</f>
        <v>1</v>
      </c>
      <c r="AQ3" s="1">
        <f>_xlfn.XLOOKUP($AK3,StandingsPivot!$A$4:$A$33,StandingsPivot!G$4:G$33)</f>
        <v>1</v>
      </c>
      <c r="AR3" s="1">
        <f>_xlfn.XLOOKUP($AK3,StandingsPivot!$A$4:$A$33,StandingsPivot!H$4:H$33)</f>
        <v>0</v>
      </c>
      <c r="AS3" s="1">
        <f>_xlfn.XLOOKUP($AK3,StandingsPivot!$A$4:$A$33,StandingsPivot!I$4:I$33)</f>
        <v>1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3</v>
      </c>
      <c r="AW3" s="1">
        <f t="shared" si="1"/>
        <v>3</v>
      </c>
      <c r="AX3" s="4" cm="1">
        <f t="array" ref="AX3">_xlfn.IFNA(INDEX(Games[PostGmRate], MATCH(1, (Games[Team]=AK3)*(Games[Date]=AY3), 0)),0)</f>
        <v>1564.0662557424341</v>
      </c>
      <c r="AY3" s="1">
        <f>_xlfn.MAXIFS(Games[Date], Games[Team], AK3)</f>
        <v>37130</v>
      </c>
      <c r="AZ3">
        <f t="shared" si="2"/>
        <v>6</v>
      </c>
    </row>
    <row r="4" spans="1:68" x14ac:dyDescent="0.35">
      <c r="A4" t="str">
        <v>CLE</v>
      </c>
      <c r="B4">
        <v>0</v>
      </c>
      <c r="C4" t="str">
        <v>Cleveland Rockers</v>
      </c>
      <c r="D4" s="1">
        <v>22</v>
      </c>
      <c r="E4" s="1">
        <v>10</v>
      </c>
      <c r="F4" s="3">
        <v>0.6875</v>
      </c>
      <c r="G4" s="9">
        <v>1586.8530923230039</v>
      </c>
      <c r="H4" s="1">
        <v>37123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2</v>
      </c>
      <c r="AO4" s="1">
        <f>_xlfn.XLOOKUP($AK4,StandingsPivot!$A$4:$A$33,StandingsPivot!E$4:E$33)</f>
        <v>1</v>
      </c>
      <c r="AP4" s="1">
        <f>_xlfn.XLOOKUP($AK4,StandingsPivot!$A$4:$A$33,StandingsPivot!F$4:F$33)</f>
        <v>1</v>
      </c>
      <c r="AQ4" s="1">
        <f>_xlfn.XLOOKUP($AK4,StandingsPivot!$A$4:$A$33,StandingsPivot!G$4:G$33)</f>
        <v>1</v>
      </c>
      <c r="AR4" s="1">
        <f>_xlfn.XLOOKUP($AK4,StandingsPivot!$A$4:$A$33,StandingsPivot!H$4:H$33)</f>
        <v>1</v>
      </c>
      <c r="AS4" s="1">
        <f>_xlfn.XLOOKUP($AK4,StandingsPivot!$A$4:$A$33,StandingsPivot!I$4:I$33)</f>
        <v>2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4</v>
      </c>
      <c r="AW4" s="1">
        <f t="shared" si="1"/>
        <v>4</v>
      </c>
      <c r="AX4" s="4" cm="1">
        <f t="array" ref="AX4">_xlfn.IFNA(INDEX(Games[PostGmRate], MATCH(1, (Games[Team]=AK4)*(Games[Date]=AY4), 0)),0)</f>
        <v>1568.4075422964099</v>
      </c>
      <c r="AY4" s="1">
        <f>_xlfn.MAXIFS(Games[Date], Games[Team], AK4)</f>
        <v>37135</v>
      </c>
      <c r="AZ4">
        <f t="shared" si="2"/>
        <v>8</v>
      </c>
    </row>
    <row r="5" spans="1:68" x14ac:dyDescent="0.35">
      <c r="A5" t="str">
        <v>CHA</v>
      </c>
      <c r="B5">
        <v>0</v>
      </c>
      <c r="C5" t="str">
        <v>Charlotte Sting</v>
      </c>
      <c r="D5" s="1">
        <v>18</v>
      </c>
      <c r="E5" s="1">
        <v>14</v>
      </c>
      <c r="F5" s="3">
        <v>0.5625</v>
      </c>
      <c r="G5" s="9">
        <v>1568.4075422964099</v>
      </c>
      <c r="H5" s="1">
        <v>37135</v>
      </c>
      <c r="O5" s="4"/>
      <c r="P5" s="4"/>
      <c r="Q5" s="1"/>
      <c r="AK5" t="s">
        <v>1</v>
      </c>
      <c r="AL5">
        <f>_xlfn.XLOOKUP(AK5,ConfDiv[TeamID],ConfDiv[Logo])</f>
        <v>0</v>
      </c>
      <c r="AM5" t="str">
        <f>_xlfn.XLOOKUP(AK5,ConfDiv[TeamID],ConfDiv[TeamName])</f>
        <v>Cleveland Rockers</v>
      </c>
      <c r="AN5" s="1">
        <f>_xlfn.XLOOKUP($AK5,StandingsPivot!$A$4:$A$33,StandingsPivot!D$4:D$33)</f>
        <v>1</v>
      </c>
      <c r="AO5" s="1">
        <f>_xlfn.XLOOKUP($AK5,StandingsPivot!$A$4:$A$33,StandingsPivot!E$4:E$33)</f>
        <v>2</v>
      </c>
      <c r="AP5" s="1">
        <f>_xlfn.XLOOKUP($AK5,StandingsPivot!$A$4:$A$33,StandingsPivot!F$4:F$33)</f>
        <v>0</v>
      </c>
      <c r="AQ5" s="1">
        <f>_xlfn.XLOOKUP($AK5,StandingsPivot!$A$4:$A$33,StandingsPivot!G$4:G$33)</f>
        <v>0</v>
      </c>
      <c r="AR5" s="1">
        <f>_xlfn.XLOOKUP($AK5,StandingsPivot!$A$4:$A$33,StandingsPivot!H$4:H$33)</f>
        <v>0</v>
      </c>
      <c r="AS5" s="1">
        <f>_xlfn.XLOOKUP($AK5,StandingsPivot!$A$4:$A$33,StandingsPivot!I$4:I$33)</f>
        <v>0</v>
      </c>
      <c r="AT5" s="1">
        <f>_xlfn.XLOOKUP($AK5,StandingsPivot!$A$4:$A$33,StandingsPivot!J$4:J$33)</f>
        <v>0</v>
      </c>
      <c r="AU5" s="1">
        <f>_xlfn.XLOOKUP($AK5,StandingsPivot!$A$4:$A$33,StandingsPivot!K$4:K$33)</f>
        <v>0</v>
      </c>
      <c r="AV5" s="1">
        <f t="shared" si="0"/>
        <v>1</v>
      </c>
      <c r="AW5" s="1">
        <f t="shared" si="1"/>
        <v>2</v>
      </c>
      <c r="AX5" s="4" cm="1">
        <f t="array" ref="AX5">_xlfn.IFNA(INDEX(Games[PostGmRate], MATCH(1, (Games[Team]=AK5)*(Games[Date]=AY5), 0)),0)</f>
        <v>1586.8530923230039</v>
      </c>
      <c r="AY5" s="1">
        <f>_xlfn.MAXIFS(Games[Date], Games[Team], AK5)</f>
        <v>37123</v>
      </c>
      <c r="AZ5">
        <f t="shared" si="2"/>
        <v>3</v>
      </c>
    </row>
    <row r="6" spans="1:68" x14ac:dyDescent="0.35">
      <c r="A6" t="str">
        <v>NYL</v>
      </c>
      <c r="B6">
        <v>0</v>
      </c>
      <c r="C6" t="str">
        <v>New York Liberty</v>
      </c>
      <c r="D6" s="1">
        <v>21</v>
      </c>
      <c r="E6" s="1">
        <v>11</v>
      </c>
      <c r="F6" s="3">
        <v>0.65625</v>
      </c>
      <c r="G6" s="9">
        <v>1564.0662557424341</v>
      </c>
      <c r="H6" s="1">
        <v>37130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1468.4544281967624</v>
      </c>
      <c r="AY6" s="1">
        <f>_xlfn.MAXIFS(Games[Date], Games[Team], AK6)</f>
        <v>37117</v>
      </c>
      <c r="AZ6">
        <f>SUM(AV6:AW6)</f>
        <v>0</v>
      </c>
      <c r="BO6" s="4"/>
      <c r="BP6" s="1"/>
    </row>
    <row r="7" spans="1:68" x14ac:dyDescent="0.35">
      <c r="A7" t="str">
        <v>HOU</v>
      </c>
      <c r="B7">
        <v>0</v>
      </c>
      <c r="C7" t="str">
        <v>Houston Comets</v>
      </c>
      <c r="D7" s="1">
        <v>19</v>
      </c>
      <c r="E7" s="1">
        <v>13</v>
      </c>
      <c r="F7" s="3">
        <v>0.59375</v>
      </c>
      <c r="G7" s="9">
        <v>1554.0546306403492</v>
      </c>
      <c r="H7" s="1">
        <v>37123</v>
      </c>
      <c r="AK7" t="s">
        <v>71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2</v>
      </c>
      <c r="AO7" s="1">
        <f>_xlfn.XLOOKUP($AK7,StandingsPivot!$A$4:$A$33,StandingsPivot!E$4:E$33)</f>
        <v>0</v>
      </c>
      <c r="AP7" s="1">
        <f>_xlfn.XLOOKUP($AK7,StandingsPivot!$A$4:$A$33,StandingsPivot!F$4:F$33)</f>
        <v>2</v>
      </c>
      <c r="AQ7" s="1">
        <f>_xlfn.XLOOKUP($AK7,StandingsPivot!$A$4:$A$33,StandingsPivot!G$4:G$33)</f>
        <v>1</v>
      </c>
      <c r="AR7" s="1">
        <f>_xlfn.XLOOKUP($AK7,StandingsPivot!$A$4:$A$33,StandingsPivot!H$4:H$33)</f>
        <v>2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6</v>
      </c>
      <c r="AW7" s="1">
        <f t="shared" si="3"/>
        <v>1</v>
      </c>
      <c r="AX7" s="4" cm="1">
        <f t="array" ref="AX7">_xlfn.IFNA(INDEX(Games[PostGmRate], MATCH(1, (Games[Team]=AK7)*(Games[Date]=AY7), 0)),0)</f>
        <v>1767.751573356926</v>
      </c>
      <c r="AY7" s="1">
        <f>_xlfn.MAXIFS(Games[Date], Games[Team], AK7)</f>
        <v>37135</v>
      </c>
      <c r="AZ7">
        <f>SUM(AV7:AW7)</f>
        <v>7</v>
      </c>
      <c r="BO7" s="4"/>
      <c r="BP7" s="1"/>
    </row>
    <row r="8" spans="1:68" x14ac:dyDescent="0.35">
      <c r="A8" t="str">
        <v>MIA</v>
      </c>
      <c r="B8">
        <v>0</v>
      </c>
      <c r="C8" t="str">
        <v>Miami Sol</v>
      </c>
      <c r="D8" s="1">
        <v>20</v>
      </c>
      <c r="E8" s="1">
        <v>12</v>
      </c>
      <c r="F8" s="3">
        <v>0.625</v>
      </c>
      <c r="G8" s="9">
        <v>1540.1802894579007</v>
      </c>
      <c r="H8" s="1">
        <v>37124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2</v>
      </c>
      <c r="AO8" s="1">
        <f>_xlfn.XLOOKUP($AK8,StandingsPivot!$A$4:$A$33,StandingsPivot!E$4:E$33)</f>
        <v>0</v>
      </c>
      <c r="AP8" s="1">
        <f>_xlfn.XLOOKUP($AK8,StandingsPivot!$A$4:$A$33,StandingsPivot!F$4:F$33)</f>
        <v>1</v>
      </c>
      <c r="AQ8" s="1">
        <f>_xlfn.XLOOKUP($AK8,StandingsPivot!$A$4:$A$33,StandingsPivot!G$4:G$33)</f>
        <v>2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3</v>
      </c>
      <c r="AW8" s="1">
        <f t="shared" si="3"/>
        <v>2</v>
      </c>
      <c r="AX8" s="4" cm="1">
        <f t="array" ref="AX8">_xlfn.IFNA(INDEX(Games[PostGmRate], MATCH(1, (Games[Team]=AK8)*(Games[Date]=AY8), 0)),0)</f>
        <v>1648.7354380335039</v>
      </c>
      <c r="AY8" s="1">
        <f>_xlfn.MAXIFS(Games[Date], Games[Team], AK8)</f>
        <v>37130</v>
      </c>
      <c r="AZ8">
        <f>SUM(AV8:AW8)</f>
        <v>5</v>
      </c>
      <c r="BO8" s="4"/>
      <c r="BP8" s="1"/>
    </row>
    <row r="9" spans="1:68" x14ac:dyDescent="0.35">
      <c r="A9" t="str">
        <v>UTA</v>
      </c>
      <c r="B9">
        <v>0</v>
      </c>
      <c r="C9" t="str">
        <v>Utah Starzz</v>
      </c>
      <c r="D9" s="1">
        <v>19</v>
      </c>
      <c r="E9" s="1">
        <v>13</v>
      </c>
      <c r="F9" s="3">
        <v>0.59375</v>
      </c>
      <c r="G9" s="9">
        <v>1530.4822417803784</v>
      </c>
      <c r="H9" s="1">
        <v>37122</v>
      </c>
      <c r="O9" s="3"/>
      <c r="P9" s="4"/>
      <c r="Q9" s="1"/>
      <c r="AK9" t="s">
        <v>43</v>
      </c>
      <c r="AL9">
        <f>_xlfn.XLOOKUP(AK9,ConfDiv[TeamID],ConfDiv[Logo])</f>
        <v>0</v>
      </c>
      <c r="AM9" t="str">
        <f>_xlfn.XLOOKUP(AK9,ConfDiv[TeamID],ConfDiv[TeamName])</f>
        <v>Utah Starzz</v>
      </c>
      <c r="AN9" s="1">
        <f>_xlfn.XLOOKUP($AK9,StandingsPivot!$A$4:$A$33,StandingsPivot!D$4:D$33)</f>
        <v>0</v>
      </c>
      <c r="AO9" s="1">
        <f>_xlfn.XLOOKUP($AK9,StandingsPivot!$A$4:$A$33,StandingsPivot!E$4:E$33)</f>
        <v>2</v>
      </c>
      <c r="AP9" s="1">
        <f>_xlfn.XLOOKUP($AK9,StandingsPivot!$A$4:$A$33,StandingsPivot!F$4:F$33)</f>
        <v>0</v>
      </c>
      <c r="AQ9" s="1">
        <f>_xlfn.XLOOKUP($AK9,StandingsPivot!$A$4:$A$33,StandingsPivot!G$4:G$33)</f>
        <v>0</v>
      </c>
      <c r="AR9" s="1">
        <f>_xlfn.XLOOKUP($AK9,StandingsPivot!$A$4:$A$33,StandingsPivot!H$4:H$33)</f>
        <v>0</v>
      </c>
      <c r="AS9" s="1">
        <f>_xlfn.XLOOKUP($AK9,StandingsPivot!$A$4:$A$33,StandingsPivot!I$4:I$33)</f>
        <v>0</v>
      </c>
      <c r="AT9" s="1">
        <f>_xlfn.XLOOKUP($AK9,StandingsPivot!$A$4:$A$33,StandingsPivot!J$4:J$33)</f>
        <v>0</v>
      </c>
      <c r="AU9" s="1">
        <f>_xlfn.XLOOKUP($AK9,StandingsPivot!$A$4:$A$33,StandingsPivot!K$4:K$33)</f>
        <v>0</v>
      </c>
      <c r="AV9" s="1">
        <f t="shared" si="3"/>
        <v>0</v>
      </c>
      <c r="AW9" s="1">
        <f t="shared" si="3"/>
        <v>2</v>
      </c>
      <c r="AX9" s="4" cm="1">
        <f t="array" ref="AX9">_xlfn.IFNA(INDEX(Games[PostGmRate], MATCH(1, (Games[Team]=AK9)*(Games[Date]=AY9), 0)),0)</f>
        <v>1530.4822417803784</v>
      </c>
      <c r="AY9" s="1">
        <f>_xlfn.MAXIFS(Games[Date], Games[Team], AK9)</f>
        <v>37122</v>
      </c>
      <c r="AZ9">
        <f>SUM(AV9:AW9)</f>
        <v>2</v>
      </c>
      <c r="BO9" s="4"/>
      <c r="BP9" s="1"/>
    </row>
    <row r="10" spans="1:68" x14ac:dyDescent="0.35">
      <c r="A10" t="str">
        <v>PHX</v>
      </c>
      <c r="B10">
        <v>0</v>
      </c>
      <c r="C10" t="str">
        <v>Phoenix Mercury</v>
      </c>
      <c r="D10" s="1">
        <v>13</v>
      </c>
      <c r="E10" s="1">
        <v>19</v>
      </c>
      <c r="F10" s="3">
        <v>0.40625</v>
      </c>
      <c r="G10" s="9">
        <v>1468.4544281967624</v>
      </c>
      <c r="H10" s="1">
        <v>37117</v>
      </c>
      <c r="O10" s="3"/>
      <c r="P10" s="4"/>
      <c r="Q10" s="1"/>
      <c r="AX10" s="4"/>
      <c r="BO10" s="4"/>
      <c r="BP10" s="1"/>
    </row>
    <row r="11" spans="1:68" x14ac:dyDescent="0.35">
      <c r="A11" t="str">
        <v>ORL</v>
      </c>
      <c r="B11">
        <v>0</v>
      </c>
      <c r="C11" t="str">
        <v>Orlando Miracle</v>
      </c>
      <c r="D11" s="1">
        <v>13</v>
      </c>
      <c r="E11" s="1">
        <v>19</v>
      </c>
      <c r="F11" s="3">
        <v>0.40625</v>
      </c>
      <c r="G11" s="9">
        <v>1453.7846326223698</v>
      </c>
      <c r="H11" s="1">
        <v>37117</v>
      </c>
      <c r="O11" s="3"/>
      <c r="P11" s="4"/>
      <c r="Q11" s="1"/>
      <c r="AX11" s="4"/>
      <c r="BO11" s="4"/>
      <c r="BP11" s="1"/>
    </row>
    <row r="12" spans="1:68" x14ac:dyDescent="0.35">
      <c r="A12" t="str">
        <v>MIN</v>
      </c>
      <c r="B12">
        <v>0</v>
      </c>
      <c r="C12" t="str">
        <v>Minnesota Lynx</v>
      </c>
      <c r="D12" s="1">
        <v>12</v>
      </c>
      <c r="E12" s="1">
        <v>20</v>
      </c>
      <c r="F12" s="3">
        <v>0.375</v>
      </c>
      <c r="G12" s="9">
        <v>1452.7743813825264</v>
      </c>
      <c r="H12" s="1">
        <v>37116</v>
      </c>
      <c r="O12" s="3"/>
      <c r="P12" s="4"/>
      <c r="Q12" s="1"/>
      <c r="AX12" s="4"/>
      <c r="BO12" s="4"/>
      <c r="BP12" s="1"/>
    </row>
    <row r="13" spans="1:68" x14ac:dyDescent="0.35">
      <c r="A13" t="str">
        <v>IND</v>
      </c>
      <c r="B13">
        <v>0</v>
      </c>
      <c r="C13" t="str">
        <v>Indiana Fever</v>
      </c>
      <c r="D13" s="1">
        <v>10</v>
      </c>
      <c r="E13" s="1">
        <v>22</v>
      </c>
      <c r="F13" s="3">
        <v>0.3125</v>
      </c>
      <c r="G13" s="9">
        <v>1388.3556357441335</v>
      </c>
      <c r="H13" s="1">
        <v>37117</v>
      </c>
      <c r="AX13" s="4"/>
      <c r="BO13" s="4"/>
      <c r="BP13" s="1"/>
    </row>
    <row r="14" spans="1:68" x14ac:dyDescent="0.35">
      <c r="A14" t="str">
        <v>DET</v>
      </c>
      <c r="B14">
        <v>0</v>
      </c>
      <c r="C14" t="str">
        <v>Detroit Shock</v>
      </c>
      <c r="D14" s="1">
        <v>10</v>
      </c>
      <c r="E14" s="1">
        <v>22</v>
      </c>
      <c r="F14" s="3">
        <v>0.3125</v>
      </c>
      <c r="G14" s="9">
        <v>1376.2267112780391</v>
      </c>
      <c r="H14" s="1">
        <v>37117</v>
      </c>
      <c r="O14" s="3"/>
      <c r="P14" s="4"/>
      <c r="Q14" s="1"/>
      <c r="AX14" s="4"/>
      <c r="BO14" s="4"/>
      <c r="BP14" s="1"/>
    </row>
    <row r="15" spans="1:68" x14ac:dyDescent="0.35">
      <c r="A15" t="str">
        <v>WAS</v>
      </c>
      <c r="B15">
        <v>0</v>
      </c>
      <c r="C15" t="str">
        <v>Washington Mystics</v>
      </c>
      <c r="D15" s="1">
        <v>10</v>
      </c>
      <c r="E15" s="1">
        <v>22</v>
      </c>
      <c r="F15" s="3">
        <v>0.3125</v>
      </c>
      <c r="G15" s="9">
        <v>1375.8134458884381</v>
      </c>
      <c r="H15" s="1">
        <v>37117</v>
      </c>
      <c r="O15" s="3"/>
      <c r="P15" s="4"/>
      <c r="Q15" s="1"/>
      <c r="AX15" s="4"/>
      <c r="BO15" s="4"/>
      <c r="BP15" s="1"/>
    </row>
    <row r="16" spans="1:68" x14ac:dyDescent="0.35">
      <c r="A16" t="str">
        <v>POR</v>
      </c>
      <c r="B16">
        <v>0</v>
      </c>
      <c r="C16" t="str">
        <v>Portland Fire</v>
      </c>
      <c r="D16" s="1">
        <v>11</v>
      </c>
      <c r="E16" s="1">
        <v>21</v>
      </c>
      <c r="F16" s="3">
        <v>0.34375</v>
      </c>
      <c r="G16" s="9">
        <v>1363.8217724027888</v>
      </c>
      <c r="H16" s="1">
        <v>37117</v>
      </c>
      <c r="O16" s="3"/>
      <c r="P16" s="4"/>
      <c r="Q16" s="1"/>
      <c r="AX16" s="4"/>
      <c r="BO16" s="4"/>
      <c r="BP16" s="1"/>
    </row>
    <row r="17" spans="1:60" x14ac:dyDescent="0.35">
      <c r="A17" t="str">
        <v>SEA</v>
      </c>
      <c r="B17">
        <v>0</v>
      </c>
      <c r="C17" t="str">
        <v>Seattle Storm</v>
      </c>
      <c r="D17" s="1">
        <v>10</v>
      </c>
      <c r="E17" s="1">
        <v>22</v>
      </c>
      <c r="F17" s="3">
        <v>0.3125</v>
      </c>
      <c r="G17" s="9">
        <v>1358.6057404795877</v>
      </c>
      <c r="H17" s="1">
        <v>37117</v>
      </c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18</v>
      </c>
      <c r="E25" s="1">
        <f>_xlfn.XLOOKUP($A25,StandingsPivot!$A$4:$A$35,StandingsPivot!C$4:C$35)</f>
        <v>14</v>
      </c>
      <c r="F25" s="3">
        <f>(D25)/(D25+E25)</f>
        <v>0.5625</v>
      </c>
      <c r="G25" s="9" cm="1">
        <f t="array" ref="G25">INDEX(Games[PostGmRate], MATCH(1, (Games[Team]=A25)*(Games[Date]=H25), 0))</f>
        <v>1568.4075422964099</v>
      </c>
      <c r="H25" s="1">
        <f>_xlfn.MAXIFS(Games[Date], Games[Team], A25)</f>
        <v>37135</v>
      </c>
      <c r="AR25" s="3"/>
      <c r="AS25" s="4"/>
      <c r="BD25" s="1"/>
      <c r="BG25" s="3"/>
      <c r="BH25" s="4"/>
    </row>
    <row r="26" spans="1:60" x14ac:dyDescent="0.35">
      <c r="A26" t="s">
        <v>1</v>
      </c>
      <c r="B26">
        <f>_xlfn.XLOOKUP(A26,ConfDiv[TeamID],ConfDiv[Logo])</f>
        <v>0</v>
      </c>
      <c r="C26" t="str">
        <f>_xlfn.XLOOKUP(A26,ConfDiv[TeamID],ConfDiv[TeamName])</f>
        <v>Cleveland Rockers</v>
      </c>
      <c r="D26" s="1">
        <f>_xlfn.XLOOKUP($A26,StandingsPivot!$A$4:$A$35,StandingsPivot!B$4:B$35)</f>
        <v>22</v>
      </c>
      <c r="E26" s="1">
        <f>_xlfn.XLOOKUP($A26,StandingsPivot!$A$4:$A$35,StandingsPivot!C$4:C$35)</f>
        <v>10</v>
      </c>
      <c r="F26" s="3">
        <f>(D26)/(D26+E26)</f>
        <v>0.6875</v>
      </c>
      <c r="G26" s="9" cm="1">
        <f t="array" ref="G26">INDEX(Games[PostGmRate], MATCH(1, (Games[Team]=A26)*(Games[Date]=H26), 0))</f>
        <v>1586.8530923230039</v>
      </c>
      <c r="H26" s="1">
        <f>_xlfn.MAXIFS(Games[Date], Games[Team], A26)</f>
        <v>37123</v>
      </c>
      <c r="AR26" s="3"/>
      <c r="AS26" s="4"/>
      <c r="BD26" s="1"/>
      <c r="BG26" s="3"/>
      <c r="BH26" s="4"/>
    </row>
    <row r="27" spans="1:60" x14ac:dyDescent="0.35">
      <c r="A27" t="s">
        <v>77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10</v>
      </c>
      <c r="E27" s="1">
        <f>_xlfn.XLOOKUP($A27,StandingsPivot!$A$4:$A$35,StandingsPivot!C$4:C$35)</f>
        <v>22</v>
      </c>
      <c r="F27" s="3">
        <f>(D27)/(D27+E27)</f>
        <v>0.3125</v>
      </c>
      <c r="G27" s="9" cm="1">
        <f t="array" ref="G27">INDEX(Games[PostGmRate], MATCH(1, (Games[Team]=A27)*(Games[Date]=H27), 0))</f>
        <v>1376.2267112780391</v>
      </c>
      <c r="H27" s="1">
        <f>_xlfn.MAXIFS(Games[Date], Games[Team], A27)</f>
        <v>37117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19</v>
      </c>
      <c r="E28" s="1">
        <f>_xlfn.XLOOKUP($A28,StandingsPivot!$A$4:$A$35,StandingsPivot!C$4:C$35)</f>
        <v>13</v>
      </c>
      <c r="F28" s="3">
        <f>(D28)/(D28+E28)</f>
        <v>0.59375</v>
      </c>
      <c r="G28" s="9" cm="1">
        <f t="array" ref="G28">INDEX(Games[PostGmRate], MATCH(1, (Games[Team]=A28)*(Games[Date]=H28), 0))</f>
        <v>1554.0546306403492</v>
      </c>
      <c r="H28" s="1">
        <f>_xlfn.MAXIFS(Games[Date], Games[Team], A28)</f>
        <v>37123</v>
      </c>
      <c r="AR28" s="3"/>
      <c r="AS28" s="4"/>
      <c r="BD28" s="1"/>
      <c r="BG28" s="3"/>
      <c r="BH28" s="4"/>
    </row>
    <row r="29" spans="1:60" x14ac:dyDescent="0.35">
      <c r="A29" t="s">
        <v>85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10</v>
      </c>
      <c r="E29" s="1">
        <f>_xlfn.XLOOKUP($A29,StandingsPivot!$A$4:$A$35,StandingsPivot!C$4:C$35)</f>
        <v>22</v>
      </c>
      <c r="F29" s="3">
        <f>(D29)/(D29+E29)</f>
        <v>0.3125</v>
      </c>
      <c r="G29" s="9" cm="1">
        <f t="array" ref="G29">INDEX(Games[PostGmRate], MATCH(1, (Games[Team]=A29)*(Games[Date]=H29), 0))</f>
        <v>1388.3556357441335</v>
      </c>
      <c r="H29" s="1">
        <f>_xlfn.MAXIFS(Games[Date], Games[Team], A29)</f>
        <v>37117</v>
      </c>
      <c r="AR29" s="3"/>
      <c r="AS29" s="4"/>
      <c r="BD29" s="1"/>
      <c r="BG29" s="3"/>
      <c r="BH29" s="4"/>
    </row>
    <row r="30" spans="1:60" x14ac:dyDescent="0.35">
      <c r="A30" t="s">
        <v>71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28</v>
      </c>
      <c r="E30" s="1">
        <f>_xlfn.XLOOKUP($A30,StandingsPivot!$A$4:$A$35,StandingsPivot!C$4:C$35)</f>
        <v>4</v>
      </c>
      <c r="F30" s="3">
        <f>(D30)/(D30+E30)</f>
        <v>0.875</v>
      </c>
      <c r="G30" s="9" cm="1">
        <f t="array" ref="G30">INDEX(Games[PostGmRate], MATCH(1, (Games[Team]=A30)*(Games[Date]=H30), 0))</f>
        <v>1767.751573356926</v>
      </c>
      <c r="H30" s="1">
        <f>_xlfn.MAXIFS(Games[Date], Games[Team], A30)</f>
        <v>37135</v>
      </c>
      <c r="AR30" s="3"/>
      <c r="AS30" s="4"/>
      <c r="BD30" s="1"/>
      <c r="BG30" s="3"/>
      <c r="BH30" s="4"/>
    </row>
    <row r="31" spans="1:60" x14ac:dyDescent="0.35">
      <c r="A31" t="s">
        <v>83</v>
      </c>
      <c r="B31">
        <f>_xlfn.XLOOKUP(A31,ConfDiv[TeamID],ConfDiv[Logo])</f>
        <v>0</v>
      </c>
      <c r="C31" t="str">
        <f>_xlfn.XLOOKUP(A31,ConfDiv[TeamID],ConfDiv[TeamName])</f>
        <v>Miami Sol</v>
      </c>
      <c r="D31" s="1">
        <f>_xlfn.XLOOKUP($A31,StandingsPivot!$A$4:$A$35,StandingsPivot!B$4:B$35)</f>
        <v>20</v>
      </c>
      <c r="E31" s="1">
        <f>_xlfn.XLOOKUP($A31,StandingsPivot!$A$4:$A$35,StandingsPivot!C$4:C$35)</f>
        <v>12</v>
      </c>
      <c r="F31" s="3">
        <f>(D31)/(D31+E31)</f>
        <v>0.625</v>
      </c>
      <c r="G31" s="9" cm="1">
        <f t="array" ref="G31">INDEX(Games[PostGmRate], MATCH(1, (Games[Team]=A31)*(Games[Date]=H31), 0))</f>
        <v>1540.1802894579007</v>
      </c>
      <c r="H31" s="1">
        <f>_xlfn.MAXIFS(Games[Date], Games[Team], A31)</f>
        <v>37124</v>
      </c>
      <c r="AR31" s="3"/>
      <c r="AS31" s="4"/>
      <c r="BD31" s="1"/>
      <c r="BG31" s="3"/>
      <c r="BH31" s="4"/>
    </row>
    <row r="32" spans="1:60" x14ac:dyDescent="0.35">
      <c r="A32" t="s">
        <v>80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12</v>
      </c>
      <c r="E32" s="1">
        <f>_xlfn.XLOOKUP($A32,StandingsPivot!$A$4:$A$35,StandingsPivot!C$4:C$35)</f>
        <v>20</v>
      </c>
      <c r="F32" s="3">
        <f>(D32)/(D32+E32)</f>
        <v>0.375</v>
      </c>
      <c r="G32" s="9" cm="1">
        <f t="array" ref="G32">INDEX(Games[PostGmRate], MATCH(1, (Games[Team]=A32)*(Games[Date]=H32), 0))</f>
        <v>1452.7743813825264</v>
      </c>
      <c r="H32" s="1">
        <f>_xlfn.MAXIFS(Games[Date], Games[Team], A32)</f>
        <v>37116</v>
      </c>
      <c r="AR32" s="3"/>
      <c r="AS32" s="4"/>
      <c r="BD32" s="1"/>
      <c r="BG32" s="3"/>
      <c r="BH32" s="4"/>
    </row>
    <row r="33" spans="1:60" x14ac:dyDescent="0.35">
      <c r="A33" t="s">
        <v>66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21</v>
      </c>
      <c r="E33" s="1">
        <f>_xlfn.XLOOKUP($A33,StandingsPivot!$A$4:$A$35,StandingsPivot!C$4:C$35)</f>
        <v>11</v>
      </c>
      <c r="F33" s="3">
        <f>(D33)/(D33+E33)</f>
        <v>0.65625</v>
      </c>
      <c r="G33" s="9" cm="1">
        <f t="array" ref="G33">INDEX(Games[PostGmRate], MATCH(1, (Games[Team]=A33)*(Games[Date]=H33), 0))</f>
        <v>1564.0662557424341</v>
      </c>
      <c r="H33" s="1">
        <f>_xlfn.MAXIFS(Games[Date], Games[Team], A33)</f>
        <v>37130</v>
      </c>
      <c r="AR33" s="3"/>
      <c r="AS33" s="4"/>
      <c r="BD33" s="1"/>
      <c r="BG33" s="3"/>
      <c r="BH33" s="4"/>
    </row>
    <row r="34" spans="1:60" x14ac:dyDescent="0.35">
      <c r="A34" t="s">
        <v>79</v>
      </c>
      <c r="B34">
        <f>_xlfn.XLOOKUP(A34,ConfDiv[TeamID],ConfDiv[Logo])</f>
        <v>0</v>
      </c>
      <c r="C34" t="str">
        <f>_xlfn.XLOOKUP(A34,ConfDiv[TeamID],ConfDiv[TeamName])</f>
        <v>Orlando Miracle</v>
      </c>
      <c r="D34" s="1">
        <f>_xlfn.XLOOKUP($A34,StandingsPivot!$A$4:$A$35,StandingsPivot!B$4:B$35)</f>
        <v>13</v>
      </c>
      <c r="E34" s="1">
        <f>_xlfn.XLOOKUP($A34,StandingsPivot!$A$4:$A$35,StandingsPivot!C$4:C$35)</f>
        <v>19</v>
      </c>
      <c r="F34" s="3">
        <f>(D34)/(D34+E34)</f>
        <v>0.40625</v>
      </c>
      <c r="G34" s="9" cm="1">
        <f t="array" ref="G34">INDEX(Games[PostGmRate], MATCH(1, (Games[Team]=A34)*(Games[Date]=H34), 0))</f>
        <v>1453.7846326223698</v>
      </c>
      <c r="H34" s="1">
        <f>_xlfn.MAXIFS(Games[Date], Games[Team], A34)</f>
        <v>37117</v>
      </c>
      <c r="AR34" s="3"/>
      <c r="AS34" s="4"/>
      <c r="BD34" s="1"/>
      <c r="BG34" s="3"/>
      <c r="BH34" s="4"/>
    </row>
    <row r="35" spans="1:60" x14ac:dyDescent="0.35">
      <c r="A35" t="s">
        <v>44</v>
      </c>
      <c r="B35">
        <f>_xlfn.XLOOKUP(A35,ConfDiv[TeamID],ConfDiv[Logo])</f>
        <v>0</v>
      </c>
      <c r="C35" t="str">
        <f>_xlfn.XLOOKUP(A35,ConfDiv[TeamID],ConfDiv[TeamName])</f>
        <v>Phoenix Mercury</v>
      </c>
      <c r="D35" s="1">
        <f>_xlfn.XLOOKUP($A35,StandingsPivot!$A$4:$A$35,StandingsPivot!B$4:B$35)</f>
        <v>13</v>
      </c>
      <c r="E35" s="1">
        <f>_xlfn.XLOOKUP($A35,StandingsPivot!$A$4:$A$35,StandingsPivot!C$4:C$35)</f>
        <v>19</v>
      </c>
      <c r="F35" s="3">
        <f>(D35)/(D35+E35)</f>
        <v>0.40625</v>
      </c>
      <c r="G35" s="9" cm="1">
        <f t="array" ref="G35">INDEX(Games[PostGmRate], MATCH(1, (Games[Team]=A35)*(Games[Date]=H35), 0))</f>
        <v>1468.4544281967624</v>
      </c>
      <c r="H35" s="1">
        <f>_xlfn.MAXIFS(Games[Date], Games[Team], A35)</f>
        <v>37117</v>
      </c>
      <c r="AR35" s="3"/>
      <c r="AS35" s="4"/>
      <c r="BD35" s="1"/>
      <c r="BG35" s="3"/>
      <c r="BH35" s="4"/>
    </row>
    <row r="36" spans="1:60" x14ac:dyDescent="0.35">
      <c r="A36" t="s">
        <v>89</v>
      </c>
      <c r="B36">
        <f>_xlfn.XLOOKUP(A36,ConfDiv[TeamID],ConfDiv[Logo])</f>
        <v>0</v>
      </c>
      <c r="C36" t="str">
        <f>_xlfn.XLOOKUP(A36,ConfDiv[TeamID],ConfDiv[TeamName])</f>
        <v>Portland Fire</v>
      </c>
      <c r="D36" s="1">
        <f>_xlfn.XLOOKUP($A36,StandingsPivot!$A$4:$A$35,StandingsPivot!B$4:B$35)</f>
        <v>11</v>
      </c>
      <c r="E36" s="1">
        <f>_xlfn.XLOOKUP($A36,StandingsPivot!$A$4:$A$35,StandingsPivot!C$4:C$35)</f>
        <v>21</v>
      </c>
      <c r="F36" s="3">
        <f>(D36)/(D36+E36)</f>
        <v>0.34375</v>
      </c>
      <c r="G36" s="9" cm="1">
        <f t="array" ref="G36">INDEX(Games[PostGmRate], MATCH(1, (Games[Team]=A36)*(Games[Date]=H36), 0))</f>
        <v>1363.8217724027888</v>
      </c>
      <c r="H36" s="1">
        <f>_xlfn.MAXIFS(Games[Date], Games[Team], A36)</f>
        <v>37117</v>
      </c>
      <c r="AR36" s="3"/>
      <c r="AS36" s="4"/>
      <c r="BD36" s="1"/>
      <c r="BG36" s="3"/>
      <c r="BH36" s="4"/>
    </row>
    <row r="37" spans="1:60" x14ac:dyDescent="0.35">
      <c r="A37" t="s">
        <v>45</v>
      </c>
      <c r="B37">
        <f>_xlfn.XLOOKUP(A37,ConfDiv[TeamID],ConfDiv[Logo])</f>
        <v>0</v>
      </c>
      <c r="C37" t="str">
        <f>_xlfn.XLOOKUP(A37,ConfDiv[TeamID],ConfDiv[TeamName])</f>
        <v>Sacramento Monarchs</v>
      </c>
      <c r="D37" s="1">
        <f>_xlfn.XLOOKUP($A37,StandingsPivot!$A$4:$A$35,StandingsPivot!B$4:B$35)</f>
        <v>20</v>
      </c>
      <c r="E37" s="1">
        <f>_xlfn.XLOOKUP($A37,StandingsPivot!$A$4:$A$35,StandingsPivot!C$4:C$35)</f>
        <v>12</v>
      </c>
      <c r="F37" s="3">
        <f>(D37)/(D37+E37)</f>
        <v>0.625</v>
      </c>
      <c r="G37" s="9" cm="1">
        <f t="array" ref="G37">INDEX(Games[PostGmRate], MATCH(1, (Games[Team]=A37)*(Games[Date]=H37), 0))</f>
        <v>1648.7354380335039</v>
      </c>
      <c r="H37" s="1">
        <f>_xlfn.MAXIFS(Games[Date], Games[Team], A37)</f>
        <v>37130</v>
      </c>
    </row>
    <row r="38" spans="1:60" x14ac:dyDescent="0.35">
      <c r="A38" t="s">
        <v>87</v>
      </c>
      <c r="B38">
        <f>_xlfn.XLOOKUP(A38,ConfDiv[TeamID],ConfDiv[Logo])</f>
        <v>0</v>
      </c>
      <c r="C38" t="str">
        <f>_xlfn.XLOOKUP(A38,ConfDiv[TeamID],ConfDiv[TeamName])</f>
        <v>Seattle Storm</v>
      </c>
      <c r="D38" s="1">
        <f>_xlfn.XLOOKUP($A38,StandingsPivot!$A$4:$A$35,StandingsPivot!B$4:B$35)</f>
        <v>10</v>
      </c>
      <c r="E38" s="1">
        <f>_xlfn.XLOOKUP($A38,StandingsPivot!$A$4:$A$35,StandingsPivot!C$4:C$35)</f>
        <v>22</v>
      </c>
      <c r="F38" s="3">
        <f>(D38)/(D38+E38)</f>
        <v>0.3125</v>
      </c>
      <c r="G38" s="9" cm="1">
        <f t="array" ref="G38">INDEX(Games[PostGmRate], MATCH(1, (Games[Team]=A38)*(Games[Date]=H38), 0))</f>
        <v>1358.6057404795877</v>
      </c>
      <c r="H38" s="1">
        <f>_xlfn.MAXIFS(Games[Date], Games[Team], A38)</f>
        <v>37117</v>
      </c>
    </row>
    <row r="39" spans="1:60" x14ac:dyDescent="0.35">
      <c r="A39" t="s">
        <v>43</v>
      </c>
      <c r="B39">
        <f>_xlfn.XLOOKUP(A39,ConfDiv[TeamID],ConfDiv[Logo])</f>
        <v>0</v>
      </c>
      <c r="C39" t="str">
        <f>_xlfn.XLOOKUP(A39,ConfDiv[TeamID],ConfDiv[TeamName])</f>
        <v>Utah Starzz</v>
      </c>
      <c r="D39" s="1">
        <f>_xlfn.XLOOKUP($A39,StandingsPivot!$A$4:$A$35,StandingsPivot!B$4:B$35)</f>
        <v>19</v>
      </c>
      <c r="E39" s="1">
        <f>_xlfn.XLOOKUP($A39,StandingsPivot!$A$4:$A$35,StandingsPivot!C$4:C$35)</f>
        <v>13</v>
      </c>
      <c r="F39" s="3">
        <f>(D39)/(D39+E39)</f>
        <v>0.59375</v>
      </c>
      <c r="G39" s="9" cm="1">
        <f t="array" ref="G39">INDEX(Games[PostGmRate], MATCH(1, (Games[Team]=A39)*(Games[Date]=H39), 0))</f>
        <v>1530.4822417803784</v>
      </c>
      <c r="H39" s="1">
        <f>_xlfn.MAXIFS(Games[Date], Games[Team], A39)</f>
        <v>37122</v>
      </c>
    </row>
    <row r="40" spans="1:60" x14ac:dyDescent="0.35">
      <c r="A40" t="s">
        <v>75</v>
      </c>
      <c r="B40">
        <f>_xlfn.XLOOKUP(A40,ConfDiv[TeamID],ConfDiv[Logo])</f>
        <v>0</v>
      </c>
      <c r="C40" t="str">
        <f>_xlfn.XLOOKUP(A40,ConfDiv[TeamID],ConfDiv[TeamName])</f>
        <v>Washington Mystics</v>
      </c>
      <c r="D40" s="1">
        <f>_xlfn.XLOOKUP($A40,StandingsPivot!$A$4:$A$35,StandingsPivot!B$4:B$35)</f>
        <v>10</v>
      </c>
      <c r="E40" s="1">
        <f>_xlfn.XLOOKUP($A40,StandingsPivot!$A$4:$A$35,StandingsPivot!C$4:C$35)</f>
        <v>22</v>
      </c>
      <c r="F40" s="3">
        <f>(D40)/(D40+E40)</f>
        <v>0.3125</v>
      </c>
      <c r="G40" s="9" cm="1">
        <f t="array" ref="G40">INDEX(Games[PostGmRate], MATCH(1, (Games[Team]=A40)*(Games[Date]=H40), 0))</f>
        <v>1375.8134458884381</v>
      </c>
      <c r="H40" s="1">
        <f>_xlfn.MAXIFS(Games[Date], Games[Team], A40)</f>
        <v>37117</v>
      </c>
    </row>
  </sheetData>
  <sortState xmlns:xlrd2="http://schemas.microsoft.com/office/spreadsheetml/2017/richdata2" ref="A25:G40">
    <sortCondition ref="A25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18</v>
      </c>
      <c r="C4" s="2">
        <v>14</v>
      </c>
      <c r="D4" s="2">
        <v>2</v>
      </c>
      <c r="E4" s="2">
        <v>1</v>
      </c>
      <c r="F4" s="2">
        <v>1</v>
      </c>
      <c r="G4" s="2">
        <v>1</v>
      </c>
      <c r="H4" s="2">
        <v>1</v>
      </c>
      <c r="I4" s="2">
        <v>2</v>
      </c>
      <c r="J4" s="2">
        <v>0</v>
      </c>
      <c r="K4" s="2">
        <v>0</v>
      </c>
    </row>
    <row r="5" spans="1:11" x14ac:dyDescent="0.35">
      <c r="A5" s="6" t="s">
        <v>1</v>
      </c>
      <c r="B5" s="2">
        <v>22</v>
      </c>
      <c r="C5" s="2">
        <v>10</v>
      </c>
      <c r="D5" s="2">
        <v>1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77</v>
      </c>
      <c r="B6" s="2">
        <v>10</v>
      </c>
      <c r="C6" s="2">
        <v>22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2</v>
      </c>
      <c r="B7" s="2">
        <v>19</v>
      </c>
      <c r="C7" s="2">
        <v>13</v>
      </c>
      <c r="D7" s="2">
        <v>0</v>
      </c>
      <c r="E7" s="2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85</v>
      </c>
      <c r="B8" s="2">
        <v>10</v>
      </c>
      <c r="C8" s="2">
        <v>22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71</v>
      </c>
      <c r="B9" s="2">
        <v>28</v>
      </c>
      <c r="C9" s="2">
        <v>4</v>
      </c>
      <c r="D9" s="2">
        <v>2</v>
      </c>
      <c r="E9" s="2">
        <v>0</v>
      </c>
      <c r="F9" s="2">
        <v>2</v>
      </c>
      <c r="G9" s="2">
        <v>1</v>
      </c>
      <c r="H9" s="2">
        <v>2</v>
      </c>
      <c r="I9" s="2">
        <v>0</v>
      </c>
      <c r="J9" s="2">
        <v>0</v>
      </c>
      <c r="K9" s="2">
        <v>0</v>
      </c>
    </row>
    <row r="10" spans="1:11" x14ac:dyDescent="0.35">
      <c r="A10" s="6" t="s">
        <v>83</v>
      </c>
      <c r="B10" s="2">
        <v>20</v>
      </c>
      <c r="C10" s="2">
        <v>12</v>
      </c>
      <c r="D10" s="2">
        <v>1</v>
      </c>
      <c r="E10" s="2">
        <v>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80</v>
      </c>
      <c r="B11" s="2">
        <v>12</v>
      </c>
      <c r="C11" s="2">
        <v>20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66</v>
      </c>
      <c r="B12" s="2">
        <v>21</v>
      </c>
      <c r="C12" s="2">
        <v>11</v>
      </c>
      <c r="D12" s="2">
        <v>2</v>
      </c>
      <c r="E12" s="2">
        <v>1</v>
      </c>
      <c r="F12" s="2">
        <v>1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</row>
    <row r="13" spans="1:11" x14ac:dyDescent="0.35">
      <c r="A13" s="6" t="s">
        <v>79</v>
      </c>
      <c r="B13" s="2">
        <v>13</v>
      </c>
      <c r="C13" s="2">
        <v>19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44</v>
      </c>
      <c r="B14" s="2">
        <v>13</v>
      </c>
      <c r="C14" s="2">
        <v>19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89</v>
      </c>
      <c r="B15" s="2">
        <v>11</v>
      </c>
      <c r="C15" s="2">
        <v>21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45</v>
      </c>
      <c r="B16" s="2">
        <v>20</v>
      </c>
      <c r="C16" s="2">
        <v>12</v>
      </c>
      <c r="D16" s="2">
        <v>2</v>
      </c>
      <c r="E16" s="2">
        <v>0</v>
      </c>
      <c r="F16" s="2">
        <v>1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87</v>
      </c>
      <c r="B17" s="2">
        <v>10</v>
      </c>
      <c r="C17" s="2">
        <v>22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5">
      <c r="A18" s="6" t="s">
        <v>43</v>
      </c>
      <c r="B18" s="2">
        <v>19</v>
      </c>
      <c r="C18" s="2">
        <v>13</v>
      </c>
      <c r="D18" s="2">
        <v>0</v>
      </c>
      <c r="E18" s="2">
        <v>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35">
      <c r="A19" s="6" t="s">
        <v>75</v>
      </c>
      <c r="B19" s="2">
        <v>10</v>
      </c>
      <c r="C19" s="2">
        <v>22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35">
      <c r="A20" s="6" t="s">
        <v>20</v>
      </c>
      <c r="B20" s="2">
        <v>256</v>
      </c>
      <c r="C20" s="2">
        <v>256</v>
      </c>
      <c r="D20" s="2">
        <v>10</v>
      </c>
      <c r="E20" s="2">
        <v>10</v>
      </c>
      <c r="F20" s="2">
        <v>5</v>
      </c>
      <c r="G20" s="2">
        <v>5</v>
      </c>
      <c r="H20" s="2">
        <v>3</v>
      </c>
      <c r="I20" s="2">
        <v>3</v>
      </c>
      <c r="J20" s="2">
        <v>0</v>
      </c>
      <c r="K20" s="2">
        <v>0</v>
      </c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4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49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37039</v>
      </c>
      <c r="B2" s="2">
        <v>2001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71</v>
      </c>
      <c r="G2" s="1" t="s">
        <v>2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1611.5481899372164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1656.8254921214952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0.32209077600723091</v>
      </c>
      <c r="R2" s="1">
        <v>66</v>
      </c>
      <c r="S2" s="1">
        <v>63</v>
      </c>
      <c r="T2" s="1">
        <v>0</v>
      </c>
      <c r="U2" s="1">
        <f>Games[[#This Row],[PointsFor]]-Games[[#This Row],[PointsAgainst]]</f>
        <v>3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0.2796326767601513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14.378548553181794</v>
      </c>
      <c r="AB2" s="4">
        <f>Games[[#This Row],[PreGmRate]]+Games[[#This Row],[RatingChange]]</f>
        <v>1625.9267384903983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37039</v>
      </c>
      <c r="B3" s="2">
        <v>2001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2</v>
      </c>
      <c r="G3" s="1" t="s">
        <v>71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1656.8254921214952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1611.5481899372164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0.67790922399276921</v>
      </c>
      <c r="R3" s="1">
        <v>63</v>
      </c>
      <c r="S3" s="1">
        <v>66</v>
      </c>
      <c r="T3" s="1">
        <v>0</v>
      </c>
      <c r="U3" s="1">
        <f>Games[[#This Row],[PointsFor]]-Games[[#This Row],[PointsAgainst]]</f>
        <v>-3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0.2796326767601513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-14.378548553181798</v>
      </c>
      <c r="AB3" s="4">
        <f>Games[[#This Row],[PreGmRate]]+Games[[#This Row],[RatingChange]]</f>
        <v>1642.4469435683134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37041</v>
      </c>
      <c r="B4" s="2">
        <v>2001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43</v>
      </c>
      <c r="G4" s="1" t="s">
        <v>44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1526.3792497257671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1530.4305803336413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0.37592891671145129</v>
      </c>
      <c r="R4" s="1">
        <v>81</v>
      </c>
      <c r="S4" s="1">
        <v>62</v>
      </c>
      <c r="T4" s="1">
        <v>0</v>
      </c>
      <c r="U4" s="1">
        <f>Games[[#This Row],[PointsFor]]-Games[[#This Row],[PointsAgainst]]</f>
        <v>19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0.55909002395094176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26.464968897083818</v>
      </c>
      <c r="AB4" s="4">
        <f>Games[[#This Row],[PreGmRate]]+Games[[#This Row],[RatingChange]]</f>
        <v>1552.8442186228508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37041</v>
      </c>
      <c r="B5" s="2">
        <v>2001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44</v>
      </c>
      <c r="G5" s="1" t="s">
        <v>43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1530.4305803336413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1526.3792497257671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0.62407108328854866</v>
      </c>
      <c r="R5" s="1">
        <v>62</v>
      </c>
      <c r="S5" s="1">
        <v>81</v>
      </c>
      <c r="T5" s="1">
        <v>0</v>
      </c>
      <c r="U5" s="1">
        <f>Games[[#This Row],[PointsFor]]-Games[[#This Row],[PointsAgainst]]</f>
        <v>-19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0.55909002395094176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-26.464968897083814</v>
      </c>
      <c r="AB5" s="4">
        <f>Games[[#This Row],[PreGmRate]]+Games[[#This Row],[RatingChange]]</f>
        <v>1503.9656114365575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37042</v>
      </c>
      <c r="B6" s="2">
        <v>2001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75</v>
      </c>
      <c r="G6" s="1" t="s">
        <v>1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3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1456.5654882654603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1503.0349734958961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0.320594137758974</v>
      </c>
      <c r="R6" s="1">
        <v>34</v>
      </c>
      <c r="S6" s="1">
        <v>69</v>
      </c>
      <c r="T6" s="1">
        <v>0</v>
      </c>
      <c r="U6" s="1">
        <f>Games[[#This Row],[PointsFor]]-Games[[#This Row],[PointsAgainst]]</f>
        <v>-35</v>
      </c>
      <c r="V6" s="1">
        <f>IF(Games[[#This Row],[MOV]]&gt;0,1,IF(Games[[#This Row],[MOV]]=0,0.5,0))</f>
        <v>0</v>
      </c>
      <c r="W6" s="4">
        <f>((ABS(Games[[#This Row],[MOV]])+5)^0.6)/(12+0.01*(ABS(Games[[#This Row],[PreGmRate]]-Games[[#This Row],[OppPreGmRate]])))*IF(Games[[#This Row],[OT]]=1,0.9,1)</f>
        <v>0.73376052498033495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-17.842902636476691</v>
      </c>
      <c r="AB6" s="4">
        <f>Games[[#This Row],[PreGmRate]]+Games[[#This Row],[RatingChange]]</f>
        <v>1438.7225856289836</v>
      </c>
      <c r="AC6" s="2">
        <f>IF(Games[[#This Row],[Type]]="R",IF(Games[[#This Row],[Result]]&gt;0.5,1,0),0)</f>
        <v>0</v>
      </c>
      <c r="AD6" s="2">
        <f>IF(Games[[#This Row],[Type]]="R",IF(Games[[#This Row],[Result]]&lt;0.5,1,0),0)</f>
        <v>1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37042</v>
      </c>
      <c r="B7" s="2">
        <v>2001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1</v>
      </c>
      <c r="G7" s="1" t="s">
        <v>75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3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1503.0349734958961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1456.5654882654603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0.67940586224102606</v>
      </c>
      <c r="R7" s="1">
        <v>69</v>
      </c>
      <c r="S7" s="1">
        <v>34</v>
      </c>
      <c r="T7" s="1">
        <v>0</v>
      </c>
      <c r="U7" s="1">
        <f>Games[[#This Row],[PointsFor]]-Games[[#This Row],[PointsAgainst]]</f>
        <v>35</v>
      </c>
      <c r="V7" s="1">
        <f>IF(Games[[#This Row],[MOV]]&gt;0,1,IF(Games[[#This Row],[MOV]]=0,0.5,0))</f>
        <v>1</v>
      </c>
      <c r="W7" s="4">
        <f>((ABS(Games[[#This Row],[MOV]])+5)^0.6)/(12+0.01*(ABS(Games[[#This Row],[PreGmRate]]-Games[[#This Row],[OppPreGmRate]])))*IF(Games[[#This Row],[OT]]=1,0.9,1)</f>
        <v>0.73376052498033495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17.842902636476687</v>
      </c>
      <c r="AB7" s="4">
        <f>Games[[#This Row],[PreGmRate]]+Games[[#This Row],[RatingChange]]</f>
        <v>1520.8778761323729</v>
      </c>
      <c r="AC7" s="2">
        <f>IF(Games[[#This Row],[Type]]="R",IF(Games[[#This Row],[Result]]&gt;0.5,1,0),0)</f>
        <v>1</v>
      </c>
      <c r="AD7" s="2">
        <f>IF(Games[[#This Row],[Type]]="R",IF(Games[[#This Row],[Result]]&lt;0.5,1,0),0)</f>
        <v>0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37042</v>
      </c>
      <c r="B8" s="2">
        <v>2001</v>
      </c>
      <c r="C8" s="2">
        <f>COUNTIFS(Games[Team],Games[[#This Row],[Team]],Games[Season],Games[[#This Row],[Season]],Games[Date],"&lt;=" &amp; Games[[#This Row],[Date]])</f>
        <v>2</v>
      </c>
      <c r="D8" s="2" t="s">
        <v>23</v>
      </c>
      <c r="E8" s="2" t="s">
        <v>29</v>
      </c>
      <c r="F8" s="1" t="s">
        <v>2</v>
      </c>
      <c r="G8" s="1" t="s">
        <v>85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" s="2">
        <f>Games[[#This Row],[DaysOff]]-Games[[#This Row],[OppDaysOff]]</f>
        <v>-1</v>
      </c>
      <c r="L8" s="2">
        <f>Games[[#This Row],[OppDaysOff]]-Games[[#This Row],[DaysOff]]</f>
        <v>1</v>
      </c>
      <c r="M8" s="1">
        <f>MAX(-16, MIN(16, Games[[#This Row],[RestDiff]]*8))</f>
        <v>-8</v>
      </c>
      <c r="N8" s="1">
        <f>MAX(-16, MIN(16, Games[[#This Row],[OppRestDiff]]*8))</f>
        <v>8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1642.4469435683134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1444.4365125162255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0.63742225438908673</v>
      </c>
      <c r="R8" s="1">
        <v>82</v>
      </c>
      <c r="S8" s="1">
        <v>78</v>
      </c>
      <c r="T8" s="1">
        <v>0</v>
      </c>
      <c r="U8" s="1">
        <f>Games[[#This Row],[PointsFor]]-Games[[#This Row],[PointsAgainst]]</f>
        <v>4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0.26732224136797655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75.7</v>
      </c>
      <c r="Z8" s="4">
        <f>Games[[#This Row],[K]]*Games[[#This Row],[POMult]]</f>
        <v>75.7</v>
      </c>
      <c r="AA8" s="4">
        <f>(Games[[#This Row],[Keff]]*Games[[#This Row],[MOVMult]])*(Games[[#This Row],[Result]]-Games[[#This Row],[ExpectedWin%]])</f>
        <v>7.337229738953102</v>
      </c>
      <c r="AB8" s="4">
        <f>Games[[#This Row],[PreGmRate]]+Games[[#This Row],[RatingChange]]</f>
        <v>1649.7841733072664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37042</v>
      </c>
      <c r="B9" s="2">
        <v>2001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85</v>
      </c>
      <c r="G9" s="1" t="s">
        <v>2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3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" s="2">
        <f>Games[[#This Row],[DaysOff]]-Games[[#This Row],[OppDaysOff]]</f>
        <v>1</v>
      </c>
      <c r="L9" s="2">
        <f>Games[[#This Row],[OppDaysOff]]-Games[[#This Row],[DaysOff]]</f>
        <v>-1</v>
      </c>
      <c r="M9" s="1">
        <f>MAX(-16, MIN(16, Games[[#This Row],[RestDiff]]*8))</f>
        <v>8</v>
      </c>
      <c r="N9" s="1">
        <f>MAX(-16, MIN(16, Games[[#This Row],[OppRestDiff]]*8))</f>
        <v>-8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1444.4365125162255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1642.4469435683134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0.36257774561091333</v>
      </c>
      <c r="R9" s="1">
        <v>78</v>
      </c>
      <c r="S9" s="1">
        <v>82</v>
      </c>
      <c r="T9" s="1">
        <v>0</v>
      </c>
      <c r="U9" s="1">
        <f>Games[[#This Row],[PointsFor]]-Games[[#This Row],[PointsAgainst]]</f>
        <v>-4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0.26732224136797655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-7.3517685032971318</v>
      </c>
      <c r="AB9" s="4">
        <f>Games[[#This Row],[PreGmRate]]+Games[[#This Row],[RatingChange]]</f>
        <v>1437.0847440129285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37042</v>
      </c>
      <c r="B10" s="2">
        <v>2001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66</v>
      </c>
      <c r="G10" s="1" t="s">
        <v>83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1544.9196307767356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1464.4365234862485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0.49493895740226518</v>
      </c>
      <c r="R10" s="1">
        <v>59</v>
      </c>
      <c r="S10" s="1">
        <v>68</v>
      </c>
      <c r="T10" s="1">
        <v>0</v>
      </c>
      <c r="U10" s="1">
        <f>Games[[#This Row],[PointsFor]]-Games[[#This Row],[PointsAgainst]]</f>
        <v>-9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0.38045471260260383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-14.282695989548502</v>
      </c>
      <c r="AB10" s="4">
        <f>Games[[#This Row],[PreGmRate]]+Games[[#This Row],[RatingChange]]</f>
        <v>1530.6369347871871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37042</v>
      </c>
      <c r="B11" s="2">
        <v>2001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83</v>
      </c>
      <c r="G11" s="1" t="s">
        <v>66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1464.4365234862485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1544.9196307767356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0.50506104259773477</v>
      </c>
      <c r="R11" s="1">
        <v>68</v>
      </c>
      <c r="S11" s="1">
        <v>59</v>
      </c>
      <c r="T11" s="1">
        <v>0</v>
      </c>
      <c r="U11" s="1">
        <f>Games[[#This Row],[PointsFor]]-Games[[#This Row],[PointsAgainst]]</f>
        <v>9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0.38045471260260383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14.282695989548504</v>
      </c>
      <c r="AB11" s="4">
        <f>Games[[#This Row],[PreGmRate]]+Games[[#This Row],[RatingChange]]</f>
        <v>1478.719219475797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37042</v>
      </c>
      <c r="B12" s="2">
        <v>2001</v>
      </c>
      <c r="C12" s="2">
        <f>COUNTIFS(Games[Team],Games[[#This Row],[Team]],Games[Season],Games[[#This Row],[Season]],Games[Date],"&lt;=" &amp; Games[[#This Row],[Date]])</f>
        <v>1</v>
      </c>
      <c r="D12" s="2" t="s">
        <v>23</v>
      </c>
      <c r="E12" s="2" t="s">
        <v>29</v>
      </c>
      <c r="F12" s="1" t="s">
        <v>80</v>
      </c>
      <c r="G12" s="1" t="s">
        <v>89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1489.0931979180309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1451.264190212253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0.43394299860314955</v>
      </c>
      <c r="R12" s="1">
        <v>82</v>
      </c>
      <c r="S12" s="1">
        <v>65</v>
      </c>
      <c r="T12" s="1">
        <v>0</v>
      </c>
      <c r="U12" s="1">
        <f>Games[[#This Row],[PointsFor]]-Games[[#This Row],[PointsAgainst]]</f>
        <v>17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0.51617022942660384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22.161987427403691</v>
      </c>
      <c r="AB12" s="4">
        <f>Games[[#This Row],[PreGmRate]]+Games[[#This Row],[RatingChange]]</f>
        <v>1511.2551853454347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37042</v>
      </c>
      <c r="B13" s="2">
        <v>2001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89</v>
      </c>
      <c r="G13" s="1" t="s">
        <v>80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1451.264190212253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1489.0931979180309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0.56605700139685045</v>
      </c>
      <c r="R13" s="1">
        <v>65</v>
      </c>
      <c r="S13" s="1">
        <v>82</v>
      </c>
      <c r="T13" s="1">
        <v>0</v>
      </c>
      <c r="U13" s="1">
        <f>Games[[#This Row],[PointsFor]]-Games[[#This Row],[PointsAgainst]]</f>
        <v>-17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0.51617022942660384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-22.161987427403691</v>
      </c>
      <c r="AB13" s="4">
        <f>Games[[#This Row],[PreGmRate]]+Games[[#This Row],[RatingChange]]</f>
        <v>1429.1022027848492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37042</v>
      </c>
      <c r="B14" s="2">
        <v>2001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44</v>
      </c>
      <c r="G14" s="1" t="s">
        <v>87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" s="2">
        <f>Games[[#This Row],[DaysOff]]-Games[[#This Row],[OppDaysOff]]</f>
        <v>-3</v>
      </c>
      <c r="L14" s="2">
        <f>Games[[#This Row],[OppDaysOff]]-Games[[#This Row],[DaysOff]]</f>
        <v>3</v>
      </c>
      <c r="M14" s="1">
        <f>MAX(-16, MIN(16, Games[[#This Row],[RestDiff]]*8))</f>
        <v>-16</v>
      </c>
      <c r="N14" s="1">
        <f>MAX(-16, MIN(16, Games[[#This Row],[OppRestDiff]]*8))</f>
        <v>16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1503.9656114365575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1413.340744812107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0.4635470401704731</v>
      </c>
      <c r="R14" s="1">
        <v>70</v>
      </c>
      <c r="S14" s="1">
        <v>83</v>
      </c>
      <c r="T14" s="1">
        <v>0</v>
      </c>
      <c r="U14" s="1">
        <f>Games[[#This Row],[PointsFor]]-Games[[#This Row],[PointsAgainst]]</f>
        <v>-13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0.43889787143065251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-15.401150559377148</v>
      </c>
      <c r="AB14" s="4">
        <f>Games[[#This Row],[PreGmRate]]+Games[[#This Row],[RatingChange]]</f>
        <v>1488.5644608771804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37042</v>
      </c>
      <c r="B15" s="2">
        <v>2001</v>
      </c>
      <c r="C15" s="2">
        <f>COUNTIFS(Games[Team],Games[[#This Row],[Team]],Games[Season],Games[[#This Row],[Season]],Games[Date],"&lt;=" &amp; Games[[#This Row],[Date]])</f>
        <v>1</v>
      </c>
      <c r="D15" s="2" t="s">
        <v>23</v>
      </c>
      <c r="E15" s="2" t="s">
        <v>29</v>
      </c>
      <c r="F15" s="1" t="s">
        <v>87</v>
      </c>
      <c r="G15" s="1" t="s">
        <v>44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" s="2">
        <f>Games[[#This Row],[DaysOff]]-Games[[#This Row],[OppDaysOff]]</f>
        <v>3</v>
      </c>
      <c r="L15" s="2">
        <f>Games[[#This Row],[OppDaysOff]]-Games[[#This Row],[DaysOff]]</f>
        <v>-3</v>
      </c>
      <c r="M15" s="1">
        <f>MAX(-16, MIN(16, Games[[#This Row],[RestDiff]]*8))</f>
        <v>16</v>
      </c>
      <c r="N15" s="1">
        <f>MAX(-16, MIN(16, Games[[#This Row],[OppRestDiff]]*8))</f>
        <v>-16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1413.340744812107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1503.9656114365575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0.5364529598295269</v>
      </c>
      <c r="R15" s="1">
        <v>83</v>
      </c>
      <c r="S15" s="1">
        <v>70</v>
      </c>
      <c r="T15" s="1">
        <v>0</v>
      </c>
      <c r="U15" s="1">
        <f>Games[[#This Row],[PointsFor]]-Games[[#This Row],[PointsAgainst]]</f>
        <v>13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0.43889787143065251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75.849999999999994</v>
      </c>
      <c r="Z15" s="4">
        <f>Games[[#This Row],[K]]*Games[[#This Row],[POMult]]</f>
        <v>75.849999999999994</v>
      </c>
      <c r="AA15" s="4">
        <f>(Games[[#This Row],[Keff]]*Games[[#This Row],[MOVMult]])*(Games[[#This Row],[Result]]-Games[[#This Row],[ExpectedWin%]])</f>
        <v>15.431668030762966</v>
      </c>
      <c r="AB15" s="4">
        <f>Games[[#This Row],[PreGmRate]]+Games[[#This Row],[RatingChange]]</f>
        <v>1428.7724128428699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37043</v>
      </c>
      <c r="B16" s="2">
        <v>2001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71</v>
      </c>
      <c r="G16" s="1" t="s">
        <v>79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" s="2">
        <f>Games[[#This Row],[DaysOff]]-Games[[#This Row],[OppDaysOff]]</f>
        <v>-1</v>
      </c>
      <c r="L16" s="2">
        <f>Games[[#This Row],[OppDaysOff]]-Games[[#This Row],[DaysOff]]</f>
        <v>1</v>
      </c>
      <c r="M16" s="1">
        <f>MAX(-16, MIN(16, Games[[#This Row],[RestDiff]]*8))</f>
        <v>-8</v>
      </c>
      <c r="N16" s="1">
        <f>MAX(-16, MIN(16, Games[[#This Row],[OppRestDiff]]*8))</f>
        <v>8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1625.9267384903983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1476.0953971033637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0.57122533992135005</v>
      </c>
      <c r="R16" s="1">
        <v>68</v>
      </c>
      <c r="S16" s="1">
        <v>62</v>
      </c>
      <c r="T16" s="1">
        <v>0</v>
      </c>
      <c r="U16" s="1">
        <f>Games[[#This Row],[PointsFor]]-Games[[#This Row],[PointsAgainst]]</f>
        <v>6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0.31228858034666385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10.136338242263081</v>
      </c>
      <c r="AB16" s="4">
        <f>Games[[#This Row],[PreGmRate]]+Games[[#This Row],[RatingChange]]</f>
        <v>1636.0630767326613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37043</v>
      </c>
      <c r="B17" s="2">
        <v>2001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79</v>
      </c>
      <c r="G17" s="1" t="s">
        <v>71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" s="2">
        <f>Games[[#This Row],[DaysOff]]-Games[[#This Row],[OppDaysOff]]</f>
        <v>1</v>
      </c>
      <c r="L17" s="2">
        <f>Games[[#This Row],[OppDaysOff]]-Games[[#This Row],[DaysOff]]</f>
        <v>-1</v>
      </c>
      <c r="M17" s="1">
        <f>MAX(-16, MIN(16, Games[[#This Row],[RestDiff]]*8))</f>
        <v>8</v>
      </c>
      <c r="N17" s="1">
        <f>MAX(-16, MIN(16, Games[[#This Row],[OppRestDiff]]*8))</f>
        <v>-8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1476.0953971033637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1625.9267384903983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0.42877466007865001</v>
      </c>
      <c r="R17" s="1">
        <v>62</v>
      </c>
      <c r="S17" s="1">
        <v>68</v>
      </c>
      <c r="T17" s="1">
        <v>0</v>
      </c>
      <c r="U17" s="1">
        <f>Games[[#This Row],[PointsFor]]-Games[[#This Row],[PointsAgainst]]</f>
        <v>-6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0.31228858034666385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-10.15642345674577</v>
      </c>
      <c r="AB17" s="4">
        <f>Games[[#This Row],[PreGmRate]]+Games[[#This Row],[RatingChange]]</f>
        <v>1465.9389736466178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37044</v>
      </c>
      <c r="B18" s="2">
        <v>2001</v>
      </c>
      <c r="C18" s="2">
        <f>COUNTIFS(Games[Team],Games[[#This Row],[Team]],Games[Season],Games[[#This Row],[Season]],Games[Date],"&lt;=" &amp; Games[[#This Row],[Date]])</f>
        <v>3</v>
      </c>
      <c r="D18" s="2" t="s">
        <v>23</v>
      </c>
      <c r="E18" s="2" t="s">
        <v>29</v>
      </c>
      <c r="F18" s="1" t="s">
        <v>71</v>
      </c>
      <c r="G18" s="1" t="s">
        <v>64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" s="2">
        <f>Games[[#This Row],[DaysOff]]-Games[[#This Row],[OppDaysOff]]</f>
        <v>-5</v>
      </c>
      <c r="L18" s="2">
        <f>Games[[#This Row],[OppDaysOff]]-Games[[#This Row],[DaysOff]]</f>
        <v>5</v>
      </c>
      <c r="M18" s="1">
        <f>MAX(-16, MIN(16, Games[[#This Row],[RestDiff]]*8))</f>
        <v>-16</v>
      </c>
      <c r="N18" s="1">
        <f>MAX(-16, MIN(16, Games[[#This Row],[OppRestDiff]]*8))</f>
        <v>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1636.0630767326613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1416.9250041337284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0.64421604647228814</v>
      </c>
      <c r="R18" s="1">
        <v>76</v>
      </c>
      <c r="S18" s="1">
        <v>67</v>
      </c>
      <c r="T18" s="1">
        <v>0</v>
      </c>
      <c r="U18" s="1">
        <f>Games[[#This Row],[PointsFor]]-Games[[#This Row],[PointsAgainst]]</f>
        <v>9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0.34328289965790443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75.55</v>
      </c>
      <c r="Z18" s="4">
        <f>Games[[#This Row],[K]]*Games[[#This Row],[POMult]]</f>
        <v>75.55</v>
      </c>
      <c r="AA18" s="4">
        <f>(Games[[#This Row],[Keff]]*Games[[#This Row],[MOVMult]])*(Games[[#This Row],[Result]]-Games[[#This Row],[ExpectedWin%]])</f>
        <v>9.2272650423762634</v>
      </c>
      <c r="AB18" s="4">
        <f>Games[[#This Row],[PreGmRate]]+Games[[#This Row],[RatingChange]]</f>
        <v>1645.2903417750376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37044</v>
      </c>
      <c r="B19" s="2">
        <v>2001</v>
      </c>
      <c r="C19" s="2">
        <f>COUNTIFS(Games[Team],Games[[#This Row],[Team]],Games[Season],Games[[#This Row],[Season]],Games[Date],"&lt;=" &amp; Games[[#This Row],[Date]])</f>
        <v>1</v>
      </c>
      <c r="D19" s="2" t="s">
        <v>23</v>
      </c>
      <c r="E19" s="2" t="s">
        <v>29</v>
      </c>
      <c r="F19" s="1" t="s">
        <v>64</v>
      </c>
      <c r="G19" s="1" t="s">
        <v>71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5</v>
      </c>
      <c r="L19" s="2">
        <f>Games[[#This Row],[OppDaysOff]]-Games[[#This Row],[DaysOff]]</f>
        <v>-5</v>
      </c>
      <c r="M19" s="1">
        <f>MAX(-16, MIN(16, Games[[#This Row],[RestDiff]]*8))</f>
        <v>16</v>
      </c>
      <c r="N19" s="1">
        <f>MAX(-16, MIN(16, Games[[#This Row],[OppRestDiff]]*8))</f>
        <v>-16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1416.9250041337284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1636.0630767326613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0.35578395352771186</v>
      </c>
      <c r="R19" s="1">
        <v>67</v>
      </c>
      <c r="S19" s="1">
        <v>76</v>
      </c>
      <c r="T19" s="1">
        <v>0</v>
      </c>
      <c r="U19" s="1">
        <f>Games[[#This Row],[PointsFor]]-Games[[#This Row],[PointsAgainst]]</f>
        <v>-9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0.34328289965790443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75.849999999999994</v>
      </c>
      <c r="Z19" s="4">
        <f>Games[[#This Row],[K]]*Games[[#This Row],[POMult]]</f>
        <v>75.849999999999994</v>
      </c>
      <c r="AA19" s="4">
        <f>(Games[[#This Row],[Keff]]*Games[[#This Row],[MOVMult]])*(Games[[#This Row],[Result]]-Games[[#This Row],[ExpectedWin%]])</f>
        <v>-9.2639054065418858</v>
      </c>
      <c r="AB19" s="4">
        <f>Games[[#This Row],[PreGmRate]]+Games[[#This Row],[RatingChange]]</f>
        <v>1407.6610987271865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37044</v>
      </c>
      <c r="B20" s="2">
        <v>2001</v>
      </c>
      <c r="C20" s="2">
        <f>COUNTIFS(Games[Team],Games[[#This Row],[Team]],Games[Season],Games[[#This Row],[Season]],Games[Date],"&lt;=" &amp; Games[[#This Row],[Date]])</f>
        <v>3</v>
      </c>
      <c r="D20" s="2" t="s">
        <v>23</v>
      </c>
      <c r="E20" s="2" t="s">
        <v>29</v>
      </c>
      <c r="F20" s="1" t="s">
        <v>2</v>
      </c>
      <c r="G20" s="1" t="s">
        <v>77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0" s="2">
        <f>Games[[#This Row],[DaysOff]]-Games[[#This Row],[OppDaysOff]]</f>
        <v>-4</v>
      </c>
      <c r="L20" s="2">
        <f>Games[[#This Row],[OppDaysOff]]-Games[[#This Row],[DaysOff]]</f>
        <v>4</v>
      </c>
      <c r="M20" s="1">
        <f>MAX(-16, MIN(16, Games[[#This Row],[RestDiff]]*8))</f>
        <v>-16</v>
      </c>
      <c r="N20" s="1">
        <f>MAX(-16, MIN(16, Games[[#This Row],[OppRestDiff]]*8))</f>
        <v>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1649.7841733072664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1465.2809890382894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0.59732607236913482</v>
      </c>
      <c r="R20" s="1">
        <v>74</v>
      </c>
      <c r="S20" s="1">
        <v>73</v>
      </c>
      <c r="T20" s="1">
        <v>0</v>
      </c>
      <c r="U20" s="1">
        <f>Games[[#This Row],[PointsFor]]-Games[[#This Row],[PointsAgainst]]</f>
        <v>1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0.21163953141289846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75.55</v>
      </c>
      <c r="Z20" s="4">
        <f>Games[[#This Row],[K]]*Games[[#This Row],[POMult]]</f>
        <v>75.55</v>
      </c>
      <c r="AA20" s="4">
        <f>(Games[[#This Row],[Keff]]*Games[[#This Row],[MOVMult]])*(Games[[#This Row],[Result]]-Games[[#This Row],[ExpectedWin%]])</f>
        <v>6.4385010484448699</v>
      </c>
      <c r="AB20" s="4">
        <f>Games[[#This Row],[PreGmRate]]+Games[[#This Row],[RatingChange]]</f>
        <v>1656.2226743557112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37044</v>
      </c>
      <c r="B21" s="2">
        <v>2001</v>
      </c>
      <c r="C21" s="2">
        <f>COUNTIFS(Games[Team],Games[[#This Row],[Team]],Games[Season],Games[[#This Row],[Season]],Games[Date],"&lt;=" &amp; Games[[#This Row],[Date]])</f>
        <v>1</v>
      </c>
      <c r="D21" s="2" t="s">
        <v>23</v>
      </c>
      <c r="E21" s="2" t="s">
        <v>29</v>
      </c>
      <c r="F21" s="1" t="s">
        <v>77</v>
      </c>
      <c r="G21" s="1" t="s">
        <v>2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4</v>
      </c>
      <c r="L21" s="2">
        <f>Games[[#This Row],[OppDaysOff]]-Games[[#This Row],[DaysOff]]</f>
        <v>-4</v>
      </c>
      <c r="M21" s="1">
        <f>MAX(-16, MIN(16, Games[[#This Row],[RestDiff]]*8))</f>
        <v>16</v>
      </c>
      <c r="N21" s="1">
        <f>MAX(-16, MIN(16, Games[[#This Row],[OppRestDiff]]*8))</f>
        <v>-16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1465.2809890382894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1649.7841733072664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0.40267392763086524</v>
      </c>
      <c r="R21" s="1">
        <v>73</v>
      </c>
      <c r="S21" s="1">
        <v>74</v>
      </c>
      <c r="T21" s="1">
        <v>0</v>
      </c>
      <c r="U21" s="1">
        <f>Games[[#This Row],[PointsFor]]-Games[[#This Row],[PointsAgainst]]</f>
        <v>-1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0.21163953141289846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75.849999999999994</v>
      </c>
      <c r="Z21" s="4">
        <f>Games[[#This Row],[K]]*Games[[#This Row],[POMult]]</f>
        <v>75.849999999999994</v>
      </c>
      <c r="AA21" s="4">
        <f>(Games[[#This Row],[Keff]]*Games[[#This Row],[MOVMult]])*(Games[[#This Row],[Result]]-Games[[#This Row],[ExpectedWin%]])</f>
        <v>-6.4640675648516668</v>
      </c>
      <c r="AB21" s="4">
        <f>Games[[#This Row],[PreGmRate]]+Games[[#This Row],[RatingChange]]</f>
        <v>1458.8169214734378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37044</v>
      </c>
      <c r="B22" s="2">
        <v>2001</v>
      </c>
      <c r="C22" s="2">
        <f>COUNTIFS(Games[Team],Games[[#This Row],[Team]],Games[Season],Games[[#This Row],[Season]],Games[Date],"&lt;=" &amp; Games[[#This Row],[Date]])</f>
        <v>3</v>
      </c>
      <c r="D22" s="2" t="s">
        <v>23</v>
      </c>
      <c r="E22" s="2" t="s">
        <v>29</v>
      </c>
      <c r="F22" s="1" t="s">
        <v>44</v>
      </c>
      <c r="G22" s="1" t="s">
        <v>80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1488.5644608771804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1511.2551853454347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0.35111056202181806</v>
      </c>
      <c r="R22" s="1">
        <v>89</v>
      </c>
      <c r="S22" s="1">
        <v>80</v>
      </c>
      <c r="T22" s="1">
        <v>0</v>
      </c>
      <c r="U22" s="1">
        <f>Games[[#This Row],[PointsFor]]-Games[[#This Row],[PointsAgainst]]</f>
        <v>9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0.39843749758432068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19.532839326901538</v>
      </c>
      <c r="AB22" s="4">
        <f>Games[[#This Row],[PreGmRate]]+Games[[#This Row],[RatingChange]]</f>
        <v>1508.0973002040819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37044</v>
      </c>
      <c r="B23" s="2">
        <v>2001</v>
      </c>
      <c r="C23" s="2">
        <f>COUNTIFS(Games[Team],Games[[#This Row],[Team]],Games[Season],Games[[#This Row],[Season]],Games[Date],"&lt;=" &amp; Games[[#This Row],[Date]])</f>
        <v>2</v>
      </c>
      <c r="D23" s="2" t="s">
        <v>23</v>
      </c>
      <c r="E23" s="2" t="s">
        <v>29</v>
      </c>
      <c r="F23" s="1" t="s">
        <v>80</v>
      </c>
      <c r="G23" s="1" t="s">
        <v>44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1511.2551853454347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1488.5644608771804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0.6488894379781821</v>
      </c>
      <c r="R23" s="1">
        <v>80</v>
      </c>
      <c r="S23" s="1">
        <v>89</v>
      </c>
      <c r="T23" s="1">
        <v>0</v>
      </c>
      <c r="U23" s="1">
        <f>Games[[#This Row],[PointsFor]]-Games[[#This Row],[PointsAgainst]]</f>
        <v>-9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0.39843749758432068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-19.57162060948308</v>
      </c>
      <c r="AB23" s="4">
        <f>Games[[#This Row],[PreGmRate]]+Games[[#This Row],[RatingChange]]</f>
        <v>1491.6835647359517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37044</v>
      </c>
      <c r="B24" s="2">
        <v>2001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85</v>
      </c>
      <c r="G24" s="1" t="s">
        <v>66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1437.0847440129285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1530.6369347871871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0.26462388582064128</v>
      </c>
      <c r="R24" s="1">
        <v>58</v>
      </c>
      <c r="S24" s="1">
        <v>75</v>
      </c>
      <c r="T24" s="1">
        <v>0</v>
      </c>
      <c r="U24" s="1">
        <f>Games[[#This Row],[PointsFor]]-Games[[#This Row],[PointsAgainst]]</f>
        <v>-17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0.49393483112263409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-9.8945164445852072</v>
      </c>
      <c r="AB24" s="4">
        <f>Games[[#This Row],[PreGmRate]]+Games[[#This Row],[RatingChange]]</f>
        <v>1427.1902275683433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37044</v>
      </c>
      <c r="B25" s="2">
        <v>2001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66</v>
      </c>
      <c r="G25" s="1" t="s">
        <v>85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1530.6369347871871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1437.0847440129285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0.73537611417935866</v>
      </c>
      <c r="R25" s="1">
        <v>75</v>
      </c>
      <c r="S25" s="1">
        <v>58</v>
      </c>
      <c r="T25" s="1">
        <v>0</v>
      </c>
      <c r="U25" s="1">
        <f>Games[[#This Row],[PointsFor]]-Games[[#This Row],[PointsAgainst]]</f>
        <v>17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0.49393483112263409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9.894516444585209</v>
      </c>
      <c r="AB25" s="4">
        <f>Games[[#This Row],[PreGmRate]]+Games[[#This Row],[RatingChange]]</f>
        <v>1540.5314512317723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37044</v>
      </c>
      <c r="B26" s="2">
        <v>2001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1</v>
      </c>
      <c r="G26" s="1" t="s">
        <v>45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" s="2">
        <f>Games[[#This Row],[DaysOff]]-Games[[#This Row],[OppDaysOff]]</f>
        <v>-4</v>
      </c>
      <c r="L26" s="2">
        <f>Games[[#This Row],[OppDaysOff]]-Games[[#This Row],[DaysOff]]</f>
        <v>4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1520.8778761323729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1548.9492946962955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0.30378427128777474</v>
      </c>
      <c r="R26" s="1">
        <v>65</v>
      </c>
      <c r="S26" s="1">
        <v>70</v>
      </c>
      <c r="T26" s="1">
        <v>0</v>
      </c>
      <c r="U26" s="1">
        <f>Games[[#This Row],[PointsFor]]-Games[[#This Row],[PointsAgainst]]</f>
        <v>-5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0.32417265358967012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-7.454826488001677</v>
      </c>
      <c r="AB26" s="4">
        <f>Games[[#This Row],[PreGmRate]]+Games[[#This Row],[RatingChange]]</f>
        <v>1513.4230496443713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37044</v>
      </c>
      <c r="B27" s="2">
        <v>2001</v>
      </c>
      <c r="C27" s="2">
        <f>COUNTIFS(Games[Team],Games[[#This Row],[Team]],Games[Season],Games[[#This Row],[Season]],Games[Date],"&lt;=" &amp; Games[[#This Row],[Date]])</f>
        <v>1</v>
      </c>
      <c r="D27" s="2" t="s">
        <v>23</v>
      </c>
      <c r="E27" s="2" t="s">
        <v>29</v>
      </c>
      <c r="F27" s="1" t="s">
        <v>45</v>
      </c>
      <c r="G27" s="1" t="s">
        <v>1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5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4</v>
      </c>
      <c r="L27" s="2">
        <f>Games[[#This Row],[OppDaysOff]]-Games[[#This Row],[DaysOff]]</f>
        <v>-4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1548.9492946962955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1520.8778761323729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0.69621572871222526</v>
      </c>
      <c r="R27" s="1">
        <v>70</v>
      </c>
      <c r="S27" s="1">
        <v>65</v>
      </c>
      <c r="T27" s="1">
        <v>0</v>
      </c>
      <c r="U27" s="1">
        <f>Games[[#This Row],[PointsFor]]-Games[[#This Row],[PointsAgainst]]</f>
        <v>5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0.32417265358967012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75.849999999999994</v>
      </c>
      <c r="Z27" s="4">
        <f>Games[[#This Row],[K]]*Games[[#This Row],[POMult]]</f>
        <v>75.849999999999994</v>
      </c>
      <c r="AA27" s="4">
        <f>(Games[[#This Row],[Keff]]*Games[[#This Row],[MOVMult]])*(Games[[#This Row],[Result]]-Games[[#This Row],[ExpectedWin%]])</f>
        <v>7.469598271003</v>
      </c>
      <c r="AB27" s="4">
        <f>Games[[#This Row],[PreGmRate]]+Games[[#This Row],[RatingChange]]</f>
        <v>1556.4188929672985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37044</v>
      </c>
      <c r="B28" s="2">
        <v>2001</v>
      </c>
      <c r="C28" s="2">
        <f>COUNTIFS(Games[Team],Games[[#This Row],[Team]],Games[Season],Games[[#This Row],[Season]],Games[Date],"&lt;=" &amp; Games[[#This Row],[Date]])</f>
        <v>2</v>
      </c>
      <c r="D28" s="2" t="s">
        <v>23</v>
      </c>
      <c r="E28" s="2" t="s">
        <v>29</v>
      </c>
      <c r="F28" s="1" t="s">
        <v>89</v>
      </c>
      <c r="G28" s="1" t="s">
        <v>43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" s="2">
        <f>Games[[#This Row],[DaysOff]]-Games[[#This Row],[OppDaysOff]]</f>
        <v>-1</v>
      </c>
      <c r="L28" s="2">
        <f>Games[[#This Row],[OppDaysOff]]-Games[[#This Row],[DaysOff]]</f>
        <v>1</v>
      </c>
      <c r="M28" s="1">
        <f>MAX(-16, MIN(16, Games[[#This Row],[RestDiff]]*8))</f>
        <v>-8</v>
      </c>
      <c r="N28" s="1">
        <f>MAX(-16, MIN(16, Games[[#This Row],[OppRestDiff]]*8))</f>
        <v>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1429.1022027848492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1552.8442186228508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0.21619786563846338</v>
      </c>
      <c r="R28" s="1">
        <v>76</v>
      </c>
      <c r="S28" s="1">
        <v>71</v>
      </c>
      <c r="T28" s="1">
        <v>0</v>
      </c>
      <c r="U28" s="1">
        <f>Games[[#This Row],[PointsFor]]-Games[[#This Row],[PointsAgainst]]</f>
        <v>5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0.30074377468594093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75.7</v>
      </c>
      <c r="Z28" s="4">
        <f>Games[[#This Row],[K]]*Games[[#This Row],[POMult]]</f>
        <v>75.7</v>
      </c>
      <c r="AA28" s="4">
        <f>(Games[[#This Row],[Keff]]*Games[[#This Row],[MOVMult]])*(Games[[#This Row],[Result]]-Games[[#This Row],[ExpectedWin%]])</f>
        <v>17.844277465855271</v>
      </c>
      <c r="AB28" s="4">
        <f>Games[[#This Row],[PreGmRate]]+Games[[#This Row],[RatingChange]]</f>
        <v>1446.9464802507046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37044</v>
      </c>
      <c r="B29" s="2">
        <v>2001</v>
      </c>
      <c r="C29" s="2">
        <f>COUNTIFS(Games[Team],Games[[#This Row],[Team]],Games[Season],Games[[#This Row],[Season]],Games[Date],"&lt;=" &amp; Games[[#This Row],[Date]])</f>
        <v>2</v>
      </c>
      <c r="D29" s="2" t="s">
        <v>23</v>
      </c>
      <c r="E29" s="2" t="s">
        <v>29</v>
      </c>
      <c r="F29" s="1" t="s">
        <v>43</v>
      </c>
      <c r="G29" s="1" t="s">
        <v>89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1</v>
      </c>
      <c r="L29" s="2">
        <f>Games[[#This Row],[OppDaysOff]]-Games[[#This Row],[DaysOff]]</f>
        <v>-1</v>
      </c>
      <c r="M29" s="1">
        <f>MAX(-16, MIN(16, Games[[#This Row],[RestDiff]]*8))</f>
        <v>8</v>
      </c>
      <c r="N29" s="1">
        <f>MAX(-16, MIN(16, Games[[#This Row],[OppRestDiff]]*8))</f>
        <v>-8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1552.8442186228508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1429.1022027848492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0.78380213436153656</v>
      </c>
      <c r="R29" s="1">
        <v>71</v>
      </c>
      <c r="S29" s="1">
        <v>76</v>
      </c>
      <c r="T29" s="1">
        <v>0</v>
      </c>
      <c r="U29" s="1">
        <f>Games[[#This Row],[PointsFor]]-Games[[#This Row],[PointsAgainst]]</f>
        <v>-5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0.30074377468594093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-17.844277465855267</v>
      </c>
      <c r="AB29" s="4">
        <f>Games[[#This Row],[PreGmRate]]+Games[[#This Row],[RatingChange]]</f>
        <v>1534.9999411569956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37045</v>
      </c>
      <c r="B30" s="2">
        <v>2001</v>
      </c>
      <c r="C30" s="2">
        <f>COUNTIFS(Games[Team],Games[[#This Row],[Team]],Games[Season],Games[[#This Row],[Season]],Games[Date],"&lt;=" &amp; Games[[#This Row],[Date]])</f>
        <v>2</v>
      </c>
      <c r="D30" s="2" t="s">
        <v>23</v>
      </c>
      <c r="E30" s="2" t="s">
        <v>29</v>
      </c>
      <c r="F30" s="1" t="s">
        <v>87</v>
      </c>
      <c r="G30" s="1" t="s">
        <v>75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1428.7724128428699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1438.7225856289836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0.36799669454866996</v>
      </c>
      <c r="R30" s="1">
        <v>63</v>
      </c>
      <c r="S30" s="1">
        <v>68</v>
      </c>
      <c r="T30" s="1">
        <v>0</v>
      </c>
      <c r="U30" s="1">
        <f>Games[[#This Row],[PointsFor]]-Games[[#This Row],[PointsAgainst]]</f>
        <v>-5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0.32902773974302479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75.7</v>
      </c>
      <c r="Z30" s="4">
        <f>Games[[#This Row],[K]]*Games[[#This Row],[POMult]]</f>
        <v>75.7</v>
      </c>
      <c r="AA30" s="4">
        <f>(Games[[#This Row],[Keff]]*Games[[#This Row],[MOVMult]])*(Games[[#This Row],[Result]]-Games[[#This Row],[ExpectedWin%]])</f>
        <v>-9.1658408324671647</v>
      </c>
      <c r="AB30" s="4">
        <f>Games[[#This Row],[PreGmRate]]+Games[[#This Row],[RatingChange]]</f>
        <v>1419.6065720104027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37045</v>
      </c>
      <c r="B31" s="2">
        <v>2001</v>
      </c>
      <c r="C31" s="2">
        <f>COUNTIFS(Games[Team],Games[[#This Row],[Team]],Games[Season],Games[[#This Row],[Season]],Games[Date],"&lt;=" &amp; Games[[#This Row],[Date]])</f>
        <v>2</v>
      </c>
      <c r="D31" s="2" t="s">
        <v>23</v>
      </c>
      <c r="E31" s="2" t="s">
        <v>29</v>
      </c>
      <c r="F31" s="1" t="s">
        <v>75</v>
      </c>
      <c r="G31" s="1" t="s">
        <v>87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1438.7225856289836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1428.7724128428699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0.63200330545132999</v>
      </c>
      <c r="R31" s="1">
        <v>68</v>
      </c>
      <c r="S31" s="1">
        <v>63</v>
      </c>
      <c r="T31" s="1">
        <v>0</v>
      </c>
      <c r="U31" s="1">
        <f>Games[[#This Row],[PointsFor]]-Games[[#This Row],[PointsAgainst]]</f>
        <v>5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0.32902773974302479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75.7</v>
      </c>
      <c r="Z31" s="4">
        <f>Games[[#This Row],[K]]*Games[[#This Row],[POMult]]</f>
        <v>75.7</v>
      </c>
      <c r="AA31" s="4">
        <f>(Games[[#This Row],[Keff]]*Games[[#This Row],[MOVMult]])*(Games[[#This Row],[Result]]-Games[[#This Row],[ExpectedWin%]])</f>
        <v>9.1658408324671665</v>
      </c>
      <c r="AB31" s="4">
        <f>Games[[#This Row],[PreGmRate]]+Games[[#This Row],[RatingChange]]</f>
        <v>1447.8884264614508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37046</v>
      </c>
      <c r="B32" s="2">
        <v>2001</v>
      </c>
      <c r="C32" s="2">
        <f>COUNTIFS(Games[Team],Games[[#This Row],[Team]],Games[Season],Games[[#This Row],[Season]],Games[Date],"&lt;=" &amp; Games[[#This Row],[Date]])</f>
        <v>3</v>
      </c>
      <c r="D32" s="2" t="s">
        <v>23</v>
      </c>
      <c r="E32" s="2" t="s">
        <v>29</v>
      </c>
      <c r="F32" s="1" t="s">
        <v>87</v>
      </c>
      <c r="G32" s="1" t="s">
        <v>85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-1</v>
      </c>
      <c r="L32" s="2">
        <f>Games[[#This Row],[OppDaysOff]]-Games[[#This Row],[DaysOff]]</f>
        <v>1</v>
      </c>
      <c r="M32" s="1">
        <f>MAX(-16, MIN(16, Games[[#This Row],[RestDiff]]*8))</f>
        <v>-8</v>
      </c>
      <c r="N32" s="1">
        <f>MAX(-16, MIN(16, Games[[#This Row],[OppRestDiff]]*8))</f>
        <v>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1419.6065720104027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1427.1902275683433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0.34994037563238389</v>
      </c>
      <c r="R32" s="1">
        <v>74</v>
      </c>
      <c r="S32" s="1">
        <v>71</v>
      </c>
      <c r="T32" s="1">
        <v>1</v>
      </c>
      <c r="U32" s="1">
        <f>Games[[#This Row],[PointsFor]]-Games[[#This Row],[PointsAgainst]]</f>
        <v>3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0.25952504519598285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75.55</v>
      </c>
      <c r="Z32" s="4">
        <f>Games[[#This Row],[K]]*Games[[#This Row],[POMult]]</f>
        <v>75.55</v>
      </c>
      <c r="AA32" s="4">
        <f>(Games[[#This Row],[Keff]]*Games[[#This Row],[MOVMult]])*(Games[[#This Row],[Result]]-Games[[#This Row],[ExpectedWin%]])</f>
        <v>12.745795218923439</v>
      </c>
      <c r="AB32" s="4">
        <f>Games[[#This Row],[PreGmRate]]+Games[[#This Row],[RatingChange]]</f>
        <v>1432.3523672293261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37046</v>
      </c>
      <c r="B33" s="2">
        <v>2001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85</v>
      </c>
      <c r="G33" s="1" t="s">
        <v>87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" s="2">
        <f>Games[[#This Row],[DaysOff]]-Games[[#This Row],[OppDaysOff]]</f>
        <v>1</v>
      </c>
      <c r="L33" s="2">
        <f>Games[[#This Row],[OppDaysOff]]-Games[[#This Row],[DaysOff]]</f>
        <v>-1</v>
      </c>
      <c r="M33" s="1">
        <f>MAX(-16, MIN(16, Games[[#This Row],[RestDiff]]*8))</f>
        <v>8</v>
      </c>
      <c r="N33" s="1">
        <f>MAX(-16, MIN(16, Games[[#This Row],[OppRestDiff]]*8))</f>
        <v>-8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1427.1902275683433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1419.6065720104027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0.65005962436761611</v>
      </c>
      <c r="R33" s="1">
        <v>71</v>
      </c>
      <c r="S33" s="1">
        <v>74</v>
      </c>
      <c r="T33" s="1">
        <v>1</v>
      </c>
      <c r="U33" s="1">
        <f>Games[[#This Row],[PointsFor]]-Games[[#This Row],[PointsAgainst]]</f>
        <v>-3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0.25952504519598285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-12.745795218923439</v>
      </c>
      <c r="AB33" s="4">
        <f>Games[[#This Row],[PreGmRate]]+Games[[#This Row],[RatingChange]]</f>
        <v>1414.4444323494199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37046</v>
      </c>
      <c r="B34" s="2">
        <v>2001</v>
      </c>
      <c r="C34" s="2">
        <f>COUNTIFS(Games[Team],Games[[#This Row],[Team]],Games[Season],Games[[#This Row],[Season]],Games[Date],"&lt;=" &amp; Games[[#This Row],[Date]])</f>
        <v>2</v>
      </c>
      <c r="D34" s="2" t="s">
        <v>23</v>
      </c>
      <c r="E34" s="2" t="s">
        <v>29</v>
      </c>
      <c r="F34" s="1" t="s">
        <v>45</v>
      </c>
      <c r="G34" s="1" t="s">
        <v>66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1556.4188929672985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1540.5314512317723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0.40321490201814758</v>
      </c>
      <c r="R34" s="1">
        <v>80</v>
      </c>
      <c r="S34" s="1">
        <v>63</v>
      </c>
      <c r="T34" s="1">
        <v>0</v>
      </c>
      <c r="U34" s="1">
        <f>Games[[#This Row],[PointsFor]]-Games[[#This Row],[PointsAgainst]]</f>
        <v>17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0.52548489355758454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75.7</v>
      </c>
      <c r="Z34" s="4">
        <f>Games[[#This Row],[K]]*Games[[#This Row],[POMult]]</f>
        <v>75.7</v>
      </c>
      <c r="AA34" s="4">
        <f>(Games[[#This Row],[Keff]]*Games[[#This Row],[MOVMult]])*(Games[[#This Row],[Result]]-Games[[#This Row],[ExpectedWin%]])</f>
        <v>23.739637614313803</v>
      </c>
      <c r="AB34" s="4">
        <f>Games[[#This Row],[PreGmRate]]+Games[[#This Row],[RatingChange]]</f>
        <v>1580.1585305816122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37046</v>
      </c>
      <c r="B35" s="2">
        <v>2001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66</v>
      </c>
      <c r="G35" s="1" t="s">
        <v>45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1540.5314512317723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1556.4188929672985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0.59678509798185242</v>
      </c>
      <c r="R35" s="1">
        <v>63</v>
      </c>
      <c r="S35" s="1">
        <v>80</v>
      </c>
      <c r="T35" s="1">
        <v>0</v>
      </c>
      <c r="U35" s="1">
        <f>Games[[#This Row],[PointsFor]]-Games[[#This Row],[PointsAgainst]]</f>
        <v>-17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0.52548489355758454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-23.692597381260338</v>
      </c>
      <c r="AB35" s="4">
        <f>Games[[#This Row],[PreGmRate]]+Games[[#This Row],[RatingChange]]</f>
        <v>1516.8388538505119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37046</v>
      </c>
      <c r="B36" s="2">
        <v>2001</v>
      </c>
      <c r="C36" s="2">
        <f>COUNTIFS(Games[Team],Games[[#This Row],[Team]],Games[Season],Games[[#This Row],[Season]],Games[Date],"&lt;=" &amp; Games[[#This Row],[Date]])</f>
        <v>4</v>
      </c>
      <c r="D36" s="2" t="s">
        <v>23</v>
      </c>
      <c r="E36" s="2" t="s">
        <v>29</v>
      </c>
      <c r="F36" s="1" t="s">
        <v>44</v>
      </c>
      <c r="G36" s="1" t="s">
        <v>89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1508.0973002040819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1446.9464802507046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0.46716471125783704</v>
      </c>
      <c r="R36" s="1">
        <v>69</v>
      </c>
      <c r="S36" s="1">
        <v>71</v>
      </c>
      <c r="T36" s="1">
        <v>1</v>
      </c>
      <c r="U36" s="1">
        <f>Games[[#This Row],[PointsFor]]-Games[[#This Row],[PointsAgainst]]</f>
        <v>-2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0.22936878119393939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-8.0793362330273641</v>
      </c>
      <c r="AB36" s="4">
        <f>Games[[#This Row],[PreGmRate]]+Games[[#This Row],[RatingChange]]</f>
        <v>1500.0179639710545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37046</v>
      </c>
      <c r="B37" s="2">
        <v>2001</v>
      </c>
      <c r="C37" s="2">
        <f>COUNTIFS(Games[Team],Games[[#This Row],[Team]],Games[Season],Games[[#This Row],[Season]],Games[Date],"&lt;=" &amp; Games[[#This Row],[Date]])</f>
        <v>3</v>
      </c>
      <c r="D37" s="2" t="s">
        <v>23</v>
      </c>
      <c r="E37" s="2" t="s">
        <v>29</v>
      </c>
      <c r="F37" s="1" t="s">
        <v>89</v>
      </c>
      <c r="G37" s="1" t="s">
        <v>44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1446.9464802507046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1508.0973002040819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0.5328352887421629</v>
      </c>
      <c r="R37" s="1">
        <v>71</v>
      </c>
      <c r="S37" s="1">
        <v>69</v>
      </c>
      <c r="T37" s="1">
        <v>1</v>
      </c>
      <c r="U37" s="1">
        <f>Games[[#This Row],[PointsFor]]-Games[[#This Row],[PointsAgainst]]</f>
        <v>2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0.22936878119393939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8.0954091830930679</v>
      </c>
      <c r="AB37" s="4">
        <f>Games[[#This Row],[PreGmRate]]+Games[[#This Row],[RatingChange]]</f>
        <v>1455.0418894337977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37047</v>
      </c>
      <c r="B38" s="2">
        <v>2001</v>
      </c>
      <c r="C38" s="2">
        <f>COUNTIFS(Games[Team],Games[[#This Row],[Team]],Games[Season],Games[[#This Row],[Season]],Games[Date],"&lt;=" &amp; Games[[#This Row],[Date]])</f>
        <v>2</v>
      </c>
      <c r="D38" s="2" t="s">
        <v>23</v>
      </c>
      <c r="E38" s="2" t="s">
        <v>29</v>
      </c>
      <c r="F38" s="1" t="s">
        <v>79</v>
      </c>
      <c r="G38" s="1" t="s">
        <v>77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" s="2">
        <f>Games[[#This Row],[DaysOff]]-Games[[#This Row],[OppDaysOff]]</f>
        <v>1</v>
      </c>
      <c r="L38" s="2">
        <f>Games[[#This Row],[OppDaysOff]]-Games[[#This Row],[DaysOff]]</f>
        <v>-1</v>
      </c>
      <c r="M38" s="1">
        <f>MAX(-16, MIN(16, Games[[#This Row],[RestDiff]]*8))</f>
        <v>8</v>
      </c>
      <c r="N38" s="1">
        <f>MAX(-16, MIN(16, Games[[#This Row],[OppRestDiff]]*8))</f>
        <v>-8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1465.9389736466178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1458.8169214734378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0.41327532914191906</v>
      </c>
      <c r="R38" s="1">
        <v>92</v>
      </c>
      <c r="S38" s="1">
        <v>71</v>
      </c>
      <c r="T38" s="1">
        <v>0</v>
      </c>
      <c r="U38" s="1">
        <f>Games[[#This Row],[PointsFor]]-Games[[#This Row],[PointsAgainst]]</f>
        <v>21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0.58510367369509075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75.7</v>
      </c>
      <c r="Z38" s="4">
        <f>Games[[#This Row],[K]]*Games[[#This Row],[POMult]]</f>
        <v>75.7</v>
      </c>
      <c r="AA38" s="4">
        <f>(Games[[#This Row],[Keff]]*Games[[#This Row],[MOVMult]])*(Games[[#This Row],[Result]]-Games[[#This Row],[ExpectedWin%]])</f>
        <v>25.987413359752082</v>
      </c>
      <c r="AB38" s="4">
        <f>Games[[#This Row],[PreGmRate]]+Games[[#This Row],[RatingChange]]</f>
        <v>1491.9263870063699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37047</v>
      </c>
      <c r="B39" s="2">
        <v>2001</v>
      </c>
      <c r="C39" s="2">
        <f>COUNTIFS(Games[Team],Games[[#This Row],[Team]],Games[Season],Games[[#This Row],[Season]],Games[Date],"&lt;=" &amp; Games[[#This Row],[Date]])</f>
        <v>2</v>
      </c>
      <c r="D39" s="2" t="s">
        <v>23</v>
      </c>
      <c r="E39" s="2" t="s">
        <v>29</v>
      </c>
      <c r="F39" s="1" t="s">
        <v>77</v>
      </c>
      <c r="G39" s="1" t="s">
        <v>79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" s="2">
        <f>Games[[#This Row],[DaysOff]]-Games[[#This Row],[OppDaysOff]]</f>
        <v>-1</v>
      </c>
      <c r="L39" s="2">
        <f>Games[[#This Row],[OppDaysOff]]-Games[[#This Row],[DaysOff]]</f>
        <v>1</v>
      </c>
      <c r="M39" s="1">
        <f>MAX(-16, MIN(16, Games[[#This Row],[RestDiff]]*8))</f>
        <v>-8</v>
      </c>
      <c r="N39" s="1">
        <f>MAX(-16, MIN(16, Games[[#This Row],[OppRestDiff]]*8))</f>
        <v>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1458.8169214734378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1465.9389736466178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0.586724670858081</v>
      </c>
      <c r="R39" s="1">
        <v>71</v>
      </c>
      <c r="S39" s="1">
        <v>92</v>
      </c>
      <c r="T39" s="1">
        <v>0</v>
      </c>
      <c r="U39" s="1">
        <f>Games[[#This Row],[PointsFor]]-Games[[#This Row],[PointsAgainst]]</f>
        <v>-21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0.58510367369509075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75.7</v>
      </c>
      <c r="Z39" s="4">
        <f>Games[[#This Row],[K]]*Games[[#This Row],[POMult]]</f>
        <v>75.7</v>
      </c>
      <c r="AA39" s="4">
        <f>(Games[[#This Row],[Keff]]*Games[[#This Row],[MOVMult]])*(Games[[#This Row],[Result]]-Games[[#This Row],[ExpectedWin%]])</f>
        <v>-25.987413359752086</v>
      </c>
      <c r="AB39" s="4">
        <f>Games[[#This Row],[PreGmRate]]+Games[[#This Row],[RatingChange]]</f>
        <v>1432.8295081136857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37047</v>
      </c>
      <c r="B40" s="2">
        <v>2001</v>
      </c>
      <c r="C40" s="2">
        <f>COUNTIFS(Games[Team],Games[[#This Row],[Team]],Games[Season],Games[[#This Row],[Season]],Games[Date],"&lt;=" &amp; Games[[#This Row],[Date]])</f>
        <v>3</v>
      </c>
      <c r="D40" s="2" t="s">
        <v>23</v>
      </c>
      <c r="E40" s="2" t="s">
        <v>29</v>
      </c>
      <c r="F40" s="1" t="s">
        <v>1</v>
      </c>
      <c r="G40" s="1" t="s">
        <v>71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1513.4230496443713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1645.2903417750376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0.22397817646047952</v>
      </c>
      <c r="R40" s="1">
        <v>50</v>
      </c>
      <c r="S40" s="1">
        <v>58</v>
      </c>
      <c r="T40" s="1">
        <v>0</v>
      </c>
      <c r="U40" s="1">
        <f>Games[[#This Row],[PointsFor]]-Games[[#This Row],[PointsAgainst]]</f>
        <v>-8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0.3498686729202225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75.55</v>
      </c>
      <c r="Z40" s="4">
        <f>Games[[#This Row],[K]]*Games[[#This Row],[POMult]]</f>
        <v>75.55</v>
      </c>
      <c r="AA40" s="4">
        <f>(Games[[#This Row],[Keff]]*Games[[#This Row],[MOVMult]])*(Games[[#This Row],[Result]]-Games[[#This Row],[ExpectedWin%]])</f>
        <v>-5.9203206731476792</v>
      </c>
      <c r="AB40" s="4">
        <f>Games[[#This Row],[PreGmRate]]+Games[[#This Row],[RatingChange]]</f>
        <v>1507.5027289712236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37047</v>
      </c>
      <c r="B41" s="2">
        <v>2001</v>
      </c>
      <c r="C41" s="2">
        <f>COUNTIFS(Games[Team],Games[[#This Row],[Team]],Games[Season],Games[[#This Row],[Season]],Games[Date],"&lt;=" &amp; Games[[#This Row],[Date]])</f>
        <v>4</v>
      </c>
      <c r="D41" s="2" t="s">
        <v>23</v>
      </c>
      <c r="E41" s="2" t="s">
        <v>29</v>
      </c>
      <c r="F41" s="1" t="s">
        <v>71</v>
      </c>
      <c r="G41" s="1" t="s">
        <v>1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1645.2903417750376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1513.4230496443713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0.77602182353952043</v>
      </c>
      <c r="R41" s="1">
        <v>58</v>
      </c>
      <c r="S41" s="1">
        <v>50</v>
      </c>
      <c r="T41" s="1">
        <v>0</v>
      </c>
      <c r="U41" s="1">
        <f>Games[[#This Row],[PointsFor]]-Games[[#This Row],[PointsAgainst]]</f>
        <v>8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0.3498686729202225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5.9085662310434834</v>
      </c>
      <c r="AB41" s="4">
        <f>Games[[#This Row],[PreGmRate]]+Games[[#This Row],[RatingChange]]</f>
        <v>1651.1989080060812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37047</v>
      </c>
      <c r="B42" s="2">
        <v>2001</v>
      </c>
      <c r="C42" s="2">
        <f>COUNTIFS(Games[Team],Games[[#This Row],[Team]],Games[Season],Games[[#This Row],[Season]],Games[Date],"&lt;=" &amp; Games[[#This Row],[Date]])</f>
        <v>4</v>
      </c>
      <c r="D42" s="2" t="s">
        <v>23</v>
      </c>
      <c r="E42" s="2" t="s">
        <v>29</v>
      </c>
      <c r="F42" s="1" t="s">
        <v>85</v>
      </c>
      <c r="G42" s="1" t="s">
        <v>83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" s="2">
        <f>Games[[#This Row],[DaysOff]]-Games[[#This Row],[OppDaysOff]]</f>
        <v>-4</v>
      </c>
      <c r="L42" s="2">
        <f>Games[[#This Row],[OppDaysOff]]-Games[[#This Row],[DaysOff]]</f>
        <v>4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1414.4444323494199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1478.719219475797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0.26158531387962558</v>
      </c>
      <c r="R42" s="1">
        <v>61</v>
      </c>
      <c r="S42" s="1">
        <v>63</v>
      </c>
      <c r="T42" s="1">
        <v>0</v>
      </c>
      <c r="U42" s="1">
        <f>Games[[#This Row],[PointsFor]]-Games[[#This Row],[PointsAgainst]]</f>
        <v>-2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0.25422446784859887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-5.0142045962414619</v>
      </c>
      <c r="AB42" s="4">
        <f>Games[[#This Row],[PreGmRate]]+Games[[#This Row],[RatingChange]]</f>
        <v>1409.4302277531785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37047</v>
      </c>
      <c r="B43" s="2">
        <v>2001</v>
      </c>
      <c r="C43" s="2">
        <f>COUNTIFS(Games[Team],Games[[#This Row],[Team]],Games[Season],Games[[#This Row],[Season]],Games[Date],"&lt;=" &amp; Games[[#This Row],[Date]])</f>
        <v>2</v>
      </c>
      <c r="D43" s="2" t="s">
        <v>23</v>
      </c>
      <c r="E43" s="2" t="s">
        <v>29</v>
      </c>
      <c r="F43" s="1" t="s">
        <v>83</v>
      </c>
      <c r="G43" s="1" t="s">
        <v>85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" s="2">
        <f>Games[[#This Row],[DaysOff]]-Games[[#This Row],[OppDaysOff]]</f>
        <v>4</v>
      </c>
      <c r="L43" s="2">
        <f>Games[[#This Row],[OppDaysOff]]-Games[[#This Row],[DaysOff]]</f>
        <v>-4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1478.719219475797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1414.4444323494199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0.73841468612037442</v>
      </c>
      <c r="R43" s="1">
        <v>63</v>
      </c>
      <c r="S43" s="1">
        <v>61</v>
      </c>
      <c r="T43" s="1">
        <v>0</v>
      </c>
      <c r="U43" s="1">
        <f>Games[[#This Row],[PointsFor]]-Games[[#This Row],[PointsAgainst]]</f>
        <v>2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0.25422446784859887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75.7</v>
      </c>
      <c r="Z43" s="4">
        <f>Games[[#This Row],[K]]*Games[[#This Row],[POMult]]</f>
        <v>75.7</v>
      </c>
      <c r="AA43" s="4">
        <f>(Games[[#This Row],[Keff]]*Games[[#This Row],[MOVMult]])*(Games[[#This Row],[Result]]-Games[[#This Row],[ExpectedWin%]])</f>
        <v>5.0341550124068792</v>
      </c>
      <c r="AB43" s="4">
        <f>Games[[#This Row],[PreGmRate]]+Games[[#This Row],[RatingChange]]</f>
        <v>1483.7533744882039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37047</v>
      </c>
      <c r="B44" s="2">
        <v>2001</v>
      </c>
      <c r="C44" s="2">
        <f>COUNTIFS(Games[Team],Games[[#This Row],[Team]],Games[Season],Games[[#This Row],[Season]],Games[Date],"&lt;=" &amp; Games[[#This Row],[Date]])</f>
        <v>2</v>
      </c>
      <c r="D44" s="2" t="s">
        <v>23</v>
      </c>
      <c r="E44" s="2" t="s">
        <v>29</v>
      </c>
      <c r="F44" s="1" t="s">
        <v>64</v>
      </c>
      <c r="G44" s="1" t="s">
        <v>44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" s="2">
        <f>Games[[#This Row],[DaysOff]]-Games[[#This Row],[OppDaysOff]]</f>
        <v>2</v>
      </c>
      <c r="L44" s="2">
        <f>Games[[#This Row],[OppDaysOff]]-Games[[#This Row],[DaysOff]]</f>
        <v>-2</v>
      </c>
      <c r="M44" s="1">
        <f>MAX(-16, MIN(16, Games[[#This Row],[RestDiff]]*8))</f>
        <v>16</v>
      </c>
      <c r="N44" s="1">
        <f>MAX(-16, MIN(16, Games[[#This Row],[OppRestDiff]]*8))</f>
        <v>-16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1407.6610987271865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1500.0179639710545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0.30343685537223397</v>
      </c>
      <c r="R44" s="1">
        <v>69</v>
      </c>
      <c r="S44" s="1">
        <v>76</v>
      </c>
      <c r="T44" s="1">
        <v>0</v>
      </c>
      <c r="U44" s="1">
        <f>Games[[#This Row],[PointsFor]]-Games[[#This Row],[PointsAgainst]]</f>
        <v>-7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0.3436578695318625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75.7</v>
      </c>
      <c r="Z44" s="4">
        <f>Games[[#This Row],[K]]*Games[[#This Row],[POMult]]</f>
        <v>75.7</v>
      </c>
      <c r="AA44" s="4">
        <f>(Games[[#This Row],[Keff]]*Games[[#This Row],[MOVMult]])*(Games[[#This Row],[Result]]-Games[[#This Row],[ExpectedWin%]])</f>
        <v>-7.8938796683785055</v>
      </c>
      <c r="AB44" s="4">
        <f>Games[[#This Row],[PreGmRate]]+Games[[#This Row],[RatingChange]]</f>
        <v>1399.767219058808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37047</v>
      </c>
      <c r="B45" s="2">
        <v>2001</v>
      </c>
      <c r="C45" s="2">
        <f>COUNTIFS(Games[Team],Games[[#This Row],[Team]],Games[Season],Games[[#This Row],[Season]],Games[Date],"&lt;=" &amp; Games[[#This Row],[Date]])</f>
        <v>5</v>
      </c>
      <c r="D45" s="2" t="s">
        <v>23</v>
      </c>
      <c r="E45" s="2" t="s">
        <v>29</v>
      </c>
      <c r="F45" s="1" t="s">
        <v>44</v>
      </c>
      <c r="G45" s="1" t="s">
        <v>64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" s="2">
        <f>Games[[#This Row],[DaysOff]]-Games[[#This Row],[OppDaysOff]]</f>
        <v>-2</v>
      </c>
      <c r="L45" s="2">
        <f>Games[[#This Row],[OppDaysOff]]-Games[[#This Row],[DaysOff]]</f>
        <v>2</v>
      </c>
      <c r="M45" s="1">
        <f>MAX(-16, MIN(16, Games[[#This Row],[RestDiff]]*8))</f>
        <v>-16</v>
      </c>
      <c r="N45" s="1">
        <f>MAX(-16, MIN(16, Games[[#This Row],[OppRestDiff]]*8))</f>
        <v>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1500.0179639710545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1407.6610987271865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0.69656314462776603</v>
      </c>
      <c r="R45" s="1">
        <v>76</v>
      </c>
      <c r="S45" s="1">
        <v>69</v>
      </c>
      <c r="T45" s="1">
        <v>0</v>
      </c>
      <c r="U45" s="1">
        <f>Games[[#This Row],[PointsFor]]-Games[[#This Row],[PointsAgainst]]</f>
        <v>7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0.3436578695318625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75.25</v>
      </c>
      <c r="Z45" s="4">
        <f>Games[[#This Row],[K]]*Games[[#This Row],[POMult]]</f>
        <v>75.25</v>
      </c>
      <c r="AA45" s="4">
        <f>(Games[[#This Row],[Keff]]*Games[[#This Row],[MOVMult]])*(Games[[#This Row],[Result]]-Games[[#This Row],[ExpectedWin%]])</f>
        <v>7.8469543599139033</v>
      </c>
      <c r="AB45" s="4">
        <f>Games[[#This Row],[PreGmRate]]+Games[[#This Row],[RatingChange]]</f>
        <v>1507.8649183309685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37047</v>
      </c>
      <c r="B46" s="2">
        <v>2001</v>
      </c>
      <c r="C46" s="2">
        <f>COUNTIFS(Games[Team],Games[[#This Row],[Team]],Games[Season],Games[[#This Row],[Season]],Games[Date],"&lt;=" &amp; Games[[#This Row],[Date]])</f>
        <v>4</v>
      </c>
      <c r="D46" s="2" t="s">
        <v>23</v>
      </c>
      <c r="E46" s="2" t="s">
        <v>29</v>
      </c>
      <c r="F46" s="1" t="s">
        <v>2</v>
      </c>
      <c r="G46" s="1" t="s">
        <v>43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" s="2">
        <f>Games[[#This Row],[DaysOff]]-Games[[#This Row],[OppDaysOff]]</f>
        <v>0</v>
      </c>
      <c r="L46" s="2">
        <f>Games[[#This Row],[OppDaysOff]]-Games[[#This Row],[DaysOff]]</f>
        <v>0</v>
      </c>
      <c r="M46" s="1">
        <f>MAX(-16, MIN(16, Games[[#This Row],[RestDiff]]*8))</f>
        <v>0</v>
      </c>
      <c r="N46" s="1">
        <f>MAX(-16, MIN(16, Games[[#This Row],[OppRestDiff]]*8))</f>
        <v>0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1656.2226743557112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1534.9999411569956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0.55336380446041844</v>
      </c>
      <c r="R46" s="1">
        <v>72</v>
      </c>
      <c r="S46" s="1">
        <v>68</v>
      </c>
      <c r="T46" s="1">
        <v>0</v>
      </c>
      <c r="U46" s="1">
        <f>Games[[#This Row],[PointsFor]]-Games[[#This Row],[PointsAgainst]]</f>
        <v>4</v>
      </c>
      <c r="V46" s="1">
        <f>IF(Games[[#This Row],[MOV]]&gt;0,1,IF(Games[[#This Row],[MOV]]=0,0.5,0))</f>
        <v>1</v>
      </c>
      <c r="W46" s="4">
        <f>((ABS(Games[[#This Row],[MOV]])+5)^0.6)/(12+0.01*(ABS(Games[[#This Row],[PreGmRate]]-Games[[#This Row],[OppPreGmRate]])))*IF(Games[[#This Row],[OT]]=1,0.9,1)</f>
        <v>0.28285865243922259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75.400000000000006</v>
      </c>
      <c r="Z46" s="4">
        <f>Games[[#This Row],[K]]*Games[[#This Row],[POMult]]</f>
        <v>75.400000000000006</v>
      </c>
      <c r="AA46" s="4">
        <f>(Games[[#This Row],[Keff]]*Games[[#This Row],[MOVMult]])*(Games[[#This Row],[Result]]-Games[[#This Row],[ExpectedWin%]])</f>
        <v>9.5256523950284002</v>
      </c>
      <c r="AB46" s="4">
        <f>Games[[#This Row],[PreGmRate]]+Games[[#This Row],[RatingChange]]</f>
        <v>1665.7483267507396</v>
      </c>
      <c r="AC46" s="2">
        <f>IF(Games[[#This Row],[Type]]="R",IF(Games[[#This Row],[Result]]&gt;0.5,1,0),0)</f>
        <v>1</v>
      </c>
      <c r="AD46" s="2">
        <f>IF(Games[[#This Row],[Type]]="R",IF(Games[[#This Row],[Result]]&lt;0.5,1,0),0)</f>
        <v>0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37047</v>
      </c>
      <c r="B47" s="2">
        <v>2001</v>
      </c>
      <c r="C47" s="2">
        <f>COUNTIFS(Games[Team],Games[[#This Row],[Team]],Games[Season],Games[[#This Row],[Season]],Games[Date],"&lt;=" &amp; Games[[#This Row],[Date]])</f>
        <v>3</v>
      </c>
      <c r="D47" s="2" t="s">
        <v>23</v>
      </c>
      <c r="E47" s="2" t="s">
        <v>29</v>
      </c>
      <c r="F47" s="1" t="s">
        <v>43</v>
      </c>
      <c r="G47" s="1" t="s">
        <v>2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" s="2">
        <f>Games[[#This Row],[DaysOff]]-Games[[#This Row],[OppDaysOff]]</f>
        <v>0</v>
      </c>
      <c r="L47" s="2">
        <f>Games[[#This Row],[OppDaysOff]]-Games[[#This Row],[DaysOff]]</f>
        <v>0</v>
      </c>
      <c r="M47" s="1">
        <f>MAX(-16, MIN(16, Games[[#This Row],[RestDiff]]*8))</f>
        <v>0</v>
      </c>
      <c r="N47" s="1">
        <f>MAX(-16, MIN(16, Games[[#This Row],[OppRestDiff]]*8))</f>
        <v>0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1534.9999411569956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1656.2226743557112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0.44663619553958156</v>
      </c>
      <c r="R47" s="1">
        <v>68</v>
      </c>
      <c r="S47" s="1">
        <v>72</v>
      </c>
      <c r="T47" s="1">
        <v>0</v>
      </c>
      <c r="U47" s="1">
        <f>Games[[#This Row],[PointsFor]]-Games[[#This Row],[PointsAgainst]]</f>
        <v>-4</v>
      </c>
      <c r="V47" s="1">
        <f>IF(Games[[#This Row],[MOV]]&gt;0,1,IF(Games[[#This Row],[MOV]]=0,0.5,0))</f>
        <v>0</v>
      </c>
      <c r="W47" s="4">
        <f>((ABS(Games[[#This Row],[MOV]])+5)^0.6)/(12+0.01*(ABS(Games[[#This Row],[PreGmRate]]-Games[[#This Row],[OppPreGmRate]])))*IF(Games[[#This Row],[OT]]=1,0.9,1)</f>
        <v>0.28285865243922259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75.55</v>
      </c>
      <c r="Z47" s="4">
        <f>Games[[#This Row],[K]]*Games[[#This Row],[POMult]]</f>
        <v>75.55</v>
      </c>
      <c r="AA47" s="4">
        <f>(Games[[#This Row],[Keff]]*Games[[#This Row],[MOVMult]])*(Games[[#This Row],[Result]]-Games[[#This Row],[ExpectedWin%]])</f>
        <v>-9.5446026318885355</v>
      </c>
      <c r="AB47" s="4">
        <f>Games[[#This Row],[PreGmRate]]+Games[[#This Row],[RatingChange]]</f>
        <v>1525.4553385251072</v>
      </c>
      <c r="AC47" s="2">
        <f>IF(Games[[#This Row],[Type]]="R",IF(Games[[#This Row],[Result]]&gt;0.5,1,0),0)</f>
        <v>0</v>
      </c>
      <c r="AD47" s="2">
        <f>IF(Games[[#This Row],[Type]]="R",IF(Games[[#This Row],[Result]]&lt;0.5,1,0),0)</f>
        <v>1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37047</v>
      </c>
      <c r="B48" s="2">
        <v>2001</v>
      </c>
      <c r="C48" s="2">
        <f>COUNTIFS(Games[Team],Games[[#This Row],[Team]],Games[Season],Games[[#This Row],[Season]],Games[Date],"&lt;=" &amp; Games[[#This Row],[Date]])</f>
        <v>3</v>
      </c>
      <c r="D48" s="2" t="s">
        <v>23</v>
      </c>
      <c r="E48" s="2" t="s">
        <v>29</v>
      </c>
      <c r="F48" s="1" t="s">
        <v>45</v>
      </c>
      <c r="G48" s="1" t="s">
        <v>75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1580.1585305816122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1447.8884264614508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0.54630732736838494</v>
      </c>
      <c r="R48" s="1">
        <v>72</v>
      </c>
      <c r="S48" s="1">
        <v>75</v>
      </c>
      <c r="T48" s="1">
        <v>0</v>
      </c>
      <c r="U48" s="1">
        <f>Games[[#This Row],[PointsFor]]-Games[[#This Row],[PointsAgainst]]</f>
        <v>-3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0.26137359401937205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75.55</v>
      </c>
      <c r="Z48" s="4">
        <f>Games[[#This Row],[K]]*Games[[#This Row],[POMult]]</f>
        <v>75.55</v>
      </c>
      <c r="AA48" s="4">
        <f>(Games[[#This Row],[Keff]]*Games[[#This Row],[MOVMult]])*(Games[[#This Row],[Result]]-Games[[#This Row],[ExpectedWin%]])</f>
        <v>-10.787807889780797</v>
      </c>
      <c r="AB48" s="4">
        <f>Games[[#This Row],[PreGmRate]]+Games[[#This Row],[RatingChange]]</f>
        <v>1569.3707226918314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37047</v>
      </c>
      <c r="B49" s="2">
        <v>2001</v>
      </c>
      <c r="C49" s="2">
        <f>COUNTIFS(Games[Team],Games[[#This Row],[Team]],Games[Season],Games[[#This Row],[Season]],Games[Date],"&lt;=" &amp; Games[[#This Row],[Date]])</f>
        <v>3</v>
      </c>
      <c r="D49" s="2" t="s">
        <v>23</v>
      </c>
      <c r="E49" s="2" t="s">
        <v>29</v>
      </c>
      <c r="F49" s="1" t="s">
        <v>75</v>
      </c>
      <c r="G49" s="1" t="s">
        <v>45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1447.8884264614508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1580.1585305816122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0.453692672631615</v>
      </c>
      <c r="R49" s="1">
        <v>75</v>
      </c>
      <c r="S49" s="1">
        <v>72</v>
      </c>
      <c r="T49" s="1">
        <v>0</v>
      </c>
      <c r="U49" s="1">
        <f>Games[[#This Row],[PointsFor]]-Games[[#This Row],[PointsAgainst]]</f>
        <v>3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0.26137359401937205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10.787807889780797</v>
      </c>
      <c r="AB49" s="4">
        <f>Games[[#This Row],[PreGmRate]]+Games[[#This Row],[RatingChange]]</f>
        <v>1458.6762343512316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37049</v>
      </c>
      <c r="B50" s="2">
        <v>2001</v>
      </c>
      <c r="C50" s="2">
        <f>COUNTIFS(Games[Team],Games[[#This Row],[Team]],Games[Season],Games[[#This Row],[Season]],Games[Date],"&lt;=" &amp; Games[[#This Row],[Date]])</f>
        <v>4</v>
      </c>
      <c r="D50" s="2" t="s">
        <v>23</v>
      </c>
      <c r="E50" s="2" t="s">
        <v>29</v>
      </c>
      <c r="F50" s="1" t="s">
        <v>66</v>
      </c>
      <c r="G50" s="1" t="s">
        <v>1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1</v>
      </c>
      <c r="L50" s="2">
        <f>Games[[#This Row],[OppDaysOff]]-Games[[#This Row],[DaysOff]]</f>
        <v>-1</v>
      </c>
      <c r="M50" s="1">
        <f>MAX(-16, MIN(16, Games[[#This Row],[RestDiff]]*8))</f>
        <v>8</v>
      </c>
      <c r="N50" s="1">
        <f>MAX(-16, MIN(16, Games[[#This Row],[OppRestDiff]]*8))</f>
        <v>-8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1516.8388538505119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1507.5027289712236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0.41636915470088004</v>
      </c>
      <c r="R50" s="1">
        <v>49</v>
      </c>
      <c r="S50" s="1">
        <v>67</v>
      </c>
      <c r="T50" s="1">
        <v>0</v>
      </c>
      <c r="U50" s="1">
        <f>Games[[#This Row],[PointsFor]]-Games[[#This Row],[PointsAgainst]]</f>
        <v>-18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0.54261235156361931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75.400000000000006</v>
      </c>
      <c r="Z50" s="4">
        <f>Games[[#This Row],[K]]*Games[[#This Row],[POMult]]</f>
        <v>75.400000000000006</v>
      </c>
      <c r="AA50" s="4">
        <f>(Games[[#This Row],[Keff]]*Games[[#This Row],[MOVMult]])*(Games[[#This Row],[Result]]-Games[[#This Row],[ExpectedWin%]])</f>
        <v>-17.034899279770389</v>
      </c>
      <c r="AB50" s="4">
        <f>Games[[#This Row],[PreGmRate]]+Games[[#This Row],[RatingChange]]</f>
        <v>1499.8039545707416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37049</v>
      </c>
      <c r="B51" s="2">
        <v>2001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1</v>
      </c>
      <c r="G51" s="1" t="s">
        <v>66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" s="2">
        <f>Games[[#This Row],[DaysOff]]-Games[[#This Row],[OppDaysOff]]</f>
        <v>-1</v>
      </c>
      <c r="L51" s="2">
        <f>Games[[#This Row],[OppDaysOff]]-Games[[#This Row],[DaysOff]]</f>
        <v>1</v>
      </c>
      <c r="M51" s="1">
        <f>MAX(-16, MIN(16, Games[[#This Row],[RestDiff]]*8))</f>
        <v>-8</v>
      </c>
      <c r="N51" s="1">
        <f>MAX(-16, MIN(16, Games[[#This Row],[OppRestDiff]]*8))</f>
        <v>8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1507.5027289712236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1516.8388538505119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0.58363084529912002</v>
      </c>
      <c r="R51" s="1">
        <v>67</v>
      </c>
      <c r="S51" s="1">
        <v>49</v>
      </c>
      <c r="T51" s="1">
        <v>0</v>
      </c>
      <c r="U51" s="1">
        <f>Games[[#This Row],[PointsFor]]-Games[[#This Row],[PointsAgainst]]</f>
        <v>18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0.54261235156361931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17.034899279770386</v>
      </c>
      <c r="AB51" s="4">
        <f>Games[[#This Row],[PreGmRate]]+Games[[#This Row],[RatingChange]]</f>
        <v>1524.537628250994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37049</v>
      </c>
      <c r="B52" s="2">
        <v>2001</v>
      </c>
      <c r="C52" s="2">
        <f>COUNTIFS(Games[Team],Games[[#This Row],[Team]],Games[Season],Games[[#This Row],[Season]],Games[Date],"&lt;=" &amp; Games[[#This Row],[Date]])</f>
        <v>3</v>
      </c>
      <c r="D52" s="2" t="s">
        <v>23</v>
      </c>
      <c r="E52" s="2" t="s">
        <v>29</v>
      </c>
      <c r="F52" s="1" t="s">
        <v>77</v>
      </c>
      <c r="G52" s="1" t="s">
        <v>2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0</v>
      </c>
      <c r="L52" s="2">
        <f>Games[[#This Row],[OppDaysOff]]-Games[[#This Row],[DaysOff]]</f>
        <v>0</v>
      </c>
      <c r="M52" s="1">
        <f>MAX(-16, MIN(16, Games[[#This Row],[RestDiff]]*8))</f>
        <v>0</v>
      </c>
      <c r="N52" s="1">
        <f>MAX(-16, MIN(16, Games[[#This Row],[OppRestDiff]]*8))</f>
        <v>0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1432.8295081136857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1665.7483267507396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0.13891495430284925</v>
      </c>
      <c r="R52" s="1">
        <v>66</v>
      </c>
      <c r="S52" s="1">
        <v>87</v>
      </c>
      <c r="T52" s="1">
        <v>0</v>
      </c>
      <c r="U52" s="1">
        <f>Games[[#This Row],[PointsFor]]-Games[[#This Row],[PointsAgainst]]</f>
        <v>-21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0.49290409068441593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75.55</v>
      </c>
      <c r="Z52" s="4">
        <f>Games[[#This Row],[K]]*Games[[#This Row],[POMult]]</f>
        <v>75.55</v>
      </c>
      <c r="AA52" s="4">
        <f>(Games[[#This Row],[Keff]]*Games[[#This Row],[MOVMult]])*(Games[[#This Row],[Result]]-Games[[#This Row],[ExpectedWin%]])</f>
        <v>-5.173040654561694</v>
      </c>
      <c r="AB52" s="4">
        <f>Games[[#This Row],[PreGmRate]]+Games[[#This Row],[RatingChange]]</f>
        <v>1427.6564674591241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37049</v>
      </c>
      <c r="B53" s="2">
        <v>2001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2</v>
      </c>
      <c r="G53" s="1" t="s">
        <v>77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0</v>
      </c>
      <c r="L53" s="2">
        <f>Games[[#This Row],[OppDaysOff]]-Games[[#This Row],[DaysOff]]</f>
        <v>0</v>
      </c>
      <c r="M53" s="1">
        <f>MAX(-16, MIN(16, Games[[#This Row],[RestDiff]]*8))</f>
        <v>0</v>
      </c>
      <c r="N53" s="1">
        <f>MAX(-16, MIN(16, Games[[#This Row],[OppRestDiff]]*8))</f>
        <v>0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1665.7483267507396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1432.8295081136857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0.86108504569715072</v>
      </c>
      <c r="R53" s="1">
        <v>87</v>
      </c>
      <c r="S53" s="1">
        <v>66</v>
      </c>
      <c r="T53" s="1">
        <v>0</v>
      </c>
      <c r="U53" s="1">
        <f>Games[[#This Row],[PointsFor]]-Games[[#This Row],[PointsAgainst]]</f>
        <v>21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0.49290409068441593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5.1524991297917619</v>
      </c>
      <c r="AB53" s="4">
        <f>Games[[#This Row],[PreGmRate]]+Games[[#This Row],[RatingChange]]</f>
        <v>1670.9008258805313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37049</v>
      </c>
      <c r="B54" s="2">
        <v>2001</v>
      </c>
      <c r="C54" s="2">
        <f>COUNTIFS(Games[Team],Games[[#This Row],[Team]],Games[Season],Games[[#This Row],[Season]],Games[Date],"&lt;=" &amp; Games[[#This Row],[Date]])</f>
        <v>3</v>
      </c>
      <c r="D54" s="2" t="s">
        <v>23</v>
      </c>
      <c r="E54" s="2" t="s">
        <v>29</v>
      </c>
      <c r="F54" s="1" t="s">
        <v>64</v>
      </c>
      <c r="G54" s="1" t="s">
        <v>45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1399.767219058808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1569.3707226918314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0.18848887377192217</v>
      </c>
      <c r="R54" s="1">
        <v>65</v>
      </c>
      <c r="S54" s="1">
        <v>77</v>
      </c>
      <c r="T54" s="1">
        <v>0</v>
      </c>
      <c r="U54" s="1">
        <f>Games[[#This Row],[PointsFor]]-Games[[#This Row],[PointsAgainst]]</f>
        <v>-12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0.39964510184146645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75.55</v>
      </c>
      <c r="Z54" s="4">
        <f>Games[[#This Row],[K]]*Games[[#This Row],[POMult]]</f>
        <v>75.55</v>
      </c>
      <c r="AA54" s="4">
        <f>(Games[[#This Row],[Keff]]*Games[[#This Row],[MOVMult]])*(Games[[#This Row],[Result]]-Games[[#This Row],[ExpectedWin%]])</f>
        <v>-5.6910798969272456</v>
      </c>
      <c r="AB54" s="4">
        <f>Games[[#This Row],[PreGmRate]]+Games[[#This Row],[RatingChange]]</f>
        <v>1394.0761391618807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37049</v>
      </c>
      <c r="B55" s="2">
        <v>2001</v>
      </c>
      <c r="C55" s="2">
        <f>COUNTIFS(Games[Team],Games[[#This Row],[Team]],Games[Season],Games[[#This Row],[Season]],Games[Date],"&lt;=" &amp; Games[[#This Row],[Date]])</f>
        <v>4</v>
      </c>
      <c r="D55" s="2" t="s">
        <v>23</v>
      </c>
      <c r="E55" s="2" t="s">
        <v>29</v>
      </c>
      <c r="F55" s="1" t="s">
        <v>45</v>
      </c>
      <c r="G55" s="1" t="s">
        <v>64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1569.3707226918314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1399.767219058808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0.81151112622807786</v>
      </c>
      <c r="R55" s="1">
        <v>77</v>
      </c>
      <c r="S55" s="1">
        <v>65</v>
      </c>
      <c r="T55" s="1">
        <v>0</v>
      </c>
      <c r="U55" s="1">
        <f>Games[[#This Row],[PointsFor]]-Games[[#This Row],[PointsAgainst]]</f>
        <v>12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0.39964510184146645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75.400000000000006</v>
      </c>
      <c r="Z55" s="4">
        <f>Games[[#This Row],[K]]*Games[[#This Row],[POMult]]</f>
        <v>75.400000000000006</v>
      </c>
      <c r="AA55" s="4">
        <f>(Games[[#This Row],[Keff]]*Games[[#This Row],[MOVMult]])*(Games[[#This Row],[Result]]-Games[[#This Row],[ExpectedWin%]])</f>
        <v>5.6797805986540606</v>
      </c>
      <c r="AB55" s="4">
        <f>Games[[#This Row],[PreGmRate]]+Games[[#This Row],[RatingChange]]</f>
        <v>1575.0505032904855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37049</v>
      </c>
      <c r="B56" s="2">
        <v>2001</v>
      </c>
      <c r="C56" s="2">
        <f>COUNTIFS(Games[Team],Games[[#This Row],[Team]],Games[Season],Games[[#This Row],[Season]],Games[Date],"&lt;=" &amp; Games[[#This Row],[Date]])</f>
        <v>3</v>
      </c>
      <c r="D56" s="2" t="s">
        <v>23</v>
      </c>
      <c r="E56" s="2" t="s">
        <v>29</v>
      </c>
      <c r="F56" s="1" t="s">
        <v>83</v>
      </c>
      <c r="G56" s="1" t="s">
        <v>87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" s="2">
        <f>Games[[#This Row],[DaysOff]]-Games[[#This Row],[OppDaysOff]]</f>
        <v>-1</v>
      </c>
      <c r="L56" s="2">
        <f>Games[[#This Row],[OppDaysOff]]-Games[[#This Row],[DaysOff]]</f>
        <v>1</v>
      </c>
      <c r="M56" s="1">
        <f>MAX(-16, MIN(16, Games[[#This Row],[RestDiff]]*8))</f>
        <v>-8</v>
      </c>
      <c r="N56" s="1">
        <f>MAX(-16, MIN(16, Games[[#This Row],[OppRestDiff]]*8))</f>
        <v>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1483.7533744882039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1432.3523672293261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0.43051303534838525</v>
      </c>
      <c r="R56" s="1">
        <v>70</v>
      </c>
      <c r="S56" s="1">
        <v>57</v>
      </c>
      <c r="T56" s="1">
        <v>0</v>
      </c>
      <c r="U56" s="1">
        <f>Games[[#This Row],[PointsFor]]-Games[[#This Row],[PointsAgainst]]</f>
        <v>13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0.45265466744167226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75.55</v>
      </c>
      <c r="Z56" s="4">
        <f>Games[[#This Row],[K]]*Games[[#This Row],[POMult]]</f>
        <v>75.55</v>
      </c>
      <c r="AA56" s="4">
        <f>(Games[[#This Row],[Keff]]*Games[[#This Row],[MOVMult]])*(Games[[#This Row],[Result]]-Games[[#This Row],[ExpectedWin%]])</f>
        <v>19.475349457684011</v>
      </c>
      <c r="AB56" s="4">
        <f>Games[[#This Row],[PreGmRate]]+Games[[#This Row],[RatingChange]]</f>
        <v>1503.2287239458879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37049</v>
      </c>
      <c r="B57" s="2">
        <v>2001</v>
      </c>
      <c r="C57" s="2">
        <f>COUNTIFS(Games[Team],Games[[#This Row],[Team]],Games[Season],Games[[#This Row],[Season]],Games[Date],"&lt;=" &amp; Games[[#This Row],[Date]])</f>
        <v>4</v>
      </c>
      <c r="D57" s="2" t="s">
        <v>23</v>
      </c>
      <c r="E57" s="2" t="s">
        <v>29</v>
      </c>
      <c r="F57" s="1" t="s">
        <v>87</v>
      </c>
      <c r="G57" s="1" t="s">
        <v>83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7" s="2">
        <f>Games[[#This Row],[DaysOff]]-Games[[#This Row],[OppDaysOff]]</f>
        <v>1</v>
      </c>
      <c r="L57" s="2">
        <f>Games[[#This Row],[OppDaysOff]]-Games[[#This Row],[DaysOff]]</f>
        <v>-1</v>
      </c>
      <c r="M57" s="1">
        <f>MAX(-16, MIN(16, Games[[#This Row],[RestDiff]]*8))</f>
        <v>8</v>
      </c>
      <c r="N57" s="1">
        <f>MAX(-16, MIN(16, Games[[#This Row],[OppRestDiff]]*8))</f>
        <v>-8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1432.3523672293261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1483.7533744882039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0.56948696465161475</v>
      </c>
      <c r="R57" s="1">
        <v>57</v>
      </c>
      <c r="S57" s="1">
        <v>70</v>
      </c>
      <c r="T57" s="1">
        <v>0</v>
      </c>
      <c r="U57" s="1">
        <f>Games[[#This Row],[PointsFor]]-Games[[#This Row],[PointsAgainst]]</f>
        <v>-13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0.45265466744167226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75.400000000000006</v>
      </c>
      <c r="Z57" s="4">
        <f>Games[[#This Row],[K]]*Games[[#This Row],[POMult]]</f>
        <v>75.400000000000006</v>
      </c>
      <c r="AA57" s="4">
        <f>(Games[[#This Row],[Keff]]*Games[[#This Row],[MOVMult]])*(Games[[#This Row],[Result]]-Games[[#This Row],[ExpectedWin%]])</f>
        <v>-19.436682317794503</v>
      </c>
      <c r="AB57" s="4">
        <f>Games[[#This Row],[PreGmRate]]+Games[[#This Row],[RatingChange]]</f>
        <v>1412.9156849115316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37049</v>
      </c>
      <c r="B58" s="2">
        <v>2001</v>
      </c>
      <c r="C58" s="2">
        <f>COUNTIFS(Games[Team],Games[[#This Row],[Team]],Games[Season],Games[[#This Row],[Season]],Games[Date],"&lt;=" &amp; Games[[#This Row],[Date]])</f>
        <v>3</v>
      </c>
      <c r="D58" s="2" t="s">
        <v>23</v>
      </c>
      <c r="E58" s="2" t="s">
        <v>29</v>
      </c>
      <c r="F58" s="1" t="s">
        <v>79</v>
      </c>
      <c r="G58" s="1" t="s">
        <v>43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0</v>
      </c>
      <c r="L58" s="2">
        <f>Games[[#This Row],[OppDaysOff]]-Games[[#This Row],[DaysOff]]</f>
        <v>0</v>
      </c>
      <c r="M58" s="1">
        <f>MAX(-16, MIN(16, Games[[#This Row],[RestDiff]]*8))</f>
        <v>0</v>
      </c>
      <c r="N58" s="1">
        <f>MAX(-16, MIN(16, Games[[#This Row],[OppRestDiff]]*8))</f>
        <v>0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1491.9263870063699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1525.4553385251072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0.33703151129385067</v>
      </c>
      <c r="R58" s="1">
        <v>79</v>
      </c>
      <c r="S58" s="1">
        <v>82</v>
      </c>
      <c r="T58" s="1">
        <v>0</v>
      </c>
      <c r="U58" s="1">
        <f>Games[[#This Row],[PointsFor]]-Games[[#This Row],[PointsAgainst]]</f>
        <v>-3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0.28229594845724232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75.55</v>
      </c>
      <c r="Z58" s="4">
        <f>Games[[#This Row],[K]]*Games[[#This Row],[POMult]]</f>
        <v>75.55</v>
      </c>
      <c r="AA58" s="4">
        <f>(Games[[#This Row],[Keff]]*Games[[#This Row],[MOVMult]])*(Games[[#This Row],[Result]]-Games[[#This Row],[ExpectedWin%]])</f>
        <v>-7.1880257071280225</v>
      </c>
      <c r="AB58" s="4">
        <f>Games[[#This Row],[PreGmRate]]+Games[[#This Row],[RatingChange]]</f>
        <v>1484.7383612992419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37049</v>
      </c>
      <c r="B59" s="2">
        <v>2001</v>
      </c>
      <c r="C59" s="2">
        <f>COUNTIFS(Games[Team],Games[[#This Row],[Team]],Games[Season],Games[[#This Row],[Season]],Games[Date],"&lt;=" &amp; Games[[#This Row],[Date]])</f>
        <v>4</v>
      </c>
      <c r="D59" s="2" t="s">
        <v>23</v>
      </c>
      <c r="E59" s="2" t="s">
        <v>29</v>
      </c>
      <c r="F59" s="1" t="s">
        <v>43</v>
      </c>
      <c r="G59" s="1" t="s">
        <v>79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9" s="2">
        <f>Games[[#This Row],[DaysOff]]-Games[[#This Row],[OppDaysOff]]</f>
        <v>0</v>
      </c>
      <c r="L59" s="2">
        <f>Games[[#This Row],[OppDaysOff]]-Games[[#This Row],[DaysOff]]</f>
        <v>0</v>
      </c>
      <c r="M59" s="1">
        <f>MAX(-16, MIN(16, Games[[#This Row],[RestDiff]]*8))</f>
        <v>0</v>
      </c>
      <c r="N59" s="1">
        <f>MAX(-16, MIN(16, Games[[#This Row],[OppRestDiff]]*8))</f>
        <v>0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1525.4553385251072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1491.9263870063699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0.66296848870614933</v>
      </c>
      <c r="R59" s="1">
        <v>82</v>
      </c>
      <c r="S59" s="1">
        <v>79</v>
      </c>
      <c r="T59" s="1">
        <v>0</v>
      </c>
      <c r="U59" s="1">
        <f>Games[[#This Row],[PointsFor]]-Games[[#This Row],[PointsAgainst]]</f>
        <v>3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0.28229594845724232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75.400000000000006</v>
      </c>
      <c r="Z59" s="4">
        <f>Games[[#This Row],[K]]*Games[[#This Row],[POMult]]</f>
        <v>75.400000000000006</v>
      </c>
      <c r="AA59" s="4">
        <f>(Games[[#This Row],[Keff]]*Games[[#This Row],[MOVMult]])*(Games[[#This Row],[Result]]-Games[[#This Row],[ExpectedWin%]])</f>
        <v>7.1737543126069214</v>
      </c>
      <c r="AB59" s="4">
        <f>Games[[#This Row],[PreGmRate]]+Games[[#This Row],[RatingChange]]</f>
        <v>1532.6290928377141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37051</v>
      </c>
      <c r="B60" s="2">
        <v>2001</v>
      </c>
      <c r="C60" s="2">
        <f>COUNTIFS(Games[Team],Games[[#This Row],[Team]],Games[Season],Games[[#This Row],[Season]],Games[Date],"&lt;=" &amp; Games[[#This Row],[Date]])</f>
        <v>5</v>
      </c>
      <c r="D60" s="2" t="s">
        <v>23</v>
      </c>
      <c r="E60" s="2" t="s">
        <v>29</v>
      </c>
      <c r="F60" s="1" t="s">
        <v>85</v>
      </c>
      <c r="G60" s="1" t="s">
        <v>1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2</v>
      </c>
      <c r="L60" s="2">
        <f>Games[[#This Row],[OppDaysOff]]-Games[[#This Row],[DaysOff]]</f>
        <v>-2</v>
      </c>
      <c r="M60" s="1">
        <f>MAX(-16, MIN(16, Games[[#This Row],[RestDiff]]*8))</f>
        <v>16</v>
      </c>
      <c r="N60" s="1">
        <f>MAX(-16, MIN(16, Games[[#This Row],[OppRestDiff]]*8))</f>
        <v>-16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1409.4302277531785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1524.537628250994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0.27648843775370208</v>
      </c>
      <c r="R60" s="1">
        <v>76</v>
      </c>
      <c r="S60" s="1">
        <v>86</v>
      </c>
      <c r="T60" s="1">
        <v>0</v>
      </c>
      <c r="U60" s="1">
        <f>Games[[#This Row],[PointsFor]]-Games[[#This Row],[PointsAgainst]]</f>
        <v>-10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0.3860944277300371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75.25</v>
      </c>
      <c r="Z60" s="4">
        <f>Games[[#This Row],[K]]*Games[[#This Row],[POMult]]</f>
        <v>75.25</v>
      </c>
      <c r="AA60" s="4">
        <f>(Games[[#This Row],[Keff]]*Games[[#This Row],[MOVMult]])*(Games[[#This Row],[Result]]-Games[[#This Row],[ExpectedWin%]])</f>
        <v>-8.0329860474236909</v>
      </c>
      <c r="AB60" s="4">
        <f>Games[[#This Row],[PreGmRate]]+Games[[#This Row],[RatingChange]]</f>
        <v>1401.3972417057548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37051</v>
      </c>
      <c r="B61" s="2">
        <v>2001</v>
      </c>
      <c r="C61" s="2">
        <f>COUNTIFS(Games[Team],Games[[#This Row],[Team]],Games[Season],Games[[#This Row],[Season]],Games[Date],"&lt;=" &amp; Games[[#This Row],[Date]])</f>
        <v>5</v>
      </c>
      <c r="D61" s="2" t="s">
        <v>23</v>
      </c>
      <c r="E61" s="2" t="s">
        <v>29</v>
      </c>
      <c r="F61" s="1" t="s">
        <v>1</v>
      </c>
      <c r="G61" s="1" t="s">
        <v>85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1" s="2">
        <f>Games[[#This Row],[DaysOff]]-Games[[#This Row],[OppDaysOff]]</f>
        <v>-2</v>
      </c>
      <c r="L61" s="2">
        <f>Games[[#This Row],[OppDaysOff]]-Games[[#This Row],[DaysOff]]</f>
        <v>2</v>
      </c>
      <c r="M61" s="1">
        <f>MAX(-16, MIN(16, Games[[#This Row],[RestDiff]]*8))</f>
        <v>-16</v>
      </c>
      <c r="N61" s="1">
        <f>MAX(-16, MIN(16, Games[[#This Row],[OppRestDiff]]*8))</f>
        <v>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1524.537628250994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1409.4302277531785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0.72351156224629798</v>
      </c>
      <c r="R61" s="1">
        <v>86</v>
      </c>
      <c r="S61" s="1">
        <v>76</v>
      </c>
      <c r="T61" s="1">
        <v>0</v>
      </c>
      <c r="U61" s="1">
        <f>Games[[#This Row],[PointsFor]]-Games[[#This Row],[PointsAgainst]]</f>
        <v>10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0.3860944277300371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8.0329860474236892</v>
      </c>
      <c r="AB61" s="4">
        <f>Games[[#This Row],[PreGmRate]]+Games[[#This Row],[RatingChange]]</f>
        <v>1532.5706142984177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37051</v>
      </c>
      <c r="B62" s="2">
        <v>2001</v>
      </c>
      <c r="C62" s="2">
        <f>COUNTIFS(Games[Team],Games[[#This Row],[Team]],Games[Season],Games[[#This Row],[Season]],Games[Date],"&lt;=" &amp; Games[[#This Row],[Date]])</f>
        <v>5</v>
      </c>
      <c r="D62" s="2" t="s">
        <v>23</v>
      </c>
      <c r="E62" s="2" t="s">
        <v>29</v>
      </c>
      <c r="F62" s="1" t="s">
        <v>71</v>
      </c>
      <c r="G62" s="1" t="s">
        <v>80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3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62" s="2">
        <f>Games[[#This Row],[DaysOff]]-Games[[#This Row],[OppDaysOff]]</f>
        <v>-3</v>
      </c>
      <c r="L62" s="2">
        <f>Games[[#This Row],[OppDaysOff]]-Games[[#This Row],[DaysOff]]</f>
        <v>3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1651.1989080060812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1491.6835647359517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0.56229819858853214</v>
      </c>
      <c r="R62" s="1">
        <v>62</v>
      </c>
      <c r="S62" s="1">
        <v>60</v>
      </c>
      <c r="T62" s="1">
        <v>0</v>
      </c>
      <c r="U62" s="1">
        <f>Games[[#This Row],[PointsFor]]-Games[[#This Row],[PointsAgainst]]</f>
        <v>2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0.23641482721224516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75.25</v>
      </c>
      <c r="Z62" s="4">
        <f>Games[[#This Row],[K]]*Games[[#This Row],[POMult]]</f>
        <v>75.25</v>
      </c>
      <c r="AA62" s="4">
        <f>(Games[[#This Row],[Keff]]*Games[[#This Row],[MOVMult]])*(Games[[#This Row],[Result]]-Games[[#This Row],[ExpectedWin%]])</f>
        <v>7.7868094802763412</v>
      </c>
      <c r="AB62" s="4">
        <f>Games[[#This Row],[PreGmRate]]+Games[[#This Row],[RatingChange]]</f>
        <v>1658.9857174863575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37051</v>
      </c>
      <c r="B63" s="2">
        <v>2001</v>
      </c>
      <c r="C63" s="2">
        <f>COUNTIFS(Games[Team],Games[[#This Row],[Team]],Games[Season],Games[[#This Row],[Season]],Games[Date],"&lt;=" &amp; Games[[#This Row],[Date]])</f>
        <v>3</v>
      </c>
      <c r="D63" s="2" t="s">
        <v>23</v>
      </c>
      <c r="E63" s="2" t="s">
        <v>29</v>
      </c>
      <c r="F63" s="1" t="s">
        <v>80</v>
      </c>
      <c r="G63" s="1" t="s">
        <v>71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6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3" s="2">
        <f>Games[[#This Row],[DaysOff]]-Games[[#This Row],[OppDaysOff]]</f>
        <v>3</v>
      </c>
      <c r="L63" s="2">
        <f>Games[[#This Row],[OppDaysOff]]-Games[[#This Row],[DaysOff]]</f>
        <v>-3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1491.6835647359517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1651.1989080060812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0.43770180141146786</v>
      </c>
      <c r="R63" s="1">
        <v>60</v>
      </c>
      <c r="S63" s="1">
        <v>62</v>
      </c>
      <c r="T63" s="1">
        <v>0</v>
      </c>
      <c r="U63" s="1">
        <f>Games[[#This Row],[PointsFor]]-Games[[#This Row],[PointsAgainst]]</f>
        <v>-2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0.23641482721224516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75.55</v>
      </c>
      <c r="Z63" s="4">
        <f>Games[[#This Row],[K]]*Games[[#This Row],[POMult]]</f>
        <v>75.55</v>
      </c>
      <c r="AA63" s="4">
        <f>(Games[[#This Row],[Keff]]*Games[[#This Row],[MOVMult]])*(Games[[#This Row],[Result]]-Games[[#This Row],[ExpectedWin%]])</f>
        <v>-7.8178532390016953</v>
      </c>
      <c r="AB63" s="4">
        <f>Games[[#This Row],[PreGmRate]]+Games[[#This Row],[RatingChange]]</f>
        <v>1483.8657114969499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37051</v>
      </c>
      <c r="B64" s="2">
        <v>2001</v>
      </c>
      <c r="C64" s="2">
        <f>COUNTIFS(Games[Team],Games[[#This Row],[Team]],Games[Season],Games[[#This Row],[Season]],Games[Date],"&lt;=" &amp; Games[[#This Row],[Date]])</f>
        <v>4</v>
      </c>
      <c r="D64" s="2" t="s">
        <v>23</v>
      </c>
      <c r="E64" s="2" t="s">
        <v>29</v>
      </c>
      <c r="F64" s="1" t="s">
        <v>64</v>
      </c>
      <c r="G64" s="1" t="s">
        <v>79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1394.0761391618807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1484.7383612992419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0.26787386999115037</v>
      </c>
      <c r="R64" s="1">
        <v>86</v>
      </c>
      <c r="S64" s="1">
        <v>79</v>
      </c>
      <c r="T64" s="1">
        <v>0</v>
      </c>
      <c r="U64" s="1">
        <f>Games[[#This Row],[PointsFor]]-Games[[#This Row],[PointsAgainst]]</f>
        <v>7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0.34410909327546491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75.400000000000006</v>
      </c>
      <c r="Z64" s="4">
        <f>Games[[#This Row],[K]]*Games[[#This Row],[POMult]]</f>
        <v>75.400000000000006</v>
      </c>
      <c r="AA64" s="4">
        <f>(Games[[#This Row],[Keff]]*Games[[#This Row],[MOVMult]])*(Games[[#This Row],[Result]]-Games[[#This Row],[ExpectedWin%]])</f>
        <v>18.99561691055078</v>
      </c>
      <c r="AB64" s="4">
        <f>Games[[#This Row],[PreGmRate]]+Games[[#This Row],[RatingChange]]</f>
        <v>1413.0717560724315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37051</v>
      </c>
      <c r="B65" s="2">
        <v>2001</v>
      </c>
      <c r="C65" s="2">
        <f>COUNTIFS(Games[Team],Games[[#This Row],[Team]],Games[Season],Games[[#This Row],[Season]],Games[Date],"&lt;=" &amp; Games[[#This Row],[Date]])</f>
        <v>4</v>
      </c>
      <c r="D65" s="2" t="s">
        <v>23</v>
      </c>
      <c r="E65" s="2" t="s">
        <v>29</v>
      </c>
      <c r="F65" s="1" t="s">
        <v>79</v>
      </c>
      <c r="G65" s="1" t="s">
        <v>64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1484.7383612992419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1394.0761391618807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0.73212613000884963</v>
      </c>
      <c r="R65" s="1">
        <v>79</v>
      </c>
      <c r="S65" s="1">
        <v>86</v>
      </c>
      <c r="T65" s="1">
        <v>0</v>
      </c>
      <c r="U65" s="1">
        <f>Games[[#This Row],[PointsFor]]-Games[[#This Row],[PointsAgainst]]</f>
        <v>-7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0.34410909327546491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75.400000000000006</v>
      </c>
      <c r="Z65" s="4">
        <f>Games[[#This Row],[K]]*Games[[#This Row],[POMult]]</f>
        <v>75.400000000000006</v>
      </c>
      <c r="AA65" s="4">
        <f>(Games[[#This Row],[Keff]]*Games[[#This Row],[MOVMult]])*(Games[[#This Row],[Result]]-Games[[#This Row],[ExpectedWin%]])</f>
        <v>-18.99561691055078</v>
      </c>
      <c r="AB65" s="4">
        <f>Games[[#This Row],[PreGmRate]]+Games[[#This Row],[RatingChange]]</f>
        <v>1465.7427443886911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37051</v>
      </c>
      <c r="B66" s="2">
        <v>2001</v>
      </c>
      <c r="C66" s="2">
        <f>COUNTIFS(Games[Team],Games[[#This Row],[Team]],Games[Season],Games[[#This Row],[Season]],Games[Date],"&lt;=" &amp; Games[[#This Row],[Date]])</f>
        <v>4</v>
      </c>
      <c r="D66" s="2" t="s">
        <v>23</v>
      </c>
      <c r="E66" s="2" t="s">
        <v>29</v>
      </c>
      <c r="F66" s="1" t="s">
        <v>83</v>
      </c>
      <c r="G66" s="1" t="s">
        <v>45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1503.2287239458879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1575.0505032904855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0.28967103725802779</v>
      </c>
      <c r="R66" s="1">
        <v>71</v>
      </c>
      <c r="S66" s="1">
        <v>67</v>
      </c>
      <c r="T66" s="1">
        <v>0</v>
      </c>
      <c r="U66" s="1">
        <f>Games[[#This Row],[PointsFor]]-Games[[#This Row],[PointsAgainst]]</f>
        <v>4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0.29384563777264638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75.400000000000006</v>
      </c>
      <c r="Z66" s="4">
        <f>Games[[#This Row],[K]]*Games[[#This Row],[POMult]]</f>
        <v>75.400000000000006</v>
      </c>
      <c r="AA66" s="4">
        <f>(Games[[#This Row],[Keff]]*Games[[#This Row],[MOVMult]])*(Games[[#This Row],[Result]]-Games[[#This Row],[ExpectedWin%]])</f>
        <v>15.738020858231408</v>
      </c>
      <c r="AB66" s="4">
        <f>Games[[#This Row],[PreGmRate]]+Games[[#This Row],[RatingChange]]</f>
        <v>1518.9667448041193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37051</v>
      </c>
      <c r="B67" s="2">
        <v>2001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45</v>
      </c>
      <c r="G67" s="1" t="s">
        <v>83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1575.0505032904855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1503.2287239458879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0.71032896274197221</v>
      </c>
      <c r="R67" s="1">
        <v>67</v>
      </c>
      <c r="S67" s="1">
        <v>71</v>
      </c>
      <c r="T67" s="1">
        <v>0</v>
      </c>
      <c r="U67" s="1">
        <f>Games[[#This Row],[PointsFor]]-Games[[#This Row],[PointsAgainst]]</f>
        <v>-4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0.29384563777264638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-15.706711798168612</v>
      </c>
      <c r="AB67" s="4">
        <f>Games[[#This Row],[PreGmRate]]+Games[[#This Row],[RatingChange]]</f>
        <v>1559.343791492317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37051</v>
      </c>
      <c r="B68" s="2">
        <v>2001</v>
      </c>
      <c r="C68" s="2">
        <f>COUNTIFS(Games[Team],Games[[#This Row],[Team]],Games[Season],Games[[#This Row],[Season]],Games[Date],"&lt;=" &amp; Games[[#This Row],[Date]])</f>
        <v>5</v>
      </c>
      <c r="D68" s="2" t="s">
        <v>23</v>
      </c>
      <c r="E68" s="2" t="s">
        <v>29</v>
      </c>
      <c r="F68" s="1" t="s">
        <v>87</v>
      </c>
      <c r="G68" s="1" t="s">
        <v>43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1412.9156849115316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1532.6290928377141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0.23637295368482106</v>
      </c>
      <c r="R68" s="1">
        <v>73</v>
      </c>
      <c r="S68" s="1">
        <v>65</v>
      </c>
      <c r="T68" s="1">
        <v>0</v>
      </c>
      <c r="U68" s="1">
        <f>Games[[#This Row],[PointsFor]]-Games[[#This Row],[PointsAgainst]]</f>
        <v>8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0.35309078410884104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75.25</v>
      </c>
      <c r="Z68" s="4">
        <f>Games[[#This Row],[K]]*Games[[#This Row],[POMult]]</f>
        <v>75.25</v>
      </c>
      <c r="AA68" s="4">
        <f>(Games[[#This Row],[Keff]]*Games[[#This Row],[MOVMult]])*(Games[[#This Row],[Result]]-Games[[#This Row],[ExpectedWin%]])</f>
        <v>20.289632859398399</v>
      </c>
      <c r="AB68" s="4">
        <f>Games[[#This Row],[PreGmRate]]+Games[[#This Row],[RatingChange]]</f>
        <v>1433.2053177709299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37051</v>
      </c>
      <c r="B69" s="2">
        <v>2001</v>
      </c>
      <c r="C69" s="2">
        <f>COUNTIFS(Games[Team],Games[[#This Row],[Team]],Games[Season],Games[[#This Row],[Season]],Games[Date],"&lt;=" &amp; Games[[#This Row],[Date]])</f>
        <v>5</v>
      </c>
      <c r="D69" s="2" t="s">
        <v>23</v>
      </c>
      <c r="E69" s="2" t="s">
        <v>29</v>
      </c>
      <c r="F69" s="1" t="s">
        <v>43</v>
      </c>
      <c r="G69" s="1" t="s">
        <v>87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1532.6290928377141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1412.9156849115316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0.76362704631517897</v>
      </c>
      <c r="R69" s="1">
        <v>65</v>
      </c>
      <c r="S69" s="1">
        <v>73</v>
      </c>
      <c r="T69" s="1">
        <v>0</v>
      </c>
      <c r="U69" s="1">
        <f>Games[[#This Row],[PointsFor]]-Games[[#This Row],[PointsAgainst]]</f>
        <v>-8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0.35309078410884104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75.25</v>
      </c>
      <c r="Z69" s="4">
        <f>Games[[#This Row],[K]]*Games[[#This Row],[POMult]]</f>
        <v>75.25</v>
      </c>
      <c r="AA69" s="4">
        <f>(Games[[#This Row],[Keff]]*Games[[#This Row],[MOVMult]])*(Games[[#This Row],[Result]]-Games[[#This Row],[ExpectedWin%]])</f>
        <v>-20.289632859398399</v>
      </c>
      <c r="AB69" s="4">
        <f>Games[[#This Row],[PreGmRate]]+Games[[#This Row],[RatingChange]]</f>
        <v>1512.3394599783157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37052</v>
      </c>
      <c r="B70" s="2">
        <v>2001</v>
      </c>
      <c r="C70" s="2">
        <f>COUNTIFS(Games[Team],Games[[#This Row],[Team]],Games[Season],Games[[#This Row],[Season]],Games[Date],"&lt;=" &amp; Games[[#This Row],[Date]])</f>
        <v>6</v>
      </c>
      <c r="D70" s="2" t="s">
        <v>23</v>
      </c>
      <c r="E70" s="2" t="s">
        <v>29</v>
      </c>
      <c r="F70" s="1" t="s">
        <v>2</v>
      </c>
      <c r="G70" s="1" t="s">
        <v>44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0" s="2">
        <f>Games[[#This Row],[DaysOff]]-Games[[#This Row],[OppDaysOff]]</f>
        <v>-2</v>
      </c>
      <c r="L70" s="2">
        <f>Games[[#This Row],[OppDaysOff]]-Games[[#This Row],[DaysOff]]</f>
        <v>2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1670.9008258805313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1507.8649183309685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0.56727958452765437</v>
      </c>
      <c r="R70" s="1">
        <v>60</v>
      </c>
      <c r="S70" s="1">
        <v>58</v>
      </c>
      <c r="T70" s="1">
        <v>0</v>
      </c>
      <c r="U70" s="1">
        <f>Games[[#This Row],[PointsFor]]-Games[[#This Row],[PointsAgainst]]</f>
        <v>2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0.23580419502625372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75.099999999999994</v>
      </c>
      <c r="Z70" s="4">
        <f>Games[[#This Row],[K]]*Games[[#This Row],[POMult]]</f>
        <v>75.099999999999994</v>
      </c>
      <c r="AA70" s="4">
        <f>(Games[[#This Row],[Keff]]*Games[[#This Row],[MOVMult]])*(Games[[#This Row],[Result]]-Games[[#This Row],[ExpectedWin%]])</f>
        <v>7.6630004220653776</v>
      </c>
      <c r="AB70" s="4">
        <f>Games[[#This Row],[PreGmRate]]+Games[[#This Row],[RatingChange]]</f>
        <v>1678.5638263025967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37052</v>
      </c>
      <c r="B71" s="2">
        <v>2001</v>
      </c>
      <c r="C71" s="2">
        <f>COUNTIFS(Games[Team],Games[[#This Row],[Team]],Games[Season],Games[[#This Row],[Season]],Games[Date],"&lt;=" &amp; Games[[#This Row],[Date]])</f>
        <v>6</v>
      </c>
      <c r="D71" s="2" t="s">
        <v>23</v>
      </c>
      <c r="E71" s="2" t="s">
        <v>29</v>
      </c>
      <c r="F71" s="1" t="s">
        <v>44</v>
      </c>
      <c r="G71" s="1" t="s">
        <v>2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4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1" s="2">
        <f>Games[[#This Row],[DaysOff]]-Games[[#This Row],[OppDaysOff]]</f>
        <v>2</v>
      </c>
      <c r="L71" s="2">
        <f>Games[[#This Row],[OppDaysOff]]-Games[[#This Row],[DaysOff]]</f>
        <v>-2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1507.8649183309685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1670.9008258805313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0.43272041547234558</v>
      </c>
      <c r="R71" s="1">
        <v>58</v>
      </c>
      <c r="S71" s="1">
        <v>60</v>
      </c>
      <c r="T71" s="1">
        <v>0</v>
      </c>
      <c r="U71" s="1">
        <f>Games[[#This Row],[PointsFor]]-Games[[#This Row],[PointsAgainst]]</f>
        <v>-2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0.23580419502625372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-7.6630004220653767</v>
      </c>
      <c r="AB71" s="4">
        <f>Games[[#This Row],[PreGmRate]]+Games[[#This Row],[RatingChange]]</f>
        <v>1500.2019179089032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37052</v>
      </c>
      <c r="B72" s="2">
        <v>2001</v>
      </c>
      <c r="C72" s="2">
        <f>COUNTIFS(Games[Team],Games[[#This Row],[Team]],Games[Season],Games[[#This Row],[Season]],Games[Date],"&lt;=" &amp; Games[[#This Row],[Date]])</f>
        <v>5</v>
      </c>
      <c r="D72" s="2" t="s">
        <v>23</v>
      </c>
      <c r="E72" s="2" t="s">
        <v>29</v>
      </c>
      <c r="F72" s="1" t="s">
        <v>66</v>
      </c>
      <c r="G72" s="1" t="s">
        <v>75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2" s="2">
        <f>Games[[#This Row],[DaysOff]]-Games[[#This Row],[OppDaysOff]]</f>
        <v>-2</v>
      </c>
      <c r="L72" s="2">
        <f>Games[[#This Row],[OppDaysOff]]-Games[[#This Row],[DaysOff]]</f>
        <v>2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1499.8039545707416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1458.6762343512316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0.39388768827544046</v>
      </c>
      <c r="R72" s="1">
        <v>81</v>
      </c>
      <c r="S72" s="1">
        <v>80</v>
      </c>
      <c r="T72" s="1">
        <v>0</v>
      </c>
      <c r="U72" s="1">
        <f>Games[[#This Row],[PointsFor]]-Games[[#This Row],[PointsAgainst]]</f>
        <v>1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0.23608819655283214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10.767971184409825</v>
      </c>
      <c r="AB72" s="4">
        <f>Games[[#This Row],[PreGmRate]]+Games[[#This Row],[RatingChange]]</f>
        <v>1510.5719257551514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37052</v>
      </c>
      <c r="B73" s="2">
        <v>2001</v>
      </c>
      <c r="C73" s="2">
        <f>COUNTIFS(Games[Team],Games[[#This Row],[Team]],Games[Season],Games[[#This Row],[Season]],Games[Date],"&lt;=" &amp; Games[[#This Row],[Date]])</f>
        <v>4</v>
      </c>
      <c r="D73" s="2" t="s">
        <v>23</v>
      </c>
      <c r="E73" s="2" t="s">
        <v>29</v>
      </c>
      <c r="F73" s="1" t="s">
        <v>75</v>
      </c>
      <c r="G73" s="1" t="s">
        <v>66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3" s="2">
        <f>Games[[#This Row],[DaysOff]]-Games[[#This Row],[OppDaysOff]]</f>
        <v>2</v>
      </c>
      <c r="L73" s="2">
        <f>Games[[#This Row],[OppDaysOff]]-Games[[#This Row],[DaysOff]]</f>
        <v>-2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1458.6762343512316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1499.8039545707416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0.60611231172455948</v>
      </c>
      <c r="R73" s="1">
        <v>80</v>
      </c>
      <c r="S73" s="1">
        <v>81</v>
      </c>
      <c r="T73" s="1">
        <v>0</v>
      </c>
      <c r="U73" s="1">
        <f>Games[[#This Row],[PointsFor]]-Games[[#This Row],[PointsAgainst]]</f>
        <v>-1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0.23608819655283214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75.400000000000006</v>
      </c>
      <c r="Z73" s="4">
        <f>Games[[#This Row],[K]]*Games[[#This Row],[POMult]]</f>
        <v>75.400000000000006</v>
      </c>
      <c r="AA73" s="4">
        <f>(Games[[#This Row],[Keff]]*Games[[#This Row],[MOVMult]])*(Games[[#This Row],[Result]]-Games[[#This Row],[ExpectedWin%]])</f>
        <v>-10.789435578797352</v>
      </c>
      <c r="AB73" s="4">
        <f>Games[[#This Row],[PreGmRate]]+Games[[#This Row],[RatingChange]]</f>
        <v>1447.8867987724343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37054</v>
      </c>
      <c r="B74" s="2">
        <v>2001</v>
      </c>
      <c r="C74" s="2">
        <f>COUNTIFS(Games[Team],Games[[#This Row],[Team]],Games[Season],Games[[#This Row],[Season]],Games[Date],"&lt;=" &amp; Games[[#This Row],[Date]])</f>
        <v>4</v>
      </c>
      <c r="D74" s="2" t="s">
        <v>23</v>
      </c>
      <c r="E74" s="2" t="s">
        <v>29</v>
      </c>
      <c r="F74" s="1" t="s">
        <v>77</v>
      </c>
      <c r="G74" s="1" t="s">
        <v>83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2</v>
      </c>
      <c r="L74" s="2">
        <f>Games[[#This Row],[OppDaysOff]]-Games[[#This Row],[DaysOff]]</f>
        <v>-2</v>
      </c>
      <c r="M74" s="1">
        <f>MAX(-16, MIN(16, Games[[#This Row],[RestDiff]]*8))</f>
        <v>16</v>
      </c>
      <c r="N74" s="1">
        <f>MAX(-16, MIN(16, Games[[#This Row],[OppRestDiff]]*8))</f>
        <v>-16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1427.6564674591241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1518.9667448041193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0.30471174773195642</v>
      </c>
      <c r="R74" s="1">
        <v>68</v>
      </c>
      <c r="S74" s="1">
        <v>67</v>
      </c>
      <c r="T74" s="1">
        <v>1</v>
      </c>
      <c r="U74" s="1">
        <f>Games[[#This Row],[PointsFor]]-Games[[#This Row],[PointsAgainst]]</f>
        <v>1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0.20422205977073724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75.400000000000006</v>
      </c>
      <c r="Z74" s="4">
        <f>Games[[#This Row],[K]]*Games[[#This Row],[POMult]]</f>
        <v>75.400000000000006</v>
      </c>
      <c r="AA74" s="4">
        <f>(Games[[#This Row],[Keff]]*Games[[#This Row],[MOVMult]])*(Games[[#This Row],[Result]]-Games[[#This Row],[ExpectedWin%]])</f>
        <v>10.706287205548218</v>
      </c>
      <c r="AB74" s="4">
        <f>Games[[#This Row],[PreGmRate]]+Games[[#This Row],[RatingChange]]</f>
        <v>1438.3627546646724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37054</v>
      </c>
      <c r="B75" s="2">
        <v>2001</v>
      </c>
      <c r="C75" s="2">
        <f>COUNTIFS(Games[Team],Games[[#This Row],[Team]],Games[Season],Games[[#This Row],[Season]],Games[Date],"&lt;=" &amp; Games[[#This Row],[Date]])</f>
        <v>5</v>
      </c>
      <c r="D75" s="2" t="s">
        <v>23</v>
      </c>
      <c r="E75" s="2" t="s">
        <v>29</v>
      </c>
      <c r="F75" s="1" t="s">
        <v>83</v>
      </c>
      <c r="G75" s="1" t="s">
        <v>77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5" s="2">
        <f>Games[[#This Row],[DaysOff]]-Games[[#This Row],[OppDaysOff]]</f>
        <v>-2</v>
      </c>
      <c r="L75" s="2">
        <f>Games[[#This Row],[OppDaysOff]]-Games[[#This Row],[DaysOff]]</f>
        <v>2</v>
      </c>
      <c r="M75" s="1">
        <f>MAX(-16, MIN(16, Games[[#This Row],[RestDiff]]*8))</f>
        <v>-16</v>
      </c>
      <c r="N75" s="1">
        <f>MAX(-16, MIN(16, Games[[#This Row],[OppRestDiff]]*8))</f>
        <v>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1518.9667448041193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1427.6564674591241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0.69528825226804358</v>
      </c>
      <c r="R75" s="1">
        <v>67</v>
      </c>
      <c r="S75" s="1">
        <v>68</v>
      </c>
      <c r="T75" s="1">
        <v>1</v>
      </c>
      <c r="U75" s="1">
        <f>Games[[#This Row],[PointsFor]]-Games[[#This Row],[PointsAgainst]]</f>
        <v>-1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0.20422205977073724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75.25</v>
      </c>
      <c r="Z75" s="4">
        <f>Games[[#This Row],[K]]*Games[[#This Row],[POMult]]</f>
        <v>75.25</v>
      </c>
      <c r="AA75" s="4">
        <f>(Games[[#This Row],[Keff]]*Games[[#This Row],[MOVMult]])*(Games[[#This Row],[Result]]-Games[[#This Row],[ExpectedWin%]])</f>
        <v>-10.68498822569633</v>
      </c>
      <c r="AB75" s="4">
        <f>Games[[#This Row],[PreGmRate]]+Games[[#This Row],[RatingChange]]</f>
        <v>1508.281756578423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37054</v>
      </c>
      <c r="B76" s="2">
        <v>2001</v>
      </c>
      <c r="C76" s="2">
        <f>COUNTIFS(Games[Team],Games[[#This Row],[Team]],Games[Season],Games[[#This Row],[Season]],Games[Date],"&lt;=" &amp; Games[[#This Row],[Date]])</f>
        <v>6</v>
      </c>
      <c r="D76" s="2" t="s">
        <v>23</v>
      </c>
      <c r="E76" s="2" t="s">
        <v>29</v>
      </c>
      <c r="F76" s="1" t="s">
        <v>85</v>
      </c>
      <c r="G76" s="1" t="s">
        <v>80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1401.3972417057548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1483.8657114969499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0.27722479503610548</v>
      </c>
      <c r="R76" s="1">
        <v>65</v>
      </c>
      <c r="S76" s="1">
        <v>60</v>
      </c>
      <c r="T76" s="1">
        <v>0</v>
      </c>
      <c r="U76" s="1">
        <f>Games[[#This Row],[PointsFor]]-Games[[#This Row],[PointsAgainst]]</f>
        <v>5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0.3104225795261189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75.099999999999994</v>
      </c>
      <c r="Z76" s="4">
        <f>Games[[#This Row],[K]]*Games[[#This Row],[POMult]]</f>
        <v>75.099999999999994</v>
      </c>
      <c r="AA76" s="4">
        <f>(Games[[#This Row],[Keff]]*Games[[#This Row],[MOVMult]])*(Games[[#This Row],[Result]]-Games[[#This Row],[ExpectedWin%]])</f>
        <v>16.849867340035097</v>
      </c>
      <c r="AB76" s="4">
        <f>Games[[#This Row],[PreGmRate]]+Games[[#This Row],[RatingChange]]</f>
        <v>1418.24710904579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37054</v>
      </c>
      <c r="B77" s="2">
        <v>2001</v>
      </c>
      <c r="C77" s="2">
        <f>COUNTIFS(Games[Team],Games[[#This Row],[Team]],Games[Season],Games[[#This Row],[Season]],Games[Date],"&lt;=" &amp; Games[[#This Row],[Date]])</f>
        <v>4</v>
      </c>
      <c r="D77" s="2" t="s">
        <v>23</v>
      </c>
      <c r="E77" s="2" t="s">
        <v>29</v>
      </c>
      <c r="F77" s="1" t="s">
        <v>80</v>
      </c>
      <c r="G77" s="1" t="s">
        <v>85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1483.8657114969499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1401.3972417057548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0.72277520496389458</v>
      </c>
      <c r="R77" s="1">
        <v>60</v>
      </c>
      <c r="S77" s="1">
        <v>65</v>
      </c>
      <c r="T77" s="1">
        <v>0</v>
      </c>
      <c r="U77" s="1">
        <f>Games[[#This Row],[PointsFor]]-Games[[#This Row],[PointsAgainst]]</f>
        <v>-5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0.3104225795261189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75.400000000000006</v>
      </c>
      <c r="Z77" s="4">
        <f>Games[[#This Row],[K]]*Games[[#This Row],[POMult]]</f>
        <v>75.400000000000006</v>
      </c>
      <c r="AA77" s="4">
        <f>(Games[[#This Row],[Keff]]*Games[[#This Row],[MOVMult]])*(Games[[#This Row],[Result]]-Games[[#This Row],[ExpectedWin%]])</f>
        <v>-16.917177063097824</v>
      </c>
      <c r="AB77" s="4">
        <f>Games[[#This Row],[PreGmRate]]+Games[[#This Row],[RatingChange]]</f>
        <v>1466.948534433852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37054</v>
      </c>
      <c r="B78" s="2">
        <v>2001</v>
      </c>
      <c r="C78" s="2">
        <f>COUNTIFS(Games[Team],Games[[#This Row],[Team]],Games[Season],Games[[#This Row],[Season]],Games[Date],"&lt;=" &amp; Games[[#This Row],[Date]])</f>
        <v>5</v>
      </c>
      <c r="D78" s="2" t="s">
        <v>23</v>
      </c>
      <c r="E78" s="2" t="s">
        <v>29</v>
      </c>
      <c r="F78" s="1" t="s">
        <v>64</v>
      </c>
      <c r="G78" s="1" t="s">
        <v>66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1</v>
      </c>
      <c r="L78" s="2">
        <f>Games[[#This Row],[OppDaysOff]]-Games[[#This Row],[DaysOff]]</f>
        <v>-1</v>
      </c>
      <c r="M78" s="1">
        <f>MAX(-16, MIN(16, Games[[#This Row],[RestDiff]]*8))</f>
        <v>8</v>
      </c>
      <c r="N78" s="1">
        <f>MAX(-16, MIN(16, Games[[#This Row],[OppRestDiff]]*8))</f>
        <v>-8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1413.0717560724315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1510.5719257551514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0.27834304652960501</v>
      </c>
      <c r="R78" s="1">
        <v>70</v>
      </c>
      <c r="S78" s="1">
        <v>79</v>
      </c>
      <c r="T78" s="1">
        <v>0</v>
      </c>
      <c r="U78" s="1">
        <f>Games[[#This Row],[PointsFor]]-Games[[#This Row],[PointsAgainst]]</f>
        <v>-9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0.37546494710348971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75.25</v>
      </c>
      <c r="Z78" s="4">
        <f>Games[[#This Row],[K]]*Games[[#This Row],[POMult]]</f>
        <v>75.25</v>
      </c>
      <c r="AA78" s="4">
        <f>(Games[[#This Row],[Keff]]*Games[[#This Row],[MOVMult]])*(Games[[#This Row],[Result]]-Games[[#This Row],[ExpectedWin%]])</f>
        <v>-7.8642313074501402</v>
      </c>
      <c r="AB78" s="4">
        <f>Games[[#This Row],[PreGmRate]]+Games[[#This Row],[RatingChange]]</f>
        <v>1405.2075247649814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37054</v>
      </c>
      <c r="B79" s="2">
        <v>2001</v>
      </c>
      <c r="C79" s="2">
        <f>COUNTIFS(Games[Team],Games[[#This Row],[Team]],Games[Season],Games[[#This Row],[Season]],Games[Date],"&lt;=" &amp; Games[[#This Row],[Date]])</f>
        <v>6</v>
      </c>
      <c r="D79" s="2" t="s">
        <v>23</v>
      </c>
      <c r="E79" s="2" t="s">
        <v>29</v>
      </c>
      <c r="F79" s="1" t="s">
        <v>66</v>
      </c>
      <c r="G79" s="1" t="s">
        <v>64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9" s="2">
        <f>Games[[#This Row],[DaysOff]]-Games[[#This Row],[OppDaysOff]]</f>
        <v>-1</v>
      </c>
      <c r="L79" s="2">
        <f>Games[[#This Row],[OppDaysOff]]-Games[[#This Row],[DaysOff]]</f>
        <v>1</v>
      </c>
      <c r="M79" s="1">
        <f>MAX(-16, MIN(16, Games[[#This Row],[RestDiff]]*8))</f>
        <v>-8</v>
      </c>
      <c r="N79" s="1">
        <f>MAX(-16, MIN(16, Games[[#This Row],[OppRestDiff]]*8))</f>
        <v>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1510.5719257551514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1413.0717560724315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0.72165695347039494</v>
      </c>
      <c r="R79" s="1">
        <v>79</v>
      </c>
      <c r="S79" s="1">
        <v>70</v>
      </c>
      <c r="T79" s="1">
        <v>0</v>
      </c>
      <c r="U79" s="1">
        <f>Games[[#This Row],[PointsFor]]-Games[[#This Row],[PointsAgainst]]</f>
        <v>9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0.37546494710348971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75.099999999999994</v>
      </c>
      <c r="Z79" s="4">
        <f>Games[[#This Row],[K]]*Games[[#This Row],[POMult]]</f>
        <v>75.099999999999994</v>
      </c>
      <c r="AA79" s="4">
        <f>(Games[[#This Row],[Keff]]*Games[[#This Row],[MOVMult]])*(Games[[#This Row],[Result]]-Games[[#This Row],[ExpectedWin%]])</f>
        <v>7.8485550988638613</v>
      </c>
      <c r="AB79" s="4">
        <f>Games[[#This Row],[PreGmRate]]+Games[[#This Row],[RatingChange]]</f>
        <v>1518.4204808540153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37054</v>
      </c>
      <c r="B80" s="2">
        <v>2001</v>
      </c>
      <c r="C80" s="2">
        <f>COUNTIFS(Games[Team],Games[[#This Row],[Team]],Games[Season],Games[[#This Row],[Season]],Games[Date],"&lt;=" &amp; Games[[#This Row],[Date]])</f>
        <v>6</v>
      </c>
      <c r="D80" s="2" t="s">
        <v>23</v>
      </c>
      <c r="E80" s="2" t="s">
        <v>29</v>
      </c>
      <c r="F80" s="1" t="s">
        <v>45</v>
      </c>
      <c r="G80" s="1" t="s">
        <v>44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1</v>
      </c>
      <c r="L80" s="2">
        <f>Games[[#This Row],[OppDaysOff]]-Games[[#This Row],[DaysOff]]</f>
        <v>-1</v>
      </c>
      <c r="M80" s="1">
        <f>MAX(-16, MIN(16, Games[[#This Row],[RestDiff]]*8))</f>
        <v>8</v>
      </c>
      <c r="N80" s="1">
        <f>MAX(-16, MIN(16, Games[[#This Row],[OppRestDiff]]*8))</f>
        <v>-8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1559.343791492317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1500.2019179089032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0.48725489280962764</v>
      </c>
      <c r="R80" s="1">
        <v>64</v>
      </c>
      <c r="S80" s="1">
        <v>78</v>
      </c>
      <c r="T80" s="1">
        <v>0</v>
      </c>
      <c r="U80" s="1">
        <f>Games[[#This Row],[PointsFor]]-Games[[#This Row],[PointsAgainst]]</f>
        <v>-14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0.46470515874092144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75.099999999999994</v>
      </c>
      <c r="Z80" s="4">
        <f>Games[[#This Row],[K]]*Games[[#This Row],[POMult]]</f>
        <v>75.099999999999994</v>
      </c>
      <c r="AA80" s="4">
        <f>(Games[[#This Row],[Keff]]*Games[[#This Row],[MOVMult]])*(Games[[#This Row],[Result]]-Games[[#This Row],[ExpectedWin%]])</f>
        <v>-17.004882659510187</v>
      </c>
      <c r="AB80" s="4">
        <f>Games[[#This Row],[PreGmRate]]+Games[[#This Row],[RatingChange]]</f>
        <v>1542.3389088328067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37054</v>
      </c>
      <c r="B81" s="2">
        <v>2001</v>
      </c>
      <c r="C81" s="2">
        <f>COUNTIFS(Games[Team],Games[[#This Row],[Team]],Games[Season],Games[[#This Row],[Season]],Games[Date],"&lt;=" &amp; Games[[#This Row],[Date]])</f>
        <v>7</v>
      </c>
      <c r="D81" s="2" t="s">
        <v>23</v>
      </c>
      <c r="E81" s="2" t="s">
        <v>29</v>
      </c>
      <c r="F81" s="1" t="s">
        <v>44</v>
      </c>
      <c r="G81" s="1" t="s">
        <v>45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1" s="2">
        <f>Games[[#This Row],[DaysOff]]-Games[[#This Row],[OppDaysOff]]</f>
        <v>-1</v>
      </c>
      <c r="L81" s="2">
        <f>Games[[#This Row],[OppDaysOff]]-Games[[#This Row],[DaysOff]]</f>
        <v>1</v>
      </c>
      <c r="M81" s="1">
        <f>MAX(-16, MIN(16, Games[[#This Row],[RestDiff]]*8))</f>
        <v>-8</v>
      </c>
      <c r="N81" s="1">
        <f>MAX(-16, MIN(16, Games[[#This Row],[OppRestDiff]]*8))</f>
        <v>8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1500.2019179089032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1559.343791492317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0.51274510719037236</v>
      </c>
      <c r="R81" s="1">
        <v>78</v>
      </c>
      <c r="S81" s="1">
        <v>64</v>
      </c>
      <c r="T81" s="1">
        <v>0</v>
      </c>
      <c r="U81" s="1">
        <f>Games[[#This Row],[PointsFor]]-Games[[#This Row],[PointsAgainst]]</f>
        <v>14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0.46470515874092144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74.95</v>
      </c>
      <c r="Z81" s="4">
        <f>Games[[#This Row],[K]]*Games[[#This Row],[POMult]]</f>
        <v>74.95</v>
      </c>
      <c r="AA81" s="4">
        <f>(Games[[#This Row],[Keff]]*Games[[#This Row],[MOVMult]])*(Games[[#This Row],[Result]]-Games[[#This Row],[ExpectedWin%]])</f>
        <v>16.970918180163633</v>
      </c>
      <c r="AB81" s="4">
        <f>Games[[#This Row],[PreGmRate]]+Games[[#This Row],[RatingChange]]</f>
        <v>1517.1728360890668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37054</v>
      </c>
      <c r="B82" s="2">
        <v>2001</v>
      </c>
      <c r="C82" s="2">
        <f>COUNTIFS(Games[Team],Games[[#This Row],[Team]],Games[Season],Games[[#This Row],[Season]],Games[Date],"&lt;=" &amp; Games[[#This Row],[Date]])</f>
        <v>6</v>
      </c>
      <c r="D82" s="2" t="s">
        <v>23</v>
      </c>
      <c r="E82" s="2" t="s">
        <v>29</v>
      </c>
      <c r="F82" s="1" t="s">
        <v>1</v>
      </c>
      <c r="G82" s="1" t="s">
        <v>89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82" s="2">
        <f>Games[[#This Row],[DaysOff]]-Games[[#This Row],[OppDaysOff]]</f>
        <v>-5</v>
      </c>
      <c r="L82" s="2">
        <f>Games[[#This Row],[OppDaysOff]]-Games[[#This Row],[DaysOff]]</f>
        <v>5</v>
      </c>
      <c r="M82" s="1">
        <f>MAX(-16, MIN(16, Games[[#This Row],[RestDiff]]*8))</f>
        <v>-16</v>
      </c>
      <c r="N82" s="1">
        <f>MAX(-16, MIN(16, Games[[#This Row],[OppRestDiff]]*8))</f>
        <v>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1532.5706142984177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1455.0418894337977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0.44486055483794862</v>
      </c>
      <c r="R82" s="1">
        <v>62</v>
      </c>
      <c r="S82" s="1">
        <v>67</v>
      </c>
      <c r="T82" s="1">
        <v>0</v>
      </c>
      <c r="U82" s="1">
        <f>Games[[#This Row],[PointsFor]]-Games[[#This Row],[PointsAgainst]]</f>
        <v>-5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0.31162287219466217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-10.411017159235913</v>
      </c>
      <c r="AB82" s="4">
        <f>Games[[#This Row],[PreGmRate]]+Games[[#This Row],[RatingChange]]</f>
        <v>1522.1595971391819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37054</v>
      </c>
      <c r="B83" s="2">
        <v>2001</v>
      </c>
      <c r="C83" s="2">
        <f>COUNTIFS(Games[Team],Games[[#This Row],[Team]],Games[Season],Games[[#This Row],[Season]],Games[Date],"&lt;=" &amp; Games[[#This Row],[Date]])</f>
        <v>4</v>
      </c>
      <c r="D83" s="2" t="s">
        <v>23</v>
      </c>
      <c r="E83" s="2" t="s">
        <v>29</v>
      </c>
      <c r="F83" s="1" t="s">
        <v>89</v>
      </c>
      <c r="G83" s="1" t="s">
        <v>1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7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5</v>
      </c>
      <c r="L83" s="2">
        <f>Games[[#This Row],[OppDaysOff]]-Games[[#This Row],[DaysOff]]</f>
        <v>-5</v>
      </c>
      <c r="M83" s="1">
        <f>MAX(-16, MIN(16, Games[[#This Row],[RestDiff]]*8))</f>
        <v>16</v>
      </c>
      <c r="N83" s="1">
        <f>MAX(-16, MIN(16, Games[[#This Row],[OppRestDiff]]*8))</f>
        <v>-16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1455.0418894337977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1532.5706142984177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0.55513944516205149</v>
      </c>
      <c r="R83" s="1">
        <v>67</v>
      </c>
      <c r="S83" s="1">
        <v>62</v>
      </c>
      <c r="T83" s="1">
        <v>0</v>
      </c>
      <c r="U83" s="1">
        <f>Games[[#This Row],[PointsFor]]-Games[[#This Row],[PointsAgainst]]</f>
        <v>5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0.31162287219466217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75.400000000000006</v>
      </c>
      <c r="Z83" s="4">
        <f>Games[[#This Row],[K]]*Games[[#This Row],[POMult]]</f>
        <v>75.400000000000006</v>
      </c>
      <c r="AA83" s="4">
        <f>(Games[[#This Row],[Keff]]*Games[[#This Row],[MOVMult]])*(Games[[#This Row],[Result]]-Games[[#This Row],[ExpectedWin%]])</f>
        <v>10.452605776383326</v>
      </c>
      <c r="AB83" s="4">
        <f>Games[[#This Row],[PreGmRate]]+Games[[#This Row],[RatingChange]]</f>
        <v>1465.494495210181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37054</v>
      </c>
      <c r="B84" s="2">
        <v>2001</v>
      </c>
      <c r="C84" s="2">
        <f>COUNTIFS(Games[Team],Games[[#This Row],[Team]],Games[Season],Games[[#This Row],[Season]],Games[Date],"&lt;=" &amp; Games[[#This Row],[Date]])</f>
        <v>5</v>
      </c>
      <c r="D84" s="2" t="s">
        <v>23</v>
      </c>
      <c r="E84" s="2" t="s">
        <v>29</v>
      </c>
      <c r="F84" s="1" t="s">
        <v>79</v>
      </c>
      <c r="G84" s="1" t="s">
        <v>87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1465.7427443886911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1433.2053177709299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0.4264763191548675</v>
      </c>
      <c r="R84" s="1">
        <v>63</v>
      </c>
      <c r="S84" s="1">
        <v>70</v>
      </c>
      <c r="T84" s="1">
        <v>0</v>
      </c>
      <c r="U84" s="1">
        <f>Games[[#This Row],[PointsFor]]-Games[[#This Row],[PointsAgainst]]</f>
        <v>-7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0.36033681200523798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75.25</v>
      </c>
      <c r="Z84" s="4">
        <f>Games[[#This Row],[K]]*Games[[#This Row],[POMult]]</f>
        <v>75.25</v>
      </c>
      <c r="AA84" s="4">
        <f>(Games[[#This Row],[Keff]]*Games[[#This Row],[MOVMult]])*(Games[[#This Row],[Result]]-Games[[#This Row],[ExpectedWin%]])</f>
        <v>-11.564052572309501</v>
      </c>
      <c r="AB84" s="4">
        <f>Games[[#This Row],[PreGmRate]]+Games[[#This Row],[RatingChange]]</f>
        <v>1454.1786918163816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37054</v>
      </c>
      <c r="B85" s="2">
        <v>2001</v>
      </c>
      <c r="C85" s="2">
        <f>COUNTIFS(Games[Team],Games[[#This Row],[Team]],Games[Season],Games[[#This Row],[Season]],Games[Date],"&lt;=" &amp; Games[[#This Row],[Date]])</f>
        <v>6</v>
      </c>
      <c r="D85" s="2" t="s">
        <v>23</v>
      </c>
      <c r="E85" s="2" t="s">
        <v>29</v>
      </c>
      <c r="F85" s="1" t="s">
        <v>87</v>
      </c>
      <c r="G85" s="1" t="s">
        <v>79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1433.2053177709299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1465.7427443886911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0.5735236808451325</v>
      </c>
      <c r="R85" s="1">
        <v>70</v>
      </c>
      <c r="S85" s="1">
        <v>63</v>
      </c>
      <c r="T85" s="1">
        <v>0</v>
      </c>
      <c r="U85" s="1">
        <f>Games[[#This Row],[PointsFor]]-Games[[#This Row],[PointsAgainst]]</f>
        <v>7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0.36033681200523798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11.541001304723501</v>
      </c>
      <c r="AB85" s="4">
        <f>Games[[#This Row],[PreGmRate]]+Games[[#This Row],[RatingChange]]</f>
        <v>1444.7463190756534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37056</v>
      </c>
      <c r="B86" s="2">
        <v>2001</v>
      </c>
      <c r="C86" s="2">
        <f>COUNTIFS(Games[Team],Games[[#This Row],[Team]],Games[Season],Games[[#This Row],[Season]],Games[Date],"&lt;=" &amp; Games[[#This Row],[Date]])</f>
        <v>6</v>
      </c>
      <c r="D86" s="2" t="s">
        <v>23</v>
      </c>
      <c r="E86" s="2" t="s">
        <v>29</v>
      </c>
      <c r="F86" s="1" t="s">
        <v>43</v>
      </c>
      <c r="G86" s="1" t="s">
        <v>64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3</v>
      </c>
      <c r="L86" s="2">
        <f>Games[[#This Row],[OppDaysOff]]-Games[[#This Row],[DaysOff]]</f>
        <v>-3</v>
      </c>
      <c r="M86" s="1">
        <f>MAX(-16, MIN(16, Games[[#This Row],[RestDiff]]*8))</f>
        <v>16</v>
      </c>
      <c r="N86" s="1">
        <f>MAX(-16, MIN(16, Games[[#This Row],[OppRestDiff]]*8))</f>
        <v>-16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1512.3394599783157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1405.2075247649814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0.57868193161147841</v>
      </c>
      <c r="R86" s="1">
        <v>73</v>
      </c>
      <c r="S86" s="1">
        <v>59</v>
      </c>
      <c r="T86" s="1">
        <v>0</v>
      </c>
      <c r="U86" s="1">
        <f>Games[[#This Row],[PointsFor]]-Games[[#This Row],[PointsAgainst]]</f>
        <v>14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0.44764396651775146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75.099999999999994</v>
      </c>
      <c r="Z86" s="4">
        <f>Games[[#This Row],[K]]*Games[[#This Row],[POMult]]</f>
        <v>75.099999999999994</v>
      </c>
      <c r="AA86" s="4">
        <f>(Games[[#This Row],[Keff]]*Games[[#This Row],[MOVMult]])*(Games[[#This Row],[Result]]-Games[[#This Row],[ExpectedWin%]])</f>
        <v>14.163896896557532</v>
      </c>
      <c r="AB86" s="4">
        <f>Games[[#This Row],[PreGmRate]]+Games[[#This Row],[RatingChange]]</f>
        <v>1526.5033568748734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37056</v>
      </c>
      <c r="B87" s="2">
        <v>2001</v>
      </c>
      <c r="C87" s="2">
        <f>COUNTIFS(Games[Team],Games[[#This Row],[Team]],Games[Season],Games[[#This Row],[Season]],Games[Date],"&lt;=" &amp; Games[[#This Row],[Date]])</f>
        <v>6</v>
      </c>
      <c r="D87" s="2" t="s">
        <v>23</v>
      </c>
      <c r="E87" s="2" t="s">
        <v>29</v>
      </c>
      <c r="F87" s="1" t="s">
        <v>64</v>
      </c>
      <c r="G87" s="1" t="s">
        <v>43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7" s="2">
        <f>Games[[#This Row],[DaysOff]]-Games[[#This Row],[OppDaysOff]]</f>
        <v>-3</v>
      </c>
      <c r="L87" s="2">
        <f>Games[[#This Row],[OppDaysOff]]-Games[[#This Row],[DaysOff]]</f>
        <v>3</v>
      </c>
      <c r="M87" s="1">
        <f>MAX(-16, MIN(16, Games[[#This Row],[RestDiff]]*8))</f>
        <v>-16</v>
      </c>
      <c r="N87" s="1">
        <f>MAX(-16, MIN(16, Games[[#This Row],[OppRestDiff]]*8))</f>
        <v>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1405.2075247649814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1512.3394599783157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0.42131806838852148</v>
      </c>
      <c r="R87" s="1">
        <v>59</v>
      </c>
      <c r="S87" s="1">
        <v>73</v>
      </c>
      <c r="T87" s="1">
        <v>0</v>
      </c>
      <c r="U87" s="1">
        <f>Games[[#This Row],[PointsFor]]-Games[[#This Row],[PointsAgainst]]</f>
        <v>-14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0.44764396651775146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75.099999999999994</v>
      </c>
      <c r="Z87" s="4">
        <f>Games[[#This Row],[K]]*Games[[#This Row],[POMult]]</f>
        <v>75.099999999999994</v>
      </c>
      <c r="AA87" s="4">
        <f>(Games[[#This Row],[Keff]]*Games[[#This Row],[MOVMult]])*(Games[[#This Row],[Result]]-Games[[#This Row],[ExpectedWin%]])</f>
        <v>-14.163896896557528</v>
      </c>
      <c r="AB87" s="4">
        <f>Games[[#This Row],[PreGmRate]]+Games[[#This Row],[RatingChange]]</f>
        <v>1391.0436278684238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37056</v>
      </c>
      <c r="B88" s="2">
        <v>2001</v>
      </c>
      <c r="C88" s="2">
        <f>COUNTIFS(Games[Team],Games[[#This Row],[Team]],Games[Season],Games[[#This Row],[Season]],Games[Date],"&lt;=" &amp; Games[[#This Row],[Date]])</f>
        <v>5</v>
      </c>
      <c r="D88" s="2" t="s">
        <v>23</v>
      </c>
      <c r="E88" s="2" t="s">
        <v>29</v>
      </c>
      <c r="F88" s="1" t="s">
        <v>75</v>
      </c>
      <c r="G88" s="1" t="s">
        <v>77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2</v>
      </c>
      <c r="L88" s="2">
        <f>Games[[#This Row],[OppDaysOff]]-Games[[#This Row],[DaysOff]]</f>
        <v>-2</v>
      </c>
      <c r="M88" s="1">
        <f>MAX(-16, MIN(16, Games[[#This Row],[RestDiff]]*8))</f>
        <v>16</v>
      </c>
      <c r="N88" s="1">
        <f>MAX(-16, MIN(16, Games[[#This Row],[OppRestDiff]]*8))</f>
        <v>-16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1447.8867987724343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1438.3627546646724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0.43917492361724109</v>
      </c>
      <c r="R88" s="1">
        <v>65</v>
      </c>
      <c r="S88" s="1">
        <v>80</v>
      </c>
      <c r="T88" s="1">
        <v>0</v>
      </c>
      <c r="U88" s="1">
        <f>Games[[#This Row],[PointsFor]]-Games[[#This Row],[PointsAgainst]]</f>
        <v>-15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0.49888849799562562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75.25</v>
      </c>
      <c r="Z88" s="4">
        <f>Games[[#This Row],[K]]*Games[[#This Row],[POMult]]</f>
        <v>75.25</v>
      </c>
      <c r="AA88" s="4">
        <f>(Games[[#This Row],[Keff]]*Games[[#This Row],[MOVMult]])*(Games[[#This Row],[Result]]-Games[[#This Row],[ExpectedWin%]])</f>
        <v>-16.487223679556362</v>
      </c>
      <c r="AB88" s="4">
        <f>Games[[#This Row],[PreGmRate]]+Games[[#This Row],[RatingChange]]</f>
        <v>1431.399575092878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37056</v>
      </c>
      <c r="B89" s="2">
        <v>2001</v>
      </c>
      <c r="C89" s="2">
        <f>COUNTIFS(Games[Team],Games[[#This Row],[Team]],Games[Season],Games[[#This Row],[Season]],Games[Date],"&lt;=" &amp; Games[[#This Row],[Date]])</f>
        <v>5</v>
      </c>
      <c r="D89" s="2" t="s">
        <v>23</v>
      </c>
      <c r="E89" s="2" t="s">
        <v>29</v>
      </c>
      <c r="F89" s="1" t="s">
        <v>77</v>
      </c>
      <c r="G89" s="1" t="s">
        <v>75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9" s="2">
        <f>Games[[#This Row],[DaysOff]]-Games[[#This Row],[OppDaysOff]]</f>
        <v>-2</v>
      </c>
      <c r="L89" s="2">
        <f>Games[[#This Row],[OppDaysOff]]-Games[[#This Row],[DaysOff]]</f>
        <v>2</v>
      </c>
      <c r="M89" s="1">
        <f>MAX(-16, MIN(16, Games[[#This Row],[RestDiff]]*8))</f>
        <v>-16</v>
      </c>
      <c r="N89" s="1">
        <f>MAX(-16, MIN(16, Games[[#This Row],[OppRestDiff]]*8))</f>
        <v>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1438.3627546646724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1447.8867987724343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0.56082507638275891</v>
      </c>
      <c r="R89" s="1">
        <v>80</v>
      </c>
      <c r="S89" s="1">
        <v>65</v>
      </c>
      <c r="T89" s="1">
        <v>0</v>
      </c>
      <c r="U89" s="1">
        <f>Games[[#This Row],[PointsFor]]-Games[[#This Row],[PointsAgainst]]</f>
        <v>15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0.49888849799562562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75.25</v>
      </c>
      <c r="Z89" s="4">
        <f>Games[[#This Row],[K]]*Games[[#This Row],[POMult]]</f>
        <v>75.25</v>
      </c>
      <c r="AA89" s="4">
        <f>(Games[[#This Row],[Keff]]*Games[[#This Row],[MOVMult]])*(Games[[#This Row],[Result]]-Games[[#This Row],[ExpectedWin%]])</f>
        <v>16.487223679556362</v>
      </c>
      <c r="AB89" s="4">
        <f>Games[[#This Row],[PreGmRate]]+Games[[#This Row],[RatingChange]]</f>
        <v>1454.8499783442287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37056</v>
      </c>
      <c r="B90" s="2">
        <v>2001</v>
      </c>
      <c r="C90" s="2">
        <f>COUNTIFS(Games[Team],Games[[#This Row],[Team]],Games[Season],Games[[#This Row],[Season]],Games[Date],"&lt;=" &amp; Games[[#This Row],[Date]])</f>
        <v>6</v>
      </c>
      <c r="D90" s="2" t="s">
        <v>23</v>
      </c>
      <c r="E90" s="2" t="s">
        <v>29</v>
      </c>
      <c r="F90" s="1" t="s">
        <v>79</v>
      </c>
      <c r="G90" s="1" t="s">
        <v>71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0" s="2">
        <f>Games[[#This Row],[DaysOff]]-Games[[#This Row],[OppDaysOff]]</f>
        <v>-3</v>
      </c>
      <c r="L90" s="2">
        <f>Games[[#This Row],[OppDaysOff]]-Games[[#This Row],[DaysOff]]</f>
        <v>3</v>
      </c>
      <c r="M90" s="1">
        <f>MAX(-16, MIN(16, Games[[#This Row],[RestDiff]]*8))</f>
        <v>-16</v>
      </c>
      <c r="N90" s="1">
        <f>MAX(-16, MIN(16, Games[[#This Row],[OppRestDiff]]*8))</f>
        <v>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1454.1786918163816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1658.9857174863575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0.1362592096516056</v>
      </c>
      <c r="R90" s="1">
        <v>68</v>
      </c>
      <c r="S90" s="1">
        <v>84</v>
      </c>
      <c r="T90" s="1">
        <v>0</v>
      </c>
      <c r="U90" s="1">
        <f>Games[[#This Row],[PointsFor]]-Games[[#This Row],[PointsAgainst]]</f>
        <v>-16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0.44229792945386592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75.099999999999994</v>
      </c>
      <c r="Z90" s="4">
        <f>Games[[#This Row],[K]]*Games[[#This Row],[POMult]]</f>
        <v>75.099999999999994</v>
      </c>
      <c r="AA90" s="4">
        <f>(Games[[#This Row],[Keff]]*Games[[#This Row],[MOVMult]])*(Games[[#This Row],[Result]]-Games[[#This Row],[ExpectedWin%]])</f>
        <v>-4.5260641889741953</v>
      </c>
      <c r="AB90" s="4">
        <f>Games[[#This Row],[PreGmRate]]+Games[[#This Row],[RatingChange]]</f>
        <v>1449.6526276274074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37056</v>
      </c>
      <c r="B91" s="2">
        <v>2001</v>
      </c>
      <c r="C91" s="2">
        <f>COUNTIFS(Games[Team],Games[[#This Row],[Team]],Games[Season],Games[[#This Row],[Season]],Games[Date],"&lt;=" &amp; Games[[#This Row],[Date]])</f>
        <v>6</v>
      </c>
      <c r="D91" s="2" t="s">
        <v>23</v>
      </c>
      <c r="E91" s="2" t="s">
        <v>29</v>
      </c>
      <c r="F91" s="1" t="s">
        <v>71</v>
      </c>
      <c r="G91" s="1" t="s">
        <v>79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4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1" s="2">
        <f>Games[[#This Row],[DaysOff]]-Games[[#This Row],[OppDaysOff]]</f>
        <v>3</v>
      </c>
      <c r="L91" s="2">
        <f>Games[[#This Row],[OppDaysOff]]-Games[[#This Row],[DaysOff]]</f>
        <v>-3</v>
      </c>
      <c r="M91" s="1">
        <f>MAX(-16, MIN(16, Games[[#This Row],[RestDiff]]*8))</f>
        <v>16</v>
      </c>
      <c r="N91" s="1">
        <f>MAX(-16, MIN(16, Games[[#This Row],[OppRestDiff]]*8))</f>
        <v>-16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1658.9857174863575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1454.1786918163816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0.86374079034839446</v>
      </c>
      <c r="R91" s="1">
        <v>84</v>
      </c>
      <c r="S91" s="1">
        <v>68</v>
      </c>
      <c r="T91" s="1">
        <v>0</v>
      </c>
      <c r="U91" s="1">
        <f>Games[[#This Row],[PointsFor]]-Games[[#This Row],[PointsAgainst]]</f>
        <v>16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0.44229792945386592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75.099999999999994</v>
      </c>
      <c r="Z91" s="4">
        <f>Games[[#This Row],[K]]*Games[[#This Row],[POMult]]</f>
        <v>75.099999999999994</v>
      </c>
      <c r="AA91" s="4">
        <f>(Games[[#This Row],[Keff]]*Games[[#This Row],[MOVMult]])*(Games[[#This Row],[Result]]-Games[[#This Row],[ExpectedWin%]])</f>
        <v>4.5260641889741935</v>
      </c>
      <c r="AB91" s="4">
        <f>Games[[#This Row],[PreGmRate]]+Games[[#This Row],[RatingChange]]</f>
        <v>1663.5117816753318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37056</v>
      </c>
      <c r="B92" s="2">
        <v>2001</v>
      </c>
      <c r="C92" s="2">
        <f>COUNTIFS(Games[Team],Games[[#This Row],[Team]],Games[Season],Games[[#This Row],[Season]],Games[Date],"&lt;=" &amp; Games[[#This Row],[Date]])</f>
        <v>8</v>
      </c>
      <c r="D92" s="2" t="s">
        <v>23</v>
      </c>
      <c r="E92" s="2" t="s">
        <v>29</v>
      </c>
      <c r="F92" s="1" t="s">
        <v>44</v>
      </c>
      <c r="G92" s="1" t="s">
        <v>45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1517.1728360890668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1542.3389088328067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0.34787105542544489</v>
      </c>
      <c r="R92" s="1">
        <v>59</v>
      </c>
      <c r="S92" s="1">
        <v>81</v>
      </c>
      <c r="T92" s="1">
        <v>0</v>
      </c>
      <c r="U92" s="1">
        <f>Games[[#This Row],[PointsFor]]-Games[[#This Row],[PointsAgainst]]</f>
        <v>-22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0.58968936673724015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-15.344162506027438</v>
      </c>
      <c r="AB92" s="4">
        <f>Games[[#This Row],[PreGmRate]]+Games[[#This Row],[RatingChange]]</f>
        <v>1501.8286735830393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37056</v>
      </c>
      <c r="B93" s="2">
        <v>2001</v>
      </c>
      <c r="C93" s="2">
        <f>COUNTIFS(Games[Team],Games[[#This Row],[Team]],Games[Season],Games[[#This Row],[Season]],Games[Date],"&lt;=" &amp; Games[[#This Row],[Date]])</f>
        <v>7</v>
      </c>
      <c r="D93" s="2" t="s">
        <v>23</v>
      </c>
      <c r="E93" s="2" t="s">
        <v>29</v>
      </c>
      <c r="F93" s="1" t="s">
        <v>45</v>
      </c>
      <c r="G93" s="1" t="s">
        <v>44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1542.3389088328067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1517.1728360890668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0.65212894457455517</v>
      </c>
      <c r="R93" s="1">
        <v>81</v>
      </c>
      <c r="S93" s="1">
        <v>59</v>
      </c>
      <c r="T93" s="1">
        <v>0</v>
      </c>
      <c r="U93" s="1">
        <f>Games[[#This Row],[PointsFor]]-Games[[#This Row],[PointsAgainst]]</f>
        <v>22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0.58968936673724015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74.95</v>
      </c>
      <c r="Z93" s="4">
        <f>Games[[#This Row],[K]]*Games[[#This Row],[POMult]]</f>
        <v>74.95</v>
      </c>
      <c r="AA93" s="4">
        <f>(Games[[#This Row],[Keff]]*Games[[#This Row],[MOVMult]])*(Games[[#This Row],[Result]]-Games[[#This Row],[ExpectedWin%]])</f>
        <v>15.374932885384442</v>
      </c>
      <c r="AB93" s="4">
        <f>Games[[#This Row],[PreGmRate]]+Games[[#This Row],[RatingChange]]</f>
        <v>1557.7138417181911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37056</v>
      </c>
      <c r="B94" s="2">
        <v>2001</v>
      </c>
      <c r="C94" s="2">
        <f>COUNTIFS(Games[Team],Games[[#This Row],[Team]],Games[Season],Games[[#This Row],[Season]],Games[Date],"&lt;=" &amp; Games[[#This Row],[Date]])</f>
        <v>7</v>
      </c>
      <c r="D94" s="2" t="s">
        <v>23</v>
      </c>
      <c r="E94" s="2" t="s">
        <v>29</v>
      </c>
      <c r="F94" s="1" t="s">
        <v>1</v>
      </c>
      <c r="G94" s="1" t="s">
        <v>87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1522.1595971391819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1444.7463190756534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0.490522080619749</v>
      </c>
      <c r="R94" s="1">
        <v>58</v>
      </c>
      <c r="S94" s="1">
        <v>36</v>
      </c>
      <c r="T94" s="1">
        <v>0</v>
      </c>
      <c r="U94" s="1">
        <f>Games[[#This Row],[PointsFor]]-Games[[#This Row],[PointsAgainst]]</f>
        <v>22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0.56557060897270384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74.95</v>
      </c>
      <c r="Z94" s="4">
        <f>Games[[#This Row],[K]]*Games[[#This Row],[POMult]]</f>
        <v>74.95</v>
      </c>
      <c r="AA94" s="4">
        <f>(Games[[#This Row],[Keff]]*Games[[#This Row],[MOVMult]])*(Games[[#This Row],[Result]]-Games[[#This Row],[ExpectedWin%]])</f>
        <v>21.5965229972965</v>
      </c>
      <c r="AB94" s="4">
        <f>Games[[#This Row],[PreGmRate]]+Games[[#This Row],[RatingChange]]</f>
        <v>1543.7561201364783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37056</v>
      </c>
      <c r="B95" s="2">
        <v>2001</v>
      </c>
      <c r="C95" s="2">
        <f>COUNTIFS(Games[Team],Games[[#This Row],[Team]],Games[Season],Games[[#This Row],[Season]],Games[Date],"&lt;=" &amp; Games[[#This Row],[Date]])</f>
        <v>7</v>
      </c>
      <c r="D95" s="2" t="s">
        <v>23</v>
      </c>
      <c r="E95" s="2" t="s">
        <v>29</v>
      </c>
      <c r="F95" s="1" t="s">
        <v>87</v>
      </c>
      <c r="G95" s="1" t="s">
        <v>1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1444.7463190756534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1522.1595971391819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0.509477919380251</v>
      </c>
      <c r="R95" s="1">
        <v>36</v>
      </c>
      <c r="S95" s="1">
        <v>58</v>
      </c>
      <c r="T95" s="1">
        <v>0</v>
      </c>
      <c r="U95" s="1">
        <f>Games[[#This Row],[PointsFor]]-Games[[#This Row],[PointsAgainst]]</f>
        <v>-22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0.56557060897270384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74.95</v>
      </c>
      <c r="Z95" s="4">
        <f>Games[[#This Row],[K]]*Games[[#This Row],[POMult]]</f>
        <v>74.95</v>
      </c>
      <c r="AA95" s="4">
        <f>(Games[[#This Row],[Keff]]*Games[[#This Row],[MOVMult]])*(Games[[#This Row],[Result]]-Games[[#This Row],[ExpectedWin%]])</f>
        <v>-21.5965229972965</v>
      </c>
      <c r="AB95" s="4">
        <f>Games[[#This Row],[PreGmRate]]+Games[[#This Row],[RatingChange]]</f>
        <v>1423.149796078357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37058</v>
      </c>
      <c r="B96" s="2">
        <v>2001</v>
      </c>
      <c r="C96" s="2">
        <f>COUNTIFS(Games[Team],Games[[#This Row],[Team]],Games[Season],Games[[#This Row],[Season]],Games[Date],"&lt;=" &amp; Games[[#This Row],[Date]])</f>
        <v>6</v>
      </c>
      <c r="D96" s="2" t="s">
        <v>23</v>
      </c>
      <c r="E96" s="2" t="s">
        <v>29</v>
      </c>
      <c r="F96" s="1" t="s">
        <v>77</v>
      </c>
      <c r="G96" s="1" t="s">
        <v>64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1454.8499783442287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1391.0436278684238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0.47097168240634801</v>
      </c>
      <c r="R96" s="1">
        <v>72</v>
      </c>
      <c r="S96" s="1">
        <v>69</v>
      </c>
      <c r="T96" s="1">
        <v>1</v>
      </c>
      <c r="U96" s="1">
        <f>Games[[#This Row],[PointsFor]]-Games[[#This Row],[PointsAgainst]]</f>
        <v>3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0.24797960753133955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75.099999999999994</v>
      </c>
      <c r="Z96" s="4">
        <f>Games[[#This Row],[K]]*Games[[#This Row],[POMult]]</f>
        <v>75.099999999999994</v>
      </c>
      <c r="AA96" s="4">
        <f>(Games[[#This Row],[Keff]]*Games[[#This Row],[MOVMult]])*(Games[[#This Row],[Result]]-Games[[#This Row],[ExpectedWin%]])</f>
        <v>9.8522364161948843</v>
      </c>
      <c r="AB96" s="4">
        <f>Games[[#This Row],[PreGmRate]]+Games[[#This Row],[RatingChange]]</f>
        <v>1464.7022147604237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37058</v>
      </c>
      <c r="B97" s="2">
        <v>2001</v>
      </c>
      <c r="C97" s="2">
        <f>COUNTIFS(Games[Team],Games[[#This Row],[Team]],Games[Season],Games[[#This Row],[Season]],Games[Date],"&lt;=" &amp; Games[[#This Row],[Date]])</f>
        <v>7</v>
      </c>
      <c r="D97" s="2" t="s">
        <v>23</v>
      </c>
      <c r="E97" s="2" t="s">
        <v>29</v>
      </c>
      <c r="F97" s="1" t="s">
        <v>64</v>
      </c>
      <c r="G97" s="1" t="s">
        <v>77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1391.0436278684238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1454.8499783442287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0.52902831759365188</v>
      </c>
      <c r="R97" s="1">
        <v>69</v>
      </c>
      <c r="S97" s="1">
        <v>72</v>
      </c>
      <c r="T97" s="1">
        <v>1</v>
      </c>
      <c r="U97" s="1">
        <f>Games[[#This Row],[PointsFor]]-Games[[#This Row],[PointsAgainst]]</f>
        <v>-3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0.24797960753133955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-9.8325581810094071</v>
      </c>
      <c r="AB97" s="4">
        <f>Games[[#This Row],[PreGmRate]]+Games[[#This Row],[RatingChange]]</f>
        <v>1381.2110696874142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37058</v>
      </c>
      <c r="B98" s="2">
        <v>2001</v>
      </c>
      <c r="C98" s="2">
        <f>COUNTIFS(Games[Team],Games[[#This Row],[Team]],Games[Season],Games[[#This Row],[Season]],Games[Date],"&lt;=" &amp; Games[[#This Row],[Date]])</f>
        <v>6</v>
      </c>
      <c r="D98" s="2" t="s">
        <v>23</v>
      </c>
      <c r="E98" s="2" t="s">
        <v>29</v>
      </c>
      <c r="F98" s="1" t="s">
        <v>83</v>
      </c>
      <c r="G98" s="1" t="s">
        <v>1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2</v>
      </c>
      <c r="L98" s="2">
        <f>Games[[#This Row],[OppDaysOff]]-Games[[#This Row],[DaysOff]]</f>
        <v>-2</v>
      </c>
      <c r="M98" s="1">
        <f>MAX(-16, MIN(16, Games[[#This Row],[RestDiff]]*8))</f>
        <v>16</v>
      </c>
      <c r="N98" s="1">
        <f>MAX(-16, MIN(16, Games[[#This Row],[OppRestDiff]]*8))</f>
        <v>-16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1508.281756578423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1543.7561201364783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0.3767084328335456</v>
      </c>
      <c r="R98" s="1">
        <v>53</v>
      </c>
      <c r="S98" s="1">
        <v>70</v>
      </c>
      <c r="T98" s="1">
        <v>0</v>
      </c>
      <c r="U98" s="1">
        <f>Games[[#This Row],[PointsFor]]-Games[[#This Row],[PointsAgainst]]</f>
        <v>-17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0.51715397886390324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75.099999999999994</v>
      </c>
      <c r="Z98" s="4">
        <f>Games[[#This Row],[K]]*Games[[#This Row],[POMult]]</f>
        <v>75.099999999999994</v>
      </c>
      <c r="AA98" s="4">
        <f>(Games[[#This Row],[Keff]]*Games[[#This Row],[MOVMult]])*(Games[[#This Row],[Result]]-Games[[#This Row],[ExpectedWin%]])</f>
        <v>-14.630701494850161</v>
      </c>
      <c r="AB98" s="4">
        <f>Games[[#This Row],[PreGmRate]]+Games[[#This Row],[RatingChange]]</f>
        <v>1493.6510550835728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37058</v>
      </c>
      <c r="B99" s="2">
        <v>2001</v>
      </c>
      <c r="C99" s="2">
        <f>COUNTIFS(Games[Team],Games[[#This Row],[Team]],Games[Season],Games[[#This Row],[Season]],Games[Date],"&lt;=" &amp; Games[[#This Row],[Date]])</f>
        <v>8</v>
      </c>
      <c r="D99" s="2" t="s">
        <v>23</v>
      </c>
      <c r="E99" s="2" t="s">
        <v>29</v>
      </c>
      <c r="F99" s="1" t="s">
        <v>1</v>
      </c>
      <c r="G99" s="1" t="s">
        <v>83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9" s="2">
        <f>Games[[#This Row],[DaysOff]]-Games[[#This Row],[OppDaysOff]]</f>
        <v>-2</v>
      </c>
      <c r="L99" s="2">
        <f>Games[[#This Row],[OppDaysOff]]-Games[[#This Row],[DaysOff]]</f>
        <v>2</v>
      </c>
      <c r="M99" s="1">
        <f>MAX(-16, MIN(16, Games[[#This Row],[RestDiff]]*8))</f>
        <v>-16</v>
      </c>
      <c r="N99" s="1">
        <f>MAX(-16, MIN(16, Games[[#This Row],[OppRestDiff]]*8))</f>
        <v>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1543.7561201364783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1508.281756578423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0.6232915671664544</v>
      </c>
      <c r="R99" s="1">
        <v>70</v>
      </c>
      <c r="S99" s="1">
        <v>53</v>
      </c>
      <c r="T99" s="1">
        <v>0</v>
      </c>
      <c r="U99" s="1">
        <f>Games[[#This Row],[PointsFor]]-Games[[#This Row],[PointsAgainst]]</f>
        <v>17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0.51715397886390324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14.572256615376725</v>
      </c>
      <c r="AB99" s="4">
        <f>Games[[#This Row],[PreGmRate]]+Games[[#This Row],[RatingChange]]</f>
        <v>1558.3283767518551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37058</v>
      </c>
      <c r="B100" s="2">
        <v>2001</v>
      </c>
      <c r="C100" s="2">
        <f>COUNTIFS(Games[Team],Games[[#This Row],[Team]],Games[Season],Games[[#This Row],[Season]],Games[Date],"&lt;=" &amp; Games[[#This Row],[Date]])</f>
        <v>5</v>
      </c>
      <c r="D100" s="2" t="s">
        <v>23</v>
      </c>
      <c r="E100" s="2" t="s">
        <v>29</v>
      </c>
      <c r="F100" s="1" t="s">
        <v>80</v>
      </c>
      <c r="G100" s="1" t="s">
        <v>85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1466.948534433852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1418.24710904579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0.44937533130635243</v>
      </c>
      <c r="R100" s="1">
        <v>65</v>
      </c>
      <c r="S100" s="1">
        <v>67</v>
      </c>
      <c r="T100" s="1">
        <v>0</v>
      </c>
      <c r="U100" s="1">
        <f>Games[[#This Row],[PointsFor]]-Games[[#This Row],[PointsAgainst]]</f>
        <v>-2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0.25739506533494871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75.25</v>
      </c>
      <c r="Z100" s="4">
        <f>Games[[#This Row],[K]]*Games[[#This Row],[POMult]]</f>
        <v>75.25</v>
      </c>
      <c r="AA100" s="4">
        <f>(Games[[#This Row],[Keff]]*Games[[#This Row],[MOVMult]])*(Games[[#This Row],[Result]]-Games[[#This Row],[ExpectedWin%]])</f>
        <v>-8.7039412053038383</v>
      </c>
      <c r="AB100" s="4">
        <f>Games[[#This Row],[PreGmRate]]+Games[[#This Row],[RatingChange]]</f>
        <v>1458.2445932285482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37058</v>
      </c>
      <c r="B101" s="2">
        <v>2001</v>
      </c>
      <c r="C101" s="2">
        <f>COUNTIFS(Games[Team],Games[[#This Row],[Team]],Games[Season],Games[[#This Row],[Season]],Games[Date],"&lt;=" &amp; Games[[#This Row],[Date]])</f>
        <v>7</v>
      </c>
      <c r="D101" s="2" t="s">
        <v>23</v>
      </c>
      <c r="E101" s="2" t="s">
        <v>29</v>
      </c>
      <c r="F101" s="1" t="s">
        <v>85</v>
      </c>
      <c r="G101" s="1" t="s">
        <v>80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1418.24710904579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1466.948534433852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0.55062466869364757</v>
      </c>
      <c r="R101" s="1">
        <v>67</v>
      </c>
      <c r="S101" s="1">
        <v>65</v>
      </c>
      <c r="T101" s="1">
        <v>0</v>
      </c>
      <c r="U101" s="1">
        <f>Games[[#This Row],[PointsFor]]-Games[[#This Row],[PointsAgainst]]</f>
        <v>2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0.25739506533494871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8.6692411074753863</v>
      </c>
      <c r="AB101" s="4">
        <f>Games[[#This Row],[PreGmRate]]+Games[[#This Row],[RatingChange]]</f>
        <v>1426.9163501532653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37058</v>
      </c>
      <c r="B102" s="2">
        <v>2001</v>
      </c>
      <c r="C102" s="2">
        <f>COUNTIFS(Games[Team],Games[[#This Row],[Team]],Games[Season],Games[[#This Row],[Season]],Games[Date],"&lt;=" &amp; Games[[#This Row],[Date]])</f>
        <v>6</v>
      </c>
      <c r="D102" s="2" t="s">
        <v>23</v>
      </c>
      <c r="E102" s="2" t="s">
        <v>29</v>
      </c>
      <c r="F102" s="1" t="s">
        <v>75</v>
      </c>
      <c r="G102" s="1" t="s">
        <v>66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2" s="2">
        <f>Games[[#This Row],[DaysOff]]-Games[[#This Row],[OppDaysOff]]</f>
        <v>-2</v>
      </c>
      <c r="L102" s="2">
        <f>Games[[#This Row],[OppDaysOff]]-Games[[#This Row],[DaysOff]]</f>
        <v>2</v>
      </c>
      <c r="M102" s="1">
        <f>MAX(-16, MIN(16, Games[[#This Row],[RestDiff]]*8))</f>
        <v>-16</v>
      </c>
      <c r="N102" s="1">
        <f>MAX(-16, MIN(16, Games[[#This Row],[OppRestDiff]]*8))</f>
        <v>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1431.399575092878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1518.4204808540153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0.2370932513167221</v>
      </c>
      <c r="R102" s="1">
        <v>63</v>
      </c>
      <c r="S102" s="1">
        <v>86</v>
      </c>
      <c r="T102" s="1">
        <v>0</v>
      </c>
      <c r="U102" s="1">
        <f>Games[[#This Row],[PointsFor]]-Games[[#This Row],[PointsAgainst]]</f>
        <v>-23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0.5737321901835255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75.099999999999994</v>
      </c>
      <c r="Z102" s="4">
        <f>Games[[#This Row],[K]]*Games[[#This Row],[POMult]]</f>
        <v>75.099999999999994</v>
      </c>
      <c r="AA102" s="4">
        <f>(Games[[#This Row],[Keff]]*Games[[#This Row],[MOVMult]])*(Games[[#This Row],[Result]]-Games[[#This Row],[ExpectedWin%]])</f>
        <v>-10.215705079711269</v>
      </c>
      <c r="AB102" s="4">
        <f>Games[[#This Row],[PreGmRate]]+Games[[#This Row],[RatingChange]]</f>
        <v>1421.1838700131666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37058</v>
      </c>
      <c r="B103" s="2">
        <v>2001</v>
      </c>
      <c r="C103" s="2">
        <f>COUNTIFS(Games[Team],Games[[#This Row],[Team]],Games[Season],Games[[#This Row],[Season]],Games[Date],"&lt;=" &amp; Games[[#This Row],[Date]])</f>
        <v>7</v>
      </c>
      <c r="D103" s="2" t="s">
        <v>23</v>
      </c>
      <c r="E103" s="2" t="s">
        <v>29</v>
      </c>
      <c r="F103" s="1" t="s">
        <v>66</v>
      </c>
      <c r="G103" s="1" t="s">
        <v>75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2</v>
      </c>
      <c r="L103" s="2">
        <f>Games[[#This Row],[OppDaysOff]]-Games[[#This Row],[DaysOff]]</f>
        <v>-2</v>
      </c>
      <c r="M103" s="1">
        <f>MAX(-16, MIN(16, Games[[#This Row],[RestDiff]]*8))</f>
        <v>16</v>
      </c>
      <c r="N103" s="1">
        <f>MAX(-16, MIN(16, Games[[#This Row],[OppRestDiff]]*8))</f>
        <v>-16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1518.4204808540153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1431.399575092878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0.7629067486832779</v>
      </c>
      <c r="R103" s="1">
        <v>86</v>
      </c>
      <c r="S103" s="1">
        <v>63</v>
      </c>
      <c r="T103" s="1">
        <v>0</v>
      </c>
      <c r="U103" s="1">
        <f>Games[[#This Row],[PointsFor]]-Games[[#This Row],[PointsAgainst]]</f>
        <v>23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0.5737321901835255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74.95</v>
      </c>
      <c r="Z103" s="4">
        <f>Games[[#This Row],[K]]*Games[[#This Row],[POMult]]</f>
        <v>74.95</v>
      </c>
      <c r="AA103" s="4">
        <f>(Games[[#This Row],[Keff]]*Games[[#This Row],[MOVMult]])*(Games[[#This Row],[Result]]-Games[[#This Row],[ExpectedWin%]])</f>
        <v>10.195300875157917</v>
      </c>
      <c r="AB103" s="4">
        <f>Games[[#This Row],[PreGmRate]]+Games[[#This Row],[RatingChange]]</f>
        <v>1528.6157817291732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37058</v>
      </c>
      <c r="B104" s="2">
        <v>2001</v>
      </c>
      <c r="C104" s="2">
        <f>COUNTIFS(Games[Team],Games[[#This Row],[Team]],Games[Season],Games[[#This Row],[Season]],Games[Date],"&lt;=" &amp; Games[[#This Row],[Date]])</f>
        <v>7</v>
      </c>
      <c r="D104" s="2" t="s">
        <v>23</v>
      </c>
      <c r="E104" s="2" t="s">
        <v>29</v>
      </c>
      <c r="F104" s="1" t="s">
        <v>79</v>
      </c>
      <c r="G104" s="1" t="s">
        <v>44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0</v>
      </c>
      <c r="L104" s="2">
        <f>Games[[#This Row],[OppDaysOff]]-Games[[#This Row],[DaysOff]]</f>
        <v>0</v>
      </c>
      <c r="M104" s="1">
        <f>MAX(-16, MIN(16, Games[[#This Row],[RestDiff]]*8))</f>
        <v>0</v>
      </c>
      <c r="N104" s="1">
        <f>MAX(-16, MIN(16, Games[[#This Row],[OppRestDiff]]*8))</f>
        <v>0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1449.6526276274074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1501.8286735830393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0.31348160596232044</v>
      </c>
      <c r="R104" s="1">
        <v>68</v>
      </c>
      <c r="S104" s="1">
        <v>72</v>
      </c>
      <c r="T104" s="1">
        <v>0</v>
      </c>
      <c r="U104" s="1">
        <f>Games[[#This Row],[PointsFor]]-Games[[#This Row],[PointsAgainst]]</f>
        <v>-4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0.29845586256958084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74.95</v>
      </c>
      <c r="Z104" s="4">
        <f>Games[[#This Row],[K]]*Games[[#This Row],[POMult]]</f>
        <v>74.95</v>
      </c>
      <c r="AA104" s="4">
        <f>(Games[[#This Row],[Keff]]*Games[[#This Row],[MOVMult]])*(Games[[#This Row],[Result]]-Games[[#This Row],[ExpectedWin%]])</f>
        <v>-7.0123537118832759</v>
      </c>
      <c r="AB104" s="4">
        <f>Games[[#This Row],[PreGmRate]]+Games[[#This Row],[RatingChange]]</f>
        <v>1442.6402739155242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37058</v>
      </c>
      <c r="B105" s="2">
        <v>2001</v>
      </c>
      <c r="C105" s="2">
        <f>COUNTIFS(Games[Team],Games[[#This Row],[Team]],Games[Season],Games[[#This Row],[Season]],Games[Date],"&lt;=" &amp; Games[[#This Row],[Date]])</f>
        <v>9</v>
      </c>
      <c r="D105" s="2" t="s">
        <v>23</v>
      </c>
      <c r="E105" s="2" t="s">
        <v>29</v>
      </c>
      <c r="F105" s="1" t="s">
        <v>44</v>
      </c>
      <c r="G105" s="1" t="s">
        <v>79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0</v>
      </c>
      <c r="L105" s="2">
        <f>Games[[#This Row],[OppDaysOff]]-Games[[#This Row],[DaysOff]]</f>
        <v>0</v>
      </c>
      <c r="M105" s="1">
        <f>MAX(-16, MIN(16, Games[[#This Row],[RestDiff]]*8))</f>
        <v>0</v>
      </c>
      <c r="N105" s="1">
        <f>MAX(-16, MIN(16, Games[[#This Row],[OppRestDiff]]*8))</f>
        <v>0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1501.8286735830393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1449.6526276274074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0.68651839403767956</v>
      </c>
      <c r="R105" s="1">
        <v>72</v>
      </c>
      <c r="S105" s="1">
        <v>68</v>
      </c>
      <c r="T105" s="1">
        <v>0</v>
      </c>
      <c r="U105" s="1">
        <f>Games[[#This Row],[PointsFor]]-Games[[#This Row],[PointsAgainst]]</f>
        <v>4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0.29845586256958084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6.9842855849511221</v>
      </c>
      <c r="AB105" s="4">
        <f>Games[[#This Row],[PreGmRate]]+Games[[#This Row],[RatingChange]]</f>
        <v>1508.8129591679904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37058</v>
      </c>
      <c r="B106" s="2">
        <v>2001</v>
      </c>
      <c r="C106" s="2">
        <f>COUNTIFS(Games[Team],Games[[#This Row],[Team]],Games[Season],Games[[#This Row],[Season]],Games[Date],"&lt;=" &amp; Games[[#This Row],[Date]])</f>
        <v>5</v>
      </c>
      <c r="D106" s="2" t="s">
        <v>23</v>
      </c>
      <c r="E106" s="2" t="s">
        <v>29</v>
      </c>
      <c r="F106" s="1" t="s">
        <v>89</v>
      </c>
      <c r="G106" s="1" t="s">
        <v>45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6" s="2">
        <f>Games[[#This Row],[DaysOff]]-Games[[#This Row],[OppDaysOff]]</f>
        <v>2</v>
      </c>
      <c r="L106" s="2">
        <f>Games[[#This Row],[OppDaysOff]]-Games[[#This Row],[DaysOff]]</f>
        <v>-2</v>
      </c>
      <c r="M106" s="1">
        <f>MAX(-16, MIN(16, Games[[#This Row],[RestDiff]]*8))</f>
        <v>16</v>
      </c>
      <c r="N106" s="1">
        <f>MAX(-16, MIN(16, Games[[#This Row],[OppRestDiff]]*8))</f>
        <v>-16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1465.494495210181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1557.7138417181911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0.30360420083822837</v>
      </c>
      <c r="R106" s="1">
        <v>81</v>
      </c>
      <c r="S106" s="1">
        <v>74</v>
      </c>
      <c r="T106" s="1">
        <v>1</v>
      </c>
      <c r="U106" s="1">
        <f>Games[[#This Row],[PointsFor]]-Games[[#This Row],[PointsAgainst]]</f>
        <v>7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0.30932499762233506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75.25</v>
      </c>
      <c r="Z106" s="4">
        <f>Games[[#This Row],[K]]*Games[[#This Row],[POMult]]</f>
        <v>75.25</v>
      </c>
      <c r="AA106" s="4">
        <f>(Games[[#This Row],[Keff]]*Games[[#This Row],[MOVMult]])*(Games[[#This Row],[Result]]-Games[[#This Row],[ExpectedWin%]])</f>
        <v>16.209800326223917</v>
      </c>
      <c r="AB106" s="4">
        <f>Games[[#This Row],[PreGmRate]]+Games[[#This Row],[RatingChange]]</f>
        <v>1481.704295536405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37058</v>
      </c>
      <c r="B107" s="2">
        <v>2001</v>
      </c>
      <c r="C107" s="2">
        <f>COUNTIFS(Games[Team],Games[[#This Row],[Team]],Games[Season],Games[[#This Row],[Season]],Games[Date],"&lt;=" &amp; Games[[#This Row],[Date]])</f>
        <v>8</v>
      </c>
      <c r="D107" s="2" t="s">
        <v>23</v>
      </c>
      <c r="E107" s="2" t="s">
        <v>29</v>
      </c>
      <c r="F107" s="1" t="s">
        <v>45</v>
      </c>
      <c r="G107" s="1" t="s">
        <v>89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7" s="2">
        <f>Games[[#This Row],[DaysOff]]-Games[[#This Row],[OppDaysOff]]</f>
        <v>-2</v>
      </c>
      <c r="L107" s="2">
        <f>Games[[#This Row],[OppDaysOff]]-Games[[#This Row],[DaysOff]]</f>
        <v>2</v>
      </c>
      <c r="M107" s="1">
        <f>MAX(-16, MIN(16, Games[[#This Row],[RestDiff]]*8))</f>
        <v>-16</v>
      </c>
      <c r="N107" s="1">
        <f>MAX(-16, MIN(16, Games[[#This Row],[OppRestDiff]]*8))</f>
        <v>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1557.7138417181911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1465.494495210181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0.69639579916177163</v>
      </c>
      <c r="R107" s="1">
        <v>74</v>
      </c>
      <c r="S107" s="1">
        <v>81</v>
      </c>
      <c r="T107" s="1">
        <v>1</v>
      </c>
      <c r="U107" s="1">
        <f>Games[[#This Row],[PointsFor]]-Games[[#This Row],[PointsAgainst]]</f>
        <v>-7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0.30932499762233506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-16.112864643209949</v>
      </c>
      <c r="AB107" s="4">
        <f>Games[[#This Row],[PreGmRate]]+Games[[#This Row],[RatingChange]]</f>
        <v>1541.6009770749811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37058</v>
      </c>
      <c r="B108" s="2">
        <v>2001</v>
      </c>
      <c r="C108" s="2">
        <f>COUNTIFS(Games[Team],Games[[#This Row],[Team]],Games[Season],Games[[#This Row],[Season]],Games[Date],"&lt;=" &amp; Games[[#This Row],[Date]])</f>
        <v>7</v>
      </c>
      <c r="D108" s="2" t="s">
        <v>23</v>
      </c>
      <c r="E108" s="2" t="s">
        <v>29</v>
      </c>
      <c r="F108" s="1" t="s">
        <v>71</v>
      </c>
      <c r="G108" s="1" t="s">
        <v>87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1663.5117816753318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1423.149796078357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0.71096839654583222</v>
      </c>
      <c r="R108" s="1">
        <v>73</v>
      </c>
      <c r="S108" s="1">
        <v>60</v>
      </c>
      <c r="T108" s="1">
        <v>0</v>
      </c>
      <c r="U108" s="1">
        <f>Games[[#This Row],[PointsFor]]-Games[[#This Row],[PointsAgainst]]</f>
        <v>13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0.39327093636268684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74.95</v>
      </c>
      <c r="Z108" s="4">
        <f>Games[[#This Row],[K]]*Games[[#This Row],[POMult]]</f>
        <v>74.95</v>
      </c>
      <c r="AA108" s="4">
        <f>(Games[[#This Row],[Keff]]*Games[[#This Row],[MOVMult]])*(Games[[#This Row],[Result]]-Games[[#This Row],[ExpectedWin%]])</f>
        <v>8.5193963131957613</v>
      </c>
      <c r="AB108" s="4">
        <f>Games[[#This Row],[PreGmRate]]+Games[[#This Row],[RatingChange]]</f>
        <v>1672.0311779885276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37058</v>
      </c>
      <c r="B109" s="2">
        <v>2001</v>
      </c>
      <c r="C109" s="2">
        <f>COUNTIFS(Games[Team],Games[[#This Row],[Team]],Games[Season],Games[[#This Row],[Season]],Games[Date],"&lt;=" &amp; Games[[#This Row],[Date]])</f>
        <v>8</v>
      </c>
      <c r="D109" s="2" t="s">
        <v>23</v>
      </c>
      <c r="E109" s="2" t="s">
        <v>29</v>
      </c>
      <c r="F109" s="1" t="s">
        <v>87</v>
      </c>
      <c r="G109" s="1" t="s">
        <v>71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1423.149796078357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1663.5117816753318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0.28903160345416778</v>
      </c>
      <c r="R109" s="1">
        <v>60</v>
      </c>
      <c r="S109" s="1">
        <v>73</v>
      </c>
      <c r="T109" s="1">
        <v>0</v>
      </c>
      <c r="U109" s="1">
        <f>Games[[#This Row],[PointsFor]]-Games[[#This Row],[PointsAgainst]]</f>
        <v>-13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0.39327093636268684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74.8</v>
      </c>
      <c r="Z109" s="4">
        <f>Games[[#This Row],[K]]*Games[[#This Row],[POMult]]</f>
        <v>74.8</v>
      </c>
      <c r="AA109" s="4">
        <f>(Games[[#This Row],[Keff]]*Games[[#This Row],[MOVMult]])*(Games[[#This Row],[Result]]-Games[[#This Row],[ExpectedWin%]])</f>
        <v>-8.5023461537964344</v>
      </c>
      <c r="AB109" s="4">
        <f>Games[[#This Row],[PreGmRate]]+Games[[#This Row],[RatingChange]]</f>
        <v>1414.6474499245605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37059</v>
      </c>
      <c r="B110" s="2">
        <v>2001</v>
      </c>
      <c r="C110" s="2">
        <f>COUNTIFS(Games[Team],Games[[#This Row],[Team]],Games[Season],Games[[#This Row],[Season]],Games[Date],"&lt;=" &amp; Games[[#This Row],[Date]])</f>
        <v>6</v>
      </c>
      <c r="D110" s="2" t="s">
        <v>23</v>
      </c>
      <c r="E110" s="2" t="s">
        <v>29</v>
      </c>
      <c r="F110" s="1" t="s">
        <v>80</v>
      </c>
      <c r="G110" s="1" t="s">
        <v>77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1458.2445932285482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1464.7022147604237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0.37268484120344164</v>
      </c>
      <c r="R110" s="1">
        <v>71</v>
      </c>
      <c r="S110" s="1">
        <v>63</v>
      </c>
      <c r="T110" s="1">
        <v>0</v>
      </c>
      <c r="U110" s="1">
        <f>Games[[#This Row],[PointsFor]]-Games[[#This Row],[PointsAgainst]]</f>
        <v>8</v>
      </c>
      <c r="V110" s="1">
        <f>IF(Games[[#This Row],[MOV]]&gt;0,1,IF(Games[[#This Row],[MOV]]=0,0.5,0))</f>
        <v>1</v>
      </c>
      <c r="W110" s="4">
        <f>((ABS(Games[[#This Row],[MOV]])+5)^0.6)/(12+0.01*(ABS(Games[[#This Row],[PreGmRate]]-Games[[#This Row],[OppPreGmRate]])))*IF(Games[[#This Row],[OT]]=1,0.9,1)</f>
        <v>0.38623705771939132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75.099999999999994</v>
      </c>
      <c r="Z110" s="4">
        <f>Games[[#This Row],[K]]*Games[[#This Row],[POMult]]</f>
        <v>75.099999999999994</v>
      </c>
      <c r="AA110" s="4">
        <f>(Games[[#This Row],[Keff]]*Games[[#This Row],[MOVMult]])*(Games[[#This Row],[Result]]-Games[[#This Row],[ExpectedWin%]])</f>
        <v>18.196156325846296</v>
      </c>
      <c r="AB110" s="4">
        <f>Games[[#This Row],[PreGmRate]]+Games[[#This Row],[RatingChange]]</f>
        <v>1476.4407495543944</v>
      </c>
      <c r="AC110" s="2">
        <f>IF(Games[[#This Row],[Type]]="R",IF(Games[[#This Row],[Result]]&gt;0.5,1,0),0)</f>
        <v>1</v>
      </c>
      <c r="AD110" s="2">
        <f>IF(Games[[#This Row],[Type]]="R",IF(Games[[#This Row],[Result]]&lt;0.5,1,0),0)</f>
        <v>0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37059</v>
      </c>
      <c r="B111" s="2">
        <v>2001</v>
      </c>
      <c r="C111" s="2">
        <f>COUNTIFS(Games[Team],Games[[#This Row],[Team]],Games[Season],Games[[#This Row],[Season]],Games[Date],"&lt;=" &amp; Games[[#This Row],[Date]])</f>
        <v>7</v>
      </c>
      <c r="D111" s="2" t="s">
        <v>23</v>
      </c>
      <c r="E111" s="2" t="s">
        <v>29</v>
      </c>
      <c r="F111" s="1" t="s">
        <v>77</v>
      </c>
      <c r="G111" s="1" t="s">
        <v>80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1464.7022147604237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1458.2445932285482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0.62731515879655841</v>
      </c>
      <c r="R111" s="1">
        <v>63</v>
      </c>
      <c r="S111" s="1">
        <v>71</v>
      </c>
      <c r="T111" s="1">
        <v>0</v>
      </c>
      <c r="U111" s="1">
        <f>Games[[#This Row],[PointsFor]]-Games[[#This Row],[PointsAgainst]]</f>
        <v>-8</v>
      </c>
      <c r="V111" s="1">
        <f>IF(Games[[#This Row],[MOV]]&gt;0,1,IF(Games[[#This Row],[MOV]]=0,0.5,0))</f>
        <v>0</v>
      </c>
      <c r="W111" s="4">
        <f>((ABS(Games[[#This Row],[MOV]])+5)^0.6)/(12+0.01*(ABS(Games[[#This Row],[PreGmRate]]-Games[[#This Row],[OppPreGmRate]])))*IF(Games[[#This Row],[OT]]=1,0.9,1)</f>
        <v>0.38623705771939132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74.95</v>
      </c>
      <c r="Z111" s="4">
        <f>Games[[#This Row],[K]]*Games[[#This Row],[POMult]]</f>
        <v>74.95</v>
      </c>
      <c r="AA111" s="4">
        <f>(Games[[#This Row],[Keff]]*Games[[#This Row],[MOVMult]])*(Games[[#This Row],[Result]]-Games[[#This Row],[ExpectedWin%]])</f>
        <v>-18.159812471666843</v>
      </c>
      <c r="AB111" s="4">
        <f>Games[[#This Row],[PreGmRate]]+Games[[#This Row],[RatingChange]]</f>
        <v>1446.5424022887569</v>
      </c>
      <c r="AC111" s="2">
        <f>IF(Games[[#This Row],[Type]]="R",IF(Games[[#This Row],[Result]]&gt;0.5,1,0),0)</f>
        <v>0</v>
      </c>
      <c r="AD111" s="2">
        <f>IF(Games[[#This Row],[Type]]="R",IF(Games[[#This Row],[Result]]&lt;0.5,1,0),0)</f>
        <v>1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37059</v>
      </c>
      <c r="B112" s="2">
        <v>2001</v>
      </c>
      <c r="C112" s="2">
        <f>COUNTIFS(Games[Team],Games[[#This Row],[Team]],Games[Season],Games[[#This Row],[Season]],Games[Date],"&lt;=" &amp; Games[[#This Row],[Date]])</f>
        <v>6</v>
      </c>
      <c r="D112" s="2" t="s">
        <v>23</v>
      </c>
      <c r="E112" s="2" t="s">
        <v>29</v>
      </c>
      <c r="F112" s="1" t="s">
        <v>89</v>
      </c>
      <c r="G112" s="1" t="s">
        <v>71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2" s="2">
        <f>Games[[#This Row],[DaysOff]]-Games[[#This Row],[OppDaysOff]]</f>
        <v>0</v>
      </c>
      <c r="L112" s="2">
        <f>Games[[#This Row],[OppDaysOff]]-Games[[#This Row],[DaysOff]]</f>
        <v>0</v>
      </c>
      <c r="M112" s="1">
        <f>MAX(-16, MIN(16, Games[[#This Row],[RestDiff]]*8))</f>
        <v>0</v>
      </c>
      <c r="N112" s="1">
        <f>MAX(-16, MIN(16, Games[[#This Row],[OppRestDiff]]*8))</f>
        <v>0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1481.704295536405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1672.0311779885276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0.17091554567100586</v>
      </c>
      <c r="R112" s="1">
        <v>75</v>
      </c>
      <c r="S112" s="1">
        <v>90</v>
      </c>
      <c r="T112" s="1">
        <v>0</v>
      </c>
      <c r="U112" s="1">
        <f>Games[[#This Row],[PointsFor]]-Games[[#This Row],[PointsAgainst]]</f>
        <v>-15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0.43401134026141186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75.099999999999994</v>
      </c>
      <c r="Z112" s="4">
        <f>Games[[#This Row],[K]]*Games[[#This Row],[POMult]]</f>
        <v>75.099999999999994</v>
      </c>
      <c r="AA112" s="4">
        <f>(Games[[#This Row],[Keff]]*Games[[#This Row],[MOVMult]])*(Games[[#This Row],[Result]]-Games[[#This Row],[ExpectedWin%]])</f>
        <v>-5.5708643071186037</v>
      </c>
      <c r="AB112" s="4">
        <f>Games[[#This Row],[PreGmRate]]+Games[[#This Row],[RatingChange]]</f>
        <v>1476.1334312292863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37059</v>
      </c>
      <c r="B113" s="2">
        <v>2001</v>
      </c>
      <c r="C113" s="2">
        <f>COUNTIFS(Games[Team],Games[[#This Row],[Team]],Games[Season],Games[[#This Row],[Season]],Games[Date],"&lt;=" &amp; Games[[#This Row],[Date]])</f>
        <v>8</v>
      </c>
      <c r="D113" s="2" t="s">
        <v>23</v>
      </c>
      <c r="E113" s="2" t="s">
        <v>29</v>
      </c>
      <c r="F113" s="1" t="s">
        <v>71</v>
      </c>
      <c r="G113" s="1" t="s">
        <v>89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3" s="2">
        <f>Games[[#This Row],[DaysOff]]-Games[[#This Row],[OppDaysOff]]</f>
        <v>0</v>
      </c>
      <c r="L113" s="2">
        <f>Games[[#This Row],[OppDaysOff]]-Games[[#This Row],[DaysOff]]</f>
        <v>0</v>
      </c>
      <c r="M113" s="1">
        <f>MAX(-16, MIN(16, Games[[#This Row],[RestDiff]]*8))</f>
        <v>0</v>
      </c>
      <c r="N113" s="1">
        <f>MAX(-16, MIN(16, Games[[#This Row],[OppRestDiff]]*8))</f>
        <v>0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1672.0311779885276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1481.704295536405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0.82908445432899414</v>
      </c>
      <c r="R113" s="1">
        <v>90</v>
      </c>
      <c r="S113" s="1">
        <v>75</v>
      </c>
      <c r="T113" s="1">
        <v>0</v>
      </c>
      <c r="U113" s="1">
        <f>Games[[#This Row],[PointsFor]]-Games[[#This Row],[PointsAgainst]]</f>
        <v>15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0.43401134026141186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74.8</v>
      </c>
      <c r="Z113" s="4">
        <f>Games[[#This Row],[K]]*Games[[#This Row],[POMult]]</f>
        <v>74.8</v>
      </c>
      <c r="AA113" s="4">
        <f>(Games[[#This Row],[Keff]]*Games[[#This Row],[MOVMult]])*(Games[[#This Row],[Result]]-Games[[#This Row],[ExpectedWin%]])</f>
        <v>5.5486105216041484</v>
      </c>
      <c r="AB113" s="4">
        <f>Games[[#This Row],[PreGmRate]]+Games[[#This Row],[RatingChange]]</f>
        <v>1677.5797885101317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37059</v>
      </c>
      <c r="B114" s="2">
        <v>2001</v>
      </c>
      <c r="C114" s="2">
        <f>COUNTIFS(Games[Team],Games[[#This Row],[Team]],Games[Season],Games[[#This Row],[Season]],Games[Date],"&lt;=" &amp; Games[[#This Row],[Date]])</f>
        <v>8</v>
      </c>
      <c r="D114" s="2" t="s">
        <v>23</v>
      </c>
      <c r="E114" s="2" t="s">
        <v>29</v>
      </c>
      <c r="F114" s="1" t="s">
        <v>66</v>
      </c>
      <c r="G114" s="1" t="s">
        <v>83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1528.6157817291732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1493.6510550835728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0.42989741113249785</v>
      </c>
      <c r="R114" s="1">
        <v>55</v>
      </c>
      <c r="S114" s="1">
        <v>48</v>
      </c>
      <c r="T114" s="1">
        <v>0</v>
      </c>
      <c r="U114" s="1">
        <f>Games[[#This Row],[PointsFor]]-Games[[#This Row],[PointsAgainst]]</f>
        <v>7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0.35962857675370369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74.8</v>
      </c>
      <c r="Z114" s="4">
        <f>Games[[#This Row],[K]]*Games[[#This Row],[POMult]]</f>
        <v>74.8</v>
      </c>
      <c r="AA114" s="4">
        <f>(Games[[#This Row],[Keff]]*Games[[#This Row],[MOVMult]])*(Games[[#This Row],[Result]]-Games[[#This Row],[ExpectedWin%]])</f>
        <v>15.335883661324022</v>
      </c>
      <c r="AB114" s="4">
        <f>Games[[#This Row],[PreGmRate]]+Games[[#This Row],[RatingChange]]</f>
        <v>1543.9516653904973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37059</v>
      </c>
      <c r="B115" s="2">
        <v>2001</v>
      </c>
      <c r="C115" s="2">
        <f>COUNTIFS(Games[Team],Games[[#This Row],[Team]],Games[Season],Games[[#This Row],[Season]],Games[Date],"&lt;=" &amp; Games[[#This Row],[Date]])</f>
        <v>7</v>
      </c>
      <c r="D115" s="2" t="s">
        <v>23</v>
      </c>
      <c r="E115" s="2" t="s">
        <v>29</v>
      </c>
      <c r="F115" s="1" t="s">
        <v>83</v>
      </c>
      <c r="G115" s="1" t="s">
        <v>66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1493.6510550835728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1528.6157817291732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0.5701025888675022</v>
      </c>
      <c r="R115" s="1">
        <v>48</v>
      </c>
      <c r="S115" s="1">
        <v>55</v>
      </c>
      <c r="T115" s="1">
        <v>0</v>
      </c>
      <c r="U115" s="1">
        <f>Games[[#This Row],[PointsFor]]-Games[[#This Row],[PointsAgainst]]</f>
        <v>-7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0.35962857675370369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74.95</v>
      </c>
      <c r="Z115" s="4">
        <f>Games[[#This Row],[K]]*Games[[#This Row],[POMult]]</f>
        <v>74.95</v>
      </c>
      <c r="AA115" s="4">
        <f>(Games[[#This Row],[Keff]]*Games[[#This Row],[MOVMult]])*(Games[[#This Row],[Result]]-Games[[#This Row],[ExpectedWin%]])</f>
        <v>-15.366637438719726</v>
      </c>
      <c r="AB115" s="4">
        <f>Games[[#This Row],[PreGmRate]]+Games[[#This Row],[RatingChange]]</f>
        <v>1478.2844176448532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37059</v>
      </c>
      <c r="B116" s="2">
        <v>2001</v>
      </c>
      <c r="C116" s="2">
        <f>COUNTIFS(Games[Team],Games[[#This Row],[Team]],Games[Season],Games[[#This Row],[Season]],Games[Date],"&lt;=" &amp; Games[[#This Row],[Date]])</f>
        <v>9</v>
      </c>
      <c r="D116" s="2" t="s">
        <v>23</v>
      </c>
      <c r="E116" s="2" t="s">
        <v>29</v>
      </c>
      <c r="F116" s="1" t="s">
        <v>1</v>
      </c>
      <c r="G116" s="1" t="s">
        <v>75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1558.3283767518551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1421.1838700131666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0.57589013623464336</v>
      </c>
      <c r="R116" s="1">
        <v>57</v>
      </c>
      <c r="S116" s="1">
        <v>55</v>
      </c>
      <c r="T116" s="1">
        <v>0</v>
      </c>
      <c r="U116" s="1">
        <f>Games[[#This Row],[PointsFor]]-Games[[#This Row],[PointsAgainst]]</f>
        <v>2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0.24037011957333293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74.650000000000006</v>
      </c>
      <c r="Z116" s="4">
        <f>Games[[#This Row],[K]]*Games[[#This Row],[POMult]]</f>
        <v>74.650000000000006</v>
      </c>
      <c r="AA116" s="4">
        <f>(Games[[#This Row],[Keff]]*Games[[#This Row],[MOVMult]])*(Games[[#This Row],[Result]]-Games[[#This Row],[ExpectedWin%]])</f>
        <v>7.6100702313802255</v>
      </c>
      <c r="AB116" s="4">
        <f>Games[[#This Row],[PreGmRate]]+Games[[#This Row],[RatingChange]]</f>
        <v>1565.9384469832353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37059</v>
      </c>
      <c r="B117" s="2">
        <v>2001</v>
      </c>
      <c r="C117" s="2">
        <f>COUNTIFS(Games[Team],Games[[#This Row],[Team]],Games[Season],Games[[#This Row],[Season]],Games[Date],"&lt;=" &amp; Games[[#This Row],[Date]])</f>
        <v>7</v>
      </c>
      <c r="D117" s="2" t="s">
        <v>23</v>
      </c>
      <c r="E117" s="2" t="s">
        <v>29</v>
      </c>
      <c r="F117" s="1" t="s">
        <v>75</v>
      </c>
      <c r="G117" s="1" t="s">
        <v>1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1421.1838700131666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1558.3283767518551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0.4241098637653567</v>
      </c>
      <c r="R117" s="1">
        <v>55</v>
      </c>
      <c r="S117" s="1">
        <v>57</v>
      </c>
      <c r="T117" s="1">
        <v>0</v>
      </c>
      <c r="U117" s="1">
        <f>Games[[#This Row],[PointsFor]]-Games[[#This Row],[PointsAgainst]]</f>
        <v>-2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0.24037011957333293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74.95</v>
      </c>
      <c r="Z117" s="4">
        <f>Games[[#This Row],[K]]*Games[[#This Row],[POMult]]</f>
        <v>74.95</v>
      </c>
      <c r="AA117" s="4">
        <f>(Games[[#This Row],[Keff]]*Games[[#This Row],[MOVMult]])*(Games[[#This Row],[Result]]-Games[[#This Row],[ExpectedWin%]])</f>
        <v>-7.6406532329798784</v>
      </c>
      <c r="AB117" s="4">
        <f>Games[[#This Row],[PreGmRate]]+Games[[#This Row],[RatingChange]]</f>
        <v>1413.5432167801866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37060</v>
      </c>
      <c r="B118" s="2">
        <v>2001</v>
      </c>
      <c r="C118" s="2">
        <f>COUNTIFS(Games[Team],Games[[#This Row],[Team]],Games[Season],Games[[#This Row],[Season]],Games[Date],"&lt;=" &amp; Games[[#This Row],[Date]])</f>
        <v>8</v>
      </c>
      <c r="D118" s="2" t="s">
        <v>23</v>
      </c>
      <c r="E118" s="2" t="s">
        <v>29</v>
      </c>
      <c r="F118" s="1" t="s">
        <v>79</v>
      </c>
      <c r="G118" s="1" t="s">
        <v>85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1442.6402739155242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1426.9163501532653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0.40298841874028063</v>
      </c>
      <c r="R118" s="1">
        <v>72</v>
      </c>
      <c r="S118" s="1">
        <v>65</v>
      </c>
      <c r="T118" s="1">
        <v>0</v>
      </c>
      <c r="U118" s="1">
        <f>Games[[#This Row],[PointsFor]]-Games[[#This Row],[PointsAgainst]]</f>
        <v>7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0.36532028226454122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74.8</v>
      </c>
      <c r="Z118" s="4">
        <f>Games[[#This Row],[K]]*Games[[#This Row],[POMult]]</f>
        <v>74.8</v>
      </c>
      <c r="AA118" s="4">
        <f>(Games[[#This Row],[Keff]]*Games[[#This Row],[MOVMult]])*(Games[[#This Row],[Result]]-Games[[#This Row],[ExpectedWin%]])</f>
        <v>16.313912865698857</v>
      </c>
      <c r="AB118" s="4">
        <f>Games[[#This Row],[PreGmRate]]+Games[[#This Row],[RatingChange]]</f>
        <v>1458.9541867812231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37060</v>
      </c>
      <c r="B119" s="2">
        <v>2001</v>
      </c>
      <c r="C119" s="2">
        <f>COUNTIFS(Games[Team],Games[[#This Row],[Team]],Games[Season],Games[[#This Row],[Season]],Games[Date],"&lt;=" &amp; Games[[#This Row],[Date]])</f>
        <v>8</v>
      </c>
      <c r="D119" s="2" t="s">
        <v>23</v>
      </c>
      <c r="E119" s="2" t="s">
        <v>29</v>
      </c>
      <c r="F119" s="1" t="s">
        <v>85</v>
      </c>
      <c r="G119" s="1" t="s">
        <v>79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1426.9163501532653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1442.6402739155242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0.59701158125971932</v>
      </c>
      <c r="R119" s="1">
        <v>65</v>
      </c>
      <c r="S119" s="1">
        <v>72</v>
      </c>
      <c r="T119" s="1">
        <v>0</v>
      </c>
      <c r="U119" s="1">
        <f>Games[[#This Row],[PointsFor]]-Games[[#This Row],[PointsAgainst]]</f>
        <v>-7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0.36532028226454122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74.8</v>
      </c>
      <c r="Z119" s="4">
        <f>Games[[#This Row],[K]]*Games[[#This Row],[POMult]]</f>
        <v>74.8</v>
      </c>
      <c r="AA119" s="4">
        <f>(Games[[#This Row],[Keff]]*Games[[#This Row],[MOVMult]])*(Games[[#This Row],[Result]]-Games[[#This Row],[ExpectedWin%]])</f>
        <v>-16.313912865698853</v>
      </c>
      <c r="AB119" s="4">
        <f>Games[[#This Row],[PreGmRate]]+Games[[#This Row],[RatingChange]]</f>
        <v>1410.6024372875663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37060</v>
      </c>
      <c r="B120" s="2">
        <v>2001</v>
      </c>
      <c r="C120" s="2">
        <f>COUNTIFS(Games[Team],Games[[#This Row],[Team]],Games[Season],Games[[#This Row],[Season]],Games[Date],"&lt;=" &amp; Games[[#This Row],[Date]])</f>
        <v>8</v>
      </c>
      <c r="D120" s="2" t="s">
        <v>23</v>
      </c>
      <c r="E120" s="2" t="s">
        <v>29</v>
      </c>
      <c r="F120" s="1" t="s">
        <v>64</v>
      </c>
      <c r="G120" s="1" t="s">
        <v>87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1381.2110696874142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1414.6474499245605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0.33715058971698386</v>
      </c>
      <c r="R120" s="1">
        <v>52</v>
      </c>
      <c r="S120" s="1">
        <v>60</v>
      </c>
      <c r="T120" s="1">
        <v>0</v>
      </c>
      <c r="U120" s="1">
        <f>Games[[#This Row],[PointsFor]]-Games[[#This Row],[PointsAgainst]]</f>
        <v>-8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0.37778895569304949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74.8</v>
      </c>
      <c r="Z120" s="4">
        <f>Games[[#This Row],[K]]*Games[[#This Row],[POMult]]</f>
        <v>74.8</v>
      </c>
      <c r="AA120" s="4">
        <f>(Games[[#This Row],[Keff]]*Games[[#This Row],[MOVMult]])*(Games[[#This Row],[Result]]-Games[[#This Row],[ExpectedWin%]])</f>
        <v>-9.5274083361955402</v>
      </c>
      <c r="AB120" s="4">
        <f>Games[[#This Row],[PreGmRate]]+Games[[#This Row],[RatingChange]]</f>
        <v>1371.6836613512187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37060</v>
      </c>
      <c r="B121" s="2">
        <v>2001</v>
      </c>
      <c r="C121" s="2">
        <f>COUNTIFS(Games[Team],Games[[#This Row],[Team]],Games[Season],Games[[#This Row],[Season]],Games[Date],"&lt;=" &amp; Games[[#This Row],[Date]])</f>
        <v>9</v>
      </c>
      <c r="D121" s="2" t="s">
        <v>23</v>
      </c>
      <c r="E121" s="2" t="s">
        <v>29</v>
      </c>
      <c r="F121" s="1" t="s">
        <v>87</v>
      </c>
      <c r="G121" s="1" t="s">
        <v>64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1414.6474499245605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1381.2110696874142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0.66284941028301614</v>
      </c>
      <c r="R121" s="1">
        <v>60</v>
      </c>
      <c r="S121" s="1">
        <v>52</v>
      </c>
      <c r="T121" s="1">
        <v>0</v>
      </c>
      <c r="U121" s="1">
        <f>Games[[#This Row],[PointsFor]]-Games[[#This Row],[PointsAgainst]]</f>
        <v>8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0.37778895569304949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74.650000000000006</v>
      </c>
      <c r="Z121" s="4">
        <f>Games[[#This Row],[K]]*Games[[#This Row],[POMult]]</f>
        <v>74.650000000000006</v>
      </c>
      <c r="AA121" s="4">
        <f>(Games[[#This Row],[Keff]]*Games[[#This Row],[MOVMult]])*(Games[[#This Row],[Result]]-Games[[#This Row],[ExpectedWin%]])</f>
        <v>9.5083025708154683</v>
      </c>
      <c r="AB121" s="4">
        <f>Games[[#This Row],[PreGmRate]]+Games[[#This Row],[RatingChange]]</f>
        <v>1424.155752495376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37061</v>
      </c>
      <c r="B122" s="2">
        <v>2001</v>
      </c>
      <c r="C122" s="2">
        <f>COUNTIFS(Games[Team],Games[[#This Row],[Team]],Games[Season],Games[[#This Row],[Season]],Games[Date],"&lt;=" &amp; Games[[#This Row],[Date]])</f>
        <v>9</v>
      </c>
      <c r="D122" s="2" t="s">
        <v>23</v>
      </c>
      <c r="E122" s="2" t="s">
        <v>29</v>
      </c>
      <c r="F122" s="1" t="s">
        <v>64</v>
      </c>
      <c r="G122" s="1" t="s">
        <v>71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-1</v>
      </c>
      <c r="L122" s="2">
        <f>Games[[#This Row],[OppDaysOff]]-Games[[#This Row],[DaysOff]]</f>
        <v>1</v>
      </c>
      <c r="M122" s="1">
        <f>MAX(-16, MIN(16, Games[[#This Row],[RestDiff]]*8))</f>
        <v>-8</v>
      </c>
      <c r="N122" s="1">
        <f>MAX(-16, MIN(16, Games[[#This Row],[OppRestDiff]]*8))</f>
        <v>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1371.6836613512187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1677.5797885101317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8.8142739162411152E-2</v>
      </c>
      <c r="R122" s="1">
        <v>69</v>
      </c>
      <c r="S122" s="1">
        <v>73</v>
      </c>
      <c r="T122" s="1">
        <v>0</v>
      </c>
      <c r="U122" s="1">
        <f>Games[[#This Row],[PointsFor]]-Games[[#This Row],[PointsAgainst]]</f>
        <v>-4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0.24817069062374822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74.650000000000006</v>
      </c>
      <c r="Z122" s="4">
        <f>Games[[#This Row],[K]]*Games[[#This Row],[POMult]]</f>
        <v>74.650000000000006</v>
      </c>
      <c r="AA122" s="4">
        <f>(Games[[#This Row],[Keff]]*Games[[#This Row],[MOVMult]])*(Games[[#This Row],[Result]]-Games[[#This Row],[ExpectedWin%]])</f>
        <v>-1.6329272782973441</v>
      </c>
      <c r="AB122" s="4">
        <f>Games[[#This Row],[PreGmRate]]+Games[[#This Row],[RatingChange]]</f>
        <v>1370.0507340729214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37061</v>
      </c>
      <c r="B123" s="2">
        <v>2001</v>
      </c>
      <c r="C123" s="2">
        <f>COUNTIFS(Games[Team],Games[[#This Row],[Team]],Games[Season],Games[[#This Row],[Season]],Games[Date],"&lt;=" &amp; Games[[#This Row],[Date]])</f>
        <v>9</v>
      </c>
      <c r="D123" s="2" t="s">
        <v>23</v>
      </c>
      <c r="E123" s="2" t="s">
        <v>29</v>
      </c>
      <c r="F123" s="1" t="s">
        <v>71</v>
      </c>
      <c r="G123" s="1" t="s">
        <v>64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3" s="2">
        <f>Games[[#This Row],[DaysOff]]-Games[[#This Row],[OppDaysOff]]</f>
        <v>1</v>
      </c>
      <c r="L123" s="2">
        <f>Games[[#This Row],[OppDaysOff]]-Games[[#This Row],[DaysOff]]</f>
        <v>-1</v>
      </c>
      <c r="M123" s="1">
        <f>MAX(-16, MIN(16, Games[[#This Row],[RestDiff]]*8))</f>
        <v>8</v>
      </c>
      <c r="N123" s="1">
        <f>MAX(-16, MIN(16, Games[[#This Row],[OppRestDiff]]*8))</f>
        <v>-8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1677.5797885101317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1371.6836613512187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0.91185726083758889</v>
      </c>
      <c r="R123" s="1">
        <v>73</v>
      </c>
      <c r="S123" s="1">
        <v>69</v>
      </c>
      <c r="T123" s="1">
        <v>0</v>
      </c>
      <c r="U123" s="1">
        <f>Games[[#This Row],[PointsFor]]-Games[[#This Row],[PointsAgainst]]</f>
        <v>4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0.24817069062374822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74.650000000000006</v>
      </c>
      <c r="Z123" s="4">
        <f>Games[[#This Row],[K]]*Games[[#This Row],[POMult]]</f>
        <v>74.650000000000006</v>
      </c>
      <c r="AA123" s="4">
        <f>(Games[[#This Row],[Keff]]*Games[[#This Row],[MOVMult]])*(Games[[#This Row],[Result]]-Games[[#This Row],[ExpectedWin%]])</f>
        <v>1.6329272782973434</v>
      </c>
      <c r="AB123" s="4">
        <f>Games[[#This Row],[PreGmRate]]+Games[[#This Row],[RatingChange]]</f>
        <v>1679.212715788429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37061</v>
      </c>
      <c r="B124" s="2">
        <v>2001</v>
      </c>
      <c r="C124" s="2">
        <f>COUNTIFS(Games[Team],Games[[#This Row],[Team]],Games[Season],Games[[#This Row],[Season]],Games[Date],"&lt;=" &amp; Games[[#This Row],[Date]])</f>
        <v>10</v>
      </c>
      <c r="D124" s="2" t="s">
        <v>23</v>
      </c>
      <c r="E124" s="2" t="s">
        <v>29</v>
      </c>
      <c r="F124" s="1" t="s">
        <v>87</v>
      </c>
      <c r="G124" s="1" t="s">
        <v>89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-1</v>
      </c>
      <c r="L124" s="2">
        <f>Games[[#This Row],[OppDaysOff]]-Games[[#This Row],[DaysOff]]</f>
        <v>1</v>
      </c>
      <c r="M124" s="1">
        <f>MAX(-16, MIN(16, Games[[#This Row],[RestDiff]]*8))</f>
        <v>-8</v>
      </c>
      <c r="N124" s="1">
        <f>MAX(-16, MIN(16, Games[[#This Row],[OppRestDiff]]*8))</f>
        <v>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1424.155752495376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1476.1334312292863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0.29424532277908488</v>
      </c>
      <c r="R124" s="1">
        <v>43</v>
      </c>
      <c r="S124" s="1">
        <v>58</v>
      </c>
      <c r="T124" s="1">
        <v>0</v>
      </c>
      <c r="U124" s="1">
        <f>Games[[#This Row],[PointsFor]]-Games[[#This Row],[PointsAgainst]]</f>
        <v>-15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0.48197155900154337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-10.565431832681718</v>
      </c>
      <c r="AB124" s="4">
        <f>Games[[#This Row],[PreGmRate]]+Games[[#This Row],[RatingChange]]</f>
        <v>1413.5903206626942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37061</v>
      </c>
      <c r="B125" s="2">
        <v>2001</v>
      </c>
      <c r="C125" s="2">
        <f>COUNTIFS(Games[Team],Games[[#This Row],[Team]],Games[Season],Games[[#This Row],[Season]],Games[Date],"&lt;=" &amp; Games[[#This Row],[Date]])</f>
        <v>7</v>
      </c>
      <c r="D125" s="2" t="s">
        <v>23</v>
      </c>
      <c r="E125" s="2" t="s">
        <v>29</v>
      </c>
      <c r="F125" s="1" t="s">
        <v>89</v>
      </c>
      <c r="G125" s="1" t="s">
        <v>87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5" s="2">
        <f>Games[[#This Row],[DaysOff]]-Games[[#This Row],[OppDaysOff]]</f>
        <v>1</v>
      </c>
      <c r="L125" s="2">
        <f>Games[[#This Row],[OppDaysOff]]-Games[[#This Row],[DaysOff]]</f>
        <v>-1</v>
      </c>
      <c r="M125" s="1">
        <f>MAX(-16, MIN(16, Games[[#This Row],[RestDiff]]*8))</f>
        <v>8</v>
      </c>
      <c r="N125" s="1">
        <f>MAX(-16, MIN(16, Games[[#This Row],[OppRestDiff]]*8))</f>
        <v>-8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1476.1334312292863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1424.155752495376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0.70575467722091512</v>
      </c>
      <c r="R125" s="1">
        <v>58</v>
      </c>
      <c r="S125" s="1">
        <v>43</v>
      </c>
      <c r="T125" s="1">
        <v>0</v>
      </c>
      <c r="U125" s="1">
        <f>Games[[#This Row],[PointsFor]]-Games[[#This Row],[PointsAgainst]]</f>
        <v>15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0.48197155900154337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74.95</v>
      </c>
      <c r="Z125" s="4">
        <f>Games[[#This Row],[K]]*Games[[#This Row],[POMult]]</f>
        <v>74.95</v>
      </c>
      <c r="AA125" s="4">
        <f>(Games[[#This Row],[Keff]]*Games[[#This Row],[MOVMult]])*(Games[[#This Row],[Result]]-Games[[#This Row],[ExpectedWin%]])</f>
        <v>10.629249877308656</v>
      </c>
      <c r="AB125" s="4">
        <f>Games[[#This Row],[PreGmRate]]+Games[[#This Row],[RatingChange]]</f>
        <v>1486.762681106595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37061</v>
      </c>
      <c r="B126" s="2">
        <v>2001</v>
      </c>
      <c r="C126" s="2">
        <f>COUNTIFS(Games[Team],Games[[#This Row],[Team]],Games[Season],Games[[#This Row],[Season]],Games[Date],"&lt;=" &amp; Games[[#This Row],[Date]])</f>
        <v>9</v>
      </c>
      <c r="D126" s="2" t="s">
        <v>23</v>
      </c>
      <c r="E126" s="2" t="s">
        <v>29</v>
      </c>
      <c r="F126" s="1" t="s">
        <v>66</v>
      </c>
      <c r="G126" s="1" t="s">
        <v>45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-1</v>
      </c>
      <c r="L126" s="2">
        <f>Games[[#This Row],[OppDaysOff]]-Games[[#This Row],[DaysOff]]</f>
        <v>1</v>
      </c>
      <c r="M126" s="1">
        <f>MAX(-16, MIN(16, Games[[#This Row],[RestDiff]]*8))</f>
        <v>-8</v>
      </c>
      <c r="N126" s="1">
        <f>MAX(-16, MIN(16, Games[[#This Row],[OppRestDiff]]*8))</f>
        <v>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1543.9516653904973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1541.6009770749811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0.36305831795089544</v>
      </c>
      <c r="R126" s="1">
        <v>65</v>
      </c>
      <c r="S126" s="1">
        <v>56</v>
      </c>
      <c r="T126" s="1">
        <v>0</v>
      </c>
      <c r="U126" s="1">
        <f>Games[[#This Row],[PointsFor]]-Games[[#This Row],[PointsAgainst]]</f>
        <v>9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0.40517782150497778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74.650000000000006</v>
      </c>
      <c r="Z126" s="4">
        <f>Games[[#This Row],[K]]*Games[[#This Row],[POMult]]</f>
        <v>74.650000000000006</v>
      </c>
      <c r="AA126" s="4">
        <f>(Games[[#This Row],[Keff]]*Games[[#This Row],[MOVMult]])*(Games[[#This Row],[Result]]-Games[[#This Row],[ExpectedWin%]])</f>
        <v>19.265272111772497</v>
      </c>
      <c r="AB126" s="4">
        <f>Games[[#This Row],[PreGmRate]]+Games[[#This Row],[RatingChange]]</f>
        <v>1563.2169375022697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37061</v>
      </c>
      <c r="B127" s="2">
        <v>2001</v>
      </c>
      <c r="C127" s="2">
        <f>COUNTIFS(Games[Team],Games[[#This Row],[Team]],Games[Season],Games[[#This Row],[Season]],Games[Date],"&lt;=" &amp; Games[[#This Row],[Date]])</f>
        <v>9</v>
      </c>
      <c r="D127" s="2" t="s">
        <v>23</v>
      </c>
      <c r="E127" s="2" t="s">
        <v>29</v>
      </c>
      <c r="F127" s="1" t="s">
        <v>45</v>
      </c>
      <c r="G127" s="1" t="s">
        <v>66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1</v>
      </c>
      <c r="L127" s="2">
        <f>Games[[#This Row],[OppDaysOff]]-Games[[#This Row],[DaysOff]]</f>
        <v>-1</v>
      </c>
      <c r="M127" s="1">
        <f>MAX(-16, MIN(16, Games[[#This Row],[RestDiff]]*8))</f>
        <v>8</v>
      </c>
      <c r="N127" s="1">
        <f>MAX(-16, MIN(16, Games[[#This Row],[OppRestDiff]]*8))</f>
        <v>-8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1541.6009770749811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1543.9516653904973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0.63694168204910451</v>
      </c>
      <c r="R127" s="1">
        <v>56</v>
      </c>
      <c r="S127" s="1">
        <v>65</v>
      </c>
      <c r="T127" s="1">
        <v>0</v>
      </c>
      <c r="U127" s="1">
        <f>Games[[#This Row],[PointsFor]]-Games[[#This Row],[PointsAgainst]]</f>
        <v>-9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0.40517782150497778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74.650000000000006</v>
      </c>
      <c r="Z127" s="4">
        <f>Games[[#This Row],[K]]*Games[[#This Row],[POMult]]</f>
        <v>74.650000000000006</v>
      </c>
      <c r="AA127" s="4">
        <f>(Games[[#This Row],[Keff]]*Games[[#This Row],[MOVMult]])*(Games[[#This Row],[Result]]-Games[[#This Row],[ExpectedWin%]])</f>
        <v>-19.265272111772497</v>
      </c>
      <c r="AB127" s="4">
        <f>Games[[#This Row],[PreGmRate]]+Games[[#This Row],[RatingChange]]</f>
        <v>1522.3357049632086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37063</v>
      </c>
      <c r="B128" s="2">
        <v>2001</v>
      </c>
      <c r="C128" s="2">
        <f>COUNTIFS(Games[Team],Games[[#This Row],[Team]],Games[Season],Games[[#This Row],[Season]],Games[Date],"&lt;=" &amp; Games[[#This Row],[Date]])</f>
        <v>10</v>
      </c>
      <c r="D128" s="2" t="s">
        <v>23</v>
      </c>
      <c r="E128" s="2" t="s">
        <v>29</v>
      </c>
      <c r="F128" s="1" t="s">
        <v>71</v>
      </c>
      <c r="G128" s="1" t="s">
        <v>2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10</v>
      </c>
      <c r="K128" s="2">
        <f>Games[[#This Row],[DaysOff]]-Games[[#This Row],[OppDaysOff]]</f>
        <v>-9</v>
      </c>
      <c r="L128" s="2">
        <f>Games[[#This Row],[OppDaysOff]]-Games[[#This Row],[DaysOff]]</f>
        <v>9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1679.212715788429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1678.5638263025967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0.3398384166477037</v>
      </c>
      <c r="R128" s="1">
        <v>65</v>
      </c>
      <c r="S128" s="1">
        <v>69</v>
      </c>
      <c r="T128" s="1">
        <v>0</v>
      </c>
      <c r="U128" s="1">
        <f>Games[[#This Row],[PointsFor]]-Games[[#This Row],[PointsAgainst]]</f>
        <v>-4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0.31126442139524846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-7.8805808053665016</v>
      </c>
      <c r="AB128" s="4">
        <f>Games[[#This Row],[PreGmRate]]+Games[[#This Row],[RatingChange]]</f>
        <v>1671.3321349830626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37063</v>
      </c>
      <c r="B129" s="2">
        <v>2001</v>
      </c>
      <c r="C129" s="2">
        <f>COUNTIFS(Games[Team],Games[[#This Row],[Team]],Games[Season],Games[[#This Row],[Season]],Games[Date],"&lt;=" &amp; Games[[#This Row],[Date]])</f>
        <v>7</v>
      </c>
      <c r="D129" s="2" t="s">
        <v>23</v>
      </c>
      <c r="E129" s="2" t="s">
        <v>29</v>
      </c>
      <c r="F129" s="1" t="s">
        <v>2</v>
      </c>
      <c r="G129" s="1" t="s">
        <v>71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10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9</v>
      </c>
      <c r="L129" s="2">
        <f>Games[[#This Row],[OppDaysOff]]-Games[[#This Row],[DaysOff]]</f>
        <v>-9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1678.5638263025967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1679.212715788429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0.66016158335229636</v>
      </c>
      <c r="R129" s="1">
        <v>69</v>
      </c>
      <c r="S129" s="1">
        <v>65</v>
      </c>
      <c r="T129" s="1">
        <v>0</v>
      </c>
      <c r="U129" s="1">
        <f>Games[[#This Row],[PointsFor]]-Games[[#This Row],[PointsAgainst]]</f>
        <v>4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0.31126442139524846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74.95</v>
      </c>
      <c r="Z129" s="4">
        <f>Games[[#This Row],[K]]*Games[[#This Row],[POMult]]</f>
        <v>74.95</v>
      </c>
      <c r="AA129" s="4">
        <f>(Games[[#This Row],[Keff]]*Games[[#This Row],[MOVMult]])*(Games[[#This Row],[Result]]-Games[[#This Row],[ExpectedWin%]])</f>
        <v>7.9281816290230775</v>
      </c>
      <c r="AB129" s="4">
        <f>Games[[#This Row],[PreGmRate]]+Games[[#This Row],[RatingChange]]</f>
        <v>1686.4920079316198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37063</v>
      </c>
      <c r="B130" s="2">
        <v>2001</v>
      </c>
      <c r="C130" s="2">
        <f>COUNTIFS(Games[Team],Games[[#This Row],[Team]],Games[Season],Games[[#This Row],[Season]],Games[Date],"&lt;=" &amp; Games[[#This Row],[Date]])</f>
        <v>10</v>
      </c>
      <c r="D130" s="2" t="s">
        <v>23</v>
      </c>
      <c r="E130" s="2" t="s">
        <v>29</v>
      </c>
      <c r="F130" s="1" t="s">
        <v>66</v>
      </c>
      <c r="G130" s="1" t="s">
        <v>44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0" s="2">
        <f>Games[[#This Row],[DaysOff]]-Games[[#This Row],[OppDaysOff]]</f>
        <v>-3</v>
      </c>
      <c r="L130" s="2">
        <f>Games[[#This Row],[OppDaysOff]]-Games[[#This Row],[DaysOff]]</f>
        <v>3</v>
      </c>
      <c r="M130" s="1">
        <f>MAX(-16, MIN(16, Games[[#This Row],[RestDiff]]*8))</f>
        <v>-16</v>
      </c>
      <c r="N130" s="1">
        <f>MAX(-16, MIN(16, Games[[#This Row],[OppRestDiff]]*8))</f>
        <v>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1563.2169375022697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1508.8129591679904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0.41227338766463928</v>
      </c>
      <c r="R130" s="1">
        <v>95</v>
      </c>
      <c r="S130" s="1">
        <v>70</v>
      </c>
      <c r="T130" s="1">
        <v>0</v>
      </c>
      <c r="U130" s="1">
        <f>Games[[#This Row],[PointsFor]]-Games[[#This Row],[PointsAgainst]]</f>
        <v>25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0.61352933135191134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74.5</v>
      </c>
      <c r="Z130" s="4">
        <f>Games[[#This Row],[K]]*Games[[#This Row],[POMult]]</f>
        <v>74.5</v>
      </c>
      <c r="AA130" s="4">
        <f>(Games[[#This Row],[Keff]]*Games[[#This Row],[MOVMult]])*(Games[[#This Row],[Result]]-Games[[#This Row],[ExpectedWin%]])</f>
        <v>26.863769903545922</v>
      </c>
      <c r="AB130" s="4">
        <f>Games[[#This Row],[PreGmRate]]+Games[[#This Row],[RatingChange]]</f>
        <v>1590.0807074058157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37063</v>
      </c>
      <c r="B131" s="2">
        <v>2001</v>
      </c>
      <c r="C131" s="2">
        <f>COUNTIFS(Games[Team],Games[[#This Row],[Team]],Games[Season],Games[[#This Row],[Season]],Games[Date],"&lt;=" &amp; Games[[#This Row],[Date]])</f>
        <v>10</v>
      </c>
      <c r="D131" s="2" t="s">
        <v>23</v>
      </c>
      <c r="E131" s="2" t="s">
        <v>29</v>
      </c>
      <c r="F131" s="1" t="s">
        <v>44</v>
      </c>
      <c r="G131" s="1" t="s">
        <v>66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3</v>
      </c>
      <c r="L131" s="2">
        <f>Games[[#This Row],[OppDaysOff]]-Games[[#This Row],[DaysOff]]</f>
        <v>-3</v>
      </c>
      <c r="M131" s="1">
        <f>MAX(-16, MIN(16, Games[[#This Row],[RestDiff]]*8))</f>
        <v>16</v>
      </c>
      <c r="N131" s="1">
        <f>MAX(-16, MIN(16, Games[[#This Row],[OppRestDiff]]*8))</f>
        <v>-16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1508.8129591679904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1563.2169375022697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0.58772661233536072</v>
      </c>
      <c r="R131" s="1">
        <v>70</v>
      </c>
      <c r="S131" s="1">
        <v>95</v>
      </c>
      <c r="T131" s="1">
        <v>0</v>
      </c>
      <c r="U131" s="1">
        <f>Games[[#This Row],[PointsFor]]-Games[[#This Row],[PointsAgainst]]</f>
        <v>-25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0.61352933135191134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74.5</v>
      </c>
      <c r="Z131" s="4">
        <f>Games[[#This Row],[K]]*Games[[#This Row],[POMult]]</f>
        <v>74.5</v>
      </c>
      <c r="AA131" s="4">
        <f>(Games[[#This Row],[Keff]]*Games[[#This Row],[MOVMult]])*(Games[[#This Row],[Result]]-Games[[#This Row],[ExpectedWin%]])</f>
        <v>-26.863769903545922</v>
      </c>
      <c r="AB131" s="4">
        <f>Games[[#This Row],[PreGmRate]]+Games[[#This Row],[RatingChange]]</f>
        <v>1481.9491892644444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37063</v>
      </c>
      <c r="B132" s="2">
        <v>2001</v>
      </c>
      <c r="C132" s="2">
        <f>COUNTIFS(Games[Team],Games[[#This Row],[Team]],Games[Season],Games[[#This Row],[Season]],Games[Date],"&lt;=" &amp; Games[[#This Row],[Date]])</f>
        <v>10</v>
      </c>
      <c r="D132" s="2" t="s">
        <v>23</v>
      </c>
      <c r="E132" s="2" t="s">
        <v>29</v>
      </c>
      <c r="F132" s="1" t="s">
        <v>45</v>
      </c>
      <c r="G132" s="1" t="s">
        <v>43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32" s="2">
        <f>Games[[#This Row],[DaysOff]]-Games[[#This Row],[OppDaysOff]]</f>
        <v>-5</v>
      </c>
      <c r="L132" s="2">
        <f>Games[[#This Row],[OppDaysOff]]-Games[[#This Row],[DaysOff]]</f>
        <v>5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1522.3357049632086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1526.5033568748734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0.33364597783682043</v>
      </c>
      <c r="R132" s="1">
        <v>87</v>
      </c>
      <c r="S132" s="1">
        <v>75</v>
      </c>
      <c r="T132" s="1">
        <v>0</v>
      </c>
      <c r="U132" s="1">
        <f>Games[[#This Row],[PointsFor]]-Games[[#This Row],[PointsAgainst]]</f>
        <v>12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0.45455076859347632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74.5</v>
      </c>
      <c r="Z132" s="4">
        <f>Games[[#This Row],[K]]*Games[[#This Row],[POMult]]</f>
        <v>74.5</v>
      </c>
      <c r="AA132" s="4">
        <f>(Games[[#This Row],[Keff]]*Games[[#This Row],[MOVMult]])*(Games[[#This Row],[Result]]-Games[[#This Row],[ExpectedWin%]])</f>
        <v>22.565434103257264</v>
      </c>
      <c r="AB132" s="4">
        <f>Games[[#This Row],[PreGmRate]]+Games[[#This Row],[RatingChange]]</f>
        <v>1544.9011390664659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37063</v>
      </c>
      <c r="B133" s="2">
        <v>2001</v>
      </c>
      <c r="C133" s="2">
        <f>COUNTIFS(Games[Team],Games[[#This Row],[Team]],Games[Season],Games[[#This Row],[Season]],Games[Date],"&lt;=" &amp; Games[[#This Row],[Date]])</f>
        <v>7</v>
      </c>
      <c r="D133" s="2" t="s">
        <v>23</v>
      </c>
      <c r="E133" s="2" t="s">
        <v>29</v>
      </c>
      <c r="F133" s="1" t="s">
        <v>43</v>
      </c>
      <c r="G133" s="1" t="s">
        <v>45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6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5</v>
      </c>
      <c r="L133" s="2">
        <f>Games[[#This Row],[OppDaysOff]]-Games[[#This Row],[DaysOff]]</f>
        <v>-5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1526.5033568748734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1522.3357049632086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0.66635402216317963</v>
      </c>
      <c r="R133" s="1">
        <v>75</v>
      </c>
      <c r="S133" s="1">
        <v>87</v>
      </c>
      <c r="T133" s="1">
        <v>0</v>
      </c>
      <c r="U133" s="1">
        <f>Games[[#This Row],[PointsFor]]-Games[[#This Row],[PointsAgainst]]</f>
        <v>-12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0.45455076859347632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74.95</v>
      </c>
      <c r="Z133" s="4">
        <f>Games[[#This Row],[K]]*Games[[#This Row],[POMult]]</f>
        <v>74.95</v>
      </c>
      <c r="AA133" s="4">
        <f>(Games[[#This Row],[Keff]]*Games[[#This Row],[MOVMult]])*(Games[[#This Row],[Result]]-Games[[#This Row],[ExpectedWin%]])</f>
        <v>-22.701735383075594</v>
      </c>
      <c r="AB133" s="4">
        <f>Games[[#This Row],[PreGmRate]]+Games[[#This Row],[RatingChange]]</f>
        <v>1503.8016214917977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37063</v>
      </c>
      <c r="B134" s="2">
        <v>2001</v>
      </c>
      <c r="C134" s="2">
        <f>COUNTIFS(Games[Team],Games[[#This Row],[Team]],Games[Season],Games[[#This Row],[Season]],Games[Date],"&lt;=" &amp; Games[[#This Row],[Date]])</f>
        <v>8</v>
      </c>
      <c r="D134" s="2" t="s">
        <v>23</v>
      </c>
      <c r="E134" s="2" t="s">
        <v>29</v>
      </c>
      <c r="F134" s="1" t="s">
        <v>83</v>
      </c>
      <c r="G134" s="1" t="s">
        <v>75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1478.2844176448532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1413.5432167801866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0.47231271188673318</v>
      </c>
      <c r="R134" s="1">
        <v>74</v>
      </c>
      <c r="S134" s="1">
        <v>63</v>
      </c>
      <c r="T134" s="1">
        <v>0</v>
      </c>
      <c r="U134" s="1">
        <f>Games[[#This Row],[PointsFor]]-Games[[#This Row],[PointsAgainst]]</f>
        <v>11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0.41732108035091614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74.8</v>
      </c>
      <c r="Z134" s="4">
        <f>Games[[#This Row],[K]]*Games[[#This Row],[POMult]]</f>
        <v>74.8</v>
      </c>
      <c r="AA134" s="4">
        <f>(Games[[#This Row],[Keff]]*Games[[#This Row],[MOVMult]])*(Games[[#This Row],[Result]]-Games[[#This Row],[ExpectedWin%]])</f>
        <v>16.47208418138295</v>
      </c>
      <c r="AB134" s="4">
        <f>Games[[#This Row],[PreGmRate]]+Games[[#This Row],[RatingChange]]</f>
        <v>1494.7565018262362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37063</v>
      </c>
      <c r="B135" s="2">
        <v>2001</v>
      </c>
      <c r="C135" s="2">
        <f>COUNTIFS(Games[Team],Games[[#This Row],[Team]],Games[Season],Games[[#This Row],[Season]],Games[Date],"&lt;=" &amp; Games[[#This Row],[Date]])</f>
        <v>8</v>
      </c>
      <c r="D135" s="2" t="s">
        <v>23</v>
      </c>
      <c r="E135" s="2" t="s">
        <v>29</v>
      </c>
      <c r="F135" s="1" t="s">
        <v>75</v>
      </c>
      <c r="G135" s="1" t="s">
        <v>83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1413.5432167801866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1478.2844176448532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0.52768728811326682</v>
      </c>
      <c r="R135" s="1">
        <v>63</v>
      </c>
      <c r="S135" s="1">
        <v>74</v>
      </c>
      <c r="T135" s="1">
        <v>0</v>
      </c>
      <c r="U135" s="1">
        <f>Games[[#This Row],[PointsFor]]-Games[[#This Row],[PointsAgainst]]</f>
        <v>-11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0.41732108035091614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74.8</v>
      </c>
      <c r="Z135" s="4">
        <f>Games[[#This Row],[K]]*Games[[#This Row],[POMult]]</f>
        <v>74.8</v>
      </c>
      <c r="AA135" s="4">
        <f>(Games[[#This Row],[Keff]]*Games[[#This Row],[MOVMult]])*(Games[[#This Row],[Result]]-Games[[#This Row],[ExpectedWin%]])</f>
        <v>-16.47208418138295</v>
      </c>
      <c r="AB135" s="4">
        <f>Games[[#This Row],[PreGmRate]]+Games[[#This Row],[RatingChange]]</f>
        <v>1397.0711325988036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37064</v>
      </c>
      <c r="B136" s="2">
        <v>2001</v>
      </c>
      <c r="C136" s="2">
        <f>COUNTIFS(Games[Team],Games[[#This Row],[Team]],Games[Season],Games[[#This Row],[Season]],Games[Date],"&lt;=" &amp; Games[[#This Row],[Date]])</f>
        <v>11</v>
      </c>
      <c r="D136" s="2" t="s">
        <v>23</v>
      </c>
      <c r="E136" s="2" t="s">
        <v>29</v>
      </c>
      <c r="F136" s="1" t="s">
        <v>71</v>
      </c>
      <c r="G136" s="1" t="s">
        <v>1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6" s="2">
        <f>Games[[#This Row],[DaysOff]]-Games[[#This Row],[OppDaysOff]]</f>
        <v>-4</v>
      </c>
      <c r="L136" s="2">
        <f>Games[[#This Row],[OppDaysOff]]-Games[[#This Row],[DaysOff]]</f>
        <v>4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1671.3321349830626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1565.9384469832353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0.48474102982961503</v>
      </c>
      <c r="R136" s="1">
        <v>70</v>
      </c>
      <c r="S136" s="1">
        <v>74</v>
      </c>
      <c r="T136" s="1">
        <v>0</v>
      </c>
      <c r="U136" s="1">
        <f>Games[[#This Row],[PointsFor]]-Games[[#This Row],[PointsAgainst]]</f>
        <v>-4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0.28628856207913933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74.349999999999994</v>
      </c>
      <c r="Z136" s="4">
        <f>Games[[#This Row],[K]]*Games[[#This Row],[POMult]]</f>
        <v>74.349999999999994</v>
      </c>
      <c r="AA136" s="4">
        <f>(Games[[#This Row],[Keff]]*Games[[#This Row],[MOVMult]])*(Games[[#This Row],[Result]]-Games[[#This Row],[ExpectedWin%]])</f>
        <v>-10.317981652734181</v>
      </c>
      <c r="AB136" s="4">
        <f>Games[[#This Row],[PreGmRate]]+Games[[#This Row],[RatingChange]]</f>
        <v>1661.0141533303283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37064</v>
      </c>
      <c r="B137" s="2">
        <v>2001</v>
      </c>
      <c r="C137" s="2">
        <f>COUNTIFS(Games[Team],Games[[#This Row],[Team]],Games[Season],Games[[#This Row],[Season]],Games[Date],"&lt;=" &amp; Games[[#This Row],[Date]])</f>
        <v>10</v>
      </c>
      <c r="D137" s="2" t="s">
        <v>23</v>
      </c>
      <c r="E137" s="2" t="s">
        <v>29</v>
      </c>
      <c r="F137" s="1" t="s">
        <v>1</v>
      </c>
      <c r="G137" s="1" t="s">
        <v>71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7" s="2">
        <f>Games[[#This Row],[DaysOff]]-Games[[#This Row],[OppDaysOff]]</f>
        <v>4</v>
      </c>
      <c r="L137" s="2">
        <f>Games[[#This Row],[OppDaysOff]]-Games[[#This Row],[DaysOff]]</f>
        <v>-4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1565.9384469832353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1671.3321349830626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0.51525897017038502</v>
      </c>
      <c r="R137" s="1">
        <v>74</v>
      </c>
      <c r="S137" s="1">
        <v>70</v>
      </c>
      <c r="T137" s="1">
        <v>0</v>
      </c>
      <c r="U137" s="1">
        <f>Games[[#This Row],[PointsFor]]-Games[[#This Row],[PointsAgainst]]</f>
        <v>4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0.28628856207913933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10.338798024595784</v>
      </c>
      <c r="AB137" s="4">
        <f>Games[[#This Row],[PreGmRate]]+Games[[#This Row],[RatingChange]]</f>
        <v>1576.277245007831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37064</v>
      </c>
      <c r="B138" s="2">
        <v>2001</v>
      </c>
      <c r="C138" s="2">
        <f>COUNTIFS(Games[Team],Games[[#This Row],[Team]],Games[Season],Games[[#This Row],[Season]],Games[Date],"&lt;=" &amp; Games[[#This Row],[Date]])</f>
        <v>8</v>
      </c>
      <c r="D138" s="2" t="s">
        <v>23</v>
      </c>
      <c r="E138" s="2" t="s">
        <v>29</v>
      </c>
      <c r="F138" s="1" t="s">
        <v>77</v>
      </c>
      <c r="G138" s="1" t="s">
        <v>85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8" s="2">
        <f>Games[[#This Row],[DaysOff]]-Games[[#This Row],[OppDaysOff]]</f>
        <v>1</v>
      </c>
      <c r="L138" s="2">
        <f>Games[[#This Row],[OppDaysOff]]-Games[[#This Row],[DaysOff]]</f>
        <v>-1</v>
      </c>
      <c r="M138" s="1">
        <f>MAX(-16, MIN(16, Games[[#This Row],[RestDiff]]*8))</f>
        <v>8</v>
      </c>
      <c r="N138" s="1">
        <f>MAX(-16, MIN(16, Games[[#This Row],[OppRestDiff]]*8))</f>
        <v>-8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1446.5424022887569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1410.6024372875663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0.45399241005811525</v>
      </c>
      <c r="R138" s="1">
        <v>56</v>
      </c>
      <c r="S138" s="1">
        <v>77</v>
      </c>
      <c r="T138" s="1">
        <v>0</v>
      </c>
      <c r="U138" s="1">
        <f>Games[[#This Row],[PointsFor]]-Games[[#This Row],[PointsAgainst]]</f>
        <v>-21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0.57146104772508444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74.8</v>
      </c>
      <c r="Z138" s="4">
        <f>Games[[#This Row],[K]]*Games[[#This Row],[POMult]]</f>
        <v>74.8</v>
      </c>
      <c r="AA138" s="4">
        <f>(Games[[#This Row],[Keff]]*Games[[#This Row],[MOVMult]])*(Games[[#This Row],[Result]]-Games[[#This Row],[ExpectedWin%]])</f>
        <v>-19.406035577666291</v>
      </c>
      <c r="AB138" s="4">
        <f>Games[[#This Row],[PreGmRate]]+Games[[#This Row],[RatingChange]]</f>
        <v>1427.1363667110907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37064</v>
      </c>
      <c r="B139" s="2">
        <v>2001</v>
      </c>
      <c r="C139" s="2">
        <f>COUNTIFS(Games[Team],Games[[#This Row],[Team]],Games[Season],Games[[#This Row],[Season]],Games[Date],"&lt;=" &amp; Games[[#This Row],[Date]])</f>
        <v>9</v>
      </c>
      <c r="D139" s="2" t="s">
        <v>23</v>
      </c>
      <c r="E139" s="2" t="s">
        <v>29</v>
      </c>
      <c r="F139" s="1" t="s">
        <v>85</v>
      </c>
      <c r="G139" s="1" t="s">
        <v>77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39" s="2">
        <f>Games[[#This Row],[DaysOff]]-Games[[#This Row],[OppDaysOff]]</f>
        <v>-1</v>
      </c>
      <c r="L139" s="2">
        <f>Games[[#This Row],[OppDaysOff]]-Games[[#This Row],[DaysOff]]</f>
        <v>1</v>
      </c>
      <c r="M139" s="1">
        <f>MAX(-16, MIN(16, Games[[#This Row],[RestDiff]]*8))</f>
        <v>-8</v>
      </c>
      <c r="N139" s="1">
        <f>MAX(-16, MIN(16, Games[[#This Row],[OppRestDiff]]*8))</f>
        <v>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1410.6024372875663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1446.5424022887569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0.5460075899418847</v>
      </c>
      <c r="R139" s="1">
        <v>77</v>
      </c>
      <c r="S139" s="1">
        <v>56</v>
      </c>
      <c r="T139" s="1">
        <v>0</v>
      </c>
      <c r="U139" s="1">
        <f>Games[[#This Row],[PointsFor]]-Games[[#This Row],[PointsAgainst]]</f>
        <v>21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0.57146104772508444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74.650000000000006</v>
      </c>
      <c r="Z139" s="4">
        <f>Games[[#This Row],[K]]*Games[[#This Row],[POMult]]</f>
        <v>74.650000000000006</v>
      </c>
      <c r="AA139" s="4">
        <f>(Games[[#This Row],[Keff]]*Games[[#This Row],[MOVMult]])*(Games[[#This Row],[Result]]-Games[[#This Row],[ExpectedWin%]])</f>
        <v>19.36711973091964</v>
      </c>
      <c r="AB139" s="4">
        <f>Games[[#This Row],[PreGmRate]]+Games[[#This Row],[RatingChange]]</f>
        <v>1429.9695570184861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37064</v>
      </c>
      <c r="B140" s="2">
        <v>2001</v>
      </c>
      <c r="C140" s="2">
        <f>COUNTIFS(Games[Team],Games[[#This Row],[Team]],Games[Season],Games[[#This Row],[Season]],Games[Date],"&lt;=" &amp; Games[[#This Row],[Date]])</f>
        <v>9</v>
      </c>
      <c r="D140" s="2" t="s">
        <v>23</v>
      </c>
      <c r="E140" s="2" t="s">
        <v>29</v>
      </c>
      <c r="F140" s="1" t="s">
        <v>83</v>
      </c>
      <c r="G140" s="1" t="s">
        <v>80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40" s="2">
        <f>Games[[#This Row],[DaysOff]]-Games[[#This Row],[OppDaysOff]]</f>
        <v>-4</v>
      </c>
      <c r="L140" s="2">
        <f>Games[[#This Row],[OppDaysOff]]-Games[[#This Row],[DaysOff]]</f>
        <v>4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1494.7565018262362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1476.4407495543944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0.36301181360726148</v>
      </c>
      <c r="R140" s="1">
        <v>57</v>
      </c>
      <c r="S140" s="1">
        <v>63</v>
      </c>
      <c r="T140" s="1">
        <v>0</v>
      </c>
      <c r="U140" s="1">
        <f>Games[[#This Row],[PointsFor]]-Games[[#This Row],[PointsAgainst]]</f>
        <v>-6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0.34599972340760876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74.650000000000006</v>
      </c>
      <c r="Z140" s="4">
        <f>Games[[#This Row],[K]]*Games[[#This Row],[POMult]]</f>
        <v>74.650000000000006</v>
      </c>
      <c r="AA140" s="4">
        <f>(Games[[#This Row],[Keff]]*Games[[#This Row],[MOVMult]])*(Games[[#This Row],[Result]]-Games[[#This Row],[ExpectedWin%]])</f>
        <v>-9.3761883371498858</v>
      </c>
      <c r="AB140" s="4">
        <f>Games[[#This Row],[PreGmRate]]+Games[[#This Row],[RatingChange]]</f>
        <v>1485.3803134890863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37064</v>
      </c>
      <c r="B141" s="2">
        <v>2001</v>
      </c>
      <c r="C141" s="2">
        <f>COUNTIFS(Games[Team],Games[[#This Row],[Team]],Games[Season],Games[[#This Row],[Season]],Games[Date],"&lt;=" &amp; Games[[#This Row],[Date]])</f>
        <v>7</v>
      </c>
      <c r="D141" s="2" t="s">
        <v>23</v>
      </c>
      <c r="E141" s="2" t="s">
        <v>29</v>
      </c>
      <c r="F141" s="1" t="s">
        <v>80</v>
      </c>
      <c r="G141" s="1" t="s">
        <v>83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1" s="2">
        <f>Games[[#This Row],[DaysOff]]-Games[[#This Row],[OppDaysOff]]</f>
        <v>4</v>
      </c>
      <c r="L141" s="2">
        <f>Games[[#This Row],[OppDaysOff]]-Games[[#This Row],[DaysOff]]</f>
        <v>-4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1476.4407495543944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1494.7565018262362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0.63698818639273858</v>
      </c>
      <c r="R141" s="1">
        <v>63</v>
      </c>
      <c r="S141" s="1">
        <v>57</v>
      </c>
      <c r="T141" s="1">
        <v>0</v>
      </c>
      <c r="U141" s="1">
        <f>Games[[#This Row],[PointsFor]]-Games[[#This Row],[PointsAgainst]]</f>
        <v>6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0.34599972340760876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74.95</v>
      </c>
      <c r="Z141" s="4">
        <f>Games[[#This Row],[K]]*Games[[#This Row],[POMult]]</f>
        <v>74.95</v>
      </c>
      <c r="AA141" s="4">
        <f>(Games[[#This Row],[Keff]]*Games[[#This Row],[MOVMult]])*(Games[[#This Row],[Result]]-Games[[#This Row],[ExpectedWin%]])</f>
        <v>9.4138689332804262</v>
      </c>
      <c r="AB141" s="4">
        <f>Games[[#This Row],[PreGmRate]]+Games[[#This Row],[RatingChange]]</f>
        <v>1485.8546184876748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37064</v>
      </c>
      <c r="B142" s="2">
        <v>2001</v>
      </c>
      <c r="C142" s="2">
        <f>COUNTIFS(Games[Team],Games[[#This Row],[Team]],Games[Season],Games[[#This Row],[Season]],Games[Date],"&lt;=" &amp; Games[[#This Row],[Date]])</f>
        <v>11</v>
      </c>
      <c r="D142" s="2" t="s">
        <v>23</v>
      </c>
      <c r="E142" s="2" t="s">
        <v>29</v>
      </c>
      <c r="F142" s="1" t="s">
        <v>87</v>
      </c>
      <c r="G142" s="1" t="s">
        <v>44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2" s="2">
        <f>Games[[#This Row],[DaysOff]]-Games[[#This Row],[OppDaysOff]]</f>
        <v>2</v>
      </c>
      <c r="L142" s="2">
        <f>Games[[#This Row],[OppDaysOff]]-Games[[#This Row],[DaysOff]]</f>
        <v>-2</v>
      </c>
      <c r="M142" s="1">
        <f>MAX(-16, MIN(16, Games[[#This Row],[RestDiff]]*8))</f>
        <v>16</v>
      </c>
      <c r="N142" s="1">
        <f>MAX(-16, MIN(16, Games[[#This Row],[OppRestDiff]]*8))</f>
        <v>-16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1413.5903206626942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1481.9491892644444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0.33340130100397414</v>
      </c>
      <c r="R142" s="1">
        <v>58</v>
      </c>
      <c r="S142" s="1">
        <v>55</v>
      </c>
      <c r="T142" s="1">
        <v>0</v>
      </c>
      <c r="U142" s="1">
        <f>Games[[#This Row],[PointsFor]]-Games[[#This Row],[PointsAgainst]]</f>
        <v>3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0.27454392754184048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74.349999999999994</v>
      </c>
      <c r="Z142" s="4">
        <f>Games[[#This Row],[K]]*Games[[#This Row],[POMult]]</f>
        <v>74.349999999999994</v>
      </c>
      <c r="AA142" s="4">
        <f>(Games[[#This Row],[Keff]]*Games[[#This Row],[MOVMult]])*(Games[[#This Row],[Result]]-Games[[#This Row],[ExpectedWin%]])</f>
        <v>13.606839962552931</v>
      </c>
      <c r="AB142" s="4">
        <f>Games[[#This Row],[PreGmRate]]+Games[[#This Row],[RatingChange]]</f>
        <v>1427.1971606252471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37064</v>
      </c>
      <c r="B143" s="2">
        <v>2001</v>
      </c>
      <c r="C143" s="2">
        <f>COUNTIFS(Games[Team],Games[[#This Row],[Team]],Games[Season],Games[[#This Row],[Season]],Games[Date],"&lt;=" &amp; Games[[#This Row],[Date]])</f>
        <v>11</v>
      </c>
      <c r="D143" s="2" t="s">
        <v>23</v>
      </c>
      <c r="E143" s="2" t="s">
        <v>29</v>
      </c>
      <c r="F143" s="1" t="s">
        <v>44</v>
      </c>
      <c r="G143" s="1" t="s">
        <v>87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3" s="2">
        <f>Games[[#This Row],[DaysOff]]-Games[[#This Row],[OppDaysOff]]</f>
        <v>-2</v>
      </c>
      <c r="L143" s="2">
        <f>Games[[#This Row],[OppDaysOff]]-Games[[#This Row],[DaysOff]]</f>
        <v>2</v>
      </c>
      <c r="M143" s="1">
        <f>MAX(-16, MIN(16, Games[[#This Row],[RestDiff]]*8))</f>
        <v>-16</v>
      </c>
      <c r="N143" s="1">
        <f>MAX(-16, MIN(16, Games[[#This Row],[OppRestDiff]]*8))</f>
        <v>16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1481.9491892644444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1413.5903206626942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0.66659869899602586</v>
      </c>
      <c r="R143" s="1">
        <v>55</v>
      </c>
      <c r="S143" s="1">
        <v>58</v>
      </c>
      <c r="T143" s="1">
        <v>0</v>
      </c>
      <c r="U143" s="1">
        <f>Games[[#This Row],[PointsFor]]-Games[[#This Row],[PointsAgainst]]</f>
        <v>-3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0.27454392754184048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74.349999999999994</v>
      </c>
      <c r="Z143" s="4">
        <f>Games[[#This Row],[K]]*Games[[#This Row],[POMult]]</f>
        <v>74.349999999999994</v>
      </c>
      <c r="AA143" s="4">
        <f>(Games[[#This Row],[Keff]]*Games[[#This Row],[MOVMult]])*(Games[[#This Row],[Result]]-Games[[#This Row],[ExpectedWin%]])</f>
        <v>-13.606839962552931</v>
      </c>
      <c r="AB143" s="4">
        <f>Games[[#This Row],[PreGmRate]]+Games[[#This Row],[RatingChange]]</f>
        <v>1468.3423493018915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37064</v>
      </c>
      <c r="B144" s="2">
        <v>2001</v>
      </c>
      <c r="C144" s="2">
        <f>COUNTIFS(Games[Team],Games[[#This Row],[Team]],Games[Season],Games[[#This Row],[Season]],Games[Date],"&lt;=" &amp; Games[[#This Row],[Date]])</f>
        <v>10</v>
      </c>
      <c r="D144" s="2" t="s">
        <v>23</v>
      </c>
      <c r="E144" s="2" t="s">
        <v>29</v>
      </c>
      <c r="F144" s="1" t="s">
        <v>64</v>
      </c>
      <c r="G144" s="1" t="s">
        <v>89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1370.0507340729214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1486.762681106595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0.23950580152420459</v>
      </c>
      <c r="R144" s="1">
        <v>62</v>
      </c>
      <c r="S144" s="1">
        <v>66</v>
      </c>
      <c r="T144" s="1">
        <v>1</v>
      </c>
      <c r="U144" s="1">
        <f>Games[[#This Row],[PointsFor]]-Games[[#This Row],[PointsAgainst]]</f>
        <v>-4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0.25544490156250399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74.5</v>
      </c>
      <c r="Z144" s="4">
        <f>Games[[#This Row],[K]]*Games[[#This Row],[POMult]]</f>
        <v>74.5</v>
      </c>
      <c r="AA144" s="4">
        <f>(Games[[#This Row],[Keff]]*Games[[#This Row],[MOVMult]])*(Games[[#This Row],[Result]]-Games[[#This Row],[ExpectedWin%]])</f>
        <v>-4.55794992410293</v>
      </c>
      <c r="AB144" s="4">
        <f>Games[[#This Row],[PreGmRate]]+Games[[#This Row],[RatingChange]]</f>
        <v>1365.4927841488184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37064</v>
      </c>
      <c r="B145" s="2">
        <v>2001</v>
      </c>
      <c r="C145" s="2">
        <f>COUNTIFS(Games[Team],Games[[#This Row],[Team]],Games[Season],Games[[#This Row],[Season]],Games[Date],"&lt;=" &amp; Games[[#This Row],[Date]])</f>
        <v>8</v>
      </c>
      <c r="D145" s="2" t="s">
        <v>23</v>
      </c>
      <c r="E145" s="2" t="s">
        <v>29</v>
      </c>
      <c r="F145" s="1" t="s">
        <v>89</v>
      </c>
      <c r="G145" s="1" t="s">
        <v>64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1486.762681106595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1370.0507340729214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0.76049419847579547</v>
      </c>
      <c r="R145" s="1">
        <v>66</v>
      </c>
      <c r="S145" s="1">
        <v>62</v>
      </c>
      <c r="T145" s="1">
        <v>1</v>
      </c>
      <c r="U145" s="1">
        <f>Games[[#This Row],[PointsFor]]-Games[[#This Row],[PointsAgainst]]</f>
        <v>4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0.25544490156250399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74.8</v>
      </c>
      <c r="Z145" s="4">
        <f>Games[[#This Row],[K]]*Games[[#This Row],[POMult]]</f>
        <v>74.8</v>
      </c>
      <c r="AA145" s="4">
        <f>(Games[[#This Row],[Keff]]*Games[[#This Row],[MOVMult]])*(Games[[#This Row],[Result]]-Games[[#This Row],[ExpectedWin%]])</f>
        <v>4.5763040848711283</v>
      </c>
      <c r="AB145" s="4">
        <f>Games[[#This Row],[PreGmRate]]+Games[[#This Row],[RatingChange]]</f>
        <v>1491.338985191466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37065</v>
      </c>
      <c r="B146" s="2">
        <v>2001</v>
      </c>
      <c r="C146" s="2">
        <f>COUNTIFS(Games[Team],Games[[#This Row],[Team]],Games[Season],Games[[#This Row],[Season]],Games[Date],"&lt;=" &amp; Games[[#This Row],[Date]])</f>
        <v>10</v>
      </c>
      <c r="D146" s="2" t="s">
        <v>23</v>
      </c>
      <c r="E146" s="2" t="s">
        <v>29</v>
      </c>
      <c r="F146" s="1" t="s">
        <v>85</v>
      </c>
      <c r="G146" s="1" t="s">
        <v>77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1429.9695570184861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1427.1363667110907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0.38527119477542671</v>
      </c>
      <c r="R146" s="1">
        <v>74</v>
      </c>
      <c r="S146" s="1">
        <v>70</v>
      </c>
      <c r="T146" s="1">
        <v>0</v>
      </c>
      <c r="U146" s="1">
        <f>Games[[#This Row],[PointsFor]]-Games[[#This Row],[PointsAgainst]]</f>
        <v>4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0.31069917665736152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74.5</v>
      </c>
      <c r="Z146" s="4">
        <f>Games[[#This Row],[K]]*Games[[#This Row],[POMult]]</f>
        <v>74.5</v>
      </c>
      <c r="AA146" s="4">
        <f>(Games[[#This Row],[Keff]]*Games[[#This Row],[MOVMult]])*(Games[[#This Row],[Result]]-Games[[#This Row],[ExpectedWin%]])</f>
        <v>14.229182156987468</v>
      </c>
      <c r="AB146" s="4">
        <f>Games[[#This Row],[PreGmRate]]+Games[[#This Row],[RatingChange]]</f>
        <v>1444.1987391754735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37065</v>
      </c>
      <c r="B147" s="2">
        <v>2001</v>
      </c>
      <c r="C147" s="2">
        <f>COUNTIFS(Games[Team],Games[[#This Row],[Team]],Games[Season],Games[[#This Row],[Season]],Games[Date],"&lt;=" &amp; Games[[#This Row],[Date]])</f>
        <v>9</v>
      </c>
      <c r="D147" s="2" t="s">
        <v>23</v>
      </c>
      <c r="E147" s="2" t="s">
        <v>29</v>
      </c>
      <c r="F147" s="1" t="s">
        <v>77</v>
      </c>
      <c r="G147" s="1" t="s">
        <v>85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1427.1363667110907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1429.9695570184861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0.6147288052245734</v>
      </c>
      <c r="R147" s="1">
        <v>70</v>
      </c>
      <c r="S147" s="1">
        <v>74</v>
      </c>
      <c r="T147" s="1">
        <v>0</v>
      </c>
      <c r="U147" s="1">
        <f>Games[[#This Row],[PointsFor]]-Games[[#This Row],[PointsAgainst]]</f>
        <v>-4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0.31069917665736152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74.650000000000006</v>
      </c>
      <c r="Z147" s="4">
        <f>Games[[#This Row],[K]]*Games[[#This Row],[POMult]]</f>
        <v>74.650000000000006</v>
      </c>
      <c r="AA147" s="4">
        <f>(Games[[#This Row],[Keff]]*Games[[#This Row],[MOVMult]])*(Games[[#This Row],[Result]]-Games[[#This Row],[ExpectedWin%]])</f>
        <v>-14.257831517035097</v>
      </c>
      <c r="AB147" s="4">
        <f>Games[[#This Row],[PreGmRate]]+Games[[#This Row],[RatingChange]]</f>
        <v>1412.8785351940555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37065</v>
      </c>
      <c r="B148" s="2">
        <v>2001</v>
      </c>
      <c r="C148" s="2">
        <f>COUNTIFS(Games[Team],Games[[#This Row],[Team]],Games[Season],Games[[#This Row],[Season]],Games[Date],"&lt;=" &amp; Games[[#This Row],[Date]])</f>
        <v>11</v>
      </c>
      <c r="D148" s="2" t="s">
        <v>23</v>
      </c>
      <c r="E148" s="2" t="s">
        <v>29</v>
      </c>
      <c r="F148" s="1" t="s">
        <v>45</v>
      </c>
      <c r="G148" s="1" t="s">
        <v>2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1544.9011390664659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1686.4920079316198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0.2143998144601218</v>
      </c>
      <c r="R148" s="1">
        <v>56</v>
      </c>
      <c r="S148" s="1">
        <v>70</v>
      </c>
      <c r="T148" s="1">
        <v>0</v>
      </c>
      <c r="U148" s="1">
        <f>Games[[#This Row],[PointsFor]]-Games[[#This Row],[PointsAgainst]]</f>
        <v>-14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0.43614617378536596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74.349999999999994</v>
      </c>
      <c r="Z148" s="4">
        <f>Games[[#This Row],[K]]*Games[[#This Row],[POMult]]</f>
        <v>74.349999999999994</v>
      </c>
      <c r="AA148" s="4">
        <f>(Games[[#This Row],[Keff]]*Games[[#This Row],[MOVMult]])*(Games[[#This Row],[Result]]-Games[[#This Row],[ExpectedWin%]])</f>
        <v>-6.952443127101489</v>
      </c>
      <c r="AB148" s="4">
        <f>Games[[#This Row],[PreGmRate]]+Games[[#This Row],[RatingChange]]</f>
        <v>1537.9486959393644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37065</v>
      </c>
      <c r="B149" s="2">
        <v>2001</v>
      </c>
      <c r="C149" s="2">
        <f>COUNTIFS(Games[Team],Games[[#This Row],[Team]],Games[Season],Games[[#This Row],[Season]],Games[Date],"&lt;=" &amp; Games[[#This Row],[Date]])</f>
        <v>8</v>
      </c>
      <c r="D149" s="2" t="s">
        <v>23</v>
      </c>
      <c r="E149" s="2" t="s">
        <v>29</v>
      </c>
      <c r="F149" s="1" t="s">
        <v>2</v>
      </c>
      <c r="G149" s="1" t="s">
        <v>45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1686.4920079316198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1544.9011390664659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0.7856001855398782</v>
      </c>
      <c r="R149" s="1">
        <v>70</v>
      </c>
      <c r="S149" s="1">
        <v>56</v>
      </c>
      <c r="T149" s="1">
        <v>0</v>
      </c>
      <c r="U149" s="1">
        <f>Games[[#This Row],[PointsFor]]-Games[[#This Row],[PointsAgainst]]</f>
        <v>14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0.43614617378536596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74.8</v>
      </c>
      <c r="Z149" s="4">
        <f>Games[[#This Row],[K]]*Games[[#This Row],[POMult]]</f>
        <v>74.8</v>
      </c>
      <c r="AA149" s="4">
        <f>(Games[[#This Row],[Keff]]*Games[[#This Row],[MOVMult]])*(Games[[#This Row],[Result]]-Games[[#This Row],[ExpectedWin%]])</f>
        <v>6.9945224735331717</v>
      </c>
      <c r="AB149" s="4">
        <f>Games[[#This Row],[PreGmRate]]+Games[[#This Row],[RatingChange]]</f>
        <v>1693.486530405153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37065</v>
      </c>
      <c r="B150" s="2">
        <v>2001</v>
      </c>
      <c r="C150" s="2">
        <f>COUNTIFS(Games[Team],Games[[#This Row],[Team]],Games[Season],Games[[#This Row],[Season]],Games[Date],"&lt;=" &amp; Games[[#This Row],[Date]])</f>
        <v>9</v>
      </c>
      <c r="D150" s="2" t="s">
        <v>23</v>
      </c>
      <c r="E150" s="2" t="s">
        <v>29</v>
      </c>
      <c r="F150" s="1" t="s">
        <v>75</v>
      </c>
      <c r="G150" s="1" t="s">
        <v>79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50" s="2">
        <f>Games[[#This Row],[DaysOff]]-Games[[#This Row],[OppDaysOff]]</f>
        <v>-3</v>
      </c>
      <c r="L150" s="2">
        <f>Games[[#This Row],[OppDaysOff]]-Games[[#This Row],[DaysOff]]</f>
        <v>3</v>
      </c>
      <c r="M150" s="1">
        <f>MAX(-16, MIN(16, Games[[#This Row],[RestDiff]]*8))</f>
        <v>-16</v>
      </c>
      <c r="N150" s="1">
        <f>MAX(-16, MIN(16, Games[[#This Row],[OppRestDiff]]*8))</f>
        <v>16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1397.0711325988036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1458.9541867812231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0.26425341993912843</v>
      </c>
      <c r="R150" s="1">
        <v>59</v>
      </c>
      <c r="S150" s="1">
        <v>67</v>
      </c>
      <c r="T150" s="1">
        <v>0</v>
      </c>
      <c r="U150" s="1">
        <f>Games[[#This Row],[PointsFor]]-Games[[#This Row],[PointsAgainst]]</f>
        <v>-8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0.3692724460156227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74.650000000000006</v>
      </c>
      <c r="Z150" s="4">
        <f>Games[[#This Row],[K]]*Games[[#This Row],[POMult]]</f>
        <v>74.650000000000006</v>
      </c>
      <c r="AA150" s="4">
        <f>(Games[[#This Row],[Keff]]*Games[[#This Row],[MOVMult]])*(Games[[#This Row],[Result]]-Games[[#This Row],[ExpectedWin%]])</f>
        <v>-7.2844594788065411</v>
      </c>
      <c r="AB150" s="4">
        <f>Games[[#This Row],[PreGmRate]]+Games[[#This Row],[RatingChange]]</f>
        <v>1389.786673119997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37065</v>
      </c>
      <c r="B151" s="2">
        <v>2001</v>
      </c>
      <c r="C151" s="2">
        <f>COUNTIFS(Games[Team],Games[[#This Row],[Team]],Games[Season],Games[[#This Row],[Season]],Games[Date],"&lt;=" &amp; Games[[#This Row],[Date]])</f>
        <v>9</v>
      </c>
      <c r="D151" s="2" t="s">
        <v>23</v>
      </c>
      <c r="E151" s="2" t="s">
        <v>29</v>
      </c>
      <c r="F151" s="1" t="s">
        <v>79</v>
      </c>
      <c r="G151" s="1" t="s">
        <v>75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3</v>
      </c>
      <c r="L151" s="2">
        <f>Games[[#This Row],[OppDaysOff]]-Games[[#This Row],[DaysOff]]</f>
        <v>-3</v>
      </c>
      <c r="M151" s="1">
        <f>MAX(-16, MIN(16, Games[[#This Row],[RestDiff]]*8))</f>
        <v>16</v>
      </c>
      <c r="N151" s="1">
        <f>MAX(-16, MIN(16, Games[[#This Row],[OppRestDiff]]*8))</f>
        <v>-16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1458.9541867812231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1397.0711325988036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0.73574658006087157</v>
      </c>
      <c r="R151" s="1">
        <v>67</v>
      </c>
      <c r="S151" s="1">
        <v>59</v>
      </c>
      <c r="T151" s="1">
        <v>0</v>
      </c>
      <c r="U151" s="1">
        <f>Games[[#This Row],[PointsFor]]-Games[[#This Row],[PointsAgainst]]</f>
        <v>8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0.3692724460156227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74.650000000000006</v>
      </c>
      <c r="Z151" s="4">
        <f>Games[[#This Row],[K]]*Games[[#This Row],[POMult]]</f>
        <v>74.650000000000006</v>
      </c>
      <c r="AA151" s="4">
        <f>(Games[[#This Row],[Keff]]*Games[[#This Row],[MOVMult]])*(Games[[#This Row],[Result]]-Games[[#This Row],[ExpectedWin%]])</f>
        <v>7.2844594788065411</v>
      </c>
      <c r="AB151" s="4">
        <f>Games[[#This Row],[PreGmRate]]+Games[[#This Row],[RatingChange]]</f>
        <v>1466.2386462600298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37065</v>
      </c>
      <c r="B152" s="2">
        <v>2001</v>
      </c>
      <c r="C152" s="2">
        <f>COUNTIFS(Games[Team],Games[[#This Row],[Team]],Games[Season],Games[[#This Row],[Season]],Games[Date],"&lt;=" &amp; Games[[#This Row],[Date]])</f>
        <v>8</v>
      </c>
      <c r="D152" s="2" t="s">
        <v>23</v>
      </c>
      <c r="E152" s="2" t="s">
        <v>29</v>
      </c>
      <c r="F152" s="1" t="s">
        <v>80</v>
      </c>
      <c r="G152" s="1" t="s">
        <v>43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-1</v>
      </c>
      <c r="L152" s="2">
        <f>Games[[#This Row],[OppDaysOff]]-Games[[#This Row],[DaysOff]]</f>
        <v>1</v>
      </c>
      <c r="M152" s="1">
        <f>MAX(-16, MIN(16, Games[[#This Row],[RestDiff]]*8))</f>
        <v>-8</v>
      </c>
      <c r="N152" s="1">
        <f>MAX(-16, MIN(16, Games[[#This Row],[OppRestDiff]]*8))</f>
        <v>8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1485.8546184876748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1503.8016214917977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0.33649401142389873</v>
      </c>
      <c r="R152" s="1">
        <v>80</v>
      </c>
      <c r="S152" s="1">
        <v>87</v>
      </c>
      <c r="T152" s="1">
        <v>0</v>
      </c>
      <c r="U152" s="1">
        <f>Games[[#This Row],[PointsFor]]-Games[[#This Row],[PointsAgainst]]</f>
        <v>-7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0.36465347497807382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74.8</v>
      </c>
      <c r="Z152" s="4">
        <f>Games[[#This Row],[K]]*Games[[#This Row],[POMult]]</f>
        <v>74.8</v>
      </c>
      <c r="AA152" s="4">
        <f>(Games[[#This Row],[Keff]]*Games[[#This Row],[MOVMult]])*(Games[[#This Row],[Result]]-Games[[#This Row],[ExpectedWin%]])</f>
        <v>-9.1782375510127174</v>
      </c>
      <c r="AB152" s="4">
        <f>Games[[#This Row],[PreGmRate]]+Games[[#This Row],[RatingChange]]</f>
        <v>1476.6763809366621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37065</v>
      </c>
      <c r="B153" s="2">
        <v>2001</v>
      </c>
      <c r="C153" s="2">
        <f>COUNTIFS(Games[Team],Games[[#This Row],[Team]],Games[Season],Games[[#This Row],[Season]],Games[Date],"&lt;=" &amp; Games[[#This Row],[Date]])</f>
        <v>8</v>
      </c>
      <c r="D153" s="2" t="s">
        <v>23</v>
      </c>
      <c r="E153" s="2" t="s">
        <v>29</v>
      </c>
      <c r="F153" s="1" t="s">
        <v>43</v>
      </c>
      <c r="G153" s="1" t="s">
        <v>80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3" s="2">
        <f>Games[[#This Row],[DaysOff]]-Games[[#This Row],[OppDaysOff]]</f>
        <v>1</v>
      </c>
      <c r="L153" s="2">
        <f>Games[[#This Row],[OppDaysOff]]-Games[[#This Row],[DaysOff]]</f>
        <v>-1</v>
      </c>
      <c r="M153" s="1">
        <f>MAX(-16, MIN(16, Games[[#This Row],[RestDiff]]*8))</f>
        <v>8</v>
      </c>
      <c r="N153" s="1">
        <f>MAX(-16, MIN(16, Games[[#This Row],[OppRestDiff]]*8))</f>
        <v>-8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1503.8016214917977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1485.8546184876748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0.66350598857610132</v>
      </c>
      <c r="R153" s="1">
        <v>87</v>
      </c>
      <c r="S153" s="1">
        <v>80</v>
      </c>
      <c r="T153" s="1">
        <v>0</v>
      </c>
      <c r="U153" s="1">
        <f>Games[[#This Row],[PointsFor]]-Games[[#This Row],[PointsAgainst]]</f>
        <v>7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0.36465347497807382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74.8</v>
      </c>
      <c r="Z153" s="4">
        <f>Games[[#This Row],[K]]*Games[[#This Row],[POMult]]</f>
        <v>74.8</v>
      </c>
      <c r="AA153" s="4">
        <f>(Games[[#This Row],[Keff]]*Games[[#This Row],[MOVMult]])*(Games[[#This Row],[Result]]-Games[[#This Row],[ExpectedWin%]])</f>
        <v>9.1782375510127157</v>
      </c>
      <c r="AB153" s="4">
        <f>Games[[#This Row],[PreGmRate]]+Games[[#This Row],[RatingChange]]</f>
        <v>1512.9798590428104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37066</v>
      </c>
      <c r="B154" s="2">
        <v>2001</v>
      </c>
      <c r="C154" s="2">
        <f>COUNTIFS(Games[Team],Games[[#This Row],[Team]],Games[Season],Games[[#This Row],[Season]],Games[Date],"&lt;=" &amp; Games[[#This Row],[Date]])</f>
        <v>12</v>
      </c>
      <c r="D154" s="2" t="s">
        <v>23</v>
      </c>
      <c r="E154" s="2" t="s">
        <v>29</v>
      </c>
      <c r="F154" s="1" t="s">
        <v>45</v>
      </c>
      <c r="G154" s="1" t="s">
        <v>64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-1</v>
      </c>
      <c r="L154" s="2">
        <f>Games[[#This Row],[OppDaysOff]]-Games[[#This Row],[DaysOff]]</f>
        <v>1</v>
      </c>
      <c r="M154" s="1">
        <f>MAX(-16, MIN(16, Games[[#This Row],[RestDiff]]*8))</f>
        <v>-8</v>
      </c>
      <c r="N154" s="1">
        <f>MAX(-16, MIN(16, Games[[#This Row],[OppRestDiff]]*8))</f>
        <v>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1537.9486959393644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1365.4927841488184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0.60278664473015431</v>
      </c>
      <c r="R154" s="1">
        <v>85</v>
      </c>
      <c r="S154" s="1">
        <v>82</v>
      </c>
      <c r="T154" s="1">
        <v>1</v>
      </c>
      <c r="U154" s="1">
        <f>Games[[#This Row],[PointsFor]]-Games[[#This Row],[PointsAgainst]]</f>
        <v>3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0.22834846649298646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74.2</v>
      </c>
      <c r="Z154" s="4">
        <f>Games[[#This Row],[K]]*Games[[#This Row],[POMult]]</f>
        <v>74.2</v>
      </c>
      <c r="AA154" s="4">
        <f>(Games[[#This Row],[Keff]]*Games[[#This Row],[MOVMult]])*(Games[[#This Row],[Result]]-Games[[#This Row],[ExpectedWin%]])</f>
        <v>6.730167092543109</v>
      </c>
      <c r="AB154" s="4">
        <f>Games[[#This Row],[PreGmRate]]+Games[[#This Row],[RatingChange]]</f>
        <v>1544.6788630319074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37066</v>
      </c>
      <c r="B155" s="2">
        <v>2001</v>
      </c>
      <c r="C155" s="2">
        <f>COUNTIFS(Games[Team],Games[[#This Row],[Team]],Games[Season],Games[[#This Row],[Season]],Games[Date],"&lt;=" &amp; Games[[#This Row],[Date]])</f>
        <v>11</v>
      </c>
      <c r="D155" s="2" t="s">
        <v>23</v>
      </c>
      <c r="E155" s="2" t="s">
        <v>29</v>
      </c>
      <c r="F155" s="1" t="s">
        <v>64</v>
      </c>
      <c r="G155" s="1" t="s">
        <v>45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5" s="2">
        <f>Games[[#This Row],[DaysOff]]-Games[[#This Row],[OppDaysOff]]</f>
        <v>1</v>
      </c>
      <c r="L155" s="2">
        <f>Games[[#This Row],[OppDaysOff]]-Games[[#This Row],[DaysOff]]</f>
        <v>-1</v>
      </c>
      <c r="M155" s="1">
        <f>MAX(-16, MIN(16, Games[[#This Row],[RestDiff]]*8))</f>
        <v>8</v>
      </c>
      <c r="N155" s="1">
        <f>MAX(-16, MIN(16, Games[[#This Row],[OppRestDiff]]*8))</f>
        <v>-8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1365.4927841488184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1537.9486959393644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0.39721335526984564</v>
      </c>
      <c r="R155" s="1">
        <v>82</v>
      </c>
      <c r="S155" s="1">
        <v>85</v>
      </c>
      <c r="T155" s="1">
        <v>1</v>
      </c>
      <c r="U155" s="1">
        <f>Games[[#This Row],[PointsFor]]-Games[[#This Row],[PointsAgainst]]</f>
        <v>-3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0.22834846649298646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74.349999999999994</v>
      </c>
      <c r="Z155" s="4">
        <f>Games[[#This Row],[K]]*Games[[#This Row],[POMult]]</f>
        <v>74.349999999999994</v>
      </c>
      <c r="AA155" s="4">
        <f>(Games[[#This Row],[Keff]]*Games[[#This Row],[MOVMult]])*(Games[[#This Row],[Result]]-Games[[#This Row],[ExpectedWin%]])</f>
        <v>-6.7437725516250682</v>
      </c>
      <c r="AB155" s="4">
        <f>Games[[#This Row],[PreGmRate]]+Games[[#This Row],[RatingChange]]</f>
        <v>1358.7490115971932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37066</v>
      </c>
      <c r="B156" s="2">
        <v>2001</v>
      </c>
      <c r="C156" s="2">
        <f>COUNTIFS(Games[Team],Games[[#This Row],[Team]],Games[Season],Games[[#This Row],[Season]],Games[Date],"&lt;=" &amp; Games[[#This Row],[Date]])</f>
        <v>9</v>
      </c>
      <c r="D156" s="2" t="s">
        <v>23</v>
      </c>
      <c r="E156" s="2" t="s">
        <v>29</v>
      </c>
      <c r="F156" s="1" t="s">
        <v>89</v>
      </c>
      <c r="G156" s="1" t="s">
        <v>2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6" s="2">
        <f>Games[[#This Row],[DaysOff]]-Games[[#This Row],[OppDaysOff]]</f>
        <v>1</v>
      </c>
      <c r="L156" s="2">
        <f>Games[[#This Row],[OppDaysOff]]-Games[[#This Row],[DaysOff]]</f>
        <v>-1</v>
      </c>
      <c r="M156" s="1">
        <f>MAX(-16, MIN(16, Games[[#This Row],[RestDiff]]*8))</f>
        <v>8</v>
      </c>
      <c r="N156" s="1">
        <f>MAX(-16, MIN(16, Games[[#This Row],[OppRestDiff]]*8))</f>
        <v>-8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1491.338985191466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1693.486530405153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0.1743517138270107</v>
      </c>
      <c r="R156" s="1">
        <v>57</v>
      </c>
      <c r="S156" s="1">
        <v>67</v>
      </c>
      <c r="T156" s="1">
        <v>0</v>
      </c>
      <c r="U156" s="1">
        <f>Games[[#This Row],[PointsFor]]-Games[[#This Row],[PointsAgainst]]</f>
        <v>-10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0.36212711061114394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74.650000000000006</v>
      </c>
      <c r="Z156" s="4">
        <f>Games[[#This Row],[K]]*Games[[#This Row],[POMult]]</f>
        <v>74.650000000000006</v>
      </c>
      <c r="AA156" s="4">
        <f>(Games[[#This Row],[Keff]]*Games[[#This Row],[MOVMult]])*(Games[[#This Row],[Result]]-Games[[#This Row],[ExpectedWin%]])</f>
        <v>-4.7132130580453353</v>
      </c>
      <c r="AB156" s="4">
        <f>Games[[#This Row],[PreGmRate]]+Games[[#This Row],[RatingChange]]</f>
        <v>1486.6257721334207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37066</v>
      </c>
      <c r="B157" s="2">
        <v>2001</v>
      </c>
      <c r="C157" s="2">
        <f>COUNTIFS(Games[Team],Games[[#This Row],[Team]],Games[Season],Games[[#This Row],[Season]],Games[Date],"&lt;=" &amp; Games[[#This Row],[Date]])</f>
        <v>9</v>
      </c>
      <c r="D157" s="2" t="s">
        <v>23</v>
      </c>
      <c r="E157" s="2" t="s">
        <v>29</v>
      </c>
      <c r="F157" s="1" t="s">
        <v>2</v>
      </c>
      <c r="G157" s="1" t="s">
        <v>89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-1</v>
      </c>
      <c r="L157" s="2">
        <f>Games[[#This Row],[OppDaysOff]]-Games[[#This Row],[DaysOff]]</f>
        <v>1</v>
      </c>
      <c r="M157" s="1">
        <f>MAX(-16, MIN(16, Games[[#This Row],[RestDiff]]*8))</f>
        <v>-8</v>
      </c>
      <c r="N157" s="1">
        <f>MAX(-16, MIN(16, Games[[#This Row],[OppRestDiff]]*8))</f>
        <v>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1693.486530405153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1491.338985191466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0.82564828617298924</v>
      </c>
      <c r="R157" s="1">
        <v>67</v>
      </c>
      <c r="S157" s="1">
        <v>57</v>
      </c>
      <c r="T157" s="1">
        <v>0</v>
      </c>
      <c r="U157" s="1">
        <f>Games[[#This Row],[PointsFor]]-Games[[#This Row],[PointsAgainst]]</f>
        <v>10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0.36212711061114394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74.650000000000006</v>
      </c>
      <c r="Z157" s="4">
        <f>Games[[#This Row],[K]]*Games[[#This Row],[POMult]]</f>
        <v>74.650000000000006</v>
      </c>
      <c r="AA157" s="4">
        <f>(Games[[#This Row],[Keff]]*Games[[#This Row],[MOVMult]])*(Games[[#This Row],[Result]]-Games[[#This Row],[ExpectedWin%]])</f>
        <v>4.7132130580453362</v>
      </c>
      <c r="AB157" s="4">
        <f>Games[[#This Row],[PreGmRate]]+Games[[#This Row],[RatingChange]]</f>
        <v>1698.1997434631983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37066</v>
      </c>
      <c r="B158" s="2">
        <v>2001</v>
      </c>
      <c r="C158" s="2">
        <f>COUNTIFS(Games[Team],Games[[#This Row],[Team]],Games[Season],Games[[#This Row],[Season]],Games[Date],"&lt;=" &amp; Games[[#This Row],[Date]])</f>
        <v>11</v>
      </c>
      <c r="D158" s="2" t="s">
        <v>23</v>
      </c>
      <c r="E158" s="2" t="s">
        <v>29</v>
      </c>
      <c r="F158" s="1" t="s">
        <v>1</v>
      </c>
      <c r="G158" s="1" t="s">
        <v>83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1576.277245007831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1485.3803134890863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0.50992417877168572</v>
      </c>
      <c r="R158" s="1">
        <v>54</v>
      </c>
      <c r="S158" s="1">
        <v>35</v>
      </c>
      <c r="T158" s="1">
        <v>0</v>
      </c>
      <c r="U158" s="1">
        <f>Games[[#This Row],[PointsFor]]-Games[[#This Row],[PointsAgainst]]</f>
        <v>19</v>
      </c>
      <c r="V158" s="1">
        <f>IF(Games[[#This Row],[MOV]]&gt;0,1,IF(Games[[#This Row],[MOV]]=0,0.5,0))</f>
        <v>1</v>
      </c>
      <c r="W158" s="4">
        <f>((ABS(Games[[#This Row],[MOV]])+5)^0.6)/(12+0.01*(ABS(Games[[#This Row],[PreGmRate]]-Games[[#This Row],[OppPreGmRate]])))*IF(Games[[#This Row],[OT]]=1,0.9,1)</f>
        <v>0.52147702177564959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74.349999999999994</v>
      </c>
      <c r="Z158" s="4">
        <f>Games[[#This Row],[K]]*Games[[#This Row],[POMult]]</f>
        <v>74.349999999999994</v>
      </c>
      <c r="AA158" s="4">
        <f>(Games[[#This Row],[Keff]]*Games[[#This Row],[MOVMult]])*(Games[[#This Row],[Result]]-Games[[#This Row],[ExpectedWin%]])</f>
        <v>19.001129845575814</v>
      </c>
      <c r="AB158" s="4">
        <f>Games[[#This Row],[PreGmRate]]+Games[[#This Row],[RatingChange]]</f>
        <v>1595.2783748534068</v>
      </c>
      <c r="AC158" s="2">
        <f>IF(Games[[#This Row],[Type]]="R",IF(Games[[#This Row],[Result]]&gt;0.5,1,0),0)</f>
        <v>1</v>
      </c>
      <c r="AD158" s="2">
        <f>IF(Games[[#This Row],[Type]]="R",IF(Games[[#This Row],[Result]]&lt;0.5,1,0),0)</f>
        <v>0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37066</v>
      </c>
      <c r="B159" s="2">
        <v>2001</v>
      </c>
      <c r="C159" s="2">
        <f>COUNTIFS(Games[Team],Games[[#This Row],[Team]],Games[Season],Games[[#This Row],[Season]],Games[Date],"&lt;=" &amp; Games[[#This Row],[Date]])</f>
        <v>10</v>
      </c>
      <c r="D159" s="2" t="s">
        <v>23</v>
      </c>
      <c r="E159" s="2" t="s">
        <v>29</v>
      </c>
      <c r="F159" s="1" t="s">
        <v>83</v>
      </c>
      <c r="G159" s="1" t="s">
        <v>1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1485.3803134890863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1576.277245007831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0.49007582122831428</v>
      </c>
      <c r="R159" s="1">
        <v>35</v>
      </c>
      <c r="S159" s="1">
        <v>54</v>
      </c>
      <c r="T159" s="1">
        <v>0</v>
      </c>
      <c r="U159" s="1">
        <f>Games[[#This Row],[PointsFor]]-Games[[#This Row],[PointsAgainst]]</f>
        <v>-19</v>
      </c>
      <c r="V159" s="1">
        <f>IF(Games[[#This Row],[MOV]]&gt;0,1,IF(Games[[#This Row],[MOV]]=0,0.5,0))</f>
        <v>0</v>
      </c>
      <c r="W159" s="4">
        <f>((ABS(Games[[#This Row],[MOV]])+5)^0.6)/(12+0.01*(ABS(Games[[#This Row],[PreGmRate]]-Games[[#This Row],[OppPreGmRate]])))*IF(Games[[#This Row],[OT]]=1,0.9,1)</f>
        <v>0.52147702177564959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74.5</v>
      </c>
      <c r="Z159" s="4">
        <f>Games[[#This Row],[K]]*Games[[#This Row],[POMult]]</f>
        <v>74.5</v>
      </c>
      <c r="AA159" s="4">
        <f>(Games[[#This Row],[Keff]]*Games[[#This Row],[MOVMult]])*(Games[[#This Row],[Result]]-Games[[#This Row],[ExpectedWin%]])</f>
        <v>-19.039464337530578</v>
      </c>
      <c r="AB159" s="4">
        <f>Games[[#This Row],[PreGmRate]]+Games[[#This Row],[RatingChange]]</f>
        <v>1466.3408491515559</v>
      </c>
      <c r="AC159" s="2">
        <f>IF(Games[[#This Row],[Type]]="R",IF(Games[[#This Row],[Result]]&gt;0.5,1,0),0)</f>
        <v>0</v>
      </c>
      <c r="AD159" s="2">
        <f>IF(Games[[#This Row],[Type]]="R",IF(Games[[#This Row],[Result]]&lt;0.5,1,0),0)</f>
        <v>1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37066</v>
      </c>
      <c r="B160" s="2">
        <v>2001</v>
      </c>
      <c r="C160" s="2">
        <f>COUNTIFS(Games[Team],Games[[#This Row],[Team]],Games[Season],Games[[#This Row],[Season]],Games[Date],"&lt;=" &amp; Games[[#This Row],[Date]])</f>
        <v>12</v>
      </c>
      <c r="D160" s="2" t="s">
        <v>23</v>
      </c>
      <c r="E160" s="2" t="s">
        <v>29</v>
      </c>
      <c r="F160" s="1" t="s">
        <v>71</v>
      </c>
      <c r="G160" s="1" t="s">
        <v>66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-1</v>
      </c>
      <c r="L160" s="2">
        <f>Games[[#This Row],[OppDaysOff]]-Games[[#This Row],[DaysOff]]</f>
        <v>1</v>
      </c>
      <c r="M160" s="1">
        <f>MAX(-16, MIN(16, Games[[#This Row],[RestDiff]]*8))</f>
        <v>-8</v>
      </c>
      <c r="N160" s="1">
        <f>MAX(-16, MIN(16, Games[[#This Row],[OppRestDiff]]*8))</f>
        <v>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1661.0141533303283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1590.0807074058157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0.45826718399749333</v>
      </c>
      <c r="R160" s="1">
        <v>69</v>
      </c>
      <c r="S160" s="1">
        <v>82</v>
      </c>
      <c r="T160" s="1">
        <v>0</v>
      </c>
      <c r="U160" s="1">
        <f>Games[[#This Row],[PointsFor]]-Games[[#This Row],[PointsAgainst]]</f>
        <v>-13</v>
      </c>
      <c r="V160" s="1">
        <f>IF(Games[[#This Row],[MOV]]&gt;0,1,IF(Games[[#This Row],[MOV]]=0,0.5,0))</f>
        <v>0</v>
      </c>
      <c r="W160" s="4">
        <f>((ABS(Games[[#This Row],[MOV]])+5)^0.6)/(12+0.01*(ABS(Games[[#This Row],[PreGmRate]]-Games[[#This Row],[OppPreGmRate]])))*IF(Games[[#This Row],[OT]]=1,0.9,1)</f>
        <v>0.44569800928079883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74.2</v>
      </c>
      <c r="Z160" s="4">
        <f>Games[[#This Row],[K]]*Games[[#This Row],[POMult]]</f>
        <v>74.2</v>
      </c>
      <c r="AA160" s="4">
        <f>(Games[[#This Row],[Keff]]*Games[[#This Row],[MOVMult]])*(Games[[#This Row],[Result]]-Games[[#This Row],[ExpectedWin%]])</f>
        <v>-15.155258854678905</v>
      </c>
      <c r="AB160" s="4">
        <f>Games[[#This Row],[PreGmRate]]+Games[[#This Row],[RatingChange]]</f>
        <v>1645.8588944756493</v>
      </c>
      <c r="AC160" s="2">
        <f>IF(Games[[#This Row],[Type]]="R",IF(Games[[#This Row],[Result]]&gt;0.5,1,0),0)</f>
        <v>0</v>
      </c>
      <c r="AD160" s="2">
        <f>IF(Games[[#This Row],[Type]]="R",IF(Games[[#This Row],[Result]]&lt;0.5,1,0),0)</f>
        <v>1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37066</v>
      </c>
      <c r="B161" s="2">
        <v>2001</v>
      </c>
      <c r="C161" s="2">
        <f>COUNTIFS(Games[Team],Games[[#This Row],[Team]],Games[Season],Games[[#This Row],[Season]],Games[Date],"&lt;=" &amp; Games[[#This Row],[Date]])</f>
        <v>11</v>
      </c>
      <c r="D161" s="2" t="s">
        <v>23</v>
      </c>
      <c r="E161" s="2" t="s">
        <v>29</v>
      </c>
      <c r="F161" s="1" t="s">
        <v>66</v>
      </c>
      <c r="G161" s="1" t="s">
        <v>71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1</v>
      </c>
      <c r="L161" s="2">
        <f>Games[[#This Row],[OppDaysOff]]-Games[[#This Row],[DaysOff]]</f>
        <v>-1</v>
      </c>
      <c r="M161" s="1">
        <f>MAX(-16, MIN(16, Games[[#This Row],[RestDiff]]*8))</f>
        <v>8</v>
      </c>
      <c r="N161" s="1">
        <f>MAX(-16, MIN(16, Games[[#This Row],[OppRestDiff]]*8))</f>
        <v>-8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1590.0807074058157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1661.0141533303283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0.54173281600250667</v>
      </c>
      <c r="R161" s="1">
        <v>82</v>
      </c>
      <c r="S161" s="1">
        <v>69</v>
      </c>
      <c r="T161" s="1">
        <v>0</v>
      </c>
      <c r="U161" s="1">
        <f>Games[[#This Row],[PointsFor]]-Games[[#This Row],[PointsAgainst]]</f>
        <v>13</v>
      </c>
      <c r="V161" s="1">
        <f>IF(Games[[#This Row],[MOV]]&gt;0,1,IF(Games[[#This Row],[MOV]]=0,0.5,0))</f>
        <v>1</v>
      </c>
      <c r="W161" s="4">
        <f>((ABS(Games[[#This Row],[MOV]])+5)^0.6)/(12+0.01*(ABS(Games[[#This Row],[PreGmRate]]-Games[[#This Row],[OppPreGmRate]])))*IF(Games[[#This Row],[OT]]=1,0.9,1)</f>
        <v>0.44569800928079883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74.349999999999994</v>
      </c>
      <c r="Z161" s="4">
        <f>Games[[#This Row],[K]]*Games[[#This Row],[POMult]]</f>
        <v>74.349999999999994</v>
      </c>
      <c r="AA161" s="4">
        <f>(Games[[#This Row],[Keff]]*Games[[#This Row],[MOVMult]])*(Games[[#This Row],[Result]]-Games[[#This Row],[ExpectedWin%]])</f>
        <v>15.185896170422863</v>
      </c>
      <c r="AB161" s="4">
        <f>Games[[#This Row],[PreGmRate]]+Games[[#This Row],[RatingChange]]</f>
        <v>1605.2666035762386</v>
      </c>
      <c r="AC161" s="2">
        <f>IF(Games[[#This Row],[Type]]="R",IF(Games[[#This Row],[Result]]&gt;0.5,1,0),0)</f>
        <v>1</v>
      </c>
      <c r="AD161" s="2">
        <f>IF(Games[[#This Row],[Type]]="R",IF(Games[[#This Row],[Result]]&lt;0.5,1,0),0)</f>
        <v>0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37067</v>
      </c>
      <c r="B162" s="2">
        <v>2001</v>
      </c>
      <c r="C162" s="2">
        <f>COUNTIFS(Games[Team],Games[[#This Row],[Team]],Games[Season],Games[[#This Row],[Season]],Games[Date],"&lt;=" &amp; Games[[#This Row],[Date]])</f>
        <v>12</v>
      </c>
      <c r="D162" s="2" t="s">
        <v>23</v>
      </c>
      <c r="E162" s="2" t="s">
        <v>29</v>
      </c>
      <c r="F162" s="1" t="s">
        <v>66</v>
      </c>
      <c r="G162" s="1" t="s">
        <v>79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-1</v>
      </c>
      <c r="L162" s="2">
        <f>Games[[#This Row],[OppDaysOff]]-Games[[#This Row],[DaysOff]]</f>
        <v>1</v>
      </c>
      <c r="M162" s="1">
        <f>MAX(-16, MIN(16, Games[[#This Row],[RestDiff]]*8))</f>
        <v>-8</v>
      </c>
      <c r="N162" s="1">
        <f>MAX(-16, MIN(16, Games[[#This Row],[OppRestDiff]]*8))</f>
        <v>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1605.2666035762386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1466.2386462600298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0.55593069184215504</v>
      </c>
      <c r="R162" s="1">
        <v>54</v>
      </c>
      <c r="S162" s="1">
        <v>67</v>
      </c>
      <c r="T162" s="1">
        <v>0</v>
      </c>
      <c r="U162" s="1">
        <f>Games[[#This Row],[PointsFor]]-Games[[#This Row],[PointsAgainst]]</f>
        <v>-13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0.42303262129961222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74.2</v>
      </c>
      <c r="Z162" s="4">
        <f>Games[[#This Row],[K]]*Games[[#This Row],[POMult]]</f>
        <v>74.2</v>
      </c>
      <c r="AA162" s="4">
        <f>(Games[[#This Row],[Keff]]*Games[[#This Row],[MOVMult]])*(Games[[#This Row],[Result]]-Games[[#This Row],[ExpectedWin%]])</f>
        <v>-17.45011988305232</v>
      </c>
      <c r="AB162" s="4">
        <f>Games[[#This Row],[PreGmRate]]+Games[[#This Row],[RatingChange]]</f>
        <v>1587.8164836931862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37067</v>
      </c>
      <c r="B163" s="2">
        <v>2001</v>
      </c>
      <c r="C163" s="2">
        <f>COUNTIFS(Games[Team],Games[[#This Row],[Team]],Games[Season],Games[[#This Row],[Season]],Games[Date],"&lt;=" &amp; Games[[#This Row],[Date]])</f>
        <v>10</v>
      </c>
      <c r="D163" s="2" t="s">
        <v>23</v>
      </c>
      <c r="E163" s="2" t="s">
        <v>29</v>
      </c>
      <c r="F163" s="1" t="s">
        <v>79</v>
      </c>
      <c r="G163" s="1" t="s">
        <v>66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3" s="2">
        <f>Games[[#This Row],[DaysOff]]-Games[[#This Row],[OppDaysOff]]</f>
        <v>1</v>
      </c>
      <c r="L163" s="2">
        <f>Games[[#This Row],[OppDaysOff]]-Games[[#This Row],[DaysOff]]</f>
        <v>-1</v>
      </c>
      <c r="M163" s="1">
        <f>MAX(-16, MIN(16, Games[[#This Row],[RestDiff]]*8))</f>
        <v>8</v>
      </c>
      <c r="N163" s="1">
        <f>MAX(-16, MIN(16, Games[[#This Row],[OppRestDiff]]*8))</f>
        <v>-8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1466.2386462600298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1605.2666035762386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0.44406930815784507</v>
      </c>
      <c r="R163" s="1">
        <v>67</v>
      </c>
      <c r="S163" s="1">
        <v>54</v>
      </c>
      <c r="T163" s="1">
        <v>0</v>
      </c>
      <c r="U163" s="1">
        <f>Games[[#This Row],[PointsFor]]-Games[[#This Row],[PointsAgainst]]</f>
        <v>13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0.42303262129961222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74.5</v>
      </c>
      <c r="Z163" s="4">
        <f>Games[[#This Row],[K]]*Games[[#This Row],[POMult]]</f>
        <v>74.5</v>
      </c>
      <c r="AA163" s="4">
        <f>(Games[[#This Row],[Keff]]*Games[[#This Row],[MOVMult]])*(Games[[#This Row],[Result]]-Games[[#This Row],[ExpectedWin%]])</f>
        <v>17.520672928401584</v>
      </c>
      <c r="AB163" s="4">
        <f>Games[[#This Row],[PreGmRate]]+Games[[#This Row],[RatingChange]]</f>
        <v>1483.7593191884314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37067</v>
      </c>
      <c r="B164" s="2">
        <v>2001</v>
      </c>
      <c r="C164" s="2">
        <f>COUNTIFS(Games[Team],Games[[#This Row],[Team]],Games[Season],Games[[#This Row],[Season]],Games[Date],"&lt;=" &amp; Games[[#This Row],[Date]])</f>
        <v>12</v>
      </c>
      <c r="D164" s="2" t="s">
        <v>23</v>
      </c>
      <c r="E164" s="2" t="s">
        <v>29</v>
      </c>
      <c r="F164" s="1" t="s">
        <v>87</v>
      </c>
      <c r="G164" s="1" t="s">
        <v>43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1</v>
      </c>
      <c r="L164" s="2">
        <f>Games[[#This Row],[OppDaysOff]]-Games[[#This Row],[DaysOff]]</f>
        <v>-1</v>
      </c>
      <c r="M164" s="1">
        <f>MAX(-16, MIN(16, Games[[#This Row],[RestDiff]]*8))</f>
        <v>8</v>
      </c>
      <c r="N164" s="1">
        <f>MAX(-16, MIN(16, Games[[#This Row],[OppRestDiff]]*8))</f>
        <v>-8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1427.1971606252471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1512.9798590428104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0.29209219607746179</v>
      </c>
      <c r="R164" s="1">
        <v>65</v>
      </c>
      <c r="S164" s="1">
        <v>47</v>
      </c>
      <c r="T164" s="1">
        <v>0</v>
      </c>
      <c r="U164" s="1">
        <f>Games[[#This Row],[PointsFor]]-Games[[#This Row],[PointsAgainst]]</f>
        <v>18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0.51035118092597132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74.2</v>
      </c>
      <c r="Z164" s="4">
        <f>Games[[#This Row],[K]]*Games[[#This Row],[POMult]]</f>
        <v>74.2</v>
      </c>
      <c r="AA164" s="4">
        <f>(Games[[#This Row],[Keff]]*Games[[#This Row],[MOVMult]])*(Games[[#This Row],[Result]]-Games[[#This Row],[ExpectedWin%]])</f>
        <v>26.807093511918509</v>
      </c>
      <c r="AB164" s="4">
        <f>Games[[#This Row],[PreGmRate]]+Games[[#This Row],[RatingChange]]</f>
        <v>1454.0042541371656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37067</v>
      </c>
      <c r="B165" s="2">
        <v>2001</v>
      </c>
      <c r="C165" s="2">
        <f>COUNTIFS(Games[Team],Games[[#This Row],[Team]],Games[Season],Games[[#This Row],[Season]],Games[Date],"&lt;=" &amp; Games[[#This Row],[Date]])</f>
        <v>9</v>
      </c>
      <c r="D165" s="2" t="s">
        <v>23</v>
      </c>
      <c r="E165" s="2" t="s">
        <v>29</v>
      </c>
      <c r="F165" s="1" t="s">
        <v>43</v>
      </c>
      <c r="G165" s="1" t="s">
        <v>87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5" s="2">
        <f>Games[[#This Row],[DaysOff]]-Games[[#This Row],[OppDaysOff]]</f>
        <v>-1</v>
      </c>
      <c r="L165" s="2">
        <f>Games[[#This Row],[OppDaysOff]]-Games[[#This Row],[DaysOff]]</f>
        <v>1</v>
      </c>
      <c r="M165" s="1">
        <f>MAX(-16, MIN(16, Games[[#This Row],[RestDiff]]*8))</f>
        <v>-8</v>
      </c>
      <c r="N165" s="1">
        <f>MAX(-16, MIN(16, Games[[#This Row],[OppRestDiff]]*8))</f>
        <v>8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1512.9798590428104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1427.1971606252471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0.70790780392253827</v>
      </c>
      <c r="R165" s="1">
        <v>47</v>
      </c>
      <c r="S165" s="1">
        <v>65</v>
      </c>
      <c r="T165" s="1">
        <v>0</v>
      </c>
      <c r="U165" s="1">
        <f>Games[[#This Row],[PointsFor]]-Games[[#This Row],[PointsAgainst]]</f>
        <v>-18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0.51035118092597132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74.650000000000006</v>
      </c>
      <c r="Z165" s="4">
        <f>Games[[#This Row],[K]]*Games[[#This Row],[POMult]]</f>
        <v>74.650000000000006</v>
      </c>
      <c r="AA165" s="4">
        <f>(Games[[#This Row],[Keff]]*Games[[#This Row],[MOVMult]])*(Games[[#This Row],[Result]]-Games[[#This Row],[ExpectedWin%]])</f>
        <v>-26.969670224591876</v>
      </c>
      <c r="AB165" s="4">
        <f>Games[[#This Row],[PreGmRate]]+Games[[#This Row],[RatingChange]]</f>
        <v>1486.0101888182185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37067</v>
      </c>
      <c r="B166" s="2">
        <v>2001</v>
      </c>
      <c r="C166" s="2">
        <f>COUNTIFS(Games[Team],Games[[#This Row],[Team]],Games[Season],Games[[#This Row],[Season]],Games[Date],"&lt;=" &amp; Games[[#This Row],[Date]])</f>
        <v>9</v>
      </c>
      <c r="D166" s="2" t="s">
        <v>23</v>
      </c>
      <c r="E166" s="2" t="s">
        <v>29</v>
      </c>
      <c r="F166" s="1" t="s">
        <v>80</v>
      </c>
      <c r="G166" s="1" t="s">
        <v>75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1476.6763809366621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1389.786673119997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0.50415852794808935</v>
      </c>
      <c r="R166" s="1">
        <v>55</v>
      </c>
      <c r="S166" s="1">
        <v>51</v>
      </c>
      <c r="T166" s="1">
        <v>0</v>
      </c>
      <c r="U166" s="1">
        <f>Games[[#This Row],[PointsFor]]-Games[[#This Row],[PointsAgainst]]</f>
        <v>4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0.29040505927948301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74.650000000000006</v>
      </c>
      <c r="Z166" s="4">
        <f>Games[[#This Row],[K]]*Games[[#This Row],[POMult]]</f>
        <v>74.650000000000006</v>
      </c>
      <c r="AA166" s="4">
        <f>(Games[[#This Row],[Keff]]*Games[[#This Row],[MOVMult]])*(Games[[#This Row],[Result]]-Games[[#This Row],[ExpectedWin%]])</f>
        <v>10.749217201105031</v>
      </c>
      <c r="AB166" s="4">
        <f>Games[[#This Row],[PreGmRate]]+Games[[#This Row],[RatingChange]]</f>
        <v>1487.4255981377671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37067</v>
      </c>
      <c r="B167" s="2">
        <v>2001</v>
      </c>
      <c r="C167" s="2">
        <f>COUNTIFS(Games[Team],Games[[#This Row],[Team]],Games[Season],Games[[#This Row],[Season]],Games[Date],"&lt;=" &amp; Games[[#This Row],[Date]])</f>
        <v>10</v>
      </c>
      <c r="D167" s="2" t="s">
        <v>23</v>
      </c>
      <c r="E167" s="2" t="s">
        <v>29</v>
      </c>
      <c r="F167" s="1" t="s">
        <v>75</v>
      </c>
      <c r="G167" s="1" t="s">
        <v>80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1389.786673119997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1476.6763809366621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0.49584147205191076</v>
      </c>
      <c r="R167" s="1">
        <v>51</v>
      </c>
      <c r="S167" s="1">
        <v>55</v>
      </c>
      <c r="T167" s="1">
        <v>0</v>
      </c>
      <c r="U167" s="1">
        <f>Games[[#This Row],[PointsFor]]-Games[[#This Row],[PointsAgainst]]</f>
        <v>-4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0.29040505927948301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74.5</v>
      </c>
      <c r="Z167" s="4">
        <f>Games[[#This Row],[K]]*Games[[#This Row],[POMult]]</f>
        <v>74.5</v>
      </c>
      <c r="AA167" s="4">
        <f>(Games[[#This Row],[Keff]]*Games[[#This Row],[MOVMult]])*(Games[[#This Row],[Result]]-Games[[#This Row],[ExpectedWin%]])</f>
        <v>-10.727617970292364</v>
      </c>
      <c r="AB167" s="4">
        <f>Games[[#This Row],[PreGmRate]]+Games[[#This Row],[RatingChange]]</f>
        <v>1379.0590551497046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37068</v>
      </c>
      <c r="B168" s="2">
        <v>2001</v>
      </c>
      <c r="C168" s="2">
        <f>COUNTIFS(Games[Team],Games[[#This Row],[Team]],Games[Season],Games[[#This Row],[Season]],Games[Date],"&lt;=" &amp; Games[[#This Row],[Date]])</f>
        <v>10</v>
      </c>
      <c r="D168" s="2" t="s">
        <v>23</v>
      </c>
      <c r="E168" s="2" t="s">
        <v>29</v>
      </c>
      <c r="F168" s="1" t="s">
        <v>89</v>
      </c>
      <c r="G168" s="1" t="s">
        <v>1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1486.6257721334207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1595.2783748534068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0.2480578275859564</v>
      </c>
      <c r="R168" s="1">
        <v>57</v>
      </c>
      <c r="S168" s="1">
        <v>61</v>
      </c>
      <c r="T168" s="1">
        <v>0</v>
      </c>
      <c r="U168" s="1">
        <f>Games[[#This Row],[PointsFor]]-Games[[#This Row],[PointsAgainst]]</f>
        <v>-4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0.28557562267319342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74.5</v>
      </c>
      <c r="Z168" s="4">
        <f>Games[[#This Row],[K]]*Games[[#This Row],[POMult]]</f>
        <v>74.5</v>
      </c>
      <c r="AA168" s="4">
        <f>(Games[[#This Row],[Keff]]*Games[[#This Row],[MOVMult]])*(Games[[#This Row],[Result]]-Games[[#This Row],[ExpectedWin%]])</f>
        <v>-5.2775255086005268</v>
      </c>
      <c r="AB168" s="4">
        <f>Games[[#This Row],[PreGmRate]]+Games[[#This Row],[RatingChange]]</f>
        <v>1481.3482466248201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37068</v>
      </c>
      <c r="B169" s="2">
        <v>2001</v>
      </c>
      <c r="C169" s="2">
        <f>COUNTIFS(Games[Team],Games[[#This Row],[Team]],Games[Season],Games[[#This Row],[Season]],Games[Date],"&lt;=" &amp; Games[[#This Row],[Date]])</f>
        <v>12</v>
      </c>
      <c r="D169" s="2" t="s">
        <v>23</v>
      </c>
      <c r="E169" s="2" t="s">
        <v>29</v>
      </c>
      <c r="F169" s="1" t="s">
        <v>1</v>
      </c>
      <c r="G169" s="1" t="s">
        <v>89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1595.2783748534068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1486.6257721334207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0.75194217241404349</v>
      </c>
      <c r="R169" s="1">
        <v>61</v>
      </c>
      <c r="S169" s="1">
        <v>57</v>
      </c>
      <c r="T169" s="1">
        <v>0</v>
      </c>
      <c r="U169" s="1">
        <f>Games[[#This Row],[PointsFor]]-Games[[#This Row],[PointsAgainst]]</f>
        <v>4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0.28557562267319342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74.2</v>
      </c>
      <c r="Z169" s="4">
        <f>Games[[#This Row],[K]]*Games[[#This Row],[POMult]]</f>
        <v>74.2</v>
      </c>
      <c r="AA169" s="4">
        <f>(Games[[#This Row],[Keff]]*Games[[#This Row],[MOVMult]])*(Games[[#This Row],[Result]]-Games[[#This Row],[ExpectedWin%]])</f>
        <v>5.256273728028984</v>
      </c>
      <c r="AB169" s="4">
        <f>Games[[#This Row],[PreGmRate]]+Games[[#This Row],[RatingChange]]</f>
        <v>1600.5346485814357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37068</v>
      </c>
      <c r="B170" s="2">
        <v>2001</v>
      </c>
      <c r="C170" s="2">
        <f>COUNTIFS(Games[Team],Games[[#This Row],[Team]],Games[Season],Games[[#This Row],[Season]],Games[Date],"&lt;=" &amp; Games[[#This Row],[Date]])</f>
        <v>13</v>
      </c>
      <c r="D170" s="2" t="s">
        <v>23</v>
      </c>
      <c r="E170" s="2" t="s">
        <v>29</v>
      </c>
      <c r="F170" s="1" t="s">
        <v>71</v>
      </c>
      <c r="G170" s="1" t="s">
        <v>77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0" s="2">
        <f>Games[[#This Row],[DaysOff]]-Games[[#This Row],[OppDaysOff]]</f>
        <v>-1</v>
      </c>
      <c r="L170" s="2">
        <f>Games[[#This Row],[OppDaysOff]]-Games[[#This Row],[DaysOff]]</f>
        <v>1</v>
      </c>
      <c r="M170" s="1">
        <f>MAX(-16, MIN(16, Games[[#This Row],[RestDiff]]*8))</f>
        <v>-8</v>
      </c>
      <c r="N170" s="1">
        <f>MAX(-16, MIN(16, Games[[#This Row],[OppRestDiff]]*8))</f>
        <v>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1645.8588944756493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1412.8785351940555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0.68254588824847529</v>
      </c>
      <c r="R170" s="1">
        <v>98</v>
      </c>
      <c r="S170" s="1">
        <v>89</v>
      </c>
      <c r="T170" s="1">
        <v>1</v>
      </c>
      <c r="U170" s="1">
        <f>Games[[#This Row],[PointsFor]]-Games[[#This Row],[PointsAgainst]]</f>
        <v>9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0.30597017361691764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74.05</v>
      </c>
      <c r="Z170" s="4">
        <f>Games[[#This Row],[K]]*Games[[#This Row],[POMult]]</f>
        <v>74.05</v>
      </c>
      <c r="AA170" s="4">
        <f>(Games[[#This Row],[Keff]]*Games[[#This Row],[MOVMult]])*(Games[[#This Row],[Result]]-Games[[#This Row],[ExpectedWin%]])</f>
        <v>7.1925868113977609</v>
      </c>
      <c r="AB170" s="4">
        <f>Games[[#This Row],[PreGmRate]]+Games[[#This Row],[RatingChange]]</f>
        <v>1653.0514812870472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37068</v>
      </c>
      <c r="B171" s="2">
        <v>2001</v>
      </c>
      <c r="C171" s="2">
        <f>COUNTIFS(Games[Team],Games[[#This Row],[Team]],Games[Season],Games[[#This Row],[Season]],Games[Date],"&lt;=" &amp; Games[[#This Row],[Date]])</f>
        <v>10</v>
      </c>
      <c r="D171" s="2" t="s">
        <v>23</v>
      </c>
      <c r="E171" s="2" t="s">
        <v>29</v>
      </c>
      <c r="F171" s="1" t="s">
        <v>77</v>
      </c>
      <c r="G171" s="1" t="s">
        <v>71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1</v>
      </c>
      <c r="L171" s="2">
        <f>Games[[#This Row],[OppDaysOff]]-Games[[#This Row],[DaysOff]]</f>
        <v>-1</v>
      </c>
      <c r="M171" s="1">
        <f>MAX(-16, MIN(16, Games[[#This Row],[RestDiff]]*8))</f>
        <v>8</v>
      </c>
      <c r="N171" s="1">
        <f>MAX(-16, MIN(16, Games[[#This Row],[OppRestDiff]]*8))</f>
        <v>-8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1412.8785351940555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1645.8588944756493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0.31745411175152466</v>
      </c>
      <c r="R171" s="1">
        <v>89</v>
      </c>
      <c r="S171" s="1">
        <v>98</v>
      </c>
      <c r="T171" s="1">
        <v>1</v>
      </c>
      <c r="U171" s="1">
        <f>Games[[#This Row],[PointsFor]]-Games[[#This Row],[PointsAgainst]]</f>
        <v>-9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0.30597017361691764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74.5</v>
      </c>
      <c r="Z171" s="4">
        <f>Games[[#This Row],[K]]*Games[[#This Row],[POMult]]</f>
        <v>74.5</v>
      </c>
      <c r="AA171" s="4">
        <f>(Games[[#This Row],[Keff]]*Games[[#This Row],[MOVMult]])*(Games[[#This Row],[Result]]-Games[[#This Row],[ExpectedWin%]])</f>
        <v>-7.2362959817573689</v>
      </c>
      <c r="AB171" s="4">
        <f>Games[[#This Row],[PreGmRate]]+Games[[#This Row],[RatingChange]]</f>
        <v>1405.6422392122981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37069</v>
      </c>
      <c r="B172" s="2">
        <v>2001</v>
      </c>
      <c r="C172" s="2">
        <f>COUNTIFS(Games[Team],Games[[#This Row],[Team]],Games[Season],Games[[#This Row],[Season]],Games[Date],"&lt;=" &amp; Games[[#This Row],[Date]])</f>
        <v>11</v>
      </c>
      <c r="D172" s="2" t="s">
        <v>23</v>
      </c>
      <c r="E172" s="2" t="s">
        <v>29</v>
      </c>
      <c r="F172" s="1" t="s">
        <v>77</v>
      </c>
      <c r="G172" s="1" t="s">
        <v>64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2" s="2">
        <f>Games[[#This Row],[DaysOff]]-Games[[#This Row],[OppDaysOff]]</f>
        <v>-2</v>
      </c>
      <c r="L172" s="2">
        <f>Games[[#This Row],[OppDaysOff]]-Games[[#This Row],[DaysOff]]</f>
        <v>2</v>
      </c>
      <c r="M172" s="1">
        <f>MAX(-16, MIN(16, Games[[#This Row],[RestDiff]]*8))</f>
        <v>-16</v>
      </c>
      <c r="N172" s="1">
        <f>MAX(-16, MIN(16, Games[[#This Row],[OppRestDiff]]*8))</f>
        <v>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1405.6422392122981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1358.7490115971932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0.40183848989915832</v>
      </c>
      <c r="R172" s="1">
        <v>50</v>
      </c>
      <c r="S172" s="1">
        <v>74</v>
      </c>
      <c r="T172" s="1">
        <v>0</v>
      </c>
      <c r="U172" s="1">
        <f>Games[[#This Row],[PointsFor]]-Games[[#This Row],[PointsAgainst]]</f>
        <v>-24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0.60479686683369127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74.349999999999994</v>
      </c>
      <c r="Z172" s="4">
        <f>Games[[#This Row],[K]]*Games[[#This Row],[POMult]]</f>
        <v>74.349999999999994</v>
      </c>
      <c r="AA172" s="4">
        <f>(Games[[#This Row],[Keff]]*Games[[#This Row],[MOVMult]])*(Games[[#This Row],[Result]]-Games[[#This Row],[ExpectedWin%]])</f>
        <v>-18.069329546032737</v>
      </c>
      <c r="AB172" s="4">
        <f>Games[[#This Row],[PreGmRate]]+Games[[#This Row],[RatingChange]]</f>
        <v>1387.5729096662653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37069</v>
      </c>
      <c r="B173" s="2">
        <v>2001</v>
      </c>
      <c r="C173" s="2">
        <f>COUNTIFS(Games[Team],Games[[#This Row],[Team]],Games[Season],Games[[#This Row],[Season]],Games[Date],"&lt;=" &amp; Games[[#This Row],[Date]])</f>
        <v>12</v>
      </c>
      <c r="D173" s="2" t="s">
        <v>23</v>
      </c>
      <c r="E173" s="2" t="s">
        <v>29</v>
      </c>
      <c r="F173" s="1" t="s">
        <v>64</v>
      </c>
      <c r="G173" s="1" t="s">
        <v>77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3" s="2">
        <f>Games[[#This Row],[DaysOff]]-Games[[#This Row],[OppDaysOff]]</f>
        <v>2</v>
      </c>
      <c r="L173" s="2">
        <f>Games[[#This Row],[OppDaysOff]]-Games[[#This Row],[DaysOff]]</f>
        <v>-2</v>
      </c>
      <c r="M173" s="1">
        <f>MAX(-16, MIN(16, Games[[#This Row],[RestDiff]]*8))</f>
        <v>16</v>
      </c>
      <c r="N173" s="1">
        <f>MAX(-16, MIN(16, Games[[#This Row],[OppRestDiff]]*8))</f>
        <v>-16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1358.7490115971932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1405.6422392122981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0.59816151010084173</v>
      </c>
      <c r="R173" s="1">
        <v>74</v>
      </c>
      <c r="S173" s="1">
        <v>50</v>
      </c>
      <c r="T173" s="1">
        <v>0</v>
      </c>
      <c r="U173" s="1">
        <f>Games[[#This Row],[PointsFor]]-Games[[#This Row],[PointsAgainst]]</f>
        <v>24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0.60479686683369127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74.2</v>
      </c>
      <c r="Z173" s="4">
        <f>Games[[#This Row],[K]]*Games[[#This Row],[POMult]]</f>
        <v>74.2</v>
      </c>
      <c r="AA173" s="4">
        <f>(Games[[#This Row],[Keff]]*Games[[#This Row],[MOVMult]])*(Games[[#This Row],[Result]]-Games[[#This Row],[ExpectedWin%]])</f>
        <v>18.032874947083108</v>
      </c>
      <c r="AB173" s="4">
        <f>Games[[#This Row],[PreGmRate]]+Games[[#This Row],[RatingChange]]</f>
        <v>1376.7818865442764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37069</v>
      </c>
      <c r="B174" s="2">
        <v>2001</v>
      </c>
      <c r="C174" s="2">
        <f>COUNTIFS(Games[Team],Games[[#This Row],[Team]],Games[Season],Games[[#This Row],[Season]],Games[Date],"&lt;=" &amp; Games[[#This Row],[Date]])</f>
        <v>11</v>
      </c>
      <c r="D174" s="2" t="s">
        <v>23</v>
      </c>
      <c r="E174" s="2" t="s">
        <v>29</v>
      </c>
      <c r="F174" s="1" t="s">
        <v>75</v>
      </c>
      <c r="G174" s="1" t="s">
        <v>2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-1</v>
      </c>
      <c r="L174" s="2">
        <f>Games[[#This Row],[OppDaysOff]]-Games[[#This Row],[DaysOff]]</f>
        <v>1</v>
      </c>
      <c r="M174" s="1">
        <f>MAX(-16, MIN(16, Games[[#This Row],[RestDiff]]*8))</f>
        <v>-8</v>
      </c>
      <c r="N174" s="1">
        <f>MAX(-16, MIN(16, Games[[#This Row],[OppRestDiff]]*8))</f>
        <v>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1379.0590551497046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1698.1997434631983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8.2204258712447353E-2</v>
      </c>
      <c r="R174" s="1">
        <v>63</v>
      </c>
      <c r="S174" s="1">
        <v>76</v>
      </c>
      <c r="T174" s="1">
        <v>0</v>
      </c>
      <c r="U174" s="1">
        <f>Games[[#This Row],[PointsFor]]-Games[[#This Row],[PointsAgainst]]</f>
        <v>-13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0.37287692386529414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74.349999999999994</v>
      </c>
      <c r="Z174" s="4">
        <f>Games[[#This Row],[K]]*Games[[#This Row],[POMult]]</f>
        <v>74.349999999999994</v>
      </c>
      <c r="AA174" s="4">
        <f>(Games[[#This Row],[Keff]]*Games[[#This Row],[MOVMult]])*(Games[[#This Row],[Result]]-Games[[#This Row],[ExpectedWin%]])</f>
        <v>-2.2789814875730521</v>
      </c>
      <c r="AB174" s="4">
        <f>Games[[#This Row],[PreGmRate]]+Games[[#This Row],[RatingChange]]</f>
        <v>1376.7800736621316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37069</v>
      </c>
      <c r="B175" s="2">
        <v>2001</v>
      </c>
      <c r="C175" s="2">
        <f>COUNTIFS(Games[Team],Games[[#This Row],[Team]],Games[Season],Games[[#This Row],[Season]],Games[Date],"&lt;=" &amp; Games[[#This Row],[Date]])</f>
        <v>10</v>
      </c>
      <c r="D175" s="2" t="s">
        <v>23</v>
      </c>
      <c r="E175" s="2" t="s">
        <v>29</v>
      </c>
      <c r="F175" s="1" t="s">
        <v>2</v>
      </c>
      <c r="G175" s="1" t="s">
        <v>75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1</v>
      </c>
      <c r="L175" s="2">
        <f>Games[[#This Row],[OppDaysOff]]-Games[[#This Row],[DaysOff]]</f>
        <v>-1</v>
      </c>
      <c r="M175" s="1">
        <f>MAX(-16, MIN(16, Games[[#This Row],[RestDiff]]*8))</f>
        <v>8</v>
      </c>
      <c r="N175" s="1">
        <f>MAX(-16, MIN(16, Games[[#This Row],[OppRestDiff]]*8))</f>
        <v>-8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1698.1997434631983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1379.0590551497046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0.91779574128755259</v>
      </c>
      <c r="R175" s="1">
        <v>76</v>
      </c>
      <c r="S175" s="1">
        <v>63</v>
      </c>
      <c r="T175" s="1">
        <v>0</v>
      </c>
      <c r="U175" s="1">
        <f>Games[[#This Row],[PointsFor]]-Games[[#This Row],[PointsAgainst]]</f>
        <v>13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0.37287692386529414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74.5</v>
      </c>
      <c r="Z175" s="4">
        <f>Games[[#This Row],[K]]*Games[[#This Row],[POMult]]</f>
        <v>74.5</v>
      </c>
      <c r="AA175" s="4">
        <f>(Games[[#This Row],[Keff]]*Games[[#This Row],[MOVMult]])*(Games[[#This Row],[Result]]-Games[[#This Row],[ExpectedWin%]])</f>
        <v>2.2835792982406526</v>
      </c>
      <c r="AB175" s="4">
        <f>Games[[#This Row],[PreGmRate]]+Games[[#This Row],[RatingChange]]</f>
        <v>1700.483322761439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37069</v>
      </c>
      <c r="B176" s="2">
        <v>2001</v>
      </c>
      <c r="C176" s="2">
        <f>COUNTIFS(Games[Team],Games[[#This Row],[Team]],Games[Season],Games[[#This Row],[Season]],Games[Date],"&lt;=" &amp; Games[[#This Row],[Date]])</f>
        <v>11</v>
      </c>
      <c r="D176" s="2" t="s">
        <v>23</v>
      </c>
      <c r="E176" s="2" t="s">
        <v>29</v>
      </c>
      <c r="F176" s="1" t="s">
        <v>89</v>
      </c>
      <c r="G176" s="1" t="s">
        <v>85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6" s="2">
        <f>Games[[#This Row],[DaysOff]]-Games[[#This Row],[OppDaysOff]]</f>
        <v>-3</v>
      </c>
      <c r="L176" s="2">
        <f>Games[[#This Row],[OppDaysOff]]-Games[[#This Row],[DaysOff]]</f>
        <v>3</v>
      </c>
      <c r="M176" s="1">
        <f>MAX(-16, MIN(16, Games[[#This Row],[RestDiff]]*8))</f>
        <v>-16</v>
      </c>
      <c r="N176" s="1">
        <f>MAX(-16, MIN(16, Games[[#This Row],[OppRestDiff]]*8))</f>
        <v>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1481.3482466248201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1444.1987391754735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0.38843392579026531</v>
      </c>
      <c r="R176" s="1">
        <v>68</v>
      </c>
      <c r="S176" s="1">
        <v>65</v>
      </c>
      <c r="T176" s="1">
        <v>0</v>
      </c>
      <c r="U176" s="1">
        <f>Games[[#This Row],[PointsFor]]-Games[[#This Row],[PointsAgainst]]</f>
        <v>3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0.28146980071663408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74.349999999999994</v>
      </c>
      <c r="Z176" s="4">
        <f>Games[[#This Row],[K]]*Games[[#This Row],[POMult]]</f>
        <v>74.349999999999994</v>
      </c>
      <c r="AA176" s="4">
        <f>(Games[[#This Row],[Keff]]*Games[[#This Row],[MOVMult]])*(Games[[#This Row],[Result]]-Games[[#This Row],[ExpectedWin%]])</f>
        <v>12.798414279793754</v>
      </c>
      <c r="AB176" s="4">
        <f>Games[[#This Row],[PreGmRate]]+Games[[#This Row],[RatingChange]]</f>
        <v>1494.146660904614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37069</v>
      </c>
      <c r="B177" s="2">
        <v>2001</v>
      </c>
      <c r="C177" s="2">
        <f>COUNTIFS(Games[Team],Games[[#This Row],[Team]],Games[Season],Games[[#This Row],[Season]],Games[Date],"&lt;=" &amp; Games[[#This Row],[Date]])</f>
        <v>11</v>
      </c>
      <c r="D177" s="2" t="s">
        <v>23</v>
      </c>
      <c r="E177" s="2" t="s">
        <v>29</v>
      </c>
      <c r="F177" s="1" t="s">
        <v>85</v>
      </c>
      <c r="G177" s="1" t="s">
        <v>89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7" s="2">
        <f>Games[[#This Row],[DaysOff]]-Games[[#This Row],[OppDaysOff]]</f>
        <v>3</v>
      </c>
      <c r="L177" s="2">
        <f>Games[[#This Row],[OppDaysOff]]-Games[[#This Row],[DaysOff]]</f>
        <v>-3</v>
      </c>
      <c r="M177" s="1">
        <f>MAX(-16, MIN(16, Games[[#This Row],[RestDiff]]*8))</f>
        <v>16</v>
      </c>
      <c r="N177" s="1">
        <f>MAX(-16, MIN(16, Games[[#This Row],[OppRestDiff]]*8))</f>
        <v>-16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1444.1987391754735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1481.3482466248201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0.61156607420973474</v>
      </c>
      <c r="R177" s="1">
        <v>65</v>
      </c>
      <c r="S177" s="1">
        <v>68</v>
      </c>
      <c r="T177" s="1">
        <v>0</v>
      </c>
      <c r="U177" s="1">
        <f>Games[[#This Row],[PointsFor]]-Games[[#This Row],[PointsAgainst]]</f>
        <v>-3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0.28146980071663408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74.349999999999994</v>
      </c>
      <c r="Z177" s="4">
        <f>Games[[#This Row],[K]]*Games[[#This Row],[POMult]]</f>
        <v>74.349999999999994</v>
      </c>
      <c r="AA177" s="4">
        <f>(Games[[#This Row],[Keff]]*Games[[#This Row],[MOVMult]])*(Games[[#This Row],[Result]]-Games[[#This Row],[ExpectedWin%]])</f>
        <v>-12.798414279793757</v>
      </c>
      <c r="AB177" s="4">
        <f>Games[[#This Row],[PreGmRate]]+Games[[#This Row],[RatingChange]]</f>
        <v>1431.4003248956797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37069</v>
      </c>
      <c r="B178" s="2">
        <v>2001</v>
      </c>
      <c r="C178" s="2">
        <f>COUNTIFS(Games[Team],Games[[#This Row],[Team]],Games[Season],Games[[#This Row],[Season]],Games[Date],"&lt;=" &amp; Games[[#This Row],[Date]])</f>
        <v>10</v>
      </c>
      <c r="D178" s="2" t="s">
        <v>23</v>
      </c>
      <c r="E178" s="2" t="s">
        <v>29</v>
      </c>
      <c r="F178" s="1" t="s">
        <v>43</v>
      </c>
      <c r="G178" s="1" t="s">
        <v>83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8" s="2">
        <f>Games[[#This Row],[DaysOff]]-Games[[#This Row],[OppDaysOff]]</f>
        <v>-1</v>
      </c>
      <c r="L178" s="2">
        <f>Games[[#This Row],[OppDaysOff]]-Games[[#This Row],[DaysOff]]</f>
        <v>1</v>
      </c>
      <c r="M178" s="1">
        <f>MAX(-16, MIN(16, Games[[#This Row],[RestDiff]]*8))</f>
        <v>-8</v>
      </c>
      <c r="N178" s="1">
        <f>MAX(-16, MIN(16, Games[[#This Row],[OppRestDiff]]*8))</f>
        <v>8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1486.0101888182185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1466.3408491515559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0.38641178255903713</v>
      </c>
      <c r="R178" s="1">
        <v>68</v>
      </c>
      <c r="S178" s="1">
        <v>63</v>
      </c>
      <c r="T178" s="1">
        <v>1</v>
      </c>
      <c r="U178" s="1">
        <f>Games[[#This Row],[PointsFor]]-Games[[#This Row],[PointsAgainst]]</f>
        <v>5</v>
      </c>
      <c r="V178" s="1">
        <f>IF(Games[[#This Row],[MOV]]&gt;0,1,IF(Games[[#This Row],[MOV]]=0,0.5,0))</f>
        <v>1</v>
      </c>
      <c r="W178" s="4">
        <f>((ABS(Games[[#This Row],[MOV]])+5)^0.6)/(12+0.01*(ABS(Games[[#This Row],[PreGmRate]]-Games[[#This Row],[OppPreGmRate]])))*IF(Games[[#This Row],[OT]]=1,0.9,1)</f>
        <v>0.29376523771276442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74.5</v>
      </c>
      <c r="Z178" s="4">
        <f>Games[[#This Row],[K]]*Games[[#This Row],[POMult]]</f>
        <v>74.5</v>
      </c>
      <c r="AA178" s="4">
        <f>(Games[[#This Row],[Keff]]*Games[[#This Row],[MOVMult]])*(Games[[#This Row],[Result]]-Games[[#This Row],[ExpectedWin%]])</f>
        <v>13.428691197295038</v>
      </c>
      <c r="AB178" s="4">
        <f>Games[[#This Row],[PreGmRate]]+Games[[#This Row],[RatingChange]]</f>
        <v>1499.4388800155134</v>
      </c>
      <c r="AC178" s="2">
        <f>IF(Games[[#This Row],[Type]]="R",IF(Games[[#This Row],[Result]]&gt;0.5,1,0),0)</f>
        <v>1</v>
      </c>
      <c r="AD178" s="2">
        <f>IF(Games[[#This Row],[Type]]="R",IF(Games[[#This Row],[Result]]&lt;0.5,1,0),0)</f>
        <v>0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37069</v>
      </c>
      <c r="B179" s="2">
        <v>2001</v>
      </c>
      <c r="C179" s="2">
        <f>COUNTIFS(Games[Team],Games[[#This Row],[Team]],Games[Season],Games[[#This Row],[Season]],Games[Date],"&lt;=" &amp; Games[[#This Row],[Date]])</f>
        <v>11</v>
      </c>
      <c r="D179" s="2" t="s">
        <v>23</v>
      </c>
      <c r="E179" s="2" t="s">
        <v>29</v>
      </c>
      <c r="F179" s="1" t="s">
        <v>83</v>
      </c>
      <c r="G179" s="1" t="s">
        <v>43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9" s="2">
        <f>Games[[#This Row],[DaysOff]]-Games[[#This Row],[OppDaysOff]]</f>
        <v>1</v>
      </c>
      <c r="L179" s="2">
        <f>Games[[#This Row],[OppDaysOff]]-Games[[#This Row],[DaysOff]]</f>
        <v>-1</v>
      </c>
      <c r="M179" s="1">
        <f>MAX(-16, MIN(16, Games[[#This Row],[RestDiff]]*8))</f>
        <v>8</v>
      </c>
      <c r="N179" s="1">
        <f>MAX(-16, MIN(16, Games[[#This Row],[OppRestDiff]]*8))</f>
        <v>-8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1466.3408491515559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1486.0101888182185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0.61358821744096292</v>
      </c>
      <c r="R179" s="1">
        <v>63</v>
      </c>
      <c r="S179" s="1">
        <v>68</v>
      </c>
      <c r="T179" s="1">
        <v>1</v>
      </c>
      <c r="U179" s="1">
        <f>Games[[#This Row],[PointsFor]]-Games[[#This Row],[PointsAgainst]]</f>
        <v>-5</v>
      </c>
      <c r="V179" s="1">
        <f>IF(Games[[#This Row],[MOV]]&gt;0,1,IF(Games[[#This Row],[MOV]]=0,0.5,0))</f>
        <v>0</v>
      </c>
      <c r="W179" s="4">
        <f>((ABS(Games[[#This Row],[MOV]])+5)^0.6)/(12+0.01*(ABS(Games[[#This Row],[PreGmRate]]-Games[[#This Row],[OppPreGmRate]])))*IF(Games[[#This Row],[OT]]=1,0.9,1)</f>
        <v>0.29376523771276442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74.349999999999994</v>
      </c>
      <c r="Z179" s="4">
        <f>Games[[#This Row],[K]]*Games[[#This Row],[POMult]]</f>
        <v>74.349999999999994</v>
      </c>
      <c r="AA179" s="4">
        <f>(Games[[#This Row],[Keff]]*Games[[#This Row],[MOVMult]])*(Games[[#This Row],[Result]]-Games[[#This Row],[ExpectedWin%]])</f>
        <v>-13.401653564011896</v>
      </c>
      <c r="AB179" s="4">
        <f>Games[[#This Row],[PreGmRate]]+Games[[#This Row],[RatingChange]]</f>
        <v>1452.939195587544</v>
      </c>
      <c r="AC179" s="2">
        <f>IF(Games[[#This Row],[Type]]="R",IF(Games[[#This Row],[Result]]&gt;0.5,1,0),0)</f>
        <v>0</v>
      </c>
      <c r="AD179" s="2">
        <f>IF(Games[[#This Row],[Type]]="R",IF(Games[[#This Row],[Result]]&lt;0.5,1,0),0)</f>
        <v>1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37069</v>
      </c>
      <c r="B180" s="2">
        <v>2001</v>
      </c>
      <c r="C180" s="2">
        <f>COUNTIFS(Games[Team],Games[[#This Row],[Team]],Games[Season],Games[[#This Row],[Season]],Games[Date],"&lt;=" &amp; Games[[#This Row],[Date]])</f>
        <v>13</v>
      </c>
      <c r="D180" s="2" t="s">
        <v>23</v>
      </c>
      <c r="E180" s="2" t="s">
        <v>29</v>
      </c>
      <c r="F180" s="1" t="s">
        <v>1</v>
      </c>
      <c r="G180" s="1" t="s">
        <v>79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-1</v>
      </c>
      <c r="L180" s="2">
        <f>Games[[#This Row],[OppDaysOff]]-Games[[#This Row],[DaysOff]]</f>
        <v>1</v>
      </c>
      <c r="M180" s="1">
        <f>MAX(-16, MIN(16, Games[[#This Row],[RestDiff]]*8))</f>
        <v>-8</v>
      </c>
      <c r="N180" s="1">
        <f>MAX(-16, MIN(16, Games[[#This Row],[OppRestDiff]]*8))</f>
        <v>8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1600.5346485814357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1483.7593191884314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0.52412289682924118</v>
      </c>
      <c r="R180" s="1">
        <v>65</v>
      </c>
      <c r="S180" s="1">
        <v>41</v>
      </c>
      <c r="T180" s="1">
        <v>0</v>
      </c>
      <c r="U180" s="1">
        <f>Games[[#This Row],[PointsFor]]-Games[[#This Row],[PointsAgainst]]</f>
        <v>24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0.57269991357249261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74.05</v>
      </c>
      <c r="Z180" s="4">
        <f>Games[[#This Row],[K]]*Games[[#This Row],[POMult]]</f>
        <v>74.05</v>
      </c>
      <c r="AA180" s="4">
        <f>(Games[[#This Row],[Keff]]*Games[[#This Row],[MOVMult]])*(Games[[#This Row],[Result]]-Games[[#This Row],[ExpectedWin%]])</f>
        <v>20.181200152212458</v>
      </c>
      <c r="AB180" s="4">
        <f>Games[[#This Row],[PreGmRate]]+Games[[#This Row],[RatingChange]]</f>
        <v>1620.7158487336483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37069</v>
      </c>
      <c r="B181" s="2">
        <v>2001</v>
      </c>
      <c r="C181" s="2">
        <f>COUNTIFS(Games[Team],Games[[#This Row],[Team]],Games[Season],Games[[#This Row],[Season]],Games[Date],"&lt;=" &amp; Games[[#This Row],[Date]])</f>
        <v>11</v>
      </c>
      <c r="D181" s="2" t="s">
        <v>23</v>
      </c>
      <c r="E181" s="2" t="s">
        <v>29</v>
      </c>
      <c r="F181" s="1" t="s">
        <v>79</v>
      </c>
      <c r="G181" s="1" t="s">
        <v>1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1" s="2">
        <f>Games[[#This Row],[DaysOff]]-Games[[#This Row],[OppDaysOff]]</f>
        <v>1</v>
      </c>
      <c r="L181" s="2">
        <f>Games[[#This Row],[OppDaysOff]]-Games[[#This Row],[DaysOff]]</f>
        <v>-1</v>
      </c>
      <c r="M181" s="1">
        <f>MAX(-16, MIN(16, Games[[#This Row],[RestDiff]]*8))</f>
        <v>8</v>
      </c>
      <c r="N181" s="1">
        <f>MAX(-16, MIN(16, Games[[#This Row],[OppRestDiff]]*8))</f>
        <v>-8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1483.7593191884314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1600.5346485814357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0.47587710317075876</v>
      </c>
      <c r="R181" s="1">
        <v>41</v>
      </c>
      <c r="S181" s="1">
        <v>65</v>
      </c>
      <c r="T181" s="1">
        <v>0</v>
      </c>
      <c r="U181" s="1">
        <f>Games[[#This Row],[PointsFor]]-Games[[#This Row],[PointsAgainst]]</f>
        <v>-24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0.57269991357249261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74.349999999999994</v>
      </c>
      <c r="Z181" s="4">
        <f>Games[[#This Row],[K]]*Games[[#This Row],[POMult]]</f>
        <v>74.349999999999994</v>
      </c>
      <c r="AA181" s="4">
        <f>(Games[[#This Row],[Keff]]*Games[[#This Row],[MOVMult]])*(Games[[#This Row],[Result]]-Games[[#This Row],[ExpectedWin%]])</f>
        <v>-20.262960584969562</v>
      </c>
      <c r="AB181" s="4">
        <f>Games[[#This Row],[PreGmRate]]+Games[[#This Row],[RatingChange]]</f>
        <v>1463.4963586034619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37070</v>
      </c>
      <c r="B182" s="2">
        <v>2001</v>
      </c>
      <c r="C182" s="2">
        <f>COUNTIFS(Games[Team],Games[[#This Row],[Team]],Games[Season],Games[[#This Row],[Season]],Games[Date],"&lt;=" &amp; Games[[#This Row],[Date]])</f>
        <v>13</v>
      </c>
      <c r="D182" s="2" t="s">
        <v>23</v>
      </c>
      <c r="E182" s="2" t="s">
        <v>29</v>
      </c>
      <c r="F182" s="1" t="s">
        <v>87</v>
      </c>
      <c r="G182" s="1" t="s">
        <v>80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2" s="2">
        <f>Games[[#This Row],[DaysOff]]-Games[[#This Row],[OppDaysOff]]</f>
        <v>0</v>
      </c>
      <c r="L182" s="2">
        <f>Games[[#This Row],[OppDaysOff]]-Games[[#This Row],[DaysOff]]</f>
        <v>0</v>
      </c>
      <c r="M182" s="1">
        <f>MAX(-16, MIN(16, Games[[#This Row],[RestDiff]]*8))</f>
        <v>0</v>
      </c>
      <c r="N182" s="1">
        <f>MAX(-16, MIN(16, Games[[#This Row],[OppRestDiff]]*8))</f>
        <v>0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1454.0042541371656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1487.4255981377671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0.33716993342668355</v>
      </c>
      <c r="R182" s="1">
        <v>59</v>
      </c>
      <c r="S182" s="1">
        <v>68</v>
      </c>
      <c r="T182" s="1">
        <v>0</v>
      </c>
      <c r="U182" s="1">
        <f>Games[[#This Row],[PointsFor]]-Games[[#This Row],[PointsAgainst]]</f>
        <v>-9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0.39497113857018984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74.05</v>
      </c>
      <c r="Z182" s="4">
        <f>Games[[#This Row],[K]]*Games[[#This Row],[POMult]]</f>
        <v>74.05</v>
      </c>
      <c r="AA182" s="4">
        <f>(Games[[#This Row],[Keff]]*Games[[#This Row],[MOVMult]])*(Games[[#This Row],[Result]]-Games[[#This Row],[ExpectedWin%]])</f>
        <v>-9.8614156644156097</v>
      </c>
      <c r="AB182" s="4">
        <f>Games[[#This Row],[PreGmRate]]+Games[[#This Row],[RatingChange]]</f>
        <v>1444.1428384727501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37070</v>
      </c>
      <c r="B183" s="2">
        <v>2001</v>
      </c>
      <c r="C183" s="2">
        <f>COUNTIFS(Games[Team],Games[[#This Row],[Team]],Games[Season],Games[[#This Row],[Season]],Games[Date],"&lt;=" &amp; Games[[#This Row],[Date]])</f>
        <v>10</v>
      </c>
      <c r="D183" s="2" t="s">
        <v>23</v>
      </c>
      <c r="E183" s="2" t="s">
        <v>29</v>
      </c>
      <c r="F183" s="1" t="s">
        <v>80</v>
      </c>
      <c r="G183" s="1" t="s">
        <v>87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3" s="2">
        <f>Games[[#This Row],[DaysOff]]-Games[[#This Row],[OppDaysOff]]</f>
        <v>0</v>
      </c>
      <c r="L183" s="2">
        <f>Games[[#This Row],[OppDaysOff]]-Games[[#This Row],[DaysOff]]</f>
        <v>0</v>
      </c>
      <c r="M183" s="1">
        <f>MAX(-16, MIN(16, Games[[#This Row],[RestDiff]]*8))</f>
        <v>0</v>
      </c>
      <c r="N183" s="1">
        <f>MAX(-16, MIN(16, Games[[#This Row],[OppRestDiff]]*8))</f>
        <v>0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1487.4255981377671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1454.0042541371656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0.66283006657331656</v>
      </c>
      <c r="R183" s="1">
        <v>68</v>
      </c>
      <c r="S183" s="1">
        <v>59</v>
      </c>
      <c r="T183" s="1">
        <v>0</v>
      </c>
      <c r="U183" s="1">
        <f>Games[[#This Row],[PointsFor]]-Games[[#This Row],[PointsAgainst]]</f>
        <v>9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0.39497113857018984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74.5</v>
      </c>
      <c r="Z183" s="4">
        <f>Games[[#This Row],[K]]*Games[[#This Row],[POMult]]</f>
        <v>74.5</v>
      </c>
      <c r="AA183" s="4">
        <f>(Games[[#This Row],[Keff]]*Games[[#This Row],[MOVMult]])*(Games[[#This Row],[Result]]-Games[[#This Row],[ExpectedWin%]])</f>
        <v>9.9213432410393327</v>
      </c>
      <c r="AB183" s="4">
        <f>Games[[#This Row],[PreGmRate]]+Games[[#This Row],[RatingChange]]</f>
        <v>1497.3469413788064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37070</v>
      </c>
      <c r="B184" s="2">
        <v>2001</v>
      </c>
      <c r="C184" s="2">
        <f>COUNTIFS(Games[Team],Games[[#This Row],[Team]],Games[Season],Games[[#This Row],[Season]],Games[Date],"&lt;=" &amp; Games[[#This Row],[Date]])</f>
        <v>11</v>
      </c>
      <c r="D184" s="2" t="s">
        <v>23</v>
      </c>
      <c r="E184" s="2" t="s">
        <v>29</v>
      </c>
      <c r="F184" s="1" t="s">
        <v>2</v>
      </c>
      <c r="G184" s="1" t="s">
        <v>45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4" s="2">
        <f>Games[[#This Row],[DaysOff]]-Games[[#This Row],[OppDaysOff]]</f>
        <v>-3</v>
      </c>
      <c r="L184" s="2">
        <f>Games[[#This Row],[OppDaysOff]]-Games[[#This Row],[DaysOff]]</f>
        <v>3</v>
      </c>
      <c r="M184" s="1">
        <f>MAX(-16, MIN(16, Games[[#This Row],[RestDiff]]*8))</f>
        <v>-16</v>
      </c>
      <c r="N184" s="1">
        <f>MAX(-16, MIN(16, Games[[#This Row],[OppRestDiff]]*8))</f>
        <v>16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1700.483322761439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1544.6788630319074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0.55703390804397168</v>
      </c>
      <c r="R184" s="1">
        <v>54</v>
      </c>
      <c r="S184" s="1">
        <v>64</v>
      </c>
      <c r="T184" s="1">
        <v>0</v>
      </c>
      <c r="U184" s="1">
        <f>Games[[#This Row],[PointsFor]]-Games[[#This Row],[PointsAgainst]]</f>
        <v>-10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0.37450506638695708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74.349999999999994</v>
      </c>
      <c r="Z184" s="4">
        <f>Games[[#This Row],[K]]*Games[[#This Row],[POMult]]</f>
        <v>74.349999999999994</v>
      </c>
      <c r="AA184" s="4">
        <f>(Games[[#This Row],[Keff]]*Games[[#This Row],[MOVMult]])*(Games[[#This Row],[Result]]-Games[[#This Row],[ExpectedWin%]])</f>
        <v>-15.510303739921865</v>
      </c>
      <c r="AB184" s="4">
        <f>Games[[#This Row],[PreGmRate]]+Games[[#This Row],[RatingChange]]</f>
        <v>1684.9730190215171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37070</v>
      </c>
      <c r="B185" s="2">
        <v>2001</v>
      </c>
      <c r="C185" s="2">
        <f>COUNTIFS(Games[Team],Games[[#This Row],[Team]],Games[Season],Games[[#This Row],[Season]],Games[Date],"&lt;=" &amp; Games[[#This Row],[Date]])</f>
        <v>13</v>
      </c>
      <c r="D185" s="2" t="s">
        <v>23</v>
      </c>
      <c r="E185" s="2" t="s">
        <v>29</v>
      </c>
      <c r="F185" s="1" t="s">
        <v>45</v>
      </c>
      <c r="G185" s="1" t="s">
        <v>2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5" s="2">
        <f>Games[[#This Row],[DaysOff]]-Games[[#This Row],[OppDaysOff]]</f>
        <v>3</v>
      </c>
      <c r="L185" s="2">
        <f>Games[[#This Row],[OppDaysOff]]-Games[[#This Row],[DaysOff]]</f>
        <v>-3</v>
      </c>
      <c r="M185" s="1">
        <f>MAX(-16, MIN(16, Games[[#This Row],[RestDiff]]*8))</f>
        <v>16</v>
      </c>
      <c r="N185" s="1">
        <f>MAX(-16, MIN(16, Games[[#This Row],[OppRestDiff]]*8))</f>
        <v>-16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1544.6788630319074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1700.483322761439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0.44296609195602832</v>
      </c>
      <c r="R185" s="1">
        <v>64</v>
      </c>
      <c r="S185" s="1">
        <v>54</v>
      </c>
      <c r="T185" s="1">
        <v>0</v>
      </c>
      <c r="U185" s="1">
        <f>Games[[#This Row],[PointsFor]]-Games[[#This Row],[PointsAgainst]]</f>
        <v>10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0.37450506638695708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74.05</v>
      </c>
      <c r="Z185" s="4">
        <f>Games[[#This Row],[K]]*Games[[#This Row],[POMult]]</f>
        <v>74.05</v>
      </c>
      <c r="AA185" s="4">
        <f>(Games[[#This Row],[Keff]]*Games[[#This Row],[MOVMult]])*(Games[[#This Row],[Result]]-Games[[#This Row],[ExpectedWin%]])</f>
        <v>15.447720133708327</v>
      </c>
      <c r="AB185" s="4">
        <f>Games[[#This Row],[PreGmRate]]+Games[[#This Row],[RatingChange]]</f>
        <v>1560.1265831656158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37071</v>
      </c>
      <c r="B186" s="2">
        <v>2001</v>
      </c>
      <c r="C186" s="2">
        <f>COUNTIFS(Games[Team],Games[[#This Row],[Team]],Games[Season],Games[[#This Row],[Season]],Games[Date],"&lt;=" &amp; Games[[#This Row],[Date]])</f>
        <v>12</v>
      </c>
      <c r="D186" s="2" t="s">
        <v>23</v>
      </c>
      <c r="E186" s="2" t="s">
        <v>29</v>
      </c>
      <c r="F186" s="1" t="s">
        <v>44</v>
      </c>
      <c r="G186" s="1" t="s">
        <v>77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6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6" s="2">
        <f>Games[[#This Row],[DaysOff]]-Games[[#This Row],[OppDaysOff]]</f>
        <v>5</v>
      </c>
      <c r="L186" s="2">
        <f>Games[[#This Row],[OppDaysOff]]-Games[[#This Row],[DaysOff]]</f>
        <v>-5</v>
      </c>
      <c r="M186" s="1">
        <f>MAX(-16, MIN(16, Games[[#This Row],[RestDiff]]*8))</f>
        <v>16</v>
      </c>
      <c r="N186" s="1">
        <f>MAX(-16, MIN(16, Games[[#This Row],[OppRestDiff]]*8))</f>
        <v>-16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1468.3423493018915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1387.5729096662653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0.54130818250231316</v>
      </c>
      <c r="R186" s="1">
        <v>71</v>
      </c>
      <c r="S186" s="1">
        <v>75</v>
      </c>
      <c r="T186" s="1">
        <v>0</v>
      </c>
      <c r="U186" s="1">
        <f>Games[[#This Row],[PointsFor]]-Games[[#This Row],[PointsAgainst]]</f>
        <v>-4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0.29179278511749696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74.2</v>
      </c>
      <c r="Z186" s="4">
        <f>Games[[#This Row],[K]]*Games[[#This Row],[POMult]]</f>
        <v>74.2</v>
      </c>
      <c r="AA186" s="4">
        <f>(Games[[#This Row],[Keff]]*Games[[#This Row],[MOVMult]])*(Games[[#This Row],[Result]]-Games[[#This Row],[ExpectedWin%]])</f>
        <v>-11.719876805699629</v>
      </c>
      <c r="AB186" s="4">
        <f>Games[[#This Row],[PreGmRate]]+Games[[#This Row],[RatingChange]]</f>
        <v>1456.6224724961919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37071</v>
      </c>
      <c r="B187" s="2">
        <v>2001</v>
      </c>
      <c r="C187" s="2">
        <f>COUNTIFS(Games[Team],Games[[#This Row],[Team]],Games[Season],Games[[#This Row],[Season]],Games[Date],"&lt;=" &amp; Games[[#This Row],[Date]])</f>
        <v>12</v>
      </c>
      <c r="D187" s="2" t="s">
        <v>23</v>
      </c>
      <c r="E187" s="2" t="s">
        <v>29</v>
      </c>
      <c r="F187" s="1" t="s">
        <v>77</v>
      </c>
      <c r="G187" s="1" t="s">
        <v>44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87" s="2">
        <f>Games[[#This Row],[DaysOff]]-Games[[#This Row],[OppDaysOff]]</f>
        <v>-5</v>
      </c>
      <c r="L187" s="2">
        <f>Games[[#This Row],[OppDaysOff]]-Games[[#This Row],[DaysOff]]</f>
        <v>5</v>
      </c>
      <c r="M187" s="1">
        <f>MAX(-16, MIN(16, Games[[#This Row],[RestDiff]]*8))</f>
        <v>-16</v>
      </c>
      <c r="N187" s="1">
        <f>MAX(-16, MIN(16, Games[[#This Row],[OppRestDiff]]*8))</f>
        <v>16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1387.5729096662653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1468.3423493018915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0.45869181749768684</v>
      </c>
      <c r="R187" s="1">
        <v>75</v>
      </c>
      <c r="S187" s="1">
        <v>71</v>
      </c>
      <c r="T187" s="1">
        <v>0</v>
      </c>
      <c r="U187" s="1">
        <f>Games[[#This Row],[PointsFor]]-Games[[#This Row],[PointsAgainst]]</f>
        <v>4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0.29179278511749696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74.2</v>
      </c>
      <c r="Z187" s="4">
        <f>Games[[#This Row],[K]]*Games[[#This Row],[POMult]]</f>
        <v>74.2</v>
      </c>
      <c r="AA187" s="4">
        <f>(Games[[#This Row],[Keff]]*Games[[#This Row],[MOVMult]])*(Games[[#This Row],[Result]]-Games[[#This Row],[ExpectedWin%]])</f>
        <v>11.719876805699629</v>
      </c>
      <c r="AB187" s="4">
        <f>Games[[#This Row],[PreGmRate]]+Games[[#This Row],[RatingChange]]</f>
        <v>1399.292786471965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37071</v>
      </c>
      <c r="B188" s="2">
        <v>2001</v>
      </c>
      <c r="C188" s="2">
        <f>COUNTIFS(Games[Team],Games[[#This Row],[Team]],Games[Season],Games[[#This Row],[Season]],Games[Date],"&lt;=" &amp; Games[[#This Row],[Date]])</f>
        <v>13</v>
      </c>
      <c r="D188" s="2" t="s">
        <v>23</v>
      </c>
      <c r="E188" s="2" t="s">
        <v>29</v>
      </c>
      <c r="F188" s="1" t="s">
        <v>64</v>
      </c>
      <c r="G188" s="1" t="s">
        <v>85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8" s="2">
        <f>Games[[#This Row],[DaysOff]]-Games[[#This Row],[OppDaysOff]]</f>
        <v>0</v>
      </c>
      <c r="L188" s="2">
        <f>Games[[#This Row],[OppDaysOff]]-Games[[#This Row],[DaysOff]]</f>
        <v>0</v>
      </c>
      <c r="M188" s="1">
        <f>MAX(-16, MIN(16, Games[[#This Row],[RestDiff]]*8))</f>
        <v>0</v>
      </c>
      <c r="N188" s="1">
        <f>MAX(-16, MIN(16, Games[[#This Row],[OppRestDiff]]*8))</f>
        <v>0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1376.7818865442764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1431.4003248956797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0.31046380317634947</v>
      </c>
      <c r="R188" s="1">
        <v>75</v>
      </c>
      <c r="S188" s="1">
        <v>67</v>
      </c>
      <c r="T188" s="1">
        <v>0</v>
      </c>
      <c r="U188" s="1">
        <f>Games[[#This Row],[PointsFor]]-Games[[#This Row],[PointsAgainst]]</f>
        <v>8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0.37141064387345762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74.05</v>
      </c>
      <c r="Z188" s="4">
        <f>Games[[#This Row],[K]]*Games[[#This Row],[POMult]]</f>
        <v>74.05</v>
      </c>
      <c r="AA188" s="4">
        <f>(Games[[#This Row],[Keff]]*Games[[#This Row],[MOVMult]])*(Games[[#This Row],[Result]]-Games[[#This Row],[ExpectedWin%]])</f>
        <v>18.964285184030032</v>
      </c>
      <c r="AB188" s="4">
        <f>Games[[#This Row],[PreGmRate]]+Games[[#This Row],[RatingChange]]</f>
        <v>1395.7461717283065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37071</v>
      </c>
      <c r="B189" s="2">
        <v>2001</v>
      </c>
      <c r="C189" s="2">
        <f>COUNTIFS(Games[Team],Games[[#This Row],[Team]],Games[Season],Games[[#This Row],[Season]],Games[Date],"&lt;=" &amp; Games[[#This Row],[Date]])</f>
        <v>12</v>
      </c>
      <c r="D189" s="2" t="s">
        <v>23</v>
      </c>
      <c r="E189" s="2" t="s">
        <v>29</v>
      </c>
      <c r="F189" s="1" t="s">
        <v>85</v>
      </c>
      <c r="G189" s="1" t="s">
        <v>64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0</v>
      </c>
      <c r="L189" s="2">
        <f>Games[[#This Row],[OppDaysOff]]-Games[[#This Row],[DaysOff]]</f>
        <v>0</v>
      </c>
      <c r="M189" s="1">
        <f>MAX(-16, MIN(16, Games[[#This Row],[RestDiff]]*8))</f>
        <v>0</v>
      </c>
      <c r="N189" s="1">
        <f>MAX(-16, MIN(16, Games[[#This Row],[OppRestDiff]]*8))</f>
        <v>0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1431.4003248956797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1376.7818865442764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0.68953619682365053</v>
      </c>
      <c r="R189" s="1">
        <v>67</v>
      </c>
      <c r="S189" s="1">
        <v>75</v>
      </c>
      <c r="T189" s="1">
        <v>0</v>
      </c>
      <c r="U189" s="1">
        <f>Games[[#This Row],[PointsFor]]-Games[[#This Row],[PointsAgainst]]</f>
        <v>-8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0.37141064387345762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74.2</v>
      </c>
      <c r="Z189" s="4">
        <f>Games[[#This Row],[K]]*Games[[#This Row],[POMult]]</f>
        <v>74.2</v>
      </c>
      <c r="AA189" s="4">
        <f>(Games[[#This Row],[Keff]]*Games[[#This Row],[MOVMult]])*(Games[[#This Row],[Result]]-Games[[#This Row],[ExpectedWin%]])</f>
        <v>-19.002700346455484</v>
      </c>
      <c r="AB189" s="4">
        <f>Games[[#This Row],[PreGmRate]]+Games[[#This Row],[RatingChange]]</f>
        <v>1412.3976245492242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37071</v>
      </c>
      <c r="B190" s="2">
        <v>2001</v>
      </c>
      <c r="C190" s="2">
        <f>COUNTIFS(Games[Team],Games[[#This Row],[Team]],Games[Season],Games[[#This Row],[Season]],Games[Date],"&lt;=" &amp; Games[[#This Row],[Date]])</f>
        <v>12</v>
      </c>
      <c r="D190" s="2" t="s">
        <v>23</v>
      </c>
      <c r="E190" s="2" t="s">
        <v>29</v>
      </c>
      <c r="F190" s="1" t="s">
        <v>89</v>
      </c>
      <c r="G190" s="1" t="s">
        <v>83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1494.146660904614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1452.939195587544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0.43872612220543061</v>
      </c>
      <c r="R190" s="1">
        <v>74</v>
      </c>
      <c r="S190" s="1">
        <v>72</v>
      </c>
      <c r="T190" s="1">
        <v>1</v>
      </c>
      <c r="U190" s="1">
        <f>Games[[#This Row],[PointsFor]]-Games[[#This Row],[PointsAgainst]]</f>
        <v>2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0.23305421096589116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74.2</v>
      </c>
      <c r="Z190" s="4">
        <f>Games[[#This Row],[K]]*Games[[#This Row],[POMult]]</f>
        <v>74.2</v>
      </c>
      <c r="AA190" s="4">
        <f>(Games[[#This Row],[Keff]]*Games[[#This Row],[MOVMult]])*(Games[[#This Row],[Result]]-Games[[#This Row],[ExpectedWin%]])</f>
        <v>9.7058972618083104</v>
      </c>
      <c r="AB190" s="4">
        <f>Games[[#This Row],[PreGmRate]]+Games[[#This Row],[RatingChange]]</f>
        <v>1503.8525581664223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37071</v>
      </c>
      <c r="B191" s="2">
        <v>2001</v>
      </c>
      <c r="C191" s="2">
        <f>COUNTIFS(Games[Team],Games[[#This Row],[Team]],Games[Season],Games[[#This Row],[Season]],Games[Date],"&lt;=" &amp; Games[[#This Row],[Date]])</f>
        <v>12</v>
      </c>
      <c r="D191" s="2" t="s">
        <v>23</v>
      </c>
      <c r="E191" s="2" t="s">
        <v>29</v>
      </c>
      <c r="F191" s="1" t="s">
        <v>83</v>
      </c>
      <c r="G191" s="1" t="s">
        <v>89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1452.939195587544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1494.146660904614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0.5612738777945695</v>
      </c>
      <c r="R191" s="1">
        <v>72</v>
      </c>
      <c r="S191" s="1">
        <v>74</v>
      </c>
      <c r="T191" s="1">
        <v>1</v>
      </c>
      <c r="U191" s="1">
        <f>Games[[#This Row],[PointsFor]]-Games[[#This Row],[PointsAgainst]]</f>
        <v>-2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0.23305421096589116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74.2</v>
      </c>
      <c r="Z191" s="4">
        <f>Games[[#This Row],[K]]*Games[[#This Row],[POMult]]</f>
        <v>74.2</v>
      </c>
      <c r="AA191" s="4">
        <f>(Games[[#This Row],[Keff]]*Games[[#This Row],[MOVMult]])*(Games[[#This Row],[Result]]-Games[[#This Row],[ExpectedWin%]])</f>
        <v>-9.7058972618083139</v>
      </c>
      <c r="AB191" s="4">
        <f>Games[[#This Row],[PreGmRate]]+Games[[#This Row],[RatingChange]]</f>
        <v>1443.2332983257356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37071</v>
      </c>
      <c r="B192" s="2">
        <v>2001</v>
      </c>
      <c r="C192" s="2">
        <f>COUNTIFS(Games[Team],Games[[#This Row],[Team]],Games[Season],Games[[#This Row],[Season]],Games[Date],"&lt;=" &amp; Games[[#This Row],[Date]])</f>
        <v>11</v>
      </c>
      <c r="D192" s="2" t="s">
        <v>23</v>
      </c>
      <c r="E192" s="2" t="s">
        <v>29</v>
      </c>
      <c r="F192" s="1" t="s">
        <v>43</v>
      </c>
      <c r="G192" s="1" t="s">
        <v>75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1499.4388800155134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1376.7800736621316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0.55540602626813274</v>
      </c>
      <c r="R192" s="1">
        <v>64</v>
      </c>
      <c r="S192" s="1">
        <v>74</v>
      </c>
      <c r="T192" s="1">
        <v>0</v>
      </c>
      <c r="U192" s="1">
        <f>Games[[#This Row],[PointsFor]]-Games[[#This Row],[PointsAgainst]]</f>
        <v>-10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0.38389011342890567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74.349999999999994</v>
      </c>
      <c r="Z192" s="4">
        <f>Games[[#This Row],[K]]*Games[[#This Row],[POMult]]</f>
        <v>74.349999999999994</v>
      </c>
      <c r="AA192" s="4">
        <f>(Games[[#This Row],[Keff]]*Games[[#This Row],[MOVMult]])*(Games[[#This Row],[Result]]-Games[[#This Row],[ExpectedWin%]])</f>
        <v>-15.85252650816278</v>
      </c>
      <c r="AB192" s="4">
        <f>Games[[#This Row],[PreGmRate]]+Games[[#This Row],[RatingChange]]</f>
        <v>1483.5863535073506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37071</v>
      </c>
      <c r="B193" s="2">
        <v>2001</v>
      </c>
      <c r="C193" s="2">
        <f>COUNTIFS(Games[Team],Games[[#This Row],[Team]],Games[Season],Games[[#This Row],[Season]],Games[Date],"&lt;=" &amp; Games[[#This Row],[Date]])</f>
        <v>12</v>
      </c>
      <c r="D193" s="2" t="s">
        <v>23</v>
      </c>
      <c r="E193" s="2" t="s">
        <v>29</v>
      </c>
      <c r="F193" s="1" t="s">
        <v>75</v>
      </c>
      <c r="G193" s="1" t="s">
        <v>43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1376.7800736621316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1499.4388800155134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0.44459397373186738</v>
      </c>
      <c r="R193" s="1">
        <v>74</v>
      </c>
      <c r="S193" s="1">
        <v>64</v>
      </c>
      <c r="T193" s="1">
        <v>0</v>
      </c>
      <c r="U193" s="1">
        <f>Games[[#This Row],[PointsFor]]-Games[[#This Row],[PointsAgainst]]</f>
        <v>10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0.38389011342890567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74.2</v>
      </c>
      <c r="Z193" s="4">
        <f>Games[[#This Row],[K]]*Games[[#This Row],[POMult]]</f>
        <v>74.2</v>
      </c>
      <c r="AA193" s="4">
        <f>(Games[[#This Row],[Keff]]*Games[[#This Row],[MOVMult]])*(Games[[#This Row],[Result]]-Games[[#This Row],[ExpectedWin%]])</f>
        <v>15.820544275799303</v>
      </c>
      <c r="AB193" s="4">
        <f>Games[[#This Row],[PreGmRate]]+Games[[#This Row],[RatingChange]]</f>
        <v>1392.6006179379308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37072</v>
      </c>
      <c r="B194" s="2">
        <v>2001</v>
      </c>
      <c r="C194" s="2">
        <f>COUNTIFS(Games[Team],Games[[#This Row],[Team]],Games[Season],Games[[#This Row],[Season]],Games[Date],"&lt;=" &amp; Games[[#This Row],[Date]])</f>
        <v>14</v>
      </c>
      <c r="D194" s="2" t="s">
        <v>23</v>
      </c>
      <c r="E194" s="2" t="s">
        <v>29</v>
      </c>
      <c r="F194" s="1" t="s">
        <v>1</v>
      </c>
      <c r="G194" s="1" t="s">
        <v>64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4" s="2">
        <f>Games[[#This Row],[DaysOff]]-Games[[#This Row],[OppDaysOff]]</f>
        <v>2</v>
      </c>
      <c r="L194" s="2">
        <f>Games[[#This Row],[OppDaysOff]]-Games[[#This Row],[DaysOff]]</f>
        <v>-2</v>
      </c>
      <c r="M194" s="1">
        <f>MAX(-16, MIN(16, Games[[#This Row],[RestDiff]]*8))</f>
        <v>16</v>
      </c>
      <c r="N194" s="1">
        <f>MAX(-16, MIN(16, Games[[#This Row],[OppRestDiff]]*8))</f>
        <v>-16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1620.7158487336483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1395.7461717283065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0.730211027197884</v>
      </c>
      <c r="R194" s="1">
        <v>55</v>
      </c>
      <c r="S194" s="1">
        <v>58</v>
      </c>
      <c r="T194" s="1">
        <v>0</v>
      </c>
      <c r="U194" s="1">
        <f>Games[[#This Row],[PointsFor]]-Games[[#This Row],[PointsAgainst]]</f>
        <v>-3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0.24437027042586273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73.900000000000006</v>
      </c>
      <c r="Z194" s="4">
        <f>Games[[#This Row],[K]]*Games[[#This Row],[POMult]]</f>
        <v>73.900000000000006</v>
      </c>
      <c r="AA194" s="4">
        <f>(Games[[#This Row],[Keff]]*Games[[#This Row],[MOVMult]])*(Games[[#This Row],[Result]]-Games[[#This Row],[ExpectedWin%]])</f>
        <v>-13.186853911019321</v>
      </c>
      <c r="AB194" s="4">
        <f>Games[[#This Row],[PreGmRate]]+Games[[#This Row],[RatingChange]]</f>
        <v>1607.5289948226289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37072</v>
      </c>
      <c r="B195" s="2">
        <v>2001</v>
      </c>
      <c r="C195" s="2">
        <f>COUNTIFS(Games[Team],Games[[#This Row],[Team]],Games[Season],Games[[#This Row],[Season]],Games[Date],"&lt;=" &amp; Games[[#This Row],[Date]])</f>
        <v>14</v>
      </c>
      <c r="D195" s="2" t="s">
        <v>23</v>
      </c>
      <c r="E195" s="2" t="s">
        <v>29</v>
      </c>
      <c r="F195" s="1" t="s">
        <v>64</v>
      </c>
      <c r="G195" s="1" t="s">
        <v>1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5" s="2">
        <f>Games[[#This Row],[DaysOff]]-Games[[#This Row],[OppDaysOff]]</f>
        <v>-2</v>
      </c>
      <c r="L195" s="2">
        <f>Games[[#This Row],[OppDaysOff]]-Games[[#This Row],[DaysOff]]</f>
        <v>2</v>
      </c>
      <c r="M195" s="1">
        <f>MAX(-16, MIN(16, Games[[#This Row],[RestDiff]]*8))</f>
        <v>-16</v>
      </c>
      <c r="N195" s="1">
        <f>MAX(-16, MIN(16, Games[[#This Row],[OppRestDiff]]*8))</f>
        <v>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1395.7461717283065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1620.7158487336483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0.269788972802116</v>
      </c>
      <c r="R195" s="1">
        <v>58</v>
      </c>
      <c r="S195" s="1">
        <v>55</v>
      </c>
      <c r="T195" s="1">
        <v>0</v>
      </c>
      <c r="U195" s="1">
        <f>Games[[#This Row],[PointsFor]]-Games[[#This Row],[PointsAgainst]]</f>
        <v>3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0.24437027042586273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73.900000000000006</v>
      </c>
      <c r="Z195" s="4">
        <f>Games[[#This Row],[K]]*Games[[#This Row],[POMult]]</f>
        <v>73.900000000000006</v>
      </c>
      <c r="AA195" s="4">
        <f>(Games[[#This Row],[Keff]]*Games[[#This Row],[MOVMult]])*(Games[[#This Row],[Result]]-Games[[#This Row],[ExpectedWin%]])</f>
        <v>13.186853911019321</v>
      </c>
      <c r="AB195" s="4">
        <f>Games[[#This Row],[PreGmRate]]+Games[[#This Row],[RatingChange]]</f>
        <v>1408.9330256393259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37072</v>
      </c>
      <c r="B196" s="2">
        <v>2001</v>
      </c>
      <c r="C196" s="2">
        <f>COUNTIFS(Games[Team],Games[[#This Row],[Team]],Games[Season],Games[[#This Row],[Season]],Games[Date],"&lt;=" &amp; Games[[#This Row],[Date]])</f>
        <v>12</v>
      </c>
      <c r="D196" s="2" t="s">
        <v>23</v>
      </c>
      <c r="E196" s="2" t="s">
        <v>29</v>
      </c>
      <c r="F196" s="1" t="s">
        <v>2</v>
      </c>
      <c r="G196" s="1" t="s">
        <v>80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1684.9730190215171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1497.3469413788064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0.64485965487849273</v>
      </c>
      <c r="R196" s="1">
        <v>59</v>
      </c>
      <c r="S196" s="1">
        <v>52</v>
      </c>
      <c r="T196" s="1">
        <v>0</v>
      </c>
      <c r="U196" s="1">
        <f>Games[[#This Row],[PointsFor]]-Games[[#This Row],[PointsAgainst]]</f>
        <v>7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0.32006360657264854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74.2</v>
      </c>
      <c r="Z196" s="4">
        <f>Games[[#This Row],[K]]*Games[[#This Row],[POMult]]</f>
        <v>74.2</v>
      </c>
      <c r="AA196" s="4">
        <f>(Games[[#This Row],[Keff]]*Games[[#This Row],[MOVMult]])*(Games[[#This Row],[Result]]-Games[[#This Row],[ExpectedWin%]])</f>
        <v>8.4341284776691179</v>
      </c>
      <c r="AB196" s="4">
        <f>Games[[#This Row],[PreGmRate]]+Games[[#This Row],[RatingChange]]</f>
        <v>1693.4071474991863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37072</v>
      </c>
      <c r="B197" s="2">
        <v>2001</v>
      </c>
      <c r="C197" s="2">
        <f>COUNTIFS(Games[Team],Games[[#This Row],[Team]],Games[Season],Games[[#This Row],[Season]],Games[Date],"&lt;=" &amp; Games[[#This Row],[Date]])</f>
        <v>11</v>
      </c>
      <c r="D197" s="2" t="s">
        <v>23</v>
      </c>
      <c r="E197" s="2" t="s">
        <v>29</v>
      </c>
      <c r="F197" s="1" t="s">
        <v>80</v>
      </c>
      <c r="G197" s="1" t="s">
        <v>2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1497.3469413788064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1684.9730190215171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0.35514034512150727</v>
      </c>
      <c r="R197" s="1">
        <v>52</v>
      </c>
      <c r="S197" s="1">
        <v>59</v>
      </c>
      <c r="T197" s="1">
        <v>0</v>
      </c>
      <c r="U197" s="1">
        <f>Games[[#This Row],[PointsFor]]-Games[[#This Row],[PointsAgainst]]</f>
        <v>-7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0.32006360657264854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74.349999999999994</v>
      </c>
      <c r="Z197" s="4">
        <f>Games[[#This Row],[K]]*Games[[#This Row],[POMult]]</f>
        <v>74.349999999999994</v>
      </c>
      <c r="AA197" s="4">
        <f>(Games[[#This Row],[Keff]]*Games[[#This Row],[MOVMult]])*(Games[[#This Row],[Result]]-Games[[#This Row],[ExpectedWin%]])</f>
        <v>-8.4511786026239744</v>
      </c>
      <c r="AB197" s="4">
        <f>Games[[#This Row],[PreGmRate]]+Games[[#This Row],[RatingChange]]</f>
        <v>1488.8957627761824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37072</v>
      </c>
      <c r="B198" s="2">
        <v>2001</v>
      </c>
      <c r="C198" s="2">
        <f>COUNTIFS(Games[Team],Games[[#This Row],[Team]],Games[Season],Games[[#This Row],[Season]],Games[Date],"&lt;=" &amp; Games[[#This Row],[Date]])</f>
        <v>12</v>
      </c>
      <c r="D198" s="2" t="s">
        <v>23</v>
      </c>
      <c r="E198" s="2" t="s">
        <v>29</v>
      </c>
      <c r="F198" s="1" t="s">
        <v>79</v>
      </c>
      <c r="G198" s="1" t="s">
        <v>66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98" s="2">
        <f>Games[[#This Row],[DaysOff]]-Games[[#This Row],[OppDaysOff]]</f>
        <v>-2</v>
      </c>
      <c r="L198" s="2">
        <f>Games[[#This Row],[OppDaysOff]]-Games[[#This Row],[DaysOff]]</f>
        <v>2</v>
      </c>
      <c r="M198" s="1">
        <f>MAX(-16, MIN(16, Games[[#This Row],[RestDiff]]*8))</f>
        <v>-16</v>
      </c>
      <c r="N198" s="1">
        <f>MAX(-16, MIN(16, Games[[#This Row],[OppRestDiff]]*8))</f>
        <v>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1463.4963586034619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1587.8164836931862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0.20046448659771951</v>
      </c>
      <c r="R198" s="1">
        <v>60</v>
      </c>
      <c r="S198" s="1">
        <v>72</v>
      </c>
      <c r="T198" s="1">
        <v>0</v>
      </c>
      <c r="U198" s="1">
        <f>Games[[#This Row],[PointsFor]]-Games[[#This Row],[PointsAgainst]]</f>
        <v>-12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0.41331043855787125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74.2</v>
      </c>
      <c r="Z198" s="4">
        <f>Games[[#This Row],[K]]*Games[[#This Row],[POMult]]</f>
        <v>74.2</v>
      </c>
      <c r="AA198" s="4">
        <f>(Games[[#This Row],[Keff]]*Games[[#This Row],[MOVMult]])*(Games[[#This Row],[Result]]-Games[[#This Row],[ExpectedWin%]])</f>
        <v>-6.147771613426861</v>
      </c>
      <c r="AB198" s="4">
        <f>Games[[#This Row],[PreGmRate]]+Games[[#This Row],[RatingChange]]</f>
        <v>1457.3485869900351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37072</v>
      </c>
      <c r="B199" s="2">
        <v>2001</v>
      </c>
      <c r="C199" s="2">
        <f>COUNTIFS(Games[Team],Games[[#This Row],[Team]],Games[Season],Games[[#This Row],[Season]],Games[Date],"&lt;=" &amp; Games[[#This Row],[Date]])</f>
        <v>13</v>
      </c>
      <c r="D199" s="2" t="s">
        <v>23</v>
      </c>
      <c r="E199" s="2" t="s">
        <v>29</v>
      </c>
      <c r="F199" s="1" t="s">
        <v>66</v>
      </c>
      <c r="G199" s="1" t="s">
        <v>79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2</v>
      </c>
      <c r="L199" s="2">
        <f>Games[[#This Row],[OppDaysOff]]-Games[[#This Row],[DaysOff]]</f>
        <v>-2</v>
      </c>
      <c r="M199" s="1">
        <f>MAX(-16, MIN(16, Games[[#This Row],[RestDiff]]*8))</f>
        <v>16</v>
      </c>
      <c r="N199" s="1">
        <f>MAX(-16, MIN(16, Games[[#This Row],[OppRestDiff]]*8))</f>
        <v>-16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1587.8164836931862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1463.4963586034619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0.79953551340228057</v>
      </c>
      <c r="R199" s="1">
        <v>72</v>
      </c>
      <c r="S199" s="1">
        <v>60</v>
      </c>
      <c r="T199" s="1">
        <v>0</v>
      </c>
      <c r="U199" s="1">
        <f>Games[[#This Row],[PointsFor]]-Games[[#This Row],[PointsAgainst]]</f>
        <v>12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0.41331043855787125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74.05</v>
      </c>
      <c r="Z199" s="4">
        <f>Games[[#This Row],[K]]*Games[[#This Row],[POMult]]</f>
        <v>74.05</v>
      </c>
      <c r="AA199" s="4">
        <f>(Games[[#This Row],[Keff]]*Games[[#This Row],[MOVMult]])*(Games[[#This Row],[Result]]-Games[[#This Row],[ExpectedWin%]])</f>
        <v>6.1353435036962107</v>
      </c>
      <c r="AB199" s="4">
        <f>Games[[#This Row],[PreGmRate]]+Games[[#This Row],[RatingChange]]</f>
        <v>1593.9518271968825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37072</v>
      </c>
      <c r="B200" s="2">
        <v>2001</v>
      </c>
      <c r="C200" s="2">
        <f>COUNTIFS(Games[Team],Games[[#This Row],[Team]],Games[Season],Games[[#This Row],[Season]],Games[Date],"&lt;=" &amp; Games[[#This Row],[Date]])</f>
        <v>14</v>
      </c>
      <c r="D200" s="2" t="s">
        <v>23</v>
      </c>
      <c r="E200" s="2" t="s">
        <v>29</v>
      </c>
      <c r="F200" s="1" t="s">
        <v>45</v>
      </c>
      <c r="G200" s="1" t="s">
        <v>87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0</v>
      </c>
      <c r="L200" s="2">
        <f>Games[[#This Row],[OppDaysOff]]-Games[[#This Row],[DaysOff]]</f>
        <v>0</v>
      </c>
      <c r="M200" s="1">
        <f>MAX(-16, MIN(16, Games[[#This Row],[RestDiff]]*8))</f>
        <v>0</v>
      </c>
      <c r="N200" s="1">
        <f>MAX(-16, MIN(16, Games[[#This Row],[OppRestDiff]]*8))</f>
        <v>0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1560.1265831656158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1444.1428384727501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0.54589872674243589</v>
      </c>
      <c r="R200" s="1">
        <v>65</v>
      </c>
      <c r="S200" s="1">
        <v>59</v>
      </c>
      <c r="T200" s="1">
        <v>0</v>
      </c>
      <c r="U200" s="1">
        <f>Games[[#This Row],[PointsFor]]-Games[[#This Row],[PointsAgainst]]</f>
        <v>6</v>
      </c>
      <c r="V200" s="1">
        <f>IF(Games[[#This Row],[MOV]]&gt;0,1,IF(Games[[#This Row],[MOV]]=0,0.5,0))</f>
        <v>1</v>
      </c>
      <c r="W200" s="4">
        <f>((ABS(Games[[#This Row],[MOV]])+5)^0.6)/(12+0.01*(ABS(Games[[#This Row],[PreGmRate]]-Games[[#This Row],[OppPreGmRate]])))*IF(Games[[#This Row],[OT]]=1,0.9,1)</f>
        <v>0.32032076004675231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73.900000000000006</v>
      </c>
      <c r="Z200" s="4">
        <f>Games[[#This Row],[K]]*Games[[#This Row],[POMult]]</f>
        <v>73.900000000000006</v>
      </c>
      <c r="AA200" s="4">
        <f>(Games[[#This Row],[Keff]]*Games[[#This Row],[MOVMult]])*(Games[[#This Row],[Result]]-Games[[#This Row],[ExpectedWin%]])</f>
        <v>10.749351002617701</v>
      </c>
      <c r="AB200" s="4">
        <f>Games[[#This Row],[PreGmRate]]+Games[[#This Row],[RatingChange]]</f>
        <v>1570.8759341682335</v>
      </c>
      <c r="AC200" s="2">
        <f>IF(Games[[#This Row],[Type]]="R",IF(Games[[#This Row],[Result]]&gt;0.5,1,0),0)</f>
        <v>1</v>
      </c>
      <c r="AD200" s="2">
        <f>IF(Games[[#This Row],[Type]]="R",IF(Games[[#This Row],[Result]]&lt;0.5,1,0),0)</f>
        <v>0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37072</v>
      </c>
      <c r="B201" s="2">
        <v>2001</v>
      </c>
      <c r="C201" s="2">
        <f>COUNTIFS(Games[Team],Games[[#This Row],[Team]],Games[Season],Games[[#This Row],[Season]],Games[Date],"&lt;=" &amp; Games[[#This Row],[Date]])</f>
        <v>14</v>
      </c>
      <c r="D201" s="2" t="s">
        <v>23</v>
      </c>
      <c r="E201" s="2" t="s">
        <v>29</v>
      </c>
      <c r="F201" s="1" t="s">
        <v>87</v>
      </c>
      <c r="G201" s="1" t="s">
        <v>45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1" s="2">
        <f>Games[[#This Row],[DaysOff]]-Games[[#This Row],[OppDaysOff]]</f>
        <v>0</v>
      </c>
      <c r="L201" s="2">
        <f>Games[[#This Row],[OppDaysOff]]-Games[[#This Row],[DaysOff]]</f>
        <v>0</v>
      </c>
      <c r="M201" s="1">
        <f>MAX(-16, MIN(16, Games[[#This Row],[RestDiff]]*8))</f>
        <v>0</v>
      </c>
      <c r="N201" s="1">
        <f>MAX(-16, MIN(16, Games[[#This Row],[OppRestDiff]]*8))</f>
        <v>0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1444.1428384727501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1560.1265831656158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0.45410127325756411</v>
      </c>
      <c r="R201" s="1">
        <v>59</v>
      </c>
      <c r="S201" s="1">
        <v>65</v>
      </c>
      <c r="T201" s="1">
        <v>0</v>
      </c>
      <c r="U201" s="1">
        <f>Games[[#This Row],[PointsFor]]-Games[[#This Row],[PointsAgainst]]</f>
        <v>-6</v>
      </c>
      <c r="V201" s="1">
        <f>IF(Games[[#This Row],[MOV]]&gt;0,1,IF(Games[[#This Row],[MOV]]=0,0.5,0))</f>
        <v>0</v>
      </c>
      <c r="W201" s="4">
        <f>((ABS(Games[[#This Row],[MOV]])+5)^0.6)/(12+0.01*(ABS(Games[[#This Row],[PreGmRate]]-Games[[#This Row],[OppPreGmRate]])))*IF(Games[[#This Row],[OT]]=1,0.9,1)</f>
        <v>0.32032076004675231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73.900000000000006</v>
      </c>
      <c r="Z201" s="4">
        <f>Games[[#This Row],[K]]*Games[[#This Row],[POMult]]</f>
        <v>73.900000000000006</v>
      </c>
      <c r="AA201" s="4">
        <f>(Games[[#This Row],[Keff]]*Games[[#This Row],[MOVMult]])*(Games[[#This Row],[Result]]-Games[[#This Row],[ExpectedWin%]])</f>
        <v>-10.749351002617701</v>
      </c>
      <c r="AB201" s="4">
        <f>Games[[#This Row],[PreGmRate]]+Games[[#This Row],[RatingChange]]</f>
        <v>1433.3934874701324</v>
      </c>
      <c r="AC201" s="2">
        <f>IF(Games[[#This Row],[Type]]="R",IF(Games[[#This Row],[Result]]&gt;0.5,1,0),0)</f>
        <v>0</v>
      </c>
      <c r="AD201" s="2">
        <f>IF(Games[[#This Row],[Type]]="R",IF(Games[[#This Row],[Result]]&lt;0.5,1,0),0)</f>
        <v>1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37073</v>
      </c>
      <c r="B202" s="2">
        <v>2001</v>
      </c>
      <c r="C202" s="2">
        <f>COUNTIFS(Games[Team],Games[[#This Row],[Team]],Games[Season],Games[[#This Row],[Season]],Games[Date],"&lt;=" &amp; Games[[#This Row],[Date]])</f>
        <v>12</v>
      </c>
      <c r="D202" s="2" t="s">
        <v>23</v>
      </c>
      <c r="E202" s="2" t="s">
        <v>29</v>
      </c>
      <c r="F202" s="1" t="s">
        <v>80</v>
      </c>
      <c r="G202" s="1" t="s">
        <v>1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1488.8957627761824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1607.5289948226289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0.23749714531666946</v>
      </c>
      <c r="R202" s="1">
        <v>47</v>
      </c>
      <c r="S202" s="1">
        <v>52</v>
      </c>
      <c r="T202" s="1">
        <v>0</v>
      </c>
      <c r="U202" s="1">
        <f>Games[[#This Row],[PointsFor]]-Games[[#This Row],[PointsAgainst]]</f>
        <v>-5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0.30190894699025356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74.2</v>
      </c>
      <c r="Z202" s="4">
        <f>Games[[#This Row],[K]]*Games[[#This Row],[POMult]]</f>
        <v>74.2</v>
      </c>
      <c r="AA202" s="4">
        <f>(Games[[#This Row],[Keff]]*Games[[#This Row],[MOVMult]])*(Games[[#This Row],[Result]]-Games[[#This Row],[ExpectedWin%]])</f>
        <v>-5.32032646873642</v>
      </c>
      <c r="AB202" s="4">
        <f>Games[[#This Row],[PreGmRate]]+Games[[#This Row],[RatingChange]]</f>
        <v>1483.5754363074461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37073</v>
      </c>
      <c r="B203" s="2">
        <v>2001</v>
      </c>
      <c r="C203" s="2">
        <f>COUNTIFS(Games[Team],Games[[#This Row],[Team]],Games[Season],Games[[#This Row],[Season]],Games[Date],"&lt;=" &amp; Games[[#This Row],[Date]])</f>
        <v>15</v>
      </c>
      <c r="D203" s="2" t="s">
        <v>23</v>
      </c>
      <c r="E203" s="2" t="s">
        <v>29</v>
      </c>
      <c r="F203" s="1" t="s">
        <v>1</v>
      </c>
      <c r="G203" s="1" t="s">
        <v>80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1607.5289948226289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1488.8957627761824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0.76250285468333057</v>
      </c>
      <c r="R203" s="1">
        <v>52</v>
      </c>
      <c r="S203" s="1">
        <v>47</v>
      </c>
      <c r="T203" s="1">
        <v>0</v>
      </c>
      <c r="U203" s="1">
        <f>Games[[#This Row],[PointsFor]]-Games[[#This Row],[PointsAgainst]]</f>
        <v>5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0.30190894699025356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73.75</v>
      </c>
      <c r="Z203" s="4">
        <f>Games[[#This Row],[K]]*Games[[#This Row],[POMult]]</f>
        <v>73.75</v>
      </c>
      <c r="AA203" s="4">
        <f>(Games[[#This Row],[Keff]]*Games[[#This Row],[MOVMult]])*(Games[[#This Row],[Result]]-Games[[#This Row],[ExpectedWin%]])</f>
        <v>5.2880603378613342</v>
      </c>
      <c r="AB203" s="4">
        <f>Games[[#This Row],[PreGmRate]]+Games[[#This Row],[RatingChange]]</f>
        <v>1612.8170551604901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37073</v>
      </c>
      <c r="B204" s="2">
        <v>2001</v>
      </c>
      <c r="C204" s="2">
        <f>COUNTIFS(Games[Team],Games[[#This Row],[Team]],Games[Season],Games[[#This Row],[Season]],Games[Date],"&lt;=" &amp; Games[[#This Row],[Date]])</f>
        <v>13</v>
      </c>
      <c r="D204" s="2" t="s">
        <v>23</v>
      </c>
      <c r="E204" s="2" t="s">
        <v>29</v>
      </c>
      <c r="F204" s="1" t="s">
        <v>44</v>
      </c>
      <c r="G204" s="1" t="s">
        <v>85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1456.6224724961919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1412.3976245492242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0.44300772070696109</v>
      </c>
      <c r="R204" s="1">
        <v>78</v>
      </c>
      <c r="S204" s="1">
        <v>86</v>
      </c>
      <c r="T204" s="1">
        <v>1</v>
      </c>
      <c r="U204" s="1">
        <f>Games[[#This Row],[PointsFor]]-Games[[#This Row],[PointsAgainst]]</f>
        <v>-8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0.33706188917159541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74.05</v>
      </c>
      <c r="Z204" s="4">
        <f>Games[[#This Row],[K]]*Games[[#This Row],[POMult]]</f>
        <v>74.05</v>
      </c>
      <c r="AA204" s="4">
        <f>(Games[[#This Row],[Keff]]*Games[[#This Row],[MOVMult]])*(Games[[#This Row],[Result]]-Games[[#This Row],[ExpectedWin%]])</f>
        <v>-11.057221476135673</v>
      </c>
      <c r="AB204" s="4">
        <f>Games[[#This Row],[PreGmRate]]+Games[[#This Row],[RatingChange]]</f>
        <v>1445.5652510200562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37073</v>
      </c>
      <c r="B205" s="2">
        <v>2001</v>
      </c>
      <c r="C205" s="2">
        <f>COUNTIFS(Games[Team],Games[[#This Row],[Team]],Games[Season],Games[[#This Row],[Season]],Games[Date],"&lt;=" &amp; Games[[#This Row],[Date]])</f>
        <v>13</v>
      </c>
      <c r="D205" s="2" t="s">
        <v>23</v>
      </c>
      <c r="E205" s="2" t="s">
        <v>29</v>
      </c>
      <c r="F205" s="1" t="s">
        <v>85</v>
      </c>
      <c r="G205" s="1" t="s">
        <v>44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1412.3976245492242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1456.6224724961919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0.55699227929303896</v>
      </c>
      <c r="R205" s="1">
        <v>86</v>
      </c>
      <c r="S205" s="1">
        <v>78</v>
      </c>
      <c r="T205" s="1">
        <v>1</v>
      </c>
      <c r="U205" s="1">
        <f>Games[[#This Row],[PointsFor]]-Games[[#This Row],[PointsAgainst]]</f>
        <v>8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0.33706188917159541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74.05</v>
      </c>
      <c r="Z205" s="4">
        <f>Games[[#This Row],[K]]*Games[[#This Row],[POMult]]</f>
        <v>74.05</v>
      </c>
      <c r="AA205" s="4">
        <f>(Games[[#This Row],[Keff]]*Games[[#This Row],[MOVMult]])*(Games[[#This Row],[Result]]-Games[[#This Row],[ExpectedWin%]])</f>
        <v>11.057221476135673</v>
      </c>
      <c r="AB205" s="4">
        <f>Games[[#This Row],[PreGmRate]]+Games[[#This Row],[RatingChange]]</f>
        <v>1423.45484602536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37073</v>
      </c>
      <c r="B206" s="2">
        <v>2001</v>
      </c>
      <c r="C206" s="2">
        <f>COUNTIFS(Games[Team],Games[[#This Row],[Team]],Games[Season],Games[[#This Row],[Season]],Games[Date],"&lt;=" &amp; Games[[#This Row],[Date]])</f>
        <v>13</v>
      </c>
      <c r="D206" s="2" t="s">
        <v>23</v>
      </c>
      <c r="E206" s="2" t="s">
        <v>29</v>
      </c>
      <c r="F206" s="1" t="s">
        <v>83</v>
      </c>
      <c r="G206" s="1" t="s">
        <v>71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6" s="2">
        <f>Games[[#This Row],[DaysOff]]-Games[[#This Row],[OppDaysOff]]</f>
        <v>-3</v>
      </c>
      <c r="L206" s="2">
        <f>Games[[#This Row],[OppDaysOff]]-Games[[#This Row],[DaysOff]]</f>
        <v>3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1443.2332983257356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1653.0514812870472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0.13289966775667891</v>
      </c>
      <c r="R206" s="1">
        <v>60</v>
      </c>
      <c r="S206" s="1">
        <v>86</v>
      </c>
      <c r="T206" s="1">
        <v>0</v>
      </c>
      <c r="U206" s="1">
        <f>Games[[#This Row],[PointsFor]]-Games[[#This Row],[PointsAgainst]]</f>
        <v>-26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0.5567419019745633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74.05</v>
      </c>
      <c r="Z206" s="4">
        <f>Games[[#This Row],[K]]*Games[[#This Row],[POMult]]</f>
        <v>74.05</v>
      </c>
      <c r="AA206" s="4">
        <f>(Games[[#This Row],[Keff]]*Games[[#This Row],[MOVMult]])*(Games[[#This Row],[Result]]-Games[[#This Row],[ExpectedWin%]])</f>
        <v>-5.4790197617893632</v>
      </c>
      <c r="AB206" s="4">
        <f>Games[[#This Row],[PreGmRate]]+Games[[#This Row],[RatingChange]]</f>
        <v>1437.7542785639462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37073</v>
      </c>
      <c r="B207" s="2">
        <v>2001</v>
      </c>
      <c r="C207" s="2">
        <f>COUNTIFS(Games[Team],Games[[#This Row],[Team]],Games[Season],Games[[#This Row],[Season]],Games[Date],"&lt;=" &amp; Games[[#This Row],[Date]])</f>
        <v>14</v>
      </c>
      <c r="D207" s="2" t="s">
        <v>23</v>
      </c>
      <c r="E207" s="2" t="s">
        <v>29</v>
      </c>
      <c r="F207" s="1" t="s">
        <v>71</v>
      </c>
      <c r="G207" s="1" t="s">
        <v>83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3</v>
      </c>
      <c r="L207" s="2">
        <f>Games[[#This Row],[OppDaysOff]]-Games[[#This Row],[DaysOff]]</f>
        <v>-3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1653.0514812870472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1443.2332983257356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0.86710033224332106</v>
      </c>
      <c r="R207" s="1">
        <v>86</v>
      </c>
      <c r="S207" s="1">
        <v>60</v>
      </c>
      <c r="T207" s="1">
        <v>0</v>
      </c>
      <c r="U207" s="1">
        <f>Games[[#This Row],[PointsFor]]-Games[[#This Row],[PointsAgainst]]</f>
        <v>26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0.5567419019745633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73.900000000000006</v>
      </c>
      <c r="Z207" s="4">
        <f>Games[[#This Row],[K]]*Games[[#This Row],[POMult]]</f>
        <v>73.900000000000006</v>
      </c>
      <c r="AA207" s="4">
        <f>(Games[[#This Row],[Keff]]*Games[[#This Row],[MOVMult]])*(Games[[#This Row],[Result]]-Games[[#This Row],[ExpectedWin%]])</f>
        <v>5.4679211397195688</v>
      </c>
      <c r="AB207" s="4">
        <f>Games[[#This Row],[PreGmRate]]+Games[[#This Row],[RatingChange]]</f>
        <v>1658.5194024267666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37073</v>
      </c>
      <c r="B208" s="2">
        <v>2001</v>
      </c>
      <c r="C208" s="2">
        <f>COUNTIFS(Games[Team],Games[[#This Row],[Team]],Games[Season],Games[[#This Row],[Season]],Games[Date],"&lt;=" &amp; Games[[#This Row],[Date]])</f>
        <v>13</v>
      </c>
      <c r="D208" s="2" t="s">
        <v>23</v>
      </c>
      <c r="E208" s="2" t="s">
        <v>29</v>
      </c>
      <c r="F208" s="1" t="s">
        <v>79</v>
      </c>
      <c r="G208" s="1" t="s">
        <v>75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-1</v>
      </c>
      <c r="L208" s="2">
        <f>Games[[#This Row],[OppDaysOff]]-Games[[#This Row],[DaysOff]]</f>
        <v>1</v>
      </c>
      <c r="M208" s="1">
        <f>MAX(-16, MIN(16, Games[[#This Row],[RestDiff]]*8))</f>
        <v>-8</v>
      </c>
      <c r="N208" s="1">
        <f>MAX(-16, MIN(16, Games[[#This Row],[OppRestDiff]]*8))</f>
        <v>8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1457.3485869900351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1392.6006179379308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0.44944162726377868</v>
      </c>
      <c r="R208" s="1">
        <v>64</v>
      </c>
      <c r="S208" s="1">
        <v>76</v>
      </c>
      <c r="T208" s="1">
        <v>0</v>
      </c>
      <c r="U208" s="1">
        <f>Games[[#This Row],[PointsFor]]-Games[[#This Row],[PointsAgainst]]</f>
        <v>-12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0.43277818591958478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74.05</v>
      </c>
      <c r="Z208" s="4">
        <f>Games[[#This Row],[K]]*Games[[#This Row],[POMult]]</f>
        <v>74.05</v>
      </c>
      <c r="AA208" s="4">
        <f>(Games[[#This Row],[Keff]]*Games[[#This Row],[MOVMult]])*(Games[[#This Row],[Result]]-Games[[#This Row],[ExpectedWin%]])</f>
        <v>-14.403356803779559</v>
      </c>
      <c r="AB208" s="4">
        <f>Games[[#This Row],[PreGmRate]]+Games[[#This Row],[RatingChange]]</f>
        <v>1442.9452301862555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37073</v>
      </c>
      <c r="B209" s="2">
        <v>2001</v>
      </c>
      <c r="C209" s="2">
        <f>COUNTIFS(Games[Team],Games[[#This Row],[Team]],Games[Season],Games[[#This Row],[Season]],Games[Date],"&lt;=" &amp; Games[[#This Row],[Date]])</f>
        <v>13</v>
      </c>
      <c r="D209" s="2" t="s">
        <v>23</v>
      </c>
      <c r="E209" s="2" t="s">
        <v>29</v>
      </c>
      <c r="F209" s="1" t="s">
        <v>75</v>
      </c>
      <c r="G209" s="1" t="s">
        <v>79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9" s="2">
        <f>Games[[#This Row],[DaysOff]]-Games[[#This Row],[OppDaysOff]]</f>
        <v>1</v>
      </c>
      <c r="L209" s="2">
        <f>Games[[#This Row],[OppDaysOff]]-Games[[#This Row],[DaysOff]]</f>
        <v>-1</v>
      </c>
      <c r="M209" s="1">
        <f>MAX(-16, MIN(16, Games[[#This Row],[RestDiff]]*8))</f>
        <v>8</v>
      </c>
      <c r="N209" s="1">
        <f>MAX(-16, MIN(16, Games[[#This Row],[OppRestDiff]]*8))</f>
        <v>-8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1392.6006179379308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1457.3485869900351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0.55055837273622132</v>
      </c>
      <c r="R209" s="1">
        <v>76</v>
      </c>
      <c r="S209" s="1">
        <v>64</v>
      </c>
      <c r="T209" s="1">
        <v>0</v>
      </c>
      <c r="U209" s="1">
        <f>Games[[#This Row],[PointsFor]]-Games[[#This Row],[PointsAgainst]]</f>
        <v>12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0.43277818591958478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74.05</v>
      </c>
      <c r="Z209" s="4">
        <f>Games[[#This Row],[K]]*Games[[#This Row],[POMult]]</f>
        <v>74.05</v>
      </c>
      <c r="AA209" s="4">
        <f>(Games[[#This Row],[Keff]]*Games[[#This Row],[MOVMult]])*(Games[[#This Row],[Result]]-Games[[#This Row],[ExpectedWin%]])</f>
        <v>14.403356803779559</v>
      </c>
      <c r="AB209" s="4">
        <f>Games[[#This Row],[PreGmRate]]+Games[[#This Row],[RatingChange]]</f>
        <v>1407.0039747417104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37074</v>
      </c>
      <c r="B210" s="2">
        <v>2001</v>
      </c>
      <c r="C210" s="2">
        <f>COUNTIFS(Games[Team],Games[[#This Row],[Team]],Games[Season],Games[[#This Row],[Season]],Games[Date],"&lt;=" &amp; Games[[#This Row],[Date]])</f>
        <v>13</v>
      </c>
      <c r="D210" s="2" t="s">
        <v>23</v>
      </c>
      <c r="E210" s="2" t="s">
        <v>29</v>
      </c>
      <c r="F210" s="1" t="s">
        <v>89</v>
      </c>
      <c r="G210" s="1" t="s">
        <v>2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1</v>
      </c>
      <c r="L210" s="2">
        <f>Games[[#This Row],[OppDaysOff]]-Games[[#This Row],[DaysOff]]</f>
        <v>-1</v>
      </c>
      <c r="M210" s="1">
        <f>MAX(-16, MIN(16, Games[[#This Row],[RestDiff]]*8))</f>
        <v>8</v>
      </c>
      <c r="N210" s="1">
        <f>MAX(-16, MIN(16, Games[[#This Row],[OppRestDiff]]*8))</f>
        <v>-8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1503.8525581664223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1693.4071474991863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0.18503451384368239</v>
      </c>
      <c r="R210" s="1">
        <v>67</v>
      </c>
      <c r="S210" s="1">
        <v>74</v>
      </c>
      <c r="T210" s="1">
        <v>0</v>
      </c>
      <c r="U210" s="1">
        <f>Games[[#This Row],[PointsFor]]-Games[[#This Row],[PointsAgainst]]</f>
        <v>-7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0.31961940206886408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74.05</v>
      </c>
      <c r="Z210" s="4">
        <f>Games[[#This Row],[K]]*Games[[#This Row],[POMult]]</f>
        <v>74.05</v>
      </c>
      <c r="AA210" s="4">
        <f>(Games[[#This Row],[Keff]]*Games[[#This Row],[MOVMult]])*(Games[[#This Row],[Result]]-Games[[#This Row],[ExpectedWin%]])</f>
        <v>-4.3793629611185736</v>
      </c>
      <c r="AB210" s="4">
        <f>Games[[#This Row],[PreGmRate]]+Games[[#This Row],[RatingChange]]</f>
        <v>1499.4731952053037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37074</v>
      </c>
      <c r="B211" s="2">
        <v>2001</v>
      </c>
      <c r="C211" s="2">
        <f>COUNTIFS(Games[Team],Games[[#This Row],[Team]],Games[Season],Games[[#This Row],[Season]],Games[Date],"&lt;=" &amp; Games[[#This Row],[Date]])</f>
        <v>13</v>
      </c>
      <c r="D211" s="2" t="s">
        <v>23</v>
      </c>
      <c r="E211" s="2" t="s">
        <v>29</v>
      </c>
      <c r="F211" s="1" t="s">
        <v>2</v>
      </c>
      <c r="G211" s="1" t="s">
        <v>89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1" s="2">
        <f>Games[[#This Row],[DaysOff]]-Games[[#This Row],[OppDaysOff]]</f>
        <v>-1</v>
      </c>
      <c r="L211" s="2">
        <f>Games[[#This Row],[OppDaysOff]]-Games[[#This Row],[DaysOff]]</f>
        <v>1</v>
      </c>
      <c r="M211" s="1">
        <f>MAX(-16, MIN(16, Games[[#This Row],[RestDiff]]*8))</f>
        <v>-8</v>
      </c>
      <c r="N211" s="1">
        <f>MAX(-16, MIN(16, Games[[#This Row],[OppRestDiff]]*8))</f>
        <v>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1693.4071474991863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1503.8525581664223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0.81496548615631759</v>
      </c>
      <c r="R211" s="1">
        <v>74</v>
      </c>
      <c r="S211" s="1">
        <v>67</v>
      </c>
      <c r="T211" s="1">
        <v>0</v>
      </c>
      <c r="U211" s="1">
        <f>Games[[#This Row],[PointsFor]]-Games[[#This Row],[PointsAgainst]]</f>
        <v>7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0.31961940206886408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74.05</v>
      </c>
      <c r="Z211" s="4">
        <f>Games[[#This Row],[K]]*Games[[#This Row],[POMult]]</f>
        <v>74.05</v>
      </c>
      <c r="AA211" s="4">
        <f>(Games[[#This Row],[Keff]]*Games[[#This Row],[MOVMult]])*(Games[[#This Row],[Result]]-Games[[#This Row],[ExpectedWin%]])</f>
        <v>4.3793629611185745</v>
      </c>
      <c r="AB211" s="4">
        <f>Games[[#This Row],[PreGmRate]]+Games[[#This Row],[RatingChange]]</f>
        <v>1697.786510460305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37074</v>
      </c>
      <c r="B212" s="2">
        <v>2001</v>
      </c>
      <c r="C212" s="2">
        <f>COUNTIFS(Games[Team],Games[[#This Row],[Team]],Games[Season],Games[[#This Row],[Season]],Games[Date],"&lt;=" &amp; Games[[#This Row],[Date]])</f>
        <v>13</v>
      </c>
      <c r="D212" s="2" t="s">
        <v>23</v>
      </c>
      <c r="E212" s="2" t="s">
        <v>29</v>
      </c>
      <c r="F212" s="1" t="s">
        <v>77</v>
      </c>
      <c r="G212" s="1" t="s">
        <v>66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1</v>
      </c>
      <c r="L212" s="2">
        <f>Games[[#This Row],[OppDaysOff]]-Games[[#This Row],[DaysOff]]</f>
        <v>-1</v>
      </c>
      <c r="M212" s="1">
        <f>MAX(-16, MIN(16, Games[[#This Row],[RestDiff]]*8))</f>
        <v>8</v>
      </c>
      <c r="N212" s="1">
        <f>MAX(-16, MIN(16, Games[[#This Row],[OppRestDiff]]*8))</f>
        <v>-8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1399.292786471965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1593.9518271968825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0.18064450959227493</v>
      </c>
      <c r="R212" s="1">
        <v>60</v>
      </c>
      <c r="S212" s="1">
        <v>66</v>
      </c>
      <c r="T212" s="1">
        <v>0</v>
      </c>
      <c r="U212" s="1">
        <f>Games[[#This Row],[PointsFor]]-Games[[#This Row],[PointsAgainst]]</f>
        <v>-6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0.30225087351105046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74.05</v>
      </c>
      <c r="Z212" s="4">
        <f>Games[[#This Row],[K]]*Games[[#This Row],[POMult]]</f>
        <v>74.05</v>
      </c>
      <c r="AA212" s="4">
        <f>(Games[[#This Row],[Keff]]*Games[[#This Row],[MOVMult]])*(Games[[#This Row],[Result]]-Games[[#This Row],[ExpectedWin%]])</f>
        <v>-4.0431270986647538</v>
      </c>
      <c r="AB212" s="4">
        <f>Games[[#This Row],[PreGmRate]]+Games[[#This Row],[RatingChange]]</f>
        <v>1395.2496593733001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37074</v>
      </c>
      <c r="B213" s="2">
        <v>2001</v>
      </c>
      <c r="C213" s="2">
        <f>COUNTIFS(Games[Team],Games[[#This Row],[Team]],Games[Season],Games[[#This Row],[Season]],Games[Date],"&lt;=" &amp; Games[[#This Row],[Date]])</f>
        <v>14</v>
      </c>
      <c r="D213" s="2" t="s">
        <v>23</v>
      </c>
      <c r="E213" s="2" t="s">
        <v>29</v>
      </c>
      <c r="F213" s="1" t="s">
        <v>66</v>
      </c>
      <c r="G213" s="1" t="s">
        <v>77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3" s="2">
        <f>Games[[#This Row],[DaysOff]]-Games[[#This Row],[OppDaysOff]]</f>
        <v>-1</v>
      </c>
      <c r="L213" s="2">
        <f>Games[[#This Row],[OppDaysOff]]-Games[[#This Row],[DaysOff]]</f>
        <v>1</v>
      </c>
      <c r="M213" s="1">
        <f>MAX(-16, MIN(16, Games[[#This Row],[RestDiff]]*8))</f>
        <v>-8</v>
      </c>
      <c r="N213" s="1">
        <f>MAX(-16, MIN(16, Games[[#This Row],[OppRestDiff]]*8))</f>
        <v>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1593.9518271968825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1399.292786471965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0.81935549040772504</v>
      </c>
      <c r="R213" s="1">
        <v>66</v>
      </c>
      <c r="S213" s="1">
        <v>60</v>
      </c>
      <c r="T213" s="1">
        <v>0</v>
      </c>
      <c r="U213" s="1">
        <f>Games[[#This Row],[PointsFor]]-Games[[#This Row],[PointsAgainst]]</f>
        <v>6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0.30225087351105046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73.900000000000006</v>
      </c>
      <c r="Z213" s="4">
        <f>Games[[#This Row],[K]]*Games[[#This Row],[POMult]]</f>
        <v>73.900000000000006</v>
      </c>
      <c r="AA213" s="4">
        <f>(Games[[#This Row],[Keff]]*Games[[#This Row],[MOVMult]])*(Games[[#This Row],[Result]]-Games[[#This Row],[ExpectedWin%]])</f>
        <v>4.0349371045418687</v>
      </c>
      <c r="AB213" s="4">
        <f>Games[[#This Row],[PreGmRate]]+Games[[#This Row],[RatingChange]]</f>
        <v>1597.9867643014243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37074</v>
      </c>
      <c r="B214" s="2">
        <v>2001</v>
      </c>
      <c r="C214" s="2">
        <f>COUNTIFS(Games[Team],Games[[#This Row],[Team]],Games[Season],Games[[#This Row],[Season]],Games[Date],"&lt;=" &amp; Games[[#This Row],[Date]])</f>
        <v>14</v>
      </c>
      <c r="D214" s="2" t="s">
        <v>23</v>
      </c>
      <c r="E214" s="2" t="s">
        <v>29</v>
      </c>
      <c r="F214" s="1" t="s">
        <v>83</v>
      </c>
      <c r="G214" s="1" t="s">
        <v>43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4" s="2">
        <f>Games[[#This Row],[DaysOff]]-Games[[#This Row],[OppDaysOff]]</f>
        <v>-2</v>
      </c>
      <c r="L214" s="2">
        <f>Games[[#This Row],[OppDaysOff]]-Games[[#This Row],[DaysOff]]</f>
        <v>2</v>
      </c>
      <c r="M214" s="1">
        <f>MAX(-16, MIN(16, Games[[#This Row],[RestDiff]]*8))</f>
        <v>-16</v>
      </c>
      <c r="N214" s="1">
        <f>MAX(-16, MIN(16, Games[[#This Row],[OppRestDiff]]*8))</f>
        <v>16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1437.7542785639462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1483.5863535073506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0.28260421421978688</v>
      </c>
      <c r="R214" s="1">
        <v>69</v>
      </c>
      <c r="S214" s="1">
        <v>59</v>
      </c>
      <c r="T214" s="1">
        <v>0</v>
      </c>
      <c r="U214" s="1">
        <f>Games[[#This Row],[PointsFor]]-Games[[#This Row],[PointsAgainst]]</f>
        <v>10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0.40756346654649023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73.900000000000006</v>
      </c>
      <c r="Z214" s="4">
        <f>Games[[#This Row],[K]]*Games[[#This Row],[POMult]]</f>
        <v>73.900000000000006</v>
      </c>
      <c r="AA214" s="4">
        <f>(Games[[#This Row],[Keff]]*Games[[#This Row],[MOVMult]])*(Games[[#This Row],[Result]]-Games[[#This Row],[ExpectedWin%]])</f>
        <v>21.607200755709755</v>
      </c>
      <c r="AB214" s="4">
        <f>Games[[#This Row],[PreGmRate]]+Games[[#This Row],[RatingChange]]</f>
        <v>1459.3614793196559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37074</v>
      </c>
      <c r="B215" s="2">
        <v>2001</v>
      </c>
      <c r="C215" s="2">
        <f>COUNTIFS(Games[Team],Games[[#This Row],[Team]],Games[Season],Games[[#This Row],[Season]],Games[Date],"&lt;=" &amp; Games[[#This Row],[Date]])</f>
        <v>12</v>
      </c>
      <c r="D215" s="2" t="s">
        <v>23</v>
      </c>
      <c r="E215" s="2" t="s">
        <v>29</v>
      </c>
      <c r="F215" s="1" t="s">
        <v>43</v>
      </c>
      <c r="G215" s="1" t="s">
        <v>83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5" s="2">
        <f>Games[[#This Row],[DaysOff]]-Games[[#This Row],[OppDaysOff]]</f>
        <v>2</v>
      </c>
      <c r="L215" s="2">
        <f>Games[[#This Row],[OppDaysOff]]-Games[[#This Row],[DaysOff]]</f>
        <v>-2</v>
      </c>
      <c r="M215" s="1">
        <f>MAX(-16, MIN(16, Games[[#This Row],[RestDiff]]*8))</f>
        <v>16</v>
      </c>
      <c r="N215" s="1">
        <f>MAX(-16, MIN(16, Games[[#This Row],[OppRestDiff]]*8))</f>
        <v>-16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1483.5863535073506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1437.7542785639462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0.71739578578021312</v>
      </c>
      <c r="R215" s="1">
        <v>59</v>
      </c>
      <c r="S215" s="1">
        <v>69</v>
      </c>
      <c r="T215" s="1">
        <v>0</v>
      </c>
      <c r="U215" s="1">
        <f>Games[[#This Row],[PointsFor]]-Games[[#This Row],[PointsAgainst]]</f>
        <v>-10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0.40756346654649023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74.2</v>
      </c>
      <c r="Z215" s="4">
        <f>Games[[#This Row],[K]]*Games[[#This Row],[POMult]]</f>
        <v>74.2</v>
      </c>
      <c r="AA215" s="4">
        <f>(Games[[#This Row],[Keff]]*Games[[#This Row],[MOVMult]])*(Games[[#This Row],[Result]]-Games[[#This Row],[ExpectedWin%]])</f>
        <v>-21.694916049711281</v>
      </c>
      <c r="AB215" s="4">
        <f>Games[[#This Row],[PreGmRate]]+Games[[#This Row],[RatingChange]]</f>
        <v>1461.8914374576393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37075</v>
      </c>
      <c r="B216" s="2">
        <v>2001</v>
      </c>
      <c r="C216" s="2">
        <f>COUNTIFS(Games[Team],Games[[#This Row],[Team]],Games[Season],Games[[#This Row],[Season]],Games[Date],"&lt;=" &amp; Games[[#This Row],[Date]])</f>
        <v>15</v>
      </c>
      <c r="D216" s="2" t="s">
        <v>23</v>
      </c>
      <c r="E216" s="2" t="s">
        <v>29</v>
      </c>
      <c r="F216" s="1" t="s">
        <v>66</v>
      </c>
      <c r="G216" s="1" t="s">
        <v>64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6" s="2">
        <f>Games[[#This Row],[DaysOff]]-Games[[#This Row],[OppDaysOff]]</f>
        <v>-2</v>
      </c>
      <c r="L216" s="2">
        <f>Games[[#This Row],[OppDaysOff]]-Games[[#This Row],[DaysOff]]</f>
        <v>2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1597.9867643014243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1408.9330256393259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0.60361033620354299</v>
      </c>
      <c r="R216" s="1">
        <v>61</v>
      </c>
      <c r="S216" s="1">
        <v>66</v>
      </c>
      <c r="T216" s="1">
        <v>0</v>
      </c>
      <c r="U216" s="1">
        <f>Games[[#This Row],[PointsFor]]-Games[[#This Row],[PointsAgainst]]</f>
        <v>-5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0.28660314534478992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73.75</v>
      </c>
      <c r="Z216" s="4">
        <f>Games[[#This Row],[K]]*Games[[#This Row],[POMult]]</f>
        <v>73.75</v>
      </c>
      <c r="AA216" s="4">
        <f>(Games[[#This Row],[Keff]]*Games[[#This Row],[MOVMult]])*(Games[[#This Row],[Result]]-Games[[#This Row],[ExpectedWin%]])</f>
        <v>-12.758500792743915</v>
      </c>
      <c r="AB216" s="4">
        <f>Games[[#This Row],[PreGmRate]]+Games[[#This Row],[RatingChange]]</f>
        <v>1585.2282635086804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37075</v>
      </c>
      <c r="B217" s="2">
        <v>2001</v>
      </c>
      <c r="C217" s="2">
        <f>COUNTIFS(Games[Team],Games[[#This Row],[Team]],Games[Season],Games[[#This Row],[Season]],Games[Date],"&lt;=" &amp; Games[[#This Row],[Date]])</f>
        <v>15</v>
      </c>
      <c r="D217" s="2" t="s">
        <v>23</v>
      </c>
      <c r="E217" s="2" t="s">
        <v>29</v>
      </c>
      <c r="F217" s="1" t="s">
        <v>64</v>
      </c>
      <c r="G217" s="1" t="s">
        <v>66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7" s="2">
        <f>Games[[#This Row],[DaysOff]]-Games[[#This Row],[OppDaysOff]]</f>
        <v>2</v>
      </c>
      <c r="L217" s="2">
        <f>Games[[#This Row],[OppDaysOff]]-Games[[#This Row],[DaysOff]]</f>
        <v>-2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1408.9330256393259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1597.9867643014243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0.39638966379645701</v>
      </c>
      <c r="R217" s="1">
        <v>66</v>
      </c>
      <c r="S217" s="1">
        <v>61</v>
      </c>
      <c r="T217" s="1">
        <v>0</v>
      </c>
      <c r="U217" s="1">
        <f>Games[[#This Row],[PointsFor]]-Games[[#This Row],[PointsAgainst]]</f>
        <v>5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0.28660314534478992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73.75</v>
      </c>
      <c r="Z217" s="4">
        <f>Games[[#This Row],[K]]*Games[[#This Row],[POMult]]</f>
        <v>73.75</v>
      </c>
      <c r="AA217" s="4">
        <f>(Games[[#This Row],[Keff]]*Games[[#This Row],[MOVMult]])*(Games[[#This Row],[Result]]-Games[[#This Row],[ExpectedWin%]])</f>
        <v>12.758500792743915</v>
      </c>
      <c r="AB217" s="4">
        <f>Games[[#This Row],[PreGmRate]]+Games[[#This Row],[RatingChange]]</f>
        <v>1421.6915264320698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37075</v>
      </c>
      <c r="B218" s="2">
        <v>2001</v>
      </c>
      <c r="C218" s="2">
        <f>COUNTIFS(Games[Team],Games[[#This Row],[Team]],Games[Season],Games[[#This Row],[Season]],Games[Date],"&lt;=" &amp; Games[[#This Row],[Date]])</f>
        <v>13</v>
      </c>
      <c r="D218" s="2" t="s">
        <v>23</v>
      </c>
      <c r="E218" s="2" t="s">
        <v>29</v>
      </c>
      <c r="F218" s="1" t="s">
        <v>43</v>
      </c>
      <c r="G218" s="1" t="s">
        <v>71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-1</v>
      </c>
      <c r="L218" s="2">
        <f>Games[[#This Row],[OppDaysOff]]-Games[[#This Row],[DaysOff]]</f>
        <v>1</v>
      </c>
      <c r="M218" s="1">
        <f>MAX(-16, MIN(16, Games[[#This Row],[RestDiff]]*8))</f>
        <v>-8</v>
      </c>
      <c r="N218" s="1">
        <f>MAX(-16, MIN(16, Games[[#This Row],[OppRestDiff]]*8))</f>
        <v>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1461.8914374576393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1658.5194024267666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0.15348464312880802</v>
      </c>
      <c r="R218" s="1">
        <v>71</v>
      </c>
      <c r="S218" s="1">
        <v>84</v>
      </c>
      <c r="T218" s="1">
        <v>0</v>
      </c>
      <c r="U218" s="1">
        <f>Games[[#This Row],[PointsFor]]-Games[[#This Row],[PointsAgainst]]</f>
        <v>-13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0.40558582599301068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74.05</v>
      </c>
      <c r="Z218" s="4">
        <f>Games[[#This Row],[K]]*Games[[#This Row],[POMult]]</f>
        <v>74.05</v>
      </c>
      <c r="AA218" s="4">
        <f>(Games[[#This Row],[Keff]]*Games[[#This Row],[MOVMult]])*(Games[[#This Row],[Result]]-Games[[#This Row],[ExpectedWin%]])</f>
        <v>-4.6097010460753971</v>
      </c>
      <c r="AB218" s="4">
        <f>Games[[#This Row],[PreGmRate]]+Games[[#This Row],[RatingChange]]</f>
        <v>1457.281736411564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37075</v>
      </c>
      <c r="B219" s="2">
        <v>2001</v>
      </c>
      <c r="C219" s="2">
        <f>COUNTIFS(Games[Team],Games[[#This Row],[Team]],Games[Season],Games[[#This Row],[Season]],Games[Date],"&lt;=" &amp; Games[[#This Row],[Date]])</f>
        <v>15</v>
      </c>
      <c r="D219" s="2" t="s">
        <v>23</v>
      </c>
      <c r="E219" s="2" t="s">
        <v>29</v>
      </c>
      <c r="F219" s="1" t="s">
        <v>71</v>
      </c>
      <c r="G219" s="1" t="s">
        <v>43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9" s="2">
        <f>Games[[#This Row],[DaysOff]]-Games[[#This Row],[OppDaysOff]]</f>
        <v>1</v>
      </c>
      <c r="L219" s="2">
        <f>Games[[#This Row],[OppDaysOff]]-Games[[#This Row],[DaysOff]]</f>
        <v>-1</v>
      </c>
      <c r="M219" s="1">
        <f>MAX(-16, MIN(16, Games[[#This Row],[RestDiff]]*8))</f>
        <v>8</v>
      </c>
      <c r="N219" s="1">
        <f>MAX(-16, MIN(16, Games[[#This Row],[OppRestDiff]]*8))</f>
        <v>-8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1658.5194024267666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1461.8914374576393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0.84651535687119184</v>
      </c>
      <c r="R219" s="1">
        <v>84</v>
      </c>
      <c r="S219" s="1">
        <v>71</v>
      </c>
      <c r="T219" s="1">
        <v>0</v>
      </c>
      <c r="U219" s="1">
        <f>Games[[#This Row],[PointsFor]]-Games[[#This Row],[PointsAgainst]]</f>
        <v>13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0.40558582599301068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73.75</v>
      </c>
      <c r="Z219" s="4">
        <f>Games[[#This Row],[K]]*Games[[#This Row],[POMult]]</f>
        <v>73.75</v>
      </c>
      <c r="AA219" s="4">
        <f>(Games[[#This Row],[Keff]]*Games[[#This Row],[MOVMult]])*(Games[[#This Row],[Result]]-Games[[#This Row],[ExpectedWin%]])</f>
        <v>4.5910256873472095</v>
      </c>
      <c r="AB219" s="4">
        <f>Games[[#This Row],[PreGmRate]]+Games[[#This Row],[RatingChange]]</f>
        <v>1663.1104281141138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37075</v>
      </c>
      <c r="B220" s="2">
        <v>2001</v>
      </c>
      <c r="C220" s="2">
        <f>COUNTIFS(Games[Team],Games[[#This Row],[Team]],Games[Season],Games[[#This Row],[Season]],Games[Date],"&lt;=" &amp; Games[[#This Row],[Date]])</f>
        <v>15</v>
      </c>
      <c r="D220" s="2" t="s">
        <v>23</v>
      </c>
      <c r="E220" s="2" t="s">
        <v>29</v>
      </c>
      <c r="F220" s="1" t="s">
        <v>45</v>
      </c>
      <c r="G220" s="1" t="s">
        <v>80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1</v>
      </c>
      <c r="L220" s="2">
        <f>Games[[#This Row],[OppDaysOff]]-Games[[#This Row],[DaysOff]]</f>
        <v>-1</v>
      </c>
      <c r="M220" s="1">
        <f>MAX(-16, MIN(16, Games[[#This Row],[RestDiff]]*8))</f>
        <v>8</v>
      </c>
      <c r="N220" s="1">
        <f>MAX(-16, MIN(16, Games[[#This Row],[OppRestDiff]]*8))</f>
        <v>-8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1570.8759341682335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1483.5754363074461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0.52774711299604438</v>
      </c>
      <c r="R220" s="1">
        <v>91</v>
      </c>
      <c r="S220" s="1">
        <v>52</v>
      </c>
      <c r="T220" s="1">
        <v>0</v>
      </c>
      <c r="U220" s="1">
        <f>Games[[#This Row],[PointsFor]]-Games[[#This Row],[PointsAgainst]]</f>
        <v>39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0.75230105122069035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73.75</v>
      </c>
      <c r="Z220" s="4">
        <f>Games[[#This Row],[K]]*Games[[#This Row],[POMult]]</f>
        <v>73.75</v>
      </c>
      <c r="AA220" s="4">
        <f>(Games[[#This Row],[Keff]]*Games[[#This Row],[MOVMult]])*(Games[[#This Row],[Result]]-Games[[#This Row],[ExpectedWin%]])</f>
        <v>26.201630320962277</v>
      </c>
      <c r="AB220" s="4">
        <f>Games[[#This Row],[PreGmRate]]+Games[[#This Row],[RatingChange]]</f>
        <v>1597.0775644891958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37075</v>
      </c>
      <c r="B221" s="2">
        <v>2001</v>
      </c>
      <c r="C221" s="2">
        <f>COUNTIFS(Games[Team],Games[[#This Row],[Team]],Games[Season],Games[[#This Row],[Season]],Games[Date],"&lt;=" &amp; Games[[#This Row],[Date]])</f>
        <v>13</v>
      </c>
      <c r="D221" s="2" t="s">
        <v>23</v>
      </c>
      <c r="E221" s="2" t="s">
        <v>29</v>
      </c>
      <c r="F221" s="1" t="s">
        <v>80</v>
      </c>
      <c r="G221" s="1" t="s">
        <v>45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1" s="2">
        <f>Games[[#This Row],[DaysOff]]-Games[[#This Row],[OppDaysOff]]</f>
        <v>-1</v>
      </c>
      <c r="L221" s="2">
        <f>Games[[#This Row],[OppDaysOff]]-Games[[#This Row],[DaysOff]]</f>
        <v>1</v>
      </c>
      <c r="M221" s="1">
        <f>MAX(-16, MIN(16, Games[[#This Row],[RestDiff]]*8))</f>
        <v>-8</v>
      </c>
      <c r="N221" s="1">
        <f>MAX(-16, MIN(16, Games[[#This Row],[OppRestDiff]]*8))</f>
        <v>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1483.5754363074461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1570.8759341682335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0.47225288700395557</v>
      </c>
      <c r="R221" s="1">
        <v>52</v>
      </c>
      <c r="S221" s="1">
        <v>91</v>
      </c>
      <c r="T221" s="1">
        <v>0</v>
      </c>
      <c r="U221" s="1">
        <f>Games[[#This Row],[PointsFor]]-Games[[#This Row],[PointsAgainst]]</f>
        <v>-39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0.75230105122069035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74.05</v>
      </c>
      <c r="Z221" s="4">
        <f>Games[[#This Row],[K]]*Games[[#This Row],[POMult]]</f>
        <v>74.05</v>
      </c>
      <c r="AA221" s="4">
        <f>(Games[[#This Row],[Keff]]*Games[[#This Row],[MOVMult]])*(Games[[#This Row],[Result]]-Games[[#This Row],[ExpectedWin%]])</f>
        <v>-26.308213223962799</v>
      </c>
      <c r="AB221" s="4">
        <f>Games[[#This Row],[PreGmRate]]+Games[[#This Row],[RatingChange]]</f>
        <v>1457.2672230834833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37075</v>
      </c>
      <c r="B222" s="2">
        <v>2001</v>
      </c>
      <c r="C222" s="2">
        <f>COUNTIFS(Games[Team],Games[[#This Row],[Team]],Games[Season],Games[[#This Row],[Season]],Games[Date],"&lt;=" &amp; Games[[#This Row],[Date]])</f>
        <v>14</v>
      </c>
      <c r="D222" s="2" t="s">
        <v>23</v>
      </c>
      <c r="E222" s="2" t="s">
        <v>29</v>
      </c>
      <c r="F222" s="1" t="s">
        <v>75</v>
      </c>
      <c r="G222" s="1" t="s">
        <v>87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1407.0039747417104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1433.3934874701324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0.32573116119051165</v>
      </c>
      <c r="R222" s="1">
        <v>72</v>
      </c>
      <c r="S222" s="1">
        <v>69</v>
      </c>
      <c r="T222" s="1">
        <v>1</v>
      </c>
      <c r="U222" s="1">
        <f>Games[[#This Row],[PointsFor]]-Games[[#This Row],[PointsAgainst]]</f>
        <v>3</v>
      </c>
      <c r="V222" s="1">
        <f>IF(Games[[#This Row],[MOV]]&gt;0,1,IF(Games[[#This Row],[MOV]]=0,0.5,0))</f>
        <v>1</v>
      </c>
      <c r="W222" s="4">
        <f>((ABS(Games[[#This Row],[MOV]])+5)^0.6)/(12+0.01*(ABS(Games[[#This Row],[PreGmRate]]-Games[[#This Row],[OppPreGmRate]])))*IF(Games[[#This Row],[OT]]=1,0.9,1)</f>
        <v>0.25554540342518828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73.900000000000006</v>
      </c>
      <c r="Z222" s="4">
        <f>Games[[#This Row],[K]]*Games[[#This Row],[POMult]]</f>
        <v>73.900000000000006</v>
      </c>
      <c r="AA222" s="4">
        <f>(Games[[#This Row],[Keff]]*Games[[#This Row],[MOVMult]])*(Games[[#This Row],[Result]]-Games[[#This Row],[ExpectedWin%]])</f>
        <v>12.733435749621634</v>
      </c>
      <c r="AB222" s="4">
        <f>Games[[#This Row],[PreGmRate]]+Games[[#This Row],[RatingChange]]</f>
        <v>1419.737410491332</v>
      </c>
      <c r="AC222" s="2">
        <f>IF(Games[[#This Row],[Type]]="R",IF(Games[[#This Row],[Result]]&gt;0.5,1,0),0)</f>
        <v>1</v>
      </c>
      <c r="AD222" s="2">
        <f>IF(Games[[#This Row],[Type]]="R",IF(Games[[#This Row],[Result]]&lt;0.5,1,0),0)</f>
        <v>0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37075</v>
      </c>
      <c r="B223" s="2">
        <v>2001</v>
      </c>
      <c r="C223" s="2">
        <f>COUNTIFS(Games[Team],Games[[#This Row],[Team]],Games[Season],Games[[#This Row],[Season]],Games[Date],"&lt;=" &amp; Games[[#This Row],[Date]])</f>
        <v>15</v>
      </c>
      <c r="D223" s="2" t="s">
        <v>23</v>
      </c>
      <c r="E223" s="2" t="s">
        <v>29</v>
      </c>
      <c r="F223" s="1" t="s">
        <v>87</v>
      </c>
      <c r="G223" s="1" t="s">
        <v>75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1433.3934874701324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1407.0039747417104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0.6742688388094884</v>
      </c>
      <c r="R223" s="1">
        <v>69</v>
      </c>
      <c r="S223" s="1">
        <v>72</v>
      </c>
      <c r="T223" s="1">
        <v>1</v>
      </c>
      <c r="U223" s="1">
        <f>Games[[#This Row],[PointsFor]]-Games[[#This Row],[PointsAgainst]]</f>
        <v>-3</v>
      </c>
      <c r="V223" s="1">
        <f>IF(Games[[#This Row],[MOV]]&gt;0,1,IF(Games[[#This Row],[MOV]]=0,0.5,0))</f>
        <v>0</v>
      </c>
      <c r="W223" s="4">
        <f>((ABS(Games[[#This Row],[MOV]])+5)^0.6)/(12+0.01*(ABS(Games[[#This Row],[PreGmRate]]-Games[[#This Row],[OppPreGmRate]])))*IF(Games[[#This Row],[OT]]=1,0.9,1)</f>
        <v>0.25554540342518828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73.75</v>
      </c>
      <c r="Z223" s="4">
        <f>Games[[#This Row],[K]]*Games[[#This Row],[POMult]]</f>
        <v>73.75</v>
      </c>
      <c r="AA223" s="4">
        <f>(Games[[#This Row],[Keff]]*Games[[#This Row],[MOVMult]])*(Games[[#This Row],[Result]]-Games[[#This Row],[ExpectedWin%]])</f>
        <v>-12.707589804257044</v>
      </c>
      <c r="AB223" s="4">
        <f>Games[[#This Row],[PreGmRate]]+Games[[#This Row],[RatingChange]]</f>
        <v>1420.6858976658755</v>
      </c>
      <c r="AC223" s="2">
        <f>IF(Games[[#This Row],[Type]]="R",IF(Games[[#This Row],[Result]]&gt;0.5,1,0),0)</f>
        <v>0</v>
      </c>
      <c r="AD223" s="2">
        <f>IF(Games[[#This Row],[Type]]="R",IF(Games[[#This Row],[Result]]&lt;0.5,1,0),0)</f>
        <v>1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37076</v>
      </c>
      <c r="B224" s="2">
        <v>2001</v>
      </c>
      <c r="C224" s="2">
        <f>COUNTIFS(Games[Team],Games[[#This Row],[Team]],Games[Season],Games[[#This Row],[Season]],Games[Date],"&lt;=" &amp; Games[[#This Row],[Date]])</f>
        <v>15</v>
      </c>
      <c r="D224" s="2" t="s">
        <v>23</v>
      </c>
      <c r="E224" s="2" t="s">
        <v>29</v>
      </c>
      <c r="F224" s="1" t="s">
        <v>83</v>
      </c>
      <c r="G224" s="1" t="s">
        <v>44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4" s="2">
        <f>Games[[#This Row],[DaysOff]]-Games[[#This Row],[OppDaysOff]]</f>
        <v>-1</v>
      </c>
      <c r="L224" s="2">
        <f>Games[[#This Row],[OppDaysOff]]-Games[[#This Row],[DaysOff]]</f>
        <v>1</v>
      </c>
      <c r="M224" s="1">
        <f>MAX(-16, MIN(16, Games[[#This Row],[RestDiff]]*8))</f>
        <v>-8</v>
      </c>
      <c r="N224" s="1">
        <f>MAX(-16, MIN(16, Games[[#This Row],[OppRestDiff]]*8))</f>
        <v>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1459.3614793196559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1445.5652510200562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0.3784273234101217</v>
      </c>
      <c r="R224" s="1">
        <v>47</v>
      </c>
      <c r="S224" s="1">
        <v>60</v>
      </c>
      <c r="T224" s="1">
        <v>0</v>
      </c>
      <c r="U224" s="1">
        <f>Games[[#This Row],[PointsFor]]-Games[[#This Row],[PointsAgainst]]</f>
        <v>-13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0.46667842061964648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73.75</v>
      </c>
      <c r="Z224" s="4">
        <f>Games[[#This Row],[K]]*Games[[#This Row],[POMult]]</f>
        <v>73.75</v>
      </c>
      <c r="AA224" s="4">
        <f>(Games[[#This Row],[Keff]]*Games[[#This Row],[MOVMult]])*(Games[[#This Row],[Result]]-Games[[#This Row],[ExpectedWin%]])</f>
        <v>-13.02453508861624</v>
      </c>
      <c r="AB224" s="4">
        <f>Games[[#This Row],[PreGmRate]]+Games[[#This Row],[RatingChange]]</f>
        <v>1446.3369442310398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37076</v>
      </c>
      <c r="B225" s="2">
        <v>2001</v>
      </c>
      <c r="C225" s="2">
        <f>COUNTIFS(Games[Team],Games[[#This Row],[Team]],Games[Season],Games[[#This Row],[Season]],Games[Date],"&lt;=" &amp; Games[[#This Row],[Date]])</f>
        <v>14</v>
      </c>
      <c r="D225" s="2" t="s">
        <v>23</v>
      </c>
      <c r="E225" s="2" t="s">
        <v>29</v>
      </c>
      <c r="F225" s="1" t="s">
        <v>44</v>
      </c>
      <c r="G225" s="1" t="s">
        <v>83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1</v>
      </c>
      <c r="L225" s="2">
        <f>Games[[#This Row],[OppDaysOff]]-Games[[#This Row],[DaysOff]]</f>
        <v>-1</v>
      </c>
      <c r="M225" s="1">
        <f>MAX(-16, MIN(16, Games[[#This Row],[RestDiff]]*8))</f>
        <v>8</v>
      </c>
      <c r="N225" s="1">
        <f>MAX(-16, MIN(16, Games[[#This Row],[OppRestDiff]]*8))</f>
        <v>-8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1445.5652510200562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1459.3614793196559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0.62157267658987825</v>
      </c>
      <c r="R225" s="1">
        <v>60</v>
      </c>
      <c r="S225" s="1">
        <v>47</v>
      </c>
      <c r="T225" s="1">
        <v>0</v>
      </c>
      <c r="U225" s="1">
        <f>Games[[#This Row],[PointsFor]]-Games[[#This Row],[PointsAgainst]]</f>
        <v>13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0.46667842061964648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73.900000000000006</v>
      </c>
      <c r="Z225" s="4">
        <f>Games[[#This Row],[K]]*Games[[#This Row],[POMult]]</f>
        <v>73.900000000000006</v>
      </c>
      <c r="AA225" s="4">
        <f>(Games[[#This Row],[Keff]]*Games[[#This Row],[MOVMult]])*(Games[[#This Row],[Result]]-Games[[#This Row],[ExpectedWin%]])</f>
        <v>13.051025668457495</v>
      </c>
      <c r="AB225" s="4">
        <f>Games[[#This Row],[PreGmRate]]+Games[[#This Row],[RatingChange]]</f>
        <v>1458.6162766885136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37076</v>
      </c>
      <c r="B226" s="2">
        <v>2001</v>
      </c>
      <c r="C226" s="2">
        <f>COUNTIFS(Games[Team],Games[[#This Row],[Team]],Games[Season],Games[[#This Row],[Season]],Games[Date],"&lt;=" &amp; Games[[#This Row],[Date]])</f>
        <v>16</v>
      </c>
      <c r="D226" s="2" t="s">
        <v>23</v>
      </c>
      <c r="E226" s="2" t="s">
        <v>29</v>
      </c>
      <c r="F226" s="1" t="s">
        <v>87</v>
      </c>
      <c r="G226" s="1" t="s">
        <v>89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-1</v>
      </c>
      <c r="L226" s="2">
        <f>Games[[#This Row],[OppDaysOff]]-Games[[#This Row],[DaysOff]]</f>
        <v>1</v>
      </c>
      <c r="M226" s="1">
        <f>MAX(-16, MIN(16, Games[[#This Row],[RestDiff]]*8))</f>
        <v>-8</v>
      </c>
      <c r="N226" s="1">
        <f>MAX(-16, MIN(16, Games[[#This Row],[OppRestDiff]]*8))</f>
        <v>8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1420.6858976658755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1499.4731952053037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0.26324264070828951</v>
      </c>
      <c r="R226" s="1">
        <v>61</v>
      </c>
      <c r="S226" s="1">
        <v>56</v>
      </c>
      <c r="T226" s="1">
        <v>0</v>
      </c>
      <c r="U226" s="1">
        <f>Games[[#This Row],[PointsFor]]-Games[[#This Row],[PointsAgainst]]</f>
        <v>5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0.31131617534793554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73.599999999999994</v>
      </c>
      <c r="Z226" s="4">
        <f>Games[[#This Row],[K]]*Games[[#This Row],[POMult]]</f>
        <v>73.599999999999994</v>
      </c>
      <c r="AA226" s="4">
        <f>(Games[[#This Row],[Keff]]*Games[[#This Row],[MOVMult]])*(Games[[#This Row],[Result]]-Games[[#This Row],[ExpectedWin%]])</f>
        <v>16.881225967504712</v>
      </c>
      <c r="AB226" s="4">
        <f>Games[[#This Row],[PreGmRate]]+Games[[#This Row],[RatingChange]]</f>
        <v>1437.5671236333801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37076</v>
      </c>
      <c r="B227" s="2">
        <v>2001</v>
      </c>
      <c r="C227" s="2">
        <f>COUNTIFS(Games[Team],Games[[#This Row],[Team]],Games[Season],Games[[#This Row],[Season]],Games[Date],"&lt;=" &amp; Games[[#This Row],[Date]])</f>
        <v>14</v>
      </c>
      <c r="D227" s="2" t="s">
        <v>23</v>
      </c>
      <c r="E227" s="2" t="s">
        <v>29</v>
      </c>
      <c r="F227" s="1" t="s">
        <v>89</v>
      </c>
      <c r="G227" s="1" t="s">
        <v>87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7" s="2">
        <f>Games[[#This Row],[DaysOff]]-Games[[#This Row],[OppDaysOff]]</f>
        <v>1</v>
      </c>
      <c r="L227" s="2">
        <f>Games[[#This Row],[OppDaysOff]]-Games[[#This Row],[DaysOff]]</f>
        <v>-1</v>
      </c>
      <c r="M227" s="1">
        <f>MAX(-16, MIN(16, Games[[#This Row],[RestDiff]]*8))</f>
        <v>8</v>
      </c>
      <c r="N227" s="1">
        <f>MAX(-16, MIN(16, Games[[#This Row],[OppRestDiff]]*8))</f>
        <v>-8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1499.4731952053037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1420.6858976658755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0.7367573592917106</v>
      </c>
      <c r="R227" s="1">
        <v>56</v>
      </c>
      <c r="S227" s="1">
        <v>61</v>
      </c>
      <c r="T227" s="1">
        <v>0</v>
      </c>
      <c r="U227" s="1">
        <f>Games[[#This Row],[PointsFor]]-Games[[#This Row],[PointsAgainst]]</f>
        <v>-5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0.31131617534793554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73.900000000000006</v>
      </c>
      <c r="Z227" s="4">
        <f>Games[[#This Row],[K]]*Games[[#This Row],[POMult]]</f>
        <v>73.900000000000006</v>
      </c>
      <c r="AA227" s="4">
        <f>(Games[[#This Row],[Keff]]*Games[[#This Row],[MOVMult]])*(Games[[#This Row],[Result]]-Games[[#This Row],[ExpectedWin%]])</f>
        <v>-16.950035312480956</v>
      </c>
      <c r="AB227" s="4">
        <f>Games[[#This Row],[PreGmRate]]+Games[[#This Row],[RatingChange]]</f>
        <v>1482.5231598928228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37077</v>
      </c>
      <c r="B228" s="2">
        <v>2001</v>
      </c>
      <c r="C228" s="2">
        <f>COUNTIFS(Games[Team],Games[[#This Row],[Team]],Games[Season],Games[[#This Row],[Season]],Games[Date],"&lt;=" &amp; Games[[#This Row],[Date]])</f>
        <v>15</v>
      </c>
      <c r="D228" s="2" t="s">
        <v>23</v>
      </c>
      <c r="E228" s="2" t="s">
        <v>29</v>
      </c>
      <c r="F228" s="1" t="s">
        <v>44</v>
      </c>
      <c r="G228" s="1" t="s">
        <v>71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-1</v>
      </c>
      <c r="L228" s="2">
        <f>Games[[#This Row],[OppDaysOff]]-Games[[#This Row],[DaysOff]]</f>
        <v>1</v>
      </c>
      <c r="M228" s="1">
        <f>MAX(-16, MIN(16, Games[[#This Row],[RestDiff]]*8))</f>
        <v>-8</v>
      </c>
      <c r="N228" s="1">
        <f>MAX(-16, MIN(16, Games[[#This Row],[OppRestDiff]]*8))</f>
        <v>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1458.6162766885136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1663.1104281141138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0.14769322162087542</v>
      </c>
      <c r="R228" s="1">
        <v>50</v>
      </c>
      <c r="S228" s="1">
        <v>73</v>
      </c>
      <c r="T228" s="1">
        <v>0</v>
      </c>
      <c r="U228" s="1">
        <f>Games[[#This Row],[PointsFor]]-Games[[#This Row],[PointsAgainst]]</f>
        <v>-23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0.52574467634829258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73.75</v>
      </c>
      <c r="Z228" s="4">
        <f>Games[[#This Row],[K]]*Games[[#This Row],[POMult]]</f>
        <v>73.75</v>
      </c>
      <c r="AA228" s="4">
        <f>(Games[[#This Row],[Keff]]*Games[[#This Row],[MOVMult]])*(Games[[#This Row],[Result]]-Games[[#This Row],[ExpectedWin%]])</f>
        <v>-5.7266082187429044</v>
      </c>
      <c r="AB228" s="4">
        <f>Games[[#This Row],[PreGmRate]]+Games[[#This Row],[RatingChange]]</f>
        <v>1452.8896684697706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37077</v>
      </c>
      <c r="B229" s="2">
        <v>2001</v>
      </c>
      <c r="C229" s="2">
        <f>COUNTIFS(Games[Team],Games[[#This Row],[Team]],Games[Season],Games[[#This Row],[Season]],Games[Date],"&lt;=" &amp; Games[[#This Row],[Date]])</f>
        <v>16</v>
      </c>
      <c r="D229" s="2" t="s">
        <v>23</v>
      </c>
      <c r="E229" s="2" t="s">
        <v>29</v>
      </c>
      <c r="F229" s="1" t="s">
        <v>71</v>
      </c>
      <c r="G229" s="1" t="s">
        <v>44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9" s="2">
        <f>Games[[#This Row],[DaysOff]]-Games[[#This Row],[OppDaysOff]]</f>
        <v>1</v>
      </c>
      <c r="L229" s="2">
        <f>Games[[#This Row],[OppDaysOff]]-Games[[#This Row],[DaysOff]]</f>
        <v>-1</v>
      </c>
      <c r="M229" s="1">
        <f>MAX(-16, MIN(16, Games[[#This Row],[RestDiff]]*8))</f>
        <v>8</v>
      </c>
      <c r="N229" s="1">
        <f>MAX(-16, MIN(16, Games[[#This Row],[OppRestDiff]]*8))</f>
        <v>-8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1663.1104281141138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1458.6162766885136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0.8523067783791245</v>
      </c>
      <c r="R229" s="1">
        <v>73</v>
      </c>
      <c r="S229" s="1">
        <v>50</v>
      </c>
      <c r="T229" s="1">
        <v>0</v>
      </c>
      <c r="U229" s="1">
        <f>Games[[#This Row],[PointsFor]]-Games[[#This Row],[PointsAgainst]]</f>
        <v>23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0.52574467634829258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73.599999999999994</v>
      </c>
      <c r="Z229" s="4">
        <f>Games[[#This Row],[K]]*Games[[#This Row],[POMult]]</f>
        <v>73.599999999999994</v>
      </c>
      <c r="AA229" s="4">
        <f>(Games[[#This Row],[Keff]]*Games[[#This Row],[MOVMult]])*(Games[[#This Row],[Result]]-Games[[#This Row],[ExpectedWin%]])</f>
        <v>5.7149608799929217</v>
      </c>
      <c r="AB229" s="4">
        <f>Games[[#This Row],[PreGmRate]]+Games[[#This Row],[RatingChange]]</f>
        <v>1668.8253889941068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37078</v>
      </c>
      <c r="B230" s="2">
        <v>2001</v>
      </c>
      <c r="C230" s="2">
        <f>COUNTIFS(Games[Team],Games[[#This Row],[Team]],Games[Season],Games[[#This Row],[Season]],Games[Date],"&lt;=" &amp; Games[[#This Row],[Date]])</f>
        <v>16</v>
      </c>
      <c r="D230" s="2" t="s">
        <v>23</v>
      </c>
      <c r="E230" s="2" t="s">
        <v>29</v>
      </c>
      <c r="F230" s="1" t="s">
        <v>64</v>
      </c>
      <c r="G230" s="1" t="s">
        <v>77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1421.6915264320698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1395.2496593733001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0.39569516115421305</v>
      </c>
      <c r="R230" s="1">
        <v>67</v>
      </c>
      <c r="S230" s="1">
        <v>50</v>
      </c>
      <c r="T230" s="1">
        <v>0</v>
      </c>
      <c r="U230" s="1">
        <f>Games[[#This Row],[PointsFor]]-Games[[#This Row],[PointsAgainst]]</f>
        <v>17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0.52096271340660294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73.599999999999994</v>
      </c>
      <c r="Z230" s="4">
        <f>Games[[#This Row],[K]]*Games[[#This Row],[POMult]]</f>
        <v>73.599999999999994</v>
      </c>
      <c r="AA230" s="4">
        <f>(Games[[#This Row],[Keff]]*Games[[#This Row],[MOVMult]])*(Games[[#This Row],[Result]]-Games[[#This Row],[ExpectedWin%]])</f>
        <v>23.170773238740303</v>
      </c>
      <c r="AB230" s="4">
        <f>Games[[#This Row],[PreGmRate]]+Games[[#This Row],[RatingChange]]</f>
        <v>1444.8622996708102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37078</v>
      </c>
      <c r="B231" s="2">
        <v>2001</v>
      </c>
      <c r="C231" s="2">
        <f>COUNTIFS(Games[Team],Games[[#This Row],[Team]],Games[Season],Games[[#This Row],[Season]],Games[Date],"&lt;=" &amp; Games[[#This Row],[Date]])</f>
        <v>14</v>
      </c>
      <c r="D231" s="2" t="s">
        <v>23</v>
      </c>
      <c r="E231" s="2" t="s">
        <v>29</v>
      </c>
      <c r="F231" s="1" t="s">
        <v>77</v>
      </c>
      <c r="G231" s="1" t="s">
        <v>64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1395.2496593733001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1421.6915264320698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0.6043048388457869</v>
      </c>
      <c r="R231" s="1">
        <v>50</v>
      </c>
      <c r="S231" s="1">
        <v>67</v>
      </c>
      <c r="T231" s="1">
        <v>0</v>
      </c>
      <c r="U231" s="1">
        <f>Games[[#This Row],[PointsFor]]-Games[[#This Row],[PointsAgainst]]</f>
        <v>-17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0.52096271340660294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73.900000000000006</v>
      </c>
      <c r="Z231" s="4">
        <f>Games[[#This Row],[K]]*Games[[#This Row],[POMult]]</f>
        <v>73.900000000000006</v>
      </c>
      <c r="AA231" s="4">
        <f>(Games[[#This Row],[Keff]]*Games[[#This Row],[MOVMult]])*(Games[[#This Row],[Result]]-Games[[#This Row],[ExpectedWin%]])</f>
        <v>-23.265219325311257</v>
      </c>
      <c r="AB231" s="4">
        <f>Games[[#This Row],[PreGmRate]]+Games[[#This Row],[RatingChange]]</f>
        <v>1371.9844400479888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37078</v>
      </c>
      <c r="B232" s="2">
        <v>2001</v>
      </c>
      <c r="C232" s="2">
        <f>COUNTIFS(Games[Team],Games[[#This Row],[Team]],Games[Season],Games[[#This Row],[Season]],Games[Date],"&lt;=" &amp; Games[[#This Row],[Date]])</f>
        <v>14</v>
      </c>
      <c r="D232" s="2" t="s">
        <v>23</v>
      </c>
      <c r="E232" s="2" t="s">
        <v>29</v>
      </c>
      <c r="F232" s="1" t="s">
        <v>85</v>
      </c>
      <c r="G232" s="1" t="s">
        <v>2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2" s="2">
        <f>Games[[#This Row],[DaysOff]]-Games[[#This Row],[OppDaysOff]]</f>
        <v>1</v>
      </c>
      <c r="L232" s="2">
        <f>Games[[#This Row],[OppDaysOff]]-Games[[#This Row],[DaysOff]]</f>
        <v>-1</v>
      </c>
      <c r="M232" s="1">
        <f>MAX(-16, MIN(16, Games[[#This Row],[RestDiff]]*8))</f>
        <v>8</v>
      </c>
      <c r="N232" s="1">
        <f>MAX(-16, MIN(16, Games[[#This Row],[OppRestDiff]]*8))</f>
        <v>-8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1423.45484602536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1697.786510460305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0.12232236537211025</v>
      </c>
      <c r="R232" s="1">
        <v>64</v>
      </c>
      <c r="S232" s="1">
        <v>79</v>
      </c>
      <c r="T232" s="1">
        <v>0</v>
      </c>
      <c r="U232" s="1">
        <f>Games[[#This Row],[PointsFor]]-Games[[#This Row],[PointsAgainst]]</f>
        <v>-15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0.40928215015023983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73.900000000000006</v>
      </c>
      <c r="Z232" s="4">
        <f>Games[[#This Row],[K]]*Games[[#This Row],[POMult]]</f>
        <v>73.900000000000006</v>
      </c>
      <c r="AA232" s="4">
        <f>(Games[[#This Row],[Keff]]*Games[[#This Row],[MOVMult]])*(Games[[#This Row],[Result]]-Games[[#This Row],[ExpectedWin%]])</f>
        <v>-3.6997562565399833</v>
      </c>
      <c r="AB232" s="4">
        <f>Games[[#This Row],[PreGmRate]]+Games[[#This Row],[RatingChange]]</f>
        <v>1419.75508976882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37078</v>
      </c>
      <c r="B233" s="2">
        <v>2001</v>
      </c>
      <c r="C233" s="2">
        <f>COUNTIFS(Games[Team],Games[[#This Row],[Team]],Games[Season],Games[[#This Row],[Season]],Games[Date],"&lt;=" &amp; Games[[#This Row],[Date]])</f>
        <v>14</v>
      </c>
      <c r="D233" s="2" t="s">
        <v>23</v>
      </c>
      <c r="E233" s="2" t="s">
        <v>29</v>
      </c>
      <c r="F233" s="1" t="s">
        <v>2</v>
      </c>
      <c r="G233" s="1" t="s">
        <v>85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3" s="2">
        <f>Games[[#This Row],[DaysOff]]-Games[[#This Row],[OppDaysOff]]</f>
        <v>-1</v>
      </c>
      <c r="L233" s="2">
        <f>Games[[#This Row],[OppDaysOff]]-Games[[#This Row],[DaysOff]]</f>
        <v>1</v>
      </c>
      <c r="M233" s="1">
        <f>MAX(-16, MIN(16, Games[[#This Row],[RestDiff]]*8))</f>
        <v>-8</v>
      </c>
      <c r="N233" s="1">
        <f>MAX(-16, MIN(16, Games[[#This Row],[OppRestDiff]]*8))</f>
        <v>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1697.786510460305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1423.45484602536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0.87767763462788972</v>
      </c>
      <c r="R233" s="1">
        <v>79</v>
      </c>
      <c r="S233" s="1">
        <v>64</v>
      </c>
      <c r="T233" s="1">
        <v>0</v>
      </c>
      <c r="U233" s="1">
        <f>Games[[#This Row],[PointsFor]]-Games[[#This Row],[PointsAgainst]]</f>
        <v>15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0.40928215015023983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73.900000000000006</v>
      </c>
      <c r="Z233" s="4">
        <f>Games[[#This Row],[K]]*Games[[#This Row],[POMult]]</f>
        <v>73.900000000000006</v>
      </c>
      <c r="AA233" s="4">
        <f>(Games[[#This Row],[Keff]]*Games[[#This Row],[MOVMult]])*(Games[[#This Row],[Result]]-Games[[#This Row],[ExpectedWin%]])</f>
        <v>3.6997562565399837</v>
      </c>
      <c r="AB233" s="4">
        <f>Games[[#This Row],[PreGmRate]]+Games[[#This Row],[RatingChange]]</f>
        <v>1701.486266716845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37078</v>
      </c>
      <c r="B234" s="2">
        <v>2001</v>
      </c>
      <c r="C234" s="2">
        <f>COUNTIFS(Games[Team],Games[[#This Row],[Team]],Games[Season],Games[[#This Row],[Season]],Games[Date],"&lt;=" &amp; Games[[#This Row],[Date]])</f>
        <v>16</v>
      </c>
      <c r="D234" s="2" t="s">
        <v>23</v>
      </c>
      <c r="E234" s="2" t="s">
        <v>29</v>
      </c>
      <c r="F234" s="1" t="s">
        <v>66</v>
      </c>
      <c r="G234" s="1" t="s">
        <v>80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4" s="2">
        <f>Games[[#This Row],[DaysOff]]-Games[[#This Row],[OppDaysOff]]</f>
        <v>0</v>
      </c>
      <c r="L234" s="2">
        <f>Games[[#This Row],[OppDaysOff]]-Games[[#This Row],[DaysOff]]</f>
        <v>0</v>
      </c>
      <c r="M234" s="1">
        <f>MAX(-16, MIN(16, Games[[#This Row],[RestDiff]]*8))</f>
        <v>0</v>
      </c>
      <c r="N234" s="1">
        <f>MAX(-16, MIN(16, Games[[#This Row],[OppRestDiff]]*8))</f>
        <v>0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1585.2282635086804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1457.2672230834833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0.56292954968280751</v>
      </c>
      <c r="R234" s="1">
        <v>70</v>
      </c>
      <c r="S234" s="1">
        <v>57</v>
      </c>
      <c r="T234" s="1">
        <v>0</v>
      </c>
      <c r="U234" s="1">
        <f>Games[[#This Row],[PointsFor]]-Games[[#This Row],[PointsAgainst]]</f>
        <v>13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0.4265580762787814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73.599999999999994</v>
      </c>
      <c r="Z234" s="4">
        <f>Games[[#This Row],[K]]*Games[[#This Row],[POMult]]</f>
        <v>73.599999999999994</v>
      </c>
      <c r="AA234" s="4">
        <f>(Games[[#This Row],[Keff]]*Games[[#This Row],[MOVMult]])*(Games[[#This Row],[Result]]-Games[[#This Row],[ExpectedWin%]])</f>
        <v>13.721684483740331</v>
      </c>
      <c r="AB234" s="4">
        <f>Games[[#This Row],[PreGmRate]]+Games[[#This Row],[RatingChange]]</f>
        <v>1598.9499479924207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37078</v>
      </c>
      <c r="B235" s="2">
        <v>2001</v>
      </c>
      <c r="C235" s="2">
        <f>COUNTIFS(Games[Team],Games[[#This Row],[Team]],Games[Season],Games[[#This Row],[Season]],Games[Date],"&lt;=" &amp; Games[[#This Row],[Date]])</f>
        <v>14</v>
      </c>
      <c r="D235" s="2" t="s">
        <v>23</v>
      </c>
      <c r="E235" s="2" t="s">
        <v>29</v>
      </c>
      <c r="F235" s="1" t="s">
        <v>80</v>
      </c>
      <c r="G235" s="1" t="s">
        <v>66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5" s="2">
        <f>Games[[#This Row],[DaysOff]]-Games[[#This Row],[OppDaysOff]]</f>
        <v>0</v>
      </c>
      <c r="L235" s="2">
        <f>Games[[#This Row],[OppDaysOff]]-Games[[#This Row],[DaysOff]]</f>
        <v>0</v>
      </c>
      <c r="M235" s="1">
        <f>MAX(-16, MIN(16, Games[[#This Row],[RestDiff]]*8))</f>
        <v>0</v>
      </c>
      <c r="N235" s="1">
        <f>MAX(-16, MIN(16, Games[[#This Row],[OppRestDiff]]*8))</f>
        <v>0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1457.2672230834833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1585.2282635086804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0.4370704503171926</v>
      </c>
      <c r="R235" s="1">
        <v>57</v>
      </c>
      <c r="S235" s="1">
        <v>70</v>
      </c>
      <c r="T235" s="1">
        <v>0</v>
      </c>
      <c r="U235" s="1">
        <f>Games[[#This Row],[PointsFor]]-Games[[#This Row],[PointsAgainst]]</f>
        <v>-13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0.4265580762787814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73.900000000000006</v>
      </c>
      <c r="Z235" s="4">
        <f>Games[[#This Row],[K]]*Games[[#This Row],[POMult]]</f>
        <v>73.900000000000006</v>
      </c>
      <c r="AA235" s="4">
        <f>(Games[[#This Row],[Keff]]*Games[[#This Row],[MOVMult]])*(Games[[#This Row],[Result]]-Games[[#This Row],[ExpectedWin%]])</f>
        <v>-13.777615262886018</v>
      </c>
      <c r="AB235" s="4">
        <f>Games[[#This Row],[PreGmRate]]+Games[[#This Row],[RatingChange]]</f>
        <v>1443.4896078205973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37078</v>
      </c>
      <c r="B236" s="2">
        <v>2001</v>
      </c>
      <c r="C236" s="2">
        <f>COUNTIFS(Games[Team],Games[[#This Row],[Team]],Games[Season],Games[[#This Row],[Season]],Games[Date],"&lt;=" &amp; Games[[#This Row],[Date]])</f>
        <v>16</v>
      </c>
      <c r="D236" s="2" t="s">
        <v>23</v>
      </c>
      <c r="E236" s="2" t="s">
        <v>29</v>
      </c>
      <c r="F236" s="1" t="s">
        <v>45</v>
      </c>
      <c r="G236" s="1" t="s">
        <v>79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36" s="2">
        <f>Games[[#This Row],[DaysOff]]-Games[[#This Row],[OppDaysOff]]</f>
        <v>-2</v>
      </c>
      <c r="L236" s="2">
        <f>Games[[#This Row],[OppDaysOff]]-Games[[#This Row],[DaysOff]]</f>
        <v>2</v>
      </c>
      <c r="M236" s="1">
        <f>MAX(-16, MIN(16, Games[[#This Row],[RestDiff]]*8))</f>
        <v>-16</v>
      </c>
      <c r="N236" s="1">
        <f>MAX(-16, MIN(16, Games[[#This Row],[OppRestDiff]]*8))</f>
        <v>16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1597.0775644891958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1442.9452301862555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0.55465755044795184</v>
      </c>
      <c r="R236" s="1">
        <v>75</v>
      </c>
      <c r="S236" s="1">
        <v>68</v>
      </c>
      <c r="T236" s="1">
        <v>0</v>
      </c>
      <c r="U236" s="1">
        <f>Games[[#This Row],[PointsFor]]-Games[[#This Row],[PointsAgainst]]</f>
        <v>7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0.3279802097135549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73.599999999999994</v>
      </c>
      <c r="Z236" s="4">
        <f>Games[[#This Row],[K]]*Games[[#This Row],[POMult]]</f>
        <v>73.599999999999994</v>
      </c>
      <c r="AA236" s="4">
        <f>(Games[[#This Row],[Keff]]*Games[[#This Row],[MOVMult]])*(Games[[#This Row],[Result]]-Games[[#This Row],[ExpectedWin%]])</f>
        <v>10.750274335884374</v>
      </c>
      <c r="AB236" s="4">
        <f>Games[[#This Row],[PreGmRate]]+Games[[#This Row],[RatingChange]]</f>
        <v>1607.8278388250801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37078</v>
      </c>
      <c r="B237" s="2">
        <v>2001</v>
      </c>
      <c r="C237" s="2">
        <f>COUNTIFS(Games[Team],Games[[#This Row],[Team]],Games[Season],Games[[#This Row],[Season]],Games[Date],"&lt;=" &amp; Games[[#This Row],[Date]])</f>
        <v>14</v>
      </c>
      <c r="D237" s="2" t="s">
        <v>23</v>
      </c>
      <c r="E237" s="2" t="s">
        <v>29</v>
      </c>
      <c r="F237" s="1" t="s">
        <v>79</v>
      </c>
      <c r="G237" s="1" t="s">
        <v>45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2</v>
      </c>
      <c r="L237" s="2">
        <f>Games[[#This Row],[OppDaysOff]]-Games[[#This Row],[DaysOff]]</f>
        <v>-2</v>
      </c>
      <c r="M237" s="1">
        <f>MAX(-16, MIN(16, Games[[#This Row],[RestDiff]]*8))</f>
        <v>16</v>
      </c>
      <c r="N237" s="1">
        <f>MAX(-16, MIN(16, Games[[#This Row],[OppRestDiff]]*8))</f>
        <v>-16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1442.9452301862555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1597.0775644891958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0.44534244955204821</v>
      </c>
      <c r="R237" s="1">
        <v>68</v>
      </c>
      <c r="S237" s="1">
        <v>75</v>
      </c>
      <c r="T237" s="1">
        <v>0</v>
      </c>
      <c r="U237" s="1">
        <f>Games[[#This Row],[PointsFor]]-Games[[#This Row],[PointsAgainst]]</f>
        <v>-7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0.3279802097135549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73.900000000000006</v>
      </c>
      <c r="Z237" s="4">
        <f>Games[[#This Row],[K]]*Games[[#This Row],[POMult]]</f>
        <v>73.900000000000006</v>
      </c>
      <c r="AA237" s="4">
        <f>(Games[[#This Row],[Keff]]*Games[[#This Row],[MOVMult]])*(Games[[#This Row],[Result]]-Games[[#This Row],[ExpectedWin%]])</f>
        <v>-10.794093388883905</v>
      </c>
      <c r="AB237" s="4">
        <f>Games[[#This Row],[PreGmRate]]+Games[[#This Row],[RatingChange]]</f>
        <v>1432.1511367973715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37078</v>
      </c>
      <c r="B238" s="2">
        <v>2001</v>
      </c>
      <c r="C238" s="2">
        <f>COUNTIFS(Games[Team],Games[[#This Row],[Team]],Games[Season],Games[[#This Row],[Season]],Games[Date],"&lt;=" &amp; Games[[#This Row],[Date]])</f>
        <v>15</v>
      </c>
      <c r="D238" s="2" t="s">
        <v>23</v>
      </c>
      <c r="E238" s="2" t="s">
        <v>29</v>
      </c>
      <c r="F238" s="1" t="s">
        <v>75</v>
      </c>
      <c r="G238" s="1" t="s">
        <v>89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1</v>
      </c>
      <c r="L238" s="2">
        <f>Games[[#This Row],[OppDaysOff]]-Games[[#This Row],[DaysOff]]</f>
        <v>-1</v>
      </c>
      <c r="M238" s="1">
        <f>MAX(-16, MIN(16, Games[[#This Row],[RestDiff]]*8))</f>
        <v>8</v>
      </c>
      <c r="N238" s="1">
        <f>MAX(-16, MIN(16, Games[[#This Row],[OppRestDiff]]*8))</f>
        <v>-8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1419.737410491332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1482.5231598928228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0.32019772409800545</v>
      </c>
      <c r="R238" s="1">
        <v>58</v>
      </c>
      <c r="S238" s="1">
        <v>69</v>
      </c>
      <c r="T238" s="1">
        <v>0</v>
      </c>
      <c r="U238" s="1">
        <f>Games[[#This Row],[PointsFor]]-Games[[#This Row],[PointsAgainst]]</f>
        <v>-11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0.41796731120802949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73.75</v>
      </c>
      <c r="Z238" s="4">
        <f>Games[[#This Row],[K]]*Games[[#This Row],[POMult]]</f>
        <v>73.75</v>
      </c>
      <c r="AA238" s="4">
        <f>(Games[[#This Row],[Keff]]*Games[[#This Row],[MOVMult]])*(Games[[#This Row],[Result]]-Games[[#This Row],[ExpectedWin%]])</f>
        <v>-9.870123407467819</v>
      </c>
      <c r="AB238" s="4">
        <f>Games[[#This Row],[PreGmRate]]+Games[[#This Row],[RatingChange]]</f>
        <v>1409.8672870838641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37078</v>
      </c>
      <c r="B239" s="2">
        <v>2001</v>
      </c>
      <c r="C239" s="2">
        <f>COUNTIFS(Games[Team],Games[[#This Row],[Team]],Games[Season],Games[[#This Row],[Season]],Games[Date],"&lt;=" &amp; Games[[#This Row],[Date]])</f>
        <v>15</v>
      </c>
      <c r="D239" s="2" t="s">
        <v>23</v>
      </c>
      <c r="E239" s="2" t="s">
        <v>29</v>
      </c>
      <c r="F239" s="1" t="s">
        <v>89</v>
      </c>
      <c r="G239" s="1" t="s">
        <v>75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-1</v>
      </c>
      <c r="L239" s="2">
        <f>Games[[#This Row],[OppDaysOff]]-Games[[#This Row],[DaysOff]]</f>
        <v>1</v>
      </c>
      <c r="M239" s="1">
        <f>MAX(-16, MIN(16, Games[[#This Row],[RestDiff]]*8))</f>
        <v>-8</v>
      </c>
      <c r="N239" s="1">
        <f>MAX(-16, MIN(16, Games[[#This Row],[OppRestDiff]]*8))</f>
        <v>8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1482.5231598928228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1419.737410491332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0.67980227590199449</v>
      </c>
      <c r="R239" s="1">
        <v>69</v>
      </c>
      <c r="S239" s="1">
        <v>58</v>
      </c>
      <c r="T239" s="1">
        <v>0</v>
      </c>
      <c r="U239" s="1">
        <f>Games[[#This Row],[PointsFor]]-Games[[#This Row],[PointsAgainst]]</f>
        <v>11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0.41796731120802949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73.75</v>
      </c>
      <c r="Z239" s="4">
        <f>Games[[#This Row],[K]]*Games[[#This Row],[POMult]]</f>
        <v>73.75</v>
      </c>
      <c r="AA239" s="4">
        <f>(Games[[#This Row],[Keff]]*Games[[#This Row],[MOVMult]])*(Games[[#This Row],[Result]]-Games[[#This Row],[ExpectedWin%]])</f>
        <v>9.8701234074678208</v>
      </c>
      <c r="AB239" s="4">
        <f>Games[[#This Row],[PreGmRate]]+Games[[#This Row],[RatingChange]]</f>
        <v>1492.3932833002907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37078</v>
      </c>
      <c r="B240" s="2">
        <v>2001</v>
      </c>
      <c r="C240" s="2">
        <f>COUNTIFS(Games[Team],Games[[#This Row],[Team]],Games[Season],Games[[#This Row],[Season]],Games[Date],"&lt;=" &amp; Games[[#This Row],[Date]])</f>
        <v>16</v>
      </c>
      <c r="D240" s="2" t="s">
        <v>23</v>
      </c>
      <c r="E240" s="2" t="s">
        <v>29</v>
      </c>
      <c r="F240" s="1" t="s">
        <v>1</v>
      </c>
      <c r="G240" s="1" t="s">
        <v>43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2</v>
      </c>
      <c r="L240" s="2">
        <f>Games[[#This Row],[OppDaysOff]]-Games[[#This Row],[DaysOff]]</f>
        <v>-2</v>
      </c>
      <c r="M240" s="1">
        <f>MAX(-16, MIN(16, Games[[#This Row],[RestDiff]]*8))</f>
        <v>16</v>
      </c>
      <c r="N240" s="1">
        <f>MAX(-16, MIN(16, Games[[#This Row],[OppRestDiff]]*8))</f>
        <v>-16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1612.8170551604901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1457.281736411564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0.64473999653957148</v>
      </c>
      <c r="R240" s="1">
        <v>69</v>
      </c>
      <c r="S240" s="1">
        <v>73</v>
      </c>
      <c r="T240" s="1">
        <v>0</v>
      </c>
      <c r="U240" s="1">
        <f>Games[[#This Row],[PointsFor]]-Games[[#This Row],[PointsAgainst]]</f>
        <v>-4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0.27569866805799986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73.599999999999994</v>
      </c>
      <c r="Z240" s="4">
        <f>Games[[#This Row],[K]]*Games[[#This Row],[POMult]]</f>
        <v>73.599999999999994</v>
      </c>
      <c r="AA240" s="4">
        <f>(Games[[#This Row],[Keff]]*Games[[#This Row],[MOVMult]])*(Games[[#This Row],[Result]]-Games[[#This Row],[ExpectedWin%]])</f>
        <v>-13.082691330120396</v>
      </c>
      <c r="AB240" s="4">
        <f>Games[[#This Row],[PreGmRate]]+Games[[#This Row],[RatingChange]]</f>
        <v>1599.7343638303696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37078</v>
      </c>
      <c r="B241" s="2">
        <v>2001</v>
      </c>
      <c r="C241" s="2">
        <f>COUNTIFS(Games[Team],Games[[#This Row],[Team]],Games[Season],Games[[#This Row],[Season]],Games[Date],"&lt;=" &amp; Games[[#This Row],[Date]])</f>
        <v>14</v>
      </c>
      <c r="D241" s="2" t="s">
        <v>23</v>
      </c>
      <c r="E241" s="2" t="s">
        <v>29</v>
      </c>
      <c r="F241" s="1" t="s">
        <v>43</v>
      </c>
      <c r="G241" s="1" t="s">
        <v>1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1" s="2">
        <f>Games[[#This Row],[DaysOff]]-Games[[#This Row],[OppDaysOff]]</f>
        <v>-2</v>
      </c>
      <c r="L241" s="2">
        <f>Games[[#This Row],[OppDaysOff]]-Games[[#This Row],[DaysOff]]</f>
        <v>2</v>
      </c>
      <c r="M241" s="1">
        <f>MAX(-16, MIN(16, Games[[#This Row],[RestDiff]]*8))</f>
        <v>-16</v>
      </c>
      <c r="N241" s="1">
        <f>MAX(-16, MIN(16, Games[[#This Row],[OppRestDiff]]*8))</f>
        <v>16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1457.281736411564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1612.8170551604901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0.35526000346042858</v>
      </c>
      <c r="R241" s="1">
        <v>73</v>
      </c>
      <c r="S241" s="1">
        <v>69</v>
      </c>
      <c r="T241" s="1">
        <v>0</v>
      </c>
      <c r="U241" s="1">
        <f>Games[[#This Row],[PointsFor]]-Games[[#This Row],[PointsAgainst]]</f>
        <v>4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0.27569866805799986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73.900000000000006</v>
      </c>
      <c r="Z241" s="4">
        <f>Games[[#This Row],[K]]*Games[[#This Row],[POMult]]</f>
        <v>73.900000000000006</v>
      </c>
      <c r="AA241" s="4">
        <f>(Games[[#This Row],[Keff]]*Games[[#This Row],[MOVMult]])*(Games[[#This Row],[Result]]-Games[[#This Row],[ExpectedWin%]])</f>
        <v>13.136017517607302</v>
      </c>
      <c r="AB241" s="4">
        <f>Games[[#This Row],[PreGmRate]]+Games[[#This Row],[RatingChange]]</f>
        <v>1470.4177539291713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37079</v>
      </c>
      <c r="B242" s="2">
        <v>2001</v>
      </c>
      <c r="C242" s="2">
        <f>COUNTIFS(Games[Team],Games[[#This Row],[Team]],Games[Season],Games[[#This Row],[Season]],Games[Date],"&lt;=" &amp; Games[[#This Row],[Date]])</f>
        <v>17</v>
      </c>
      <c r="D242" s="2" t="s">
        <v>23</v>
      </c>
      <c r="E242" s="2" t="s">
        <v>29</v>
      </c>
      <c r="F242" s="1" t="s">
        <v>87</v>
      </c>
      <c r="G242" s="1" t="s">
        <v>64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2" s="2">
        <f>Games[[#This Row],[DaysOff]]-Games[[#This Row],[OppDaysOff]]</f>
        <v>2</v>
      </c>
      <c r="L242" s="2">
        <f>Games[[#This Row],[OppDaysOff]]-Games[[#This Row],[DaysOff]]</f>
        <v>-2</v>
      </c>
      <c r="M242" s="1">
        <f>MAX(-16, MIN(16, Games[[#This Row],[RestDiff]]*8))</f>
        <v>16</v>
      </c>
      <c r="N242" s="1">
        <f>MAX(-16, MIN(16, Games[[#This Row],[OppRestDiff]]*8))</f>
        <v>-16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1437.5671236333801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1444.8622996708102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0.41548632597822654</v>
      </c>
      <c r="R242" s="1">
        <v>38</v>
      </c>
      <c r="S242" s="1">
        <v>48</v>
      </c>
      <c r="T242" s="1">
        <v>0</v>
      </c>
      <c r="U242" s="1">
        <f>Games[[#This Row],[PointsFor]]-Games[[#This Row],[PointsAgainst]]</f>
        <v>-10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0.42057290485106569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73.45</v>
      </c>
      <c r="Z242" s="4">
        <f>Games[[#This Row],[K]]*Games[[#This Row],[POMult]]</f>
        <v>73.45</v>
      </c>
      <c r="AA242" s="4">
        <f>(Games[[#This Row],[Keff]]*Games[[#This Row],[MOVMult]])*(Games[[#This Row],[Result]]-Games[[#This Row],[ExpectedWin%]])</f>
        <v>-12.834821277075998</v>
      </c>
      <c r="AB242" s="4">
        <f>Games[[#This Row],[PreGmRate]]+Games[[#This Row],[RatingChange]]</f>
        <v>1424.7323023563042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37079</v>
      </c>
      <c r="B243" s="2">
        <v>2001</v>
      </c>
      <c r="C243" s="2">
        <f>COUNTIFS(Games[Team],Games[[#This Row],[Team]],Games[Season],Games[[#This Row],[Season]],Games[Date],"&lt;=" &amp; Games[[#This Row],[Date]])</f>
        <v>17</v>
      </c>
      <c r="D243" s="2" t="s">
        <v>23</v>
      </c>
      <c r="E243" s="2" t="s">
        <v>29</v>
      </c>
      <c r="F243" s="1" t="s">
        <v>64</v>
      </c>
      <c r="G243" s="1" t="s">
        <v>87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3" s="2">
        <f>Games[[#This Row],[DaysOff]]-Games[[#This Row],[OppDaysOff]]</f>
        <v>-2</v>
      </c>
      <c r="L243" s="2">
        <f>Games[[#This Row],[OppDaysOff]]-Games[[#This Row],[DaysOff]]</f>
        <v>2</v>
      </c>
      <c r="M243" s="1">
        <f>MAX(-16, MIN(16, Games[[#This Row],[RestDiff]]*8))</f>
        <v>-16</v>
      </c>
      <c r="N243" s="1">
        <f>MAX(-16, MIN(16, Games[[#This Row],[OppRestDiff]]*8))</f>
        <v>16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1444.8622996708102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1437.5671236333801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0.58451367402177346</v>
      </c>
      <c r="R243" s="1">
        <v>48</v>
      </c>
      <c r="S243" s="1">
        <v>38</v>
      </c>
      <c r="T243" s="1">
        <v>0</v>
      </c>
      <c r="U243" s="1">
        <f>Games[[#This Row],[PointsFor]]-Games[[#This Row],[PointsAgainst]]</f>
        <v>10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0.42057290485106569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73.45</v>
      </c>
      <c r="Z243" s="4">
        <f>Games[[#This Row],[K]]*Games[[#This Row],[POMult]]</f>
        <v>73.45</v>
      </c>
      <c r="AA243" s="4">
        <f>(Games[[#This Row],[Keff]]*Games[[#This Row],[MOVMult]])*(Games[[#This Row],[Result]]-Games[[#This Row],[ExpectedWin%]])</f>
        <v>12.834821277075998</v>
      </c>
      <c r="AB243" s="4">
        <f>Games[[#This Row],[PreGmRate]]+Games[[#This Row],[RatingChange]]</f>
        <v>1457.6971209478861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37079</v>
      </c>
      <c r="B244" s="2">
        <v>2001</v>
      </c>
      <c r="C244" s="2">
        <f>COUNTIFS(Games[Team],Games[[#This Row],[Team]],Games[Season],Games[[#This Row],[Season]],Games[Date],"&lt;=" &amp; Games[[#This Row],[Date]])</f>
        <v>17</v>
      </c>
      <c r="D244" s="2" t="s">
        <v>23</v>
      </c>
      <c r="E244" s="2" t="s">
        <v>29</v>
      </c>
      <c r="F244" s="1" t="s">
        <v>45</v>
      </c>
      <c r="G244" s="1" t="s">
        <v>83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4" s="2">
        <f>Games[[#This Row],[DaysOff]]-Games[[#This Row],[OppDaysOff]]</f>
        <v>-2</v>
      </c>
      <c r="L244" s="2">
        <f>Games[[#This Row],[OppDaysOff]]-Games[[#This Row],[DaysOff]]</f>
        <v>2</v>
      </c>
      <c r="M244" s="1">
        <f>MAX(-16, MIN(16, Games[[#This Row],[RestDiff]]*8))</f>
        <v>-16</v>
      </c>
      <c r="N244" s="1">
        <f>MAX(-16, MIN(16, Games[[#This Row],[OppRestDiff]]*8))</f>
        <v>16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1607.8278388250801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1446.3369442310398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0.56509509762335641</v>
      </c>
      <c r="R244" s="1">
        <v>54</v>
      </c>
      <c r="S244" s="1">
        <v>66</v>
      </c>
      <c r="T244" s="1">
        <v>0</v>
      </c>
      <c r="U244" s="1">
        <f>Games[[#This Row],[PointsFor]]-Games[[#This Row],[PointsAgainst]]</f>
        <v>-12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0.40202643577359759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73.45</v>
      </c>
      <c r="Z244" s="4">
        <f>Games[[#This Row],[K]]*Games[[#This Row],[POMult]]</f>
        <v>73.45</v>
      </c>
      <c r="AA244" s="4">
        <f>(Games[[#This Row],[Keff]]*Games[[#This Row],[MOVMult]])*(Games[[#This Row],[Result]]-Games[[#This Row],[ExpectedWin%]])</f>
        <v>-16.686603687444329</v>
      </c>
      <c r="AB244" s="4">
        <f>Games[[#This Row],[PreGmRate]]+Games[[#This Row],[RatingChange]]</f>
        <v>1591.1412351376357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37079</v>
      </c>
      <c r="B245" s="2">
        <v>2001</v>
      </c>
      <c r="C245" s="2">
        <f>COUNTIFS(Games[Team],Games[[#This Row],[Team]],Games[Season],Games[[#This Row],[Season]],Games[Date],"&lt;=" &amp; Games[[#This Row],[Date]])</f>
        <v>16</v>
      </c>
      <c r="D245" s="2" t="s">
        <v>23</v>
      </c>
      <c r="E245" s="2" t="s">
        <v>29</v>
      </c>
      <c r="F245" s="1" t="s">
        <v>83</v>
      </c>
      <c r="G245" s="1" t="s">
        <v>45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5" s="2">
        <f>Games[[#This Row],[DaysOff]]-Games[[#This Row],[OppDaysOff]]</f>
        <v>2</v>
      </c>
      <c r="L245" s="2">
        <f>Games[[#This Row],[OppDaysOff]]-Games[[#This Row],[DaysOff]]</f>
        <v>-2</v>
      </c>
      <c r="M245" s="1">
        <f>MAX(-16, MIN(16, Games[[#This Row],[RestDiff]]*8))</f>
        <v>16</v>
      </c>
      <c r="N245" s="1">
        <f>MAX(-16, MIN(16, Games[[#This Row],[OppRestDiff]]*8))</f>
        <v>-16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1446.3369442310398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1607.8278388250801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0.43490490237664359</v>
      </c>
      <c r="R245" s="1">
        <v>66</v>
      </c>
      <c r="S245" s="1">
        <v>54</v>
      </c>
      <c r="T245" s="1">
        <v>0</v>
      </c>
      <c r="U245" s="1">
        <f>Games[[#This Row],[PointsFor]]-Games[[#This Row],[PointsAgainst]]</f>
        <v>12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0.40202643577359759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73.599999999999994</v>
      </c>
      <c r="Z245" s="4">
        <f>Games[[#This Row],[K]]*Games[[#This Row],[POMult]]</f>
        <v>73.599999999999994</v>
      </c>
      <c r="AA245" s="4">
        <f>(Games[[#This Row],[Keff]]*Games[[#This Row],[MOVMult]])*(Games[[#This Row],[Result]]-Games[[#This Row],[ExpectedWin%]])</f>
        <v>16.720681162639924</v>
      </c>
      <c r="AB245" s="4">
        <f>Games[[#This Row],[PreGmRate]]+Games[[#This Row],[RatingChange]]</f>
        <v>1463.0576253936797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37079</v>
      </c>
      <c r="B246" s="2">
        <v>2001</v>
      </c>
      <c r="C246" s="2">
        <f>COUNTIFS(Games[Team],Games[[#This Row],[Team]],Games[Season],Games[[#This Row],[Season]],Games[Date],"&lt;=" &amp; Games[[#This Row],[Date]])</f>
        <v>16</v>
      </c>
      <c r="D246" s="2" t="s">
        <v>23</v>
      </c>
      <c r="E246" s="2" t="s">
        <v>29</v>
      </c>
      <c r="F246" s="1" t="s">
        <v>75</v>
      </c>
      <c r="G246" s="1" t="s">
        <v>44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-1</v>
      </c>
      <c r="L246" s="2">
        <f>Games[[#This Row],[OppDaysOff]]-Games[[#This Row],[DaysOff]]</f>
        <v>1</v>
      </c>
      <c r="M246" s="1">
        <f>MAX(-16, MIN(16, Games[[#This Row],[RestDiff]]*8))</f>
        <v>-8</v>
      </c>
      <c r="N246" s="1">
        <f>MAX(-16, MIN(16, Games[[#This Row],[OppRestDiff]]*8))</f>
        <v>8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1409.8672870838641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1452.8896684697706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0.30506297306765628</v>
      </c>
      <c r="R246" s="1">
        <v>52</v>
      </c>
      <c r="S246" s="1">
        <v>66</v>
      </c>
      <c r="T246" s="1">
        <v>0</v>
      </c>
      <c r="U246" s="1">
        <f>Games[[#This Row],[PointsFor]]-Games[[#This Row],[PointsAgainst]]</f>
        <v>-14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0.4707314469981882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73.599999999999994</v>
      </c>
      <c r="Z246" s="4">
        <f>Games[[#This Row],[K]]*Games[[#This Row],[POMult]]</f>
        <v>73.599999999999994</v>
      </c>
      <c r="AA246" s="4">
        <f>(Games[[#This Row],[Keff]]*Games[[#This Row],[MOVMult]])*(Games[[#This Row],[Result]]-Games[[#This Row],[ExpectedWin%]])</f>
        <v>-10.569161276695247</v>
      </c>
      <c r="AB246" s="4">
        <f>Games[[#This Row],[PreGmRate]]+Games[[#This Row],[RatingChange]]</f>
        <v>1399.2981258071688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37079</v>
      </c>
      <c r="B247" s="2">
        <v>2001</v>
      </c>
      <c r="C247" s="2">
        <f>COUNTIFS(Games[Team],Games[[#This Row],[Team]],Games[Season],Games[[#This Row],[Season]],Games[Date],"&lt;=" &amp; Games[[#This Row],[Date]])</f>
        <v>16</v>
      </c>
      <c r="D247" s="2" t="s">
        <v>23</v>
      </c>
      <c r="E247" s="2" t="s">
        <v>29</v>
      </c>
      <c r="F247" s="1" t="s">
        <v>44</v>
      </c>
      <c r="G247" s="1" t="s">
        <v>75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7" s="2">
        <f>Games[[#This Row],[DaysOff]]-Games[[#This Row],[OppDaysOff]]</f>
        <v>1</v>
      </c>
      <c r="L247" s="2">
        <f>Games[[#This Row],[OppDaysOff]]-Games[[#This Row],[DaysOff]]</f>
        <v>-1</v>
      </c>
      <c r="M247" s="1">
        <f>MAX(-16, MIN(16, Games[[#This Row],[RestDiff]]*8))</f>
        <v>8</v>
      </c>
      <c r="N247" s="1">
        <f>MAX(-16, MIN(16, Games[[#This Row],[OppRestDiff]]*8))</f>
        <v>-8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1452.8896684697706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1409.8672870838641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0.69493702693234372</v>
      </c>
      <c r="R247" s="1">
        <v>66</v>
      </c>
      <c r="S247" s="1">
        <v>52</v>
      </c>
      <c r="T247" s="1">
        <v>0</v>
      </c>
      <c r="U247" s="1">
        <f>Games[[#This Row],[PointsFor]]-Games[[#This Row],[PointsAgainst]]</f>
        <v>14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0.4707314469981882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73.599999999999994</v>
      </c>
      <c r="Z247" s="4">
        <f>Games[[#This Row],[K]]*Games[[#This Row],[POMult]]</f>
        <v>73.599999999999994</v>
      </c>
      <c r="AA247" s="4">
        <f>(Games[[#This Row],[Keff]]*Games[[#This Row],[MOVMult]])*(Games[[#This Row],[Result]]-Games[[#This Row],[ExpectedWin%]])</f>
        <v>10.569161276695247</v>
      </c>
      <c r="AB247" s="4">
        <f>Games[[#This Row],[PreGmRate]]+Games[[#This Row],[RatingChange]]</f>
        <v>1463.4588297464659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37080</v>
      </c>
      <c r="B248" s="2">
        <v>2001</v>
      </c>
      <c r="C248" s="2">
        <f>COUNTIFS(Games[Team],Games[[#This Row],[Team]],Games[Season],Games[[#This Row],[Season]],Games[Date],"&lt;=" &amp; Games[[#This Row],[Date]])</f>
        <v>17</v>
      </c>
      <c r="D248" s="2" t="s">
        <v>23</v>
      </c>
      <c r="E248" s="2" t="s">
        <v>29</v>
      </c>
      <c r="F248" s="1" t="s">
        <v>1</v>
      </c>
      <c r="G248" s="1" t="s">
        <v>2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1599.7343638303696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1701.486266716845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0.25554119160940242</v>
      </c>
      <c r="R248" s="1">
        <v>63</v>
      </c>
      <c r="S248" s="1">
        <v>53</v>
      </c>
      <c r="T248" s="1">
        <v>0</v>
      </c>
      <c r="U248" s="1">
        <f>Games[[#This Row],[PointsFor]]-Games[[#This Row],[PointsAgainst]]</f>
        <v>10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0.39005561510826664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73.45</v>
      </c>
      <c r="Z248" s="4">
        <f>Games[[#This Row],[K]]*Games[[#This Row],[POMult]]</f>
        <v>73.45</v>
      </c>
      <c r="AA248" s="4">
        <f>(Games[[#This Row],[Keff]]*Games[[#This Row],[MOVMult]])*(Games[[#This Row],[Result]]-Games[[#This Row],[ExpectedWin%]])</f>
        <v>21.328435857651314</v>
      </c>
      <c r="AB248" s="4">
        <f>Games[[#This Row],[PreGmRate]]+Games[[#This Row],[RatingChange]]</f>
        <v>1621.062799688021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37080</v>
      </c>
      <c r="B249" s="2">
        <v>2001</v>
      </c>
      <c r="C249" s="2">
        <f>COUNTIFS(Games[Team],Games[[#This Row],[Team]],Games[Season],Games[[#This Row],[Season]],Games[Date],"&lt;=" &amp; Games[[#This Row],[Date]])</f>
        <v>15</v>
      </c>
      <c r="D249" s="2" t="s">
        <v>23</v>
      </c>
      <c r="E249" s="2" t="s">
        <v>29</v>
      </c>
      <c r="F249" s="1" t="s">
        <v>2</v>
      </c>
      <c r="G249" s="1" t="s">
        <v>1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1701.486266716845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1599.7343638303696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0.74445880839059753</v>
      </c>
      <c r="R249" s="1">
        <v>53</v>
      </c>
      <c r="S249" s="1">
        <v>63</v>
      </c>
      <c r="T249" s="1">
        <v>0</v>
      </c>
      <c r="U249" s="1">
        <f>Games[[#This Row],[PointsFor]]-Games[[#This Row],[PointsAgainst]]</f>
        <v>-10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0.39005561510826664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73.75</v>
      </c>
      <c r="Z249" s="4">
        <f>Games[[#This Row],[K]]*Games[[#This Row],[POMult]]</f>
        <v>73.75</v>
      </c>
      <c r="AA249" s="4">
        <f>(Games[[#This Row],[Keff]]*Games[[#This Row],[MOVMult]])*(Games[[#This Row],[Result]]-Games[[#This Row],[ExpectedWin%]])</f>
        <v>-21.415549959180179</v>
      </c>
      <c r="AB249" s="4">
        <f>Games[[#This Row],[PreGmRate]]+Games[[#This Row],[RatingChange]]</f>
        <v>1680.0707167576647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37080</v>
      </c>
      <c r="B250" s="2">
        <v>2001</v>
      </c>
      <c r="C250" s="2">
        <f>COUNTIFS(Games[Team],Games[[#This Row],[Team]],Games[Season],Games[[#This Row],[Season]],Games[Date],"&lt;=" &amp; Games[[#This Row],[Date]])</f>
        <v>17</v>
      </c>
      <c r="D250" s="2" t="s">
        <v>23</v>
      </c>
      <c r="E250" s="2" t="s">
        <v>29</v>
      </c>
      <c r="F250" s="1" t="s">
        <v>66</v>
      </c>
      <c r="G250" s="1" t="s">
        <v>85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1598.9499479924207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1419.75508976882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0.63366812112019066</v>
      </c>
      <c r="R250" s="1">
        <v>58</v>
      </c>
      <c r="S250" s="1">
        <v>56</v>
      </c>
      <c r="T250" s="1">
        <v>0</v>
      </c>
      <c r="U250" s="1">
        <f>Games[[#This Row],[PointsFor]]-Games[[#This Row],[PointsAgainst]]</f>
        <v>2</v>
      </c>
      <c r="V250" s="1">
        <f>IF(Games[[#This Row],[MOV]]&gt;0,1,IF(Games[[#This Row],[MOV]]=0,0.5,0))</f>
        <v>1</v>
      </c>
      <c r="W250" s="4">
        <f>((ABS(Games[[#This Row],[MOV]])+5)^0.6)/(12+0.01*(ABS(Games[[#This Row],[PreGmRate]]-Games[[#This Row],[OppPreGmRate]])))*IF(Games[[#This Row],[OT]]=1,0.9,1)</f>
        <v>0.23304146115044144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73.45</v>
      </c>
      <c r="Z250" s="4">
        <f>Games[[#This Row],[K]]*Games[[#This Row],[POMult]]</f>
        <v>73.45</v>
      </c>
      <c r="AA250" s="4">
        <f>(Games[[#This Row],[Keff]]*Games[[#This Row],[MOVMult]])*(Games[[#This Row],[Result]]-Games[[#This Row],[ExpectedWin%]])</f>
        <v>6.2704644237140856</v>
      </c>
      <c r="AB250" s="4">
        <f>Games[[#This Row],[PreGmRate]]+Games[[#This Row],[RatingChange]]</f>
        <v>1605.2204124161346</v>
      </c>
      <c r="AC250" s="2">
        <f>IF(Games[[#This Row],[Type]]="R",IF(Games[[#This Row],[Result]]&gt;0.5,1,0),0)</f>
        <v>1</v>
      </c>
      <c r="AD250" s="2">
        <f>IF(Games[[#This Row],[Type]]="R",IF(Games[[#This Row],[Result]]&lt;0.5,1,0),0)</f>
        <v>0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37080</v>
      </c>
      <c r="B251" s="2">
        <v>2001</v>
      </c>
      <c r="C251" s="2">
        <f>COUNTIFS(Games[Team],Games[[#This Row],[Team]],Games[Season],Games[[#This Row],[Season]],Games[Date],"&lt;=" &amp; Games[[#This Row],[Date]])</f>
        <v>15</v>
      </c>
      <c r="D251" s="2" t="s">
        <v>23</v>
      </c>
      <c r="E251" s="2" t="s">
        <v>29</v>
      </c>
      <c r="F251" s="1" t="s">
        <v>85</v>
      </c>
      <c r="G251" s="1" t="s">
        <v>66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1419.75508976882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1598.9499479924207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0.36633187887980939</v>
      </c>
      <c r="R251" s="1">
        <v>56</v>
      </c>
      <c r="S251" s="1">
        <v>58</v>
      </c>
      <c r="T251" s="1">
        <v>0</v>
      </c>
      <c r="U251" s="1">
        <f>Games[[#This Row],[PointsFor]]-Games[[#This Row],[PointsAgainst]]</f>
        <v>-2</v>
      </c>
      <c r="V251" s="1">
        <f>IF(Games[[#This Row],[MOV]]&gt;0,1,IF(Games[[#This Row],[MOV]]=0,0.5,0))</f>
        <v>0</v>
      </c>
      <c r="W251" s="4">
        <f>((ABS(Games[[#This Row],[MOV]])+5)^0.6)/(12+0.01*(ABS(Games[[#This Row],[PreGmRate]]-Games[[#This Row],[OppPreGmRate]])))*IF(Games[[#This Row],[OT]]=1,0.9,1)</f>
        <v>0.23304146115044144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73.75</v>
      </c>
      <c r="Z251" s="4">
        <f>Games[[#This Row],[K]]*Games[[#This Row],[POMult]]</f>
        <v>73.75</v>
      </c>
      <c r="AA251" s="4">
        <f>(Games[[#This Row],[Keff]]*Games[[#This Row],[MOVMult]])*(Games[[#This Row],[Result]]-Games[[#This Row],[ExpectedWin%]])</f>
        <v>-6.296075578610127</v>
      </c>
      <c r="AB251" s="4">
        <f>Games[[#This Row],[PreGmRate]]+Games[[#This Row],[RatingChange]]</f>
        <v>1413.4590141902099</v>
      </c>
      <c r="AC251" s="2">
        <f>IF(Games[[#This Row],[Type]]="R",IF(Games[[#This Row],[Result]]&gt;0.5,1,0),0)</f>
        <v>0</v>
      </c>
      <c r="AD251" s="2">
        <f>IF(Games[[#This Row],[Type]]="R",IF(Games[[#This Row],[Result]]&lt;0.5,1,0),0)</f>
        <v>1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37080</v>
      </c>
      <c r="B252" s="2">
        <v>2001</v>
      </c>
      <c r="C252" s="2">
        <f>COUNTIFS(Games[Team],Games[[#This Row],[Team]],Games[Season],Games[[#This Row],[Season]],Games[Date],"&lt;=" &amp; Games[[#This Row],[Date]])</f>
        <v>15</v>
      </c>
      <c r="D252" s="2" t="s">
        <v>23</v>
      </c>
      <c r="E252" s="2" t="s">
        <v>29</v>
      </c>
      <c r="F252" s="1" t="s">
        <v>80</v>
      </c>
      <c r="G252" s="1" t="s">
        <v>71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-1</v>
      </c>
      <c r="L252" s="2">
        <f>Games[[#This Row],[OppDaysOff]]-Games[[#This Row],[DaysOff]]</f>
        <v>1</v>
      </c>
      <c r="M252" s="1">
        <f>MAX(-16, MIN(16, Games[[#This Row],[RestDiff]]*8))</f>
        <v>-8</v>
      </c>
      <c r="N252" s="1">
        <f>MAX(-16, MIN(16, Games[[#This Row],[OppRestDiff]]*8))</f>
        <v>8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1443.4896078205973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1668.8253889941068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0.13321999990397415</v>
      </c>
      <c r="R252" s="1">
        <v>95</v>
      </c>
      <c r="S252" s="1">
        <v>100</v>
      </c>
      <c r="T252" s="1">
        <v>1</v>
      </c>
      <c r="U252" s="1">
        <f>Games[[#This Row],[PointsFor]]-Games[[#This Row],[PointsAgainst]]</f>
        <v>-5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0.25137687429915945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73.75</v>
      </c>
      <c r="Z252" s="4">
        <f>Games[[#This Row],[K]]*Games[[#This Row],[POMult]]</f>
        <v>73.75</v>
      </c>
      <c r="AA252" s="4">
        <f>(Games[[#This Row],[Keff]]*Games[[#This Row],[MOVMult]])*(Games[[#This Row],[Result]]-Games[[#This Row],[ExpectedWin%]])</f>
        <v>-2.4697715037871566</v>
      </c>
      <c r="AB252" s="4">
        <f>Games[[#This Row],[PreGmRate]]+Games[[#This Row],[RatingChange]]</f>
        <v>1441.0198363168101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37080</v>
      </c>
      <c r="B253" s="2">
        <v>2001</v>
      </c>
      <c r="C253" s="2">
        <f>COUNTIFS(Games[Team],Games[[#This Row],[Team]],Games[Season],Games[[#This Row],[Season]],Games[Date],"&lt;=" &amp; Games[[#This Row],[Date]])</f>
        <v>17</v>
      </c>
      <c r="D253" s="2" t="s">
        <v>23</v>
      </c>
      <c r="E253" s="2" t="s">
        <v>29</v>
      </c>
      <c r="F253" s="1" t="s">
        <v>71</v>
      </c>
      <c r="G253" s="1" t="s">
        <v>80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3" s="2">
        <f>Games[[#This Row],[DaysOff]]-Games[[#This Row],[OppDaysOff]]</f>
        <v>1</v>
      </c>
      <c r="L253" s="2">
        <f>Games[[#This Row],[OppDaysOff]]-Games[[#This Row],[DaysOff]]</f>
        <v>-1</v>
      </c>
      <c r="M253" s="1">
        <f>MAX(-16, MIN(16, Games[[#This Row],[RestDiff]]*8))</f>
        <v>8</v>
      </c>
      <c r="N253" s="1">
        <f>MAX(-16, MIN(16, Games[[#This Row],[OppRestDiff]]*8))</f>
        <v>-8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1668.8253889941068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1443.4896078205973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0.86678000009602574</v>
      </c>
      <c r="R253" s="1">
        <v>100</v>
      </c>
      <c r="S253" s="1">
        <v>95</v>
      </c>
      <c r="T253" s="1">
        <v>1</v>
      </c>
      <c r="U253" s="1">
        <f>Games[[#This Row],[PointsFor]]-Games[[#This Row],[PointsAgainst]]</f>
        <v>5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0.25137687429915945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73.45</v>
      </c>
      <c r="Z253" s="4">
        <f>Games[[#This Row],[K]]*Games[[#This Row],[POMult]]</f>
        <v>73.45</v>
      </c>
      <c r="AA253" s="4">
        <f>(Games[[#This Row],[Keff]]*Games[[#This Row],[MOVMult]])*(Games[[#This Row],[Result]]-Games[[#This Row],[ExpectedWin%]])</f>
        <v>2.4597249756361603</v>
      </c>
      <c r="AB253" s="4">
        <f>Games[[#This Row],[PreGmRate]]+Games[[#This Row],[RatingChange]]</f>
        <v>1671.285113969743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37080</v>
      </c>
      <c r="B254" s="2">
        <v>2001</v>
      </c>
      <c r="C254" s="2">
        <f>COUNTIFS(Games[Team],Games[[#This Row],[Team]],Games[Season],Games[[#This Row],[Season]],Games[Date],"&lt;=" &amp; Games[[#This Row],[Date]])</f>
        <v>15</v>
      </c>
      <c r="D254" s="2" t="s">
        <v>23</v>
      </c>
      <c r="E254" s="2" t="s">
        <v>29</v>
      </c>
      <c r="F254" s="1" t="s">
        <v>77</v>
      </c>
      <c r="G254" s="1" t="s">
        <v>79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1371.9844400479888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1432.1511367973715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0.30366828369275933</v>
      </c>
      <c r="R254" s="1">
        <v>67</v>
      </c>
      <c r="S254" s="1">
        <v>73</v>
      </c>
      <c r="T254" s="1">
        <v>0</v>
      </c>
      <c r="U254" s="1">
        <f>Games[[#This Row],[PointsFor]]-Games[[#This Row],[PointsAgainst]]</f>
        <v>-6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0.3345088506120264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73.75</v>
      </c>
      <c r="Z254" s="4">
        <f>Games[[#This Row],[K]]*Games[[#This Row],[POMult]]</f>
        <v>73.75</v>
      </c>
      <c r="AA254" s="4">
        <f>(Games[[#This Row],[Keff]]*Games[[#This Row],[MOVMult]])*(Games[[#This Row],[Result]]-Games[[#This Row],[ExpectedWin%]])</f>
        <v>-7.4915049802226363</v>
      </c>
      <c r="AB254" s="4">
        <f>Games[[#This Row],[PreGmRate]]+Games[[#This Row],[RatingChange]]</f>
        <v>1364.4929350677662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37080</v>
      </c>
      <c r="B255" s="2">
        <v>2001</v>
      </c>
      <c r="C255" s="2">
        <f>COUNTIFS(Games[Team],Games[[#This Row],[Team]],Games[Season],Games[[#This Row],[Season]],Games[Date],"&lt;=" &amp; Games[[#This Row],[Date]])</f>
        <v>15</v>
      </c>
      <c r="D255" s="2" t="s">
        <v>23</v>
      </c>
      <c r="E255" s="2" t="s">
        <v>29</v>
      </c>
      <c r="F255" s="1" t="s">
        <v>79</v>
      </c>
      <c r="G255" s="1" t="s">
        <v>77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1432.1511367973715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1371.9844400479888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0.69633171630724067</v>
      </c>
      <c r="R255" s="1">
        <v>73</v>
      </c>
      <c r="S255" s="1">
        <v>67</v>
      </c>
      <c r="T255" s="1">
        <v>0</v>
      </c>
      <c r="U255" s="1">
        <f>Games[[#This Row],[PointsFor]]-Games[[#This Row],[PointsAgainst]]</f>
        <v>6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0.3345088506120264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73.75</v>
      </c>
      <c r="Z255" s="4">
        <f>Games[[#This Row],[K]]*Games[[#This Row],[POMult]]</f>
        <v>73.75</v>
      </c>
      <c r="AA255" s="4">
        <f>(Games[[#This Row],[Keff]]*Games[[#This Row],[MOVMult]])*(Games[[#This Row],[Result]]-Games[[#This Row],[ExpectedWin%]])</f>
        <v>7.4915049802226363</v>
      </c>
      <c r="AB255" s="4">
        <f>Games[[#This Row],[PreGmRate]]+Games[[#This Row],[RatingChange]]</f>
        <v>1439.642641777594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37080</v>
      </c>
      <c r="B256" s="2">
        <v>2001</v>
      </c>
      <c r="C256" s="2">
        <f>COUNTIFS(Games[Team],Games[[#This Row],[Team]],Games[Season],Games[[#This Row],[Season]],Games[Date],"&lt;=" &amp; Games[[#This Row],[Date]])</f>
        <v>15</v>
      </c>
      <c r="D256" s="2" t="s">
        <v>23</v>
      </c>
      <c r="E256" s="2" t="s">
        <v>29</v>
      </c>
      <c r="F256" s="1" t="s">
        <v>43</v>
      </c>
      <c r="G256" s="1" t="s">
        <v>89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1470.4177539291713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1492.3932833002907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0.3520491187026612</v>
      </c>
      <c r="R256" s="1">
        <v>65</v>
      </c>
      <c r="S256" s="1">
        <v>63</v>
      </c>
      <c r="T256" s="1">
        <v>0</v>
      </c>
      <c r="U256" s="1">
        <f>Games[[#This Row],[PointsFor]]-Games[[#This Row],[PointsAgainst]]</f>
        <v>2</v>
      </c>
      <c r="V256" s="1">
        <f>IF(Games[[#This Row],[MOV]]&gt;0,1,IF(Games[[#This Row],[MOV]]=0,0.5,0))</f>
        <v>1</v>
      </c>
      <c r="W256" s="4">
        <f>((ABS(Games[[#This Row],[MOV]])+5)^0.6)/(12+0.01*(ABS(Games[[#This Row],[PreGmRate]]-Games[[#This Row],[OppPreGmRate]])))*IF(Games[[#This Row],[OT]]=1,0.9,1)</f>
        <v>0.26302456738803509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73.75</v>
      </c>
      <c r="Z256" s="4">
        <f>Games[[#This Row],[K]]*Games[[#This Row],[POMult]]</f>
        <v>73.75</v>
      </c>
      <c r="AA256" s="4">
        <f>(Games[[#This Row],[Keff]]*Games[[#This Row],[MOVMult]])*(Games[[#This Row],[Result]]-Games[[#This Row],[ExpectedWin%]])</f>
        <v>12.568991267842236</v>
      </c>
      <c r="AB256" s="4">
        <f>Games[[#This Row],[PreGmRate]]+Games[[#This Row],[RatingChange]]</f>
        <v>1482.9867451970135</v>
      </c>
      <c r="AC256" s="2">
        <f>IF(Games[[#This Row],[Type]]="R",IF(Games[[#This Row],[Result]]&gt;0.5,1,0),0)</f>
        <v>1</v>
      </c>
      <c r="AD256" s="2">
        <f>IF(Games[[#This Row],[Type]]="R",IF(Games[[#This Row],[Result]]&lt;0.5,1,0),0)</f>
        <v>0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37080</v>
      </c>
      <c r="B257" s="2">
        <v>2001</v>
      </c>
      <c r="C257" s="2">
        <f>COUNTIFS(Games[Team],Games[[#This Row],[Team]],Games[Season],Games[[#This Row],[Season]],Games[Date],"&lt;=" &amp; Games[[#This Row],[Date]])</f>
        <v>16</v>
      </c>
      <c r="D257" s="2" t="s">
        <v>23</v>
      </c>
      <c r="E257" s="2" t="s">
        <v>29</v>
      </c>
      <c r="F257" s="1" t="s">
        <v>89</v>
      </c>
      <c r="G257" s="1" t="s">
        <v>43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1492.3932833002907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1470.4177539291713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0.64795088129733869</v>
      </c>
      <c r="R257" s="1">
        <v>63</v>
      </c>
      <c r="S257" s="1">
        <v>65</v>
      </c>
      <c r="T257" s="1">
        <v>0</v>
      </c>
      <c r="U257" s="1">
        <f>Games[[#This Row],[PointsFor]]-Games[[#This Row],[PointsAgainst]]</f>
        <v>-2</v>
      </c>
      <c r="V257" s="1">
        <f>IF(Games[[#This Row],[MOV]]&gt;0,1,IF(Games[[#This Row],[MOV]]=0,0.5,0))</f>
        <v>0</v>
      </c>
      <c r="W257" s="4">
        <f>((ABS(Games[[#This Row],[MOV]])+5)^0.6)/(12+0.01*(ABS(Games[[#This Row],[PreGmRate]]-Games[[#This Row],[OppPreGmRate]])))*IF(Games[[#This Row],[OT]]=1,0.9,1)</f>
        <v>0.26302456738803509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73.599999999999994</v>
      </c>
      <c r="Z257" s="4">
        <f>Games[[#This Row],[K]]*Games[[#This Row],[POMult]]</f>
        <v>73.599999999999994</v>
      </c>
      <c r="AA257" s="4">
        <f>(Games[[#This Row],[Keff]]*Games[[#This Row],[MOVMult]])*(Games[[#This Row],[Result]]-Games[[#This Row],[ExpectedWin%]])</f>
        <v>-12.543427217805943</v>
      </c>
      <c r="AB257" s="4">
        <f>Games[[#This Row],[PreGmRate]]+Games[[#This Row],[RatingChange]]</f>
        <v>1479.8498560824848</v>
      </c>
      <c r="AC257" s="2">
        <f>IF(Games[[#This Row],[Type]]="R",IF(Games[[#This Row],[Result]]&gt;0.5,1,0),0)</f>
        <v>0</v>
      </c>
      <c r="AD257" s="2">
        <f>IF(Games[[#This Row],[Type]]="R",IF(Games[[#This Row],[Result]]&lt;0.5,1,0),0)</f>
        <v>1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37081</v>
      </c>
      <c r="B258" s="2">
        <v>2001</v>
      </c>
      <c r="C258" s="2">
        <f>COUNTIFS(Games[Team],Games[[#This Row],[Team]],Games[Season],Games[[#This Row],[Season]],Games[Date],"&lt;=" &amp; Games[[#This Row],[Date]])</f>
        <v>16</v>
      </c>
      <c r="D258" s="2" t="s">
        <v>23</v>
      </c>
      <c r="E258" s="2" t="s">
        <v>29</v>
      </c>
      <c r="F258" s="1" t="s">
        <v>85</v>
      </c>
      <c r="G258" s="1" t="s">
        <v>66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1413.4590141902099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1605.2204124161346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0.16974857400710205</v>
      </c>
      <c r="R258" s="1">
        <v>65</v>
      </c>
      <c r="S258" s="1">
        <v>72</v>
      </c>
      <c r="T258" s="1">
        <v>0</v>
      </c>
      <c r="U258" s="1">
        <f>Games[[#This Row],[PointsFor]]-Games[[#This Row],[PointsAgainst]]</f>
        <v>-7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0.31911260619148785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73.599999999999994</v>
      </c>
      <c r="Z258" s="4">
        <f>Games[[#This Row],[K]]*Games[[#This Row],[POMult]]</f>
        <v>73.599999999999994</v>
      </c>
      <c r="AA258" s="4">
        <f>(Games[[#This Row],[Keff]]*Games[[#This Row],[MOVMult]])*(Games[[#This Row],[Result]]-Games[[#This Row],[ExpectedWin%]])</f>
        <v>-3.9868317648639509</v>
      </c>
      <c r="AB258" s="4">
        <f>Games[[#This Row],[PreGmRate]]+Games[[#This Row],[RatingChange]]</f>
        <v>1409.4721824253459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37081</v>
      </c>
      <c r="B259" s="2">
        <v>2001</v>
      </c>
      <c r="C259" s="2">
        <f>COUNTIFS(Games[Team],Games[[#This Row],[Team]],Games[Season],Games[[#This Row],[Season]],Games[Date],"&lt;=" &amp; Games[[#This Row],[Date]])</f>
        <v>18</v>
      </c>
      <c r="D259" s="2" t="s">
        <v>23</v>
      </c>
      <c r="E259" s="2" t="s">
        <v>29</v>
      </c>
      <c r="F259" s="1" t="s">
        <v>66</v>
      </c>
      <c r="G259" s="1" t="s">
        <v>85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1605.2204124161346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1413.4590141902099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0.83025142599289803</v>
      </c>
      <c r="R259" s="1">
        <v>72</v>
      </c>
      <c r="S259" s="1">
        <v>65</v>
      </c>
      <c r="T259" s="1">
        <v>0</v>
      </c>
      <c r="U259" s="1">
        <f>Games[[#This Row],[PointsFor]]-Games[[#This Row],[PointsAgainst]]</f>
        <v>7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0.31911260619148785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73.3</v>
      </c>
      <c r="Z259" s="4">
        <f>Games[[#This Row],[K]]*Games[[#This Row],[POMult]]</f>
        <v>73.3</v>
      </c>
      <c r="AA259" s="4">
        <f>(Games[[#This Row],[Keff]]*Games[[#This Row],[MOVMult]])*(Games[[#This Row],[Result]]-Games[[#This Row],[ExpectedWin%]])</f>
        <v>3.9705810919093407</v>
      </c>
      <c r="AB259" s="4">
        <f>Games[[#This Row],[PreGmRate]]+Games[[#This Row],[RatingChange]]</f>
        <v>1609.1909935080439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37082</v>
      </c>
      <c r="B260" s="2">
        <v>2001</v>
      </c>
      <c r="C260" s="2">
        <f>COUNTIFS(Games[Team],Games[[#This Row],[Team]],Games[Season],Games[[#This Row],[Season]],Games[Date],"&lt;=" &amp; Games[[#This Row],[Date]])</f>
        <v>18</v>
      </c>
      <c r="D260" s="2" t="s">
        <v>23</v>
      </c>
      <c r="E260" s="2" t="s">
        <v>29</v>
      </c>
      <c r="F260" s="1" t="s">
        <v>87</v>
      </c>
      <c r="G260" s="1" t="s">
        <v>1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1</v>
      </c>
      <c r="L260" s="2">
        <f>Games[[#This Row],[OppDaysOff]]-Games[[#This Row],[DaysOff]]</f>
        <v>-1</v>
      </c>
      <c r="M260" s="1">
        <f>MAX(-16, MIN(16, Games[[#This Row],[RestDiff]]*8))</f>
        <v>8</v>
      </c>
      <c r="N260" s="1">
        <f>MAX(-16, MIN(16, Games[[#This Row],[OppRestDiff]]*8))</f>
        <v>-8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1424.7323023563042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1621.062799688021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0.17922475862915646</v>
      </c>
      <c r="R260" s="1">
        <v>53</v>
      </c>
      <c r="S260" s="1">
        <v>59</v>
      </c>
      <c r="T260" s="1">
        <v>0</v>
      </c>
      <c r="U260" s="1">
        <f>Games[[#This Row],[PointsFor]]-Games[[#This Row],[PointsAgainst]]</f>
        <v>-6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0.3018890686085533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73.3</v>
      </c>
      <c r="Z260" s="4">
        <f>Games[[#This Row],[K]]*Games[[#This Row],[POMult]]</f>
        <v>73.3</v>
      </c>
      <c r="AA260" s="4">
        <f>(Games[[#This Row],[Keff]]*Games[[#This Row],[MOVMult]])*(Games[[#This Row],[Result]]-Games[[#This Row],[ExpectedWin%]])</f>
        <v>-3.9659694667891086</v>
      </c>
      <c r="AB260" s="4">
        <f>Games[[#This Row],[PreGmRate]]+Games[[#This Row],[RatingChange]]</f>
        <v>1420.7663328895151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37082</v>
      </c>
      <c r="B261" s="2">
        <v>2001</v>
      </c>
      <c r="C261" s="2">
        <f>COUNTIFS(Games[Team],Games[[#This Row],[Team]],Games[Season],Games[[#This Row],[Season]],Games[Date],"&lt;=" &amp; Games[[#This Row],[Date]])</f>
        <v>18</v>
      </c>
      <c r="D261" s="2" t="s">
        <v>23</v>
      </c>
      <c r="E261" s="2" t="s">
        <v>29</v>
      </c>
      <c r="F261" s="1" t="s">
        <v>1</v>
      </c>
      <c r="G261" s="1" t="s">
        <v>87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1" s="2">
        <f>Games[[#This Row],[DaysOff]]-Games[[#This Row],[OppDaysOff]]</f>
        <v>-1</v>
      </c>
      <c r="L261" s="2">
        <f>Games[[#This Row],[OppDaysOff]]-Games[[#This Row],[DaysOff]]</f>
        <v>1</v>
      </c>
      <c r="M261" s="1">
        <f>MAX(-16, MIN(16, Games[[#This Row],[RestDiff]]*8))</f>
        <v>-8</v>
      </c>
      <c r="N261" s="1">
        <f>MAX(-16, MIN(16, Games[[#This Row],[OppRestDiff]]*8))</f>
        <v>8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1621.062799688021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1424.7323023563042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0.82077524137084357</v>
      </c>
      <c r="R261" s="1">
        <v>59</v>
      </c>
      <c r="S261" s="1">
        <v>53</v>
      </c>
      <c r="T261" s="1">
        <v>0</v>
      </c>
      <c r="U261" s="1">
        <f>Games[[#This Row],[PointsFor]]-Games[[#This Row],[PointsAgainst]]</f>
        <v>6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0.3018890686085533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73.3</v>
      </c>
      <c r="Z261" s="4">
        <f>Games[[#This Row],[K]]*Games[[#This Row],[POMult]]</f>
        <v>73.3</v>
      </c>
      <c r="AA261" s="4">
        <f>(Games[[#This Row],[Keff]]*Games[[#This Row],[MOVMult]])*(Games[[#This Row],[Result]]-Games[[#This Row],[ExpectedWin%]])</f>
        <v>3.9659694667891081</v>
      </c>
      <c r="AB261" s="4">
        <f>Games[[#This Row],[PreGmRate]]+Games[[#This Row],[RatingChange]]</f>
        <v>1625.0287691548101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37082</v>
      </c>
      <c r="B262" s="2">
        <v>2001</v>
      </c>
      <c r="C262" s="2">
        <f>COUNTIFS(Games[Team],Games[[#This Row],[Team]],Games[Season],Games[[#This Row],[Season]],Games[Date],"&lt;=" &amp; Games[[#This Row],[Date]])</f>
        <v>17</v>
      </c>
      <c r="D262" s="2" t="s">
        <v>23</v>
      </c>
      <c r="E262" s="2" t="s">
        <v>29</v>
      </c>
      <c r="F262" s="1" t="s">
        <v>89</v>
      </c>
      <c r="G262" s="1" t="s">
        <v>80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1479.8498560824848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1441.0198363168101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0.4353589619066871</v>
      </c>
      <c r="R262" s="1">
        <v>52</v>
      </c>
      <c r="S262" s="1">
        <v>73</v>
      </c>
      <c r="T262" s="1">
        <v>0</v>
      </c>
      <c r="U262" s="1">
        <f>Games[[#This Row],[PointsFor]]-Games[[#This Row],[PointsAgainst]]</f>
        <v>-21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0.57012789168483335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73.45</v>
      </c>
      <c r="Z262" s="4">
        <f>Games[[#This Row],[K]]*Games[[#This Row],[POMult]]</f>
        <v>73.45</v>
      </c>
      <c r="AA262" s="4">
        <f>(Games[[#This Row],[Keff]]*Games[[#This Row],[MOVMult]])*(Games[[#This Row],[Result]]-Games[[#This Row],[ExpectedWin%]])</f>
        <v>-18.231045585875957</v>
      </c>
      <c r="AB262" s="4">
        <f>Games[[#This Row],[PreGmRate]]+Games[[#This Row],[RatingChange]]</f>
        <v>1461.6188104966088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37082</v>
      </c>
      <c r="B263" s="2">
        <v>2001</v>
      </c>
      <c r="C263" s="2">
        <f>COUNTIFS(Games[Team],Games[[#This Row],[Team]],Games[Season],Games[[#This Row],[Season]],Games[Date],"&lt;=" &amp; Games[[#This Row],[Date]])</f>
        <v>16</v>
      </c>
      <c r="D263" s="2" t="s">
        <v>23</v>
      </c>
      <c r="E263" s="2" t="s">
        <v>29</v>
      </c>
      <c r="F263" s="1" t="s">
        <v>80</v>
      </c>
      <c r="G263" s="1" t="s">
        <v>89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1441.0198363168101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1479.8498560824848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0.5646410380933129</v>
      </c>
      <c r="R263" s="1">
        <v>73</v>
      </c>
      <c r="S263" s="1">
        <v>52</v>
      </c>
      <c r="T263" s="1">
        <v>0</v>
      </c>
      <c r="U263" s="1">
        <f>Games[[#This Row],[PointsFor]]-Games[[#This Row],[PointsAgainst]]</f>
        <v>21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0.57012789168483335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73.599999999999994</v>
      </c>
      <c r="Z263" s="4">
        <f>Games[[#This Row],[K]]*Games[[#This Row],[POMult]]</f>
        <v>73.599999999999994</v>
      </c>
      <c r="AA263" s="4">
        <f>(Games[[#This Row],[Keff]]*Games[[#This Row],[MOVMult]])*(Games[[#This Row],[Result]]-Games[[#This Row],[ExpectedWin%]])</f>
        <v>18.268277128937648</v>
      </c>
      <c r="AB263" s="4">
        <f>Games[[#This Row],[PreGmRate]]+Games[[#This Row],[RatingChange]]</f>
        <v>1459.2881134457477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37082</v>
      </c>
      <c r="B264" s="2">
        <v>2001</v>
      </c>
      <c r="C264" s="2">
        <f>COUNTIFS(Games[Team],Games[[#This Row],[Team]],Games[Season],Games[[#This Row],[Season]],Games[Date],"&lt;=" &amp; Games[[#This Row],[Date]])</f>
        <v>17</v>
      </c>
      <c r="D264" s="2" t="s">
        <v>23</v>
      </c>
      <c r="E264" s="2" t="s">
        <v>29</v>
      </c>
      <c r="F264" s="1" t="s">
        <v>83</v>
      </c>
      <c r="G264" s="1" t="s">
        <v>79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1</v>
      </c>
      <c r="L264" s="2">
        <f>Games[[#This Row],[OppDaysOff]]-Games[[#This Row],[DaysOff]]</f>
        <v>-1</v>
      </c>
      <c r="M264" s="1">
        <f>MAX(-16, MIN(16, Games[[#This Row],[RestDiff]]*8))</f>
        <v>8</v>
      </c>
      <c r="N264" s="1">
        <f>MAX(-16, MIN(16, Games[[#This Row],[OppRestDiff]]*8))</f>
        <v>-8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1463.0576253936797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1439.642641777594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0.43618690175529429</v>
      </c>
      <c r="R264" s="1">
        <v>65</v>
      </c>
      <c r="S264" s="1">
        <v>63</v>
      </c>
      <c r="T264" s="1">
        <v>1</v>
      </c>
      <c r="U264" s="1">
        <f>Games[[#This Row],[PointsFor]]-Games[[#This Row],[PointsAgainst]]</f>
        <v>2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0.2364435864758197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73.45</v>
      </c>
      <c r="Z264" s="4">
        <f>Games[[#This Row],[K]]*Games[[#This Row],[POMult]]</f>
        <v>73.45</v>
      </c>
      <c r="AA264" s="4">
        <f>(Games[[#This Row],[Keff]]*Games[[#This Row],[MOVMult]])*(Games[[#This Row],[Result]]-Games[[#This Row],[ExpectedWin%]])</f>
        <v>9.7916188426975594</v>
      </c>
      <c r="AB264" s="4">
        <f>Games[[#This Row],[PreGmRate]]+Games[[#This Row],[RatingChange]]</f>
        <v>1472.8492442363772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37082</v>
      </c>
      <c r="B265" s="2">
        <v>2001</v>
      </c>
      <c r="C265" s="2">
        <f>COUNTIFS(Games[Team],Games[[#This Row],[Team]],Games[Season],Games[[#This Row],[Season]],Games[Date],"&lt;=" &amp; Games[[#This Row],[Date]])</f>
        <v>16</v>
      </c>
      <c r="D265" s="2" t="s">
        <v>23</v>
      </c>
      <c r="E265" s="2" t="s">
        <v>29</v>
      </c>
      <c r="F265" s="1" t="s">
        <v>79</v>
      </c>
      <c r="G265" s="1" t="s">
        <v>83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-1</v>
      </c>
      <c r="L265" s="2">
        <f>Games[[#This Row],[OppDaysOff]]-Games[[#This Row],[DaysOff]]</f>
        <v>1</v>
      </c>
      <c r="M265" s="1">
        <f>MAX(-16, MIN(16, Games[[#This Row],[RestDiff]]*8))</f>
        <v>-8</v>
      </c>
      <c r="N265" s="1">
        <f>MAX(-16, MIN(16, Games[[#This Row],[OppRestDiff]]*8))</f>
        <v>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1439.642641777594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1463.0576253936797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0.56381309824470571</v>
      </c>
      <c r="R265" s="1">
        <v>63</v>
      </c>
      <c r="S265" s="1">
        <v>65</v>
      </c>
      <c r="T265" s="1">
        <v>1</v>
      </c>
      <c r="U265" s="1">
        <f>Games[[#This Row],[PointsFor]]-Games[[#This Row],[PointsAgainst]]</f>
        <v>-2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0.2364435864758197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73.599999999999994</v>
      </c>
      <c r="Z265" s="4">
        <f>Games[[#This Row],[K]]*Games[[#This Row],[POMult]]</f>
        <v>73.599999999999994</v>
      </c>
      <c r="AA265" s="4">
        <f>(Games[[#This Row],[Keff]]*Games[[#This Row],[MOVMult]])*(Games[[#This Row],[Result]]-Games[[#This Row],[ExpectedWin%]])</f>
        <v>-9.8116153413552123</v>
      </c>
      <c r="AB265" s="4">
        <f>Games[[#This Row],[PreGmRate]]+Games[[#This Row],[RatingChange]]</f>
        <v>1429.8310264362387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37082</v>
      </c>
      <c r="B266" s="2">
        <v>2001</v>
      </c>
      <c r="C266" s="2">
        <f>COUNTIFS(Games[Team],Games[[#This Row],[Team]],Games[Season],Games[[#This Row],[Season]],Games[Date],"&lt;=" &amp; Games[[#This Row],[Date]])</f>
        <v>16</v>
      </c>
      <c r="D266" s="2" t="s">
        <v>23</v>
      </c>
      <c r="E266" s="2" t="s">
        <v>29</v>
      </c>
      <c r="F266" s="1" t="s">
        <v>2</v>
      </c>
      <c r="G266" s="1" t="s">
        <v>45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6" s="2">
        <f>Games[[#This Row],[DaysOff]]-Games[[#This Row],[OppDaysOff]]</f>
        <v>-1</v>
      </c>
      <c r="L266" s="2">
        <f>Games[[#This Row],[OppDaysOff]]-Games[[#This Row],[DaysOff]]</f>
        <v>1</v>
      </c>
      <c r="M266" s="1">
        <f>MAX(-16, MIN(16, Games[[#This Row],[RestDiff]]*8))</f>
        <v>-8</v>
      </c>
      <c r="N266" s="1">
        <f>MAX(-16, MIN(16, Games[[#This Row],[OppRestDiff]]*8))</f>
        <v>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1680.0707167576647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1591.1412351376357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0.48407363294008665</v>
      </c>
      <c r="R266" s="1">
        <v>76</v>
      </c>
      <c r="S266" s="1">
        <v>78</v>
      </c>
      <c r="T266" s="1">
        <v>1</v>
      </c>
      <c r="U266" s="1">
        <f>Games[[#This Row],[PointsFor]]-Games[[#This Row],[PointsAgainst]]</f>
        <v>-2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0.22442548688611549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73.599999999999994</v>
      </c>
      <c r="Z266" s="4">
        <f>Games[[#This Row],[K]]*Games[[#This Row],[POMult]]</f>
        <v>73.599999999999994</v>
      </c>
      <c r="AA266" s="4">
        <f>(Games[[#This Row],[Keff]]*Games[[#This Row],[MOVMult]])*(Games[[#This Row],[Result]]-Games[[#This Row],[ExpectedWin%]])</f>
        <v>-7.9957907120323926</v>
      </c>
      <c r="AB266" s="4">
        <f>Games[[#This Row],[PreGmRate]]+Games[[#This Row],[RatingChange]]</f>
        <v>1672.0749260456323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37082</v>
      </c>
      <c r="B267" s="2">
        <v>2001</v>
      </c>
      <c r="C267" s="2">
        <f>COUNTIFS(Games[Team],Games[[#This Row],[Team]],Games[Season],Games[[#This Row],[Season]],Games[Date],"&lt;=" &amp; Games[[#This Row],[Date]])</f>
        <v>18</v>
      </c>
      <c r="D267" s="2" t="s">
        <v>23</v>
      </c>
      <c r="E267" s="2" t="s">
        <v>29</v>
      </c>
      <c r="F267" s="1" t="s">
        <v>45</v>
      </c>
      <c r="G267" s="1" t="s">
        <v>2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1</v>
      </c>
      <c r="L267" s="2">
        <f>Games[[#This Row],[OppDaysOff]]-Games[[#This Row],[DaysOff]]</f>
        <v>-1</v>
      </c>
      <c r="M267" s="1">
        <f>MAX(-16, MIN(16, Games[[#This Row],[RestDiff]]*8))</f>
        <v>8</v>
      </c>
      <c r="N267" s="1">
        <f>MAX(-16, MIN(16, Games[[#This Row],[OppRestDiff]]*8))</f>
        <v>-8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1591.1412351376357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1680.0707167576647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0.51592636705991335</v>
      </c>
      <c r="R267" s="1">
        <v>78</v>
      </c>
      <c r="S267" s="1">
        <v>76</v>
      </c>
      <c r="T267" s="1">
        <v>1</v>
      </c>
      <c r="U267" s="1">
        <f>Games[[#This Row],[PointsFor]]-Games[[#This Row],[PointsAgainst]]</f>
        <v>2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0.22442548688611549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73.3</v>
      </c>
      <c r="Z267" s="4">
        <f>Games[[#This Row],[K]]*Games[[#This Row],[POMult]]</f>
        <v>73.3</v>
      </c>
      <c r="AA267" s="4">
        <f>(Games[[#This Row],[Keff]]*Games[[#This Row],[MOVMult]])*(Games[[#This Row],[Result]]-Games[[#This Row],[ExpectedWin%]])</f>
        <v>7.963199173804</v>
      </c>
      <c r="AB267" s="4">
        <f>Games[[#This Row],[PreGmRate]]+Games[[#This Row],[RatingChange]]</f>
        <v>1599.1044343114397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37082</v>
      </c>
      <c r="B268" s="2">
        <v>2001</v>
      </c>
      <c r="C268" s="2">
        <f>COUNTIFS(Games[Team],Games[[#This Row],[Team]],Games[Season],Games[[#This Row],[Season]],Games[Date],"&lt;=" &amp; Games[[#This Row],[Date]])</f>
        <v>18</v>
      </c>
      <c r="D268" s="2" t="s">
        <v>23</v>
      </c>
      <c r="E268" s="2" t="s">
        <v>29</v>
      </c>
      <c r="F268" s="1" t="s">
        <v>71</v>
      </c>
      <c r="G268" s="1" t="s">
        <v>43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1671.285113969743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1482.9867451970135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0.64574545218316448</v>
      </c>
      <c r="R268" s="1">
        <v>79</v>
      </c>
      <c r="S268" s="1">
        <v>67</v>
      </c>
      <c r="T268" s="1">
        <v>0</v>
      </c>
      <c r="U268" s="1">
        <f>Games[[#This Row],[PointsFor]]-Games[[#This Row],[PointsAgainst]]</f>
        <v>12</v>
      </c>
      <c r="V268" s="1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0.39426346958522812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73.3</v>
      </c>
      <c r="Z268" s="4">
        <f>Games[[#This Row],[K]]*Games[[#This Row],[POMult]]</f>
        <v>73.3</v>
      </c>
      <c r="AA268" s="4">
        <f>(Games[[#This Row],[Keff]]*Games[[#This Row],[MOVMult]])*(Games[[#This Row],[Result]]-Games[[#This Row],[ExpectedWin%]])</f>
        <v>10.237783669260235</v>
      </c>
      <c r="AB268" s="4">
        <f>Games[[#This Row],[PreGmRate]]+Games[[#This Row],[RatingChange]]</f>
        <v>1681.5228976390031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37082</v>
      </c>
      <c r="B269" s="2">
        <v>2001</v>
      </c>
      <c r="C269" s="2">
        <f>COUNTIFS(Games[Team],Games[[#This Row],[Team]],Games[Season],Games[[#This Row],[Season]],Games[Date],"&lt;=" &amp; Games[[#This Row],[Date]])</f>
        <v>16</v>
      </c>
      <c r="D269" s="2" t="s">
        <v>23</v>
      </c>
      <c r="E269" s="2" t="s">
        <v>29</v>
      </c>
      <c r="F269" s="1" t="s">
        <v>43</v>
      </c>
      <c r="G269" s="1" t="s">
        <v>71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1482.9867451970135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1671.285113969743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0.35425454781683546</v>
      </c>
      <c r="R269" s="1">
        <v>67</v>
      </c>
      <c r="S269" s="1">
        <v>79</v>
      </c>
      <c r="T269" s="1">
        <v>0</v>
      </c>
      <c r="U269" s="1">
        <f>Games[[#This Row],[PointsFor]]-Games[[#This Row],[PointsAgainst]]</f>
        <v>-12</v>
      </c>
      <c r="V269" s="1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0.39426346958522812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73.599999999999994</v>
      </c>
      <c r="Z269" s="4">
        <f>Games[[#This Row],[K]]*Games[[#This Row],[POMult]]</f>
        <v>73.599999999999994</v>
      </c>
      <c r="AA269" s="4">
        <f>(Games[[#This Row],[Keff]]*Games[[#This Row],[MOVMult]])*(Games[[#This Row],[Result]]-Games[[#This Row],[ExpectedWin%]])</f>
        <v>-10.279684557401817</v>
      </c>
      <c r="AB269" s="4">
        <f>Games[[#This Row],[PreGmRate]]+Games[[#This Row],[RatingChange]]</f>
        <v>1472.7070606396117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37083</v>
      </c>
      <c r="B270" s="2">
        <v>2001</v>
      </c>
      <c r="C270" s="2">
        <f>COUNTIFS(Games[Team],Games[[#This Row],[Team]],Games[Season],Games[[#This Row],[Season]],Games[Date],"&lt;=" &amp; Games[[#This Row],[Date]])</f>
        <v>19</v>
      </c>
      <c r="D270" s="2" t="s">
        <v>23</v>
      </c>
      <c r="E270" s="2" t="s">
        <v>29</v>
      </c>
      <c r="F270" s="1" t="s">
        <v>1</v>
      </c>
      <c r="G270" s="1" t="s">
        <v>85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1625.0287691548101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1409.4721824253459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0.66042689581958702</v>
      </c>
      <c r="R270" s="1">
        <v>76</v>
      </c>
      <c r="S270" s="1">
        <v>58</v>
      </c>
      <c r="T270" s="1">
        <v>0</v>
      </c>
      <c r="U270" s="1">
        <f>Games[[#This Row],[PointsFor]]-Games[[#This Row],[PointsAgainst]]</f>
        <v>18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0.46356374920178023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73.150000000000006</v>
      </c>
      <c r="Z270" s="4">
        <f>Games[[#This Row],[K]]*Games[[#This Row],[POMult]]</f>
        <v>73.150000000000006</v>
      </c>
      <c r="AA270" s="4">
        <f>(Games[[#This Row],[Keff]]*Games[[#This Row],[MOVMult]])*(Games[[#This Row],[Result]]-Games[[#This Row],[ExpectedWin%]])</f>
        <v>11.5148181022383</v>
      </c>
      <c r="AB270" s="4">
        <f>Games[[#This Row],[PreGmRate]]+Games[[#This Row],[RatingChange]]</f>
        <v>1636.5435872570483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37083</v>
      </c>
      <c r="B271" s="2">
        <v>2001</v>
      </c>
      <c r="C271" s="2">
        <f>COUNTIFS(Games[Team],Games[[#This Row],[Team]],Games[Season],Games[[#This Row],[Season]],Games[Date],"&lt;=" &amp; Games[[#This Row],[Date]])</f>
        <v>17</v>
      </c>
      <c r="D271" s="2" t="s">
        <v>23</v>
      </c>
      <c r="E271" s="2" t="s">
        <v>29</v>
      </c>
      <c r="F271" s="1" t="s">
        <v>85</v>
      </c>
      <c r="G271" s="1" t="s">
        <v>1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1409.4721824253459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1625.0287691548101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0.33957310418041292</v>
      </c>
      <c r="R271" s="1">
        <v>58</v>
      </c>
      <c r="S271" s="1">
        <v>76</v>
      </c>
      <c r="T271" s="1">
        <v>0</v>
      </c>
      <c r="U271" s="1">
        <f>Games[[#This Row],[PointsFor]]-Games[[#This Row],[PointsAgainst]]</f>
        <v>-18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0.46356374920178023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73.45</v>
      </c>
      <c r="Z271" s="4">
        <f>Games[[#This Row],[K]]*Games[[#This Row],[POMult]]</f>
        <v>73.45</v>
      </c>
      <c r="AA271" s="4">
        <f>(Games[[#This Row],[Keff]]*Games[[#This Row],[MOVMult]])*(Games[[#This Row],[Result]]-Games[[#This Row],[ExpectedWin%]])</f>
        <v>-11.562042236628884</v>
      </c>
      <c r="AB271" s="4">
        <f>Games[[#This Row],[PreGmRate]]+Games[[#This Row],[RatingChange]]</f>
        <v>1397.9101401887169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37083</v>
      </c>
      <c r="B272" s="2">
        <v>2001</v>
      </c>
      <c r="C272" s="2">
        <f>COUNTIFS(Games[Team],Games[[#This Row],[Team]],Games[Season],Games[[#This Row],[Season]],Games[Date],"&lt;=" &amp; Games[[#This Row],[Date]])</f>
        <v>19</v>
      </c>
      <c r="D272" s="2" t="s">
        <v>23</v>
      </c>
      <c r="E272" s="2" t="s">
        <v>29</v>
      </c>
      <c r="F272" s="1" t="s">
        <v>87</v>
      </c>
      <c r="G272" s="1" t="s">
        <v>66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-1</v>
      </c>
      <c r="L272" s="2">
        <f>Games[[#This Row],[OppDaysOff]]-Games[[#This Row],[DaysOff]]</f>
        <v>1</v>
      </c>
      <c r="M272" s="1">
        <f>MAX(-16, MIN(16, Games[[#This Row],[RestDiff]]*8))</f>
        <v>-8</v>
      </c>
      <c r="N272" s="1">
        <f>MAX(-16, MIN(16, Games[[#This Row],[OppRestDiff]]*8))</f>
        <v>8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1420.7663328895151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1609.1909935080439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0.15972094986376562</v>
      </c>
      <c r="R272" s="1">
        <v>53</v>
      </c>
      <c r="S272" s="1">
        <v>67</v>
      </c>
      <c r="T272" s="1">
        <v>0</v>
      </c>
      <c r="U272" s="1">
        <f>Games[[#This Row],[PointsFor]]-Games[[#This Row],[PointsAgainst]]</f>
        <v>-14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0.42143426347689061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73.150000000000006</v>
      </c>
      <c r="Z272" s="4">
        <f>Games[[#This Row],[K]]*Games[[#This Row],[POMult]]</f>
        <v>73.150000000000006</v>
      </c>
      <c r="AA272" s="4">
        <f>(Games[[#This Row],[Keff]]*Games[[#This Row],[MOVMult]])*(Games[[#This Row],[Result]]-Games[[#This Row],[ExpectedWin%]])</f>
        <v>-4.9238640854697264</v>
      </c>
      <c r="AB272" s="4">
        <f>Games[[#This Row],[PreGmRate]]+Games[[#This Row],[RatingChange]]</f>
        <v>1415.8424688040454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37083</v>
      </c>
      <c r="B273" s="2">
        <v>2001</v>
      </c>
      <c r="C273" s="2">
        <f>COUNTIFS(Games[Team],Games[[#This Row],[Team]],Games[Season],Games[[#This Row],[Season]],Games[Date],"&lt;=" &amp; Games[[#This Row],[Date]])</f>
        <v>19</v>
      </c>
      <c r="D273" s="2" t="s">
        <v>23</v>
      </c>
      <c r="E273" s="2" t="s">
        <v>29</v>
      </c>
      <c r="F273" s="1" t="s">
        <v>66</v>
      </c>
      <c r="G273" s="1" t="s">
        <v>87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3" s="2">
        <f>Games[[#This Row],[DaysOff]]-Games[[#This Row],[OppDaysOff]]</f>
        <v>1</v>
      </c>
      <c r="L273" s="2">
        <f>Games[[#This Row],[OppDaysOff]]-Games[[#This Row],[DaysOff]]</f>
        <v>-1</v>
      </c>
      <c r="M273" s="1">
        <f>MAX(-16, MIN(16, Games[[#This Row],[RestDiff]]*8))</f>
        <v>8</v>
      </c>
      <c r="N273" s="1">
        <f>MAX(-16, MIN(16, Games[[#This Row],[OppRestDiff]]*8))</f>
        <v>-8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1609.1909935080439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1420.7663328895151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0.84027905013623438</v>
      </c>
      <c r="R273" s="1">
        <v>67</v>
      </c>
      <c r="S273" s="1">
        <v>53</v>
      </c>
      <c r="T273" s="1">
        <v>0</v>
      </c>
      <c r="U273" s="1">
        <f>Games[[#This Row],[PointsFor]]-Games[[#This Row],[PointsAgainst]]</f>
        <v>14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0.42143426347689061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73.150000000000006</v>
      </c>
      <c r="Z273" s="4">
        <f>Games[[#This Row],[K]]*Games[[#This Row],[POMult]]</f>
        <v>73.150000000000006</v>
      </c>
      <c r="AA273" s="4">
        <f>(Games[[#This Row],[Keff]]*Games[[#This Row],[MOVMult]])*(Games[[#This Row],[Result]]-Games[[#This Row],[ExpectedWin%]])</f>
        <v>4.9238640854697264</v>
      </c>
      <c r="AB273" s="4">
        <f>Games[[#This Row],[PreGmRate]]+Games[[#This Row],[RatingChange]]</f>
        <v>1614.1148575935135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37083</v>
      </c>
      <c r="B274" s="2">
        <v>2001</v>
      </c>
      <c r="C274" s="2">
        <f>COUNTIFS(Games[Team],Games[[#This Row],[Team]],Games[Season],Games[[#This Row],[Season]],Games[Date],"&lt;=" &amp; Games[[#This Row],[Date]])</f>
        <v>19</v>
      </c>
      <c r="D274" s="2" t="s">
        <v>23</v>
      </c>
      <c r="E274" s="2" t="s">
        <v>29</v>
      </c>
      <c r="F274" s="1" t="s">
        <v>71</v>
      </c>
      <c r="G274" s="1" t="s">
        <v>44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4" s="2">
        <f>Games[[#This Row],[DaysOff]]-Games[[#This Row],[OppDaysOff]]</f>
        <v>-3</v>
      </c>
      <c r="L274" s="2">
        <f>Games[[#This Row],[OppDaysOff]]-Games[[#This Row],[DaysOff]]</f>
        <v>3</v>
      </c>
      <c r="M274" s="1">
        <f>MAX(-16, MIN(16, Games[[#This Row],[RestDiff]]*8))</f>
        <v>-16</v>
      </c>
      <c r="N274" s="1">
        <f>MAX(-16, MIN(16, Games[[#This Row],[OppRestDiff]]*8))</f>
        <v>16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1681.5228976390031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1463.4588297464659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0.64279775403601647</v>
      </c>
      <c r="R274" s="1">
        <v>75</v>
      </c>
      <c r="S274" s="1">
        <v>61</v>
      </c>
      <c r="T274" s="1">
        <v>0</v>
      </c>
      <c r="U274" s="1">
        <f>Games[[#This Row],[PointsFor]]-Games[[#This Row],[PointsAgainst]]</f>
        <v>14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0.41262573214376336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73.150000000000006</v>
      </c>
      <c r="Z274" s="4">
        <f>Games[[#This Row],[K]]*Games[[#This Row],[POMult]]</f>
        <v>73.150000000000006</v>
      </c>
      <c r="AA274" s="4">
        <f>(Games[[#This Row],[Keff]]*Games[[#This Row],[MOVMult]])*(Games[[#This Row],[Result]]-Games[[#This Row],[ExpectedWin%]])</f>
        <v>10.781639819032474</v>
      </c>
      <c r="AB274" s="4">
        <f>Games[[#This Row],[PreGmRate]]+Games[[#This Row],[RatingChange]]</f>
        <v>1692.3045374580356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37083</v>
      </c>
      <c r="B275" s="2">
        <v>2001</v>
      </c>
      <c r="C275" s="2">
        <f>COUNTIFS(Games[Team],Games[[#This Row],[Team]],Games[Season],Games[[#This Row],[Season]],Games[Date],"&lt;=" &amp; Games[[#This Row],[Date]])</f>
        <v>17</v>
      </c>
      <c r="D275" s="2" t="s">
        <v>23</v>
      </c>
      <c r="E275" s="2" t="s">
        <v>29</v>
      </c>
      <c r="F275" s="1" t="s">
        <v>44</v>
      </c>
      <c r="G275" s="1" t="s">
        <v>71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5" s="2">
        <f>Games[[#This Row],[DaysOff]]-Games[[#This Row],[OppDaysOff]]</f>
        <v>3</v>
      </c>
      <c r="L275" s="2">
        <f>Games[[#This Row],[OppDaysOff]]-Games[[#This Row],[DaysOff]]</f>
        <v>-3</v>
      </c>
      <c r="M275" s="1">
        <f>MAX(-16, MIN(16, Games[[#This Row],[RestDiff]]*8))</f>
        <v>16</v>
      </c>
      <c r="N275" s="1">
        <f>MAX(-16, MIN(16, Games[[#This Row],[OppRestDiff]]*8))</f>
        <v>-16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1463.4588297464659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1681.5228976390031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0.35720224596398353</v>
      </c>
      <c r="R275" s="1">
        <v>61</v>
      </c>
      <c r="S275" s="1">
        <v>75</v>
      </c>
      <c r="T275" s="1">
        <v>0</v>
      </c>
      <c r="U275" s="1">
        <f>Games[[#This Row],[PointsFor]]-Games[[#This Row],[PointsAgainst]]</f>
        <v>-14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0.41262573214376336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73.45</v>
      </c>
      <c r="Z275" s="4">
        <f>Games[[#This Row],[K]]*Games[[#This Row],[POMult]]</f>
        <v>73.45</v>
      </c>
      <c r="AA275" s="4">
        <f>(Games[[#This Row],[Keff]]*Games[[#This Row],[MOVMult]])*(Games[[#This Row],[Result]]-Games[[#This Row],[ExpectedWin%]])</f>
        <v>-10.825857070511759</v>
      </c>
      <c r="AB275" s="4">
        <f>Games[[#This Row],[PreGmRate]]+Games[[#This Row],[RatingChange]]</f>
        <v>1452.6329726759541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37083</v>
      </c>
      <c r="B276" s="2">
        <v>2001</v>
      </c>
      <c r="C276" s="2">
        <f>COUNTIFS(Games[Team],Games[[#This Row],[Team]],Games[Season],Games[[#This Row],[Season]],Games[Date],"&lt;=" &amp; Games[[#This Row],[Date]])</f>
        <v>16</v>
      </c>
      <c r="D276" s="2" t="s">
        <v>23</v>
      </c>
      <c r="E276" s="2" t="s">
        <v>29</v>
      </c>
      <c r="F276" s="1" t="s">
        <v>77</v>
      </c>
      <c r="G276" s="1" t="s">
        <v>75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6" s="2">
        <f>Games[[#This Row],[DaysOff]]-Games[[#This Row],[OppDaysOff]]</f>
        <v>-1</v>
      </c>
      <c r="L276" s="2">
        <f>Games[[#This Row],[OppDaysOff]]-Games[[#This Row],[DaysOff]]</f>
        <v>1</v>
      </c>
      <c r="M276" s="1">
        <f>MAX(-16, MIN(16, Games[[#This Row],[RestDiff]]*8))</f>
        <v>-8</v>
      </c>
      <c r="N276" s="1">
        <f>MAX(-16, MIN(16, Games[[#This Row],[OppRestDiff]]*8))</f>
        <v>8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1364.4929350677662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1399.2981258071688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0.31518238919355235</v>
      </c>
      <c r="R276" s="1">
        <v>64</v>
      </c>
      <c r="S276" s="1">
        <v>52</v>
      </c>
      <c r="T276" s="1">
        <v>0</v>
      </c>
      <c r="U276" s="1">
        <f>Games[[#This Row],[PointsFor]]-Games[[#This Row],[PointsAgainst]]</f>
        <v>12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0.443272619678649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73.599999999999994</v>
      </c>
      <c r="Z276" s="4">
        <f>Games[[#This Row],[K]]*Games[[#This Row],[POMult]]</f>
        <v>73.599999999999994</v>
      </c>
      <c r="AA276" s="4">
        <f>(Games[[#This Row],[Keff]]*Games[[#This Row],[MOVMult]])*(Games[[#This Row],[Result]]-Games[[#This Row],[ExpectedWin%]])</f>
        <v>22.342081970936615</v>
      </c>
      <c r="AB276" s="4">
        <f>Games[[#This Row],[PreGmRate]]+Games[[#This Row],[RatingChange]]</f>
        <v>1386.8350170387027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37083</v>
      </c>
      <c r="B277" s="2">
        <v>2001</v>
      </c>
      <c r="C277" s="2">
        <f>COUNTIFS(Games[Team],Games[[#This Row],[Team]],Games[Season],Games[[#This Row],[Season]],Games[Date],"&lt;=" &amp; Games[[#This Row],[Date]])</f>
        <v>17</v>
      </c>
      <c r="D277" s="2" t="s">
        <v>23</v>
      </c>
      <c r="E277" s="2" t="s">
        <v>29</v>
      </c>
      <c r="F277" s="1" t="s">
        <v>75</v>
      </c>
      <c r="G277" s="1" t="s">
        <v>77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1</v>
      </c>
      <c r="L277" s="2">
        <f>Games[[#This Row],[OppDaysOff]]-Games[[#This Row],[DaysOff]]</f>
        <v>-1</v>
      </c>
      <c r="M277" s="1">
        <f>MAX(-16, MIN(16, Games[[#This Row],[RestDiff]]*8))</f>
        <v>8</v>
      </c>
      <c r="N277" s="1">
        <f>MAX(-16, MIN(16, Games[[#This Row],[OppRestDiff]]*8))</f>
        <v>-8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1399.2981258071688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1364.4929350677662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0.68481761080644765</v>
      </c>
      <c r="R277" s="1">
        <v>52</v>
      </c>
      <c r="S277" s="1">
        <v>64</v>
      </c>
      <c r="T277" s="1">
        <v>0</v>
      </c>
      <c r="U277" s="1">
        <f>Games[[#This Row],[PointsFor]]-Games[[#This Row],[PointsAgainst]]</f>
        <v>-12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0.443272619678649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73.45</v>
      </c>
      <c r="Z277" s="4">
        <f>Games[[#This Row],[K]]*Games[[#This Row],[POMult]]</f>
        <v>73.45</v>
      </c>
      <c r="AA277" s="4">
        <f>(Games[[#This Row],[Keff]]*Games[[#This Row],[MOVMult]])*(Games[[#This Row],[Result]]-Games[[#This Row],[ExpectedWin%]])</f>
        <v>-22.296547836484983</v>
      </c>
      <c r="AB277" s="4">
        <f>Games[[#This Row],[PreGmRate]]+Games[[#This Row],[RatingChange]]</f>
        <v>1377.0015779706839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37084</v>
      </c>
      <c r="B278" s="2">
        <v>2001</v>
      </c>
      <c r="C278" s="2">
        <f>COUNTIFS(Games[Team],Games[[#This Row],[Team]],Games[Season],Games[[#This Row],[Season]],Games[Date],"&lt;=" &amp; Games[[#This Row],[Date]])</f>
        <v>17</v>
      </c>
      <c r="D278" s="2" t="s">
        <v>23</v>
      </c>
      <c r="E278" s="2" t="s">
        <v>29</v>
      </c>
      <c r="F278" s="1" t="s">
        <v>79</v>
      </c>
      <c r="G278" s="1" t="s">
        <v>64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78" s="2">
        <f>Games[[#This Row],[DaysOff]]-Games[[#This Row],[OppDaysOff]]</f>
        <v>-3</v>
      </c>
      <c r="L278" s="2">
        <f>Games[[#This Row],[OppDaysOff]]-Games[[#This Row],[DaysOff]]</f>
        <v>3</v>
      </c>
      <c r="M278" s="1">
        <f>MAX(-16, MIN(16, Games[[#This Row],[RestDiff]]*8))</f>
        <v>-16</v>
      </c>
      <c r="N278" s="1">
        <f>MAX(-16, MIN(16, Games[[#This Row],[OppRestDiff]]*8))</f>
        <v>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1429.8310264362387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1457.6971209478861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0.30403430888656019</v>
      </c>
      <c r="R278" s="1">
        <v>72</v>
      </c>
      <c r="S278" s="1">
        <v>69</v>
      </c>
      <c r="T278" s="1">
        <v>0</v>
      </c>
      <c r="U278" s="1">
        <f>Games[[#This Row],[PointsFor]]-Games[[#This Row],[PointsAgainst]]</f>
        <v>3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0.28359788325040886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73.45</v>
      </c>
      <c r="Z278" s="4">
        <f>Games[[#This Row],[K]]*Games[[#This Row],[POMult]]</f>
        <v>73.45</v>
      </c>
      <c r="AA278" s="4">
        <f>(Games[[#This Row],[Keff]]*Games[[#This Row],[MOVMult]])*(Games[[#This Row],[Result]]-Games[[#This Row],[ExpectedWin%]])</f>
        <v>14.497149446038202</v>
      </c>
      <c r="AB278" s="4">
        <f>Games[[#This Row],[PreGmRate]]+Games[[#This Row],[RatingChange]]</f>
        <v>1444.328175882277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37084</v>
      </c>
      <c r="B279" s="2">
        <v>2001</v>
      </c>
      <c r="C279" s="2">
        <f>COUNTIFS(Games[Team],Games[[#This Row],[Team]],Games[Season],Games[[#This Row],[Season]],Games[Date],"&lt;=" &amp; Games[[#This Row],[Date]])</f>
        <v>18</v>
      </c>
      <c r="D279" s="2" t="s">
        <v>23</v>
      </c>
      <c r="E279" s="2" t="s">
        <v>29</v>
      </c>
      <c r="F279" s="1" t="s">
        <v>64</v>
      </c>
      <c r="G279" s="1" t="s">
        <v>79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3</v>
      </c>
      <c r="L279" s="2">
        <f>Games[[#This Row],[OppDaysOff]]-Games[[#This Row],[DaysOff]]</f>
        <v>-3</v>
      </c>
      <c r="M279" s="1">
        <f>MAX(-16, MIN(16, Games[[#This Row],[RestDiff]]*8))</f>
        <v>16</v>
      </c>
      <c r="N279" s="1">
        <f>MAX(-16, MIN(16, Games[[#This Row],[OppRestDiff]]*8))</f>
        <v>-16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1457.6971209478861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1429.8310264362387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0.69596569111343976</v>
      </c>
      <c r="R279" s="1">
        <v>69</v>
      </c>
      <c r="S279" s="1">
        <v>72</v>
      </c>
      <c r="T279" s="1">
        <v>0</v>
      </c>
      <c r="U279" s="1">
        <f>Games[[#This Row],[PointsFor]]-Games[[#This Row],[PointsAgainst]]</f>
        <v>-3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0.28359788325040886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73.3</v>
      </c>
      <c r="Z279" s="4">
        <f>Games[[#This Row],[K]]*Games[[#This Row],[POMult]]</f>
        <v>73.3</v>
      </c>
      <c r="AA279" s="4">
        <f>(Games[[#This Row],[Keff]]*Games[[#This Row],[MOVMult]])*(Games[[#This Row],[Result]]-Games[[#This Row],[ExpectedWin%]])</f>
        <v>-14.467543286515998</v>
      </c>
      <c r="AB279" s="4">
        <f>Games[[#This Row],[PreGmRate]]+Games[[#This Row],[RatingChange]]</f>
        <v>1443.2295776613701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37084</v>
      </c>
      <c r="B280" s="2">
        <v>2001</v>
      </c>
      <c r="C280" s="2">
        <f>COUNTIFS(Games[Team],Games[[#This Row],[Team]],Games[Season],Games[[#This Row],[Season]],Games[Date],"&lt;=" &amp; Games[[#This Row],[Date]])</f>
        <v>17</v>
      </c>
      <c r="D280" s="2" t="s">
        <v>23</v>
      </c>
      <c r="E280" s="2" t="s">
        <v>29</v>
      </c>
      <c r="F280" s="1" t="s">
        <v>2</v>
      </c>
      <c r="G280" s="1" t="s">
        <v>89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1672.0749260456323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1461.6188104966088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0.6743530387325356</v>
      </c>
      <c r="R280" s="1">
        <v>71</v>
      </c>
      <c r="S280" s="1">
        <v>57</v>
      </c>
      <c r="T280" s="1">
        <v>0</v>
      </c>
      <c r="U280" s="1">
        <f>Games[[#This Row],[PointsFor]]-Games[[#This Row],[PointsAgainst]]</f>
        <v>14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0.41485142131710945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73.45</v>
      </c>
      <c r="Z280" s="4">
        <f>Games[[#This Row],[K]]*Games[[#This Row],[POMult]]</f>
        <v>73.45</v>
      </c>
      <c r="AA280" s="4">
        <f>(Games[[#This Row],[Keff]]*Games[[#This Row],[MOVMult]])*(Games[[#This Row],[Result]]-Games[[#This Row],[ExpectedWin%]])</f>
        <v>9.9227354423748189</v>
      </c>
      <c r="AB280" s="4">
        <f>Games[[#This Row],[PreGmRate]]+Games[[#This Row],[RatingChange]]</f>
        <v>1681.9976614880072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37084</v>
      </c>
      <c r="B281" s="2">
        <v>2001</v>
      </c>
      <c r="C281" s="2">
        <f>COUNTIFS(Games[Team],Games[[#This Row],[Team]],Games[Season],Games[[#This Row],[Season]],Games[Date],"&lt;=" &amp; Games[[#This Row],[Date]])</f>
        <v>18</v>
      </c>
      <c r="D281" s="2" t="s">
        <v>23</v>
      </c>
      <c r="E281" s="2" t="s">
        <v>29</v>
      </c>
      <c r="F281" s="1" t="s">
        <v>89</v>
      </c>
      <c r="G281" s="1" t="s">
        <v>2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1461.6188104966088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1672.0749260456323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0.3256469612674644</v>
      </c>
      <c r="R281" s="1">
        <v>57</v>
      </c>
      <c r="S281" s="1">
        <v>71</v>
      </c>
      <c r="T281" s="1">
        <v>0</v>
      </c>
      <c r="U281" s="1">
        <f>Games[[#This Row],[PointsFor]]-Games[[#This Row],[PointsAgainst]]</f>
        <v>-14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0.41485142131710945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73.3</v>
      </c>
      <c r="Z281" s="4">
        <f>Games[[#This Row],[K]]*Games[[#This Row],[POMult]]</f>
        <v>73.3</v>
      </c>
      <c r="AA281" s="4">
        <f>(Games[[#This Row],[Keff]]*Games[[#This Row],[MOVMult]])*(Games[[#This Row],[Result]]-Games[[#This Row],[ExpectedWin%]])</f>
        <v>-9.9024711766654079</v>
      </c>
      <c r="AB281" s="4">
        <f>Games[[#This Row],[PreGmRate]]+Games[[#This Row],[RatingChange]]</f>
        <v>1451.7163393199435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37084</v>
      </c>
      <c r="B282" s="2">
        <v>2001</v>
      </c>
      <c r="C282" s="2">
        <f>COUNTIFS(Games[Team],Games[[#This Row],[Team]],Games[Season],Games[[#This Row],[Season]],Games[Date],"&lt;=" &amp; Games[[#This Row],[Date]])</f>
        <v>17</v>
      </c>
      <c r="D282" s="2" t="s">
        <v>23</v>
      </c>
      <c r="E282" s="2" t="s">
        <v>29</v>
      </c>
      <c r="F282" s="1" t="s">
        <v>43</v>
      </c>
      <c r="G282" s="1" t="s">
        <v>45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1472.7070606396117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1599.1044343114397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0.2294985826604527</v>
      </c>
      <c r="R282" s="1">
        <v>67</v>
      </c>
      <c r="S282" s="1">
        <v>69</v>
      </c>
      <c r="T282" s="1">
        <v>0</v>
      </c>
      <c r="U282" s="1">
        <f>Games[[#This Row],[PointsFor]]-Games[[#This Row],[PointsAgainst]]</f>
        <v>-2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0.24231771816756154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73.45</v>
      </c>
      <c r="Z282" s="4">
        <f>Games[[#This Row],[K]]*Games[[#This Row],[POMult]]</f>
        <v>73.45</v>
      </c>
      <c r="AA282" s="4">
        <f>(Games[[#This Row],[Keff]]*Games[[#This Row],[MOVMult]])*(Games[[#This Row],[Result]]-Games[[#This Row],[ExpectedWin%]])</f>
        <v>-4.0846700275196763</v>
      </c>
      <c r="AB282" s="4">
        <f>Games[[#This Row],[PreGmRate]]+Games[[#This Row],[RatingChange]]</f>
        <v>1468.622390612092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37084</v>
      </c>
      <c r="B283" s="2">
        <v>2001</v>
      </c>
      <c r="C283" s="2">
        <f>COUNTIFS(Games[Team],Games[[#This Row],[Team]],Games[Season],Games[[#This Row],[Season]],Games[Date],"&lt;=" &amp; Games[[#This Row],[Date]])</f>
        <v>19</v>
      </c>
      <c r="D283" s="2" t="s">
        <v>23</v>
      </c>
      <c r="E283" s="2" t="s">
        <v>29</v>
      </c>
      <c r="F283" s="1" t="s">
        <v>45</v>
      </c>
      <c r="G283" s="1" t="s">
        <v>43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1599.1044343114397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1472.7070606396117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0.77050141733954736</v>
      </c>
      <c r="R283" s="1">
        <v>69</v>
      </c>
      <c r="S283" s="1">
        <v>67</v>
      </c>
      <c r="T283" s="1">
        <v>0</v>
      </c>
      <c r="U283" s="1">
        <f>Games[[#This Row],[PointsFor]]-Games[[#This Row],[PointsAgainst]]</f>
        <v>2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0.24231771816756154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73.150000000000006</v>
      </c>
      <c r="Z283" s="4">
        <f>Games[[#This Row],[K]]*Games[[#This Row],[POMult]]</f>
        <v>73.150000000000006</v>
      </c>
      <c r="AA283" s="4">
        <f>(Games[[#This Row],[Keff]]*Games[[#This Row],[MOVMult]])*(Games[[#This Row],[Result]]-Games[[#This Row],[ExpectedWin%]])</f>
        <v>4.0679865556577841</v>
      </c>
      <c r="AB283" s="4">
        <f>Games[[#This Row],[PreGmRate]]+Games[[#This Row],[RatingChange]]</f>
        <v>1603.1724208670976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37085</v>
      </c>
      <c r="B284" s="2">
        <v>2001</v>
      </c>
      <c r="C284" s="2">
        <f>COUNTIFS(Games[Team],Games[[#This Row],[Team]],Games[Season],Games[[#This Row],[Season]],Games[Date],"&lt;=" &amp; Games[[#This Row],[Date]])</f>
        <v>18</v>
      </c>
      <c r="D284" s="2" t="s">
        <v>23</v>
      </c>
      <c r="E284" s="2" t="s">
        <v>29</v>
      </c>
      <c r="F284" s="1" t="s">
        <v>44</v>
      </c>
      <c r="G284" s="1" t="s">
        <v>1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1452.6329726759541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1636.5435872570483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0.17621315130220563</v>
      </c>
      <c r="R284" s="1">
        <v>61</v>
      </c>
      <c r="S284" s="1">
        <v>69</v>
      </c>
      <c r="T284" s="1">
        <v>0</v>
      </c>
      <c r="U284" s="1">
        <f>Games[[#This Row],[PointsFor]]-Games[[#This Row],[PointsAgainst]]</f>
        <v>-8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0.33671151669333571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73.3</v>
      </c>
      <c r="Z284" s="4">
        <f>Games[[#This Row],[K]]*Games[[#This Row],[POMult]]</f>
        <v>73.3</v>
      </c>
      <c r="AA284" s="4">
        <f>(Games[[#This Row],[Keff]]*Games[[#This Row],[MOVMult]])*(Games[[#This Row],[Result]]-Games[[#This Row],[ExpectedWin%]])</f>
        <v>-4.34910871207917</v>
      </c>
      <c r="AB284" s="4">
        <f>Games[[#This Row],[PreGmRate]]+Games[[#This Row],[RatingChange]]</f>
        <v>1448.2838639638749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37085</v>
      </c>
      <c r="B285" s="2">
        <v>2001</v>
      </c>
      <c r="C285" s="2">
        <f>COUNTIFS(Games[Team],Games[[#This Row],[Team]],Games[Season],Games[[#This Row],[Season]],Games[Date],"&lt;=" &amp; Games[[#This Row],[Date]])</f>
        <v>20</v>
      </c>
      <c r="D285" s="2" t="s">
        <v>23</v>
      </c>
      <c r="E285" s="2" t="s">
        <v>29</v>
      </c>
      <c r="F285" s="1" t="s">
        <v>1</v>
      </c>
      <c r="G285" s="1" t="s">
        <v>44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1636.5435872570483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1452.6329726759541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0.82378684869779428</v>
      </c>
      <c r="R285" s="1">
        <v>69</v>
      </c>
      <c r="S285" s="1">
        <v>61</v>
      </c>
      <c r="T285" s="1">
        <v>0</v>
      </c>
      <c r="U285" s="1">
        <f>Games[[#This Row],[PointsFor]]-Games[[#This Row],[PointsAgainst]]</f>
        <v>8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0.33671151669333571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73</v>
      </c>
      <c r="Z285" s="4">
        <f>Games[[#This Row],[K]]*Games[[#This Row],[POMult]]</f>
        <v>73</v>
      </c>
      <c r="AA285" s="4">
        <f>(Games[[#This Row],[Keff]]*Games[[#This Row],[MOVMult]])*(Games[[#This Row],[Result]]-Games[[#This Row],[ExpectedWin%]])</f>
        <v>4.3313088128482891</v>
      </c>
      <c r="AB285" s="4">
        <f>Games[[#This Row],[PreGmRate]]+Games[[#This Row],[RatingChange]]</f>
        <v>1640.8748960698965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37085</v>
      </c>
      <c r="B286" s="2">
        <v>2001</v>
      </c>
      <c r="C286" s="2">
        <f>COUNTIFS(Games[Team],Games[[#This Row],[Team]],Games[Season],Games[[#This Row],[Season]],Games[Date],"&lt;=" &amp; Games[[#This Row],[Date]])</f>
        <v>18</v>
      </c>
      <c r="D286" s="2" t="s">
        <v>23</v>
      </c>
      <c r="E286" s="2" t="s">
        <v>29</v>
      </c>
      <c r="F286" s="1" t="s">
        <v>83</v>
      </c>
      <c r="G286" s="1" t="s">
        <v>77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1</v>
      </c>
      <c r="L286" s="2">
        <f>Games[[#This Row],[OppDaysOff]]-Games[[#This Row],[DaysOff]]</f>
        <v>-1</v>
      </c>
      <c r="M286" s="1">
        <f>MAX(-16, MIN(16, Games[[#This Row],[RestDiff]]*8))</f>
        <v>8</v>
      </c>
      <c r="N286" s="1">
        <f>MAX(-16, MIN(16, Games[[#This Row],[OppRestDiff]]*8))</f>
        <v>-8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1472.8492442363772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1386.8350170387027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0.52590135057382303</v>
      </c>
      <c r="R286" s="1">
        <v>56</v>
      </c>
      <c r="S286" s="1">
        <v>55</v>
      </c>
      <c r="T286" s="1">
        <v>0</v>
      </c>
      <c r="U286" s="1">
        <f>Games[[#This Row],[PointsFor]]-Games[[#This Row],[PointsAgainst]]</f>
        <v>1</v>
      </c>
      <c r="V286" s="1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0.22784787210080562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73.3</v>
      </c>
      <c r="Z286" s="4">
        <f>Games[[#This Row],[K]]*Games[[#This Row],[POMult]]</f>
        <v>73.3</v>
      </c>
      <c r="AA286" s="4">
        <f>(Games[[#This Row],[Keff]]*Games[[#This Row],[MOVMult]])*(Games[[#This Row],[Result]]-Games[[#This Row],[ExpectedWin%]])</f>
        <v>7.9180396064775636</v>
      </c>
      <c r="AB286" s="4">
        <f>Games[[#This Row],[PreGmRate]]+Games[[#This Row],[RatingChange]]</f>
        <v>1480.7672838428548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37085</v>
      </c>
      <c r="B287" s="2">
        <v>2001</v>
      </c>
      <c r="C287" s="2">
        <f>COUNTIFS(Games[Team],Games[[#This Row],[Team]],Games[Season],Games[[#This Row],[Season]],Games[Date],"&lt;=" &amp; Games[[#This Row],[Date]])</f>
        <v>17</v>
      </c>
      <c r="D287" s="2" t="s">
        <v>23</v>
      </c>
      <c r="E287" s="2" t="s">
        <v>29</v>
      </c>
      <c r="F287" s="1" t="s">
        <v>77</v>
      </c>
      <c r="G287" s="1" t="s">
        <v>83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7" s="2">
        <f>Games[[#This Row],[DaysOff]]-Games[[#This Row],[OppDaysOff]]</f>
        <v>-1</v>
      </c>
      <c r="L287" s="2">
        <f>Games[[#This Row],[OppDaysOff]]-Games[[#This Row],[DaysOff]]</f>
        <v>1</v>
      </c>
      <c r="M287" s="1">
        <f>MAX(-16, MIN(16, Games[[#This Row],[RestDiff]]*8))</f>
        <v>-8</v>
      </c>
      <c r="N287" s="1">
        <f>MAX(-16, MIN(16, Games[[#This Row],[OppRestDiff]]*8))</f>
        <v>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1386.8350170387027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1472.8492442363772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0.47409864942617697</v>
      </c>
      <c r="R287" s="1">
        <v>55</v>
      </c>
      <c r="S287" s="1">
        <v>56</v>
      </c>
      <c r="T287" s="1">
        <v>0</v>
      </c>
      <c r="U287" s="1">
        <f>Games[[#This Row],[PointsFor]]-Games[[#This Row],[PointsAgainst]]</f>
        <v>-1</v>
      </c>
      <c r="V287" s="1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0.22784787210080562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73.45</v>
      </c>
      <c r="Z287" s="4">
        <f>Games[[#This Row],[K]]*Games[[#This Row],[POMult]]</f>
        <v>73.45</v>
      </c>
      <c r="AA287" s="4">
        <f>(Games[[#This Row],[Keff]]*Games[[#This Row],[MOVMult]])*(Games[[#This Row],[Result]]-Games[[#This Row],[ExpectedWin%]])</f>
        <v>-7.934242961743208</v>
      </c>
      <c r="AB287" s="4">
        <f>Games[[#This Row],[PreGmRate]]+Games[[#This Row],[RatingChange]]</f>
        <v>1378.9007740769596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37085</v>
      </c>
      <c r="B288" s="2">
        <v>2001</v>
      </c>
      <c r="C288" s="2">
        <f>COUNTIFS(Games[Team],Games[[#This Row],[Team]],Games[Season],Games[[#This Row],[Season]],Games[Date],"&lt;=" &amp; Games[[#This Row],[Date]])</f>
        <v>18</v>
      </c>
      <c r="D288" s="2" t="s">
        <v>23</v>
      </c>
      <c r="E288" s="2" t="s">
        <v>29</v>
      </c>
      <c r="F288" s="1" t="s">
        <v>79</v>
      </c>
      <c r="G288" s="1" t="s">
        <v>85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-1</v>
      </c>
      <c r="L288" s="2">
        <f>Games[[#This Row],[OppDaysOff]]-Games[[#This Row],[DaysOff]]</f>
        <v>1</v>
      </c>
      <c r="M288" s="1">
        <f>MAX(-16, MIN(16, Games[[#This Row],[RestDiff]]*8))</f>
        <v>-8</v>
      </c>
      <c r="N288" s="1">
        <f>MAX(-16, MIN(16, Games[[#This Row],[OppRestDiff]]*8))</f>
        <v>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1444.328175882277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1397.9101401887169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0.42349493271017485</v>
      </c>
      <c r="R288" s="1">
        <v>60</v>
      </c>
      <c r="S288" s="1">
        <v>74</v>
      </c>
      <c r="T288" s="1">
        <v>0</v>
      </c>
      <c r="U288" s="1">
        <f>Games[[#This Row],[PointsFor]]-Games[[#This Row],[PointsAgainst]]</f>
        <v>-14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0.46944901909681558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73.3</v>
      </c>
      <c r="Z288" s="4">
        <f>Games[[#This Row],[K]]*Games[[#This Row],[POMult]]</f>
        <v>73.3</v>
      </c>
      <c r="AA288" s="4">
        <f>(Games[[#This Row],[Keff]]*Games[[#This Row],[MOVMult]])*(Games[[#This Row],[Result]]-Games[[#This Row],[ExpectedWin%]])</f>
        <v>-14.572720279214213</v>
      </c>
      <c r="AB288" s="4">
        <f>Games[[#This Row],[PreGmRate]]+Games[[#This Row],[RatingChange]]</f>
        <v>1429.7554556030627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37085</v>
      </c>
      <c r="B289" s="2">
        <v>2001</v>
      </c>
      <c r="C289" s="2">
        <f>COUNTIFS(Games[Team],Games[[#This Row],[Team]],Games[Season],Games[[#This Row],[Season]],Games[Date],"&lt;=" &amp; Games[[#This Row],[Date]])</f>
        <v>18</v>
      </c>
      <c r="D289" s="2" t="s">
        <v>23</v>
      </c>
      <c r="E289" s="2" t="s">
        <v>29</v>
      </c>
      <c r="F289" s="1" t="s">
        <v>85</v>
      </c>
      <c r="G289" s="1" t="s">
        <v>79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9" s="2">
        <f>Games[[#This Row],[DaysOff]]-Games[[#This Row],[OppDaysOff]]</f>
        <v>1</v>
      </c>
      <c r="L289" s="2">
        <f>Games[[#This Row],[OppDaysOff]]-Games[[#This Row],[DaysOff]]</f>
        <v>-1</v>
      </c>
      <c r="M289" s="1">
        <f>MAX(-16, MIN(16, Games[[#This Row],[RestDiff]]*8))</f>
        <v>8</v>
      </c>
      <c r="N289" s="1">
        <f>MAX(-16, MIN(16, Games[[#This Row],[OppRestDiff]]*8))</f>
        <v>-8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1397.9101401887169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1444.328175882277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0.57650506728982509</v>
      </c>
      <c r="R289" s="1">
        <v>74</v>
      </c>
      <c r="S289" s="1">
        <v>60</v>
      </c>
      <c r="T289" s="1">
        <v>0</v>
      </c>
      <c r="U289" s="1">
        <f>Games[[#This Row],[PointsFor]]-Games[[#This Row],[PointsAgainst]]</f>
        <v>14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0.46944901909681558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73.3</v>
      </c>
      <c r="Z289" s="4">
        <f>Games[[#This Row],[K]]*Games[[#This Row],[POMult]]</f>
        <v>73.3</v>
      </c>
      <c r="AA289" s="4">
        <f>(Games[[#This Row],[Keff]]*Games[[#This Row],[MOVMult]])*(Games[[#This Row],[Result]]-Games[[#This Row],[ExpectedWin%]])</f>
        <v>14.572720279214215</v>
      </c>
      <c r="AB289" s="4">
        <f>Games[[#This Row],[PreGmRate]]+Games[[#This Row],[RatingChange]]</f>
        <v>1412.4828604679312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37085</v>
      </c>
      <c r="B290" s="2">
        <v>2001</v>
      </c>
      <c r="C290" s="2">
        <f>COUNTIFS(Games[Team],Games[[#This Row],[Team]],Games[Season],Games[[#This Row],[Season]],Games[Date],"&lt;=" &amp; Games[[#This Row],[Date]])</f>
        <v>17</v>
      </c>
      <c r="D290" s="2" t="s">
        <v>23</v>
      </c>
      <c r="E290" s="2" t="s">
        <v>29</v>
      </c>
      <c r="F290" s="1" t="s">
        <v>80</v>
      </c>
      <c r="G290" s="1" t="s">
        <v>66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1</v>
      </c>
      <c r="L290" s="2">
        <f>Games[[#This Row],[OppDaysOff]]-Games[[#This Row],[DaysOff]]</f>
        <v>-1</v>
      </c>
      <c r="M290" s="1">
        <f>MAX(-16, MIN(16, Games[[#This Row],[RestDiff]]*8))</f>
        <v>8</v>
      </c>
      <c r="N290" s="1">
        <f>MAX(-16, MIN(16, Games[[#This Row],[OppRestDiff]]*8))</f>
        <v>-8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1459.2881134457477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1614.1148575935135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0.21709201987983689</v>
      </c>
      <c r="R290" s="1">
        <v>64</v>
      </c>
      <c r="S290" s="1">
        <v>67</v>
      </c>
      <c r="T290" s="1">
        <v>0</v>
      </c>
      <c r="U290" s="1">
        <f>Games[[#This Row],[PointsFor]]-Games[[#This Row],[PointsAgainst]]</f>
        <v>-3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0.25702196005696104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73.45</v>
      </c>
      <c r="Z290" s="4">
        <f>Games[[#This Row],[K]]*Games[[#This Row],[POMult]]</f>
        <v>73.45</v>
      </c>
      <c r="AA290" s="4">
        <f>(Games[[#This Row],[Keff]]*Games[[#This Row],[MOVMult]])*(Games[[#This Row],[Result]]-Games[[#This Row],[ExpectedWin%]])</f>
        <v>-4.0983202391515601</v>
      </c>
      <c r="AB290" s="4">
        <f>Games[[#This Row],[PreGmRate]]+Games[[#This Row],[RatingChange]]</f>
        <v>1455.1897932065963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37085</v>
      </c>
      <c r="B291" s="2">
        <v>2001</v>
      </c>
      <c r="C291" s="2">
        <f>COUNTIFS(Games[Team],Games[[#This Row],[Team]],Games[Season],Games[[#This Row],[Season]],Games[Date],"&lt;=" &amp; Games[[#This Row],[Date]])</f>
        <v>20</v>
      </c>
      <c r="D291" s="2" t="s">
        <v>23</v>
      </c>
      <c r="E291" s="2" t="s">
        <v>29</v>
      </c>
      <c r="F291" s="1" t="s">
        <v>66</v>
      </c>
      <c r="G291" s="1" t="s">
        <v>80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-1</v>
      </c>
      <c r="L291" s="2">
        <f>Games[[#This Row],[OppDaysOff]]-Games[[#This Row],[DaysOff]]</f>
        <v>1</v>
      </c>
      <c r="M291" s="1">
        <f>MAX(-16, MIN(16, Games[[#This Row],[RestDiff]]*8))</f>
        <v>-8</v>
      </c>
      <c r="N291" s="1">
        <f>MAX(-16, MIN(16, Games[[#This Row],[OppRestDiff]]*8))</f>
        <v>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1614.1148575935135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1459.2881134457477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0.78290798012016316</v>
      </c>
      <c r="R291" s="1">
        <v>67</v>
      </c>
      <c r="S291" s="1">
        <v>64</v>
      </c>
      <c r="T291" s="1">
        <v>0</v>
      </c>
      <c r="U291" s="1">
        <f>Games[[#This Row],[PointsFor]]-Games[[#This Row],[PointsAgainst]]</f>
        <v>3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0.25702196005696104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73</v>
      </c>
      <c r="Z291" s="4">
        <f>Games[[#This Row],[K]]*Games[[#This Row],[POMult]]</f>
        <v>73</v>
      </c>
      <c r="AA291" s="4">
        <f>(Games[[#This Row],[Keff]]*Games[[#This Row],[MOVMult]])*(Games[[#This Row],[Result]]-Games[[#This Row],[ExpectedWin%]])</f>
        <v>4.0732114017435501</v>
      </c>
      <c r="AB291" s="4">
        <f>Games[[#This Row],[PreGmRate]]+Games[[#This Row],[RatingChange]]</f>
        <v>1618.188068995257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37085</v>
      </c>
      <c r="B292" s="2">
        <v>2001</v>
      </c>
      <c r="C292" s="2">
        <f>COUNTIFS(Games[Team],Games[[#This Row],[Team]],Games[Season],Games[[#This Row],[Season]],Games[Date],"&lt;=" &amp; Games[[#This Row],[Date]])</f>
        <v>18</v>
      </c>
      <c r="D292" s="2" t="s">
        <v>23</v>
      </c>
      <c r="E292" s="2" t="s">
        <v>29</v>
      </c>
      <c r="F292" s="1" t="s">
        <v>2</v>
      </c>
      <c r="G292" s="1" t="s">
        <v>87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1681.9976614880072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1415.8424688040454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0.72241371681229294</v>
      </c>
      <c r="R292" s="1">
        <v>58</v>
      </c>
      <c r="S292" s="1">
        <v>55</v>
      </c>
      <c r="T292" s="1">
        <v>0</v>
      </c>
      <c r="U292" s="1">
        <f>Games[[#This Row],[PointsFor]]-Games[[#This Row],[PointsAgainst]]</f>
        <v>3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0.23750570680106067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73.3</v>
      </c>
      <c r="Z292" s="4">
        <f>Games[[#This Row],[K]]*Games[[#This Row],[POMult]]</f>
        <v>73.3</v>
      </c>
      <c r="AA292" s="4">
        <f>(Games[[#This Row],[Keff]]*Games[[#This Row],[MOVMult]])*(Games[[#This Row],[Result]]-Games[[#This Row],[ExpectedWin%]])</f>
        <v>4.8325463241506625</v>
      </c>
      <c r="AB292" s="4">
        <f>Games[[#This Row],[PreGmRate]]+Games[[#This Row],[RatingChange]]</f>
        <v>1686.8302078121578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37085</v>
      </c>
      <c r="B293" s="2">
        <v>2001</v>
      </c>
      <c r="C293" s="2">
        <f>COUNTIFS(Games[Team],Games[[#This Row],[Team]],Games[Season],Games[[#This Row],[Season]],Games[Date],"&lt;=" &amp; Games[[#This Row],[Date]])</f>
        <v>20</v>
      </c>
      <c r="D293" s="2" t="s">
        <v>23</v>
      </c>
      <c r="E293" s="2" t="s">
        <v>29</v>
      </c>
      <c r="F293" s="1" t="s">
        <v>87</v>
      </c>
      <c r="G293" s="1" t="s">
        <v>2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1415.8424688040454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1681.9976614880072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0.27758628318770701</v>
      </c>
      <c r="R293" s="1">
        <v>55</v>
      </c>
      <c r="S293" s="1">
        <v>58</v>
      </c>
      <c r="T293" s="1">
        <v>0</v>
      </c>
      <c r="U293" s="1">
        <f>Games[[#This Row],[PointsFor]]-Games[[#This Row],[PointsAgainst]]</f>
        <v>-3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0.23750570680106067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73</v>
      </c>
      <c r="Z293" s="4">
        <f>Games[[#This Row],[K]]*Games[[#This Row],[POMult]]</f>
        <v>73</v>
      </c>
      <c r="AA293" s="4">
        <f>(Games[[#This Row],[Keff]]*Games[[#This Row],[MOVMult]])*(Games[[#This Row],[Result]]-Games[[#This Row],[ExpectedWin%]])</f>
        <v>-4.8127678262346292</v>
      </c>
      <c r="AB293" s="4">
        <f>Games[[#This Row],[PreGmRate]]+Games[[#This Row],[RatingChange]]</f>
        <v>1411.0297009778108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37086</v>
      </c>
      <c r="B294" s="2">
        <v>2001</v>
      </c>
      <c r="C294" s="2">
        <f>COUNTIFS(Games[Team],Games[[#This Row],[Team]],Games[Season],Games[[#This Row],[Season]],Games[Date],"&lt;=" &amp; Games[[#This Row],[Date]])</f>
        <v>19</v>
      </c>
      <c r="D294" s="2" t="s">
        <v>23</v>
      </c>
      <c r="E294" s="2" t="s">
        <v>29</v>
      </c>
      <c r="F294" s="1" t="s">
        <v>85</v>
      </c>
      <c r="G294" s="1" t="s">
        <v>64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1412.4828604679312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1443.2295776613701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0.32024663404769016</v>
      </c>
      <c r="R294" s="1">
        <v>58</v>
      </c>
      <c r="S294" s="1">
        <v>71</v>
      </c>
      <c r="T294" s="1">
        <v>0</v>
      </c>
      <c r="U294" s="1">
        <f>Games[[#This Row],[PointsFor]]-Games[[#This Row],[PointsAgainst]]</f>
        <v>-13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0.46025108079805721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73.150000000000006</v>
      </c>
      <c r="Z294" s="4">
        <f>Games[[#This Row],[K]]*Games[[#This Row],[POMult]]</f>
        <v>73.150000000000006</v>
      </c>
      <c r="AA294" s="4">
        <f>(Games[[#This Row],[Keff]]*Games[[#This Row],[MOVMult]])*(Games[[#This Row],[Result]]-Games[[#This Row],[ExpectedWin%]])</f>
        <v>-10.781860818210777</v>
      </c>
      <c r="AB294" s="4">
        <f>Games[[#This Row],[PreGmRate]]+Games[[#This Row],[RatingChange]]</f>
        <v>1401.7009996497204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37086</v>
      </c>
      <c r="B295" s="2">
        <v>2001</v>
      </c>
      <c r="C295" s="2">
        <f>COUNTIFS(Games[Team],Games[[#This Row],[Team]],Games[Season],Games[[#This Row],[Season]],Games[Date],"&lt;=" &amp; Games[[#This Row],[Date]])</f>
        <v>19</v>
      </c>
      <c r="D295" s="2" t="s">
        <v>23</v>
      </c>
      <c r="E295" s="2" t="s">
        <v>29</v>
      </c>
      <c r="F295" s="1" t="s">
        <v>64</v>
      </c>
      <c r="G295" s="1" t="s">
        <v>85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1443.2295776613701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1412.4828604679312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0.67975336595230984</v>
      </c>
      <c r="R295" s="1">
        <v>71</v>
      </c>
      <c r="S295" s="1">
        <v>58</v>
      </c>
      <c r="T295" s="1">
        <v>0</v>
      </c>
      <c r="U295" s="1">
        <f>Games[[#This Row],[PointsFor]]-Games[[#This Row],[PointsAgainst]]</f>
        <v>13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0.46025108079805721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73.150000000000006</v>
      </c>
      <c r="Z295" s="4">
        <f>Games[[#This Row],[K]]*Games[[#This Row],[POMult]]</f>
        <v>73.150000000000006</v>
      </c>
      <c r="AA295" s="4">
        <f>(Games[[#This Row],[Keff]]*Games[[#This Row],[MOVMult]])*(Games[[#This Row],[Result]]-Games[[#This Row],[ExpectedWin%]])</f>
        <v>10.781860818210777</v>
      </c>
      <c r="AB295" s="4">
        <f>Games[[#This Row],[PreGmRate]]+Games[[#This Row],[RatingChange]]</f>
        <v>1454.0114384795809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37086</v>
      </c>
      <c r="B296" s="2">
        <v>2001</v>
      </c>
      <c r="C296" s="2">
        <f>COUNTIFS(Games[Team],Games[[#This Row],[Team]],Games[Season],Games[[#This Row],[Season]],Games[Date],"&lt;=" &amp; Games[[#This Row],[Date]])</f>
        <v>18</v>
      </c>
      <c r="D296" s="2" t="s">
        <v>23</v>
      </c>
      <c r="E296" s="2" t="s">
        <v>29</v>
      </c>
      <c r="F296" s="1" t="s">
        <v>77</v>
      </c>
      <c r="G296" s="1" t="s">
        <v>83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1378.9007740769596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1480.7672838428548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0.25541570484497039</v>
      </c>
      <c r="R296" s="1">
        <v>51</v>
      </c>
      <c r="S296" s="1">
        <v>66</v>
      </c>
      <c r="T296" s="1">
        <v>0</v>
      </c>
      <c r="U296" s="1">
        <f>Games[[#This Row],[PointsFor]]-Games[[#This Row],[PointsAgainst]]</f>
        <v>-15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0.4635019252189107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73.3</v>
      </c>
      <c r="Z296" s="4">
        <f>Games[[#This Row],[K]]*Games[[#This Row],[POMult]]</f>
        <v>73.3</v>
      </c>
      <c r="AA296" s="4">
        <f>(Games[[#This Row],[Keff]]*Games[[#This Row],[MOVMult]])*(Games[[#This Row],[Result]]-Games[[#This Row],[ExpectedWin%]])</f>
        <v>-8.6776696789336221</v>
      </c>
      <c r="AB296" s="4">
        <f>Games[[#This Row],[PreGmRate]]+Games[[#This Row],[RatingChange]]</f>
        <v>1370.223104398026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37086</v>
      </c>
      <c r="B297" s="2">
        <v>2001</v>
      </c>
      <c r="C297" s="2">
        <f>COUNTIFS(Games[Team],Games[[#This Row],[Team]],Games[Season],Games[[#This Row],[Season]],Games[Date],"&lt;=" &amp; Games[[#This Row],[Date]])</f>
        <v>19</v>
      </c>
      <c r="D297" s="2" t="s">
        <v>23</v>
      </c>
      <c r="E297" s="2" t="s">
        <v>29</v>
      </c>
      <c r="F297" s="1" t="s">
        <v>83</v>
      </c>
      <c r="G297" s="1" t="s">
        <v>77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1480.7672838428548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1378.9007740769596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0.74458429515502966</v>
      </c>
      <c r="R297" s="1">
        <v>66</v>
      </c>
      <c r="S297" s="1">
        <v>51</v>
      </c>
      <c r="T297" s="1">
        <v>0</v>
      </c>
      <c r="U297" s="1">
        <f>Games[[#This Row],[PointsFor]]-Games[[#This Row],[PointsAgainst]]</f>
        <v>15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0.4635019252189107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73.150000000000006</v>
      </c>
      <c r="Z297" s="4">
        <f>Games[[#This Row],[K]]*Games[[#This Row],[POMult]]</f>
        <v>73.150000000000006</v>
      </c>
      <c r="AA297" s="4">
        <f>(Games[[#This Row],[Keff]]*Games[[#This Row],[MOVMult]])*(Games[[#This Row],[Result]]-Games[[#This Row],[ExpectedWin%]])</f>
        <v>8.6599118282946019</v>
      </c>
      <c r="AB297" s="4">
        <f>Games[[#This Row],[PreGmRate]]+Games[[#This Row],[RatingChange]]</f>
        <v>1489.4271956711493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37086</v>
      </c>
      <c r="B298" s="2">
        <v>2001</v>
      </c>
      <c r="C298" s="2">
        <f>COUNTIFS(Games[Team],Games[[#This Row],[Team]],Games[Season],Games[[#This Row],[Season]],Games[Date],"&lt;=" &amp; Games[[#This Row],[Date]])</f>
        <v>19</v>
      </c>
      <c r="D298" s="2" t="s">
        <v>23</v>
      </c>
      <c r="E298" s="2" t="s">
        <v>29</v>
      </c>
      <c r="F298" s="1" t="s">
        <v>44</v>
      </c>
      <c r="G298" s="1" t="s">
        <v>80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1448.2838639638749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1455.1897932065963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0.37208170345798225</v>
      </c>
      <c r="R298" s="1">
        <v>80</v>
      </c>
      <c r="S298" s="1">
        <v>67</v>
      </c>
      <c r="T298" s="1">
        <v>0</v>
      </c>
      <c r="U298" s="1">
        <f>Games[[#This Row],[PointsFor]]-Games[[#This Row],[PointsAgainst]]</f>
        <v>13</v>
      </c>
      <c r="V298" s="1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0.46934271599143129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73.150000000000006</v>
      </c>
      <c r="Z298" s="4">
        <f>Games[[#This Row],[K]]*Games[[#This Row],[POMult]]</f>
        <v>73.150000000000006</v>
      </c>
      <c r="AA298" s="4">
        <f>(Games[[#This Row],[Keff]]*Games[[#This Row],[MOVMult]])*(Games[[#This Row],[Result]]-Games[[#This Row],[ExpectedWin%]])</f>
        <v>21.557954478349245</v>
      </c>
      <c r="AB298" s="4">
        <f>Games[[#This Row],[PreGmRate]]+Games[[#This Row],[RatingChange]]</f>
        <v>1469.8418184422242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37086</v>
      </c>
      <c r="B299" s="2">
        <v>2001</v>
      </c>
      <c r="C299" s="2">
        <f>COUNTIFS(Games[Team],Games[[#This Row],[Team]],Games[Season],Games[[#This Row],[Season]],Games[Date],"&lt;=" &amp; Games[[#This Row],[Date]])</f>
        <v>18</v>
      </c>
      <c r="D299" s="2" t="s">
        <v>23</v>
      </c>
      <c r="E299" s="2" t="s">
        <v>29</v>
      </c>
      <c r="F299" s="1" t="s">
        <v>80</v>
      </c>
      <c r="G299" s="1" t="s">
        <v>44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1455.1897932065963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1448.2838639638749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0.6279182965420177</v>
      </c>
      <c r="R299" s="1">
        <v>67</v>
      </c>
      <c r="S299" s="1">
        <v>80</v>
      </c>
      <c r="T299" s="1">
        <v>0</v>
      </c>
      <c r="U299" s="1">
        <f>Games[[#This Row],[PointsFor]]-Games[[#This Row],[PointsAgainst]]</f>
        <v>-13</v>
      </c>
      <c r="V299" s="1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0.46934271599143129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73.3</v>
      </c>
      <c r="Z299" s="4">
        <f>Games[[#This Row],[K]]*Games[[#This Row],[POMult]]</f>
        <v>73.3</v>
      </c>
      <c r="AA299" s="4">
        <f>(Games[[#This Row],[Keff]]*Games[[#This Row],[MOVMult]])*(Games[[#This Row],[Result]]-Games[[#This Row],[ExpectedWin%]])</f>
        <v>-21.602160810157201</v>
      </c>
      <c r="AB299" s="4">
        <f>Games[[#This Row],[PreGmRate]]+Games[[#This Row],[RatingChange]]</f>
        <v>1433.5876323964392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37086</v>
      </c>
      <c r="B300" s="2">
        <v>2001</v>
      </c>
      <c r="C300" s="2">
        <f>COUNTIFS(Games[Team],Games[[#This Row],[Team]],Games[Season],Games[[#This Row],[Season]],Games[Date],"&lt;=" &amp; Games[[#This Row],[Date]])</f>
        <v>20</v>
      </c>
      <c r="D300" s="2" t="s">
        <v>23</v>
      </c>
      <c r="E300" s="2" t="s">
        <v>29</v>
      </c>
      <c r="F300" s="1" t="s">
        <v>45</v>
      </c>
      <c r="G300" s="1" t="s">
        <v>43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1603.1724208670976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1468.622390612092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0.57223832866354252</v>
      </c>
      <c r="R300" s="1">
        <v>57</v>
      </c>
      <c r="S300" s="1">
        <v>69</v>
      </c>
      <c r="T300" s="1">
        <v>0</v>
      </c>
      <c r="U300" s="1">
        <f>Games[[#This Row],[PointsFor]]-Games[[#This Row],[PointsAgainst]]</f>
        <v>-12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0.41014223467310573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73</v>
      </c>
      <c r="Z300" s="4">
        <f>Games[[#This Row],[K]]*Games[[#This Row],[POMult]]</f>
        <v>73</v>
      </c>
      <c r="AA300" s="4">
        <f>(Games[[#This Row],[Keff]]*Games[[#This Row],[MOVMult]])*(Games[[#This Row],[Result]]-Games[[#This Row],[ExpectedWin%]])</f>
        <v>-17.133034802507797</v>
      </c>
      <c r="AB300" s="4">
        <f>Games[[#This Row],[PreGmRate]]+Games[[#This Row],[RatingChange]]</f>
        <v>1586.0393860645897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37086</v>
      </c>
      <c r="B301" s="2">
        <v>2001</v>
      </c>
      <c r="C301" s="2">
        <f>COUNTIFS(Games[Team],Games[[#This Row],[Team]],Games[Season],Games[[#This Row],[Season]],Games[Date],"&lt;=" &amp; Games[[#This Row],[Date]])</f>
        <v>18</v>
      </c>
      <c r="D301" s="2" t="s">
        <v>23</v>
      </c>
      <c r="E301" s="2" t="s">
        <v>29</v>
      </c>
      <c r="F301" s="1" t="s">
        <v>43</v>
      </c>
      <c r="G301" s="1" t="s">
        <v>45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1468.622390612092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1603.1724208670976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0.42776167133645748</v>
      </c>
      <c r="R301" s="1">
        <v>69</v>
      </c>
      <c r="S301" s="1">
        <v>57</v>
      </c>
      <c r="T301" s="1">
        <v>0</v>
      </c>
      <c r="U301" s="1">
        <f>Games[[#This Row],[PointsFor]]-Games[[#This Row],[PointsAgainst]]</f>
        <v>12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0.41014223467310573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73.3</v>
      </c>
      <c r="Z301" s="4">
        <f>Games[[#This Row],[K]]*Games[[#This Row],[POMult]]</f>
        <v>73.3</v>
      </c>
      <c r="AA301" s="4">
        <f>(Games[[#This Row],[Keff]]*Games[[#This Row],[MOVMult]])*(Games[[#This Row],[Result]]-Games[[#This Row],[ExpectedWin%]])</f>
        <v>17.203444534572899</v>
      </c>
      <c r="AB301" s="4">
        <f>Games[[#This Row],[PreGmRate]]+Games[[#This Row],[RatingChange]]</f>
        <v>1485.825835146665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37086</v>
      </c>
      <c r="B302" s="2">
        <v>2001</v>
      </c>
      <c r="C302" s="2">
        <f>COUNTIFS(Games[Team],Games[[#This Row],[Team]],Games[Season],Games[[#This Row],[Season]],Games[Date],"&lt;=" &amp; Games[[#This Row],[Date]])</f>
        <v>20</v>
      </c>
      <c r="D302" s="2" t="s">
        <v>23</v>
      </c>
      <c r="E302" s="2" t="s">
        <v>29</v>
      </c>
      <c r="F302" s="1" t="s">
        <v>71</v>
      </c>
      <c r="G302" s="1" t="s">
        <v>75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1692.3045374580356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1377.0015779706839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0.79108647353448991</v>
      </c>
      <c r="R302" s="1">
        <v>62</v>
      </c>
      <c r="S302" s="1">
        <v>50</v>
      </c>
      <c r="T302" s="1">
        <v>0</v>
      </c>
      <c r="U302" s="1">
        <f>Games[[#This Row],[PointsFor]]-Games[[#This Row],[PointsAgainst]]</f>
        <v>12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0.36121841395797633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73</v>
      </c>
      <c r="Z302" s="4">
        <f>Games[[#This Row],[K]]*Games[[#This Row],[POMult]]</f>
        <v>73</v>
      </c>
      <c r="AA302" s="4">
        <f>(Games[[#This Row],[Keff]]*Games[[#This Row],[MOVMult]])*(Games[[#This Row],[Result]]-Games[[#This Row],[ExpectedWin%]])</f>
        <v>5.5088291259494664</v>
      </c>
      <c r="AB302" s="4">
        <f>Games[[#This Row],[PreGmRate]]+Games[[#This Row],[RatingChange]]</f>
        <v>1697.813366583985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37086</v>
      </c>
      <c r="B303" s="2">
        <v>2001</v>
      </c>
      <c r="C303" s="2">
        <f>COUNTIFS(Games[Team],Games[[#This Row],[Team]],Games[Season],Games[[#This Row],[Season]],Games[Date],"&lt;=" &amp; Games[[#This Row],[Date]])</f>
        <v>18</v>
      </c>
      <c r="D303" s="2" t="s">
        <v>23</v>
      </c>
      <c r="E303" s="2" t="s">
        <v>29</v>
      </c>
      <c r="F303" s="1" t="s">
        <v>75</v>
      </c>
      <c r="G303" s="1" t="s">
        <v>71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1377.0015779706839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1692.3045374580356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0.20891352646551009</v>
      </c>
      <c r="R303" s="1">
        <v>50</v>
      </c>
      <c r="S303" s="1">
        <v>62</v>
      </c>
      <c r="T303" s="1">
        <v>0</v>
      </c>
      <c r="U303" s="1">
        <f>Games[[#This Row],[PointsFor]]-Games[[#This Row],[PointsAgainst]]</f>
        <v>-12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0.36121841395797633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73.3</v>
      </c>
      <c r="Z303" s="4">
        <f>Games[[#This Row],[K]]*Games[[#This Row],[POMult]]</f>
        <v>73.3</v>
      </c>
      <c r="AA303" s="4">
        <f>(Games[[#This Row],[Keff]]*Games[[#This Row],[MOVMult]])*(Games[[#This Row],[Result]]-Games[[#This Row],[ExpectedWin%]])</f>
        <v>-5.5314681497547387</v>
      </c>
      <c r="AB303" s="4">
        <f>Games[[#This Row],[PreGmRate]]+Games[[#This Row],[RatingChange]]</f>
        <v>1371.4701098209291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37090</v>
      </c>
      <c r="B304" s="2">
        <v>2001</v>
      </c>
      <c r="C304" s="2">
        <f>COUNTIFS(Games[Team],Games[[#This Row],[Team]],Games[Season],Games[[#This Row],[Season]],Games[Date],"&lt;=" &amp; Games[[#This Row],[Date]])</f>
        <v>21</v>
      </c>
      <c r="D304" s="2" t="s">
        <v>23</v>
      </c>
      <c r="E304" s="2" t="s">
        <v>29</v>
      </c>
      <c r="F304" s="1" t="s">
        <v>66</v>
      </c>
      <c r="G304" s="1" t="s">
        <v>77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4" s="2">
        <f>Games[[#This Row],[DaysOff]]-Games[[#This Row],[OppDaysOff]]</f>
        <v>1</v>
      </c>
      <c r="L304" s="2">
        <f>Games[[#This Row],[OppDaysOff]]-Games[[#This Row],[DaysOff]]</f>
        <v>-1</v>
      </c>
      <c r="M304" s="1">
        <f>MAX(-16, MIN(16, Games[[#This Row],[RestDiff]]*8))</f>
        <v>8</v>
      </c>
      <c r="N304" s="1">
        <f>MAX(-16, MIN(16, Games[[#This Row],[OppRestDiff]]*8))</f>
        <v>-8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1618.188068995257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1370.223104398026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0.73807004510157337</v>
      </c>
      <c r="R304" s="1">
        <v>80</v>
      </c>
      <c r="S304" s="1">
        <v>67</v>
      </c>
      <c r="T304" s="1">
        <v>0</v>
      </c>
      <c r="U304" s="1">
        <f>Games[[#This Row],[PointsFor]]-Games[[#This Row],[PointsAgainst]]</f>
        <v>13</v>
      </c>
      <c r="V304" s="1">
        <f>IF(Games[[#This Row],[MOV]]&gt;0,1,IF(Games[[#This Row],[MOV]]=0,0.5,0))</f>
        <v>1</v>
      </c>
      <c r="W304" s="4">
        <f>((ABS(Games[[#This Row],[MOV]])+5)^0.6)/(12+0.01*(ABS(Games[[#This Row],[PreGmRate]]-Games[[#This Row],[OppPreGmRate]])))*IF(Games[[#This Row],[OT]]=1,0.9,1)</f>
        <v>0.39120594809039921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72.849999999999994</v>
      </c>
      <c r="Z304" s="4">
        <f>Games[[#This Row],[K]]*Games[[#This Row],[POMult]]</f>
        <v>72.849999999999994</v>
      </c>
      <c r="AA304" s="4">
        <f>(Games[[#This Row],[Keff]]*Games[[#This Row],[MOVMult]])*(Games[[#This Row],[Result]]-Games[[#This Row],[ExpectedWin%]])</f>
        <v>7.4648343293190607</v>
      </c>
      <c r="AB304" s="4">
        <f>Games[[#This Row],[PreGmRate]]+Games[[#This Row],[RatingChange]]</f>
        <v>1625.6529033245761</v>
      </c>
      <c r="AC304" s="2">
        <f>IF(Games[[#This Row],[Type]]="R",IF(Games[[#This Row],[Result]]&gt;0.5,1,0),0)</f>
        <v>1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37090</v>
      </c>
      <c r="B305" s="2">
        <v>2001</v>
      </c>
      <c r="C305" s="2">
        <f>COUNTIFS(Games[Team],Games[[#This Row],[Team]],Games[Season],Games[[#This Row],[Season]],Games[Date],"&lt;=" &amp; Games[[#This Row],[Date]])</f>
        <v>19</v>
      </c>
      <c r="D305" s="2" t="s">
        <v>23</v>
      </c>
      <c r="E305" s="2" t="s">
        <v>29</v>
      </c>
      <c r="F305" s="1" t="s">
        <v>77</v>
      </c>
      <c r="G305" s="1" t="s">
        <v>66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5" s="2">
        <f>Games[[#This Row],[DaysOff]]-Games[[#This Row],[OppDaysOff]]</f>
        <v>-1</v>
      </c>
      <c r="L305" s="2">
        <f>Games[[#This Row],[OppDaysOff]]-Games[[#This Row],[DaysOff]]</f>
        <v>1</v>
      </c>
      <c r="M305" s="1">
        <f>MAX(-16, MIN(16, Games[[#This Row],[RestDiff]]*8))</f>
        <v>-8</v>
      </c>
      <c r="N305" s="1">
        <f>MAX(-16, MIN(16, Games[[#This Row],[OppRestDiff]]*8))</f>
        <v>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1370.223104398026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1618.188068995257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0.26192995489842663</v>
      </c>
      <c r="R305" s="1">
        <v>67</v>
      </c>
      <c r="S305" s="1">
        <v>80</v>
      </c>
      <c r="T305" s="1">
        <v>0</v>
      </c>
      <c r="U305" s="1">
        <f>Games[[#This Row],[PointsFor]]-Games[[#This Row],[PointsAgainst]]</f>
        <v>-13</v>
      </c>
      <c r="V305" s="1">
        <f>IF(Games[[#This Row],[MOV]]&gt;0,1,IF(Games[[#This Row],[MOV]]=0,0.5,0))</f>
        <v>0</v>
      </c>
      <c r="W305" s="4">
        <f>((ABS(Games[[#This Row],[MOV]])+5)^0.6)/(12+0.01*(ABS(Games[[#This Row],[PreGmRate]]-Games[[#This Row],[OppPreGmRate]])))*IF(Games[[#This Row],[OT]]=1,0.9,1)</f>
        <v>0.39120594809039921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73.150000000000006</v>
      </c>
      <c r="Z305" s="4">
        <f>Games[[#This Row],[K]]*Games[[#This Row],[POMult]]</f>
        <v>73.150000000000006</v>
      </c>
      <c r="AA305" s="4">
        <f>(Games[[#This Row],[Keff]]*Games[[#This Row],[MOVMult]])*(Games[[#This Row],[Result]]-Games[[#This Row],[ExpectedWin%]])</f>
        <v>-7.4955748962208562</v>
      </c>
      <c r="AB305" s="4">
        <f>Games[[#This Row],[PreGmRate]]+Games[[#This Row],[RatingChange]]</f>
        <v>1362.7275295018051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1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37090</v>
      </c>
      <c r="B306" s="2">
        <v>2001</v>
      </c>
      <c r="C306" s="2">
        <f>COUNTIFS(Games[Team],Games[[#This Row],[Team]],Games[Season],Games[[#This Row],[Season]],Games[Date],"&lt;=" &amp; Games[[#This Row],[Date]])</f>
        <v>19</v>
      </c>
      <c r="D306" s="2" t="s">
        <v>23</v>
      </c>
      <c r="E306" s="2" t="s">
        <v>29</v>
      </c>
      <c r="F306" s="1" t="s">
        <v>43</v>
      </c>
      <c r="G306" s="1" t="s">
        <v>85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1485.825835146665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1401.7009996497204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0.5001796527137321</v>
      </c>
      <c r="R306" s="1">
        <v>61</v>
      </c>
      <c r="S306" s="1">
        <v>57</v>
      </c>
      <c r="T306" s="1">
        <v>0</v>
      </c>
      <c r="U306" s="1">
        <f>Games[[#This Row],[PointsFor]]-Games[[#This Row],[PointsAgainst]]</f>
        <v>4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0.29103033564492137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73.150000000000006</v>
      </c>
      <c r="Z306" s="4">
        <f>Games[[#This Row],[K]]*Games[[#This Row],[POMult]]</f>
        <v>73.150000000000006</v>
      </c>
      <c r="AA306" s="4">
        <f>(Games[[#This Row],[Keff]]*Games[[#This Row],[MOVMult]])*(Games[[#This Row],[Result]]-Games[[#This Row],[ExpectedWin%]])</f>
        <v>10.640609923115445</v>
      </c>
      <c r="AB306" s="4">
        <f>Games[[#This Row],[PreGmRate]]+Games[[#This Row],[RatingChange]]</f>
        <v>1496.4664450697803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37090</v>
      </c>
      <c r="B307" s="2">
        <v>2001</v>
      </c>
      <c r="C307" s="2">
        <f>COUNTIFS(Games[Team],Games[[#This Row],[Team]],Games[Season],Games[[#This Row],[Season]],Games[Date],"&lt;=" &amp; Games[[#This Row],[Date]])</f>
        <v>20</v>
      </c>
      <c r="D307" s="2" t="s">
        <v>23</v>
      </c>
      <c r="E307" s="2" t="s">
        <v>29</v>
      </c>
      <c r="F307" s="1" t="s">
        <v>85</v>
      </c>
      <c r="G307" s="1" t="s">
        <v>43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1401.7009996497204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1485.825835146665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0.49982034728626795</v>
      </c>
      <c r="R307" s="1">
        <v>57</v>
      </c>
      <c r="S307" s="1">
        <v>61</v>
      </c>
      <c r="T307" s="1">
        <v>0</v>
      </c>
      <c r="U307" s="1">
        <f>Games[[#This Row],[PointsFor]]-Games[[#This Row],[PointsAgainst]]</f>
        <v>-4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0.29103033564492137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73</v>
      </c>
      <c r="Z307" s="4">
        <f>Games[[#This Row],[K]]*Games[[#This Row],[POMult]]</f>
        <v>73</v>
      </c>
      <c r="AA307" s="4">
        <f>(Games[[#This Row],[Keff]]*Games[[#This Row],[MOVMult]])*(Games[[#This Row],[Result]]-Games[[#This Row],[ExpectedWin%]])</f>
        <v>-10.618790490600512</v>
      </c>
      <c r="AB307" s="4">
        <f>Games[[#This Row],[PreGmRate]]+Games[[#This Row],[RatingChange]]</f>
        <v>1391.0822091591199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37090</v>
      </c>
      <c r="B308" s="2">
        <v>2001</v>
      </c>
      <c r="C308" s="2">
        <f>COUNTIFS(Games[Team],Games[[#This Row],[Team]],Games[Season],Games[[#This Row],[Season]],Games[Date],"&lt;=" &amp; Games[[#This Row],[Date]])</f>
        <v>20</v>
      </c>
      <c r="D308" s="2" t="s">
        <v>23</v>
      </c>
      <c r="E308" s="2" t="s">
        <v>29</v>
      </c>
      <c r="F308" s="1" t="s">
        <v>64</v>
      </c>
      <c r="G308" s="1" t="s">
        <v>83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1454.0114384795809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1489.4271956711493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0.33460895455129569</v>
      </c>
      <c r="R308" s="1">
        <v>48</v>
      </c>
      <c r="S308" s="1">
        <v>68</v>
      </c>
      <c r="T308" s="1">
        <v>0</v>
      </c>
      <c r="U308" s="1">
        <f>Games[[#This Row],[PointsFor]]-Games[[#This Row],[PointsAgainst]]</f>
        <v>-20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0.55840701943032933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73</v>
      </c>
      <c r="Z308" s="4">
        <f>Games[[#This Row],[K]]*Games[[#This Row],[POMult]]</f>
        <v>73</v>
      </c>
      <c r="AA308" s="4">
        <f>(Games[[#This Row],[Keff]]*Games[[#This Row],[MOVMult]])*(Games[[#This Row],[Result]]-Games[[#This Row],[ExpectedWin%]])</f>
        <v>-13.639903195955192</v>
      </c>
      <c r="AB308" s="4">
        <f>Games[[#This Row],[PreGmRate]]+Games[[#This Row],[RatingChange]]</f>
        <v>1440.3715352836257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37090</v>
      </c>
      <c r="B309" s="2">
        <v>2001</v>
      </c>
      <c r="C309" s="2">
        <f>COUNTIFS(Games[Team],Games[[#This Row],[Team]],Games[Season],Games[[#This Row],[Season]],Games[Date],"&lt;=" &amp; Games[[#This Row],[Date]])</f>
        <v>20</v>
      </c>
      <c r="D309" s="2" t="s">
        <v>23</v>
      </c>
      <c r="E309" s="2" t="s">
        <v>29</v>
      </c>
      <c r="F309" s="1" t="s">
        <v>83</v>
      </c>
      <c r="G309" s="1" t="s">
        <v>64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1489.4271956711493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1454.0114384795809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0.66539104544870431</v>
      </c>
      <c r="R309" s="1">
        <v>68</v>
      </c>
      <c r="S309" s="1">
        <v>48</v>
      </c>
      <c r="T309" s="1">
        <v>0</v>
      </c>
      <c r="U309" s="1">
        <f>Games[[#This Row],[PointsFor]]-Games[[#This Row],[PointsAgainst]]</f>
        <v>20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0.55840701943032933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73</v>
      </c>
      <c r="Z309" s="4">
        <f>Games[[#This Row],[K]]*Games[[#This Row],[POMult]]</f>
        <v>73</v>
      </c>
      <c r="AA309" s="4">
        <f>(Games[[#This Row],[Keff]]*Games[[#This Row],[MOVMult]])*(Games[[#This Row],[Result]]-Games[[#This Row],[ExpectedWin%]])</f>
        <v>13.639903195955192</v>
      </c>
      <c r="AB309" s="4">
        <f>Games[[#This Row],[PreGmRate]]+Games[[#This Row],[RatingChange]]</f>
        <v>1503.0670988671045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37090</v>
      </c>
      <c r="B310" s="2">
        <v>2001</v>
      </c>
      <c r="C310" s="2">
        <f>COUNTIFS(Games[Team],Games[[#This Row],[Team]],Games[Season],Games[[#This Row],[Season]],Games[Date],"&lt;=" &amp; Games[[#This Row],[Date]])</f>
        <v>21</v>
      </c>
      <c r="D310" s="2" t="s">
        <v>23</v>
      </c>
      <c r="E310" s="2" t="s">
        <v>29</v>
      </c>
      <c r="F310" s="1" t="s">
        <v>87</v>
      </c>
      <c r="G310" s="1" t="s">
        <v>80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0" s="2">
        <f>Games[[#This Row],[DaysOff]]-Games[[#This Row],[OppDaysOff]]</f>
        <v>1</v>
      </c>
      <c r="L310" s="2">
        <f>Games[[#This Row],[OppDaysOff]]-Games[[#This Row],[DaysOff]]</f>
        <v>-1</v>
      </c>
      <c r="M310" s="1">
        <f>MAX(-16, MIN(16, Games[[#This Row],[RestDiff]]*8))</f>
        <v>8</v>
      </c>
      <c r="N310" s="1">
        <f>MAX(-16, MIN(16, Games[[#This Row],[OppRestDiff]]*8))</f>
        <v>-8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1411.0297009778108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1433.5876323964392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0.37254985325102608</v>
      </c>
      <c r="R310" s="1">
        <v>58</v>
      </c>
      <c r="S310" s="1">
        <v>68</v>
      </c>
      <c r="T310" s="1">
        <v>0</v>
      </c>
      <c r="U310" s="1">
        <f>Games[[#This Row],[PointsFor]]-Games[[#This Row],[PointsAgainst]]</f>
        <v>-10</v>
      </c>
      <c r="V310" s="1">
        <f>IF(Games[[#This Row],[MOV]]&gt;0,1,IF(Games[[#This Row],[MOV]]=0,0.5,0))</f>
        <v>0</v>
      </c>
      <c r="W310" s="4">
        <f>((ABS(Games[[#This Row],[MOV]])+5)^0.6)/(12+0.01*(ABS(Games[[#This Row],[PreGmRate]]-Games[[#This Row],[OppPreGmRate]])))*IF(Games[[#This Row],[OT]]=1,0.9,1)</f>
        <v>0.4153223549983866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72.849999999999994</v>
      </c>
      <c r="Z310" s="4">
        <f>Games[[#This Row],[K]]*Games[[#This Row],[POMult]]</f>
        <v>72.849999999999994</v>
      </c>
      <c r="AA310" s="4">
        <f>(Games[[#This Row],[Keff]]*Games[[#This Row],[MOVMult]])*(Games[[#This Row],[Result]]-Games[[#This Row],[ExpectedWin%]])</f>
        <v>-11.271955373314944</v>
      </c>
      <c r="AB310" s="4">
        <f>Games[[#This Row],[PreGmRate]]+Games[[#This Row],[RatingChange]]</f>
        <v>1399.7577456044958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1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37090</v>
      </c>
      <c r="B311" s="2">
        <v>2001</v>
      </c>
      <c r="C311" s="2">
        <f>COUNTIFS(Games[Team],Games[[#This Row],[Team]],Games[Season],Games[[#This Row],[Season]],Games[Date],"&lt;=" &amp; Games[[#This Row],[Date]])</f>
        <v>19</v>
      </c>
      <c r="D311" s="2" t="s">
        <v>23</v>
      </c>
      <c r="E311" s="2" t="s">
        <v>29</v>
      </c>
      <c r="F311" s="1" t="s">
        <v>80</v>
      </c>
      <c r="G311" s="1" t="s">
        <v>87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1" s="2">
        <f>Games[[#This Row],[DaysOff]]-Games[[#This Row],[OppDaysOff]]</f>
        <v>-1</v>
      </c>
      <c r="L311" s="2">
        <f>Games[[#This Row],[OppDaysOff]]-Games[[#This Row],[DaysOff]]</f>
        <v>1</v>
      </c>
      <c r="M311" s="1">
        <f>MAX(-16, MIN(16, Games[[#This Row],[RestDiff]]*8))</f>
        <v>-8</v>
      </c>
      <c r="N311" s="1">
        <f>MAX(-16, MIN(16, Games[[#This Row],[OppRestDiff]]*8))</f>
        <v>8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1433.5876323964392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1411.0297009778108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0.62745014674897392</v>
      </c>
      <c r="R311" s="1">
        <v>68</v>
      </c>
      <c r="S311" s="1">
        <v>58</v>
      </c>
      <c r="T311" s="1">
        <v>0</v>
      </c>
      <c r="U311" s="1">
        <f>Games[[#This Row],[PointsFor]]-Games[[#This Row],[PointsAgainst]]</f>
        <v>10</v>
      </c>
      <c r="V311" s="1">
        <f>IF(Games[[#This Row],[MOV]]&gt;0,1,IF(Games[[#This Row],[MOV]]=0,0.5,0))</f>
        <v>1</v>
      </c>
      <c r="W311" s="4">
        <f>((ABS(Games[[#This Row],[MOV]])+5)^0.6)/(12+0.01*(ABS(Games[[#This Row],[PreGmRate]]-Games[[#This Row],[OppPreGmRate]])))*IF(Games[[#This Row],[OT]]=1,0.9,1)</f>
        <v>0.4153223549983866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73.150000000000006</v>
      </c>
      <c r="Z311" s="4">
        <f>Games[[#This Row],[K]]*Games[[#This Row],[POMult]]</f>
        <v>73.150000000000006</v>
      </c>
      <c r="AA311" s="4">
        <f>(Games[[#This Row],[Keff]]*Games[[#This Row],[MOVMult]])*(Games[[#This Row],[Result]]-Games[[#This Row],[ExpectedWin%]])</f>
        <v>11.318373858036901</v>
      </c>
      <c r="AB311" s="4">
        <f>Games[[#This Row],[PreGmRate]]+Games[[#This Row],[RatingChange]]</f>
        <v>1444.9060062544761</v>
      </c>
      <c r="AC311" s="2">
        <f>IF(Games[[#This Row],[Type]]="R",IF(Games[[#This Row],[Result]]&gt;0.5,1,0),0)</f>
        <v>1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37090</v>
      </c>
      <c r="B312" s="2">
        <v>2001</v>
      </c>
      <c r="C312" s="2">
        <f>COUNTIFS(Games[Team],Games[[#This Row],[Team]],Games[Season],Games[[#This Row],[Season]],Games[Date],"&lt;=" &amp; Games[[#This Row],[Date]])</f>
        <v>19</v>
      </c>
      <c r="D312" s="2" t="s">
        <v>23</v>
      </c>
      <c r="E312" s="2" t="s">
        <v>29</v>
      </c>
      <c r="F312" s="1" t="s">
        <v>2</v>
      </c>
      <c r="G312" s="1" t="s">
        <v>79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1686.8302078121578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1429.7554556030627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0.73033017006231848</v>
      </c>
      <c r="R312" s="1">
        <v>52</v>
      </c>
      <c r="S312" s="1">
        <v>57</v>
      </c>
      <c r="T312" s="1">
        <v>0</v>
      </c>
      <c r="U312" s="1">
        <f>Games[[#This Row],[PointsFor]]-Games[[#This Row],[PointsAgainst]]</f>
        <v>-5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0.27322357343020348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73.150000000000006</v>
      </c>
      <c r="Z312" s="4">
        <f>Games[[#This Row],[K]]*Games[[#This Row],[POMult]]</f>
        <v>73.150000000000006</v>
      </c>
      <c r="AA312" s="4">
        <f>(Games[[#This Row],[Keff]]*Games[[#This Row],[MOVMult]])*(Games[[#This Row],[Result]]-Games[[#This Row],[ExpectedWin%]])</f>
        <v>-14.596601088754232</v>
      </c>
      <c r="AB312" s="4">
        <f>Games[[#This Row],[PreGmRate]]+Games[[#This Row],[RatingChange]]</f>
        <v>1672.2336067234037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37090</v>
      </c>
      <c r="B313" s="2">
        <v>2001</v>
      </c>
      <c r="C313" s="2">
        <f>COUNTIFS(Games[Team],Games[[#This Row],[Team]],Games[Season],Games[[#This Row],[Season]],Games[Date],"&lt;=" &amp; Games[[#This Row],[Date]])</f>
        <v>19</v>
      </c>
      <c r="D313" s="2" t="s">
        <v>23</v>
      </c>
      <c r="E313" s="2" t="s">
        <v>29</v>
      </c>
      <c r="F313" s="1" t="s">
        <v>79</v>
      </c>
      <c r="G313" s="1" t="s">
        <v>2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1429.7554556030627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1686.8302078121578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0.26966982993768152</v>
      </c>
      <c r="R313" s="1">
        <v>57</v>
      </c>
      <c r="S313" s="1">
        <v>52</v>
      </c>
      <c r="T313" s="1">
        <v>0</v>
      </c>
      <c r="U313" s="1">
        <f>Games[[#This Row],[PointsFor]]-Games[[#This Row],[PointsAgainst]]</f>
        <v>5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0.27322357343020348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73.150000000000006</v>
      </c>
      <c r="Z313" s="4">
        <f>Games[[#This Row],[K]]*Games[[#This Row],[POMult]]</f>
        <v>73.150000000000006</v>
      </c>
      <c r="AA313" s="4">
        <f>(Games[[#This Row],[Keff]]*Games[[#This Row],[MOVMult]])*(Games[[#This Row],[Result]]-Games[[#This Row],[ExpectedWin%]])</f>
        <v>14.596601088754232</v>
      </c>
      <c r="AB313" s="4">
        <f>Games[[#This Row],[PreGmRate]]+Games[[#This Row],[RatingChange]]</f>
        <v>1444.3520566918169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37091</v>
      </c>
      <c r="B314" s="2">
        <v>2001</v>
      </c>
      <c r="C314" s="2">
        <f>COUNTIFS(Games[Team],Games[[#This Row],[Team]],Games[Season],Games[[#This Row],[Season]],Games[Date],"&lt;=" &amp; Games[[#This Row],[Date]])</f>
        <v>22</v>
      </c>
      <c r="D314" s="2" t="s">
        <v>23</v>
      </c>
      <c r="E314" s="2" t="s">
        <v>29</v>
      </c>
      <c r="F314" s="1" t="s">
        <v>66</v>
      </c>
      <c r="G314" s="1" t="s">
        <v>1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14" s="2">
        <f>Games[[#This Row],[DaysOff]]-Games[[#This Row],[OppDaysOff]]</f>
        <v>-5</v>
      </c>
      <c r="L314" s="2">
        <f>Games[[#This Row],[OppDaysOff]]-Games[[#This Row],[DaysOff]]</f>
        <v>5</v>
      </c>
      <c r="M314" s="1">
        <f>MAX(-16, MIN(16, Games[[#This Row],[RestDiff]]*8))</f>
        <v>-16</v>
      </c>
      <c r="N314" s="1">
        <f>MAX(-16, MIN(16, Games[[#This Row],[OppRestDiff]]*8))</f>
        <v>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1625.6529033245761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1640.8748960698965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0.31965135127616157</v>
      </c>
      <c r="R314" s="1">
        <v>60</v>
      </c>
      <c r="S314" s="1">
        <v>65</v>
      </c>
      <c r="T314" s="1">
        <v>0</v>
      </c>
      <c r="U314" s="1">
        <f>Games[[#This Row],[PointsFor]]-Games[[#This Row],[PointsAgainst]]</f>
        <v>-5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0.32760036678905824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72.7</v>
      </c>
      <c r="Z314" s="4">
        <f>Games[[#This Row],[K]]*Games[[#This Row],[POMult]]</f>
        <v>72.7</v>
      </c>
      <c r="AA314" s="4">
        <f>(Games[[#This Row],[Keff]]*Games[[#This Row],[MOVMult]])*(Games[[#This Row],[Result]]-Games[[#This Row],[ExpectedWin%]])</f>
        <v>-7.6129913243794629</v>
      </c>
      <c r="AB314" s="4">
        <f>Games[[#This Row],[PreGmRate]]+Games[[#This Row],[RatingChange]]</f>
        <v>1618.0399120001966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37091</v>
      </c>
      <c r="B315" s="2">
        <v>2001</v>
      </c>
      <c r="C315" s="2">
        <f>COUNTIFS(Games[Team],Games[[#This Row],[Team]],Games[Season],Games[[#This Row],[Season]],Games[Date],"&lt;=" &amp; Games[[#This Row],[Date]])</f>
        <v>21</v>
      </c>
      <c r="D315" s="2" t="s">
        <v>23</v>
      </c>
      <c r="E315" s="2" t="s">
        <v>29</v>
      </c>
      <c r="F315" s="1" t="s">
        <v>1</v>
      </c>
      <c r="G315" s="1" t="s">
        <v>66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5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5" s="2">
        <f>Games[[#This Row],[DaysOff]]-Games[[#This Row],[OppDaysOff]]</f>
        <v>5</v>
      </c>
      <c r="L315" s="2">
        <f>Games[[#This Row],[OppDaysOff]]-Games[[#This Row],[DaysOff]]</f>
        <v>-5</v>
      </c>
      <c r="M315" s="1">
        <f>MAX(-16, MIN(16, Games[[#This Row],[RestDiff]]*8))</f>
        <v>16</v>
      </c>
      <c r="N315" s="1">
        <f>MAX(-16, MIN(16, Games[[#This Row],[OppRestDiff]]*8))</f>
        <v>-16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1640.8748960698965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1625.6529033245761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0.68034864872383838</v>
      </c>
      <c r="R315" s="1">
        <v>65</v>
      </c>
      <c r="S315" s="1">
        <v>60</v>
      </c>
      <c r="T315" s="1">
        <v>0</v>
      </c>
      <c r="U315" s="1">
        <f>Games[[#This Row],[PointsFor]]-Games[[#This Row],[PointsAgainst]]</f>
        <v>5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0.32760036678905824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72.849999999999994</v>
      </c>
      <c r="Z315" s="4">
        <f>Games[[#This Row],[K]]*Games[[#This Row],[POMult]]</f>
        <v>72.849999999999994</v>
      </c>
      <c r="AA315" s="4">
        <f>(Games[[#This Row],[Keff]]*Games[[#This Row],[MOVMult]])*(Games[[#This Row],[Result]]-Games[[#This Row],[ExpectedWin%]])</f>
        <v>7.6286990093678666</v>
      </c>
      <c r="AB315" s="4">
        <f>Games[[#This Row],[PreGmRate]]+Games[[#This Row],[RatingChange]]</f>
        <v>1648.5035950792644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37091</v>
      </c>
      <c r="B316" s="2">
        <v>2001</v>
      </c>
      <c r="C316" s="2">
        <f>COUNTIFS(Games[Team],Games[[#This Row],[Team]],Games[Season],Games[[#This Row],[Season]],Games[Date],"&lt;=" &amp; Games[[#This Row],[Date]])</f>
        <v>19</v>
      </c>
      <c r="D316" s="2" t="s">
        <v>23</v>
      </c>
      <c r="E316" s="2" t="s">
        <v>29</v>
      </c>
      <c r="F316" s="1" t="s">
        <v>89</v>
      </c>
      <c r="G316" s="1" t="s">
        <v>44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6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6" s="2">
        <f>Games[[#This Row],[DaysOff]]-Games[[#This Row],[OppDaysOff]]</f>
        <v>2</v>
      </c>
      <c r="L316" s="2">
        <f>Games[[#This Row],[OppDaysOff]]-Games[[#This Row],[DaysOff]]</f>
        <v>-2</v>
      </c>
      <c r="M316" s="1">
        <f>MAX(-16, MIN(16, Games[[#This Row],[RestDiff]]*8))</f>
        <v>16</v>
      </c>
      <c r="N316" s="1">
        <f>MAX(-16, MIN(16, Games[[#This Row],[OppRestDiff]]*8))</f>
        <v>-16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1451.7163393199435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1469.8418184422242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0.4004297730581467</v>
      </c>
      <c r="R316" s="1">
        <v>58</v>
      </c>
      <c r="S316" s="1">
        <v>60</v>
      </c>
      <c r="T316" s="1">
        <v>0</v>
      </c>
      <c r="U316" s="1">
        <f>Games[[#This Row],[PointsFor]]-Games[[#This Row],[PointsAgainst]]</f>
        <v>-2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0.26385589209019356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73.150000000000006</v>
      </c>
      <c r="Z316" s="4">
        <f>Games[[#This Row],[K]]*Games[[#This Row],[POMult]]</f>
        <v>73.150000000000006</v>
      </c>
      <c r="AA316" s="4">
        <f>(Games[[#This Row],[Keff]]*Games[[#This Row],[MOVMult]])*(Games[[#This Row],[Result]]-Games[[#This Row],[ExpectedWin%]])</f>
        <v>-7.7287184774988269</v>
      </c>
      <c r="AB316" s="4">
        <f>Games[[#This Row],[PreGmRate]]+Games[[#This Row],[RatingChange]]</f>
        <v>1443.9876208424446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37091</v>
      </c>
      <c r="B317" s="2">
        <v>2001</v>
      </c>
      <c r="C317" s="2">
        <f>COUNTIFS(Games[Team],Games[[#This Row],[Team]],Games[Season],Games[[#This Row],[Season]],Games[Date],"&lt;=" &amp; Games[[#This Row],[Date]])</f>
        <v>20</v>
      </c>
      <c r="D317" s="2" t="s">
        <v>23</v>
      </c>
      <c r="E317" s="2" t="s">
        <v>29</v>
      </c>
      <c r="F317" s="1" t="s">
        <v>44</v>
      </c>
      <c r="G317" s="1" t="s">
        <v>89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17" s="2">
        <f>Games[[#This Row],[DaysOff]]-Games[[#This Row],[OppDaysOff]]</f>
        <v>-2</v>
      </c>
      <c r="L317" s="2">
        <f>Games[[#This Row],[OppDaysOff]]-Games[[#This Row],[DaysOff]]</f>
        <v>2</v>
      </c>
      <c r="M317" s="1">
        <f>MAX(-16, MIN(16, Games[[#This Row],[RestDiff]]*8))</f>
        <v>-16</v>
      </c>
      <c r="N317" s="1">
        <f>MAX(-16, MIN(16, Games[[#This Row],[OppRestDiff]]*8))</f>
        <v>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1469.8418184422242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1451.7163393199435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0.59957022694185336</v>
      </c>
      <c r="R317" s="1">
        <v>60</v>
      </c>
      <c r="S317" s="1">
        <v>58</v>
      </c>
      <c r="T317" s="1">
        <v>0</v>
      </c>
      <c r="U317" s="1">
        <f>Games[[#This Row],[PointsFor]]-Games[[#This Row],[PointsAgainst]]</f>
        <v>2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0.26385589209019356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73</v>
      </c>
      <c r="Z317" s="4">
        <f>Games[[#This Row],[K]]*Games[[#This Row],[POMult]]</f>
        <v>73</v>
      </c>
      <c r="AA317" s="4">
        <f>(Games[[#This Row],[Keff]]*Games[[#This Row],[MOVMult]])*(Games[[#This Row],[Result]]-Games[[#This Row],[ExpectedWin%]])</f>
        <v>7.7128701142503653</v>
      </c>
      <c r="AB317" s="4">
        <f>Games[[#This Row],[PreGmRate]]+Games[[#This Row],[RatingChange]]</f>
        <v>1477.5546885564745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37091</v>
      </c>
      <c r="B318" s="2">
        <v>2001</v>
      </c>
      <c r="C318" s="2">
        <f>COUNTIFS(Games[Team],Games[[#This Row],[Team]],Games[Season],Games[[#This Row],[Season]],Games[Date],"&lt;=" &amp; Games[[#This Row],[Date]])</f>
        <v>21</v>
      </c>
      <c r="D318" s="2" t="s">
        <v>23</v>
      </c>
      <c r="E318" s="2" t="s">
        <v>29</v>
      </c>
      <c r="F318" s="1" t="s">
        <v>71</v>
      </c>
      <c r="G318" s="1" t="s">
        <v>45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1697.813366583985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1586.0393860645897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0.53988504672961535</v>
      </c>
      <c r="R318" s="1">
        <v>83</v>
      </c>
      <c r="S318" s="1">
        <v>68</v>
      </c>
      <c r="T318" s="1">
        <v>0</v>
      </c>
      <c r="U318" s="1">
        <f>Games[[#This Row],[PointsFor]]-Games[[#This Row],[PointsAgainst]]</f>
        <v>15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0.46000122171625463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72.849999999999994</v>
      </c>
      <c r="Z318" s="4">
        <f>Games[[#This Row],[K]]*Games[[#This Row],[POMult]]</f>
        <v>72.849999999999994</v>
      </c>
      <c r="AA318" s="4">
        <f>(Games[[#This Row],[Keff]]*Games[[#This Row],[MOVMult]])*(Games[[#This Row],[Result]]-Games[[#This Row],[ExpectedWin%]])</f>
        <v>15.418953150208342</v>
      </c>
      <c r="AB318" s="4">
        <f>Games[[#This Row],[PreGmRate]]+Games[[#This Row],[RatingChange]]</f>
        <v>1713.2323197341934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37091</v>
      </c>
      <c r="B319" s="2">
        <v>2001</v>
      </c>
      <c r="C319" s="2">
        <f>COUNTIFS(Games[Team],Games[[#This Row],[Team]],Games[Season],Games[[#This Row],[Season]],Games[Date],"&lt;=" &amp; Games[[#This Row],[Date]])</f>
        <v>21</v>
      </c>
      <c r="D319" s="2" t="s">
        <v>23</v>
      </c>
      <c r="E319" s="2" t="s">
        <v>29</v>
      </c>
      <c r="F319" s="1" t="s">
        <v>45</v>
      </c>
      <c r="G319" s="1" t="s">
        <v>71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1586.0393860645897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1697.813366583985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0.4601149532703846</v>
      </c>
      <c r="R319" s="1">
        <v>68</v>
      </c>
      <c r="S319" s="1">
        <v>83</v>
      </c>
      <c r="T319" s="1">
        <v>0</v>
      </c>
      <c r="U319" s="1">
        <f>Games[[#This Row],[PointsFor]]-Games[[#This Row],[PointsAgainst]]</f>
        <v>-15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0.46000122171625463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72.849999999999994</v>
      </c>
      <c r="Z319" s="4">
        <f>Games[[#This Row],[K]]*Games[[#This Row],[POMult]]</f>
        <v>72.849999999999994</v>
      </c>
      <c r="AA319" s="4">
        <f>(Games[[#This Row],[Keff]]*Games[[#This Row],[MOVMult]])*(Games[[#This Row],[Result]]-Games[[#This Row],[ExpectedWin%]])</f>
        <v>-15.41895315020834</v>
      </c>
      <c r="AB319" s="4">
        <f>Games[[#This Row],[PreGmRate]]+Games[[#This Row],[RatingChange]]</f>
        <v>1570.6204329143814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37092</v>
      </c>
      <c r="B320" s="2">
        <v>2001</v>
      </c>
      <c r="C320" s="2">
        <f>COUNTIFS(Games[Team],Games[[#This Row],[Team]],Games[Season],Games[[#This Row],[Season]],Games[Date],"&lt;=" &amp; Games[[#This Row],[Date]])</f>
        <v>20</v>
      </c>
      <c r="D320" s="2" t="s">
        <v>23</v>
      </c>
      <c r="E320" s="2" t="s">
        <v>29</v>
      </c>
      <c r="F320" s="1" t="s">
        <v>79</v>
      </c>
      <c r="G320" s="1" t="s">
        <v>64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1444.3520566918169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1440.3715352836257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0.38683658346628835</v>
      </c>
      <c r="R320" s="1">
        <v>65</v>
      </c>
      <c r="S320" s="1">
        <v>72</v>
      </c>
      <c r="T320" s="1">
        <v>0</v>
      </c>
      <c r="U320" s="1">
        <f>Games[[#This Row],[PointsFor]]-Games[[#This Row],[PointsAgainst]]</f>
        <v>-7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0.36888354843575494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73</v>
      </c>
      <c r="Z320" s="4">
        <f>Games[[#This Row],[K]]*Games[[#This Row],[POMult]]</f>
        <v>73</v>
      </c>
      <c r="AA320" s="4">
        <f>(Games[[#This Row],[Keff]]*Games[[#This Row],[MOVMult]])*(Games[[#This Row],[Result]]-Games[[#This Row],[ExpectedWin%]])</f>
        <v>-10.416928564888023</v>
      </c>
      <c r="AB320" s="4">
        <f>Games[[#This Row],[PreGmRate]]+Games[[#This Row],[RatingChange]]</f>
        <v>1433.9351281269289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37092</v>
      </c>
      <c r="B321" s="2">
        <v>2001</v>
      </c>
      <c r="C321" s="2">
        <f>COUNTIFS(Games[Team],Games[[#This Row],[Team]],Games[Season],Games[[#This Row],[Season]],Games[Date],"&lt;=" &amp; Games[[#This Row],[Date]])</f>
        <v>21</v>
      </c>
      <c r="D321" s="2" t="s">
        <v>23</v>
      </c>
      <c r="E321" s="2" t="s">
        <v>29</v>
      </c>
      <c r="F321" s="1" t="s">
        <v>64</v>
      </c>
      <c r="G321" s="1" t="s">
        <v>79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1440.3715352836257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1444.3520566918169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0.61316341653371165</v>
      </c>
      <c r="R321" s="1">
        <v>72</v>
      </c>
      <c r="S321" s="1">
        <v>65</v>
      </c>
      <c r="T321" s="1">
        <v>0</v>
      </c>
      <c r="U321" s="1">
        <f>Games[[#This Row],[PointsFor]]-Games[[#This Row],[PointsAgainst]]</f>
        <v>7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0.36888354843575494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72.849999999999994</v>
      </c>
      <c r="Z321" s="4">
        <f>Games[[#This Row],[K]]*Games[[#This Row],[POMult]]</f>
        <v>72.849999999999994</v>
      </c>
      <c r="AA321" s="4">
        <f>(Games[[#This Row],[Keff]]*Games[[#This Row],[MOVMult]])*(Games[[#This Row],[Result]]-Games[[#This Row],[ExpectedWin%]])</f>
        <v>10.395523917151952</v>
      </c>
      <c r="AB321" s="4">
        <f>Games[[#This Row],[PreGmRate]]+Games[[#This Row],[RatingChange]]</f>
        <v>1450.7670592007776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37092</v>
      </c>
      <c r="B322" s="2">
        <v>2001</v>
      </c>
      <c r="C322" s="2">
        <f>COUNTIFS(Games[Team],Games[[#This Row],[Team]],Games[Season],Games[[#This Row],[Season]],Games[Date],"&lt;=" &amp; Games[[#This Row],[Date]])</f>
        <v>19</v>
      </c>
      <c r="D322" s="2" t="s">
        <v>23</v>
      </c>
      <c r="E322" s="2" t="s">
        <v>29</v>
      </c>
      <c r="F322" s="1" t="s">
        <v>75</v>
      </c>
      <c r="G322" s="1" t="s">
        <v>85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4</v>
      </c>
      <c r="L322" s="2">
        <f>Games[[#This Row],[OppDaysOff]]-Games[[#This Row],[DaysOff]]</f>
        <v>-4</v>
      </c>
      <c r="M322" s="1">
        <f>MAX(-16, MIN(16, Games[[#This Row],[RestDiff]]*8))</f>
        <v>16</v>
      </c>
      <c r="N322" s="1">
        <f>MAX(-16, MIN(16, Games[[#This Row],[OppRestDiff]]*8))</f>
        <v>-16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1371.4701098209291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1391.0822091591199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0.39837695904765125</v>
      </c>
      <c r="R322" s="1">
        <v>65</v>
      </c>
      <c r="S322" s="1">
        <v>73</v>
      </c>
      <c r="T322" s="1">
        <v>0</v>
      </c>
      <c r="U322" s="1">
        <f>Games[[#This Row],[PointsFor]]-Games[[#This Row],[PointsAgainst]]</f>
        <v>-8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0.38207118661455136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73.150000000000006</v>
      </c>
      <c r="Z322" s="4">
        <f>Games[[#This Row],[K]]*Games[[#This Row],[POMult]]</f>
        <v>73.150000000000006</v>
      </c>
      <c r="AA322" s="4">
        <f>(Games[[#This Row],[Keff]]*Games[[#This Row],[MOVMult]])*(Games[[#This Row],[Result]]-Games[[#This Row],[ExpectedWin%]])</f>
        <v>-11.134041348435469</v>
      </c>
      <c r="AB322" s="4">
        <f>Games[[#This Row],[PreGmRate]]+Games[[#This Row],[RatingChange]]</f>
        <v>1360.3360684724937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37092</v>
      </c>
      <c r="B323" s="2">
        <v>2001</v>
      </c>
      <c r="C323" s="2">
        <f>COUNTIFS(Games[Team],Games[[#This Row],[Team]],Games[Season],Games[[#This Row],[Season]],Games[Date],"&lt;=" &amp; Games[[#This Row],[Date]])</f>
        <v>21</v>
      </c>
      <c r="D323" s="2" t="s">
        <v>23</v>
      </c>
      <c r="E323" s="2" t="s">
        <v>29</v>
      </c>
      <c r="F323" s="1" t="s">
        <v>85</v>
      </c>
      <c r="G323" s="1" t="s">
        <v>75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3" s="2">
        <f>Games[[#This Row],[DaysOff]]-Games[[#This Row],[OppDaysOff]]</f>
        <v>-4</v>
      </c>
      <c r="L323" s="2">
        <f>Games[[#This Row],[OppDaysOff]]-Games[[#This Row],[DaysOff]]</f>
        <v>4</v>
      </c>
      <c r="M323" s="1">
        <f>MAX(-16, MIN(16, Games[[#This Row],[RestDiff]]*8))</f>
        <v>-16</v>
      </c>
      <c r="N323" s="1">
        <f>MAX(-16, MIN(16, Games[[#This Row],[OppRestDiff]]*8))</f>
        <v>16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1391.0822091591199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1371.4701098209291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0.60162304095234875</v>
      </c>
      <c r="R323" s="1">
        <v>73</v>
      </c>
      <c r="S323" s="1">
        <v>65</v>
      </c>
      <c r="T323" s="1">
        <v>0</v>
      </c>
      <c r="U323" s="1">
        <f>Games[[#This Row],[PointsFor]]-Games[[#This Row],[PointsAgainst]]</f>
        <v>8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0.38207118661455136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72.849999999999994</v>
      </c>
      <c r="Z323" s="4">
        <f>Games[[#This Row],[K]]*Games[[#This Row],[POMult]]</f>
        <v>72.849999999999994</v>
      </c>
      <c r="AA323" s="4">
        <f>(Games[[#This Row],[Keff]]*Games[[#This Row],[MOVMult]])*(Games[[#This Row],[Result]]-Games[[#This Row],[ExpectedWin%]])</f>
        <v>11.088378841196498</v>
      </c>
      <c r="AB323" s="4">
        <f>Games[[#This Row],[PreGmRate]]+Games[[#This Row],[RatingChange]]</f>
        <v>1402.1705880003165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37092</v>
      </c>
      <c r="B324" s="2">
        <v>2001</v>
      </c>
      <c r="C324" s="2">
        <f>COUNTIFS(Games[Team],Games[[#This Row],[Team]],Games[Season],Games[[#This Row],[Season]],Games[Date],"&lt;=" &amp; Games[[#This Row],[Date]])</f>
        <v>20</v>
      </c>
      <c r="D324" s="2" t="s">
        <v>23</v>
      </c>
      <c r="E324" s="2" t="s">
        <v>29</v>
      </c>
      <c r="F324" s="1" t="s">
        <v>2</v>
      </c>
      <c r="G324" s="1" t="s">
        <v>83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1672.2336067234037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1503.0670988671045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0.62016716827495078</v>
      </c>
      <c r="R324" s="1">
        <v>50</v>
      </c>
      <c r="S324" s="1">
        <v>64</v>
      </c>
      <c r="T324" s="1">
        <v>0</v>
      </c>
      <c r="U324" s="1">
        <f>Games[[#This Row],[PointsFor]]-Games[[#This Row],[PointsAgainst]]</f>
        <v>-14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0.42736199058583296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73</v>
      </c>
      <c r="Z324" s="4">
        <f>Games[[#This Row],[K]]*Games[[#This Row],[POMult]]</f>
        <v>73</v>
      </c>
      <c r="AA324" s="4">
        <f>(Games[[#This Row],[Keff]]*Games[[#This Row],[MOVMult]])*(Games[[#This Row],[Result]]-Games[[#This Row],[ExpectedWin%]])</f>
        <v>-19.347618913687239</v>
      </c>
      <c r="AB324" s="4">
        <f>Games[[#This Row],[PreGmRate]]+Games[[#This Row],[RatingChange]]</f>
        <v>1652.8859878097164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37092</v>
      </c>
      <c r="B325" s="2">
        <v>2001</v>
      </c>
      <c r="C325" s="2">
        <f>COUNTIFS(Games[Team],Games[[#This Row],[Team]],Games[Season],Games[[#This Row],[Season]],Games[Date],"&lt;=" &amp; Games[[#This Row],[Date]])</f>
        <v>21</v>
      </c>
      <c r="D325" s="2" t="s">
        <v>23</v>
      </c>
      <c r="E325" s="2" t="s">
        <v>29</v>
      </c>
      <c r="F325" s="1" t="s">
        <v>83</v>
      </c>
      <c r="G325" s="1" t="s">
        <v>2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1503.0670988671045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1672.2336067234037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0.37983283172504917</v>
      </c>
      <c r="R325" s="1">
        <v>64</v>
      </c>
      <c r="S325" s="1">
        <v>50</v>
      </c>
      <c r="T325" s="1">
        <v>0</v>
      </c>
      <c r="U325" s="1">
        <f>Games[[#This Row],[PointsFor]]-Games[[#This Row],[PointsAgainst]]</f>
        <v>14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0.42736199058583296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72.849999999999994</v>
      </c>
      <c r="Z325" s="4">
        <f>Games[[#This Row],[K]]*Games[[#This Row],[POMult]]</f>
        <v>72.849999999999994</v>
      </c>
      <c r="AA325" s="4">
        <f>(Games[[#This Row],[Keff]]*Games[[#This Row],[MOVMult]])*(Games[[#This Row],[Result]]-Games[[#This Row],[ExpectedWin%]])</f>
        <v>19.307863532357747</v>
      </c>
      <c r="AB325" s="4">
        <f>Games[[#This Row],[PreGmRate]]+Games[[#This Row],[RatingChange]]</f>
        <v>1522.3749623994622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37092</v>
      </c>
      <c r="B326" s="2">
        <v>2001</v>
      </c>
      <c r="C326" s="2">
        <f>COUNTIFS(Games[Team],Games[[#This Row],[Team]],Games[Season],Games[[#This Row],[Season]],Games[Date],"&lt;=" &amp; Games[[#This Row],[Date]])</f>
        <v>20</v>
      </c>
      <c r="D326" s="2" t="s">
        <v>23</v>
      </c>
      <c r="E326" s="2" t="s">
        <v>29</v>
      </c>
      <c r="F326" s="1" t="s">
        <v>89</v>
      </c>
      <c r="G326" s="1" t="s">
        <v>87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-1</v>
      </c>
      <c r="L326" s="2">
        <f>Games[[#This Row],[OppDaysOff]]-Games[[#This Row],[DaysOff]]</f>
        <v>1</v>
      </c>
      <c r="M326" s="1">
        <f>MAX(-16, MIN(16, Games[[#This Row],[RestDiff]]*8))</f>
        <v>-8</v>
      </c>
      <c r="N326" s="1">
        <f>MAX(-16, MIN(16, Games[[#This Row],[OppRestDiff]]*8))</f>
        <v>8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1443.9876208424446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1399.7577456044958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0.4204226430354906</v>
      </c>
      <c r="R326" s="1">
        <v>56</v>
      </c>
      <c r="S326" s="1">
        <v>49</v>
      </c>
      <c r="T326" s="1">
        <v>0</v>
      </c>
      <c r="U326" s="1">
        <f>Games[[#This Row],[PointsFor]]-Games[[#This Row],[PointsAgainst]]</f>
        <v>7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0.35695060520842103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73</v>
      </c>
      <c r="Z326" s="4">
        <f>Games[[#This Row],[K]]*Games[[#This Row],[POMult]]</f>
        <v>73</v>
      </c>
      <c r="AA326" s="4">
        <f>(Games[[#This Row],[Keff]]*Games[[#This Row],[MOVMult]])*(Games[[#This Row],[Result]]-Games[[#This Row],[ExpectedWin%]])</f>
        <v>15.102275648351245</v>
      </c>
      <c r="AB326" s="4">
        <f>Games[[#This Row],[PreGmRate]]+Games[[#This Row],[RatingChange]]</f>
        <v>1459.0898964907958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37092</v>
      </c>
      <c r="B327" s="2">
        <v>2001</v>
      </c>
      <c r="C327" s="2">
        <f>COUNTIFS(Games[Team],Games[[#This Row],[Team]],Games[Season],Games[[#This Row],[Season]],Games[Date],"&lt;=" &amp; Games[[#This Row],[Date]])</f>
        <v>22</v>
      </c>
      <c r="D327" s="2" t="s">
        <v>23</v>
      </c>
      <c r="E327" s="2" t="s">
        <v>29</v>
      </c>
      <c r="F327" s="1" t="s">
        <v>87</v>
      </c>
      <c r="G327" s="1" t="s">
        <v>89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7" s="2">
        <f>Games[[#This Row],[DaysOff]]-Games[[#This Row],[OppDaysOff]]</f>
        <v>1</v>
      </c>
      <c r="L327" s="2">
        <f>Games[[#This Row],[OppDaysOff]]-Games[[#This Row],[DaysOff]]</f>
        <v>-1</v>
      </c>
      <c r="M327" s="1">
        <f>MAX(-16, MIN(16, Games[[#This Row],[RestDiff]]*8))</f>
        <v>8</v>
      </c>
      <c r="N327" s="1">
        <f>MAX(-16, MIN(16, Games[[#This Row],[OppRestDiff]]*8))</f>
        <v>-8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1399.7577456044958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1443.9876208424446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0.5795773569645094</v>
      </c>
      <c r="R327" s="1">
        <v>49</v>
      </c>
      <c r="S327" s="1">
        <v>56</v>
      </c>
      <c r="T327" s="1">
        <v>0</v>
      </c>
      <c r="U327" s="1">
        <f>Games[[#This Row],[PointsFor]]-Games[[#This Row],[PointsAgainst]]</f>
        <v>-7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0.35695060520842103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72.7</v>
      </c>
      <c r="Z327" s="4">
        <f>Games[[#This Row],[K]]*Games[[#This Row],[POMult]]</f>
        <v>72.7</v>
      </c>
      <c r="AA327" s="4">
        <f>(Games[[#This Row],[Keff]]*Games[[#This Row],[MOVMult]])*(Games[[#This Row],[Result]]-Games[[#This Row],[ExpectedWin%]])</f>
        <v>-15.040211501851173</v>
      </c>
      <c r="AB327" s="4">
        <f>Games[[#This Row],[PreGmRate]]+Games[[#This Row],[RatingChange]]</f>
        <v>1384.7175341026445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37093</v>
      </c>
      <c r="B328" s="2">
        <v>2001</v>
      </c>
      <c r="C328" s="2">
        <f>COUNTIFS(Games[Team],Games[[#This Row],[Team]],Games[Season],Games[[#This Row],[Season]],Games[Date],"&lt;=" &amp; Games[[#This Row],[Date]])</f>
        <v>22</v>
      </c>
      <c r="D328" s="2" t="s">
        <v>23</v>
      </c>
      <c r="E328" s="2" t="s">
        <v>29</v>
      </c>
      <c r="F328" s="1" t="s">
        <v>64</v>
      </c>
      <c r="G328" s="1" t="s">
        <v>1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-1</v>
      </c>
      <c r="L328" s="2">
        <f>Games[[#This Row],[OppDaysOff]]-Games[[#This Row],[DaysOff]]</f>
        <v>1</v>
      </c>
      <c r="M328" s="1">
        <f>MAX(-16, MIN(16, Games[[#This Row],[RestDiff]]*8))</f>
        <v>-8</v>
      </c>
      <c r="N328" s="1">
        <f>MAX(-16, MIN(16, Games[[#This Row],[OppRestDiff]]*8))</f>
        <v>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1450.7670592007776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1648.5035950792644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0.15265735233267533</v>
      </c>
      <c r="R328" s="1">
        <v>41</v>
      </c>
      <c r="S328" s="1">
        <v>56</v>
      </c>
      <c r="T328" s="1">
        <v>0</v>
      </c>
      <c r="U328" s="1">
        <f>Games[[#This Row],[PointsFor]]-Games[[#This Row],[PointsAgainst]]</f>
        <v>-15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0.43171056788271195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72.7</v>
      </c>
      <c r="Z328" s="4">
        <f>Games[[#This Row],[K]]*Games[[#This Row],[POMult]]</f>
        <v>72.7</v>
      </c>
      <c r="AA328" s="4">
        <f>(Games[[#This Row],[Keff]]*Games[[#This Row],[MOVMult]])*(Games[[#This Row],[Result]]-Games[[#This Row],[ExpectedWin%]])</f>
        <v>-4.7912056978116642</v>
      </c>
      <c r="AB328" s="4">
        <f>Games[[#This Row],[PreGmRate]]+Games[[#This Row],[RatingChange]]</f>
        <v>1445.9758535029659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37093</v>
      </c>
      <c r="B329" s="2">
        <v>2001</v>
      </c>
      <c r="C329" s="2">
        <f>COUNTIFS(Games[Team],Games[[#This Row],[Team]],Games[Season],Games[[#This Row],[Season]],Games[Date],"&lt;=" &amp; Games[[#This Row],[Date]])</f>
        <v>22</v>
      </c>
      <c r="D329" s="2" t="s">
        <v>23</v>
      </c>
      <c r="E329" s="2" t="s">
        <v>29</v>
      </c>
      <c r="F329" s="1" t="s">
        <v>1</v>
      </c>
      <c r="G329" s="1" t="s">
        <v>64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9" s="2">
        <f>Games[[#This Row],[DaysOff]]-Games[[#This Row],[OppDaysOff]]</f>
        <v>1</v>
      </c>
      <c r="L329" s="2">
        <f>Games[[#This Row],[OppDaysOff]]-Games[[#This Row],[DaysOff]]</f>
        <v>-1</v>
      </c>
      <c r="M329" s="1">
        <f>MAX(-16, MIN(16, Games[[#This Row],[RestDiff]]*8))</f>
        <v>8</v>
      </c>
      <c r="N329" s="1">
        <f>MAX(-16, MIN(16, Games[[#This Row],[OppRestDiff]]*8))</f>
        <v>-8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1648.5035950792644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1450.7670592007776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0.8473426476673247</v>
      </c>
      <c r="R329" s="1">
        <v>56</v>
      </c>
      <c r="S329" s="1">
        <v>41</v>
      </c>
      <c r="T329" s="1">
        <v>0</v>
      </c>
      <c r="U329" s="1">
        <f>Games[[#This Row],[PointsFor]]-Games[[#This Row],[PointsAgainst]]</f>
        <v>15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0.43171056788271195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72.7</v>
      </c>
      <c r="Z329" s="4">
        <f>Games[[#This Row],[K]]*Games[[#This Row],[POMult]]</f>
        <v>72.7</v>
      </c>
      <c r="AA329" s="4">
        <f>(Games[[#This Row],[Keff]]*Games[[#This Row],[MOVMult]])*(Games[[#This Row],[Result]]-Games[[#This Row],[ExpectedWin%]])</f>
        <v>4.7912056978116633</v>
      </c>
      <c r="AB329" s="4">
        <f>Games[[#This Row],[PreGmRate]]+Games[[#This Row],[RatingChange]]</f>
        <v>1653.294800777076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37093</v>
      </c>
      <c r="B330" s="2">
        <v>2001</v>
      </c>
      <c r="C330" s="2">
        <f>COUNTIFS(Games[Team],Games[[#This Row],[Team]],Games[Season],Games[[#This Row],[Season]],Games[Date],"&lt;=" &amp; Games[[#This Row],[Date]])</f>
        <v>23</v>
      </c>
      <c r="D330" s="2" t="s">
        <v>23</v>
      </c>
      <c r="E330" s="2" t="s">
        <v>29</v>
      </c>
      <c r="F330" s="1" t="s">
        <v>87</v>
      </c>
      <c r="G330" s="1" t="s">
        <v>71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-1</v>
      </c>
      <c r="L330" s="2">
        <f>Games[[#This Row],[OppDaysOff]]-Games[[#This Row],[DaysOff]]</f>
        <v>1</v>
      </c>
      <c r="M330" s="1">
        <f>MAX(-16, MIN(16, Games[[#This Row],[RestDiff]]*8))</f>
        <v>-8</v>
      </c>
      <c r="N330" s="1">
        <f>MAX(-16, MIN(16, Games[[#This Row],[OppRestDiff]]*8))</f>
        <v>8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1384.7175341026445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1713.2323197341934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7.8223736405258884E-2</v>
      </c>
      <c r="R330" s="1">
        <v>79</v>
      </c>
      <c r="S330" s="1">
        <v>85</v>
      </c>
      <c r="T330" s="1">
        <v>0</v>
      </c>
      <c r="U330" s="1">
        <f>Games[[#This Row],[PointsFor]]-Games[[#This Row],[PointsAgainst]]</f>
        <v>-6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0.27578203185978351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72.55</v>
      </c>
      <c r="Z330" s="4">
        <f>Games[[#This Row],[K]]*Games[[#This Row],[POMult]]</f>
        <v>72.55</v>
      </c>
      <c r="AA330" s="4">
        <f>(Games[[#This Row],[Keff]]*Games[[#This Row],[MOVMult]])*(Games[[#This Row],[Result]]-Games[[#This Row],[ExpectedWin%]])</f>
        <v>-1.5650994550474902</v>
      </c>
      <c r="AB330" s="4">
        <f>Games[[#This Row],[PreGmRate]]+Games[[#This Row],[RatingChange]]</f>
        <v>1383.1524346475971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37093</v>
      </c>
      <c r="B331" s="2">
        <v>2001</v>
      </c>
      <c r="C331" s="2">
        <f>COUNTIFS(Games[Team],Games[[#This Row],[Team]],Games[Season],Games[[#This Row],[Season]],Games[Date],"&lt;=" &amp; Games[[#This Row],[Date]])</f>
        <v>22</v>
      </c>
      <c r="D331" s="2" t="s">
        <v>23</v>
      </c>
      <c r="E331" s="2" t="s">
        <v>29</v>
      </c>
      <c r="F331" s="1" t="s">
        <v>71</v>
      </c>
      <c r="G331" s="1" t="s">
        <v>87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1" s="2">
        <f>Games[[#This Row],[DaysOff]]-Games[[#This Row],[OppDaysOff]]</f>
        <v>1</v>
      </c>
      <c r="L331" s="2">
        <f>Games[[#This Row],[OppDaysOff]]-Games[[#This Row],[DaysOff]]</f>
        <v>-1</v>
      </c>
      <c r="M331" s="1">
        <f>MAX(-16, MIN(16, Games[[#This Row],[RestDiff]]*8))</f>
        <v>8</v>
      </c>
      <c r="N331" s="1">
        <f>MAX(-16, MIN(16, Games[[#This Row],[OppRestDiff]]*8))</f>
        <v>-8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1713.2323197341934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1384.7175341026445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0.92177626359474107</v>
      </c>
      <c r="R331" s="1">
        <v>85</v>
      </c>
      <c r="S331" s="1">
        <v>79</v>
      </c>
      <c r="T331" s="1">
        <v>0</v>
      </c>
      <c r="U331" s="1">
        <f>Games[[#This Row],[PointsFor]]-Games[[#This Row],[PointsAgainst]]</f>
        <v>6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0.27578203185978351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72.7</v>
      </c>
      <c r="Z331" s="4">
        <f>Games[[#This Row],[K]]*Games[[#This Row],[POMult]]</f>
        <v>72.7</v>
      </c>
      <c r="AA331" s="4">
        <f>(Games[[#This Row],[Keff]]*Games[[#This Row],[MOVMult]])*(Games[[#This Row],[Result]]-Games[[#This Row],[ExpectedWin%]])</f>
        <v>1.5683353601923171</v>
      </c>
      <c r="AB331" s="4">
        <f>Games[[#This Row],[PreGmRate]]+Games[[#This Row],[RatingChange]]</f>
        <v>1714.8006550943858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37093</v>
      </c>
      <c r="B332" s="2">
        <v>2001</v>
      </c>
      <c r="C332" s="2">
        <f>COUNTIFS(Games[Team],Games[[#This Row],[Team]],Games[Season],Games[[#This Row],[Season]],Games[Date],"&lt;=" &amp; Games[[#This Row],[Date]])</f>
        <v>20</v>
      </c>
      <c r="D332" s="2" t="s">
        <v>23</v>
      </c>
      <c r="E332" s="2" t="s">
        <v>29</v>
      </c>
      <c r="F332" s="1" t="s">
        <v>80</v>
      </c>
      <c r="G332" s="1" t="s">
        <v>79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2" s="2">
        <f>Games[[#This Row],[DaysOff]]-Games[[#This Row],[OppDaysOff]]</f>
        <v>2</v>
      </c>
      <c r="L332" s="2">
        <f>Games[[#This Row],[OppDaysOff]]-Games[[#This Row],[DaysOff]]</f>
        <v>-2</v>
      </c>
      <c r="M332" s="1">
        <f>MAX(-16, MIN(16, Games[[#This Row],[RestDiff]]*8))</f>
        <v>16</v>
      </c>
      <c r="N332" s="1">
        <f>MAX(-16, MIN(16, Games[[#This Row],[OppRestDiff]]*8))</f>
        <v>-16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1444.9060062544761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1433.9351281269289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0.44122729958837259</v>
      </c>
      <c r="R332" s="1">
        <v>49</v>
      </c>
      <c r="S332" s="1">
        <v>71</v>
      </c>
      <c r="T332" s="1">
        <v>0</v>
      </c>
      <c r="U332" s="1">
        <f>Games[[#This Row],[PointsFor]]-Games[[#This Row],[PointsAgainst]]</f>
        <v>-22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0.59660179995518658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73</v>
      </c>
      <c r="Z332" s="4">
        <f>Games[[#This Row],[K]]*Games[[#This Row],[POMult]]</f>
        <v>73</v>
      </c>
      <c r="AA332" s="4">
        <f>(Games[[#This Row],[Keff]]*Games[[#This Row],[MOVMult]])*(Games[[#This Row],[Result]]-Games[[#This Row],[ExpectedWin%]])</f>
        <v>-19.21630108203663</v>
      </c>
      <c r="AB332" s="4">
        <f>Games[[#This Row],[PreGmRate]]+Games[[#This Row],[RatingChange]]</f>
        <v>1425.6897051724395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37093</v>
      </c>
      <c r="B333" s="2">
        <v>2001</v>
      </c>
      <c r="C333" s="2">
        <f>COUNTIFS(Games[Team],Games[[#This Row],[Team]],Games[Season],Games[[#This Row],[Season]],Games[Date],"&lt;=" &amp; Games[[#This Row],[Date]])</f>
        <v>21</v>
      </c>
      <c r="D333" s="2" t="s">
        <v>23</v>
      </c>
      <c r="E333" s="2" t="s">
        <v>29</v>
      </c>
      <c r="F333" s="1" t="s">
        <v>79</v>
      </c>
      <c r="G333" s="1" t="s">
        <v>80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3" s="2">
        <f>Games[[#This Row],[DaysOff]]-Games[[#This Row],[OppDaysOff]]</f>
        <v>-2</v>
      </c>
      <c r="L333" s="2">
        <f>Games[[#This Row],[OppDaysOff]]-Games[[#This Row],[DaysOff]]</f>
        <v>2</v>
      </c>
      <c r="M333" s="1">
        <f>MAX(-16, MIN(16, Games[[#This Row],[RestDiff]]*8))</f>
        <v>-16</v>
      </c>
      <c r="N333" s="1">
        <f>MAX(-16, MIN(16, Games[[#This Row],[OppRestDiff]]*8))</f>
        <v>16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1433.9351281269289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1444.9060062544761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0.55877270041162752</v>
      </c>
      <c r="R333" s="1">
        <v>71</v>
      </c>
      <c r="S333" s="1">
        <v>49</v>
      </c>
      <c r="T333" s="1">
        <v>0</v>
      </c>
      <c r="U333" s="1">
        <f>Games[[#This Row],[PointsFor]]-Games[[#This Row],[PointsAgainst]]</f>
        <v>22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0.59660179995518658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72.849999999999994</v>
      </c>
      <c r="Z333" s="4">
        <f>Games[[#This Row],[K]]*Games[[#This Row],[POMult]]</f>
        <v>72.849999999999994</v>
      </c>
      <c r="AA333" s="4">
        <f>(Games[[#This Row],[Keff]]*Games[[#This Row],[MOVMult]])*(Games[[#This Row],[Result]]-Games[[#This Row],[ExpectedWin%]])</f>
        <v>19.176815531868055</v>
      </c>
      <c r="AB333" s="4">
        <f>Games[[#This Row],[PreGmRate]]+Games[[#This Row],[RatingChange]]</f>
        <v>1453.1119436587969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37093</v>
      </c>
      <c r="B334" s="2">
        <v>2001</v>
      </c>
      <c r="C334" s="2">
        <f>COUNTIFS(Games[Team],Games[[#This Row],[Team]],Games[Season],Games[[#This Row],[Season]],Games[Date],"&lt;=" &amp; Games[[#This Row],[Date]])</f>
        <v>20</v>
      </c>
      <c r="D334" s="2" t="s">
        <v>23</v>
      </c>
      <c r="E334" s="2" t="s">
        <v>29</v>
      </c>
      <c r="F334" s="1" t="s">
        <v>43</v>
      </c>
      <c r="G334" s="1" t="s">
        <v>44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1</v>
      </c>
      <c r="L334" s="2">
        <f>Games[[#This Row],[OppDaysOff]]-Games[[#This Row],[DaysOff]]</f>
        <v>-1</v>
      </c>
      <c r="M334" s="1">
        <f>MAX(-16, MIN(16, Games[[#This Row],[RestDiff]]*8))</f>
        <v>8</v>
      </c>
      <c r="N334" s="1">
        <f>MAX(-16, MIN(16, Games[[#This Row],[OppRestDiff]]*8))</f>
        <v>-8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1496.4664450697803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1477.5546885564745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0.42982268107588001</v>
      </c>
      <c r="R334" s="1">
        <v>50</v>
      </c>
      <c r="S334" s="1">
        <v>59</v>
      </c>
      <c r="T334" s="1">
        <v>0</v>
      </c>
      <c r="U334" s="1">
        <f>Games[[#This Row],[PointsFor]]-Games[[#This Row],[PointsAgainst]]</f>
        <v>-9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0.39967276545943581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73</v>
      </c>
      <c r="Z334" s="4">
        <f>Games[[#This Row],[K]]*Games[[#This Row],[POMult]]</f>
        <v>73</v>
      </c>
      <c r="AA334" s="4">
        <f>(Games[[#This Row],[Keff]]*Games[[#This Row],[MOVMult]])*(Games[[#This Row],[Result]]-Games[[#This Row],[ExpectedWin%]])</f>
        <v>-12.540554631003383</v>
      </c>
      <c r="AB334" s="4">
        <f>Games[[#This Row],[PreGmRate]]+Games[[#This Row],[RatingChange]]</f>
        <v>1483.9258904387768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37093</v>
      </c>
      <c r="B335" s="2">
        <v>2001</v>
      </c>
      <c r="C335" s="2">
        <f>COUNTIFS(Games[Team],Games[[#This Row],[Team]],Games[Season],Games[[#This Row],[Season]],Games[Date],"&lt;=" &amp; Games[[#This Row],[Date]])</f>
        <v>21</v>
      </c>
      <c r="D335" s="2" t="s">
        <v>23</v>
      </c>
      <c r="E335" s="2" t="s">
        <v>29</v>
      </c>
      <c r="F335" s="1" t="s">
        <v>44</v>
      </c>
      <c r="G335" s="1" t="s">
        <v>43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-1</v>
      </c>
      <c r="L335" s="2">
        <f>Games[[#This Row],[OppDaysOff]]-Games[[#This Row],[DaysOff]]</f>
        <v>1</v>
      </c>
      <c r="M335" s="1">
        <f>MAX(-16, MIN(16, Games[[#This Row],[RestDiff]]*8))</f>
        <v>-8</v>
      </c>
      <c r="N335" s="1">
        <f>MAX(-16, MIN(16, Games[[#This Row],[OppRestDiff]]*8))</f>
        <v>8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1477.5546885564745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1496.4664450697803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0.57017731892411994</v>
      </c>
      <c r="R335" s="1">
        <v>59</v>
      </c>
      <c r="S335" s="1">
        <v>50</v>
      </c>
      <c r="T335" s="1">
        <v>0</v>
      </c>
      <c r="U335" s="1">
        <f>Games[[#This Row],[PointsFor]]-Games[[#This Row],[PointsAgainst]]</f>
        <v>9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0.39967276545943581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72.849999999999994</v>
      </c>
      <c r="Z335" s="4">
        <f>Games[[#This Row],[K]]*Games[[#This Row],[POMult]]</f>
        <v>72.849999999999994</v>
      </c>
      <c r="AA335" s="4">
        <f>(Games[[#This Row],[Keff]]*Games[[#This Row],[MOVMult]])*(Games[[#This Row],[Result]]-Games[[#This Row],[ExpectedWin%]])</f>
        <v>12.514786368062966</v>
      </c>
      <c r="AB335" s="4">
        <f>Games[[#This Row],[PreGmRate]]+Games[[#This Row],[RatingChange]]</f>
        <v>1490.0694749245374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37093</v>
      </c>
      <c r="B336" s="2">
        <v>2001</v>
      </c>
      <c r="C336" s="2">
        <f>COUNTIFS(Games[Team],Games[[#This Row],[Team]],Games[Season],Games[[#This Row],[Season]],Games[Date],"&lt;=" &amp; Games[[#This Row],[Date]])</f>
        <v>20</v>
      </c>
      <c r="D336" s="2" t="s">
        <v>23</v>
      </c>
      <c r="E336" s="2" t="s">
        <v>29</v>
      </c>
      <c r="F336" s="1" t="s">
        <v>77</v>
      </c>
      <c r="G336" s="1" t="s">
        <v>45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1</v>
      </c>
      <c r="L336" s="2">
        <f>Games[[#This Row],[OppDaysOff]]-Games[[#This Row],[DaysOff]]</f>
        <v>-1</v>
      </c>
      <c r="M336" s="1">
        <f>MAX(-16, MIN(16, Games[[#This Row],[RestDiff]]*8))</f>
        <v>8</v>
      </c>
      <c r="N336" s="1">
        <f>MAX(-16, MIN(16, Games[[#This Row],[OppRestDiff]]*8))</f>
        <v>-8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1362.7275295018051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1570.6204329143814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0.16964191297971395</v>
      </c>
      <c r="R336" s="1">
        <v>52</v>
      </c>
      <c r="S336" s="1">
        <v>66</v>
      </c>
      <c r="T336" s="1">
        <v>0</v>
      </c>
      <c r="U336" s="1">
        <f>Games[[#This Row],[PointsFor]]-Games[[#This Row],[PointsAgainst]]</f>
        <v>-14</v>
      </c>
      <c r="V336" s="1">
        <f>IF(Games[[#This Row],[MOV]]&gt;0,1,IF(Games[[#This Row],[MOV]]=0,0.5,0))</f>
        <v>0</v>
      </c>
      <c r="W336" s="4">
        <f>((ABS(Games[[#This Row],[MOV]])+5)^0.6)/(12+0.01*(ABS(Games[[#This Row],[PreGmRate]]-Games[[#This Row],[OppPreGmRate]])))*IF(Games[[#This Row],[OT]]=1,0.9,1)</f>
        <v>0.41560670049734033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73</v>
      </c>
      <c r="Z336" s="4">
        <f>Games[[#This Row],[K]]*Games[[#This Row],[POMult]]</f>
        <v>73</v>
      </c>
      <c r="AA336" s="4">
        <f>(Games[[#This Row],[Keff]]*Games[[#This Row],[MOVMult]])*(Games[[#This Row],[Result]]-Games[[#This Row],[ExpectedWin%]])</f>
        <v>-5.1468150475275767</v>
      </c>
      <c r="AB336" s="4">
        <f>Games[[#This Row],[PreGmRate]]+Games[[#This Row],[RatingChange]]</f>
        <v>1357.5807144542775</v>
      </c>
      <c r="AC336" s="2">
        <f>IF(Games[[#This Row],[Type]]="R",IF(Games[[#This Row],[Result]]&gt;0.5,1,0),0)</f>
        <v>0</v>
      </c>
      <c r="AD336" s="2">
        <f>IF(Games[[#This Row],[Type]]="R",IF(Games[[#This Row],[Result]]&lt;0.5,1,0),0)</f>
        <v>1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37093</v>
      </c>
      <c r="B337" s="2">
        <v>2001</v>
      </c>
      <c r="C337" s="2">
        <f>COUNTIFS(Games[Team],Games[[#This Row],[Team]],Games[Season],Games[[#This Row],[Season]],Games[Date],"&lt;=" &amp; Games[[#This Row],[Date]])</f>
        <v>22</v>
      </c>
      <c r="D337" s="2" t="s">
        <v>23</v>
      </c>
      <c r="E337" s="2" t="s">
        <v>29</v>
      </c>
      <c r="F337" s="1" t="s">
        <v>45</v>
      </c>
      <c r="G337" s="1" t="s">
        <v>77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7" s="2">
        <f>Games[[#This Row],[DaysOff]]-Games[[#This Row],[OppDaysOff]]</f>
        <v>-1</v>
      </c>
      <c r="L337" s="2">
        <f>Games[[#This Row],[OppDaysOff]]-Games[[#This Row],[DaysOff]]</f>
        <v>1</v>
      </c>
      <c r="M337" s="1">
        <f>MAX(-16, MIN(16, Games[[#This Row],[RestDiff]]*8))</f>
        <v>-8</v>
      </c>
      <c r="N337" s="1">
        <f>MAX(-16, MIN(16, Games[[#This Row],[OppRestDiff]]*8))</f>
        <v>8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1570.6204329143814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1362.7275295018051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0.83035808702028613</v>
      </c>
      <c r="R337" s="1">
        <v>66</v>
      </c>
      <c r="S337" s="1">
        <v>52</v>
      </c>
      <c r="T337" s="1">
        <v>0</v>
      </c>
      <c r="U337" s="1">
        <f>Games[[#This Row],[PointsFor]]-Games[[#This Row],[PointsAgainst]]</f>
        <v>14</v>
      </c>
      <c r="V337" s="1">
        <f>IF(Games[[#This Row],[MOV]]&gt;0,1,IF(Games[[#This Row],[MOV]]=0,0.5,0))</f>
        <v>1</v>
      </c>
      <c r="W337" s="4">
        <f>((ABS(Games[[#This Row],[MOV]])+5)^0.6)/(12+0.01*(ABS(Games[[#This Row],[PreGmRate]]-Games[[#This Row],[OppPreGmRate]])))*IF(Games[[#This Row],[OT]]=1,0.9,1)</f>
        <v>0.41560670049734033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72.7</v>
      </c>
      <c r="Z337" s="4">
        <f>Games[[#This Row],[K]]*Games[[#This Row],[POMult]]</f>
        <v>72.7</v>
      </c>
      <c r="AA337" s="4">
        <f>(Games[[#This Row],[Keff]]*Games[[#This Row],[MOVMult]])*(Games[[#This Row],[Result]]-Games[[#This Row],[ExpectedWin%]])</f>
        <v>5.1256637528117075</v>
      </c>
      <c r="AB337" s="4">
        <f>Games[[#This Row],[PreGmRate]]+Games[[#This Row],[RatingChange]]</f>
        <v>1575.7460966671931</v>
      </c>
      <c r="AC337" s="2">
        <f>IF(Games[[#This Row],[Type]]="R",IF(Games[[#This Row],[Result]]&gt;0.5,1,0),0)</f>
        <v>1</v>
      </c>
      <c r="AD337" s="2">
        <f>IF(Games[[#This Row],[Type]]="R",IF(Games[[#This Row],[Result]]&lt;0.5,1,0),0)</f>
        <v>0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37094</v>
      </c>
      <c r="B338" s="2">
        <v>2001</v>
      </c>
      <c r="C338" s="2">
        <f>COUNTIFS(Games[Team],Games[[#This Row],[Team]],Games[Season],Games[[#This Row],[Season]],Games[Date],"&lt;=" &amp; Games[[#This Row],[Date]])</f>
        <v>22</v>
      </c>
      <c r="D338" s="2" t="s">
        <v>23</v>
      </c>
      <c r="E338" s="2" t="s">
        <v>29</v>
      </c>
      <c r="F338" s="1" t="s">
        <v>83</v>
      </c>
      <c r="G338" s="1" t="s">
        <v>66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8" s="2">
        <f>Games[[#This Row],[DaysOff]]-Games[[#This Row],[OppDaysOff]]</f>
        <v>-1</v>
      </c>
      <c r="L338" s="2">
        <f>Games[[#This Row],[OppDaysOff]]-Games[[#This Row],[DaysOff]]</f>
        <v>1</v>
      </c>
      <c r="M338" s="1">
        <f>MAX(-16, MIN(16, Games[[#This Row],[RestDiff]]*8))</f>
        <v>-8</v>
      </c>
      <c r="N338" s="1">
        <f>MAX(-16, MIN(16, Games[[#This Row],[OppRestDiff]]*8))</f>
        <v>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1522.3749623994622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1618.0399120001966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0.24483754479325651</v>
      </c>
      <c r="R338" s="1">
        <v>68</v>
      </c>
      <c r="S338" s="1">
        <v>52</v>
      </c>
      <c r="T338" s="1">
        <v>0</v>
      </c>
      <c r="U338" s="1">
        <f>Games[[#This Row],[PointsFor]]-Games[[#This Row],[PointsAgainst]]</f>
        <v>16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0.4795554891930543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72.7</v>
      </c>
      <c r="Z338" s="4">
        <f>Games[[#This Row],[K]]*Games[[#This Row],[POMult]]</f>
        <v>72.7</v>
      </c>
      <c r="AA338" s="4">
        <f>(Games[[#This Row],[Keff]]*Games[[#This Row],[MOVMult]])*(Games[[#This Row],[Result]]-Games[[#This Row],[ExpectedWin%]])</f>
        <v>26.327745255575472</v>
      </c>
      <c r="AB338" s="4">
        <f>Games[[#This Row],[PreGmRate]]+Games[[#This Row],[RatingChange]]</f>
        <v>1548.7027076550378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37094</v>
      </c>
      <c r="B339" s="2">
        <v>2001</v>
      </c>
      <c r="C339" s="2">
        <f>COUNTIFS(Games[Team],Games[[#This Row],[Team]],Games[Season],Games[[#This Row],[Season]],Games[Date],"&lt;=" &amp; Games[[#This Row],[Date]])</f>
        <v>23</v>
      </c>
      <c r="D339" s="2" t="s">
        <v>23</v>
      </c>
      <c r="E339" s="2" t="s">
        <v>29</v>
      </c>
      <c r="F339" s="1" t="s">
        <v>66</v>
      </c>
      <c r="G339" s="1" t="s">
        <v>83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9" s="2">
        <f>Games[[#This Row],[DaysOff]]-Games[[#This Row],[OppDaysOff]]</f>
        <v>1</v>
      </c>
      <c r="L339" s="2">
        <f>Games[[#This Row],[OppDaysOff]]-Games[[#This Row],[DaysOff]]</f>
        <v>-1</v>
      </c>
      <c r="M339" s="1">
        <f>MAX(-16, MIN(16, Games[[#This Row],[RestDiff]]*8))</f>
        <v>8</v>
      </c>
      <c r="N339" s="1">
        <f>MAX(-16, MIN(16, Games[[#This Row],[OppRestDiff]]*8))</f>
        <v>-8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1618.0399120001966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1522.3749623994622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0.75516245520674352</v>
      </c>
      <c r="R339" s="1">
        <v>52</v>
      </c>
      <c r="S339" s="1">
        <v>68</v>
      </c>
      <c r="T339" s="1">
        <v>0</v>
      </c>
      <c r="U339" s="1">
        <f>Games[[#This Row],[PointsFor]]-Games[[#This Row],[PointsAgainst]]</f>
        <v>-16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0.4795554891930543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72.55</v>
      </c>
      <c r="Z339" s="4">
        <f>Games[[#This Row],[K]]*Games[[#This Row],[POMult]]</f>
        <v>72.55</v>
      </c>
      <c r="AA339" s="4">
        <f>(Games[[#This Row],[Keff]]*Games[[#This Row],[MOVMult]])*(Games[[#This Row],[Result]]-Games[[#This Row],[ExpectedWin%]])</f>
        <v>-26.273423910481437</v>
      </c>
      <c r="AB339" s="4">
        <f>Games[[#This Row],[PreGmRate]]+Games[[#This Row],[RatingChange]]</f>
        <v>1591.7664880897153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37094</v>
      </c>
      <c r="B340" s="2">
        <v>2001</v>
      </c>
      <c r="C340" s="2">
        <f>COUNTIFS(Games[Team],Games[[#This Row],[Team]],Games[Season],Games[[#This Row],[Season]],Games[Date],"&lt;=" &amp; Games[[#This Row],[Date]])</f>
        <v>21</v>
      </c>
      <c r="D340" s="2" t="s">
        <v>23</v>
      </c>
      <c r="E340" s="2" t="s">
        <v>29</v>
      </c>
      <c r="F340" s="1" t="s">
        <v>77</v>
      </c>
      <c r="G340" s="1" t="s">
        <v>89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0" s="2">
        <f>Games[[#This Row],[DaysOff]]-Games[[#This Row],[OppDaysOff]]</f>
        <v>-1</v>
      </c>
      <c r="L340" s="2">
        <f>Games[[#This Row],[OppDaysOff]]-Games[[#This Row],[DaysOff]]</f>
        <v>1</v>
      </c>
      <c r="M340" s="1">
        <f>MAX(-16, MIN(16, Games[[#This Row],[RestDiff]]*8))</f>
        <v>-8</v>
      </c>
      <c r="N340" s="1">
        <f>MAX(-16, MIN(16, Games[[#This Row],[OppRestDiff]]*8))</f>
        <v>8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1357.5807144542775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1459.0898964907958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0.23867090171892066</v>
      </c>
      <c r="R340" s="1">
        <v>80</v>
      </c>
      <c r="S340" s="1">
        <v>77</v>
      </c>
      <c r="T340" s="1">
        <v>1</v>
      </c>
      <c r="U340" s="1">
        <f>Games[[#This Row],[PointsFor]]-Games[[#This Row],[PointsAgainst]]</f>
        <v>3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0.24079599830115625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72.849999999999994</v>
      </c>
      <c r="Z340" s="4">
        <f>Games[[#This Row],[K]]*Games[[#This Row],[POMult]]</f>
        <v>72.849999999999994</v>
      </c>
      <c r="AA340" s="4">
        <f>(Games[[#This Row],[Keff]]*Games[[#This Row],[MOVMult]])*(Games[[#This Row],[Result]]-Games[[#This Row],[ExpectedWin%]])</f>
        <v>13.3552262686723</v>
      </c>
      <c r="AB340" s="4">
        <f>Games[[#This Row],[PreGmRate]]+Games[[#This Row],[RatingChange]]</f>
        <v>1370.9359407229499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37094</v>
      </c>
      <c r="B341" s="2">
        <v>2001</v>
      </c>
      <c r="C341" s="2">
        <f>COUNTIFS(Games[Team],Games[[#This Row],[Team]],Games[Season],Games[[#This Row],[Season]],Games[Date],"&lt;=" &amp; Games[[#This Row],[Date]])</f>
        <v>21</v>
      </c>
      <c r="D341" s="2" t="s">
        <v>23</v>
      </c>
      <c r="E341" s="2" t="s">
        <v>29</v>
      </c>
      <c r="F341" s="1" t="s">
        <v>89</v>
      </c>
      <c r="G341" s="1" t="s">
        <v>77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1" s="2">
        <f>Games[[#This Row],[DaysOff]]-Games[[#This Row],[OppDaysOff]]</f>
        <v>1</v>
      </c>
      <c r="L341" s="2">
        <f>Games[[#This Row],[OppDaysOff]]-Games[[#This Row],[DaysOff]]</f>
        <v>-1</v>
      </c>
      <c r="M341" s="1">
        <f>MAX(-16, MIN(16, Games[[#This Row],[RestDiff]]*8))</f>
        <v>8</v>
      </c>
      <c r="N341" s="1">
        <f>MAX(-16, MIN(16, Games[[#This Row],[OppRestDiff]]*8))</f>
        <v>-8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1459.0898964907958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1357.5807144542775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0.76132909828107931</v>
      </c>
      <c r="R341" s="1">
        <v>77</v>
      </c>
      <c r="S341" s="1">
        <v>80</v>
      </c>
      <c r="T341" s="1">
        <v>1</v>
      </c>
      <c r="U341" s="1">
        <f>Games[[#This Row],[PointsFor]]-Games[[#This Row],[PointsAgainst]]</f>
        <v>-3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0.24079599830115625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72.849999999999994</v>
      </c>
      <c r="Z341" s="4">
        <f>Games[[#This Row],[K]]*Games[[#This Row],[POMult]]</f>
        <v>72.849999999999994</v>
      </c>
      <c r="AA341" s="4">
        <f>(Games[[#This Row],[Keff]]*Games[[#This Row],[MOVMult]])*(Games[[#This Row],[Result]]-Games[[#This Row],[ExpectedWin%]])</f>
        <v>-13.3552262686723</v>
      </c>
      <c r="AB341" s="4">
        <f>Games[[#This Row],[PreGmRate]]+Games[[#This Row],[RatingChange]]</f>
        <v>1445.7346702221234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37094</v>
      </c>
      <c r="B342" s="2">
        <v>2001</v>
      </c>
      <c r="C342" s="2">
        <f>COUNTIFS(Games[Team],Games[[#This Row],[Team]],Games[Season],Games[[#This Row],[Season]],Games[Date],"&lt;=" &amp; Games[[#This Row],[Date]])</f>
        <v>22</v>
      </c>
      <c r="D342" s="2" t="s">
        <v>23</v>
      </c>
      <c r="E342" s="2" t="s">
        <v>29</v>
      </c>
      <c r="F342" s="1" t="s">
        <v>85</v>
      </c>
      <c r="G342" s="1" t="s">
        <v>75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0</v>
      </c>
      <c r="L342" s="2">
        <f>Games[[#This Row],[OppDaysOff]]-Games[[#This Row],[DaysOff]]</f>
        <v>0</v>
      </c>
      <c r="M342" s="1">
        <f>MAX(-16, MIN(16, Games[[#This Row],[RestDiff]]*8))</f>
        <v>0</v>
      </c>
      <c r="N342" s="1">
        <f>MAX(-16, MIN(16, Games[[#This Row],[OppRestDiff]]*8))</f>
        <v>0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1402.1705880003165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1360.3360684724937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0.4396151691704589</v>
      </c>
      <c r="R342" s="1">
        <v>61</v>
      </c>
      <c r="S342" s="1">
        <v>69</v>
      </c>
      <c r="T342" s="1">
        <v>0</v>
      </c>
      <c r="U342" s="1">
        <f>Games[[#This Row],[PointsFor]]-Games[[#This Row],[PointsAgainst]]</f>
        <v>-8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0.37523408689008225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72.7</v>
      </c>
      <c r="Z342" s="4">
        <f>Games[[#This Row],[K]]*Games[[#This Row],[POMult]]</f>
        <v>72.7</v>
      </c>
      <c r="AA342" s="4">
        <f>(Games[[#This Row],[Keff]]*Games[[#This Row],[MOVMult]])*(Games[[#This Row],[Result]]-Games[[#This Row],[ExpectedWin%]])</f>
        <v>-11.992489971853541</v>
      </c>
      <c r="AB342" s="4">
        <f>Games[[#This Row],[PreGmRate]]+Games[[#This Row],[RatingChange]]</f>
        <v>1390.178098028463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37094</v>
      </c>
      <c r="B343" s="2">
        <v>2001</v>
      </c>
      <c r="C343" s="2">
        <f>COUNTIFS(Games[Team],Games[[#This Row],[Team]],Games[Season],Games[[#This Row],[Season]],Games[Date],"&lt;=" &amp; Games[[#This Row],[Date]])</f>
        <v>20</v>
      </c>
      <c r="D343" s="2" t="s">
        <v>23</v>
      </c>
      <c r="E343" s="2" t="s">
        <v>29</v>
      </c>
      <c r="F343" s="1" t="s">
        <v>75</v>
      </c>
      <c r="G343" s="1" t="s">
        <v>85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0</v>
      </c>
      <c r="L343" s="2">
        <f>Games[[#This Row],[OppDaysOff]]-Games[[#This Row],[DaysOff]]</f>
        <v>0</v>
      </c>
      <c r="M343" s="1">
        <f>MAX(-16, MIN(16, Games[[#This Row],[RestDiff]]*8))</f>
        <v>0</v>
      </c>
      <c r="N343" s="1">
        <f>MAX(-16, MIN(16, Games[[#This Row],[OppRestDiff]]*8))</f>
        <v>0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1360.3360684724937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1402.1705880003165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0.56038483082954116</v>
      </c>
      <c r="R343" s="1">
        <v>69</v>
      </c>
      <c r="S343" s="1">
        <v>61</v>
      </c>
      <c r="T343" s="1">
        <v>0</v>
      </c>
      <c r="U343" s="1">
        <f>Games[[#This Row],[PointsFor]]-Games[[#This Row],[PointsAgainst]]</f>
        <v>8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0.37523408689008225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73</v>
      </c>
      <c r="Z343" s="4">
        <f>Games[[#This Row],[K]]*Games[[#This Row],[POMult]]</f>
        <v>73</v>
      </c>
      <c r="AA343" s="4">
        <f>(Games[[#This Row],[Keff]]*Games[[#This Row],[MOVMult]])*(Games[[#This Row],[Result]]-Games[[#This Row],[ExpectedWin%]])</f>
        <v>12.04197755082955</v>
      </c>
      <c r="AB343" s="4">
        <f>Games[[#This Row],[PreGmRate]]+Games[[#This Row],[RatingChange]]</f>
        <v>1372.3780460233233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37095</v>
      </c>
      <c r="B344" s="2">
        <v>2001</v>
      </c>
      <c r="C344" s="2">
        <f>COUNTIFS(Games[Team],Games[[#This Row],[Team]],Games[Season],Games[[#This Row],[Season]],Games[Date],"&lt;=" &amp; Games[[#This Row],[Date]])</f>
        <v>21</v>
      </c>
      <c r="D344" s="2" t="s">
        <v>23</v>
      </c>
      <c r="E344" s="2" t="s">
        <v>29</v>
      </c>
      <c r="F344" s="1" t="s">
        <v>2</v>
      </c>
      <c r="G344" s="1" t="s">
        <v>80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1</v>
      </c>
      <c r="L344" s="2">
        <f>Games[[#This Row],[OppDaysOff]]-Games[[#This Row],[DaysOff]]</f>
        <v>-1</v>
      </c>
      <c r="M344" s="1">
        <f>MAX(-16, MIN(16, Games[[#This Row],[RestDiff]]*8))</f>
        <v>8</v>
      </c>
      <c r="N344" s="1">
        <f>MAX(-16, MIN(16, Games[[#This Row],[OppRestDiff]]*8))</f>
        <v>-8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1652.8859878097164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1425.6897051724395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0.71430953741985492</v>
      </c>
      <c r="R344" s="1">
        <v>51</v>
      </c>
      <c r="S344" s="1">
        <v>46</v>
      </c>
      <c r="T344" s="1">
        <v>0</v>
      </c>
      <c r="U344" s="1">
        <f>Games[[#This Row],[PointsFor]]-Games[[#This Row],[PointsAgainst]]</f>
        <v>5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0.27894353103123692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72.849999999999994</v>
      </c>
      <c r="Z344" s="4">
        <f>Games[[#This Row],[K]]*Games[[#This Row],[POMult]]</f>
        <v>72.849999999999994</v>
      </c>
      <c r="AA344" s="4">
        <f>(Games[[#This Row],[Keff]]*Games[[#This Row],[MOVMult]])*(Games[[#This Row],[Result]]-Games[[#This Row],[ExpectedWin%]])</f>
        <v>5.8055262422637703</v>
      </c>
      <c r="AB344" s="4">
        <f>Games[[#This Row],[PreGmRate]]+Games[[#This Row],[RatingChange]]</f>
        <v>1658.6915140519802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37095</v>
      </c>
      <c r="B345" s="2">
        <v>2001</v>
      </c>
      <c r="C345" s="2">
        <f>COUNTIFS(Games[Team],Games[[#This Row],[Team]],Games[Season],Games[[#This Row],[Season]],Games[Date],"&lt;=" &amp; Games[[#This Row],[Date]])</f>
        <v>21</v>
      </c>
      <c r="D345" s="2" t="s">
        <v>23</v>
      </c>
      <c r="E345" s="2" t="s">
        <v>29</v>
      </c>
      <c r="F345" s="1" t="s">
        <v>80</v>
      </c>
      <c r="G345" s="1" t="s">
        <v>2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5" s="2">
        <f>Games[[#This Row],[DaysOff]]-Games[[#This Row],[OppDaysOff]]</f>
        <v>-1</v>
      </c>
      <c r="L345" s="2">
        <f>Games[[#This Row],[OppDaysOff]]-Games[[#This Row],[DaysOff]]</f>
        <v>1</v>
      </c>
      <c r="M345" s="1">
        <f>MAX(-16, MIN(16, Games[[#This Row],[RestDiff]]*8))</f>
        <v>-8</v>
      </c>
      <c r="N345" s="1">
        <f>MAX(-16, MIN(16, Games[[#This Row],[OppRestDiff]]*8))</f>
        <v>8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1425.6897051724395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1652.8859878097164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0.28569046258014513</v>
      </c>
      <c r="R345" s="1">
        <v>46</v>
      </c>
      <c r="S345" s="1">
        <v>51</v>
      </c>
      <c r="T345" s="1">
        <v>0</v>
      </c>
      <c r="U345" s="1">
        <f>Games[[#This Row],[PointsFor]]-Games[[#This Row],[PointsAgainst]]</f>
        <v>-5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0.27894353103123692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72.849999999999994</v>
      </c>
      <c r="Z345" s="4">
        <f>Games[[#This Row],[K]]*Games[[#This Row],[POMult]]</f>
        <v>72.849999999999994</v>
      </c>
      <c r="AA345" s="4">
        <f>(Games[[#This Row],[Keff]]*Games[[#This Row],[MOVMult]])*(Games[[#This Row],[Result]]-Games[[#This Row],[ExpectedWin%]])</f>
        <v>-5.8055262422637712</v>
      </c>
      <c r="AB345" s="4">
        <f>Games[[#This Row],[PreGmRate]]+Games[[#This Row],[RatingChange]]</f>
        <v>1419.8841789301757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37096</v>
      </c>
      <c r="B346" s="2">
        <v>2001</v>
      </c>
      <c r="C346" s="2">
        <f>COUNTIFS(Games[Team],Games[[#This Row],[Team]],Games[Season],Games[[#This Row],[Season]],Games[Date],"&lt;=" &amp; Games[[#This Row],[Date]])</f>
        <v>23</v>
      </c>
      <c r="D346" s="2" t="s">
        <v>23</v>
      </c>
      <c r="E346" s="2" t="s">
        <v>29</v>
      </c>
      <c r="F346" s="1" t="s">
        <v>85</v>
      </c>
      <c r="G346" s="1" t="s">
        <v>64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6" s="2">
        <f>Games[[#This Row],[DaysOff]]-Games[[#This Row],[OppDaysOff]]</f>
        <v>-1</v>
      </c>
      <c r="L346" s="2">
        <f>Games[[#This Row],[OppDaysOff]]-Games[[#This Row],[DaysOff]]</f>
        <v>1</v>
      </c>
      <c r="M346" s="1">
        <f>MAX(-16, MIN(16, Games[[#This Row],[RestDiff]]*8))</f>
        <v>-8</v>
      </c>
      <c r="N346" s="1">
        <f>MAX(-16, MIN(16, Games[[#This Row],[OppRestDiff]]*8))</f>
        <v>8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1390.178098028463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1445.9758535029659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0.28969949339202683</v>
      </c>
      <c r="R346" s="1">
        <v>66</v>
      </c>
      <c r="S346" s="1">
        <v>75</v>
      </c>
      <c r="T346" s="1">
        <v>0</v>
      </c>
      <c r="U346" s="1">
        <f>Games[[#This Row],[PointsFor]]-Games[[#This Row],[PointsAgainst]]</f>
        <v>-9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0.38793335188962486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72.55</v>
      </c>
      <c r="Z346" s="4">
        <f>Games[[#This Row],[K]]*Games[[#This Row],[POMult]]</f>
        <v>72.55</v>
      </c>
      <c r="AA346" s="4">
        <f>(Games[[#This Row],[Keff]]*Games[[#This Row],[MOVMult]])*(Games[[#This Row],[Result]]-Games[[#This Row],[ExpectedWin%]])</f>
        <v>-8.1534661294170157</v>
      </c>
      <c r="AB346" s="4">
        <f>Games[[#This Row],[PreGmRate]]+Games[[#This Row],[RatingChange]]</f>
        <v>1382.024631899046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37096</v>
      </c>
      <c r="B347" s="2">
        <v>2001</v>
      </c>
      <c r="C347" s="2">
        <f>COUNTIFS(Games[Team],Games[[#This Row],[Team]],Games[Season],Games[[#This Row],[Season]],Games[Date],"&lt;=" &amp; Games[[#This Row],[Date]])</f>
        <v>23</v>
      </c>
      <c r="D347" s="2" t="s">
        <v>23</v>
      </c>
      <c r="E347" s="2" t="s">
        <v>29</v>
      </c>
      <c r="F347" s="1" t="s">
        <v>64</v>
      </c>
      <c r="G347" s="1" t="s">
        <v>85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1</v>
      </c>
      <c r="L347" s="2">
        <f>Games[[#This Row],[OppDaysOff]]-Games[[#This Row],[DaysOff]]</f>
        <v>-1</v>
      </c>
      <c r="M347" s="1">
        <f>MAX(-16, MIN(16, Games[[#This Row],[RestDiff]]*8))</f>
        <v>8</v>
      </c>
      <c r="N347" s="1">
        <f>MAX(-16, MIN(16, Games[[#This Row],[OppRestDiff]]*8))</f>
        <v>-8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1445.9758535029659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1390.178098028463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0.71030050660797317</v>
      </c>
      <c r="R347" s="1">
        <v>75</v>
      </c>
      <c r="S347" s="1">
        <v>66</v>
      </c>
      <c r="T347" s="1">
        <v>0</v>
      </c>
      <c r="U347" s="1">
        <f>Games[[#This Row],[PointsFor]]-Games[[#This Row],[PointsAgainst]]</f>
        <v>9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0.38793335188962486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72.55</v>
      </c>
      <c r="Z347" s="4">
        <f>Games[[#This Row],[K]]*Games[[#This Row],[POMult]]</f>
        <v>72.55</v>
      </c>
      <c r="AA347" s="4">
        <f>(Games[[#This Row],[Keff]]*Games[[#This Row],[MOVMult]])*(Games[[#This Row],[Result]]-Games[[#This Row],[ExpectedWin%]])</f>
        <v>8.1534661294170157</v>
      </c>
      <c r="AB347" s="4">
        <f>Games[[#This Row],[PreGmRate]]+Games[[#This Row],[RatingChange]]</f>
        <v>1454.1293196323829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37096</v>
      </c>
      <c r="B348" s="2">
        <v>2001</v>
      </c>
      <c r="C348" s="2">
        <f>COUNTIFS(Games[Team],Games[[#This Row],[Team]],Games[Season],Games[[#This Row],[Season]],Games[Date],"&lt;=" &amp; Games[[#This Row],[Date]])</f>
        <v>21</v>
      </c>
      <c r="D348" s="2" t="s">
        <v>23</v>
      </c>
      <c r="E348" s="2" t="s">
        <v>29</v>
      </c>
      <c r="F348" s="1" t="s">
        <v>43</v>
      </c>
      <c r="G348" s="1" t="s">
        <v>2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8" s="2">
        <f>Games[[#This Row],[DaysOff]]-Games[[#This Row],[OppDaysOff]]</f>
        <v>2</v>
      </c>
      <c r="L348" s="2">
        <f>Games[[#This Row],[OppDaysOff]]-Games[[#This Row],[DaysOff]]</f>
        <v>-2</v>
      </c>
      <c r="M348" s="1">
        <f>MAX(-16, MIN(16, Games[[#This Row],[RestDiff]]*8))</f>
        <v>16</v>
      </c>
      <c r="N348" s="1">
        <f>MAX(-16, MIN(16, Games[[#This Row],[OppRestDiff]]*8))</f>
        <v>-16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1483.9258904387768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1658.6915140519802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0.21326300083383765</v>
      </c>
      <c r="R348" s="1">
        <v>76</v>
      </c>
      <c r="S348" s="1">
        <v>67</v>
      </c>
      <c r="T348" s="1">
        <v>0</v>
      </c>
      <c r="U348" s="1">
        <f>Games[[#This Row],[PointsFor]]-Games[[#This Row],[PointsAgainst]]</f>
        <v>9</v>
      </c>
      <c r="V348" s="1">
        <f>IF(Games[[#This Row],[MOV]]&gt;0,1,IF(Games[[#This Row],[MOV]]=0,0.5,0))</f>
        <v>1</v>
      </c>
      <c r="W348" s="4">
        <f>((ABS(Games[[#This Row],[MOV]])+5)^0.6)/(12+0.01*(ABS(Games[[#This Row],[PreGmRate]]-Games[[#This Row],[OppPreGmRate]])))*IF(Games[[#This Row],[OT]]=1,0.9,1)</f>
        <v>0.35436282680411113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72.849999999999994</v>
      </c>
      <c r="Z348" s="4">
        <f>Games[[#This Row],[K]]*Games[[#This Row],[POMult]]</f>
        <v>72.849999999999994</v>
      </c>
      <c r="AA348" s="4">
        <f>(Games[[#This Row],[Keff]]*Games[[#This Row],[MOVMult]])*(Games[[#This Row],[Result]]-Games[[#This Row],[ExpectedWin%]])</f>
        <v>20.309876777194674</v>
      </c>
      <c r="AB348" s="4">
        <f>Games[[#This Row],[PreGmRate]]+Games[[#This Row],[RatingChange]]</f>
        <v>1504.2357672159715</v>
      </c>
      <c r="AC348" s="2">
        <f>IF(Games[[#This Row],[Type]]="R",IF(Games[[#This Row],[Result]]&gt;0.5,1,0),0)</f>
        <v>1</v>
      </c>
      <c r="AD348" s="2">
        <f>IF(Games[[#This Row],[Type]]="R",IF(Games[[#This Row],[Result]]&lt;0.5,1,0),0)</f>
        <v>0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37096</v>
      </c>
      <c r="B349" s="2">
        <v>2001</v>
      </c>
      <c r="C349" s="2">
        <f>COUNTIFS(Games[Team],Games[[#This Row],[Team]],Games[Season],Games[[#This Row],[Season]],Games[Date],"&lt;=" &amp; Games[[#This Row],[Date]])</f>
        <v>22</v>
      </c>
      <c r="D349" s="2" t="s">
        <v>23</v>
      </c>
      <c r="E349" s="2" t="s">
        <v>29</v>
      </c>
      <c r="F349" s="1" t="s">
        <v>2</v>
      </c>
      <c r="G349" s="1" t="s">
        <v>43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9" s="2">
        <f>Games[[#This Row],[DaysOff]]-Games[[#This Row],[OppDaysOff]]</f>
        <v>-2</v>
      </c>
      <c r="L349" s="2">
        <f>Games[[#This Row],[OppDaysOff]]-Games[[#This Row],[DaysOff]]</f>
        <v>2</v>
      </c>
      <c r="M349" s="1">
        <f>MAX(-16, MIN(16, Games[[#This Row],[RestDiff]]*8))</f>
        <v>-16</v>
      </c>
      <c r="N349" s="1">
        <f>MAX(-16, MIN(16, Games[[#This Row],[OppRestDiff]]*8))</f>
        <v>16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1658.6915140519802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1483.9258904387768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0.78673699916616235</v>
      </c>
      <c r="R349" s="1">
        <v>67</v>
      </c>
      <c r="S349" s="1">
        <v>76</v>
      </c>
      <c r="T349" s="1">
        <v>0</v>
      </c>
      <c r="U349" s="1">
        <f>Games[[#This Row],[PointsFor]]-Games[[#This Row],[PointsAgainst]]</f>
        <v>-9</v>
      </c>
      <c r="V349" s="1">
        <f>IF(Games[[#This Row],[MOV]]&gt;0,1,IF(Games[[#This Row],[MOV]]=0,0.5,0))</f>
        <v>0</v>
      </c>
      <c r="W349" s="4">
        <f>((ABS(Games[[#This Row],[MOV]])+5)^0.6)/(12+0.01*(ABS(Games[[#This Row],[PreGmRate]]-Games[[#This Row],[OppPreGmRate]])))*IF(Games[[#This Row],[OT]]=1,0.9,1)</f>
        <v>0.35436282680411113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72.7</v>
      </c>
      <c r="Z349" s="4">
        <f>Games[[#This Row],[K]]*Games[[#This Row],[POMult]]</f>
        <v>72.7</v>
      </c>
      <c r="AA349" s="4">
        <f>(Games[[#This Row],[Keff]]*Games[[#This Row],[MOVMult]])*(Games[[#This Row],[Result]]-Games[[#This Row],[ExpectedWin%]])</f>
        <v>-20.268058225148287</v>
      </c>
      <c r="AB349" s="4">
        <f>Games[[#This Row],[PreGmRate]]+Games[[#This Row],[RatingChange]]</f>
        <v>1638.423455826832</v>
      </c>
      <c r="AC349" s="2">
        <f>IF(Games[[#This Row],[Type]]="R",IF(Games[[#This Row],[Result]]&gt;0.5,1,0),0)</f>
        <v>0</v>
      </c>
      <c r="AD349" s="2">
        <f>IF(Games[[#This Row],[Type]]="R",IF(Games[[#This Row],[Result]]&lt;0.5,1,0),0)</f>
        <v>1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37096</v>
      </c>
      <c r="B350" s="2">
        <v>2001</v>
      </c>
      <c r="C350" s="2">
        <f>COUNTIFS(Games[Team],Games[[#This Row],[Team]],Games[Season],Games[[#This Row],[Season]],Games[Date],"&lt;=" &amp; Games[[#This Row],[Date]])</f>
        <v>21</v>
      </c>
      <c r="D350" s="2" t="s">
        <v>23</v>
      </c>
      <c r="E350" s="2" t="s">
        <v>29</v>
      </c>
      <c r="F350" s="1" t="s">
        <v>75</v>
      </c>
      <c r="G350" s="1" t="s">
        <v>79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0" s="2">
        <f>Games[[#This Row],[DaysOff]]-Games[[#This Row],[OppDaysOff]]</f>
        <v>-1</v>
      </c>
      <c r="L350" s="2">
        <f>Games[[#This Row],[OppDaysOff]]-Games[[#This Row],[DaysOff]]</f>
        <v>1</v>
      </c>
      <c r="M350" s="1">
        <f>MAX(-16, MIN(16, Games[[#This Row],[RestDiff]]*8))</f>
        <v>-8</v>
      </c>
      <c r="N350" s="1">
        <f>MAX(-16, MIN(16, Games[[#This Row],[OppRestDiff]]*8))</f>
        <v>8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1372.3780460233233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1453.1119436587969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0.26107514636431256</v>
      </c>
      <c r="R350" s="1">
        <v>63</v>
      </c>
      <c r="S350" s="1">
        <v>71</v>
      </c>
      <c r="T350" s="1">
        <v>0</v>
      </c>
      <c r="U350" s="1">
        <f>Games[[#This Row],[PointsFor]]-Games[[#This Row],[PointsAgainst]]</f>
        <v>-8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0.36383720526481678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72.849999999999994</v>
      </c>
      <c r="Z350" s="4">
        <f>Games[[#This Row],[K]]*Games[[#This Row],[POMult]]</f>
        <v>72.849999999999994</v>
      </c>
      <c r="AA350" s="4">
        <f>(Games[[#This Row],[Keff]]*Games[[#This Row],[MOVMult]])*(Games[[#This Row],[Result]]-Games[[#This Row],[ExpectedWin%]])</f>
        <v>-6.9199378403199017</v>
      </c>
      <c r="AB350" s="4">
        <f>Games[[#This Row],[PreGmRate]]+Games[[#This Row],[RatingChange]]</f>
        <v>1365.4581081830036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37096</v>
      </c>
      <c r="B351" s="2">
        <v>2001</v>
      </c>
      <c r="C351" s="2">
        <f>COUNTIFS(Games[Team],Games[[#This Row],[Team]],Games[Season],Games[[#This Row],[Season]],Games[Date],"&lt;=" &amp; Games[[#This Row],[Date]])</f>
        <v>22</v>
      </c>
      <c r="D351" s="2" t="s">
        <v>23</v>
      </c>
      <c r="E351" s="2" t="s">
        <v>29</v>
      </c>
      <c r="F351" s="1" t="s">
        <v>79</v>
      </c>
      <c r="G351" s="1" t="s">
        <v>75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1</v>
      </c>
      <c r="L351" s="2">
        <f>Games[[#This Row],[OppDaysOff]]-Games[[#This Row],[DaysOff]]</f>
        <v>-1</v>
      </c>
      <c r="M351" s="1">
        <f>MAX(-16, MIN(16, Games[[#This Row],[RestDiff]]*8))</f>
        <v>8</v>
      </c>
      <c r="N351" s="1">
        <f>MAX(-16, MIN(16, Games[[#This Row],[OppRestDiff]]*8))</f>
        <v>-8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1453.1119436587969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1372.3780460233233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0.7389248536356875</v>
      </c>
      <c r="R351" s="1">
        <v>71</v>
      </c>
      <c r="S351" s="1">
        <v>63</v>
      </c>
      <c r="T351" s="1">
        <v>0</v>
      </c>
      <c r="U351" s="1">
        <f>Games[[#This Row],[PointsFor]]-Games[[#This Row],[PointsAgainst]]</f>
        <v>8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0.36383720526481678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72.7</v>
      </c>
      <c r="Z351" s="4">
        <f>Games[[#This Row],[K]]*Games[[#This Row],[POMult]]</f>
        <v>72.7</v>
      </c>
      <c r="AA351" s="4">
        <f>(Games[[#This Row],[Keff]]*Games[[#This Row],[MOVMult]])*(Games[[#This Row],[Result]]-Games[[#This Row],[ExpectedWin%]])</f>
        <v>6.9056895125773066</v>
      </c>
      <c r="AB351" s="4">
        <f>Games[[#This Row],[PreGmRate]]+Games[[#This Row],[RatingChange]]</f>
        <v>1460.0176331713742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37096</v>
      </c>
      <c r="B352" s="2">
        <v>2001</v>
      </c>
      <c r="C352" s="2">
        <f>COUNTIFS(Games[Team],Games[[#This Row],[Team]],Games[Season],Games[[#This Row],[Season]],Games[Date],"&lt;=" &amp; Games[[#This Row],[Date]])</f>
        <v>24</v>
      </c>
      <c r="D352" s="2" t="s">
        <v>23</v>
      </c>
      <c r="E352" s="2" t="s">
        <v>29</v>
      </c>
      <c r="F352" s="1" t="s">
        <v>66</v>
      </c>
      <c r="G352" s="1" t="s">
        <v>89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0</v>
      </c>
      <c r="L352" s="2">
        <f>Games[[#This Row],[OppDaysOff]]-Games[[#This Row],[DaysOff]]</f>
        <v>0</v>
      </c>
      <c r="M352" s="1">
        <f>MAX(-16, MIN(16, Games[[#This Row],[RestDiff]]*8))</f>
        <v>0</v>
      </c>
      <c r="N352" s="1">
        <f>MAX(-16, MIN(16, Games[[#This Row],[OppRestDiff]]*8))</f>
        <v>0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1591.7664880897153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1445.7346702221234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0.5883343329966213</v>
      </c>
      <c r="R352" s="1">
        <v>68</v>
      </c>
      <c r="S352" s="1">
        <v>86</v>
      </c>
      <c r="T352" s="1">
        <v>0</v>
      </c>
      <c r="U352" s="1">
        <f>Games[[#This Row],[PointsFor]]-Games[[#This Row],[PointsAgainst]]</f>
        <v>-18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0.48750758328369281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72.400000000000006</v>
      </c>
      <c r="Z352" s="4">
        <f>Games[[#This Row],[K]]*Games[[#This Row],[POMult]]</f>
        <v>72.400000000000006</v>
      </c>
      <c r="AA352" s="4">
        <f>(Games[[#This Row],[Keff]]*Games[[#This Row],[MOVMult]])*(Games[[#This Row],[Result]]-Games[[#This Row],[ExpectedWin%]])</f>
        <v>-20.765583296161253</v>
      </c>
      <c r="AB352" s="4">
        <f>Games[[#This Row],[PreGmRate]]+Games[[#This Row],[RatingChange]]</f>
        <v>1571.0009047935541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37096</v>
      </c>
      <c r="B353" s="2">
        <v>2001</v>
      </c>
      <c r="C353" s="2">
        <f>COUNTIFS(Games[Team],Games[[#This Row],[Team]],Games[Season],Games[[#This Row],[Season]],Games[Date],"&lt;=" &amp; Games[[#This Row],[Date]])</f>
        <v>22</v>
      </c>
      <c r="D353" s="2" t="s">
        <v>23</v>
      </c>
      <c r="E353" s="2" t="s">
        <v>29</v>
      </c>
      <c r="F353" s="1" t="s">
        <v>89</v>
      </c>
      <c r="G353" s="1" t="s">
        <v>66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0</v>
      </c>
      <c r="L353" s="2">
        <f>Games[[#This Row],[OppDaysOff]]-Games[[#This Row],[DaysOff]]</f>
        <v>0</v>
      </c>
      <c r="M353" s="1">
        <f>MAX(-16, MIN(16, Games[[#This Row],[RestDiff]]*8))</f>
        <v>0</v>
      </c>
      <c r="N353" s="1">
        <f>MAX(-16, MIN(16, Games[[#This Row],[OppRestDiff]]*8))</f>
        <v>0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1445.7346702221234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1591.7664880897153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0.4116656670033787</v>
      </c>
      <c r="R353" s="1">
        <v>86</v>
      </c>
      <c r="S353" s="1">
        <v>68</v>
      </c>
      <c r="T353" s="1">
        <v>0</v>
      </c>
      <c r="U353" s="1">
        <f>Games[[#This Row],[PointsFor]]-Games[[#This Row],[PointsAgainst]]</f>
        <v>18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0.48750758328369281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72.7</v>
      </c>
      <c r="Z353" s="4">
        <f>Games[[#This Row],[K]]*Games[[#This Row],[POMult]]</f>
        <v>72.7</v>
      </c>
      <c r="AA353" s="4">
        <f>(Games[[#This Row],[Keff]]*Games[[#This Row],[MOVMult]])*(Games[[#This Row],[Result]]-Games[[#This Row],[ExpectedWin%]])</f>
        <v>20.851628530813855</v>
      </c>
      <c r="AB353" s="4">
        <f>Games[[#This Row],[PreGmRate]]+Games[[#This Row],[RatingChange]]</f>
        <v>1466.5862987529372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37096</v>
      </c>
      <c r="B354" s="2">
        <v>2001</v>
      </c>
      <c r="C354" s="2">
        <f>COUNTIFS(Games[Team],Games[[#This Row],[Team]],Games[Season],Games[[#This Row],[Season]],Games[Date],"&lt;=" &amp; Games[[#This Row],[Date]])</f>
        <v>22</v>
      </c>
      <c r="D354" s="2" t="s">
        <v>23</v>
      </c>
      <c r="E354" s="2" t="s">
        <v>29</v>
      </c>
      <c r="F354" s="1" t="s">
        <v>77</v>
      </c>
      <c r="G354" s="1" t="s">
        <v>87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1370.9359407229499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1383.1524346475971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0.34389824766234384</v>
      </c>
      <c r="R354" s="1">
        <v>69</v>
      </c>
      <c r="S354" s="1">
        <v>74</v>
      </c>
      <c r="T354" s="1">
        <v>1</v>
      </c>
      <c r="U354" s="1">
        <f>Games[[#This Row],[PointsFor]]-Games[[#This Row],[PointsAgainst]]</f>
        <v>-5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0.29557134001545737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72.7</v>
      </c>
      <c r="Z354" s="4">
        <f>Games[[#This Row],[K]]*Games[[#This Row],[POMult]]</f>
        <v>72.7</v>
      </c>
      <c r="AA354" s="4">
        <f>(Games[[#This Row],[Keff]]*Games[[#This Row],[MOVMult]])*(Games[[#This Row],[Result]]-Games[[#This Row],[ExpectedWin%]])</f>
        <v>-7.389698070241284</v>
      </c>
      <c r="AB354" s="4">
        <f>Games[[#This Row],[PreGmRate]]+Games[[#This Row],[RatingChange]]</f>
        <v>1363.5462426527085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37096</v>
      </c>
      <c r="B355" s="2">
        <v>2001</v>
      </c>
      <c r="C355" s="2">
        <f>COUNTIFS(Games[Team],Games[[#This Row],[Team]],Games[Season],Games[[#This Row],[Season]],Games[Date],"&lt;=" &amp; Games[[#This Row],[Date]])</f>
        <v>24</v>
      </c>
      <c r="D355" s="2" t="s">
        <v>23</v>
      </c>
      <c r="E355" s="2" t="s">
        <v>29</v>
      </c>
      <c r="F355" s="1" t="s">
        <v>87</v>
      </c>
      <c r="G355" s="1" t="s">
        <v>77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1383.1524346475971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1370.9359407229499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0.65610175233765622</v>
      </c>
      <c r="R355" s="1">
        <v>74</v>
      </c>
      <c r="S355" s="1">
        <v>69</v>
      </c>
      <c r="T355" s="1">
        <v>1</v>
      </c>
      <c r="U355" s="1">
        <f>Games[[#This Row],[PointsFor]]-Games[[#This Row],[PointsAgainst]]</f>
        <v>5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0.29557134001545737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72.400000000000006</v>
      </c>
      <c r="Z355" s="4">
        <f>Games[[#This Row],[K]]*Games[[#This Row],[POMult]]</f>
        <v>72.400000000000006</v>
      </c>
      <c r="AA355" s="4">
        <f>(Games[[#This Row],[Keff]]*Games[[#This Row],[MOVMult]])*(Games[[#This Row],[Result]]-Games[[#This Row],[ExpectedWin%]])</f>
        <v>7.3592041304741258</v>
      </c>
      <c r="AB355" s="4">
        <f>Games[[#This Row],[PreGmRate]]+Games[[#This Row],[RatingChange]]</f>
        <v>1390.5116387780713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37097</v>
      </c>
      <c r="B356" s="2">
        <v>2001</v>
      </c>
      <c r="C356" s="2">
        <f>COUNTIFS(Games[Team],Games[[#This Row],[Team]],Games[Season],Games[[#This Row],[Season]],Games[Date],"&lt;=" &amp; Games[[#This Row],[Date]])</f>
        <v>23</v>
      </c>
      <c r="D356" s="2" t="s">
        <v>23</v>
      </c>
      <c r="E356" s="2" t="s">
        <v>29</v>
      </c>
      <c r="F356" s="1" t="s">
        <v>83</v>
      </c>
      <c r="G356" s="1" t="s">
        <v>1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6" s="2">
        <f>Games[[#This Row],[DaysOff]]-Games[[#This Row],[OppDaysOff]]</f>
        <v>-1</v>
      </c>
      <c r="L356" s="2">
        <f>Games[[#This Row],[OppDaysOff]]-Games[[#This Row],[DaysOff]]</f>
        <v>1</v>
      </c>
      <c r="M356" s="1">
        <f>MAX(-16, MIN(16, Games[[#This Row],[RestDiff]]*8))</f>
        <v>-8</v>
      </c>
      <c r="N356" s="1">
        <f>MAX(-16, MIN(16, Games[[#This Row],[OppRestDiff]]*8))</f>
        <v>8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1548.7027076550378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1653.294800777076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0.23546117709158418</v>
      </c>
      <c r="R356" s="1">
        <v>48</v>
      </c>
      <c r="S356" s="1">
        <v>52</v>
      </c>
      <c r="T356" s="1">
        <v>1</v>
      </c>
      <c r="U356" s="1">
        <f>Games[[#This Row],[PointsFor]]-Games[[#This Row],[PointsAgainst]]</f>
        <v>-4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0.25781802256004172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72.55</v>
      </c>
      <c r="Z356" s="4">
        <f>Games[[#This Row],[K]]*Games[[#This Row],[POMult]]</f>
        <v>72.55</v>
      </c>
      <c r="AA356" s="4">
        <f>(Games[[#This Row],[Keff]]*Games[[#This Row],[MOVMult]])*(Games[[#This Row],[Result]]-Games[[#This Row],[ExpectedWin%]])</f>
        <v>-4.4042300991407419</v>
      </c>
      <c r="AB356" s="4">
        <f>Games[[#This Row],[PreGmRate]]+Games[[#This Row],[RatingChange]]</f>
        <v>1544.2984775558971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37097</v>
      </c>
      <c r="B357" s="2">
        <v>2001</v>
      </c>
      <c r="C357" s="2">
        <f>COUNTIFS(Games[Team],Games[[#This Row],[Team]],Games[Season],Games[[#This Row],[Season]],Games[Date],"&lt;=" &amp; Games[[#This Row],[Date]])</f>
        <v>23</v>
      </c>
      <c r="D357" s="2" t="s">
        <v>23</v>
      </c>
      <c r="E357" s="2" t="s">
        <v>29</v>
      </c>
      <c r="F357" s="1" t="s">
        <v>1</v>
      </c>
      <c r="G357" s="1" t="s">
        <v>83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7" s="2">
        <f>Games[[#This Row],[DaysOff]]-Games[[#This Row],[OppDaysOff]]</f>
        <v>1</v>
      </c>
      <c r="L357" s="2">
        <f>Games[[#This Row],[OppDaysOff]]-Games[[#This Row],[DaysOff]]</f>
        <v>-1</v>
      </c>
      <c r="M357" s="1">
        <f>MAX(-16, MIN(16, Games[[#This Row],[RestDiff]]*8))</f>
        <v>8</v>
      </c>
      <c r="N357" s="1">
        <f>MAX(-16, MIN(16, Games[[#This Row],[OppRestDiff]]*8))</f>
        <v>-8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1653.294800777076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1548.7027076550378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0.7645388229084159</v>
      </c>
      <c r="R357" s="1">
        <v>52</v>
      </c>
      <c r="S357" s="1">
        <v>48</v>
      </c>
      <c r="T357" s="1">
        <v>1</v>
      </c>
      <c r="U357" s="1">
        <f>Games[[#This Row],[PointsFor]]-Games[[#This Row],[PointsAgainst]]</f>
        <v>4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0.25781802256004172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72.55</v>
      </c>
      <c r="Z357" s="4">
        <f>Games[[#This Row],[K]]*Games[[#This Row],[POMult]]</f>
        <v>72.55</v>
      </c>
      <c r="AA357" s="4">
        <f>(Games[[#This Row],[Keff]]*Games[[#This Row],[MOVMult]])*(Games[[#This Row],[Result]]-Games[[#This Row],[ExpectedWin%]])</f>
        <v>4.404230099140741</v>
      </c>
      <c r="AB357" s="4">
        <f>Games[[#This Row],[PreGmRate]]+Games[[#This Row],[RatingChange]]</f>
        <v>1657.6990308762167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37097</v>
      </c>
      <c r="B358" s="2">
        <v>2001</v>
      </c>
      <c r="C358" s="2">
        <f>COUNTIFS(Games[Team],Games[[#This Row],[Team]],Games[Season],Games[[#This Row],[Season]],Games[Date],"&lt;=" &amp; Games[[#This Row],[Date]])</f>
        <v>23</v>
      </c>
      <c r="D358" s="2" t="s">
        <v>23</v>
      </c>
      <c r="E358" s="2" t="s">
        <v>29</v>
      </c>
      <c r="F358" s="1" t="s">
        <v>45</v>
      </c>
      <c r="G358" s="1" t="s">
        <v>71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8" s="2">
        <f>Games[[#This Row],[DaysOff]]-Games[[#This Row],[OppDaysOff]]</f>
        <v>0</v>
      </c>
      <c r="L358" s="2">
        <f>Games[[#This Row],[OppDaysOff]]-Games[[#This Row],[DaysOff]]</f>
        <v>0</v>
      </c>
      <c r="M358" s="1">
        <f>MAX(-16, MIN(16, Games[[#This Row],[RestDiff]]*8))</f>
        <v>0</v>
      </c>
      <c r="N358" s="1">
        <f>MAX(-16, MIN(16, Games[[#This Row],[OppRestDiff]]*8))</f>
        <v>0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1575.7460966671931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1714.8006550943858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0.21686921224919289</v>
      </c>
      <c r="R358" s="1">
        <v>78</v>
      </c>
      <c r="S358" s="1">
        <v>80</v>
      </c>
      <c r="T358" s="1">
        <v>0</v>
      </c>
      <c r="U358" s="1">
        <f>Games[[#This Row],[PointsFor]]-Games[[#This Row],[PointsAgainst]]</f>
        <v>-2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0.24002725127878319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72.55</v>
      </c>
      <c r="Z358" s="4">
        <f>Games[[#This Row],[K]]*Games[[#This Row],[POMult]]</f>
        <v>72.55</v>
      </c>
      <c r="AA358" s="4">
        <f>(Games[[#This Row],[Keff]]*Games[[#This Row],[MOVMult]])*(Games[[#This Row],[Result]]-Games[[#This Row],[ExpectedWin%]])</f>
        <v>-3.7765554915248956</v>
      </c>
      <c r="AB358" s="4">
        <f>Games[[#This Row],[PreGmRate]]+Games[[#This Row],[RatingChange]]</f>
        <v>1571.9695411756682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37097</v>
      </c>
      <c r="B359" s="2">
        <v>2001</v>
      </c>
      <c r="C359" s="2">
        <f>COUNTIFS(Games[Team],Games[[#This Row],[Team]],Games[Season],Games[[#This Row],[Season]],Games[Date],"&lt;=" &amp; Games[[#This Row],[Date]])</f>
        <v>23</v>
      </c>
      <c r="D359" s="2" t="s">
        <v>23</v>
      </c>
      <c r="E359" s="2" t="s">
        <v>29</v>
      </c>
      <c r="F359" s="1" t="s">
        <v>71</v>
      </c>
      <c r="G359" s="1" t="s">
        <v>45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9" s="2">
        <f>Games[[#This Row],[DaysOff]]-Games[[#This Row],[OppDaysOff]]</f>
        <v>0</v>
      </c>
      <c r="L359" s="2">
        <f>Games[[#This Row],[OppDaysOff]]-Games[[#This Row],[DaysOff]]</f>
        <v>0</v>
      </c>
      <c r="M359" s="1">
        <f>MAX(-16, MIN(16, Games[[#This Row],[RestDiff]]*8))</f>
        <v>0</v>
      </c>
      <c r="N359" s="1">
        <f>MAX(-16, MIN(16, Games[[#This Row],[OppRestDiff]]*8))</f>
        <v>0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1714.8006550943858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1575.7460966671931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0.78313078775080713</v>
      </c>
      <c r="R359" s="1">
        <v>80</v>
      </c>
      <c r="S359" s="1">
        <v>78</v>
      </c>
      <c r="T359" s="1">
        <v>0</v>
      </c>
      <c r="U359" s="1">
        <f>Games[[#This Row],[PointsFor]]-Games[[#This Row],[PointsAgainst]]</f>
        <v>2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0.24002725127878319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72.55</v>
      </c>
      <c r="Z359" s="4">
        <f>Games[[#This Row],[K]]*Games[[#This Row],[POMult]]</f>
        <v>72.55</v>
      </c>
      <c r="AA359" s="4">
        <f>(Games[[#This Row],[Keff]]*Games[[#This Row],[MOVMult]])*(Games[[#This Row],[Result]]-Games[[#This Row],[ExpectedWin%]])</f>
        <v>3.7765554915248951</v>
      </c>
      <c r="AB359" s="4">
        <f>Games[[#This Row],[PreGmRate]]+Games[[#This Row],[RatingChange]]</f>
        <v>1718.5772105859107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37098</v>
      </c>
      <c r="B360" s="2">
        <v>2001</v>
      </c>
      <c r="C360" s="2">
        <f>COUNTIFS(Games[Team],Games[[#This Row],[Team]],Games[Season],Games[[#This Row],[Season]],Games[Date],"&lt;=" &amp; Games[[#This Row],[Date]])</f>
        <v>22</v>
      </c>
      <c r="D360" s="2" t="s">
        <v>23</v>
      </c>
      <c r="E360" s="2" t="s">
        <v>29</v>
      </c>
      <c r="F360" s="1" t="s">
        <v>75</v>
      </c>
      <c r="G360" s="1" t="s">
        <v>64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1365.4581081830036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1454.1293196323829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0.27012757845211</v>
      </c>
      <c r="R360" s="1">
        <v>60</v>
      </c>
      <c r="S360" s="1">
        <v>62</v>
      </c>
      <c r="T360" s="1">
        <v>0</v>
      </c>
      <c r="U360" s="1">
        <f>Games[[#This Row],[PointsFor]]-Games[[#This Row],[PointsAgainst]]</f>
        <v>-2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0.2494116281298096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72.7</v>
      </c>
      <c r="Z360" s="4">
        <f>Games[[#This Row],[K]]*Games[[#This Row],[POMult]]</f>
        <v>72.7</v>
      </c>
      <c r="AA360" s="4">
        <f>(Games[[#This Row],[Keff]]*Games[[#This Row],[MOVMult]])*(Games[[#This Row],[Result]]-Games[[#This Row],[ExpectedWin%]])</f>
        <v>-4.8980141298054134</v>
      </c>
      <c r="AB360" s="4">
        <f>Games[[#This Row],[PreGmRate]]+Games[[#This Row],[RatingChange]]</f>
        <v>1360.5600940531981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37098</v>
      </c>
      <c r="B361" s="2">
        <v>2001</v>
      </c>
      <c r="C361" s="2">
        <f>COUNTIFS(Games[Team],Games[[#This Row],[Team]],Games[Season],Games[[#This Row],[Season]],Games[Date],"&lt;=" &amp; Games[[#This Row],[Date]])</f>
        <v>24</v>
      </c>
      <c r="D361" s="2" t="s">
        <v>23</v>
      </c>
      <c r="E361" s="2" t="s">
        <v>29</v>
      </c>
      <c r="F361" s="1" t="s">
        <v>64</v>
      </c>
      <c r="G361" s="1" t="s">
        <v>75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1454.1293196323829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1365.4581081830036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0.72987242154789</v>
      </c>
      <c r="R361" s="1">
        <v>62</v>
      </c>
      <c r="S361" s="1">
        <v>60</v>
      </c>
      <c r="T361" s="1">
        <v>0</v>
      </c>
      <c r="U361" s="1">
        <f>Games[[#This Row],[PointsFor]]-Games[[#This Row],[PointsAgainst]]</f>
        <v>2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0.2494116281298096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72.400000000000006</v>
      </c>
      <c r="Z361" s="4">
        <f>Games[[#This Row],[K]]*Games[[#This Row],[POMult]]</f>
        <v>72.400000000000006</v>
      </c>
      <c r="AA361" s="4">
        <f>(Games[[#This Row],[Keff]]*Games[[#This Row],[MOVMult]])*(Games[[#This Row],[Result]]-Games[[#This Row],[ExpectedWin%]])</f>
        <v>4.8778022420620628</v>
      </c>
      <c r="AB361" s="4">
        <f>Games[[#This Row],[PreGmRate]]+Games[[#This Row],[RatingChange]]</f>
        <v>1459.0071218744449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37098</v>
      </c>
      <c r="B362" s="2">
        <v>2001</v>
      </c>
      <c r="C362" s="2">
        <f>COUNTIFS(Games[Team],Games[[#This Row],[Team]],Games[Season],Games[[#This Row],[Season]],Games[Date],"&lt;=" &amp; Games[[#This Row],[Date]])</f>
        <v>23</v>
      </c>
      <c r="D362" s="2" t="s">
        <v>23</v>
      </c>
      <c r="E362" s="2" t="s">
        <v>29</v>
      </c>
      <c r="F362" s="1" t="s">
        <v>77</v>
      </c>
      <c r="G362" s="1" t="s">
        <v>44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2" s="2">
        <f>Games[[#This Row],[DaysOff]]-Games[[#This Row],[OppDaysOff]]</f>
        <v>-3</v>
      </c>
      <c r="L362" s="2">
        <f>Games[[#This Row],[OppDaysOff]]-Games[[#This Row],[DaysOff]]</f>
        <v>3</v>
      </c>
      <c r="M362" s="1">
        <f>MAX(-16, MIN(16, Games[[#This Row],[RestDiff]]*8))</f>
        <v>-16</v>
      </c>
      <c r="N362" s="1">
        <f>MAX(-16, MIN(16, Games[[#This Row],[OppRestDiff]]*8))</f>
        <v>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1363.5462426527085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1490.0694749245374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0.19843953762727751</v>
      </c>
      <c r="R362" s="1">
        <v>62</v>
      </c>
      <c r="S362" s="1">
        <v>63</v>
      </c>
      <c r="T362" s="1">
        <v>0</v>
      </c>
      <c r="U362" s="1">
        <f>Games[[#This Row],[PointsFor]]-Games[[#This Row],[PointsAgainst]]</f>
        <v>-1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0.22088991585660209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72.55</v>
      </c>
      <c r="Z362" s="4">
        <f>Games[[#This Row],[K]]*Games[[#This Row],[POMult]]</f>
        <v>72.55</v>
      </c>
      <c r="AA362" s="4">
        <f>(Games[[#This Row],[Keff]]*Games[[#This Row],[MOVMult]])*(Games[[#This Row],[Result]]-Games[[#This Row],[ExpectedWin%]])</f>
        <v>-3.1801053903991012</v>
      </c>
      <c r="AB362" s="4">
        <f>Games[[#This Row],[PreGmRate]]+Games[[#This Row],[RatingChange]]</f>
        <v>1360.3661372623094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37098</v>
      </c>
      <c r="B363" s="2">
        <v>2001</v>
      </c>
      <c r="C363" s="2">
        <f>COUNTIFS(Games[Team],Games[[#This Row],[Team]],Games[Season],Games[[#This Row],[Season]],Games[Date],"&lt;=" &amp; Games[[#This Row],[Date]])</f>
        <v>22</v>
      </c>
      <c r="D363" s="2" t="s">
        <v>23</v>
      </c>
      <c r="E363" s="2" t="s">
        <v>29</v>
      </c>
      <c r="F363" s="1" t="s">
        <v>44</v>
      </c>
      <c r="G363" s="1" t="s">
        <v>77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3</v>
      </c>
      <c r="L363" s="2">
        <f>Games[[#This Row],[OppDaysOff]]-Games[[#This Row],[DaysOff]]</f>
        <v>-3</v>
      </c>
      <c r="M363" s="1">
        <f>MAX(-16, MIN(16, Games[[#This Row],[RestDiff]]*8))</f>
        <v>16</v>
      </c>
      <c r="N363" s="1">
        <f>MAX(-16, MIN(16, Games[[#This Row],[OppRestDiff]]*8))</f>
        <v>-16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1490.0694749245374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1363.5462426527085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0.80156046237272249</v>
      </c>
      <c r="R363" s="1">
        <v>63</v>
      </c>
      <c r="S363" s="1">
        <v>62</v>
      </c>
      <c r="T363" s="1">
        <v>0</v>
      </c>
      <c r="U363" s="1">
        <f>Games[[#This Row],[PointsFor]]-Games[[#This Row],[PointsAgainst]]</f>
        <v>1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0.22088991585660209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72.7</v>
      </c>
      <c r="Z363" s="4">
        <f>Games[[#This Row],[K]]*Games[[#This Row],[POMult]]</f>
        <v>72.7</v>
      </c>
      <c r="AA363" s="4">
        <f>(Games[[#This Row],[Keff]]*Games[[#This Row],[MOVMult]])*(Games[[#This Row],[Result]]-Games[[#This Row],[ExpectedWin%]])</f>
        <v>3.1866803843144678</v>
      </c>
      <c r="AB363" s="4">
        <f>Games[[#This Row],[PreGmRate]]+Games[[#This Row],[RatingChange]]</f>
        <v>1493.2561553088519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37098</v>
      </c>
      <c r="B364" s="2">
        <v>2001</v>
      </c>
      <c r="C364" s="2">
        <f>COUNTIFS(Games[Team],Games[[#This Row],[Team]],Games[Season],Games[[#This Row],[Season]],Games[Date],"&lt;=" &amp; Games[[#This Row],[Date]])</f>
        <v>25</v>
      </c>
      <c r="D364" s="2" t="s">
        <v>23</v>
      </c>
      <c r="E364" s="2" t="s">
        <v>29</v>
      </c>
      <c r="F364" s="1" t="s">
        <v>66</v>
      </c>
      <c r="G364" s="1" t="s">
        <v>43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1571.0009047935541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1504.2357672159715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0.47521736379380963</v>
      </c>
      <c r="R364" s="1">
        <v>63</v>
      </c>
      <c r="S364" s="1">
        <v>71</v>
      </c>
      <c r="T364" s="1">
        <v>0</v>
      </c>
      <c r="U364" s="1">
        <f>Games[[#This Row],[PointsFor]]-Games[[#This Row],[PointsAgainst]]</f>
        <v>-8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0.36784927859215566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72.25</v>
      </c>
      <c r="Z364" s="4">
        <f>Games[[#This Row],[K]]*Games[[#This Row],[POMult]]</f>
        <v>72.25</v>
      </c>
      <c r="AA364" s="4">
        <f>(Games[[#This Row],[Keff]]*Games[[#This Row],[MOVMult]])*(Games[[#This Row],[Result]]-Games[[#This Row],[ExpectedWin%]])</f>
        <v>-12.629904331224864</v>
      </c>
      <c r="AB364" s="4">
        <f>Games[[#This Row],[PreGmRate]]+Games[[#This Row],[RatingChange]]</f>
        <v>1558.3710004623292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37098</v>
      </c>
      <c r="B365" s="2">
        <v>2001</v>
      </c>
      <c r="C365" s="2">
        <f>COUNTIFS(Games[Team],Games[[#This Row],[Team]],Games[Season],Games[[#This Row],[Season]],Games[Date],"&lt;=" &amp; Games[[#This Row],[Date]])</f>
        <v>22</v>
      </c>
      <c r="D365" s="2" t="s">
        <v>23</v>
      </c>
      <c r="E365" s="2" t="s">
        <v>29</v>
      </c>
      <c r="F365" s="1" t="s">
        <v>43</v>
      </c>
      <c r="G365" s="1" t="s">
        <v>66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1504.2357672159715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1571.0009047935541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0.52478263620619037</v>
      </c>
      <c r="R365" s="1">
        <v>71</v>
      </c>
      <c r="S365" s="1">
        <v>63</v>
      </c>
      <c r="T365" s="1">
        <v>0</v>
      </c>
      <c r="U365" s="1">
        <f>Games[[#This Row],[PointsFor]]-Games[[#This Row],[PointsAgainst]]</f>
        <v>8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0.36784927859215566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72.7</v>
      </c>
      <c r="Z365" s="4">
        <f>Games[[#This Row],[K]]*Games[[#This Row],[POMult]]</f>
        <v>72.7</v>
      </c>
      <c r="AA365" s="4">
        <f>(Games[[#This Row],[Keff]]*Games[[#This Row],[MOVMult]])*(Games[[#This Row],[Result]]-Games[[#This Row],[ExpectedWin%]])</f>
        <v>12.708568095225571</v>
      </c>
      <c r="AB365" s="4">
        <f>Games[[#This Row],[PreGmRate]]+Games[[#This Row],[RatingChange]]</f>
        <v>1516.9443353111969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37099</v>
      </c>
      <c r="B366" s="2">
        <v>2001</v>
      </c>
      <c r="C366" s="2">
        <f>COUNTIFS(Games[Team],Games[[#This Row],[Team]],Games[Season],Games[[#This Row],[Season]],Games[Date],"&lt;=" &amp; Games[[#This Row],[Date]])</f>
        <v>24</v>
      </c>
      <c r="D366" s="2" t="s">
        <v>23</v>
      </c>
      <c r="E366" s="2" t="s">
        <v>29</v>
      </c>
      <c r="F366" s="1" t="s">
        <v>85</v>
      </c>
      <c r="G366" s="1" t="s">
        <v>1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1</v>
      </c>
      <c r="L366" s="2">
        <f>Games[[#This Row],[OppDaysOff]]-Games[[#This Row],[DaysOff]]</f>
        <v>-1</v>
      </c>
      <c r="M366" s="1">
        <f>MAX(-16, MIN(16, Games[[#This Row],[RestDiff]]*8))</f>
        <v>8</v>
      </c>
      <c r="N366" s="1">
        <f>MAX(-16, MIN(16, Games[[#This Row],[OppRestDiff]]*8))</f>
        <v>-8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1382.024631899046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1657.6990308762167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0.12149495940255069</v>
      </c>
      <c r="R366" s="1">
        <v>67</v>
      </c>
      <c r="S366" s="1">
        <v>63</v>
      </c>
      <c r="T366" s="1">
        <v>0</v>
      </c>
      <c r="U366" s="1">
        <f>Games[[#This Row],[PointsFor]]-Games[[#This Row],[PointsAgainst]]</f>
        <v>4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0.25325321232359249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72.400000000000006</v>
      </c>
      <c r="Z366" s="4">
        <f>Games[[#This Row],[K]]*Games[[#This Row],[POMult]]</f>
        <v>72.400000000000006</v>
      </c>
      <c r="AA366" s="4">
        <f>(Games[[#This Row],[Keff]]*Games[[#This Row],[MOVMult]])*(Games[[#This Row],[Result]]-Games[[#This Row],[ExpectedWin%]])</f>
        <v>16.107857786741096</v>
      </c>
      <c r="AB366" s="4">
        <f>Games[[#This Row],[PreGmRate]]+Games[[#This Row],[RatingChange]]</f>
        <v>1398.132489685787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37099</v>
      </c>
      <c r="B367" s="2">
        <v>2001</v>
      </c>
      <c r="C367" s="2">
        <f>COUNTIFS(Games[Team],Games[[#This Row],[Team]],Games[Season],Games[[#This Row],[Season]],Games[Date],"&lt;=" &amp; Games[[#This Row],[Date]])</f>
        <v>24</v>
      </c>
      <c r="D367" s="2" t="s">
        <v>23</v>
      </c>
      <c r="E367" s="2" t="s">
        <v>29</v>
      </c>
      <c r="F367" s="1" t="s">
        <v>1</v>
      </c>
      <c r="G367" s="1" t="s">
        <v>85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7" s="2">
        <f>Games[[#This Row],[DaysOff]]-Games[[#This Row],[OppDaysOff]]</f>
        <v>-1</v>
      </c>
      <c r="L367" s="2">
        <f>Games[[#This Row],[OppDaysOff]]-Games[[#This Row],[DaysOff]]</f>
        <v>1</v>
      </c>
      <c r="M367" s="1">
        <f>MAX(-16, MIN(16, Games[[#This Row],[RestDiff]]*8))</f>
        <v>-8</v>
      </c>
      <c r="N367" s="1">
        <f>MAX(-16, MIN(16, Games[[#This Row],[OppRestDiff]]*8))</f>
        <v>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1657.6990308762167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1382.024631899046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0.87850504059744927</v>
      </c>
      <c r="R367" s="1">
        <v>63</v>
      </c>
      <c r="S367" s="1">
        <v>67</v>
      </c>
      <c r="T367" s="1">
        <v>0</v>
      </c>
      <c r="U367" s="1">
        <f>Games[[#This Row],[PointsFor]]-Games[[#This Row],[PointsAgainst]]</f>
        <v>-4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0.25325321232359249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72.400000000000006</v>
      </c>
      <c r="Z367" s="4">
        <f>Games[[#This Row],[K]]*Games[[#This Row],[POMult]]</f>
        <v>72.400000000000006</v>
      </c>
      <c r="AA367" s="4">
        <f>(Games[[#This Row],[Keff]]*Games[[#This Row],[MOVMult]])*(Games[[#This Row],[Result]]-Games[[#This Row],[ExpectedWin%]])</f>
        <v>-16.107857786741096</v>
      </c>
      <c r="AB367" s="4">
        <f>Games[[#This Row],[PreGmRate]]+Games[[#This Row],[RatingChange]]</f>
        <v>1641.5911730894757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37099</v>
      </c>
      <c r="B368" s="2">
        <v>2001</v>
      </c>
      <c r="C368" s="2">
        <f>COUNTIFS(Games[Team],Games[[#This Row],[Team]],Games[Season],Games[[#This Row],[Season]],Games[Date],"&lt;=" &amp; Games[[#This Row],[Date]])</f>
        <v>23</v>
      </c>
      <c r="D368" s="2" t="s">
        <v>23</v>
      </c>
      <c r="E368" s="2" t="s">
        <v>29</v>
      </c>
      <c r="F368" s="1" t="s">
        <v>79</v>
      </c>
      <c r="G368" s="1" t="s">
        <v>83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1</v>
      </c>
      <c r="L368" s="2">
        <f>Games[[#This Row],[OppDaysOff]]-Games[[#This Row],[DaysOff]]</f>
        <v>-1</v>
      </c>
      <c r="M368" s="1">
        <f>MAX(-16, MIN(16, Games[[#This Row],[RestDiff]]*8))</f>
        <v>8</v>
      </c>
      <c r="N368" s="1">
        <f>MAX(-16, MIN(16, Games[[#This Row],[OppRestDiff]]*8))</f>
        <v>-8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1460.0176331713742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1544.2984775558971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0.29388304391517661</v>
      </c>
      <c r="R368" s="1">
        <v>63</v>
      </c>
      <c r="S368" s="1">
        <v>71</v>
      </c>
      <c r="T368" s="1">
        <v>1</v>
      </c>
      <c r="U368" s="1">
        <f>Games[[#This Row],[PointsFor]]-Games[[#This Row],[PointsAgainst]]</f>
        <v>-8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0.32654911862695379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72.55</v>
      </c>
      <c r="Z368" s="4">
        <f>Games[[#This Row],[K]]*Games[[#This Row],[POMult]]</f>
        <v>72.55</v>
      </c>
      <c r="AA368" s="4">
        <f>(Games[[#This Row],[Keff]]*Games[[#This Row],[MOVMult]])*(Games[[#This Row],[Result]]-Games[[#This Row],[ExpectedWin%]])</f>
        <v>-6.9624239127667726</v>
      </c>
      <c r="AB368" s="4">
        <f>Games[[#This Row],[PreGmRate]]+Games[[#This Row],[RatingChange]]</f>
        <v>1453.0552092586074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37099</v>
      </c>
      <c r="B369" s="2">
        <v>2001</v>
      </c>
      <c r="C369" s="2">
        <f>COUNTIFS(Games[Team],Games[[#This Row],[Team]],Games[Season],Games[[#This Row],[Season]],Games[Date],"&lt;=" &amp; Games[[#This Row],[Date]])</f>
        <v>24</v>
      </c>
      <c r="D369" s="2" t="s">
        <v>23</v>
      </c>
      <c r="E369" s="2" t="s">
        <v>29</v>
      </c>
      <c r="F369" s="1" t="s">
        <v>83</v>
      </c>
      <c r="G369" s="1" t="s">
        <v>79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9" s="2">
        <f>Games[[#This Row],[DaysOff]]-Games[[#This Row],[OppDaysOff]]</f>
        <v>-1</v>
      </c>
      <c r="L369" s="2">
        <f>Games[[#This Row],[OppDaysOff]]-Games[[#This Row],[DaysOff]]</f>
        <v>1</v>
      </c>
      <c r="M369" s="1">
        <f>MAX(-16, MIN(16, Games[[#This Row],[RestDiff]]*8))</f>
        <v>-8</v>
      </c>
      <c r="N369" s="1">
        <f>MAX(-16, MIN(16, Games[[#This Row],[OppRestDiff]]*8))</f>
        <v>8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1544.2984775558971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1460.0176331713742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0.70611695608482339</v>
      </c>
      <c r="R369" s="1">
        <v>71</v>
      </c>
      <c r="S369" s="1">
        <v>63</v>
      </c>
      <c r="T369" s="1">
        <v>1</v>
      </c>
      <c r="U369" s="1">
        <f>Games[[#This Row],[PointsFor]]-Games[[#This Row],[PointsAgainst]]</f>
        <v>8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0.32654911862695379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72.400000000000006</v>
      </c>
      <c r="Z369" s="4">
        <f>Games[[#This Row],[K]]*Games[[#This Row],[POMult]]</f>
        <v>72.400000000000006</v>
      </c>
      <c r="AA369" s="4">
        <f>(Games[[#This Row],[Keff]]*Games[[#This Row],[MOVMult]])*(Games[[#This Row],[Result]]-Games[[#This Row],[ExpectedWin%]])</f>
        <v>6.9480288254212876</v>
      </c>
      <c r="AB369" s="4">
        <f>Games[[#This Row],[PreGmRate]]+Games[[#This Row],[RatingChange]]</f>
        <v>1551.2465063813183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37099</v>
      </c>
      <c r="B370" s="2">
        <v>2001</v>
      </c>
      <c r="C370" s="2">
        <f>COUNTIFS(Games[Team],Games[[#This Row],[Team]],Games[Season],Games[[#This Row],[Season]],Games[Date],"&lt;=" &amp; Games[[#This Row],[Date]])</f>
        <v>23</v>
      </c>
      <c r="D370" s="2" t="s">
        <v>23</v>
      </c>
      <c r="E370" s="2" t="s">
        <v>29</v>
      </c>
      <c r="F370" s="1" t="s">
        <v>75</v>
      </c>
      <c r="G370" s="1" t="s">
        <v>80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0" s="2">
        <f>Games[[#This Row],[DaysOff]]-Games[[#This Row],[OppDaysOff]]</f>
        <v>-3</v>
      </c>
      <c r="L370" s="2">
        <f>Games[[#This Row],[OppDaysOff]]-Games[[#This Row],[DaysOff]]</f>
        <v>3</v>
      </c>
      <c r="M370" s="1">
        <f>MAX(-16, MIN(16, Games[[#This Row],[RestDiff]]*8))</f>
        <v>-16</v>
      </c>
      <c r="N370" s="1">
        <f>MAX(-16, MIN(16, Games[[#This Row],[OppRestDiff]]*8))</f>
        <v>16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1360.5600940531981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1419.8841789301757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0.26712732592968491</v>
      </c>
      <c r="R370" s="1">
        <v>62</v>
      </c>
      <c r="S370" s="1">
        <v>60</v>
      </c>
      <c r="T370" s="1">
        <v>0</v>
      </c>
      <c r="U370" s="1">
        <f>Games[[#This Row],[PointsFor]]-Games[[#This Row],[PointsAgainst]]</f>
        <v>2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0.25522388464681994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72.55</v>
      </c>
      <c r="Z370" s="4">
        <f>Games[[#This Row],[K]]*Games[[#This Row],[POMult]]</f>
        <v>72.55</v>
      </c>
      <c r="AA370" s="4">
        <f>(Games[[#This Row],[Keff]]*Games[[#This Row],[MOVMult]])*(Games[[#This Row],[Result]]-Games[[#This Row],[ExpectedWin%]])</f>
        <v>13.570231615551707</v>
      </c>
      <c r="AB370" s="4">
        <f>Games[[#This Row],[PreGmRate]]+Games[[#This Row],[RatingChange]]</f>
        <v>1374.1303256687497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37099</v>
      </c>
      <c r="B371" s="2">
        <v>2001</v>
      </c>
      <c r="C371" s="2">
        <f>COUNTIFS(Games[Team],Games[[#This Row],[Team]],Games[Season],Games[[#This Row],[Season]],Games[Date],"&lt;=" &amp; Games[[#This Row],[Date]])</f>
        <v>22</v>
      </c>
      <c r="D371" s="2" t="s">
        <v>23</v>
      </c>
      <c r="E371" s="2" t="s">
        <v>29</v>
      </c>
      <c r="F371" s="1" t="s">
        <v>80</v>
      </c>
      <c r="G371" s="1" t="s">
        <v>75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1" s="2">
        <f>Games[[#This Row],[DaysOff]]-Games[[#This Row],[OppDaysOff]]</f>
        <v>3</v>
      </c>
      <c r="L371" s="2">
        <f>Games[[#This Row],[OppDaysOff]]-Games[[#This Row],[DaysOff]]</f>
        <v>-3</v>
      </c>
      <c r="M371" s="1">
        <f>MAX(-16, MIN(16, Games[[#This Row],[RestDiff]]*8))</f>
        <v>16</v>
      </c>
      <c r="N371" s="1">
        <f>MAX(-16, MIN(16, Games[[#This Row],[OppRestDiff]]*8))</f>
        <v>-16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1419.8841789301757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1360.5600940531981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0.7328726740703152</v>
      </c>
      <c r="R371" s="1">
        <v>60</v>
      </c>
      <c r="S371" s="1">
        <v>62</v>
      </c>
      <c r="T371" s="1">
        <v>0</v>
      </c>
      <c r="U371" s="1">
        <f>Games[[#This Row],[PointsFor]]-Games[[#This Row],[PointsAgainst]]</f>
        <v>-2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0.25522388464681994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72.7</v>
      </c>
      <c r="Z371" s="4">
        <f>Games[[#This Row],[K]]*Games[[#This Row],[POMult]]</f>
        <v>72.7</v>
      </c>
      <c r="AA371" s="4">
        <f>(Games[[#This Row],[Keff]]*Games[[#This Row],[MOVMult]])*(Games[[#This Row],[Result]]-Games[[#This Row],[ExpectedWin%]])</f>
        <v>-13.598288607175869</v>
      </c>
      <c r="AB371" s="4">
        <f>Games[[#This Row],[PreGmRate]]+Games[[#This Row],[RatingChange]]</f>
        <v>1406.2858903229999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37099</v>
      </c>
      <c r="B372" s="2">
        <v>2001</v>
      </c>
      <c r="C372" s="2">
        <f>COUNTIFS(Games[Team],Games[[#This Row],[Team]],Games[Season],Games[[#This Row],[Season]],Games[Date],"&lt;=" &amp; Games[[#This Row],[Date]])</f>
        <v>23</v>
      </c>
      <c r="D372" s="2" t="s">
        <v>23</v>
      </c>
      <c r="E372" s="2" t="s">
        <v>29</v>
      </c>
      <c r="F372" s="1" t="s">
        <v>89</v>
      </c>
      <c r="G372" s="1" t="s">
        <v>45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1</v>
      </c>
      <c r="L372" s="2">
        <f>Games[[#This Row],[OppDaysOff]]-Games[[#This Row],[DaysOff]]</f>
        <v>-1</v>
      </c>
      <c r="M372" s="1">
        <f>MAX(-16, MIN(16, Games[[#This Row],[RestDiff]]*8))</f>
        <v>8</v>
      </c>
      <c r="N372" s="1">
        <f>MAX(-16, MIN(16, Games[[#This Row],[OppRestDiff]]*8))</f>
        <v>-8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1466.5862987529372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1571.9695411756682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0.26932023029712526</v>
      </c>
      <c r="R372" s="1">
        <v>62</v>
      </c>
      <c r="S372" s="1">
        <v>85</v>
      </c>
      <c r="T372" s="1">
        <v>0</v>
      </c>
      <c r="U372" s="1">
        <f>Games[[#This Row],[PointsFor]]-Games[[#This Row],[PointsAgainst]]</f>
        <v>-23</v>
      </c>
      <c r="V372" s="1">
        <f>IF(Games[[#This Row],[MOV]]&gt;0,1,IF(Games[[#This Row],[MOV]]=0,0.5,0))</f>
        <v>0</v>
      </c>
      <c r="W372" s="4">
        <f>((ABS(Games[[#This Row],[MOV]])+5)^0.6)/(12+0.01*(ABS(Games[[#This Row],[PreGmRate]]-Games[[#This Row],[OppPreGmRate]])))*IF(Games[[#This Row],[OT]]=1,0.9,1)</f>
        <v>0.56566171456581282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72.55</v>
      </c>
      <c r="Z372" s="4">
        <f>Games[[#This Row],[K]]*Games[[#This Row],[POMult]]</f>
        <v>72.55</v>
      </c>
      <c r="AA372" s="4">
        <f>(Games[[#This Row],[Keff]]*Games[[#This Row],[MOVMult]])*(Games[[#This Row],[Result]]-Games[[#This Row],[ExpectedWin%]])</f>
        <v>-11.052567591853887</v>
      </c>
      <c r="AB372" s="4">
        <f>Games[[#This Row],[PreGmRate]]+Games[[#This Row],[RatingChange]]</f>
        <v>1455.5337311610833</v>
      </c>
      <c r="AC372" s="2">
        <f>IF(Games[[#This Row],[Type]]="R",IF(Games[[#This Row],[Result]]&gt;0.5,1,0),0)</f>
        <v>0</v>
      </c>
      <c r="AD372" s="2">
        <f>IF(Games[[#This Row],[Type]]="R",IF(Games[[#This Row],[Result]]&lt;0.5,1,0),0)</f>
        <v>1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37099</v>
      </c>
      <c r="B373" s="2">
        <v>2001</v>
      </c>
      <c r="C373" s="2">
        <f>COUNTIFS(Games[Team],Games[[#This Row],[Team]],Games[Season],Games[[#This Row],[Season]],Games[Date],"&lt;=" &amp; Games[[#This Row],[Date]])</f>
        <v>24</v>
      </c>
      <c r="D373" s="2" t="s">
        <v>23</v>
      </c>
      <c r="E373" s="2" t="s">
        <v>29</v>
      </c>
      <c r="F373" s="1" t="s">
        <v>45</v>
      </c>
      <c r="G373" s="1" t="s">
        <v>89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3" s="2">
        <f>Games[[#This Row],[DaysOff]]-Games[[#This Row],[OppDaysOff]]</f>
        <v>-1</v>
      </c>
      <c r="L373" s="2">
        <f>Games[[#This Row],[OppDaysOff]]-Games[[#This Row],[DaysOff]]</f>
        <v>1</v>
      </c>
      <c r="M373" s="1">
        <f>MAX(-16, MIN(16, Games[[#This Row],[RestDiff]]*8))</f>
        <v>-8</v>
      </c>
      <c r="N373" s="1">
        <f>MAX(-16, MIN(16, Games[[#This Row],[OppRestDiff]]*8))</f>
        <v>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1571.9695411756682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1466.5862987529372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0.73067976970287474</v>
      </c>
      <c r="R373" s="1">
        <v>85</v>
      </c>
      <c r="S373" s="1">
        <v>62</v>
      </c>
      <c r="T373" s="1">
        <v>0</v>
      </c>
      <c r="U373" s="1">
        <f>Games[[#This Row],[PointsFor]]-Games[[#This Row],[PointsAgainst]]</f>
        <v>23</v>
      </c>
      <c r="V373" s="1">
        <f>IF(Games[[#This Row],[MOV]]&gt;0,1,IF(Games[[#This Row],[MOV]]=0,0.5,0))</f>
        <v>1</v>
      </c>
      <c r="W373" s="4">
        <f>((ABS(Games[[#This Row],[MOV]])+5)^0.6)/(12+0.01*(ABS(Games[[#This Row],[PreGmRate]]-Games[[#This Row],[OppPreGmRate]])))*IF(Games[[#This Row],[OT]]=1,0.9,1)</f>
        <v>0.56566171456581282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72.400000000000006</v>
      </c>
      <c r="Z373" s="4">
        <f>Games[[#This Row],[K]]*Games[[#This Row],[POMult]]</f>
        <v>72.400000000000006</v>
      </c>
      <c r="AA373" s="4">
        <f>(Games[[#This Row],[Keff]]*Games[[#This Row],[MOVMult]])*(Games[[#This Row],[Result]]-Games[[#This Row],[ExpectedWin%]])</f>
        <v>11.029715970368317</v>
      </c>
      <c r="AB373" s="4">
        <f>Games[[#This Row],[PreGmRate]]+Games[[#This Row],[RatingChange]]</f>
        <v>1582.9992571460364</v>
      </c>
      <c r="AC373" s="2">
        <f>IF(Games[[#This Row],[Type]]="R",IF(Games[[#This Row],[Result]]&gt;0.5,1,0),0)</f>
        <v>1</v>
      </c>
      <c r="AD373" s="2">
        <f>IF(Games[[#This Row],[Type]]="R",IF(Games[[#This Row],[Result]]&lt;0.5,1,0),0)</f>
        <v>0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37099</v>
      </c>
      <c r="B374" s="2">
        <v>2001</v>
      </c>
      <c r="C374" s="2">
        <f>COUNTIFS(Games[Team],Games[[#This Row],[Team]],Games[Season],Games[[#This Row],[Season]],Games[Date],"&lt;=" &amp; Games[[#This Row],[Date]])</f>
        <v>23</v>
      </c>
      <c r="D374" s="2" t="s">
        <v>23</v>
      </c>
      <c r="E374" s="2" t="s">
        <v>29</v>
      </c>
      <c r="F374" s="1" t="s">
        <v>44</v>
      </c>
      <c r="G374" s="1" t="s">
        <v>87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4" s="2">
        <f>Games[[#This Row],[DaysOff]]-Games[[#This Row],[OppDaysOff]]</f>
        <v>-2</v>
      </c>
      <c r="L374" s="2">
        <f>Games[[#This Row],[OppDaysOff]]-Games[[#This Row],[DaysOff]]</f>
        <v>2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1493.2561553088519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1390.5116387780713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0.48093307623656112</v>
      </c>
      <c r="R374" s="1">
        <v>56</v>
      </c>
      <c r="S374" s="1">
        <v>54</v>
      </c>
      <c r="T374" s="1">
        <v>0</v>
      </c>
      <c r="U374" s="1">
        <f>Games[[#This Row],[PointsFor]]-Games[[#This Row],[PointsAgainst]]</f>
        <v>2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0.24671728101187498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72.55</v>
      </c>
      <c r="Z374" s="4">
        <f>Games[[#This Row],[K]]*Games[[#This Row],[POMult]]</f>
        <v>72.55</v>
      </c>
      <c r="AA374" s="4">
        <f>(Games[[#This Row],[Keff]]*Games[[#This Row],[MOVMult]])*(Games[[#This Row],[Result]]-Games[[#This Row],[ExpectedWin%]])</f>
        <v>9.2909546958279581</v>
      </c>
      <c r="AB374" s="4">
        <f>Games[[#This Row],[PreGmRate]]+Games[[#This Row],[RatingChange]]</f>
        <v>1502.5471100046798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37099</v>
      </c>
      <c r="B375" s="2">
        <v>2001</v>
      </c>
      <c r="C375" s="2">
        <f>COUNTIFS(Games[Team],Games[[#This Row],[Team]],Games[Season],Games[[#This Row],[Season]],Games[Date],"&lt;=" &amp; Games[[#This Row],[Date]])</f>
        <v>25</v>
      </c>
      <c r="D375" s="2" t="s">
        <v>23</v>
      </c>
      <c r="E375" s="2" t="s">
        <v>29</v>
      </c>
      <c r="F375" s="1" t="s">
        <v>87</v>
      </c>
      <c r="G375" s="1" t="s">
        <v>44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5" s="2">
        <f>Games[[#This Row],[DaysOff]]-Games[[#This Row],[OppDaysOff]]</f>
        <v>2</v>
      </c>
      <c r="L375" s="2">
        <f>Games[[#This Row],[OppDaysOff]]-Games[[#This Row],[DaysOff]]</f>
        <v>-2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1390.5116387780713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1493.2561553088519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0.51906692376343888</v>
      </c>
      <c r="R375" s="1">
        <v>54</v>
      </c>
      <c r="S375" s="1">
        <v>56</v>
      </c>
      <c r="T375" s="1">
        <v>0</v>
      </c>
      <c r="U375" s="1">
        <f>Games[[#This Row],[PointsFor]]-Games[[#This Row],[PointsAgainst]]</f>
        <v>-2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0.24671728101187498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72.25</v>
      </c>
      <c r="Z375" s="4">
        <f>Games[[#This Row],[K]]*Games[[#This Row],[POMult]]</f>
        <v>72.25</v>
      </c>
      <c r="AA375" s="4">
        <f>(Games[[#This Row],[Keff]]*Games[[#This Row],[MOVMult]])*(Games[[#This Row],[Result]]-Games[[#This Row],[ExpectedWin%]])</f>
        <v>-9.2525358617997249</v>
      </c>
      <c r="AB375" s="4">
        <f>Games[[#This Row],[PreGmRate]]+Games[[#This Row],[RatingChange]]</f>
        <v>1381.2591029162716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37100</v>
      </c>
      <c r="B376" s="2">
        <v>2001</v>
      </c>
      <c r="C376" s="2">
        <f>COUNTIFS(Games[Team],Games[[#This Row],[Team]],Games[Season],Games[[#This Row],[Season]],Games[Date],"&lt;=" &amp; Games[[#This Row],[Date]])</f>
        <v>25</v>
      </c>
      <c r="D376" s="2" t="s">
        <v>23</v>
      </c>
      <c r="E376" s="2" t="s">
        <v>29</v>
      </c>
      <c r="F376" s="1" t="s">
        <v>1</v>
      </c>
      <c r="G376" s="1" t="s">
        <v>77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-1</v>
      </c>
      <c r="L376" s="2">
        <f>Games[[#This Row],[OppDaysOff]]-Games[[#This Row],[DaysOff]]</f>
        <v>1</v>
      </c>
      <c r="M376" s="1">
        <f>MAX(-16, MIN(16, Games[[#This Row],[RestDiff]]*8))</f>
        <v>-8</v>
      </c>
      <c r="N376" s="1">
        <f>MAX(-16, MIN(16, Games[[#This Row],[OppRestDiff]]*8))</f>
        <v>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1641.5911730894757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1360.3661372623094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0.73946989775192973</v>
      </c>
      <c r="R376" s="1">
        <v>57</v>
      </c>
      <c r="S376" s="1">
        <v>50</v>
      </c>
      <c r="T376" s="1">
        <v>0</v>
      </c>
      <c r="U376" s="1">
        <f>Games[[#This Row],[PointsFor]]-Games[[#This Row],[PointsAgainst]]</f>
        <v>7</v>
      </c>
      <c r="V376" s="1">
        <f>IF(Games[[#This Row],[MOV]]&gt;0,1,IF(Games[[#This Row],[MOV]]=0,0.5,0))</f>
        <v>1</v>
      </c>
      <c r="W376" s="4">
        <f>((ABS(Games[[#This Row],[MOV]])+5)^0.6)/(12+0.01*(ABS(Games[[#This Row],[PreGmRate]]-Games[[#This Row],[OppPreGmRate]])))*IF(Games[[#This Row],[OT]]=1,0.9,1)</f>
        <v>0.29983871204051554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72.25</v>
      </c>
      <c r="Z376" s="4">
        <f>Games[[#This Row],[K]]*Games[[#This Row],[POMult]]</f>
        <v>72.25</v>
      </c>
      <c r="AA376" s="4">
        <f>(Games[[#This Row],[Keff]]*Games[[#This Row],[MOVMult]])*(Games[[#This Row],[Result]]-Games[[#This Row],[ExpectedWin%]])</f>
        <v>5.6439539945973172</v>
      </c>
      <c r="AB376" s="4">
        <f>Games[[#This Row],[PreGmRate]]+Games[[#This Row],[RatingChange]]</f>
        <v>1647.2351270840729</v>
      </c>
      <c r="AC376" s="2">
        <f>IF(Games[[#This Row],[Type]]="R",IF(Games[[#This Row],[Result]]&gt;0.5,1,0),0)</f>
        <v>1</v>
      </c>
      <c r="AD376" s="2">
        <f>IF(Games[[#This Row],[Type]]="R",IF(Games[[#This Row],[Result]]&lt;0.5,1,0),0)</f>
        <v>0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37100</v>
      </c>
      <c r="B377" s="2">
        <v>2001</v>
      </c>
      <c r="C377" s="2">
        <f>COUNTIFS(Games[Team],Games[[#This Row],[Team]],Games[Season],Games[[#This Row],[Season]],Games[Date],"&lt;=" &amp; Games[[#This Row],[Date]])</f>
        <v>24</v>
      </c>
      <c r="D377" s="2" t="s">
        <v>23</v>
      </c>
      <c r="E377" s="2" t="s">
        <v>29</v>
      </c>
      <c r="F377" s="1" t="s">
        <v>77</v>
      </c>
      <c r="G377" s="1" t="s">
        <v>1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7" s="2">
        <f>Games[[#This Row],[DaysOff]]-Games[[#This Row],[OppDaysOff]]</f>
        <v>1</v>
      </c>
      <c r="L377" s="2">
        <f>Games[[#This Row],[OppDaysOff]]-Games[[#This Row],[DaysOff]]</f>
        <v>-1</v>
      </c>
      <c r="M377" s="1">
        <f>MAX(-16, MIN(16, Games[[#This Row],[RestDiff]]*8))</f>
        <v>8</v>
      </c>
      <c r="N377" s="1">
        <f>MAX(-16, MIN(16, Games[[#This Row],[OppRestDiff]]*8))</f>
        <v>-8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1360.3661372623094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1641.5911730894757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0.26053010224807033</v>
      </c>
      <c r="R377" s="1">
        <v>50</v>
      </c>
      <c r="S377" s="1">
        <v>57</v>
      </c>
      <c r="T377" s="1">
        <v>0</v>
      </c>
      <c r="U377" s="1">
        <f>Games[[#This Row],[PointsFor]]-Games[[#This Row],[PointsAgainst]]</f>
        <v>-7</v>
      </c>
      <c r="V377" s="1">
        <f>IF(Games[[#This Row],[MOV]]&gt;0,1,IF(Games[[#This Row],[MOV]]=0,0.5,0))</f>
        <v>0</v>
      </c>
      <c r="W377" s="4">
        <f>((ABS(Games[[#This Row],[MOV]])+5)^0.6)/(12+0.01*(ABS(Games[[#This Row],[PreGmRate]]-Games[[#This Row],[OppPreGmRate]])))*IF(Games[[#This Row],[OT]]=1,0.9,1)</f>
        <v>0.29983871204051554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72.400000000000006</v>
      </c>
      <c r="Z377" s="4">
        <f>Games[[#This Row],[K]]*Games[[#This Row],[POMult]]</f>
        <v>72.400000000000006</v>
      </c>
      <c r="AA377" s="4">
        <f>(Games[[#This Row],[Keff]]*Games[[#This Row],[MOVMult]])*(Games[[#This Row],[Result]]-Games[[#This Row],[ExpectedWin%]])</f>
        <v>-5.6556715461431954</v>
      </c>
      <c r="AB377" s="4">
        <f>Games[[#This Row],[PreGmRate]]+Games[[#This Row],[RatingChange]]</f>
        <v>1354.7104657161663</v>
      </c>
      <c r="AC377" s="2">
        <f>IF(Games[[#This Row],[Type]]="R",IF(Games[[#This Row],[Result]]&gt;0.5,1,0),0)</f>
        <v>0</v>
      </c>
      <c r="AD377" s="2">
        <f>IF(Games[[#This Row],[Type]]="R",IF(Games[[#This Row],[Result]]&lt;0.5,1,0),0)</f>
        <v>1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37100</v>
      </c>
      <c r="B378" s="2">
        <v>2001</v>
      </c>
      <c r="C378" s="2">
        <f>COUNTIFS(Games[Team],Games[[#This Row],[Team]],Games[Season],Games[[#This Row],[Season]],Games[Date],"&lt;=" &amp; Games[[#This Row],[Date]])</f>
        <v>26</v>
      </c>
      <c r="D378" s="2" t="s">
        <v>23</v>
      </c>
      <c r="E378" s="2" t="s">
        <v>29</v>
      </c>
      <c r="F378" s="1" t="s">
        <v>66</v>
      </c>
      <c r="G378" s="1" t="s">
        <v>2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8" s="2">
        <f>Games[[#This Row],[DaysOff]]-Games[[#This Row],[OppDaysOff]]</f>
        <v>-2</v>
      </c>
      <c r="L378" s="2">
        <f>Games[[#This Row],[OppDaysOff]]-Games[[#This Row],[DaysOff]]</f>
        <v>2</v>
      </c>
      <c r="M378" s="1">
        <f>MAX(-16, MIN(16, Games[[#This Row],[RestDiff]]*8))</f>
        <v>-16</v>
      </c>
      <c r="N378" s="1">
        <f>MAX(-16, MIN(16, Games[[#This Row],[OppRestDiff]]*8))</f>
        <v>16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1558.3710004623292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1638.423455826832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0.24442534765947702</v>
      </c>
      <c r="R378" s="1">
        <v>64</v>
      </c>
      <c r="S378" s="1">
        <v>61</v>
      </c>
      <c r="T378" s="1">
        <v>0</v>
      </c>
      <c r="U378" s="1">
        <f>Games[[#This Row],[PointsFor]]-Games[[#This Row],[PointsAgainst]]</f>
        <v>3</v>
      </c>
      <c r="V378" s="1">
        <f>IF(Games[[#This Row],[MOV]]&gt;0,1,IF(Games[[#This Row],[MOV]]=0,0.5,0))</f>
        <v>1</v>
      </c>
      <c r="W378" s="4">
        <f>((ABS(Games[[#This Row],[MOV]])+5)^0.6)/(12+0.01*(ABS(Games[[#This Row],[PreGmRate]]-Games[[#This Row],[OppPreGmRate]])))*IF(Games[[#This Row],[OT]]=1,0.9,1)</f>
        <v>0.27203590279375839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72.099999999999994</v>
      </c>
      <c r="Z378" s="4">
        <f>Games[[#This Row],[K]]*Games[[#This Row],[POMult]]</f>
        <v>72.099999999999994</v>
      </c>
      <c r="AA378" s="4">
        <f>(Games[[#This Row],[Keff]]*Games[[#This Row],[MOVMult]])*(Games[[#This Row],[Result]]-Games[[#This Row],[ExpectedWin%]])</f>
        <v>14.819681496050221</v>
      </c>
      <c r="AB378" s="4">
        <f>Games[[#This Row],[PreGmRate]]+Games[[#This Row],[RatingChange]]</f>
        <v>1573.1906819583794</v>
      </c>
      <c r="AC378" s="2">
        <f>IF(Games[[#This Row],[Type]]="R",IF(Games[[#This Row],[Result]]&gt;0.5,1,0),0)</f>
        <v>1</v>
      </c>
      <c r="AD378" s="2">
        <f>IF(Games[[#This Row],[Type]]="R",IF(Games[[#This Row],[Result]]&lt;0.5,1,0),0)</f>
        <v>0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37100</v>
      </c>
      <c r="B379" s="2">
        <v>2001</v>
      </c>
      <c r="C379" s="2">
        <f>COUNTIFS(Games[Team],Games[[#This Row],[Team]],Games[Season],Games[[#This Row],[Season]],Games[Date],"&lt;=" &amp; Games[[#This Row],[Date]])</f>
        <v>23</v>
      </c>
      <c r="D379" s="2" t="s">
        <v>23</v>
      </c>
      <c r="E379" s="2" t="s">
        <v>29</v>
      </c>
      <c r="F379" s="1" t="s">
        <v>2</v>
      </c>
      <c r="G379" s="1" t="s">
        <v>66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2</v>
      </c>
      <c r="L379" s="2">
        <f>Games[[#This Row],[OppDaysOff]]-Games[[#This Row],[DaysOff]]</f>
        <v>-2</v>
      </c>
      <c r="M379" s="1">
        <f>MAX(-16, MIN(16, Games[[#This Row],[RestDiff]]*8))</f>
        <v>16</v>
      </c>
      <c r="N379" s="1">
        <f>MAX(-16, MIN(16, Games[[#This Row],[OppRestDiff]]*8))</f>
        <v>-16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1638.423455826832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1558.3710004623292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0.75557465234052301</v>
      </c>
      <c r="R379" s="1">
        <v>61</v>
      </c>
      <c r="S379" s="1">
        <v>64</v>
      </c>
      <c r="T379" s="1">
        <v>0</v>
      </c>
      <c r="U379" s="1">
        <f>Games[[#This Row],[PointsFor]]-Games[[#This Row],[PointsAgainst]]</f>
        <v>-3</v>
      </c>
      <c r="V379" s="1">
        <f>IF(Games[[#This Row],[MOV]]&gt;0,1,IF(Games[[#This Row],[MOV]]=0,0.5,0))</f>
        <v>0</v>
      </c>
      <c r="W379" s="4">
        <f>((ABS(Games[[#This Row],[MOV]])+5)^0.6)/(12+0.01*(ABS(Games[[#This Row],[PreGmRate]]-Games[[#This Row],[OppPreGmRate]])))*IF(Games[[#This Row],[OT]]=1,0.9,1)</f>
        <v>0.27203590279375839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72.55</v>
      </c>
      <c r="Z379" s="4">
        <f>Games[[#This Row],[K]]*Games[[#This Row],[POMult]]</f>
        <v>72.55</v>
      </c>
      <c r="AA379" s="4">
        <f>(Games[[#This Row],[Keff]]*Games[[#This Row],[MOVMult]])*(Games[[#This Row],[Result]]-Games[[#This Row],[ExpectedWin%]])</f>
        <v>-14.912176040755114</v>
      </c>
      <c r="AB379" s="4">
        <f>Games[[#This Row],[PreGmRate]]+Games[[#This Row],[RatingChange]]</f>
        <v>1623.5112797860768</v>
      </c>
      <c r="AC379" s="2">
        <f>IF(Games[[#This Row],[Type]]="R",IF(Games[[#This Row],[Result]]&gt;0.5,1,0),0)</f>
        <v>0</v>
      </c>
      <c r="AD379" s="2">
        <f>IF(Games[[#This Row],[Type]]="R",IF(Games[[#This Row],[Result]]&lt;0.5,1,0),0)</f>
        <v>1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37100</v>
      </c>
      <c r="B380" s="2">
        <v>2001</v>
      </c>
      <c r="C380" s="2">
        <f>COUNTIFS(Games[Team],Games[[#This Row],[Team]],Games[Season],Games[[#This Row],[Season]],Games[Date],"&lt;=" &amp; Games[[#This Row],[Date]])</f>
        <v>25</v>
      </c>
      <c r="D380" s="2" t="s">
        <v>23</v>
      </c>
      <c r="E380" s="2" t="s">
        <v>29</v>
      </c>
      <c r="F380" s="1" t="s">
        <v>83</v>
      </c>
      <c r="G380" s="1" t="s">
        <v>85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1551.2465063813183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1398.132489685787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0.59817153363745934</v>
      </c>
      <c r="R380" s="1">
        <v>69</v>
      </c>
      <c r="S380" s="1">
        <v>63</v>
      </c>
      <c r="T380" s="1">
        <v>0</v>
      </c>
      <c r="U380" s="1">
        <f>Games[[#This Row],[PointsFor]]-Games[[#This Row],[PointsAgainst]]</f>
        <v>6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0.31153096347241627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72.25</v>
      </c>
      <c r="Z380" s="4">
        <f>Games[[#This Row],[K]]*Games[[#This Row],[POMult]]</f>
        <v>72.25</v>
      </c>
      <c r="AA380" s="4">
        <f>(Games[[#This Row],[Keff]]*Games[[#This Row],[MOVMult]])*(Games[[#This Row],[Result]]-Games[[#This Row],[ExpectedWin%]])</f>
        <v>9.0444001702318708</v>
      </c>
      <c r="AB380" s="4">
        <f>Games[[#This Row],[PreGmRate]]+Games[[#This Row],[RatingChange]]</f>
        <v>1560.2909065515503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37100</v>
      </c>
      <c r="B381" s="2">
        <v>2001</v>
      </c>
      <c r="C381" s="2">
        <f>COUNTIFS(Games[Team],Games[[#This Row],[Team]],Games[Season],Games[[#This Row],[Season]],Games[Date],"&lt;=" &amp; Games[[#This Row],[Date]])</f>
        <v>25</v>
      </c>
      <c r="D381" s="2" t="s">
        <v>23</v>
      </c>
      <c r="E381" s="2" t="s">
        <v>29</v>
      </c>
      <c r="F381" s="1" t="s">
        <v>85</v>
      </c>
      <c r="G381" s="1" t="s">
        <v>83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1398.132489685787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1551.2465063813183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0.40182846636254071</v>
      </c>
      <c r="R381" s="1">
        <v>63</v>
      </c>
      <c r="S381" s="1">
        <v>69</v>
      </c>
      <c r="T381" s="1">
        <v>0</v>
      </c>
      <c r="U381" s="1">
        <f>Games[[#This Row],[PointsFor]]-Games[[#This Row],[PointsAgainst]]</f>
        <v>-6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0.31153096347241627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72.25</v>
      </c>
      <c r="Z381" s="4">
        <f>Games[[#This Row],[K]]*Games[[#This Row],[POMult]]</f>
        <v>72.25</v>
      </c>
      <c r="AA381" s="4">
        <f>(Games[[#This Row],[Keff]]*Games[[#This Row],[MOVMult]])*(Games[[#This Row],[Result]]-Games[[#This Row],[ExpectedWin%]])</f>
        <v>-9.0444001702318726</v>
      </c>
      <c r="AB381" s="4">
        <f>Games[[#This Row],[PreGmRate]]+Games[[#This Row],[RatingChange]]</f>
        <v>1389.0880895155551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37100</v>
      </c>
      <c r="B382" s="2">
        <v>2001</v>
      </c>
      <c r="C382" s="2">
        <f>COUNTIFS(Games[Team],Games[[#This Row],[Team]],Games[Season],Games[[#This Row],[Season]],Games[Date],"&lt;=" &amp; Games[[#This Row],[Date]])</f>
        <v>24</v>
      </c>
      <c r="D382" s="2" t="s">
        <v>23</v>
      </c>
      <c r="E382" s="2" t="s">
        <v>29</v>
      </c>
      <c r="F382" s="1" t="s">
        <v>71</v>
      </c>
      <c r="G382" s="1" t="s">
        <v>89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2" s="2">
        <f>Games[[#This Row],[DaysOff]]-Games[[#This Row],[OppDaysOff]]</f>
        <v>2</v>
      </c>
      <c r="L382" s="2">
        <f>Games[[#This Row],[OppDaysOff]]-Games[[#This Row],[DaysOff]]</f>
        <v>-2</v>
      </c>
      <c r="M382" s="1">
        <f>MAX(-16, MIN(16, Games[[#This Row],[RestDiff]]*8))</f>
        <v>16</v>
      </c>
      <c r="N382" s="1">
        <f>MAX(-16, MIN(16, Games[[#This Row],[OppRestDiff]]*8))</f>
        <v>-16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1718.5772105859107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1455.5337311610833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0.77115843273061679</v>
      </c>
      <c r="R382" s="1">
        <v>88</v>
      </c>
      <c r="S382" s="1">
        <v>83</v>
      </c>
      <c r="T382" s="1">
        <v>0</v>
      </c>
      <c r="U382" s="1">
        <f>Games[[#This Row],[PointsFor]]-Games[[#This Row],[PointsAgainst]]</f>
        <v>5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0.27210891279185145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72.400000000000006</v>
      </c>
      <c r="Z382" s="4">
        <f>Games[[#This Row],[K]]*Games[[#This Row],[POMult]]</f>
        <v>72.400000000000006</v>
      </c>
      <c r="AA382" s="4">
        <f>(Games[[#This Row],[Keff]]*Games[[#This Row],[MOVMult]])*(Games[[#This Row],[Result]]-Games[[#This Row],[ExpectedWin%]])</f>
        <v>4.5083356971588771</v>
      </c>
      <c r="AB382" s="4">
        <f>Games[[#This Row],[PreGmRate]]+Games[[#This Row],[RatingChange]]</f>
        <v>1723.0855462830696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37100</v>
      </c>
      <c r="B383" s="2">
        <v>2001</v>
      </c>
      <c r="C383" s="2">
        <f>COUNTIFS(Games[Team],Games[[#This Row],[Team]],Games[Season],Games[[#This Row],[Season]],Games[Date],"&lt;=" &amp; Games[[#This Row],[Date]])</f>
        <v>24</v>
      </c>
      <c r="D383" s="2" t="s">
        <v>23</v>
      </c>
      <c r="E383" s="2" t="s">
        <v>29</v>
      </c>
      <c r="F383" s="1" t="s">
        <v>89</v>
      </c>
      <c r="G383" s="1" t="s">
        <v>71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-2</v>
      </c>
      <c r="L383" s="2">
        <f>Games[[#This Row],[OppDaysOff]]-Games[[#This Row],[DaysOff]]</f>
        <v>2</v>
      </c>
      <c r="M383" s="1">
        <f>MAX(-16, MIN(16, Games[[#This Row],[RestDiff]]*8))</f>
        <v>-16</v>
      </c>
      <c r="N383" s="1">
        <f>MAX(-16, MIN(16, Games[[#This Row],[OppRestDiff]]*8))</f>
        <v>16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1455.5337311610833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1718.5772105859107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0.22884156726938323</v>
      </c>
      <c r="R383" s="1">
        <v>83</v>
      </c>
      <c r="S383" s="1">
        <v>88</v>
      </c>
      <c r="T383" s="1">
        <v>0</v>
      </c>
      <c r="U383" s="1">
        <f>Games[[#This Row],[PointsFor]]-Games[[#This Row],[PointsAgainst]]</f>
        <v>-5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0.27210891279185145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72.400000000000006</v>
      </c>
      <c r="Z383" s="4">
        <f>Games[[#This Row],[K]]*Games[[#This Row],[POMult]]</f>
        <v>72.400000000000006</v>
      </c>
      <c r="AA383" s="4">
        <f>(Games[[#This Row],[Keff]]*Games[[#This Row],[MOVMult]])*(Games[[#This Row],[Result]]-Games[[#This Row],[ExpectedWin%]])</f>
        <v>-4.5083356971588771</v>
      </c>
      <c r="AB383" s="4">
        <f>Games[[#This Row],[PreGmRate]]+Games[[#This Row],[RatingChange]]</f>
        <v>1451.0253954639245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37100</v>
      </c>
      <c r="B384" s="2">
        <v>2001</v>
      </c>
      <c r="C384" s="2">
        <f>COUNTIFS(Games[Team],Games[[#This Row],[Team]],Games[Season],Games[[#This Row],[Season]],Games[Date],"&lt;=" &amp; Games[[#This Row],[Date]])</f>
        <v>23</v>
      </c>
      <c r="D384" s="2" t="s">
        <v>23</v>
      </c>
      <c r="E384" s="2" t="s">
        <v>29</v>
      </c>
      <c r="F384" s="1" t="s">
        <v>80</v>
      </c>
      <c r="G384" s="1" t="s">
        <v>43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-1</v>
      </c>
      <c r="L384" s="2">
        <f>Games[[#This Row],[OppDaysOff]]-Games[[#This Row],[DaysOff]]</f>
        <v>1</v>
      </c>
      <c r="M384" s="1">
        <f>MAX(-16, MIN(16, Games[[#This Row],[RestDiff]]*8))</f>
        <v>-8</v>
      </c>
      <c r="N384" s="1">
        <f>MAX(-16, MIN(16, Games[[#This Row],[OppRestDiff]]*8))</f>
        <v>8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1406.2858903229999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1516.9443353111969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0.2292329437380462</v>
      </c>
      <c r="R384" s="1">
        <v>60</v>
      </c>
      <c r="S384" s="1">
        <v>68</v>
      </c>
      <c r="T384" s="1">
        <v>1</v>
      </c>
      <c r="U384" s="1">
        <f>Games[[#This Row],[PointsFor]]-Games[[#This Row],[PointsAgainst]]</f>
        <v>-8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0.31997716827515854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72.55</v>
      </c>
      <c r="Z384" s="4">
        <f>Games[[#This Row],[K]]*Games[[#This Row],[POMult]]</f>
        <v>72.55</v>
      </c>
      <c r="AA384" s="4">
        <f>(Games[[#This Row],[Keff]]*Games[[#This Row],[MOVMult]])*(Games[[#This Row],[Result]]-Games[[#This Row],[ExpectedWin%]])</f>
        <v>-5.3214923108298446</v>
      </c>
      <c r="AB384" s="4">
        <f>Games[[#This Row],[PreGmRate]]+Games[[#This Row],[RatingChange]]</f>
        <v>1400.96439801217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37100</v>
      </c>
      <c r="B385" s="2">
        <v>2001</v>
      </c>
      <c r="C385" s="2">
        <f>COUNTIFS(Games[Team],Games[[#This Row],[Team]],Games[Season],Games[[#This Row],[Season]],Games[Date],"&lt;=" &amp; Games[[#This Row],[Date]])</f>
        <v>23</v>
      </c>
      <c r="D385" s="2" t="s">
        <v>23</v>
      </c>
      <c r="E385" s="2" t="s">
        <v>29</v>
      </c>
      <c r="F385" s="1" t="s">
        <v>43</v>
      </c>
      <c r="G385" s="1" t="s">
        <v>80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5" s="2">
        <f>Games[[#This Row],[DaysOff]]-Games[[#This Row],[OppDaysOff]]</f>
        <v>1</v>
      </c>
      <c r="L385" s="2">
        <f>Games[[#This Row],[OppDaysOff]]-Games[[#This Row],[DaysOff]]</f>
        <v>-1</v>
      </c>
      <c r="M385" s="1">
        <f>MAX(-16, MIN(16, Games[[#This Row],[RestDiff]]*8))</f>
        <v>8</v>
      </c>
      <c r="N385" s="1">
        <f>MAX(-16, MIN(16, Games[[#This Row],[OppRestDiff]]*8))</f>
        <v>-8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1516.9443353111969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1406.2858903229999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0.77076705626195385</v>
      </c>
      <c r="R385" s="1">
        <v>68</v>
      </c>
      <c r="S385" s="1">
        <v>60</v>
      </c>
      <c r="T385" s="1">
        <v>1</v>
      </c>
      <c r="U385" s="1">
        <f>Games[[#This Row],[PointsFor]]-Games[[#This Row],[PointsAgainst]]</f>
        <v>8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0.31997716827515854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72.55</v>
      </c>
      <c r="Z385" s="4">
        <f>Games[[#This Row],[K]]*Games[[#This Row],[POMult]]</f>
        <v>72.55</v>
      </c>
      <c r="AA385" s="4">
        <f>(Games[[#This Row],[Keff]]*Games[[#This Row],[MOVMult]])*(Games[[#This Row],[Result]]-Games[[#This Row],[ExpectedWin%]])</f>
        <v>5.3214923108298429</v>
      </c>
      <c r="AB385" s="4">
        <f>Games[[#This Row],[PreGmRate]]+Games[[#This Row],[RatingChange]]</f>
        <v>1522.2658276220268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37101</v>
      </c>
      <c r="B386" s="2">
        <v>2001</v>
      </c>
      <c r="C386" s="2">
        <f>COUNTIFS(Games[Team],Games[[#This Row],[Team]],Games[Season],Games[[#This Row],[Season]],Games[Date],"&lt;=" &amp; Games[[#This Row],[Date]])</f>
        <v>24</v>
      </c>
      <c r="D386" s="2" t="s">
        <v>23</v>
      </c>
      <c r="E386" s="2" t="s">
        <v>29</v>
      </c>
      <c r="F386" s="1" t="s">
        <v>79</v>
      </c>
      <c r="G386" s="1" t="s">
        <v>77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6" s="2">
        <f>Games[[#This Row],[DaysOff]]-Games[[#This Row],[OppDaysOff]]</f>
        <v>1</v>
      </c>
      <c r="L386" s="2">
        <f>Games[[#This Row],[OppDaysOff]]-Games[[#This Row],[DaysOff]]</f>
        <v>-1</v>
      </c>
      <c r="M386" s="1">
        <f>MAX(-16, MIN(16, Games[[#This Row],[RestDiff]]*8))</f>
        <v>8</v>
      </c>
      <c r="N386" s="1">
        <f>MAX(-16, MIN(16, Games[[#This Row],[OppRestDiff]]*8))</f>
        <v>-8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1453.0552092586074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1354.7104657161663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0.54355889491219656</v>
      </c>
      <c r="R386" s="1">
        <v>62</v>
      </c>
      <c r="S386" s="1">
        <v>64</v>
      </c>
      <c r="T386" s="1">
        <v>0</v>
      </c>
      <c r="U386" s="1">
        <f>Games[[#This Row],[PointsFor]]-Games[[#This Row],[PointsAgainst]]</f>
        <v>-2</v>
      </c>
      <c r="V386" s="1">
        <f>IF(Games[[#This Row],[MOV]]&gt;0,1,IF(Games[[#This Row],[MOV]]=0,0.5,0))</f>
        <v>0</v>
      </c>
      <c r="W386" s="4">
        <f>((ABS(Games[[#This Row],[MOV]])+5)^0.6)/(12+0.01*(ABS(Games[[#This Row],[PreGmRate]]-Games[[#This Row],[OppPreGmRate]])))*IF(Games[[#This Row],[OT]]=1,0.9,1)</f>
        <v>0.24755334557342659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72.400000000000006</v>
      </c>
      <c r="Z386" s="4">
        <f>Games[[#This Row],[K]]*Games[[#This Row],[POMult]]</f>
        <v>72.400000000000006</v>
      </c>
      <c r="AA386" s="4">
        <f>(Games[[#This Row],[Keff]]*Games[[#This Row],[MOVMult]])*(Games[[#This Row],[Result]]-Games[[#This Row],[ExpectedWin%]])</f>
        <v>-9.7421311817037228</v>
      </c>
      <c r="AB386" s="4">
        <f>Games[[#This Row],[PreGmRate]]+Games[[#This Row],[RatingChange]]</f>
        <v>1443.3130780769036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1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37101</v>
      </c>
      <c r="B387" s="2">
        <v>2001</v>
      </c>
      <c r="C387" s="2">
        <f>COUNTIFS(Games[Team],Games[[#This Row],[Team]],Games[Season],Games[[#This Row],[Season]],Games[Date],"&lt;=" &amp; Games[[#This Row],[Date]])</f>
        <v>25</v>
      </c>
      <c r="D387" s="2" t="s">
        <v>23</v>
      </c>
      <c r="E387" s="2" t="s">
        <v>29</v>
      </c>
      <c r="F387" s="1" t="s">
        <v>77</v>
      </c>
      <c r="G387" s="1" t="s">
        <v>79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-1</v>
      </c>
      <c r="L387" s="2">
        <f>Games[[#This Row],[OppDaysOff]]-Games[[#This Row],[DaysOff]]</f>
        <v>1</v>
      </c>
      <c r="M387" s="1">
        <f>MAX(-16, MIN(16, Games[[#This Row],[RestDiff]]*8))</f>
        <v>-8</v>
      </c>
      <c r="N387" s="1">
        <f>MAX(-16, MIN(16, Games[[#This Row],[OppRestDiff]]*8))</f>
        <v>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1354.7104657161663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1453.0552092586074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0.45644110508780344</v>
      </c>
      <c r="R387" s="1">
        <v>64</v>
      </c>
      <c r="S387" s="1">
        <v>62</v>
      </c>
      <c r="T387" s="1">
        <v>0</v>
      </c>
      <c r="U387" s="1">
        <f>Games[[#This Row],[PointsFor]]-Games[[#This Row],[PointsAgainst]]</f>
        <v>2</v>
      </c>
      <c r="V387" s="1">
        <f>IF(Games[[#This Row],[MOV]]&gt;0,1,IF(Games[[#This Row],[MOV]]=0,0.5,0))</f>
        <v>1</v>
      </c>
      <c r="W387" s="4">
        <f>((ABS(Games[[#This Row],[MOV]])+5)^0.6)/(12+0.01*(ABS(Games[[#This Row],[PreGmRate]]-Games[[#This Row],[OppPreGmRate]])))*IF(Games[[#This Row],[OT]]=1,0.9,1)</f>
        <v>0.24755334557342659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72.25</v>
      </c>
      <c r="Z387" s="4">
        <f>Games[[#This Row],[K]]*Games[[#This Row],[POMult]]</f>
        <v>72.25</v>
      </c>
      <c r="AA387" s="4">
        <f>(Games[[#This Row],[Keff]]*Games[[#This Row],[MOVMult]])*(Games[[#This Row],[Result]]-Games[[#This Row],[ExpectedWin%]])</f>
        <v>9.7219472082609659</v>
      </c>
      <c r="AB387" s="4">
        <f>Games[[#This Row],[PreGmRate]]+Games[[#This Row],[RatingChange]]</f>
        <v>1364.4324129244271</v>
      </c>
      <c r="AC387" s="2">
        <f>IF(Games[[#This Row],[Type]]="R",IF(Games[[#This Row],[Result]]&gt;0.5,1,0),0)</f>
        <v>1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37101</v>
      </c>
      <c r="B388" s="2">
        <v>2001</v>
      </c>
      <c r="C388" s="2">
        <f>COUNTIFS(Games[Team],Games[[#This Row],[Team]],Games[Season],Games[[#This Row],[Season]],Games[Date],"&lt;=" &amp; Games[[#This Row],[Date]])</f>
        <v>24</v>
      </c>
      <c r="D388" s="2" t="s">
        <v>23</v>
      </c>
      <c r="E388" s="2" t="s">
        <v>29</v>
      </c>
      <c r="F388" s="1" t="s">
        <v>44</v>
      </c>
      <c r="G388" s="1" t="s">
        <v>45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1502.5471100046798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1582.9992571460364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0.2795564837760775</v>
      </c>
      <c r="R388" s="1">
        <v>47</v>
      </c>
      <c r="S388" s="1">
        <v>63</v>
      </c>
      <c r="T388" s="1">
        <v>0</v>
      </c>
      <c r="U388" s="1">
        <f>Games[[#This Row],[PointsFor]]-Games[[#This Row],[PointsAgainst]]</f>
        <v>-16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0.48525299451700682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72.400000000000006</v>
      </c>
      <c r="Z388" s="4">
        <f>Games[[#This Row],[K]]*Games[[#This Row],[POMult]]</f>
        <v>72.400000000000006</v>
      </c>
      <c r="AA388" s="4">
        <f>(Games[[#This Row],[Keff]]*Games[[#This Row],[MOVMult]])*(Games[[#This Row],[Result]]-Games[[#This Row],[ExpectedWin%]])</f>
        <v>-9.8214669523626323</v>
      </c>
      <c r="AB388" s="4">
        <f>Games[[#This Row],[PreGmRate]]+Games[[#This Row],[RatingChange]]</f>
        <v>1492.7256430523171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1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37101</v>
      </c>
      <c r="B389" s="2">
        <v>2001</v>
      </c>
      <c r="C389" s="2">
        <f>COUNTIFS(Games[Team],Games[[#This Row],[Team]],Games[Season],Games[[#This Row],[Season]],Games[Date],"&lt;=" &amp; Games[[#This Row],[Date]])</f>
        <v>25</v>
      </c>
      <c r="D389" s="2" t="s">
        <v>23</v>
      </c>
      <c r="E389" s="2" t="s">
        <v>29</v>
      </c>
      <c r="F389" s="1" t="s">
        <v>45</v>
      </c>
      <c r="G389" s="1" t="s">
        <v>44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1582.9992571460364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1502.5471100046798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0.72044351622392244</v>
      </c>
      <c r="R389" s="1">
        <v>63</v>
      </c>
      <c r="S389" s="1">
        <v>47</v>
      </c>
      <c r="T389" s="1">
        <v>0</v>
      </c>
      <c r="U389" s="1">
        <f>Games[[#This Row],[PointsFor]]-Games[[#This Row],[PointsAgainst]]</f>
        <v>16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0.48525299451700682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72.25</v>
      </c>
      <c r="Z389" s="4">
        <f>Games[[#This Row],[K]]*Games[[#This Row],[POMult]]</f>
        <v>72.25</v>
      </c>
      <c r="AA389" s="4">
        <f>(Games[[#This Row],[Keff]]*Games[[#This Row],[MOVMult]])*(Games[[#This Row],[Result]]-Games[[#This Row],[ExpectedWin%]])</f>
        <v>9.8011186092292863</v>
      </c>
      <c r="AB389" s="4">
        <f>Games[[#This Row],[PreGmRate]]+Games[[#This Row],[RatingChange]]</f>
        <v>1592.8003757552656</v>
      </c>
      <c r="AC389" s="2">
        <f>IF(Games[[#This Row],[Type]]="R",IF(Games[[#This Row],[Result]]&gt;0.5,1,0),0)</f>
        <v>1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37101</v>
      </c>
      <c r="B390" s="2">
        <v>2001</v>
      </c>
      <c r="C390" s="2">
        <f>COUNTIFS(Games[Team],Games[[#This Row],[Team]],Games[Season],Games[[#This Row],[Season]],Games[Date],"&lt;=" &amp; Games[[#This Row],[Date]])</f>
        <v>25</v>
      </c>
      <c r="D390" s="2" t="s">
        <v>23</v>
      </c>
      <c r="E390" s="2" t="s">
        <v>29</v>
      </c>
      <c r="F390" s="1" t="s">
        <v>64</v>
      </c>
      <c r="G390" s="1" t="s">
        <v>75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1</v>
      </c>
      <c r="L390" s="2">
        <f>Games[[#This Row],[OppDaysOff]]-Games[[#This Row],[DaysOff]]</f>
        <v>-1</v>
      </c>
      <c r="M390" s="1">
        <f>MAX(-16, MIN(16, Games[[#This Row],[RestDiff]]*8))</f>
        <v>8</v>
      </c>
      <c r="N390" s="1">
        <f>MAX(-16, MIN(16, Games[[#This Row],[OppRestDiff]]*8))</f>
        <v>-8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1459.0071218744449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1374.1303256687497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0.52426857736373556</v>
      </c>
      <c r="R390" s="1">
        <v>42</v>
      </c>
      <c r="S390" s="1">
        <v>55</v>
      </c>
      <c r="T390" s="1">
        <v>0</v>
      </c>
      <c r="U390" s="1">
        <f>Games[[#This Row],[PointsFor]]-Games[[#This Row],[PointsAgainst]]</f>
        <v>-13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0.44086134051895354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72.25</v>
      </c>
      <c r="Z390" s="4">
        <f>Games[[#This Row],[K]]*Games[[#This Row],[POMult]]</f>
        <v>72.25</v>
      </c>
      <c r="AA390" s="4">
        <f>(Games[[#This Row],[Keff]]*Games[[#This Row],[MOVMult]])*(Games[[#This Row],[Result]]-Games[[#This Row],[ExpectedWin%]])</f>
        <v>-16.699124279167098</v>
      </c>
      <c r="AB390" s="4">
        <f>Games[[#This Row],[PreGmRate]]+Games[[#This Row],[RatingChange]]</f>
        <v>1442.3079975952778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1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37101</v>
      </c>
      <c r="B391" s="2">
        <v>2001</v>
      </c>
      <c r="C391" s="2">
        <f>COUNTIFS(Games[Team],Games[[#This Row],[Team]],Games[Season],Games[[#This Row],[Season]],Games[Date],"&lt;=" &amp; Games[[#This Row],[Date]])</f>
        <v>24</v>
      </c>
      <c r="D391" s="2" t="s">
        <v>23</v>
      </c>
      <c r="E391" s="2" t="s">
        <v>29</v>
      </c>
      <c r="F391" s="1" t="s">
        <v>75</v>
      </c>
      <c r="G391" s="1" t="s">
        <v>64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1" s="2">
        <f>Games[[#This Row],[DaysOff]]-Games[[#This Row],[OppDaysOff]]</f>
        <v>-1</v>
      </c>
      <c r="L391" s="2">
        <f>Games[[#This Row],[OppDaysOff]]-Games[[#This Row],[DaysOff]]</f>
        <v>1</v>
      </c>
      <c r="M391" s="1">
        <f>MAX(-16, MIN(16, Games[[#This Row],[RestDiff]]*8))</f>
        <v>-8</v>
      </c>
      <c r="N391" s="1">
        <f>MAX(-16, MIN(16, Games[[#This Row],[OppRestDiff]]*8))</f>
        <v>8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1374.1303256687497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1459.0071218744449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0.47573142263626444</v>
      </c>
      <c r="R391" s="1">
        <v>55</v>
      </c>
      <c r="S391" s="1">
        <v>42</v>
      </c>
      <c r="T391" s="1">
        <v>0</v>
      </c>
      <c r="U391" s="1">
        <f>Games[[#This Row],[PointsFor]]-Games[[#This Row],[PointsAgainst]]</f>
        <v>13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0.44086134051895354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72.400000000000006</v>
      </c>
      <c r="Z391" s="4">
        <f>Games[[#This Row],[K]]*Games[[#This Row],[POMult]]</f>
        <v>72.400000000000006</v>
      </c>
      <c r="AA391" s="4">
        <f>(Games[[#This Row],[Keff]]*Games[[#This Row],[MOVMult]])*(Games[[#This Row],[Result]]-Games[[#This Row],[ExpectedWin%]])</f>
        <v>16.733793741338381</v>
      </c>
      <c r="AB391" s="4">
        <f>Games[[#This Row],[PreGmRate]]+Games[[#This Row],[RatingChange]]</f>
        <v>1390.8641194100881</v>
      </c>
      <c r="AC391" s="2">
        <f>IF(Games[[#This Row],[Type]]="R",IF(Games[[#This Row],[Result]]&gt;0.5,1,0),0)</f>
        <v>1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37102</v>
      </c>
      <c r="B392" s="2">
        <v>2001</v>
      </c>
      <c r="C392" s="2">
        <f>COUNTIFS(Games[Team],Games[[#This Row],[Team]],Games[Season],Games[[#This Row],[Season]],Games[Date],"&lt;=" &amp; Games[[#This Row],[Date]])</f>
        <v>25</v>
      </c>
      <c r="D392" s="2" t="s">
        <v>23</v>
      </c>
      <c r="E392" s="2" t="s">
        <v>29</v>
      </c>
      <c r="F392" s="1" t="s">
        <v>79</v>
      </c>
      <c r="G392" s="1" t="s">
        <v>1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2" s="2">
        <f>Games[[#This Row],[DaysOff]]-Games[[#This Row],[OppDaysOff]]</f>
        <v>-1</v>
      </c>
      <c r="L392" s="2">
        <f>Games[[#This Row],[OppDaysOff]]-Games[[#This Row],[DaysOff]]</f>
        <v>1</v>
      </c>
      <c r="M392" s="1">
        <f>MAX(-16, MIN(16, Games[[#This Row],[RestDiff]]*8))</f>
        <v>-8</v>
      </c>
      <c r="N392" s="1">
        <f>MAX(-16, MIN(16, Games[[#This Row],[OppRestDiff]]*8))</f>
        <v>8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1443.3130780769036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1647.2351270840729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0.14810826145010239</v>
      </c>
      <c r="R392" s="1">
        <v>47</v>
      </c>
      <c r="S392" s="1">
        <v>65</v>
      </c>
      <c r="T392" s="1">
        <v>0</v>
      </c>
      <c r="U392" s="1">
        <f>Games[[#This Row],[PointsFor]]-Games[[#This Row],[PointsAgainst]]</f>
        <v>-18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0.46740537981837371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72.25</v>
      </c>
      <c r="Z392" s="4">
        <f>Games[[#This Row],[K]]*Games[[#This Row],[POMult]]</f>
        <v>72.25</v>
      </c>
      <c r="AA392" s="4">
        <f>(Games[[#This Row],[Keff]]*Games[[#This Row],[MOVMult]])*(Games[[#This Row],[Result]]-Games[[#This Row],[ExpectedWin%]])</f>
        <v>-5.0016217197566668</v>
      </c>
      <c r="AB392" s="4">
        <f>Games[[#This Row],[PreGmRate]]+Games[[#This Row],[RatingChange]]</f>
        <v>1438.3114563571469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37102</v>
      </c>
      <c r="B393" s="2">
        <v>2001</v>
      </c>
      <c r="C393" s="2">
        <f>COUNTIFS(Games[Team],Games[[#This Row],[Team]],Games[Season],Games[[#This Row],[Season]],Games[Date],"&lt;=" &amp; Games[[#This Row],[Date]])</f>
        <v>26</v>
      </c>
      <c r="D393" s="2" t="s">
        <v>23</v>
      </c>
      <c r="E393" s="2" t="s">
        <v>29</v>
      </c>
      <c r="F393" s="1" t="s">
        <v>1</v>
      </c>
      <c r="G393" s="1" t="s">
        <v>79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3" s="2">
        <f>Games[[#This Row],[DaysOff]]-Games[[#This Row],[OppDaysOff]]</f>
        <v>1</v>
      </c>
      <c r="L393" s="2">
        <f>Games[[#This Row],[OppDaysOff]]-Games[[#This Row],[DaysOff]]</f>
        <v>-1</v>
      </c>
      <c r="M393" s="1">
        <f>MAX(-16, MIN(16, Games[[#This Row],[RestDiff]]*8))</f>
        <v>8</v>
      </c>
      <c r="N393" s="1">
        <f>MAX(-16, MIN(16, Games[[#This Row],[OppRestDiff]]*8))</f>
        <v>-8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1647.2351270840729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1443.3130780769036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0.85189173854989753</v>
      </c>
      <c r="R393" s="1">
        <v>65</v>
      </c>
      <c r="S393" s="1">
        <v>47</v>
      </c>
      <c r="T393" s="1">
        <v>0</v>
      </c>
      <c r="U393" s="1">
        <f>Games[[#This Row],[PointsFor]]-Games[[#This Row],[PointsAgainst]]</f>
        <v>18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0.46740537981837371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72.099999999999994</v>
      </c>
      <c r="Z393" s="4">
        <f>Games[[#This Row],[K]]*Games[[#This Row],[POMult]]</f>
        <v>72.099999999999994</v>
      </c>
      <c r="AA393" s="4">
        <f>(Games[[#This Row],[Keff]]*Games[[#This Row],[MOVMult]])*(Games[[#This Row],[Result]]-Games[[#This Row],[ExpectedWin%]])</f>
        <v>4.9912377300270698</v>
      </c>
      <c r="AB393" s="4">
        <f>Games[[#This Row],[PreGmRate]]+Games[[#This Row],[RatingChange]]</f>
        <v>1652.2263648141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37102</v>
      </c>
      <c r="B394" s="2">
        <v>2001</v>
      </c>
      <c r="C394" s="2">
        <f>COUNTIFS(Games[Team],Games[[#This Row],[Team]],Games[Season],Games[[#This Row],[Season]],Games[Date],"&lt;=" &amp; Games[[#This Row],[Date]])</f>
        <v>26</v>
      </c>
      <c r="D394" s="2" t="s">
        <v>23</v>
      </c>
      <c r="E394" s="2" t="s">
        <v>29</v>
      </c>
      <c r="F394" s="1" t="s">
        <v>87</v>
      </c>
      <c r="G394" s="1" t="s">
        <v>2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4" s="2">
        <f>Games[[#This Row],[DaysOff]]-Games[[#This Row],[OppDaysOff]]</f>
        <v>1</v>
      </c>
      <c r="L394" s="2">
        <f>Games[[#This Row],[OppDaysOff]]-Games[[#This Row],[DaysOff]]</f>
        <v>-1</v>
      </c>
      <c r="M394" s="1">
        <f>MAX(-16, MIN(16, Games[[#This Row],[RestDiff]]*8))</f>
        <v>8</v>
      </c>
      <c r="N394" s="1">
        <f>MAX(-16, MIN(16, Games[[#This Row],[OppRestDiff]]*8))</f>
        <v>-8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1381.2591029162716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1623.5112797860768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0.14356935711692714</v>
      </c>
      <c r="R394" s="1">
        <v>51</v>
      </c>
      <c r="S394" s="1">
        <v>55</v>
      </c>
      <c r="T394" s="1">
        <v>0</v>
      </c>
      <c r="U394" s="1">
        <f>Games[[#This Row],[PointsFor]]-Games[[#This Row],[PointsAgainst]]</f>
        <v>-4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0.2591220092284815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72.099999999999994</v>
      </c>
      <c r="Z394" s="4">
        <f>Games[[#This Row],[K]]*Games[[#This Row],[POMult]]</f>
        <v>72.099999999999994</v>
      </c>
      <c r="AA394" s="4">
        <f>(Games[[#This Row],[Keff]]*Games[[#This Row],[MOVMult]])*(Games[[#This Row],[Result]]-Games[[#This Row],[ExpectedWin%]])</f>
        <v>-2.6822627781721056</v>
      </c>
      <c r="AB394" s="4">
        <f>Games[[#This Row],[PreGmRate]]+Games[[#This Row],[RatingChange]]</f>
        <v>1378.5768401380994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37102</v>
      </c>
      <c r="B395" s="2">
        <v>2001</v>
      </c>
      <c r="C395" s="2">
        <f>COUNTIFS(Games[Team],Games[[#This Row],[Team]],Games[Season],Games[[#This Row],[Season]],Games[Date],"&lt;=" &amp; Games[[#This Row],[Date]])</f>
        <v>24</v>
      </c>
      <c r="D395" s="2" t="s">
        <v>23</v>
      </c>
      <c r="E395" s="2" t="s">
        <v>29</v>
      </c>
      <c r="F395" s="1" t="s">
        <v>2</v>
      </c>
      <c r="G395" s="1" t="s">
        <v>87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-1</v>
      </c>
      <c r="L395" s="2">
        <f>Games[[#This Row],[OppDaysOff]]-Games[[#This Row],[DaysOff]]</f>
        <v>1</v>
      </c>
      <c r="M395" s="1">
        <f>MAX(-16, MIN(16, Games[[#This Row],[RestDiff]]*8))</f>
        <v>-8</v>
      </c>
      <c r="N395" s="1">
        <f>MAX(-16, MIN(16, Games[[#This Row],[OppRestDiff]]*8))</f>
        <v>8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1623.5112797860768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1381.2591029162716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0.85643064288307291</v>
      </c>
      <c r="R395" s="1">
        <v>55</v>
      </c>
      <c r="S395" s="1">
        <v>51</v>
      </c>
      <c r="T395" s="1">
        <v>0</v>
      </c>
      <c r="U395" s="1">
        <f>Games[[#This Row],[PointsFor]]-Games[[#This Row],[PointsAgainst]]</f>
        <v>4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0.2591220092284815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72.400000000000006</v>
      </c>
      <c r="Z395" s="4">
        <f>Games[[#This Row],[K]]*Games[[#This Row],[POMult]]</f>
        <v>72.400000000000006</v>
      </c>
      <c r="AA395" s="4">
        <f>(Games[[#This Row],[Keff]]*Games[[#This Row],[MOVMult]])*(Games[[#This Row],[Result]]-Games[[#This Row],[ExpectedWin%]])</f>
        <v>2.6934233722560386</v>
      </c>
      <c r="AB395" s="4">
        <f>Games[[#This Row],[PreGmRate]]+Games[[#This Row],[RatingChange]]</f>
        <v>1626.2047031583329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37102</v>
      </c>
      <c r="B396" s="2">
        <v>2001</v>
      </c>
      <c r="C396" s="2">
        <f>COUNTIFS(Games[Team],Games[[#This Row],[Team]],Games[Season],Games[[#This Row],[Season]],Games[Date],"&lt;=" &amp; Games[[#This Row],[Date]])</f>
        <v>24</v>
      </c>
      <c r="D396" s="2" t="s">
        <v>23</v>
      </c>
      <c r="E396" s="2" t="s">
        <v>29</v>
      </c>
      <c r="F396" s="1" t="s">
        <v>80</v>
      </c>
      <c r="G396" s="1" t="s">
        <v>71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1400.96439801217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1723.0855462830696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8.8038684707901216E-2</v>
      </c>
      <c r="R396" s="1">
        <v>69</v>
      </c>
      <c r="S396" s="1">
        <v>78</v>
      </c>
      <c r="T396" s="1">
        <v>0</v>
      </c>
      <c r="U396" s="1">
        <f>Games[[#This Row],[PointsFor]]-Games[[#This Row],[PointsAgainst]]</f>
        <v>-9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0.32005719986881626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72.400000000000006</v>
      </c>
      <c r="Z396" s="4">
        <f>Games[[#This Row],[K]]*Games[[#This Row],[POMult]]</f>
        <v>72.400000000000006</v>
      </c>
      <c r="AA396" s="4">
        <f>(Games[[#This Row],[Keff]]*Games[[#This Row],[MOVMult]])*(Games[[#This Row],[Result]]-Games[[#This Row],[ExpectedWin%]])</f>
        <v>-2.0400448393206974</v>
      </c>
      <c r="AB396" s="4">
        <f>Games[[#This Row],[PreGmRate]]+Games[[#This Row],[RatingChange]]</f>
        <v>1398.9243531728494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37102</v>
      </c>
      <c r="B397" s="2">
        <v>2001</v>
      </c>
      <c r="C397" s="2">
        <f>COUNTIFS(Games[Team],Games[[#This Row],[Team]],Games[Season],Games[[#This Row],[Season]],Games[Date],"&lt;=" &amp; Games[[#This Row],[Date]])</f>
        <v>25</v>
      </c>
      <c r="D397" s="2" t="s">
        <v>23</v>
      </c>
      <c r="E397" s="2" t="s">
        <v>29</v>
      </c>
      <c r="F397" s="1" t="s">
        <v>71</v>
      </c>
      <c r="G397" s="1" t="s">
        <v>80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1723.0855462830696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1400.96439801217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0.91196131529209878</v>
      </c>
      <c r="R397" s="1">
        <v>78</v>
      </c>
      <c r="S397" s="1">
        <v>69</v>
      </c>
      <c r="T397" s="1">
        <v>0</v>
      </c>
      <c r="U397" s="1">
        <f>Games[[#This Row],[PointsFor]]-Games[[#This Row],[PointsAgainst]]</f>
        <v>9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0.32005719986881626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72.25</v>
      </c>
      <c r="Z397" s="4">
        <f>Games[[#This Row],[K]]*Games[[#This Row],[POMult]]</f>
        <v>72.25</v>
      </c>
      <c r="AA397" s="4">
        <f>(Games[[#This Row],[Keff]]*Games[[#This Row],[MOVMult]])*(Games[[#This Row],[Result]]-Games[[#This Row],[ExpectedWin%]])</f>
        <v>2.0358182270845355</v>
      </c>
      <c r="AB397" s="4">
        <f>Games[[#This Row],[PreGmRate]]+Games[[#This Row],[RatingChange]]</f>
        <v>1725.1213645101541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37102</v>
      </c>
      <c r="B398" s="2">
        <v>2001</v>
      </c>
      <c r="C398" s="2">
        <f>COUNTIFS(Games[Team],Games[[#This Row],[Team]],Games[Season],Games[[#This Row],[Season]],Games[Date],"&lt;=" &amp; Games[[#This Row],[Date]])</f>
        <v>24</v>
      </c>
      <c r="D398" s="2" t="s">
        <v>23</v>
      </c>
      <c r="E398" s="2" t="s">
        <v>29</v>
      </c>
      <c r="F398" s="1" t="s">
        <v>43</v>
      </c>
      <c r="G398" s="1" t="s">
        <v>89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1522.2658276220268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1451.0253954639245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0.48164575667457338</v>
      </c>
      <c r="R398" s="1">
        <v>79</v>
      </c>
      <c r="S398" s="1">
        <v>73</v>
      </c>
      <c r="T398" s="1">
        <v>0</v>
      </c>
      <c r="U398" s="1">
        <f>Games[[#This Row],[PointsFor]]-Games[[#This Row],[PointsAgainst]]</f>
        <v>6</v>
      </c>
      <c r="V398" s="1">
        <f>IF(Games[[#This Row],[MOV]]&gt;0,1,IF(Games[[#This Row],[MOV]]=0,0.5,0))</f>
        <v>1</v>
      </c>
      <c r="W398" s="4">
        <f>((ABS(Games[[#This Row],[MOV]])+5)^0.6)/(12+0.01*(ABS(Games[[#This Row],[PreGmRate]]-Games[[#This Row],[OppPreGmRate]])))*IF(Games[[#This Row],[OT]]=1,0.9,1)</f>
        <v>0.33159495453867383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72.400000000000006</v>
      </c>
      <c r="Z398" s="4">
        <f>Games[[#This Row],[K]]*Games[[#This Row],[POMult]]</f>
        <v>72.400000000000006</v>
      </c>
      <c r="AA398" s="4">
        <f>(Games[[#This Row],[Keff]]*Games[[#This Row],[MOVMult]])*(Games[[#This Row],[Result]]-Games[[#This Row],[ExpectedWin%]])</f>
        <v>12.444376386730664</v>
      </c>
      <c r="AB398" s="4">
        <f>Games[[#This Row],[PreGmRate]]+Games[[#This Row],[RatingChange]]</f>
        <v>1534.7102040087575</v>
      </c>
      <c r="AC398" s="2">
        <f>IF(Games[[#This Row],[Type]]="R",IF(Games[[#This Row],[Result]]&gt;0.5,1,0),0)</f>
        <v>1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37102</v>
      </c>
      <c r="B399" s="2">
        <v>2001</v>
      </c>
      <c r="C399" s="2">
        <f>COUNTIFS(Games[Team],Games[[#This Row],[Team]],Games[Season],Games[[#This Row],[Season]],Games[Date],"&lt;=" &amp; Games[[#This Row],[Date]])</f>
        <v>25</v>
      </c>
      <c r="D399" s="2" t="s">
        <v>23</v>
      </c>
      <c r="E399" s="2" t="s">
        <v>29</v>
      </c>
      <c r="F399" s="1" t="s">
        <v>89</v>
      </c>
      <c r="G399" s="1" t="s">
        <v>43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1451.0253954639245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1522.2658276220268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0.51835424332542668</v>
      </c>
      <c r="R399" s="1">
        <v>73</v>
      </c>
      <c r="S399" s="1">
        <v>79</v>
      </c>
      <c r="T399" s="1">
        <v>0</v>
      </c>
      <c r="U399" s="1">
        <f>Games[[#This Row],[PointsFor]]-Games[[#This Row],[PointsAgainst]]</f>
        <v>-6</v>
      </c>
      <c r="V399" s="1">
        <f>IF(Games[[#This Row],[MOV]]&gt;0,1,IF(Games[[#This Row],[MOV]]=0,0.5,0))</f>
        <v>0</v>
      </c>
      <c r="W399" s="4">
        <f>((ABS(Games[[#This Row],[MOV]])+5)^0.6)/(12+0.01*(ABS(Games[[#This Row],[PreGmRate]]-Games[[#This Row],[OppPreGmRate]])))*IF(Games[[#This Row],[OT]]=1,0.9,1)</f>
        <v>0.33159495453867383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72.25</v>
      </c>
      <c r="Z399" s="4">
        <f>Games[[#This Row],[K]]*Games[[#This Row],[POMult]]</f>
        <v>72.25</v>
      </c>
      <c r="AA399" s="4">
        <f>(Games[[#This Row],[Keff]]*Games[[#This Row],[MOVMult]])*(Games[[#This Row],[Result]]-Games[[#This Row],[ExpectedWin%]])</f>
        <v>-12.4185938389681</v>
      </c>
      <c r="AB399" s="4">
        <f>Games[[#This Row],[PreGmRate]]+Games[[#This Row],[RatingChange]]</f>
        <v>1438.6068016249565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1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37103</v>
      </c>
      <c r="B400" s="2">
        <v>2001</v>
      </c>
      <c r="C400" s="2">
        <f>COUNTIFS(Games[Team],Games[[#This Row],[Team]],Games[Season],Games[[#This Row],[Season]],Games[Date],"&lt;=" &amp; Games[[#This Row],[Date]])</f>
        <v>26</v>
      </c>
      <c r="D400" s="2" t="s">
        <v>23</v>
      </c>
      <c r="E400" s="2" t="s">
        <v>29</v>
      </c>
      <c r="F400" s="1" t="s">
        <v>83</v>
      </c>
      <c r="G400" s="1" t="s">
        <v>64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1</v>
      </c>
      <c r="L400" s="2">
        <f>Games[[#This Row],[OppDaysOff]]-Games[[#This Row],[DaysOff]]</f>
        <v>-1</v>
      </c>
      <c r="M400" s="1">
        <f>MAX(-16, MIN(16, Games[[#This Row],[RestDiff]]*8))</f>
        <v>8</v>
      </c>
      <c r="N400" s="1">
        <f>MAX(-16, MIN(16, Games[[#This Row],[OppRestDiff]]*8))</f>
        <v>-8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1560.2909065515503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1442.3079975952778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0.57143902369454969</v>
      </c>
      <c r="R400" s="1">
        <v>45</v>
      </c>
      <c r="S400" s="1">
        <v>63</v>
      </c>
      <c r="T400" s="1">
        <v>0</v>
      </c>
      <c r="U400" s="1">
        <f>Games[[#This Row],[PointsFor]]-Games[[#This Row],[PointsAgainst]]</f>
        <v>-18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0.49788257047372425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72.099999999999994</v>
      </c>
      <c r="Z400" s="4">
        <f>Games[[#This Row],[K]]*Games[[#This Row],[POMult]]</f>
        <v>72.099999999999994</v>
      </c>
      <c r="AA400" s="4">
        <f>(Games[[#This Row],[Keff]]*Games[[#This Row],[MOVMult]])*(Games[[#This Row],[Result]]-Games[[#This Row],[ExpectedWin%]])</f>
        <v>-20.513137111993323</v>
      </c>
      <c r="AB400" s="4">
        <f>Games[[#This Row],[PreGmRate]]+Games[[#This Row],[RatingChange]]</f>
        <v>1539.777769439557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37103</v>
      </c>
      <c r="B401" s="2">
        <v>2001</v>
      </c>
      <c r="C401" s="2">
        <f>COUNTIFS(Games[Team],Games[[#This Row],[Team]],Games[Season],Games[[#This Row],[Season]],Games[Date],"&lt;=" &amp; Games[[#This Row],[Date]])</f>
        <v>26</v>
      </c>
      <c r="D401" s="2" t="s">
        <v>23</v>
      </c>
      <c r="E401" s="2" t="s">
        <v>29</v>
      </c>
      <c r="F401" s="1" t="s">
        <v>64</v>
      </c>
      <c r="G401" s="1" t="s">
        <v>83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1" s="2">
        <f>Games[[#This Row],[DaysOff]]-Games[[#This Row],[OppDaysOff]]</f>
        <v>-1</v>
      </c>
      <c r="L401" s="2">
        <f>Games[[#This Row],[OppDaysOff]]-Games[[#This Row],[DaysOff]]</f>
        <v>1</v>
      </c>
      <c r="M401" s="1">
        <f>MAX(-16, MIN(16, Games[[#This Row],[RestDiff]]*8))</f>
        <v>-8</v>
      </c>
      <c r="N401" s="1">
        <f>MAX(-16, MIN(16, Games[[#This Row],[OppRestDiff]]*8))</f>
        <v>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1442.3079975952778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1560.2909065515503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0.42856097630545037</v>
      </c>
      <c r="R401" s="1">
        <v>63</v>
      </c>
      <c r="S401" s="1">
        <v>45</v>
      </c>
      <c r="T401" s="1">
        <v>0</v>
      </c>
      <c r="U401" s="1">
        <f>Games[[#This Row],[PointsFor]]-Games[[#This Row],[PointsAgainst]]</f>
        <v>18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0.49788257047372425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72.099999999999994</v>
      </c>
      <c r="Z401" s="4">
        <f>Games[[#This Row],[K]]*Games[[#This Row],[POMult]]</f>
        <v>72.099999999999994</v>
      </c>
      <c r="AA401" s="4">
        <f>(Games[[#This Row],[Keff]]*Games[[#This Row],[MOVMult]])*(Games[[#This Row],[Result]]-Games[[#This Row],[ExpectedWin%]])</f>
        <v>20.513137111993323</v>
      </c>
      <c r="AB401" s="4">
        <f>Games[[#This Row],[PreGmRate]]+Games[[#This Row],[RatingChange]]</f>
        <v>1462.8211347072711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37104</v>
      </c>
      <c r="B402" s="2">
        <v>2001</v>
      </c>
      <c r="C402" s="2">
        <f>COUNTIFS(Games[Team],Games[[#This Row],[Team]],Games[Season],Games[[#This Row],[Season]],Games[Date],"&lt;=" &amp; Games[[#This Row],[Date]])</f>
        <v>25</v>
      </c>
      <c r="D402" s="2" t="s">
        <v>23</v>
      </c>
      <c r="E402" s="2" t="s">
        <v>29</v>
      </c>
      <c r="F402" s="1" t="s">
        <v>43</v>
      </c>
      <c r="G402" s="1" t="s">
        <v>2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1534.7102040087575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1626.2047031583329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0.26693532237351936</v>
      </c>
      <c r="R402" s="1">
        <v>71</v>
      </c>
      <c r="S402" s="1">
        <v>63</v>
      </c>
      <c r="T402" s="1">
        <v>0</v>
      </c>
      <c r="U402" s="1">
        <f>Games[[#This Row],[PointsFor]]-Games[[#This Row],[PointsAgainst]]</f>
        <v>8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0.36080575047779506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72.25</v>
      </c>
      <c r="Z402" s="4">
        <f>Games[[#This Row],[K]]*Games[[#This Row],[POMult]]</f>
        <v>72.25</v>
      </c>
      <c r="AA402" s="4">
        <f>(Games[[#This Row],[Keff]]*Games[[#This Row],[MOVMult]])*(Games[[#This Row],[Result]]-Games[[#This Row],[ExpectedWin%]])</f>
        <v>19.109687971294484</v>
      </c>
      <c r="AB402" s="4">
        <f>Games[[#This Row],[PreGmRate]]+Games[[#This Row],[RatingChange]]</f>
        <v>1553.819891980052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37104</v>
      </c>
      <c r="B403" s="2">
        <v>2001</v>
      </c>
      <c r="C403" s="2">
        <f>COUNTIFS(Games[Team],Games[[#This Row],[Team]],Games[Season],Games[[#This Row],[Season]],Games[Date],"&lt;=" &amp; Games[[#This Row],[Date]])</f>
        <v>25</v>
      </c>
      <c r="D403" s="2" t="s">
        <v>23</v>
      </c>
      <c r="E403" s="2" t="s">
        <v>29</v>
      </c>
      <c r="F403" s="1" t="s">
        <v>2</v>
      </c>
      <c r="G403" s="1" t="s">
        <v>43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1626.2047031583329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1534.7102040087575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0.73306467762648064</v>
      </c>
      <c r="R403" s="1">
        <v>63</v>
      </c>
      <c r="S403" s="1">
        <v>71</v>
      </c>
      <c r="T403" s="1">
        <v>0</v>
      </c>
      <c r="U403" s="1">
        <f>Games[[#This Row],[PointsFor]]-Games[[#This Row],[PointsAgainst]]</f>
        <v>-8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0.36080575047779506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72.25</v>
      </c>
      <c r="Z403" s="4">
        <f>Games[[#This Row],[K]]*Games[[#This Row],[POMult]]</f>
        <v>72.25</v>
      </c>
      <c r="AA403" s="4">
        <f>(Games[[#This Row],[Keff]]*Games[[#This Row],[MOVMult]])*(Games[[#This Row],[Result]]-Games[[#This Row],[ExpectedWin%]])</f>
        <v>-19.109687971294484</v>
      </c>
      <c r="AB403" s="4">
        <f>Games[[#This Row],[PreGmRate]]+Games[[#This Row],[RatingChange]]</f>
        <v>1607.0950151870384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37104</v>
      </c>
      <c r="B404" s="2">
        <v>2001</v>
      </c>
      <c r="C404" s="2">
        <f>COUNTIFS(Games[Team],Games[[#This Row],[Team]],Games[Season],Games[[#This Row],[Season]],Games[Date],"&lt;=" &amp; Games[[#This Row],[Date]])</f>
        <v>25</v>
      </c>
      <c r="D404" s="2" t="s">
        <v>23</v>
      </c>
      <c r="E404" s="2" t="s">
        <v>29</v>
      </c>
      <c r="F404" s="1" t="s">
        <v>75</v>
      </c>
      <c r="G404" s="1" t="s">
        <v>85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4" s="2">
        <f>Games[[#This Row],[DaysOff]]-Games[[#This Row],[OppDaysOff]]</f>
        <v>-1</v>
      </c>
      <c r="L404" s="2">
        <f>Games[[#This Row],[OppDaysOff]]-Games[[#This Row],[DaysOff]]</f>
        <v>1</v>
      </c>
      <c r="M404" s="1">
        <f>MAX(-16, MIN(16, Games[[#This Row],[RestDiff]]*8))</f>
        <v>-8</v>
      </c>
      <c r="N404" s="1">
        <f>MAX(-16, MIN(16, Games[[#This Row],[OppRestDiff]]*8))</f>
        <v>8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1390.8641194100881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1389.0880895155551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0.36229370007659356</v>
      </c>
      <c r="R404" s="1">
        <v>64</v>
      </c>
      <c r="S404" s="1">
        <v>70</v>
      </c>
      <c r="T404" s="1">
        <v>0</v>
      </c>
      <c r="U404" s="1">
        <f>Games[[#This Row],[PointsFor]]-Games[[#This Row],[PointsAgainst]]</f>
        <v>-6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0.35076162514756082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72.25</v>
      </c>
      <c r="Z404" s="4">
        <f>Games[[#This Row],[K]]*Games[[#This Row],[POMult]]</f>
        <v>72.25</v>
      </c>
      <c r="AA404" s="4">
        <f>(Games[[#This Row],[Keff]]*Games[[#This Row],[MOVMult]])*(Games[[#This Row],[Result]]-Games[[#This Row],[ExpectedWin%]])</f>
        <v>-9.1814380271653011</v>
      </c>
      <c r="AB404" s="4">
        <f>Games[[#This Row],[PreGmRate]]+Games[[#This Row],[RatingChange]]</f>
        <v>1381.6826813829227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37104</v>
      </c>
      <c r="B405" s="2">
        <v>2001</v>
      </c>
      <c r="C405" s="2">
        <f>COUNTIFS(Games[Team],Games[[#This Row],[Team]],Games[Season],Games[[#This Row],[Season]],Games[Date],"&lt;=" &amp; Games[[#This Row],[Date]])</f>
        <v>26</v>
      </c>
      <c r="D405" s="2" t="s">
        <v>23</v>
      </c>
      <c r="E405" s="2" t="s">
        <v>29</v>
      </c>
      <c r="F405" s="1" t="s">
        <v>85</v>
      </c>
      <c r="G405" s="1" t="s">
        <v>75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5" s="2">
        <f>Games[[#This Row],[DaysOff]]-Games[[#This Row],[OppDaysOff]]</f>
        <v>1</v>
      </c>
      <c r="L405" s="2">
        <f>Games[[#This Row],[OppDaysOff]]-Games[[#This Row],[DaysOff]]</f>
        <v>-1</v>
      </c>
      <c r="M405" s="1">
        <f>MAX(-16, MIN(16, Games[[#This Row],[RestDiff]]*8))</f>
        <v>8</v>
      </c>
      <c r="N405" s="1">
        <f>MAX(-16, MIN(16, Games[[#This Row],[OppRestDiff]]*8))</f>
        <v>-8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1389.0880895155551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1390.8641194100881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0.63770629992340644</v>
      </c>
      <c r="R405" s="1">
        <v>70</v>
      </c>
      <c r="S405" s="1">
        <v>64</v>
      </c>
      <c r="T405" s="1">
        <v>0</v>
      </c>
      <c r="U405" s="1">
        <f>Games[[#This Row],[PointsFor]]-Games[[#This Row],[PointsAgainst]]</f>
        <v>6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0.35076162514756082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72.099999999999994</v>
      </c>
      <c r="Z405" s="4">
        <f>Games[[#This Row],[K]]*Games[[#This Row],[POMult]]</f>
        <v>72.099999999999994</v>
      </c>
      <c r="AA405" s="4">
        <f>(Games[[#This Row],[Keff]]*Games[[#This Row],[MOVMult]])*(Games[[#This Row],[Result]]-Games[[#This Row],[ExpectedWin%]])</f>
        <v>9.162376218112362</v>
      </c>
      <c r="AB405" s="4">
        <f>Games[[#This Row],[PreGmRate]]+Games[[#This Row],[RatingChange]]</f>
        <v>1398.2504657336674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37104</v>
      </c>
      <c r="B406" s="2">
        <v>2001</v>
      </c>
      <c r="C406" s="2">
        <f>COUNTIFS(Games[Team],Games[[#This Row],[Team]],Games[Season],Games[[#This Row],[Season]],Games[Date],"&lt;=" &amp; Games[[#This Row],[Date]])</f>
        <v>26</v>
      </c>
      <c r="D406" s="2" t="s">
        <v>23</v>
      </c>
      <c r="E406" s="2" t="s">
        <v>29</v>
      </c>
      <c r="F406" s="1" t="s">
        <v>77</v>
      </c>
      <c r="G406" s="1" t="s">
        <v>66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6" s="2">
        <f>Games[[#This Row],[DaysOff]]-Games[[#This Row],[OppDaysOff]]</f>
        <v>-1</v>
      </c>
      <c r="L406" s="2">
        <f>Games[[#This Row],[OppDaysOff]]-Games[[#This Row],[DaysOff]]</f>
        <v>1</v>
      </c>
      <c r="M406" s="1">
        <f>MAX(-16, MIN(16, Games[[#This Row],[RestDiff]]*8))</f>
        <v>-8</v>
      </c>
      <c r="N406" s="1">
        <f>MAX(-16, MIN(16, Games[[#This Row],[OppRestDiff]]*8))</f>
        <v>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1364.4324129244271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1573.1906819583794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0.14462998734918583</v>
      </c>
      <c r="R406" s="1">
        <v>63</v>
      </c>
      <c r="S406" s="1">
        <v>66</v>
      </c>
      <c r="T406" s="1">
        <v>0</v>
      </c>
      <c r="U406" s="1">
        <f>Games[[#This Row],[PointsFor]]-Games[[#This Row],[PointsAgainst]]</f>
        <v>-3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0.24718238250856167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72.099999999999994</v>
      </c>
      <c r="Z406" s="4">
        <f>Games[[#This Row],[K]]*Games[[#This Row],[POMult]]</f>
        <v>72.099999999999994</v>
      </c>
      <c r="AA406" s="4">
        <f>(Games[[#This Row],[Keff]]*Games[[#This Row],[MOVMult]])*(Games[[#This Row],[Result]]-Games[[#This Row],[ExpectedWin%]])</f>
        <v>-2.5775739080566673</v>
      </c>
      <c r="AB406" s="4">
        <f>Games[[#This Row],[PreGmRate]]+Games[[#This Row],[RatingChange]]</f>
        <v>1361.8548390163705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1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37104</v>
      </c>
      <c r="B407" s="2">
        <v>2001</v>
      </c>
      <c r="C407" s="2">
        <f>COUNTIFS(Games[Team],Games[[#This Row],[Team]],Games[Season],Games[[#This Row],[Season]],Games[Date],"&lt;=" &amp; Games[[#This Row],[Date]])</f>
        <v>27</v>
      </c>
      <c r="D407" s="2" t="s">
        <v>23</v>
      </c>
      <c r="E407" s="2" t="s">
        <v>29</v>
      </c>
      <c r="F407" s="1" t="s">
        <v>66</v>
      </c>
      <c r="G407" s="1" t="s">
        <v>77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7" s="2">
        <f>Games[[#This Row],[DaysOff]]-Games[[#This Row],[OppDaysOff]]</f>
        <v>1</v>
      </c>
      <c r="L407" s="2">
        <f>Games[[#This Row],[OppDaysOff]]-Games[[#This Row],[DaysOff]]</f>
        <v>-1</v>
      </c>
      <c r="M407" s="1">
        <f>MAX(-16, MIN(16, Games[[#This Row],[RestDiff]]*8))</f>
        <v>8</v>
      </c>
      <c r="N407" s="1">
        <f>MAX(-16, MIN(16, Games[[#This Row],[OppRestDiff]]*8))</f>
        <v>-8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1573.1906819583794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1364.4324129244271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0.85537001265081414</v>
      </c>
      <c r="R407" s="1">
        <v>66</v>
      </c>
      <c r="S407" s="1">
        <v>63</v>
      </c>
      <c r="T407" s="1">
        <v>0</v>
      </c>
      <c r="U407" s="1">
        <f>Games[[#This Row],[PointsFor]]-Games[[#This Row],[PointsAgainst]]</f>
        <v>3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0.24718238250856167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71.95</v>
      </c>
      <c r="Z407" s="4">
        <f>Games[[#This Row],[K]]*Games[[#This Row],[POMult]]</f>
        <v>71.95</v>
      </c>
      <c r="AA407" s="4">
        <f>(Games[[#This Row],[Keff]]*Games[[#This Row],[MOVMult]])*(Games[[#This Row],[Result]]-Games[[#This Row],[ExpectedWin%]])</f>
        <v>2.5722114103283946</v>
      </c>
      <c r="AB407" s="4">
        <f>Games[[#This Row],[PreGmRate]]+Games[[#This Row],[RatingChange]]</f>
        <v>1575.7628933687079</v>
      </c>
      <c r="AC407" s="2">
        <f>IF(Games[[#This Row],[Type]]="R",IF(Games[[#This Row],[Result]]&gt;0.5,1,0),0)</f>
        <v>1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37104</v>
      </c>
      <c r="B408" s="2">
        <v>2001</v>
      </c>
      <c r="C408" s="2">
        <f>COUNTIFS(Games[Team],Games[[#This Row],[Team]],Games[Season],Games[[#This Row],[Season]],Games[Date],"&lt;=" &amp; Games[[#This Row],[Date]])</f>
        <v>26</v>
      </c>
      <c r="D408" s="2" t="s">
        <v>23</v>
      </c>
      <c r="E408" s="2" t="s">
        <v>29</v>
      </c>
      <c r="F408" s="1" t="s">
        <v>89</v>
      </c>
      <c r="G408" s="1" t="s">
        <v>79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6">
        <f>MAX(-16, MIN(16, Games[[#This Row],[RestDiff]]*8))</f>
        <v>0</v>
      </c>
      <c r="N408" s="16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1438.6068016249565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1438.3114563571469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0.38181708695379829</v>
      </c>
      <c r="R408" s="1">
        <v>63</v>
      </c>
      <c r="S408" s="1">
        <v>65</v>
      </c>
      <c r="T408" s="1">
        <v>0</v>
      </c>
      <c r="U408" s="16">
        <f>Games[[#This Row],[PointsFor]]-Games[[#This Row],[PointsAgainst]]</f>
        <v>-2</v>
      </c>
      <c r="V408" s="16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0.26777541564146534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72.099999999999994</v>
      </c>
      <c r="Z408" s="4">
        <f>Games[[#This Row],[K]]*Games[[#This Row],[POMult]]</f>
        <v>72.099999999999994</v>
      </c>
      <c r="AA408" s="4">
        <f>(Games[[#This Row],[Keff]]*Games[[#This Row],[MOVMult]])*(Games[[#This Row],[Result]]-Games[[#This Row],[ExpectedWin%]])</f>
        <v>-7.3715926222966193</v>
      </c>
      <c r="AB408" s="4">
        <f>Games[[#This Row],[PreGmRate]]+Games[[#This Row],[RatingChange]]</f>
        <v>1431.2352090026598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1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37104</v>
      </c>
      <c r="B409" s="2">
        <v>2001</v>
      </c>
      <c r="C409" s="2">
        <f>COUNTIFS(Games[Team],Games[[#This Row],[Team]],Games[Season],Games[[#This Row],[Season]],Games[Date],"&lt;=" &amp; Games[[#This Row],[Date]])</f>
        <v>26</v>
      </c>
      <c r="D409" s="2" t="s">
        <v>23</v>
      </c>
      <c r="E409" s="2" t="s">
        <v>29</v>
      </c>
      <c r="F409" s="1" t="s">
        <v>79</v>
      </c>
      <c r="G409" s="1" t="s">
        <v>89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6">
        <f>MAX(-16, MIN(16, Games[[#This Row],[RestDiff]]*8))</f>
        <v>0</v>
      </c>
      <c r="N409" s="16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1438.3114563571469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1438.6068016249565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0.61818291304620165</v>
      </c>
      <c r="R409" s="1">
        <v>65</v>
      </c>
      <c r="S409" s="1">
        <v>63</v>
      </c>
      <c r="T409" s="1">
        <v>0</v>
      </c>
      <c r="U409" s="16">
        <f>Games[[#This Row],[PointsFor]]-Games[[#This Row],[PointsAgainst]]</f>
        <v>2</v>
      </c>
      <c r="V409" s="16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0.26777541564146534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72.099999999999994</v>
      </c>
      <c r="Z409" s="4">
        <f>Games[[#This Row],[K]]*Games[[#This Row],[POMult]]</f>
        <v>72.099999999999994</v>
      </c>
      <c r="AA409" s="4">
        <f>(Games[[#This Row],[Keff]]*Games[[#This Row],[MOVMult]])*(Games[[#This Row],[Result]]-Games[[#This Row],[ExpectedWin%]])</f>
        <v>7.371592622296621</v>
      </c>
      <c r="AB409" s="4">
        <f>Games[[#This Row],[PreGmRate]]+Games[[#This Row],[RatingChange]]</f>
        <v>1445.6830489794436</v>
      </c>
      <c r="AC409" s="2">
        <f>IF(Games[[#This Row],[Type]]="R",IF(Games[[#This Row],[Result]]&gt;0.5,1,0),0)</f>
        <v>1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37104</v>
      </c>
      <c r="B410" s="2">
        <v>2001</v>
      </c>
      <c r="C410" s="2">
        <f>COUNTIFS(Games[Team],Games[[#This Row],[Team]],Games[Season],Games[[#This Row],[Season]],Games[Date],"&lt;=" &amp; Games[[#This Row],[Date]])</f>
        <v>25</v>
      </c>
      <c r="D410" s="2" t="s">
        <v>23</v>
      </c>
      <c r="E410" s="2" t="s">
        <v>29</v>
      </c>
      <c r="F410" s="1" t="s">
        <v>80</v>
      </c>
      <c r="G410" s="1" t="s">
        <v>44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-1</v>
      </c>
      <c r="L410" s="2">
        <f>Games[[#This Row],[OppDaysOff]]-Games[[#This Row],[DaysOff]]</f>
        <v>1</v>
      </c>
      <c r="M410" s="16">
        <f>MAX(-16, MIN(16, Games[[#This Row],[RestDiff]]*8))</f>
        <v>-8</v>
      </c>
      <c r="N410" s="16">
        <f>MAX(-16, MIN(16, Games[[#This Row],[OppRestDiff]]*8))</f>
        <v>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1398.9243531728494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1492.7256430523171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0.24682650921853874</v>
      </c>
      <c r="R410" s="1">
        <v>68</v>
      </c>
      <c r="S410" s="1">
        <v>63</v>
      </c>
      <c r="T410" s="1">
        <v>0</v>
      </c>
      <c r="U410" s="16">
        <f>Games[[#This Row],[PointsFor]]-Games[[#This Row],[PointsAgainst]]</f>
        <v>5</v>
      </c>
      <c r="V410" s="16">
        <f>IF(Games[[#This Row],[MOV]]&gt;0,1,IF(Games[[#This Row],[MOV]]=0,0.5,0))</f>
        <v>1</v>
      </c>
      <c r="W410" s="4">
        <f>((ABS(Games[[#This Row],[MOV]])+5)^0.6)/(12+0.01*(ABS(Games[[#This Row],[PreGmRate]]-Games[[#This Row],[OppPreGmRate]])))*IF(Games[[#This Row],[OT]]=1,0.9,1)</f>
        <v>0.30770348867915065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72.25</v>
      </c>
      <c r="Z410" s="4">
        <f>Games[[#This Row],[K]]*Games[[#This Row],[POMult]]</f>
        <v>72.25</v>
      </c>
      <c r="AA410" s="4">
        <f>(Games[[#This Row],[Keff]]*Games[[#This Row],[MOVMult]])*(Games[[#This Row],[Result]]-Games[[#This Row],[ExpectedWin%]])</f>
        <v>16.744234497649426</v>
      </c>
      <c r="AB410" s="4">
        <f>Games[[#This Row],[PreGmRate]]+Games[[#This Row],[RatingChange]]</f>
        <v>1415.6685876704987</v>
      </c>
      <c r="AC410" s="2">
        <f>IF(Games[[#This Row],[Type]]="R",IF(Games[[#This Row],[Result]]&gt;0.5,1,0),0)</f>
        <v>1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37104</v>
      </c>
      <c r="B411" s="2">
        <v>2001</v>
      </c>
      <c r="C411" s="2">
        <f>COUNTIFS(Games[Team],Games[[#This Row],[Team]],Games[Season],Games[[#This Row],[Season]],Games[Date],"&lt;=" &amp; Games[[#This Row],[Date]])</f>
        <v>25</v>
      </c>
      <c r="D411" s="2" t="s">
        <v>23</v>
      </c>
      <c r="E411" s="2" t="s">
        <v>29</v>
      </c>
      <c r="F411" s="1" t="s">
        <v>44</v>
      </c>
      <c r="G411" s="1" t="s">
        <v>80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1</v>
      </c>
      <c r="L411" s="2">
        <f>Games[[#This Row],[OppDaysOff]]-Games[[#This Row],[DaysOff]]</f>
        <v>-1</v>
      </c>
      <c r="M411" s="16">
        <f>MAX(-16, MIN(16, Games[[#This Row],[RestDiff]]*8))</f>
        <v>8</v>
      </c>
      <c r="N411" s="16">
        <f>MAX(-16, MIN(16, Games[[#This Row],[OppRestDiff]]*8))</f>
        <v>-8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1492.7256430523171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1398.9243531728494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0.75317349078146134</v>
      </c>
      <c r="R411" s="1">
        <v>63</v>
      </c>
      <c r="S411" s="1">
        <v>68</v>
      </c>
      <c r="T411" s="1">
        <v>0</v>
      </c>
      <c r="U411" s="16">
        <f>Games[[#This Row],[PointsFor]]-Games[[#This Row],[PointsAgainst]]</f>
        <v>-5</v>
      </c>
      <c r="V411" s="16">
        <f>IF(Games[[#This Row],[MOV]]&gt;0,1,IF(Games[[#This Row],[MOV]]=0,0.5,0))</f>
        <v>0</v>
      </c>
      <c r="W411" s="4">
        <f>((ABS(Games[[#This Row],[MOV]])+5)^0.6)/(12+0.01*(ABS(Games[[#This Row],[PreGmRate]]-Games[[#This Row],[OppPreGmRate]])))*IF(Games[[#This Row],[OT]]=1,0.9,1)</f>
        <v>0.30770348867915065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72.25</v>
      </c>
      <c r="Z411" s="4">
        <f>Games[[#This Row],[K]]*Games[[#This Row],[POMult]]</f>
        <v>72.25</v>
      </c>
      <c r="AA411" s="4">
        <f>(Games[[#This Row],[Keff]]*Games[[#This Row],[MOVMult]])*(Games[[#This Row],[Result]]-Games[[#This Row],[ExpectedWin%]])</f>
        <v>-16.74423449764943</v>
      </c>
      <c r="AB411" s="4">
        <f>Games[[#This Row],[PreGmRate]]+Games[[#This Row],[RatingChange]]</f>
        <v>1475.9814085546677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1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37105</v>
      </c>
      <c r="B412" s="2">
        <v>2001</v>
      </c>
      <c r="C412" s="2">
        <f>COUNTIFS(Games[Team],Games[[#This Row],[Team]],Games[Season],Games[[#This Row],[Season]],Games[Date],"&lt;=" &amp; Games[[#This Row],[Date]])</f>
        <v>26</v>
      </c>
      <c r="D412" s="2" t="s">
        <v>23</v>
      </c>
      <c r="E412" s="2" t="s">
        <v>29</v>
      </c>
      <c r="F412" s="1" t="s">
        <v>45</v>
      </c>
      <c r="G412" s="1" t="s">
        <v>71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2" s="2">
        <f>Games[[#This Row],[DaysOff]]-Games[[#This Row],[OppDaysOff]]</f>
        <v>1</v>
      </c>
      <c r="L412" s="2">
        <f>Games[[#This Row],[OppDaysOff]]-Games[[#This Row],[DaysOff]]</f>
        <v>-1</v>
      </c>
      <c r="M412" s="16">
        <f>MAX(-16, MIN(16, Games[[#This Row],[RestDiff]]*8))</f>
        <v>8</v>
      </c>
      <c r="N412" s="16">
        <f>MAX(-16, MIN(16, Games[[#This Row],[OppRestDiff]]*8))</f>
        <v>-8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1592.8003757552656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1725.1213645101541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0.23991596081323557</v>
      </c>
      <c r="R412" s="1">
        <v>62</v>
      </c>
      <c r="S412" s="1">
        <v>67</v>
      </c>
      <c r="T412" s="1">
        <v>0</v>
      </c>
      <c r="U412" s="16">
        <f>Games[[#This Row],[PointsFor]]-Games[[#This Row],[PointsAgainst]]</f>
        <v>-5</v>
      </c>
      <c r="V412" s="16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0.29880724983965434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72.099999999999994</v>
      </c>
      <c r="Z412" s="4">
        <f>Games[[#This Row],[K]]*Games[[#This Row],[POMult]]</f>
        <v>72.099999999999994</v>
      </c>
      <c r="AA412" s="4">
        <f>(Games[[#This Row],[Keff]]*Games[[#This Row],[MOVMult]])*(Games[[#This Row],[Result]]-Games[[#This Row],[ExpectedWin%]])</f>
        <v>-5.1687501107576903</v>
      </c>
      <c r="AB412" s="4">
        <f>Games[[#This Row],[PreGmRate]]+Games[[#This Row],[RatingChange]]</f>
        <v>1587.6316256445079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37105</v>
      </c>
      <c r="B413" s="2">
        <v>2001</v>
      </c>
      <c r="C413" s="2">
        <f>COUNTIFS(Games[Team],Games[[#This Row],[Team]],Games[Season],Games[[#This Row],[Season]],Games[Date],"&lt;=" &amp; Games[[#This Row],[Date]])</f>
        <v>26</v>
      </c>
      <c r="D413" s="2" t="s">
        <v>23</v>
      </c>
      <c r="E413" s="2" t="s">
        <v>29</v>
      </c>
      <c r="F413" s="1" t="s">
        <v>71</v>
      </c>
      <c r="G413" s="1" t="s">
        <v>45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3" s="2">
        <f>Games[[#This Row],[DaysOff]]-Games[[#This Row],[OppDaysOff]]</f>
        <v>-1</v>
      </c>
      <c r="L413" s="2">
        <f>Games[[#This Row],[OppDaysOff]]-Games[[#This Row],[DaysOff]]</f>
        <v>1</v>
      </c>
      <c r="M413" s="16">
        <f>MAX(-16, MIN(16, Games[[#This Row],[RestDiff]]*8))</f>
        <v>-8</v>
      </c>
      <c r="N413" s="16">
        <f>MAX(-16, MIN(16, Games[[#This Row],[OppRestDiff]]*8))</f>
        <v>8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1725.1213645101541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1592.8003757552656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0.76008403918676448</v>
      </c>
      <c r="R413" s="1">
        <v>67</v>
      </c>
      <c r="S413" s="1">
        <v>62</v>
      </c>
      <c r="T413" s="1">
        <v>0</v>
      </c>
      <c r="U413" s="16">
        <f>Games[[#This Row],[PointsFor]]-Games[[#This Row],[PointsAgainst]]</f>
        <v>5</v>
      </c>
      <c r="V413" s="16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0.29880724983965434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72.099999999999994</v>
      </c>
      <c r="Z413" s="4">
        <f>Games[[#This Row],[K]]*Games[[#This Row],[POMult]]</f>
        <v>72.099999999999994</v>
      </c>
      <c r="AA413" s="4">
        <f>(Games[[#This Row],[Keff]]*Games[[#This Row],[MOVMult]])*(Games[[#This Row],[Result]]-Games[[#This Row],[ExpectedWin%]])</f>
        <v>5.1687501107576894</v>
      </c>
      <c r="AB413" s="4">
        <f>Games[[#This Row],[PreGmRate]]+Games[[#This Row],[RatingChange]]</f>
        <v>1730.2901146209117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37106</v>
      </c>
      <c r="B414" s="2">
        <v>2001</v>
      </c>
      <c r="C414" s="2">
        <f>COUNTIFS(Games[Team],Games[[#This Row],[Team]],Games[Season],Games[[#This Row],[Season]],Games[Date],"&lt;=" &amp; Games[[#This Row],[Date]])</f>
        <v>27</v>
      </c>
      <c r="D414" s="2" t="s">
        <v>23</v>
      </c>
      <c r="E414" s="2" t="s">
        <v>29</v>
      </c>
      <c r="F414" s="1" t="s">
        <v>79</v>
      </c>
      <c r="G414" s="1" t="s">
        <v>2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6">
        <f>MAX(-16, MIN(16, Games[[#This Row],[RestDiff]]*8))</f>
        <v>0</v>
      </c>
      <c r="N414" s="16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1445.6830489794436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1607.0950151870384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0.19580778297552465</v>
      </c>
      <c r="R414" s="1">
        <v>60</v>
      </c>
      <c r="S414" s="1">
        <v>72</v>
      </c>
      <c r="T414" s="1">
        <v>0</v>
      </c>
      <c r="U414" s="16">
        <f>Games[[#This Row],[PointsFor]]-Games[[#This Row],[PointsAgainst]]</f>
        <v>-12</v>
      </c>
      <c r="V414" s="16">
        <f>IF(Games[[#This Row],[MOV]]&gt;0,1,IF(Games[[#This Row],[MOV]]=0,0.5,0))</f>
        <v>0</v>
      </c>
      <c r="W414" s="4">
        <f>((ABS(Games[[#This Row],[MOV]])+5)^0.6)/(12+0.01*(ABS(Games[[#This Row],[PreGmRate]]-Games[[#This Row],[OppPreGmRate]])))*IF(Games[[#This Row],[OT]]=1,0.9,1)</f>
        <v>0.4020497434120433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71.95</v>
      </c>
      <c r="Z414" s="4">
        <f>Games[[#This Row],[K]]*Games[[#This Row],[POMult]]</f>
        <v>71.95</v>
      </c>
      <c r="AA414" s="4">
        <f>(Games[[#This Row],[Keff]]*Games[[#This Row],[MOVMult]])*(Games[[#This Row],[Result]]-Games[[#This Row],[ExpectedWin%]])</f>
        <v>-5.6642255375989645</v>
      </c>
      <c r="AB414" s="4">
        <f>Games[[#This Row],[PreGmRate]]+Games[[#This Row],[RatingChange]]</f>
        <v>1440.0188234418447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1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37106</v>
      </c>
      <c r="B415" s="2">
        <v>2001</v>
      </c>
      <c r="C415" s="2">
        <f>COUNTIFS(Games[Team],Games[[#This Row],[Team]],Games[Season],Games[[#This Row],[Season]],Games[Date],"&lt;=" &amp; Games[[#This Row],[Date]])</f>
        <v>26</v>
      </c>
      <c r="D415" s="2" t="s">
        <v>23</v>
      </c>
      <c r="E415" s="2" t="s">
        <v>29</v>
      </c>
      <c r="F415" s="1" t="s">
        <v>2</v>
      </c>
      <c r="G415" s="1" t="s">
        <v>79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6">
        <f>MAX(-16, MIN(16, Games[[#This Row],[RestDiff]]*8))</f>
        <v>0</v>
      </c>
      <c r="N415" s="16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1607.0950151870384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1445.6830489794436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0.80419221702447541</v>
      </c>
      <c r="R415" s="1">
        <v>72</v>
      </c>
      <c r="S415" s="1">
        <v>60</v>
      </c>
      <c r="T415" s="1">
        <v>0</v>
      </c>
      <c r="U415" s="16">
        <f>Games[[#This Row],[PointsFor]]-Games[[#This Row],[PointsAgainst]]</f>
        <v>12</v>
      </c>
      <c r="V415" s="16">
        <f>IF(Games[[#This Row],[MOV]]&gt;0,1,IF(Games[[#This Row],[MOV]]=0,0.5,0))</f>
        <v>1</v>
      </c>
      <c r="W415" s="4">
        <f>((ABS(Games[[#This Row],[MOV]])+5)^0.6)/(12+0.01*(ABS(Games[[#This Row],[PreGmRate]]-Games[[#This Row],[OppPreGmRate]])))*IF(Games[[#This Row],[OT]]=1,0.9,1)</f>
        <v>0.4020497434120433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72.099999999999994</v>
      </c>
      <c r="Z415" s="4">
        <f>Games[[#This Row],[K]]*Games[[#This Row],[POMult]]</f>
        <v>72.099999999999994</v>
      </c>
      <c r="AA415" s="4">
        <f>(Games[[#This Row],[Keff]]*Games[[#This Row],[MOVMult]])*(Games[[#This Row],[Result]]-Games[[#This Row],[ExpectedWin%]])</f>
        <v>5.6760342079344701</v>
      </c>
      <c r="AB415" s="4">
        <f>Games[[#This Row],[PreGmRate]]+Games[[#This Row],[RatingChange]]</f>
        <v>1612.7710493949728</v>
      </c>
      <c r="AC415" s="2">
        <f>IF(Games[[#This Row],[Type]]="R",IF(Games[[#This Row],[Result]]&gt;0.5,1,0),0)</f>
        <v>1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37106</v>
      </c>
      <c r="B416" s="2">
        <v>2001</v>
      </c>
      <c r="C416" s="2">
        <f>COUNTIFS(Games[Team],Games[[#This Row],[Team]],Games[Season],Games[[#This Row],[Season]],Games[Date],"&lt;=" &amp; Games[[#This Row],[Date]])</f>
        <v>26</v>
      </c>
      <c r="D416" s="2" t="s">
        <v>23</v>
      </c>
      <c r="E416" s="2" t="s">
        <v>29</v>
      </c>
      <c r="F416" s="1" t="s">
        <v>44</v>
      </c>
      <c r="G416" s="1" t="s">
        <v>83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6" s="2">
        <f>Games[[#This Row],[DaysOff]]-Games[[#This Row],[OppDaysOff]]</f>
        <v>-1</v>
      </c>
      <c r="L416" s="2">
        <f>Games[[#This Row],[OppDaysOff]]-Games[[#This Row],[DaysOff]]</f>
        <v>1</v>
      </c>
      <c r="M416" s="16">
        <f>MAX(-16, MIN(16, Games[[#This Row],[RestDiff]]*8))</f>
        <v>-8</v>
      </c>
      <c r="N416" s="16">
        <f>MAX(-16, MIN(16, Games[[#This Row],[OppRestDiff]]*8))</f>
        <v>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1475.9814085546677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1539.777769439557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0.28031742052493908</v>
      </c>
      <c r="R416" s="1">
        <v>61</v>
      </c>
      <c r="S416" s="1">
        <v>72</v>
      </c>
      <c r="T416" s="1">
        <v>0</v>
      </c>
      <c r="U416" s="16">
        <f>Games[[#This Row],[PointsFor]]-Games[[#This Row],[PointsAgainst]]</f>
        <v>-11</v>
      </c>
      <c r="V416" s="16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0.41763307811679301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72.099999999999994</v>
      </c>
      <c r="Z416" s="4">
        <f>Games[[#This Row],[K]]*Games[[#This Row],[POMult]]</f>
        <v>72.099999999999994</v>
      </c>
      <c r="AA416" s="4">
        <f>(Games[[#This Row],[Keff]]*Games[[#This Row],[MOVMult]])*(Games[[#This Row],[Result]]-Games[[#This Row],[ExpectedWin%]])</f>
        <v>-8.4407345399368232</v>
      </c>
      <c r="AB416" s="4">
        <f>Games[[#This Row],[PreGmRate]]+Games[[#This Row],[RatingChange]]</f>
        <v>1467.5406740147309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1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37106</v>
      </c>
      <c r="B417" s="2">
        <v>2001</v>
      </c>
      <c r="C417" s="2">
        <f>COUNTIFS(Games[Team],Games[[#This Row],[Team]],Games[Season],Games[[#This Row],[Season]],Games[Date],"&lt;=" &amp; Games[[#This Row],[Date]])</f>
        <v>27</v>
      </c>
      <c r="D417" s="2" t="s">
        <v>23</v>
      </c>
      <c r="E417" s="2" t="s">
        <v>29</v>
      </c>
      <c r="F417" s="1" t="s">
        <v>83</v>
      </c>
      <c r="G417" s="1" t="s">
        <v>44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7" s="2">
        <f>Games[[#This Row],[DaysOff]]-Games[[#This Row],[OppDaysOff]]</f>
        <v>1</v>
      </c>
      <c r="L417" s="2">
        <f>Games[[#This Row],[OppDaysOff]]-Games[[#This Row],[DaysOff]]</f>
        <v>-1</v>
      </c>
      <c r="M417" s="16">
        <f>MAX(-16, MIN(16, Games[[#This Row],[RestDiff]]*8))</f>
        <v>8</v>
      </c>
      <c r="N417" s="16">
        <f>MAX(-16, MIN(16, Games[[#This Row],[OppRestDiff]]*8))</f>
        <v>-8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1539.777769439557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1475.9814085546677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0.71968257947506098</v>
      </c>
      <c r="R417" s="1">
        <v>72</v>
      </c>
      <c r="S417" s="1">
        <v>61</v>
      </c>
      <c r="T417" s="1">
        <v>0</v>
      </c>
      <c r="U417" s="16">
        <f>Games[[#This Row],[PointsFor]]-Games[[#This Row],[PointsAgainst]]</f>
        <v>11</v>
      </c>
      <c r="V417" s="16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0.41763307811679301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71.95</v>
      </c>
      <c r="Z417" s="4">
        <f>Games[[#This Row],[K]]*Games[[#This Row],[POMult]]</f>
        <v>71.95</v>
      </c>
      <c r="AA417" s="4">
        <f>(Games[[#This Row],[Keff]]*Games[[#This Row],[MOVMult]])*(Games[[#This Row],[Result]]-Games[[#This Row],[ExpectedWin%]])</f>
        <v>8.4231740658592837</v>
      </c>
      <c r="AB417" s="4">
        <f>Games[[#This Row],[PreGmRate]]+Games[[#This Row],[RatingChange]]</f>
        <v>1548.2009435054163</v>
      </c>
      <c r="AC417" s="2">
        <f>IF(Games[[#This Row],[Type]]="R",IF(Games[[#This Row],[Result]]&gt;0.5,1,0),0)</f>
        <v>1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37106</v>
      </c>
      <c r="B418" s="2">
        <v>2001</v>
      </c>
      <c r="C418" s="2">
        <f>COUNTIFS(Games[Team],Games[[#This Row],[Team]],Games[Season],Games[[#This Row],[Season]],Games[Date],"&lt;=" &amp; Games[[#This Row],[Date]])</f>
        <v>27</v>
      </c>
      <c r="D418" s="2" t="s">
        <v>23</v>
      </c>
      <c r="E418" s="2" t="s">
        <v>29</v>
      </c>
      <c r="F418" s="1" t="s">
        <v>64</v>
      </c>
      <c r="G418" s="1" t="s">
        <v>80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1</v>
      </c>
      <c r="L418" s="2">
        <f>Games[[#This Row],[OppDaysOff]]-Games[[#This Row],[DaysOff]]</f>
        <v>-1</v>
      </c>
      <c r="M418" s="16">
        <f>MAX(-16, MIN(16, Games[[#This Row],[RestDiff]]*8))</f>
        <v>8</v>
      </c>
      <c r="N418" s="16">
        <f>MAX(-16, MIN(16, Games[[#This Row],[OppRestDiff]]*8))</f>
        <v>-8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1462.8211347072711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1415.6685876704987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0.47003405853443625</v>
      </c>
      <c r="R418" s="1">
        <v>72</v>
      </c>
      <c r="S418" s="1">
        <v>64</v>
      </c>
      <c r="T418" s="1">
        <v>0</v>
      </c>
      <c r="U418" s="16">
        <f>Games[[#This Row],[PointsFor]]-Games[[#This Row],[PointsAgainst]]</f>
        <v>8</v>
      </c>
      <c r="V418" s="16">
        <f>IF(Games[[#This Row],[MOV]]&gt;0,1,IF(Games[[#This Row],[MOV]]=0,0.5,0))</f>
        <v>1</v>
      </c>
      <c r="W418" s="4">
        <f>((ABS(Games[[#This Row],[MOV]])+5)^0.6)/(12+0.01*(ABS(Games[[#This Row],[PreGmRate]]-Games[[#This Row],[OppPreGmRate]])))*IF(Games[[#This Row],[OT]]=1,0.9,1)</f>
        <v>0.37363403788154809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71.95</v>
      </c>
      <c r="Z418" s="4">
        <f>Games[[#This Row],[K]]*Games[[#This Row],[POMult]]</f>
        <v>71.95</v>
      </c>
      <c r="AA418" s="4">
        <f>(Games[[#This Row],[Keff]]*Games[[#This Row],[MOVMult]])*(Games[[#This Row],[Result]]-Games[[#This Row],[ExpectedWin%]])</f>
        <v>14.247057989029708</v>
      </c>
      <c r="AB418" s="4">
        <f>Games[[#This Row],[PreGmRate]]+Games[[#This Row],[RatingChange]]</f>
        <v>1477.0681926963007</v>
      </c>
      <c r="AC418" s="2">
        <f>IF(Games[[#This Row],[Type]]="R",IF(Games[[#This Row],[Result]]&gt;0.5,1,0),0)</f>
        <v>1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37106</v>
      </c>
      <c r="B419" s="2">
        <v>2001</v>
      </c>
      <c r="C419" s="2">
        <f>COUNTIFS(Games[Team],Games[[#This Row],[Team]],Games[Season],Games[[#This Row],[Season]],Games[Date],"&lt;=" &amp; Games[[#This Row],[Date]])</f>
        <v>26</v>
      </c>
      <c r="D419" s="2" t="s">
        <v>23</v>
      </c>
      <c r="E419" s="2" t="s">
        <v>29</v>
      </c>
      <c r="F419" s="1" t="s">
        <v>80</v>
      </c>
      <c r="G419" s="1" t="s">
        <v>64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9" s="2">
        <f>Games[[#This Row],[DaysOff]]-Games[[#This Row],[OppDaysOff]]</f>
        <v>-1</v>
      </c>
      <c r="L419" s="2">
        <f>Games[[#This Row],[OppDaysOff]]-Games[[#This Row],[DaysOff]]</f>
        <v>1</v>
      </c>
      <c r="M419" s="16">
        <f>MAX(-16, MIN(16, Games[[#This Row],[RestDiff]]*8))</f>
        <v>-8</v>
      </c>
      <c r="N419" s="16">
        <f>MAX(-16, MIN(16, Games[[#This Row],[OppRestDiff]]*8))</f>
        <v>8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1415.6685876704987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1462.8211347072711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0.52996594146556375</v>
      </c>
      <c r="R419" s="1">
        <v>64</v>
      </c>
      <c r="S419" s="1">
        <v>72</v>
      </c>
      <c r="T419" s="1">
        <v>0</v>
      </c>
      <c r="U419" s="16">
        <f>Games[[#This Row],[PointsFor]]-Games[[#This Row],[PointsAgainst]]</f>
        <v>-8</v>
      </c>
      <c r="V419" s="16">
        <f>IF(Games[[#This Row],[MOV]]&gt;0,1,IF(Games[[#This Row],[MOV]]=0,0.5,0))</f>
        <v>0</v>
      </c>
      <c r="W419" s="4">
        <f>((ABS(Games[[#This Row],[MOV]])+5)^0.6)/(12+0.01*(ABS(Games[[#This Row],[PreGmRate]]-Games[[#This Row],[OppPreGmRate]])))*IF(Games[[#This Row],[OT]]=1,0.9,1)</f>
        <v>0.37363403788154809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72.099999999999994</v>
      </c>
      <c r="Z419" s="4">
        <f>Games[[#This Row],[K]]*Games[[#This Row],[POMult]]</f>
        <v>72.099999999999994</v>
      </c>
      <c r="AA419" s="4">
        <f>(Games[[#This Row],[Keff]]*Games[[#This Row],[MOVMult]])*(Games[[#This Row],[Result]]-Games[[#This Row],[ExpectedWin%]])</f>
        <v>-14.276759986227129</v>
      </c>
      <c r="AB419" s="4">
        <f>Games[[#This Row],[PreGmRate]]+Games[[#This Row],[RatingChange]]</f>
        <v>1401.3918276842717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1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37106</v>
      </c>
      <c r="B420" s="2">
        <v>2001</v>
      </c>
      <c r="C420" s="2">
        <f>COUNTIFS(Games[Team],Games[[#This Row],[Team]],Games[Season],Games[[#This Row],[Season]],Games[Date],"&lt;=" &amp; Games[[#This Row],[Date]])</f>
        <v>27</v>
      </c>
      <c r="D420" s="2" t="s">
        <v>23</v>
      </c>
      <c r="E420" s="2" t="s">
        <v>29</v>
      </c>
      <c r="F420" s="1" t="s">
        <v>85</v>
      </c>
      <c r="G420" s="1" t="s">
        <v>45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0" s="2">
        <f>Games[[#This Row],[DaysOff]]-Games[[#This Row],[OppDaysOff]]</f>
        <v>1</v>
      </c>
      <c r="L420" s="2">
        <f>Games[[#This Row],[OppDaysOff]]-Games[[#This Row],[DaysOff]]</f>
        <v>-1</v>
      </c>
      <c r="M420" s="16">
        <f>MAX(-16, MIN(16, Games[[#This Row],[RestDiff]]*8))</f>
        <v>8</v>
      </c>
      <c r="N420" s="16">
        <f>MAX(-16, MIN(16, Games[[#This Row],[OppRestDiff]]*8))</f>
        <v>-8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1398.2504657336674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1587.6316256445079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0.18518510760481871</v>
      </c>
      <c r="R420" s="1">
        <v>69</v>
      </c>
      <c r="S420" s="1">
        <v>81</v>
      </c>
      <c r="T420" s="1">
        <v>0</v>
      </c>
      <c r="U420" s="16">
        <f>Games[[#This Row],[PointsFor]]-Games[[#This Row],[PointsAgainst]]</f>
        <v>-12</v>
      </c>
      <c r="V420" s="16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0.39395620689643857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71.95</v>
      </c>
      <c r="Z420" s="4">
        <f>Games[[#This Row],[K]]*Games[[#This Row],[POMult]]</f>
        <v>71.95</v>
      </c>
      <c r="AA420" s="4">
        <f>(Games[[#This Row],[Keff]]*Games[[#This Row],[MOVMult]])*(Games[[#This Row],[Result]]-Games[[#This Row],[ExpectedWin%]])</f>
        <v>-5.249099483602345</v>
      </c>
      <c r="AB420" s="4">
        <f>Games[[#This Row],[PreGmRate]]+Games[[#This Row],[RatingChange]]</f>
        <v>1393.0013662500651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37106</v>
      </c>
      <c r="B421" s="2">
        <v>2001</v>
      </c>
      <c r="C421" s="2">
        <f>COUNTIFS(Games[Team],Games[[#This Row],[Team]],Games[Season],Games[[#This Row],[Season]],Games[Date],"&lt;=" &amp; Games[[#This Row],[Date]])</f>
        <v>27</v>
      </c>
      <c r="D421" s="2" t="s">
        <v>23</v>
      </c>
      <c r="E421" s="2" t="s">
        <v>29</v>
      </c>
      <c r="F421" s="1" t="s">
        <v>45</v>
      </c>
      <c r="G421" s="1" t="s">
        <v>85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-1</v>
      </c>
      <c r="L421" s="2">
        <f>Games[[#This Row],[OppDaysOff]]-Games[[#This Row],[DaysOff]]</f>
        <v>1</v>
      </c>
      <c r="M421" s="16">
        <f>MAX(-16, MIN(16, Games[[#This Row],[RestDiff]]*8))</f>
        <v>-8</v>
      </c>
      <c r="N421" s="16">
        <f>MAX(-16, MIN(16, Games[[#This Row],[OppRestDiff]]*8))</f>
        <v>8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1587.6316256445079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1398.2504657336674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0.81481489239518123</v>
      </c>
      <c r="R421" s="1">
        <v>81</v>
      </c>
      <c r="S421" s="1">
        <v>69</v>
      </c>
      <c r="T421" s="1">
        <v>0</v>
      </c>
      <c r="U421" s="16">
        <f>Games[[#This Row],[PointsFor]]-Games[[#This Row],[PointsAgainst]]</f>
        <v>12</v>
      </c>
      <c r="V421" s="16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0.39395620689643857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71.95</v>
      </c>
      <c r="Z421" s="4">
        <f>Games[[#This Row],[K]]*Games[[#This Row],[POMult]]</f>
        <v>71.95</v>
      </c>
      <c r="AA421" s="4">
        <f>(Games[[#This Row],[Keff]]*Games[[#This Row],[MOVMult]])*(Games[[#This Row],[Result]]-Games[[#This Row],[ExpectedWin%]])</f>
        <v>5.2490994836023468</v>
      </c>
      <c r="AB421" s="4">
        <f>Games[[#This Row],[PreGmRate]]+Games[[#This Row],[RatingChange]]</f>
        <v>1592.8807251281103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37106</v>
      </c>
      <c r="B422" s="2">
        <v>2001</v>
      </c>
      <c r="C422" s="2">
        <f>COUNTIFS(Games[Team],Games[[#This Row],[Team]],Games[Season],Games[[#This Row],[Season]],Games[Date],"&lt;=" &amp; Games[[#This Row],[Date]])</f>
        <v>26</v>
      </c>
      <c r="D422" s="2" t="s">
        <v>23</v>
      </c>
      <c r="E422" s="2" t="s">
        <v>29</v>
      </c>
      <c r="F422" s="1" t="s">
        <v>43</v>
      </c>
      <c r="G422" s="1" t="s">
        <v>87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22" s="2">
        <f>Games[[#This Row],[DaysOff]]-Games[[#This Row],[OppDaysOff]]</f>
        <v>-2</v>
      </c>
      <c r="L422" s="2">
        <f>Games[[#This Row],[OppDaysOff]]-Games[[#This Row],[DaysOff]]</f>
        <v>2</v>
      </c>
      <c r="M422" s="16">
        <f>MAX(-16, MIN(16, Games[[#This Row],[RestDiff]]*8))</f>
        <v>-16</v>
      </c>
      <c r="N422" s="16">
        <f>MAX(-16, MIN(16, Games[[#This Row],[OppRestDiff]]*8))</f>
        <v>16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1553.819891980052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1378.5768401380994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0.58444080255975295</v>
      </c>
      <c r="R422" s="1">
        <v>64</v>
      </c>
      <c r="S422" s="1">
        <v>61</v>
      </c>
      <c r="T422" s="1">
        <v>0</v>
      </c>
      <c r="U422" s="16">
        <f>Games[[#This Row],[PointsFor]]-Games[[#This Row],[PointsAgainst]]</f>
        <v>3</v>
      </c>
      <c r="V422" s="16">
        <f>IF(Games[[#This Row],[MOV]]&gt;0,1,IF(Games[[#This Row],[MOV]]=0,0.5,0))</f>
        <v>1</v>
      </c>
      <c r="W422" s="4">
        <f>((ABS(Games[[#This Row],[MOV]])+5)^0.6)/(12+0.01*(ABS(Games[[#This Row],[PreGmRate]]-Games[[#This Row],[OppPreGmRate]])))*IF(Games[[#This Row],[OT]]=1,0.9,1)</f>
        <v>0.2532063149506959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72.099999999999994</v>
      </c>
      <c r="Z422" s="4">
        <f>Games[[#This Row],[K]]*Games[[#This Row],[POMult]]</f>
        <v>72.099999999999994</v>
      </c>
      <c r="AA422" s="4">
        <f>(Games[[#This Row],[Keff]]*Games[[#This Row],[MOVMult]])*(Games[[#This Row],[Result]]-Games[[#This Row],[ExpectedWin%]])</f>
        <v>7.5865215592981512</v>
      </c>
      <c r="AB422" s="4">
        <f>Games[[#This Row],[PreGmRate]]+Games[[#This Row],[RatingChange]]</f>
        <v>1561.4064135393503</v>
      </c>
      <c r="AC422" s="2">
        <f>IF(Games[[#This Row],[Type]]="R",IF(Games[[#This Row],[Result]]&gt;0.5,1,0),0)</f>
        <v>1</v>
      </c>
      <c r="AD422" s="2">
        <f>IF(Games[[#This Row],[Type]]="R",IF(Games[[#This Row],[Result]]&lt;0.5,1,0),0)</f>
        <v>0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37106</v>
      </c>
      <c r="B423" s="2">
        <v>2001</v>
      </c>
      <c r="C423" s="2">
        <f>COUNTIFS(Games[Team],Games[[#This Row],[Team]],Games[Season],Games[[#This Row],[Season]],Games[Date],"&lt;=" &amp; Games[[#This Row],[Date]])</f>
        <v>27</v>
      </c>
      <c r="D423" s="2" t="s">
        <v>23</v>
      </c>
      <c r="E423" s="2" t="s">
        <v>29</v>
      </c>
      <c r="F423" s="1" t="s">
        <v>87</v>
      </c>
      <c r="G423" s="1" t="s">
        <v>43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2</v>
      </c>
      <c r="L423" s="2">
        <f>Games[[#This Row],[OppDaysOff]]-Games[[#This Row],[DaysOff]]</f>
        <v>-2</v>
      </c>
      <c r="M423" s="16">
        <f>MAX(-16, MIN(16, Games[[#This Row],[RestDiff]]*8))</f>
        <v>16</v>
      </c>
      <c r="N423" s="16">
        <f>MAX(-16, MIN(16, Games[[#This Row],[OppRestDiff]]*8))</f>
        <v>-16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1378.5768401380994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1553.819891980052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0.415559197440247</v>
      </c>
      <c r="R423" s="1">
        <v>61</v>
      </c>
      <c r="S423" s="1">
        <v>64</v>
      </c>
      <c r="T423" s="1">
        <v>0</v>
      </c>
      <c r="U423" s="16">
        <f>Games[[#This Row],[PointsFor]]-Games[[#This Row],[PointsAgainst]]</f>
        <v>-3</v>
      </c>
      <c r="V423" s="16">
        <f>IF(Games[[#This Row],[MOV]]&gt;0,1,IF(Games[[#This Row],[MOV]]=0,0.5,0))</f>
        <v>0</v>
      </c>
      <c r="W423" s="4">
        <f>((ABS(Games[[#This Row],[MOV]])+5)^0.6)/(12+0.01*(ABS(Games[[#This Row],[PreGmRate]]-Games[[#This Row],[OppPreGmRate]])))*IF(Games[[#This Row],[OT]]=1,0.9,1)</f>
        <v>0.2532063149506959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71.95</v>
      </c>
      <c r="Z423" s="4">
        <f>Games[[#This Row],[K]]*Games[[#This Row],[POMult]]</f>
        <v>71.95</v>
      </c>
      <c r="AA423" s="4">
        <f>(Games[[#This Row],[Keff]]*Games[[#This Row],[MOVMult]])*(Games[[#This Row],[Result]]-Games[[#This Row],[ExpectedWin%]])</f>
        <v>-7.5707382273439947</v>
      </c>
      <c r="AB423" s="4">
        <f>Games[[#This Row],[PreGmRate]]+Games[[#This Row],[RatingChange]]</f>
        <v>1371.0061019107554</v>
      </c>
      <c r="AC423" s="2">
        <f>IF(Games[[#This Row],[Type]]="R",IF(Games[[#This Row],[Result]]&gt;0.5,1,0),0)</f>
        <v>0</v>
      </c>
      <c r="AD423" s="2">
        <f>IF(Games[[#This Row],[Type]]="R",IF(Games[[#This Row],[Result]]&lt;0.5,1,0),0)</f>
        <v>1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37106</v>
      </c>
      <c r="B424" s="2">
        <v>2001</v>
      </c>
      <c r="C424" s="2">
        <f>COUNTIFS(Games[Team],Games[[#This Row],[Team]],Games[Season],Games[[#This Row],[Season]],Games[Date],"&lt;=" &amp; Games[[#This Row],[Date]])</f>
        <v>27</v>
      </c>
      <c r="D424" s="2" t="s">
        <v>23</v>
      </c>
      <c r="E424" s="2" t="s">
        <v>29</v>
      </c>
      <c r="F424" s="1" t="s">
        <v>89</v>
      </c>
      <c r="G424" s="1" t="s">
        <v>75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4" s="2">
        <f>Games[[#This Row],[DaysOff]]-Games[[#This Row],[OppDaysOff]]</f>
        <v>0</v>
      </c>
      <c r="L424" s="2">
        <f>Games[[#This Row],[OppDaysOff]]-Games[[#This Row],[DaysOff]]</f>
        <v>0</v>
      </c>
      <c r="M424" s="16">
        <f>MAX(-16, MIN(16, Games[[#This Row],[RestDiff]]*8))</f>
        <v>0</v>
      </c>
      <c r="N424" s="16">
        <f>MAX(-16, MIN(16, Games[[#This Row],[OppRestDiff]]*8))</f>
        <v>0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1431.2352090026598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1381.6826813829227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0.45058790789878461</v>
      </c>
      <c r="R424" s="1">
        <v>50</v>
      </c>
      <c r="S424" s="1">
        <v>64</v>
      </c>
      <c r="T424" s="1">
        <v>0</v>
      </c>
      <c r="U424" s="16">
        <f>Games[[#This Row],[PointsFor]]-Games[[#This Row],[PointsAgainst]]</f>
        <v>-14</v>
      </c>
      <c r="V424" s="16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0.46827141021076613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71.95</v>
      </c>
      <c r="Z424" s="4">
        <f>Games[[#This Row],[K]]*Games[[#This Row],[POMult]]</f>
        <v>71.95</v>
      </c>
      <c r="AA424" s="4">
        <f>(Games[[#This Row],[Keff]]*Games[[#This Row],[MOVMult]])*(Games[[#This Row],[Result]]-Games[[#This Row],[ExpectedWin%]])</f>
        <v>-15.181265452256367</v>
      </c>
      <c r="AB424" s="4">
        <f>Games[[#This Row],[PreGmRate]]+Games[[#This Row],[RatingChange]]</f>
        <v>1416.0539435504033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1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37106</v>
      </c>
      <c r="B425" s="2">
        <v>2001</v>
      </c>
      <c r="C425" s="2">
        <f>COUNTIFS(Games[Team],Games[[#This Row],[Team]],Games[Season],Games[[#This Row],[Season]],Games[Date],"&lt;=" &amp; Games[[#This Row],[Date]])</f>
        <v>26</v>
      </c>
      <c r="D425" s="2" t="s">
        <v>23</v>
      </c>
      <c r="E425" s="2" t="s">
        <v>29</v>
      </c>
      <c r="F425" s="1" t="s">
        <v>75</v>
      </c>
      <c r="G425" s="1" t="s">
        <v>89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0</v>
      </c>
      <c r="L425" s="2">
        <f>Games[[#This Row],[OppDaysOff]]-Games[[#This Row],[DaysOff]]</f>
        <v>0</v>
      </c>
      <c r="M425" s="16">
        <f>MAX(-16, MIN(16, Games[[#This Row],[RestDiff]]*8))</f>
        <v>0</v>
      </c>
      <c r="N425" s="16">
        <f>MAX(-16, MIN(16, Games[[#This Row],[OppRestDiff]]*8))</f>
        <v>0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1381.6826813829227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1431.2352090026598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0.54941209210121544</v>
      </c>
      <c r="R425" s="1">
        <v>64</v>
      </c>
      <c r="S425" s="1">
        <v>50</v>
      </c>
      <c r="T425" s="1">
        <v>0</v>
      </c>
      <c r="U425" s="16">
        <f>Games[[#This Row],[PointsFor]]-Games[[#This Row],[PointsAgainst]]</f>
        <v>14</v>
      </c>
      <c r="V425" s="16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0.46827141021076613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72.099999999999994</v>
      </c>
      <c r="Z425" s="4">
        <f>Games[[#This Row],[K]]*Games[[#This Row],[POMult]]</f>
        <v>72.099999999999994</v>
      </c>
      <c r="AA425" s="4">
        <f>(Games[[#This Row],[Keff]]*Games[[#This Row],[MOVMult]])*(Games[[#This Row],[Result]]-Games[[#This Row],[ExpectedWin%]])</f>
        <v>15.212915067514716</v>
      </c>
      <c r="AB425" s="4">
        <f>Games[[#This Row],[PreGmRate]]+Games[[#This Row],[RatingChange]]</f>
        <v>1396.8955964504376</v>
      </c>
      <c r="AC425" s="2">
        <f>IF(Games[[#This Row],[Type]]="R",IF(Games[[#This Row],[Result]]&gt;0.5,1,0),0)</f>
        <v>1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37107</v>
      </c>
      <c r="B426" s="2">
        <v>2001</v>
      </c>
      <c r="C426" s="2">
        <f>COUNTIFS(Games[Team],Games[[#This Row],[Team]],Games[Season],Games[[#This Row],[Season]],Games[Date],"&lt;=" &amp; Games[[#This Row],[Date]])</f>
        <v>27</v>
      </c>
      <c r="D426" s="2" t="s">
        <v>23</v>
      </c>
      <c r="E426" s="2" t="s">
        <v>29</v>
      </c>
      <c r="F426" s="1" t="s">
        <v>2</v>
      </c>
      <c r="G426" s="1" t="s">
        <v>64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6">
        <f>MAX(-16, MIN(16, Games[[#This Row],[RestDiff]]*8))</f>
        <v>0</v>
      </c>
      <c r="N426" s="16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1612.7710493949728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1477.0681926963007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0.57386196476746421</v>
      </c>
      <c r="R426" s="1">
        <v>49</v>
      </c>
      <c r="S426" s="1">
        <v>54</v>
      </c>
      <c r="T426" s="1">
        <v>0</v>
      </c>
      <c r="U426" s="16">
        <f>Games[[#This Row],[PointsFor]]-Games[[#This Row],[PointsAgainst]]</f>
        <v>-5</v>
      </c>
      <c r="V426" s="16">
        <f>IF(Games[[#This Row],[MOV]]&gt;0,1,IF(Games[[#This Row],[MOV]]=0,0.5,0))</f>
        <v>0</v>
      </c>
      <c r="W426" s="4">
        <f>((ABS(Games[[#This Row],[MOV]])+5)^0.6)/(12+0.01*(ABS(Games[[#This Row],[PreGmRate]]-Games[[#This Row],[OppPreGmRate]])))*IF(Games[[#This Row],[OT]]=1,0.9,1)</f>
        <v>0.29805069934301137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71.95</v>
      </c>
      <c r="Z426" s="4">
        <f>Games[[#This Row],[K]]*Games[[#This Row],[POMult]]</f>
        <v>71.95</v>
      </c>
      <c r="AA426" s="4">
        <f>(Games[[#This Row],[Keff]]*Games[[#This Row],[MOVMult]])*(Games[[#This Row],[Result]]-Games[[#This Row],[ExpectedWin%]])</f>
        <v>-12.306325116625139</v>
      </c>
      <c r="AB426" s="4">
        <f>Games[[#This Row],[PreGmRate]]+Games[[#This Row],[RatingChange]]</f>
        <v>1600.4647242783476</v>
      </c>
      <c r="AC426" s="2">
        <f>IF(Games[[#This Row],[Type]]="R",IF(Games[[#This Row],[Result]]&gt;0.5,1,0),0)</f>
        <v>0</v>
      </c>
      <c r="AD426" s="2">
        <f>IF(Games[[#This Row],[Type]]="R",IF(Games[[#This Row],[Result]]&lt;0.5,1,0),0)</f>
        <v>1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37107</v>
      </c>
      <c r="B427" s="2">
        <v>2001</v>
      </c>
      <c r="C427" s="2">
        <f>COUNTIFS(Games[Team],Games[[#This Row],[Team]],Games[Season],Games[[#This Row],[Season]],Games[Date],"&lt;=" &amp; Games[[#This Row],[Date]])</f>
        <v>28</v>
      </c>
      <c r="D427" s="2" t="s">
        <v>23</v>
      </c>
      <c r="E427" s="2" t="s">
        <v>29</v>
      </c>
      <c r="F427" s="1" t="s">
        <v>64</v>
      </c>
      <c r="G427" s="1" t="s">
        <v>2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6">
        <f>MAX(-16, MIN(16, Games[[#This Row],[RestDiff]]*8))</f>
        <v>0</v>
      </c>
      <c r="N427" s="16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1477.0681926963007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1612.7710493949728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0.42613803523253585</v>
      </c>
      <c r="R427" s="1">
        <v>54</v>
      </c>
      <c r="S427" s="1">
        <v>49</v>
      </c>
      <c r="T427" s="1">
        <v>0</v>
      </c>
      <c r="U427" s="16">
        <f>Games[[#This Row],[PointsFor]]-Games[[#This Row],[PointsAgainst]]</f>
        <v>5</v>
      </c>
      <c r="V427" s="16">
        <f>IF(Games[[#This Row],[MOV]]&gt;0,1,IF(Games[[#This Row],[MOV]]=0,0.5,0))</f>
        <v>1</v>
      </c>
      <c r="W427" s="4">
        <f>((ABS(Games[[#This Row],[MOV]])+5)^0.6)/(12+0.01*(ABS(Games[[#This Row],[PreGmRate]]-Games[[#This Row],[OppPreGmRate]])))*IF(Games[[#This Row],[OT]]=1,0.9,1)</f>
        <v>0.29805069934301137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71.8</v>
      </c>
      <c r="Z427" s="4">
        <f>Games[[#This Row],[K]]*Games[[#This Row],[POMult]]</f>
        <v>71.8</v>
      </c>
      <c r="AA427" s="4">
        <f>(Games[[#This Row],[Keff]]*Games[[#This Row],[MOVMult]])*(Games[[#This Row],[Result]]-Games[[#This Row],[ExpectedWin%]])</f>
        <v>12.28066912263634</v>
      </c>
      <c r="AB427" s="4">
        <f>Games[[#This Row],[PreGmRate]]+Games[[#This Row],[RatingChange]]</f>
        <v>1489.3488618189369</v>
      </c>
      <c r="AC427" s="2">
        <f>IF(Games[[#This Row],[Type]]="R",IF(Games[[#This Row],[Result]]&gt;0.5,1,0),0)</f>
        <v>1</v>
      </c>
      <c r="AD427" s="2">
        <f>IF(Games[[#This Row],[Type]]="R",IF(Games[[#This Row],[Result]]&lt;0.5,1,0),0)</f>
        <v>0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37107</v>
      </c>
      <c r="B428" s="2">
        <v>2001</v>
      </c>
      <c r="C428" s="2">
        <f>COUNTIFS(Games[Team],Games[[#This Row],[Team]],Games[Season],Games[[#This Row],[Season]],Games[Date],"&lt;=" &amp; Games[[#This Row],[Date]])</f>
        <v>28</v>
      </c>
      <c r="D428" s="2" t="s">
        <v>23</v>
      </c>
      <c r="E428" s="2" t="s">
        <v>29</v>
      </c>
      <c r="F428" s="1" t="s">
        <v>89</v>
      </c>
      <c r="G428" s="1" t="s">
        <v>77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8" s="2">
        <f>Games[[#This Row],[DaysOff]]-Games[[#This Row],[OppDaysOff]]</f>
        <v>-2</v>
      </c>
      <c r="L428" s="2">
        <f>Games[[#This Row],[OppDaysOff]]-Games[[#This Row],[DaysOff]]</f>
        <v>2</v>
      </c>
      <c r="M428" s="16">
        <f>MAX(-16, MIN(16, Games[[#This Row],[RestDiff]]*8))</f>
        <v>-16</v>
      </c>
      <c r="N428" s="16">
        <f>MAX(-16, MIN(16, Games[[#This Row],[OppRestDiff]]*8))</f>
        <v>16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1416.0539435504033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1361.8548390163705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0.41198765637691548</v>
      </c>
      <c r="R428" s="1">
        <v>65</v>
      </c>
      <c r="S428" s="1">
        <v>70</v>
      </c>
      <c r="T428" s="1">
        <v>0</v>
      </c>
      <c r="U428" s="16">
        <f>Games[[#This Row],[PointsFor]]-Games[[#This Row],[PointsAgainst]]</f>
        <v>-5</v>
      </c>
      <c r="V428" s="16">
        <f>IF(Games[[#This Row],[MOV]]&gt;0,1,IF(Games[[#This Row],[MOV]]=0,0.5,0))</f>
        <v>0</v>
      </c>
      <c r="W428" s="4">
        <f>((ABS(Games[[#This Row],[MOV]])+5)^0.6)/(12+0.01*(ABS(Games[[#This Row],[PreGmRate]]-Games[[#This Row],[OppPreGmRate]])))*IF(Games[[#This Row],[OT]]=1,0.9,1)</f>
        <v>0.31741943453340632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71.8</v>
      </c>
      <c r="Z428" s="4">
        <f>Games[[#This Row],[K]]*Games[[#This Row],[POMult]]</f>
        <v>71.8</v>
      </c>
      <c r="AA428" s="4">
        <f>(Games[[#This Row],[Keff]]*Games[[#This Row],[MOVMult]])*(Games[[#This Row],[Result]]-Games[[#This Row],[ExpectedWin%]])</f>
        <v>-9.3894934245926951</v>
      </c>
      <c r="AB428" s="4">
        <f>Games[[#This Row],[PreGmRate]]+Games[[#This Row],[RatingChange]]</f>
        <v>1406.6644501258106</v>
      </c>
      <c r="AC428" s="2">
        <f>IF(Games[[#This Row],[Type]]="R",IF(Games[[#This Row],[Result]]&gt;0.5,1,0),0)</f>
        <v>0</v>
      </c>
      <c r="AD428" s="2">
        <f>IF(Games[[#This Row],[Type]]="R",IF(Games[[#This Row],[Result]]&lt;0.5,1,0),0)</f>
        <v>1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37107</v>
      </c>
      <c r="B429" s="2">
        <v>2001</v>
      </c>
      <c r="C429" s="2">
        <f>COUNTIFS(Games[Team],Games[[#This Row],[Team]],Games[Season],Games[[#This Row],[Season]],Games[Date],"&lt;=" &amp; Games[[#This Row],[Date]])</f>
        <v>27</v>
      </c>
      <c r="D429" s="2" t="s">
        <v>23</v>
      </c>
      <c r="E429" s="2" t="s">
        <v>29</v>
      </c>
      <c r="F429" s="1" t="s">
        <v>77</v>
      </c>
      <c r="G429" s="1" t="s">
        <v>89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9" s="2">
        <f>Games[[#This Row],[DaysOff]]-Games[[#This Row],[OppDaysOff]]</f>
        <v>2</v>
      </c>
      <c r="L429" s="2">
        <f>Games[[#This Row],[OppDaysOff]]-Games[[#This Row],[DaysOff]]</f>
        <v>-2</v>
      </c>
      <c r="M429" s="16">
        <f>MAX(-16, MIN(16, Games[[#This Row],[RestDiff]]*8))</f>
        <v>16</v>
      </c>
      <c r="N429" s="16">
        <f>MAX(-16, MIN(16, Games[[#This Row],[OppRestDiff]]*8))</f>
        <v>-16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1361.8548390163705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1416.0539435504033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0.58801234362308452</v>
      </c>
      <c r="R429" s="1">
        <v>70</v>
      </c>
      <c r="S429" s="1">
        <v>65</v>
      </c>
      <c r="T429" s="1">
        <v>0</v>
      </c>
      <c r="U429" s="16">
        <f>Games[[#This Row],[PointsFor]]-Games[[#This Row],[PointsAgainst]]</f>
        <v>5</v>
      </c>
      <c r="V429" s="16">
        <f>IF(Games[[#This Row],[MOV]]&gt;0,1,IF(Games[[#This Row],[MOV]]=0,0.5,0))</f>
        <v>1</v>
      </c>
      <c r="W429" s="4">
        <f>((ABS(Games[[#This Row],[MOV]])+5)^0.6)/(12+0.01*(ABS(Games[[#This Row],[PreGmRate]]-Games[[#This Row],[OppPreGmRate]])))*IF(Games[[#This Row],[OT]]=1,0.9,1)</f>
        <v>0.31741943453340632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71.95</v>
      </c>
      <c r="Z429" s="4">
        <f>Games[[#This Row],[K]]*Games[[#This Row],[POMult]]</f>
        <v>71.95</v>
      </c>
      <c r="AA429" s="4">
        <f>(Games[[#This Row],[Keff]]*Games[[#This Row],[MOVMult]])*(Games[[#This Row],[Result]]-Games[[#This Row],[ExpectedWin%]])</f>
        <v>9.4091093579309799</v>
      </c>
      <c r="AB429" s="4">
        <f>Games[[#This Row],[PreGmRate]]+Games[[#This Row],[RatingChange]]</f>
        <v>1371.2639483743014</v>
      </c>
      <c r="AC429" s="2">
        <f>IF(Games[[#This Row],[Type]]="R",IF(Games[[#This Row],[Result]]&gt;0.5,1,0),0)</f>
        <v>1</v>
      </c>
      <c r="AD429" s="2">
        <f>IF(Games[[#This Row],[Type]]="R",IF(Games[[#This Row],[Result]]&lt;0.5,1,0),0)</f>
        <v>0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37107</v>
      </c>
      <c r="B430" s="2">
        <v>2001</v>
      </c>
      <c r="C430" s="2">
        <f>COUNTIFS(Games[Team],Games[[#This Row],[Team]],Games[Season],Games[[#This Row],[Season]],Games[Date],"&lt;=" &amp; Games[[#This Row],[Date]])</f>
        <v>28</v>
      </c>
      <c r="D430" s="2" t="s">
        <v>23</v>
      </c>
      <c r="E430" s="2" t="s">
        <v>29</v>
      </c>
      <c r="F430" s="1" t="s">
        <v>87</v>
      </c>
      <c r="G430" s="1" t="s">
        <v>71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0" s="2">
        <f>Games[[#This Row],[DaysOff]]-Games[[#This Row],[OppDaysOff]]</f>
        <v>-1</v>
      </c>
      <c r="L430" s="2">
        <f>Games[[#This Row],[OppDaysOff]]-Games[[#This Row],[DaysOff]]</f>
        <v>1</v>
      </c>
      <c r="M430" s="16">
        <f>MAX(-16, MIN(16, Games[[#This Row],[RestDiff]]*8))</f>
        <v>-8</v>
      </c>
      <c r="N430" s="16">
        <f>MAX(-16, MIN(16, Games[[#This Row],[OppRestDiff]]*8))</f>
        <v>8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1371.0061019107554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1730.2901146209117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6.6368993954251401E-2</v>
      </c>
      <c r="R430" s="1">
        <v>60</v>
      </c>
      <c r="S430" s="1">
        <v>79</v>
      </c>
      <c r="T430" s="1">
        <v>0</v>
      </c>
      <c r="U430" s="16">
        <f>Games[[#This Row],[PointsFor]]-Games[[#This Row],[PointsAgainst]]</f>
        <v>-19</v>
      </c>
      <c r="V430" s="16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0.43171935438348574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71.8</v>
      </c>
      <c r="Z430" s="4">
        <f>Games[[#This Row],[K]]*Games[[#This Row],[POMult]]</f>
        <v>71.8</v>
      </c>
      <c r="AA430" s="4">
        <f>(Games[[#This Row],[Keff]]*Games[[#This Row],[MOVMult]])*(Games[[#This Row],[Result]]-Games[[#This Row],[ExpectedWin%]])</f>
        <v>-2.0572695480685814</v>
      </c>
      <c r="AB430" s="4">
        <f>Games[[#This Row],[PreGmRate]]+Games[[#This Row],[RatingChange]]</f>
        <v>1368.9488323626867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1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37107</v>
      </c>
      <c r="B431" s="2">
        <v>2001</v>
      </c>
      <c r="C431" s="2">
        <f>COUNTIFS(Games[Team],Games[[#This Row],[Team]],Games[Season],Games[[#This Row],[Season]],Games[Date],"&lt;=" &amp; Games[[#This Row],[Date]])</f>
        <v>27</v>
      </c>
      <c r="D431" s="2" t="s">
        <v>23</v>
      </c>
      <c r="E431" s="2" t="s">
        <v>29</v>
      </c>
      <c r="F431" s="1" t="s">
        <v>71</v>
      </c>
      <c r="G431" s="1" t="s">
        <v>87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1" s="2">
        <f>Games[[#This Row],[DaysOff]]-Games[[#This Row],[OppDaysOff]]</f>
        <v>1</v>
      </c>
      <c r="L431" s="2">
        <f>Games[[#This Row],[OppDaysOff]]-Games[[#This Row],[DaysOff]]</f>
        <v>-1</v>
      </c>
      <c r="M431" s="16">
        <f>MAX(-16, MIN(16, Games[[#This Row],[RestDiff]]*8))</f>
        <v>8</v>
      </c>
      <c r="N431" s="16">
        <f>MAX(-16, MIN(16, Games[[#This Row],[OppRestDiff]]*8))</f>
        <v>-8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1730.2901146209117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1371.0061019107554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0.93363100604574856</v>
      </c>
      <c r="R431" s="1">
        <v>79</v>
      </c>
      <c r="S431" s="1">
        <v>60</v>
      </c>
      <c r="T431" s="1">
        <v>0</v>
      </c>
      <c r="U431" s="16">
        <f>Games[[#This Row],[PointsFor]]-Games[[#This Row],[PointsAgainst]]</f>
        <v>19</v>
      </c>
      <c r="V431" s="16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0.43171935438348574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71.95</v>
      </c>
      <c r="Z431" s="4">
        <f>Games[[#This Row],[K]]*Games[[#This Row],[POMult]]</f>
        <v>71.95</v>
      </c>
      <c r="AA431" s="4">
        <f>(Games[[#This Row],[Keff]]*Games[[#This Row],[MOVMult]])*(Games[[#This Row],[Result]]-Games[[#This Row],[ExpectedWin%]])</f>
        <v>2.0615674649517346</v>
      </c>
      <c r="AB431" s="4">
        <f>Games[[#This Row],[PreGmRate]]+Games[[#This Row],[RatingChange]]</f>
        <v>1732.3516820858633</v>
      </c>
      <c r="AC431" s="2">
        <f>IF(Games[[#This Row],[Type]]="R",IF(Games[[#This Row],[Result]]&gt;0.5,1,0),0)</f>
        <v>1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37107</v>
      </c>
      <c r="B432" s="2">
        <v>2001</v>
      </c>
      <c r="C432" s="2">
        <f>COUNTIFS(Games[Team],Games[[#This Row],[Team]],Games[Season],Games[[#This Row],[Season]],Games[Date],"&lt;=" &amp; Games[[#This Row],[Date]])</f>
        <v>27</v>
      </c>
      <c r="D432" s="2" t="s">
        <v>23</v>
      </c>
      <c r="E432" s="2" t="s">
        <v>29</v>
      </c>
      <c r="F432" s="1" t="s">
        <v>1</v>
      </c>
      <c r="G432" s="1" t="s">
        <v>66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4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2</v>
      </c>
      <c r="L432" s="2">
        <f>Games[[#This Row],[OppDaysOff]]-Games[[#This Row],[DaysOff]]</f>
        <v>-2</v>
      </c>
      <c r="M432" s="16">
        <f>MAX(-16, MIN(16, Games[[#This Row],[RestDiff]]*8))</f>
        <v>16</v>
      </c>
      <c r="N432" s="16">
        <f>MAX(-16, MIN(16, Games[[#This Row],[OppRestDiff]]*8))</f>
        <v>-16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1652.2263648141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1575.7628933687079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0.53514769971246245</v>
      </c>
      <c r="R432" s="1">
        <v>58</v>
      </c>
      <c r="S432" s="1">
        <v>43</v>
      </c>
      <c r="T432" s="1">
        <v>0</v>
      </c>
      <c r="U432" s="16">
        <f>Games[[#This Row],[PointsFor]]-Games[[#This Row],[PointsAgainst]]</f>
        <v>15</v>
      </c>
      <c r="V432" s="16">
        <f>IF(Games[[#This Row],[MOV]]&gt;0,1,IF(Games[[#This Row],[MOV]]=0,0.5,0))</f>
        <v>1</v>
      </c>
      <c r="W432" s="4">
        <f>((ABS(Games[[#This Row],[MOV]])+5)^0.6)/(12+0.01*(ABS(Games[[#This Row],[PreGmRate]]-Games[[#This Row],[OppPreGmRate]])))*IF(Games[[#This Row],[OT]]=1,0.9,1)</f>
        <v>0.47272612742395331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71.95</v>
      </c>
      <c r="Z432" s="4">
        <f>Games[[#This Row],[K]]*Games[[#This Row],[POMult]]</f>
        <v>71.95</v>
      </c>
      <c r="AA432" s="4">
        <f>(Games[[#This Row],[Keff]]*Games[[#This Row],[MOVMult]])*(Games[[#This Row],[Result]]-Games[[#This Row],[ExpectedWin%]])</f>
        <v>15.810856205824237</v>
      </c>
      <c r="AB432" s="4">
        <f>Games[[#This Row],[PreGmRate]]+Games[[#This Row],[RatingChange]]</f>
        <v>1668.0372210199241</v>
      </c>
      <c r="AC432" s="2">
        <f>IF(Games[[#This Row],[Type]]="R",IF(Games[[#This Row],[Result]]&gt;0.5,1,0),0)</f>
        <v>1</v>
      </c>
      <c r="AD432" s="2">
        <f>IF(Games[[#This Row],[Type]]="R",IF(Games[[#This Row],[Result]]&lt;0.5,1,0),0)</f>
        <v>0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37107</v>
      </c>
      <c r="B433" s="2">
        <v>2001</v>
      </c>
      <c r="C433" s="2">
        <f>COUNTIFS(Games[Team],Games[[#This Row],[Team]],Games[Season],Games[[#This Row],[Season]],Games[Date],"&lt;=" &amp; Games[[#This Row],[Date]])</f>
        <v>28</v>
      </c>
      <c r="D433" s="2" t="s">
        <v>23</v>
      </c>
      <c r="E433" s="2" t="s">
        <v>29</v>
      </c>
      <c r="F433" s="1" t="s">
        <v>66</v>
      </c>
      <c r="G433" s="1" t="s">
        <v>1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33" s="2">
        <f>Games[[#This Row],[DaysOff]]-Games[[#This Row],[OppDaysOff]]</f>
        <v>-2</v>
      </c>
      <c r="L433" s="2">
        <f>Games[[#This Row],[OppDaysOff]]-Games[[#This Row],[DaysOff]]</f>
        <v>2</v>
      </c>
      <c r="M433" s="16">
        <f>MAX(-16, MIN(16, Games[[#This Row],[RestDiff]]*8))</f>
        <v>-16</v>
      </c>
      <c r="N433" s="16">
        <f>MAX(-16, MIN(16, Games[[#This Row],[OppRestDiff]]*8))</f>
        <v>16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1575.7628933687079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1652.2263648141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0.4648523002875376</v>
      </c>
      <c r="R433" s="1">
        <v>43</v>
      </c>
      <c r="S433" s="1">
        <v>58</v>
      </c>
      <c r="T433" s="1">
        <v>0</v>
      </c>
      <c r="U433" s="16">
        <f>Games[[#This Row],[PointsFor]]-Games[[#This Row],[PointsAgainst]]</f>
        <v>-15</v>
      </c>
      <c r="V433" s="16">
        <f>IF(Games[[#This Row],[MOV]]&gt;0,1,IF(Games[[#This Row],[MOV]]=0,0.5,0))</f>
        <v>0</v>
      </c>
      <c r="W433" s="4">
        <f>((ABS(Games[[#This Row],[MOV]])+5)^0.6)/(12+0.01*(ABS(Games[[#This Row],[PreGmRate]]-Games[[#This Row],[OppPreGmRate]])))*IF(Games[[#This Row],[OT]]=1,0.9,1)</f>
        <v>0.47272612742395331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71.8</v>
      </c>
      <c r="Z433" s="4">
        <f>Games[[#This Row],[K]]*Games[[#This Row],[POMult]]</f>
        <v>71.8</v>
      </c>
      <c r="AA433" s="4">
        <f>(Games[[#This Row],[Keff]]*Games[[#This Row],[MOVMult]])*(Games[[#This Row],[Result]]-Games[[#This Row],[ExpectedWin%]])</f>
        <v>-15.777894031663381</v>
      </c>
      <c r="AB433" s="4">
        <f>Games[[#This Row],[PreGmRate]]+Games[[#This Row],[RatingChange]]</f>
        <v>1559.9849993370444</v>
      </c>
      <c r="AC433" s="2">
        <f>IF(Games[[#This Row],[Type]]="R",IF(Games[[#This Row],[Result]]&gt;0.5,1,0),0)</f>
        <v>0</v>
      </c>
      <c r="AD433" s="2">
        <f>IF(Games[[#This Row],[Type]]="R",IF(Games[[#This Row],[Result]]&lt;0.5,1,0),0)</f>
        <v>1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37107</v>
      </c>
      <c r="B434" s="2">
        <v>2001</v>
      </c>
      <c r="C434" s="2">
        <f>COUNTIFS(Games[Team],Games[[#This Row],[Team]],Games[Season],Games[[#This Row],[Season]],Games[Date],"&lt;=" &amp; Games[[#This Row],[Date]])</f>
        <v>28</v>
      </c>
      <c r="D434" s="2" t="s">
        <v>23</v>
      </c>
      <c r="E434" s="2" t="s">
        <v>29</v>
      </c>
      <c r="F434" s="1" t="s">
        <v>85</v>
      </c>
      <c r="G434" s="1" t="s">
        <v>43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6">
        <f>MAX(-16, MIN(16, Games[[#This Row],[RestDiff]]*8))</f>
        <v>0</v>
      </c>
      <c r="N434" s="16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1393.0013662500651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1561.4064135393503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0.18954639896789857</v>
      </c>
      <c r="R434" s="1">
        <v>54</v>
      </c>
      <c r="S434" s="1">
        <v>65</v>
      </c>
      <c r="T434" s="1">
        <v>0</v>
      </c>
      <c r="U434" s="16">
        <f>Games[[#This Row],[PointsFor]]-Games[[#This Row],[PointsAgainst]]</f>
        <v>-11</v>
      </c>
      <c r="V434" s="16">
        <f>IF(Games[[#This Row],[MOV]]&gt;0,1,IF(Games[[#This Row],[MOV]]=0,0.5,0))</f>
        <v>0</v>
      </c>
      <c r="W434" s="4">
        <f>((ABS(Games[[#This Row],[MOV]])+5)^0.6)/(12+0.01*(ABS(Games[[#This Row],[PreGmRate]]-Games[[#This Row],[OppPreGmRate]])))*IF(Games[[#This Row],[OT]]=1,0.9,1)</f>
        <v>0.38570682368842385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71.8</v>
      </c>
      <c r="Z434" s="4">
        <f>Games[[#This Row],[K]]*Games[[#This Row],[POMult]]</f>
        <v>71.8</v>
      </c>
      <c r="AA434" s="4">
        <f>(Games[[#This Row],[Keff]]*Games[[#This Row],[MOVMult]])*(Games[[#This Row],[Result]]-Games[[#This Row],[ExpectedWin%]])</f>
        <v>-5.2492505752015592</v>
      </c>
      <c r="AB434" s="4">
        <f>Games[[#This Row],[PreGmRate]]+Games[[#This Row],[RatingChange]]</f>
        <v>1387.7521156748635</v>
      </c>
      <c r="AC434" s="2">
        <f>IF(Games[[#This Row],[Type]]="R",IF(Games[[#This Row],[Result]]&gt;0.5,1,0),0)</f>
        <v>0</v>
      </c>
      <c r="AD434" s="2">
        <f>IF(Games[[#This Row],[Type]]="R",IF(Games[[#This Row],[Result]]&lt;0.5,1,0),0)</f>
        <v>1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37107</v>
      </c>
      <c r="B435" s="2">
        <v>2001</v>
      </c>
      <c r="C435" s="2">
        <f>COUNTIFS(Games[Team],Games[[#This Row],[Team]],Games[Season],Games[[#This Row],[Season]],Games[Date],"&lt;=" &amp; Games[[#This Row],[Date]])</f>
        <v>27</v>
      </c>
      <c r="D435" s="2" t="s">
        <v>23</v>
      </c>
      <c r="E435" s="2" t="s">
        <v>29</v>
      </c>
      <c r="F435" s="1" t="s">
        <v>43</v>
      </c>
      <c r="G435" s="1" t="s">
        <v>85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6">
        <f>MAX(-16, MIN(16, Games[[#This Row],[RestDiff]]*8))</f>
        <v>0</v>
      </c>
      <c r="N435" s="16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1561.4064135393503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1393.0013662500651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0.8104536010321014</v>
      </c>
      <c r="R435" s="1">
        <v>65</v>
      </c>
      <c r="S435" s="1">
        <v>54</v>
      </c>
      <c r="T435" s="1">
        <v>0</v>
      </c>
      <c r="U435" s="16">
        <f>Games[[#This Row],[PointsFor]]-Games[[#This Row],[PointsAgainst]]</f>
        <v>11</v>
      </c>
      <c r="V435" s="16">
        <f>IF(Games[[#This Row],[MOV]]&gt;0,1,IF(Games[[#This Row],[MOV]]=0,0.5,0))</f>
        <v>1</v>
      </c>
      <c r="W435" s="4">
        <f>((ABS(Games[[#This Row],[MOV]])+5)^0.6)/(12+0.01*(ABS(Games[[#This Row],[PreGmRate]]-Games[[#This Row],[OppPreGmRate]])))*IF(Games[[#This Row],[OT]]=1,0.9,1)</f>
        <v>0.38570682368842385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71.95</v>
      </c>
      <c r="Z435" s="4">
        <f>Games[[#This Row],[K]]*Games[[#This Row],[POMult]]</f>
        <v>71.95</v>
      </c>
      <c r="AA435" s="4">
        <f>(Games[[#This Row],[Keff]]*Games[[#This Row],[MOVMult]])*(Games[[#This Row],[Result]]-Games[[#This Row],[ExpectedWin%]])</f>
        <v>5.2602169761246831</v>
      </c>
      <c r="AB435" s="4">
        <f>Games[[#This Row],[PreGmRate]]+Games[[#This Row],[RatingChange]]</f>
        <v>1566.6666305154749</v>
      </c>
      <c r="AC435" s="2">
        <f>IF(Games[[#This Row],[Type]]="R",IF(Games[[#This Row],[Result]]&gt;0.5,1,0),0)</f>
        <v>1</v>
      </c>
      <c r="AD435" s="2">
        <f>IF(Games[[#This Row],[Type]]="R",IF(Games[[#This Row],[Result]]&lt;0.5,1,0),0)</f>
        <v>0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37108</v>
      </c>
      <c r="B436" s="2">
        <v>2001</v>
      </c>
      <c r="C436" s="2">
        <f>COUNTIFS(Games[Team],Games[[#This Row],[Team]],Games[Season],Games[[#This Row],[Season]],Games[Date],"&lt;=" &amp; Games[[#This Row],[Date]])</f>
        <v>27</v>
      </c>
      <c r="D436" s="2" t="s">
        <v>23</v>
      </c>
      <c r="E436" s="2" t="s">
        <v>29</v>
      </c>
      <c r="F436" s="1" t="s">
        <v>75</v>
      </c>
      <c r="G436" s="1" t="s">
        <v>83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6" s="2">
        <f>Games[[#This Row],[DaysOff]]-Games[[#This Row],[OppDaysOff]]</f>
        <v>0</v>
      </c>
      <c r="L436" s="2">
        <f>Games[[#This Row],[OppDaysOff]]-Games[[#This Row],[DaysOff]]</f>
        <v>0</v>
      </c>
      <c r="M436" s="16">
        <f>MAX(-16, MIN(16, Games[[#This Row],[RestDiff]]*8))</f>
        <v>0</v>
      </c>
      <c r="N436" s="16">
        <f>MAX(-16, MIN(16, Games[[#This Row],[OppRestDiff]]*8))</f>
        <v>0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1396.8955964504376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1548.2009435054163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0.20513133599981426</v>
      </c>
      <c r="R436" s="1">
        <v>44</v>
      </c>
      <c r="S436" s="1">
        <v>52</v>
      </c>
      <c r="T436" s="1">
        <v>0</v>
      </c>
      <c r="U436" s="16">
        <f>Games[[#This Row],[PointsFor]]-Games[[#This Row],[PointsAgainst]]</f>
        <v>-8</v>
      </c>
      <c r="V436" s="16">
        <f>IF(Games[[#This Row],[MOV]]&gt;0,1,IF(Games[[#This Row],[MOV]]=0,0.5,0))</f>
        <v>0</v>
      </c>
      <c r="W436" s="4">
        <f>((ABS(Games[[#This Row],[MOV]])+5)^0.6)/(12+0.01*(ABS(Games[[#This Row],[PreGmRate]]-Games[[#This Row],[OppPreGmRate]])))*IF(Games[[#This Row],[OT]]=1,0.9,1)</f>
        <v>0.344835934394218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71.95</v>
      </c>
      <c r="Z436" s="4">
        <f>Games[[#This Row],[K]]*Games[[#This Row],[POMult]]</f>
        <v>71.95</v>
      </c>
      <c r="AA436" s="4">
        <f>(Games[[#This Row],[Keff]]*Games[[#This Row],[MOVMult]])*(Games[[#This Row],[Result]]-Games[[#This Row],[ExpectedWin%]])</f>
        <v>-5.0895023936620261</v>
      </c>
      <c r="AB436" s="4">
        <f>Games[[#This Row],[PreGmRate]]+Games[[#This Row],[RatingChange]]</f>
        <v>1391.8060940567755</v>
      </c>
      <c r="AC436" s="2">
        <f>IF(Games[[#This Row],[Type]]="R",IF(Games[[#This Row],[Result]]&gt;0.5,1,0),0)</f>
        <v>0</v>
      </c>
      <c r="AD436" s="2">
        <f>IF(Games[[#This Row],[Type]]="R",IF(Games[[#This Row],[Result]]&lt;0.5,1,0),0)</f>
        <v>1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37108</v>
      </c>
      <c r="B437" s="2">
        <v>2001</v>
      </c>
      <c r="C437" s="2">
        <f>COUNTIFS(Games[Team],Games[[#This Row],[Team]],Games[Season],Games[[#This Row],[Season]],Games[Date],"&lt;=" &amp; Games[[#This Row],[Date]])</f>
        <v>28</v>
      </c>
      <c r="D437" s="2" t="s">
        <v>23</v>
      </c>
      <c r="E437" s="2" t="s">
        <v>29</v>
      </c>
      <c r="F437" s="1" t="s">
        <v>83</v>
      </c>
      <c r="G437" s="1" t="s">
        <v>75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0</v>
      </c>
      <c r="L437" s="2">
        <f>Games[[#This Row],[OppDaysOff]]-Games[[#This Row],[DaysOff]]</f>
        <v>0</v>
      </c>
      <c r="M437" s="16">
        <f>MAX(-16, MIN(16, Games[[#This Row],[RestDiff]]*8))</f>
        <v>0</v>
      </c>
      <c r="N437" s="16">
        <f>MAX(-16, MIN(16, Games[[#This Row],[OppRestDiff]]*8))</f>
        <v>0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1548.2009435054163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1396.8955964504376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0.79486866400018574</v>
      </c>
      <c r="R437" s="1">
        <v>52</v>
      </c>
      <c r="S437" s="1">
        <v>44</v>
      </c>
      <c r="T437" s="1">
        <v>0</v>
      </c>
      <c r="U437" s="16">
        <f>Games[[#This Row],[PointsFor]]-Games[[#This Row],[PointsAgainst]]</f>
        <v>8</v>
      </c>
      <c r="V437" s="16">
        <f>IF(Games[[#This Row],[MOV]]&gt;0,1,IF(Games[[#This Row],[MOV]]=0,0.5,0))</f>
        <v>1</v>
      </c>
      <c r="W437" s="4">
        <f>((ABS(Games[[#This Row],[MOV]])+5)^0.6)/(12+0.01*(ABS(Games[[#This Row],[PreGmRate]]-Games[[#This Row],[OppPreGmRate]])))*IF(Games[[#This Row],[OT]]=1,0.9,1)</f>
        <v>0.344835934394218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71.8</v>
      </c>
      <c r="Z437" s="4">
        <f>Games[[#This Row],[K]]*Games[[#This Row],[POMult]]</f>
        <v>71.8</v>
      </c>
      <c r="AA437" s="4">
        <f>(Games[[#This Row],[Keff]]*Games[[#This Row],[MOVMult]])*(Games[[#This Row],[Result]]-Games[[#This Row],[ExpectedWin%]])</f>
        <v>5.0788918952735704</v>
      </c>
      <c r="AB437" s="4">
        <f>Games[[#This Row],[PreGmRate]]+Games[[#This Row],[RatingChange]]</f>
        <v>1553.2798354006898</v>
      </c>
      <c r="AC437" s="2">
        <f>IF(Games[[#This Row],[Type]]="R",IF(Games[[#This Row],[Result]]&gt;0.5,1,0),0)</f>
        <v>1</v>
      </c>
      <c r="AD437" s="2">
        <f>IF(Games[[#This Row],[Type]]="R",IF(Games[[#This Row],[Result]]&lt;0.5,1,0),0)</f>
        <v>0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37108</v>
      </c>
      <c r="B438" s="2">
        <v>2001</v>
      </c>
      <c r="C438" s="2">
        <f>COUNTIFS(Games[Team],Games[[#This Row],[Team]],Games[Season],Games[[#This Row],[Season]],Games[Date],"&lt;=" &amp; Games[[#This Row],[Date]])</f>
        <v>28</v>
      </c>
      <c r="D438" s="2" t="s">
        <v>23</v>
      </c>
      <c r="E438" s="2" t="s">
        <v>29</v>
      </c>
      <c r="F438" s="1" t="s">
        <v>45</v>
      </c>
      <c r="G438" s="1" t="s">
        <v>80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8" s="2">
        <f>Games[[#This Row],[DaysOff]]-Games[[#This Row],[OppDaysOff]]</f>
        <v>0</v>
      </c>
      <c r="L438" s="2">
        <f>Games[[#This Row],[OppDaysOff]]-Games[[#This Row],[DaysOff]]</f>
        <v>0</v>
      </c>
      <c r="M438" s="16">
        <f>MAX(-16, MIN(16, Games[[#This Row],[RestDiff]]*8))</f>
        <v>0</v>
      </c>
      <c r="N438" s="16">
        <f>MAX(-16, MIN(16, Games[[#This Row],[OppRestDiff]]*8))</f>
        <v>0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1592.8807251281103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1401.3918276842717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0.64993552919387965</v>
      </c>
      <c r="R438" s="1">
        <v>76</v>
      </c>
      <c r="S438" s="1">
        <v>79</v>
      </c>
      <c r="T438" s="1">
        <v>1</v>
      </c>
      <c r="U438" s="16">
        <f>Games[[#This Row],[PointsFor]]-Games[[#This Row],[PointsAgainst]]</f>
        <v>-3</v>
      </c>
      <c r="V438" s="16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0.22522508326319843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71.8</v>
      </c>
      <c r="Z438" s="4">
        <f>Games[[#This Row],[K]]*Games[[#This Row],[POMult]]</f>
        <v>71.8</v>
      </c>
      <c r="AA438" s="4">
        <f>(Games[[#This Row],[Keff]]*Games[[#This Row],[MOVMult]])*(Games[[#This Row],[Result]]-Games[[#This Row],[ExpectedWin%]])</f>
        <v>-10.510212068109297</v>
      </c>
      <c r="AB438" s="4">
        <f>Games[[#This Row],[PreGmRate]]+Games[[#This Row],[RatingChange]]</f>
        <v>1582.370513060001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37108</v>
      </c>
      <c r="B439" s="2">
        <v>2001</v>
      </c>
      <c r="C439" s="2">
        <f>COUNTIFS(Games[Team],Games[[#This Row],[Team]],Games[Season],Games[[#This Row],[Season]],Games[Date],"&lt;=" &amp; Games[[#This Row],[Date]])</f>
        <v>27</v>
      </c>
      <c r="D439" s="2" t="s">
        <v>23</v>
      </c>
      <c r="E439" s="2" t="s">
        <v>29</v>
      </c>
      <c r="F439" s="1" t="s">
        <v>80</v>
      </c>
      <c r="G439" s="1" t="s">
        <v>45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0</v>
      </c>
      <c r="L439" s="2">
        <f>Games[[#This Row],[OppDaysOff]]-Games[[#This Row],[DaysOff]]</f>
        <v>0</v>
      </c>
      <c r="M439" s="16">
        <f>MAX(-16, MIN(16, Games[[#This Row],[RestDiff]]*8))</f>
        <v>0</v>
      </c>
      <c r="N439" s="16">
        <f>MAX(-16, MIN(16, Games[[#This Row],[OppRestDiff]]*8))</f>
        <v>0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1401.3918276842717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1592.8807251281103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0.35006447080612041</v>
      </c>
      <c r="R439" s="1">
        <v>79</v>
      </c>
      <c r="S439" s="1">
        <v>76</v>
      </c>
      <c r="T439" s="1">
        <v>1</v>
      </c>
      <c r="U439" s="16">
        <f>Games[[#This Row],[PointsFor]]-Games[[#This Row],[PointsAgainst]]</f>
        <v>3</v>
      </c>
      <c r="V439" s="16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0.22522508326319843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71.95</v>
      </c>
      <c r="Z439" s="4">
        <f>Games[[#This Row],[K]]*Games[[#This Row],[POMult]]</f>
        <v>71.95</v>
      </c>
      <c r="AA439" s="4">
        <f>(Games[[#This Row],[Keff]]*Games[[#This Row],[MOVMult]])*(Games[[#This Row],[Result]]-Games[[#This Row],[ExpectedWin%]])</f>
        <v>10.532169335661056</v>
      </c>
      <c r="AB439" s="4">
        <f>Games[[#This Row],[PreGmRate]]+Games[[#This Row],[RatingChange]]</f>
        <v>1411.9239970199328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37108</v>
      </c>
      <c r="B440" s="2">
        <v>2001</v>
      </c>
      <c r="C440" s="2">
        <f>COUNTIFS(Games[Team],Games[[#This Row],[Team]],Games[Season],Games[[#This Row],[Season]],Games[Date],"&lt;=" &amp; Games[[#This Row],[Date]])</f>
        <v>27</v>
      </c>
      <c r="D440" s="2" t="s">
        <v>23</v>
      </c>
      <c r="E440" s="2" t="s">
        <v>29</v>
      </c>
      <c r="F440" s="1" t="s">
        <v>44</v>
      </c>
      <c r="G440" s="1" t="s">
        <v>79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0" s="2">
        <f>Games[[#This Row],[DaysOff]]-Games[[#This Row],[OppDaysOff]]</f>
        <v>0</v>
      </c>
      <c r="L440" s="2">
        <f>Games[[#This Row],[OppDaysOff]]-Games[[#This Row],[DaysOff]]</f>
        <v>0</v>
      </c>
      <c r="M440" s="16">
        <f>MAX(-16, MIN(16, Games[[#This Row],[RestDiff]]*8))</f>
        <v>0</v>
      </c>
      <c r="N440" s="16">
        <f>MAX(-16, MIN(16, Games[[#This Row],[OppRestDiff]]*8))</f>
        <v>0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1467.5406740147309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1440.0188234418447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0.41942984671758515</v>
      </c>
      <c r="R440" s="1">
        <v>69</v>
      </c>
      <c r="S440" s="1">
        <v>78</v>
      </c>
      <c r="T440" s="1">
        <v>0</v>
      </c>
      <c r="U440" s="16">
        <f>Games[[#This Row],[PointsFor]]-Games[[#This Row],[PointsAgainst]]</f>
        <v>-9</v>
      </c>
      <c r="V440" s="16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0.39686937739587314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71.95</v>
      </c>
      <c r="Z440" s="4">
        <f>Games[[#This Row],[K]]*Games[[#This Row],[POMult]]</f>
        <v>71.95</v>
      </c>
      <c r="AA440" s="4">
        <f>(Games[[#This Row],[Keff]]*Games[[#This Row],[MOVMult]])*(Games[[#This Row],[Result]]-Games[[#This Row],[ExpectedWin%]])</f>
        <v>-11.976715130113524</v>
      </c>
      <c r="AB440" s="4">
        <f>Games[[#This Row],[PreGmRate]]+Games[[#This Row],[RatingChange]]</f>
        <v>1455.5639588846175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37108</v>
      </c>
      <c r="B441" s="2">
        <v>2001</v>
      </c>
      <c r="C441" s="2">
        <f>COUNTIFS(Games[Team],Games[[#This Row],[Team]],Games[Season],Games[[#This Row],[Season]],Games[Date],"&lt;=" &amp; Games[[#This Row],[Date]])</f>
        <v>28</v>
      </c>
      <c r="D441" s="2" t="s">
        <v>23</v>
      </c>
      <c r="E441" s="2" t="s">
        <v>29</v>
      </c>
      <c r="F441" s="1" t="s">
        <v>79</v>
      </c>
      <c r="G441" s="1" t="s">
        <v>44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1" s="2">
        <f>Games[[#This Row],[DaysOff]]-Games[[#This Row],[OppDaysOff]]</f>
        <v>0</v>
      </c>
      <c r="L441" s="2">
        <f>Games[[#This Row],[OppDaysOff]]-Games[[#This Row],[DaysOff]]</f>
        <v>0</v>
      </c>
      <c r="M441" s="16">
        <f>MAX(-16, MIN(16, Games[[#This Row],[RestDiff]]*8))</f>
        <v>0</v>
      </c>
      <c r="N441" s="16">
        <f>MAX(-16, MIN(16, Games[[#This Row],[OppRestDiff]]*8))</f>
        <v>0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1440.0188234418447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1467.5406740147309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0.58057015328241479</v>
      </c>
      <c r="R441" s="1">
        <v>78</v>
      </c>
      <c r="S441" s="1">
        <v>69</v>
      </c>
      <c r="T441" s="1">
        <v>0</v>
      </c>
      <c r="U441" s="16">
        <f>Games[[#This Row],[PointsFor]]-Games[[#This Row],[PointsAgainst]]</f>
        <v>9</v>
      </c>
      <c r="V441" s="16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0.39686937739587314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71.8</v>
      </c>
      <c r="Z441" s="4">
        <f>Games[[#This Row],[K]]*Games[[#This Row],[POMult]]</f>
        <v>71.8</v>
      </c>
      <c r="AA441" s="4">
        <f>(Games[[#This Row],[Keff]]*Games[[#This Row],[MOVMult]])*(Games[[#This Row],[Result]]-Games[[#This Row],[ExpectedWin%]])</f>
        <v>11.951746300794316</v>
      </c>
      <c r="AB441" s="4">
        <f>Games[[#This Row],[PreGmRate]]+Games[[#This Row],[RatingChange]]</f>
        <v>1451.9705697426391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37109</v>
      </c>
      <c r="B442" s="2">
        <v>2001</v>
      </c>
      <c r="C442" s="2">
        <f>COUNTIFS(Games[Team],Games[[#This Row],[Team]],Games[Season],Games[[#This Row],[Season]],Games[Date],"&lt;=" &amp; Games[[#This Row],[Date]])</f>
        <v>28</v>
      </c>
      <c r="D442" s="2" t="s">
        <v>23</v>
      </c>
      <c r="E442" s="2" t="s">
        <v>29</v>
      </c>
      <c r="F442" s="1" t="s">
        <v>44</v>
      </c>
      <c r="G442" s="1" t="s">
        <v>2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-1</v>
      </c>
      <c r="L442" s="2">
        <f>Games[[#This Row],[OppDaysOff]]-Games[[#This Row],[DaysOff]]</f>
        <v>1</v>
      </c>
      <c r="M442" s="16">
        <f>MAX(-16, MIN(16, Games[[#This Row],[RestDiff]]*8))</f>
        <v>-8</v>
      </c>
      <c r="N442" s="16">
        <f>MAX(-16, MIN(16, Games[[#This Row],[OppRestDiff]]*8))</f>
        <v>8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1455.5639588846175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1600.4647242783476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0.19627157755489902</v>
      </c>
      <c r="R442" s="1">
        <v>48</v>
      </c>
      <c r="S442" s="1">
        <v>62</v>
      </c>
      <c r="T442" s="1">
        <v>0</v>
      </c>
      <c r="U442" s="16">
        <f>Games[[#This Row],[PointsFor]]-Games[[#This Row],[PointsAgainst]]</f>
        <v>-14</v>
      </c>
      <c r="V442" s="16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0.43507278700196167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71.8</v>
      </c>
      <c r="Z442" s="4">
        <f>Games[[#This Row],[K]]*Games[[#This Row],[POMult]]</f>
        <v>71.8</v>
      </c>
      <c r="AA442" s="4">
        <f>(Games[[#This Row],[Keff]]*Games[[#This Row],[MOVMult]])*(Games[[#This Row],[Result]]-Games[[#This Row],[ExpectedWin%]])</f>
        <v>-6.1311759179866572</v>
      </c>
      <c r="AB442" s="4">
        <f>Games[[#This Row],[PreGmRate]]+Games[[#This Row],[RatingChange]]</f>
        <v>1449.4327829666308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37109</v>
      </c>
      <c r="B443" s="2">
        <v>2001</v>
      </c>
      <c r="C443" s="2">
        <f>COUNTIFS(Games[Team],Games[[#This Row],[Team]],Games[Season],Games[[#This Row],[Season]],Games[Date],"&lt;=" &amp; Games[[#This Row],[Date]])</f>
        <v>28</v>
      </c>
      <c r="D443" s="2" t="s">
        <v>23</v>
      </c>
      <c r="E443" s="2" t="s">
        <v>29</v>
      </c>
      <c r="F443" s="1" t="s">
        <v>2</v>
      </c>
      <c r="G443" s="1" t="s">
        <v>44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3" s="2">
        <f>Games[[#This Row],[DaysOff]]-Games[[#This Row],[OppDaysOff]]</f>
        <v>1</v>
      </c>
      <c r="L443" s="2">
        <f>Games[[#This Row],[OppDaysOff]]-Games[[#This Row],[DaysOff]]</f>
        <v>-1</v>
      </c>
      <c r="M443" s="16">
        <f>MAX(-16, MIN(16, Games[[#This Row],[RestDiff]]*8))</f>
        <v>8</v>
      </c>
      <c r="N443" s="16">
        <f>MAX(-16, MIN(16, Games[[#This Row],[OppRestDiff]]*8))</f>
        <v>-8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1600.4647242783476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1455.5639588846175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0.80372842244510101</v>
      </c>
      <c r="R443" s="1">
        <v>62</v>
      </c>
      <c r="S443" s="1">
        <v>48</v>
      </c>
      <c r="T443" s="1">
        <v>0</v>
      </c>
      <c r="U443" s="16">
        <f>Games[[#This Row],[PointsFor]]-Games[[#This Row],[PointsAgainst]]</f>
        <v>14</v>
      </c>
      <c r="V443" s="16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0.43507278700196167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71.8</v>
      </c>
      <c r="Z443" s="4">
        <f>Games[[#This Row],[K]]*Games[[#This Row],[POMult]]</f>
        <v>71.8</v>
      </c>
      <c r="AA443" s="4">
        <f>(Games[[#This Row],[Keff]]*Games[[#This Row],[MOVMult]])*(Games[[#This Row],[Result]]-Games[[#This Row],[ExpectedWin%]])</f>
        <v>6.1311759179866563</v>
      </c>
      <c r="AB443" s="4">
        <f>Games[[#This Row],[PreGmRate]]+Games[[#This Row],[RatingChange]]</f>
        <v>1606.5959001963342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37109</v>
      </c>
      <c r="B444" s="2">
        <v>2001</v>
      </c>
      <c r="C444" s="2">
        <f>COUNTIFS(Games[Team],Games[[#This Row],[Team]],Games[Season],Games[[#This Row],[Season]],Games[Date],"&lt;=" &amp; Games[[#This Row],[Date]])</f>
        <v>29</v>
      </c>
      <c r="D444" s="2" t="s">
        <v>23</v>
      </c>
      <c r="E444" s="2" t="s">
        <v>29</v>
      </c>
      <c r="F444" s="1" t="s">
        <v>85</v>
      </c>
      <c r="G444" s="1" t="s">
        <v>71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0</v>
      </c>
      <c r="L444" s="2">
        <f>Games[[#This Row],[OppDaysOff]]-Games[[#This Row],[DaysOff]]</f>
        <v>0</v>
      </c>
      <c r="M444" s="16">
        <f>MAX(-16, MIN(16, Games[[#This Row],[RestDiff]]*8))</f>
        <v>0</v>
      </c>
      <c r="N444" s="16">
        <f>MAX(-16, MIN(16, Games[[#This Row],[OppRestDiff]]*8))</f>
        <v>0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1387.7521156748635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1732.3516820858633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7.8188553817172698E-2</v>
      </c>
      <c r="R444" s="1">
        <v>66</v>
      </c>
      <c r="S444" s="1">
        <v>81</v>
      </c>
      <c r="T444" s="1">
        <v>0</v>
      </c>
      <c r="U444" s="16">
        <f>Games[[#This Row],[PointsFor]]-Games[[#This Row],[PointsAgainst]]</f>
        <v>-15</v>
      </c>
      <c r="V444" s="16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0.39066282729614193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4" s="9">
        <f>MAX(kmin, kmax - 0.15 * MIN(Games[[#This Row],[GamesPlayed]], 82))</f>
        <v>71.650000000000006</v>
      </c>
      <c r="Z444" s="4">
        <f>Games[[#This Row],[K]]*Games[[#This Row],[POMult]]</f>
        <v>71.650000000000006</v>
      </c>
      <c r="AA444" s="4">
        <f>(Games[[#This Row],[Keff]]*Games[[#This Row],[MOVMult]])*(Games[[#This Row],[Result]]-Games[[#This Row],[ExpectedWin%]])</f>
        <v>-2.1885751512180085</v>
      </c>
      <c r="AB444" s="4">
        <f>Games[[#This Row],[PreGmRate]]+Games[[#This Row],[RatingChange]]</f>
        <v>1385.5635405236455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1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37109</v>
      </c>
      <c r="B445" s="2">
        <v>2001</v>
      </c>
      <c r="C445" s="2">
        <f>COUNTIFS(Games[Team],Games[[#This Row],[Team]],Games[Season],Games[[#This Row],[Season]],Games[Date],"&lt;=" &amp; Games[[#This Row],[Date]])</f>
        <v>28</v>
      </c>
      <c r="D445" s="2" t="s">
        <v>23</v>
      </c>
      <c r="E445" s="2" t="s">
        <v>29</v>
      </c>
      <c r="F445" s="1" t="s">
        <v>71</v>
      </c>
      <c r="G445" s="1" t="s">
        <v>85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5" s="2">
        <f>Games[[#This Row],[DaysOff]]-Games[[#This Row],[OppDaysOff]]</f>
        <v>0</v>
      </c>
      <c r="L445" s="2">
        <f>Games[[#This Row],[OppDaysOff]]-Games[[#This Row],[DaysOff]]</f>
        <v>0</v>
      </c>
      <c r="M445" s="16">
        <f>MAX(-16, MIN(16, Games[[#This Row],[RestDiff]]*8))</f>
        <v>0</v>
      </c>
      <c r="N445" s="16">
        <f>MAX(-16, MIN(16, Games[[#This Row],[OppRestDiff]]*8))</f>
        <v>0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1732.3516820858633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1387.7521156748635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0.92181144618282729</v>
      </c>
      <c r="R445" s="1">
        <v>81</v>
      </c>
      <c r="S445" s="1">
        <v>66</v>
      </c>
      <c r="T445" s="1">
        <v>0</v>
      </c>
      <c r="U445" s="16">
        <f>Games[[#This Row],[PointsFor]]-Games[[#This Row],[PointsAgainst]]</f>
        <v>15</v>
      </c>
      <c r="V445" s="16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0.39066282729614193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5" s="9">
        <f>MAX(kmin, kmax - 0.15 * MIN(Games[[#This Row],[GamesPlayed]], 82))</f>
        <v>71.8</v>
      </c>
      <c r="Z445" s="4">
        <f>Games[[#This Row],[K]]*Games[[#This Row],[POMult]]</f>
        <v>71.8</v>
      </c>
      <c r="AA445" s="4">
        <f>(Games[[#This Row],[Keff]]*Games[[#This Row],[MOVMult]])*(Games[[#This Row],[Result]]-Games[[#This Row],[ExpectedWin%]])</f>
        <v>2.1931569554424706</v>
      </c>
      <c r="AB445" s="4">
        <f>Games[[#This Row],[PreGmRate]]+Games[[#This Row],[RatingChange]]</f>
        <v>1734.5448390413057</v>
      </c>
      <c r="AC445" s="2">
        <f>IF(Games[[#This Row],[Type]]="R",IF(Games[[#This Row],[Result]]&gt;0.5,1,0),0)</f>
        <v>1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37109</v>
      </c>
      <c r="B446" s="2">
        <v>2001</v>
      </c>
      <c r="C446" s="2">
        <f>COUNTIFS(Games[Team],Games[[#This Row],[Team]],Games[Season],Games[[#This Row],[Season]],Games[Date],"&lt;=" &amp; Games[[#This Row],[Date]])</f>
        <v>29</v>
      </c>
      <c r="D446" s="2" t="s">
        <v>23</v>
      </c>
      <c r="E446" s="2" t="s">
        <v>29</v>
      </c>
      <c r="F446" s="1" t="s">
        <v>64</v>
      </c>
      <c r="G446" s="1" t="s">
        <v>75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6" s="2">
        <f>Games[[#This Row],[DaysOff]]-Games[[#This Row],[OppDaysOff]]</f>
        <v>1</v>
      </c>
      <c r="L446" s="2">
        <f>Games[[#This Row],[OppDaysOff]]-Games[[#This Row],[DaysOff]]</f>
        <v>-1</v>
      </c>
      <c r="M446" s="16">
        <f>MAX(-16, MIN(16, Games[[#This Row],[RestDiff]]*8))</f>
        <v>8</v>
      </c>
      <c r="N446" s="16">
        <f>MAX(-16, MIN(16, Games[[#This Row],[OppRestDiff]]*8))</f>
        <v>-8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1489.3488618189369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1391.8060940567755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0.54241328997781413</v>
      </c>
      <c r="R446" s="1">
        <v>65</v>
      </c>
      <c r="S446" s="1">
        <v>60</v>
      </c>
      <c r="T446" s="1">
        <v>0</v>
      </c>
      <c r="U446" s="16">
        <f>Games[[#This Row],[PointsFor]]-Games[[#This Row],[PointsAgainst]]</f>
        <v>5</v>
      </c>
      <c r="V446" s="16">
        <f>IF(Games[[#This Row],[MOV]]&gt;0,1,IF(Games[[#This Row],[MOV]]=0,0.5,0))</f>
        <v>1</v>
      </c>
      <c r="W446" s="4">
        <f>((ABS(Games[[#This Row],[MOV]])+5)^0.6)/(12+0.01*(ABS(Games[[#This Row],[PreGmRate]]-Games[[#This Row],[OppPreGmRate]])))*IF(Games[[#This Row],[OT]]=1,0.9,1)</f>
        <v>0.30681622251272872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6" s="9">
        <f>MAX(kmin, kmax - 0.15 * MIN(Games[[#This Row],[GamesPlayed]], 82))</f>
        <v>71.650000000000006</v>
      </c>
      <c r="Z446" s="4">
        <f>Games[[#This Row],[K]]*Games[[#This Row],[POMult]]</f>
        <v>71.650000000000006</v>
      </c>
      <c r="AA446" s="4">
        <f>(Games[[#This Row],[Keff]]*Games[[#This Row],[MOVMult]])*(Games[[#This Row],[Result]]-Games[[#This Row],[ExpectedWin%]])</f>
        <v>10.05930360151012</v>
      </c>
      <c r="AB446" s="4">
        <f>Games[[#This Row],[PreGmRate]]+Games[[#This Row],[RatingChange]]</f>
        <v>1499.4081654204469</v>
      </c>
      <c r="AC446" s="2">
        <f>IF(Games[[#This Row],[Type]]="R",IF(Games[[#This Row],[Result]]&gt;0.5,1,0),0)</f>
        <v>1</v>
      </c>
      <c r="AD446" s="2">
        <f>IF(Games[[#This Row],[Type]]="R",IF(Games[[#This Row],[Result]]&lt;0.5,1,0),0)</f>
        <v>0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37109</v>
      </c>
      <c r="B447" s="2">
        <v>2001</v>
      </c>
      <c r="C447" s="2">
        <f>COUNTIFS(Games[Team],Games[[#This Row],[Team]],Games[Season],Games[[#This Row],[Season]],Games[Date],"&lt;=" &amp; Games[[#This Row],[Date]])</f>
        <v>28</v>
      </c>
      <c r="D447" s="2" t="s">
        <v>23</v>
      </c>
      <c r="E447" s="2" t="s">
        <v>29</v>
      </c>
      <c r="F447" s="1" t="s">
        <v>75</v>
      </c>
      <c r="G447" s="1" t="s">
        <v>64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7" s="2">
        <f>Games[[#This Row],[DaysOff]]-Games[[#This Row],[OppDaysOff]]</f>
        <v>-1</v>
      </c>
      <c r="L447" s="2">
        <f>Games[[#This Row],[OppDaysOff]]-Games[[#This Row],[DaysOff]]</f>
        <v>1</v>
      </c>
      <c r="M447" s="16">
        <f>MAX(-16, MIN(16, Games[[#This Row],[RestDiff]]*8))</f>
        <v>-8</v>
      </c>
      <c r="N447" s="16">
        <f>MAX(-16, MIN(16, Games[[#This Row],[OppRestDiff]]*8))</f>
        <v>8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1391.8060940567755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1489.3488618189369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0.45758671002218587</v>
      </c>
      <c r="R447" s="1">
        <v>60</v>
      </c>
      <c r="S447" s="1">
        <v>65</v>
      </c>
      <c r="T447" s="1">
        <v>0</v>
      </c>
      <c r="U447" s="16">
        <f>Games[[#This Row],[PointsFor]]-Games[[#This Row],[PointsAgainst]]</f>
        <v>-5</v>
      </c>
      <c r="V447" s="16">
        <f>IF(Games[[#This Row],[MOV]]&gt;0,1,IF(Games[[#This Row],[MOV]]=0,0.5,0))</f>
        <v>0</v>
      </c>
      <c r="W447" s="4">
        <f>((ABS(Games[[#This Row],[MOV]])+5)^0.6)/(12+0.01*(ABS(Games[[#This Row],[PreGmRate]]-Games[[#This Row],[OppPreGmRate]])))*IF(Games[[#This Row],[OT]]=1,0.9,1)</f>
        <v>0.30681622251272872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7" s="9">
        <f>MAX(kmin, kmax - 0.15 * MIN(Games[[#This Row],[GamesPlayed]], 82))</f>
        <v>71.8</v>
      </c>
      <c r="Z447" s="4">
        <f>Games[[#This Row],[K]]*Games[[#This Row],[POMult]]</f>
        <v>71.8</v>
      </c>
      <c r="AA447" s="4">
        <f>(Games[[#This Row],[Keff]]*Games[[#This Row],[MOVMult]])*(Games[[#This Row],[Result]]-Games[[#This Row],[ExpectedWin%]])</f>
        <v>-10.080362855386275</v>
      </c>
      <c r="AB447" s="4">
        <f>Games[[#This Row],[PreGmRate]]+Games[[#This Row],[RatingChange]]</f>
        <v>1381.7257312013892</v>
      </c>
      <c r="AC447" s="2">
        <f>IF(Games[[#This Row],[Type]]="R",IF(Games[[#This Row],[Result]]&gt;0.5,1,0),0)</f>
        <v>0</v>
      </c>
      <c r="AD447" s="2">
        <f>IF(Games[[#This Row],[Type]]="R",IF(Games[[#This Row],[Result]]&lt;0.5,1,0),0)</f>
        <v>1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37110</v>
      </c>
      <c r="B448" s="2">
        <v>2001</v>
      </c>
      <c r="C448" s="2">
        <f>COUNTIFS(Games[Team],Games[[#This Row],[Team]],Games[Season],Games[[#This Row],[Season]],Games[Date],"&lt;=" &amp; Games[[#This Row],[Date]])</f>
        <v>28</v>
      </c>
      <c r="D448" s="2" t="s">
        <v>23</v>
      </c>
      <c r="E448" s="2" t="s">
        <v>29</v>
      </c>
      <c r="F448" s="1" t="s">
        <v>43</v>
      </c>
      <c r="G448" s="1" t="s">
        <v>77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6">
        <f>MAX(-16, MIN(16, Games[[#This Row],[RestDiff]]*8))</f>
        <v>0</v>
      </c>
      <c r="N448" s="16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1566.6666305154749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1371.2639483743014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0.65504396650326069</v>
      </c>
      <c r="R448" s="1">
        <v>76</v>
      </c>
      <c r="S448" s="1">
        <v>69</v>
      </c>
      <c r="T448" s="1">
        <v>0</v>
      </c>
      <c r="U448" s="16">
        <f>Games[[#This Row],[PointsFor]]-Games[[#This Row],[PointsAgainst]]</f>
        <v>7</v>
      </c>
      <c r="V448" s="16">
        <f>IF(Games[[#This Row],[MOV]]&gt;0,1,IF(Games[[#This Row],[MOV]]=0,0.5,0))</f>
        <v>1</v>
      </c>
      <c r="W448" s="4">
        <f>((ABS(Games[[#This Row],[MOV]])+5)^0.6)/(12+0.01*(ABS(Games[[#This Row],[PreGmRate]]-Games[[#This Row],[OppPreGmRate]])))*IF(Games[[#This Row],[OT]]=1,0.9,1)</f>
        <v>0.3182798862784838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8" s="9">
        <f>MAX(kmin, kmax - 0.15 * MIN(Games[[#This Row],[GamesPlayed]], 82))</f>
        <v>71.8</v>
      </c>
      <c r="Z448" s="4">
        <f>Games[[#This Row],[K]]*Games[[#This Row],[POMult]]</f>
        <v>71.8</v>
      </c>
      <c r="AA448" s="4">
        <f>(Games[[#This Row],[Keff]]*Games[[#This Row],[MOVMult]])*(Games[[#This Row],[Result]]-Games[[#This Row],[ExpectedWin%]])</f>
        <v>7.8831063186716861</v>
      </c>
      <c r="AB448" s="4">
        <f>Games[[#This Row],[PreGmRate]]+Games[[#This Row],[RatingChange]]</f>
        <v>1574.5497368341466</v>
      </c>
      <c r="AC448" s="2">
        <f>IF(Games[[#This Row],[Type]]="R",IF(Games[[#This Row],[Result]]&gt;0.5,1,0),0)</f>
        <v>1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37110</v>
      </c>
      <c r="B449" s="2">
        <v>2001</v>
      </c>
      <c r="C449" s="2">
        <f>COUNTIFS(Games[Team],Games[[#This Row],[Team]],Games[Season],Games[[#This Row],[Season]],Games[Date],"&lt;=" &amp; Games[[#This Row],[Date]])</f>
        <v>28</v>
      </c>
      <c r="D449" s="2" t="s">
        <v>23</v>
      </c>
      <c r="E449" s="2" t="s">
        <v>29</v>
      </c>
      <c r="F449" s="1" t="s">
        <v>77</v>
      </c>
      <c r="G449" s="1" t="s">
        <v>43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6">
        <f>MAX(-16, MIN(16, Games[[#This Row],[RestDiff]]*8))</f>
        <v>0</v>
      </c>
      <c r="N449" s="16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1371.2639483743014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1566.6666305154749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0.34495603349673931</v>
      </c>
      <c r="R449" s="1">
        <v>69</v>
      </c>
      <c r="S449" s="1">
        <v>76</v>
      </c>
      <c r="T449" s="1">
        <v>0</v>
      </c>
      <c r="U449" s="16">
        <f>Games[[#This Row],[PointsFor]]-Games[[#This Row],[PointsAgainst]]</f>
        <v>-7</v>
      </c>
      <c r="V449" s="16">
        <f>IF(Games[[#This Row],[MOV]]&gt;0,1,IF(Games[[#This Row],[MOV]]=0,0.5,0))</f>
        <v>0</v>
      </c>
      <c r="W449" s="4">
        <f>((ABS(Games[[#This Row],[MOV]])+5)^0.6)/(12+0.01*(ABS(Games[[#This Row],[PreGmRate]]-Games[[#This Row],[OppPreGmRate]])))*IF(Games[[#This Row],[OT]]=1,0.9,1)</f>
        <v>0.3182798862784838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9" s="9">
        <f>MAX(kmin, kmax - 0.15 * MIN(Games[[#This Row],[GamesPlayed]], 82))</f>
        <v>71.8</v>
      </c>
      <c r="Z449" s="4">
        <f>Games[[#This Row],[K]]*Games[[#This Row],[POMult]]</f>
        <v>71.8</v>
      </c>
      <c r="AA449" s="4">
        <f>(Games[[#This Row],[Keff]]*Games[[#This Row],[MOVMult]])*(Games[[#This Row],[Result]]-Games[[#This Row],[ExpectedWin%]])</f>
        <v>-7.8831063186716861</v>
      </c>
      <c r="AB449" s="4">
        <f>Games[[#This Row],[PreGmRate]]+Games[[#This Row],[RatingChange]]</f>
        <v>1363.3808420556297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1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37110</v>
      </c>
      <c r="B450" s="2">
        <v>2001</v>
      </c>
      <c r="C450" s="2">
        <f>COUNTIFS(Games[Team],Games[[#This Row],[Team]],Games[Season],Games[[#This Row],[Season]],Games[Date],"&lt;=" &amp; Games[[#This Row],[Date]])</f>
        <v>28</v>
      </c>
      <c r="D450" s="2" t="s">
        <v>23</v>
      </c>
      <c r="E450" s="2" t="s">
        <v>29</v>
      </c>
      <c r="F450" s="1" t="s">
        <v>1</v>
      </c>
      <c r="G450" s="1" t="s">
        <v>79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0" s="2">
        <f>Games[[#This Row],[DaysOff]]-Games[[#This Row],[OppDaysOff]]</f>
        <v>1</v>
      </c>
      <c r="L450" s="2">
        <f>Games[[#This Row],[OppDaysOff]]-Games[[#This Row],[DaysOff]]</f>
        <v>-1</v>
      </c>
      <c r="M450" s="16">
        <f>MAX(-16, MIN(16, Games[[#This Row],[RestDiff]]*8))</f>
        <v>8</v>
      </c>
      <c r="N450" s="16">
        <f>MAX(-16, MIN(16, Games[[#This Row],[OppRestDiff]]*8))</f>
        <v>-8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1668.0372210199241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1451.9705697426391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0.70105781391485267</v>
      </c>
      <c r="R450" s="1">
        <v>67</v>
      </c>
      <c r="S450" s="1">
        <v>74</v>
      </c>
      <c r="T450" s="1">
        <v>0</v>
      </c>
      <c r="U450" s="16">
        <f>Games[[#This Row],[PointsFor]]-Games[[#This Row],[PointsAgainst]]</f>
        <v>-7</v>
      </c>
      <c r="V450" s="16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0.31363538332322294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0" s="9">
        <f>MAX(kmin, kmax - 0.15 * MIN(Games[[#This Row],[GamesPlayed]], 82))</f>
        <v>71.8</v>
      </c>
      <c r="Z450" s="4">
        <f>Games[[#This Row],[K]]*Games[[#This Row],[POMult]]</f>
        <v>71.8</v>
      </c>
      <c r="AA450" s="4">
        <f>(Games[[#This Row],[Keff]]*Games[[#This Row],[MOVMult]])*(Games[[#This Row],[Result]]-Games[[#This Row],[ExpectedWin%]])</f>
        <v>-15.78713529908285</v>
      </c>
      <c r="AB450" s="4">
        <f>Games[[#This Row],[PreGmRate]]+Games[[#This Row],[RatingChange]]</f>
        <v>1652.2500857208413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1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37110</v>
      </c>
      <c r="B451" s="2">
        <v>2001</v>
      </c>
      <c r="C451" s="2">
        <f>COUNTIFS(Games[Team],Games[[#This Row],[Team]],Games[Season],Games[[#This Row],[Season]],Games[Date],"&lt;=" &amp; Games[[#This Row],[Date]])</f>
        <v>29</v>
      </c>
      <c r="D451" s="2" t="s">
        <v>23</v>
      </c>
      <c r="E451" s="2" t="s">
        <v>29</v>
      </c>
      <c r="F451" s="1" t="s">
        <v>79</v>
      </c>
      <c r="G451" s="1" t="s">
        <v>1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1" s="2">
        <f>Games[[#This Row],[DaysOff]]-Games[[#This Row],[OppDaysOff]]</f>
        <v>-1</v>
      </c>
      <c r="L451" s="2">
        <f>Games[[#This Row],[OppDaysOff]]-Games[[#This Row],[DaysOff]]</f>
        <v>1</v>
      </c>
      <c r="M451" s="16">
        <f>MAX(-16, MIN(16, Games[[#This Row],[RestDiff]]*8))</f>
        <v>-8</v>
      </c>
      <c r="N451" s="16">
        <f>MAX(-16, MIN(16, Games[[#This Row],[OppRestDiff]]*8))</f>
        <v>8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1451.9705697426391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1668.0372210199241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0.29894218608514733</v>
      </c>
      <c r="R451" s="1">
        <v>74</v>
      </c>
      <c r="S451" s="1">
        <v>67</v>
      </c>
      <c r="T451" s="1">
        <v>0</v>
      </c>
      <c r="U451" s="16">
        <f>Games[[#This Row],[PointsFor]]-Games[[#This Row],[PointsAgainst]]</f>
        <v>7</v>
      </c>
      <c r="V451" s="16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0.31363538332322294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1" s="9">
        <f>MAX(kmin, kmax - 0.15 * MIN(Games[[#This Row],[GamesPlayed]], 82))</f>
        <v>71.650000000000006</v>
      </c>
      <c r="Z451" s="4">
        <f>Games[[#This Row],[K]]*Games[[#This Row],[POMult]]</f>
        <v>71.650000000000006</v>
      </c>
      <c r="AA451" s="4">
        <f>(Games[[#This Row],[Keff]]*Games[[#This Row],[MOVMult]])*(Games[[#This Row],[Result]]-Games[[#This Row],[ExpectedWin%]])</f>
        <v>15.754153818653014</v>
      </c>
      <c r="AB451" s="4">
        <f>Games[[#This Row],[PreGmRate]]+Games[[#This Row],[RatingChange]]</f>
        <v>1467.7247235612922</v>
      </c>
      <c r="AC451" s="2">
        <f>IF(Games[[#This Row],[Type]]="R",IF(Games[[#This Row],[Result]]&gt;0.5,1,0),0)</f>
        <v>1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37110</v>
      </c>
      <c r="B452" s="2">
        <v>2001</v>
      </c>
      <c r="C452" s="2">
        <f>COUNTIFS(Games[Team],Games[[#This Row],[Team]],Games[Season],Games[[#This Row],[Season]],Games[Date],"&lt;=" &amp; Games[[#This Row],[Date]])</f>
        <v>28</v>
      </c>
      <c r="D452" s="2" t="s">
        <v>23</v>
      </c>
      <c r="E452" s="2" t="s">
        <v>29</v>
      </c>
      <c r="F452" s="1" t="s">
        <v>80</v>
      </c>
      <c r="G452" s="1" t="s">
        <v>45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6">
        <f>MAX(-16, MIN(16, Games[[#This Row],[RestDiff]]*8))</f>
        <v>0</v>
      </c>
      <c r="N452" s="16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1411.9239970199328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1582.370513060001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0.1877477120403758</v>
      </c>
      <c r="R452" s="1">
        <v>59</v>
      </c>
      <c r="S452" s="1">
        <v>76</v>
      </c>
      <c r="T452" s="1">
        <v>0</v>
      </c>
      <c r="U452" s="16">
        <f>Games[[#This Row],[PointsFor]]-Games[[#This Row],[PointsAgainst]]</f>
        <v>-17</v>
      </c>
      <c r="V452" s="16">
        <f>IF(Games[[#This Row],[MOV]]&gt;0,1,IF(Games[[#This Row],[MOV]]=0,0.5,0))</f>
        <v>0</v>
      </c>
      <c r="W452" s="4">
        <f>((ABS(Games[[#This Row],[MOV]])+5)^0.6)/(12+0.01*(ABS(Games[[#This Row],[PreGmRate]]-Games[[#This Row],[OppPreGmRate]])))*IF(Games[[#This Row],[OT]]=1,0.9,1)</f>
        <v>0.46622066269656315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2" s="9">
        <f>MAX(kmin, kmax - 0.15 * MIN(Games[[#This Row],[GamesPlayed]], 82))</f>
        <v>71.8</v>
      </c>
      <c r="Z452" s="4">
        <f>Games[[#This Row],[K]]*Games[[#This Row],[POMult]]</f>
        <v>71.8</v>
      </c>
      <c r="AA452" s="4">
        <f>(Games[[#This Row],[Keff]]*Games[[#This Row],[MOVMult]])*(Games[[#This Row],[Result]]-Games[[#This Row],[ExpectedWin%]])</f>
        <v>-6.2847877438149355</v>
      </c>
      <c r="AB452" s="4">
        <f>Games[[#This Row],[PreGmRate]]+Games[[#This Row],[RatingChange]]</f>
        <v>1405.639209276118</v>
      </c>
      <c r="AC452" s="2">
        <f>IF(Games[[#This Row],[Type]]="R",IF(Games[[#This Row],[Result]]&gt;0.5,1,0),0)</f>
        <v>0</v>
      </c>
      <c r="AD452" s="2">
        <f>IF(Games[[#This Row],[Type]]="R",IF(Games[[#This Row],[Result]]&lt;0.5,1,0),0)</f>
        <v>1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37110</v>
      </c>
      <c r="B453" s="2">
        <v>2001</v>
      </c>
      <c r="C453" s="2">
        <f>COUNTIFS(Games[Team],Games[[#This Row],[Team]],Games[Season],Games[[#This Row],[Season]],Games[Date],"&lt;=" &amp; Games[[#This Row],[Date]])</f>
        <v>29</v>
      </c>
      <c r="D453" s="2" t="s">
        <v>23</v>
      </c>
      <c r="E453" s="2" t="s">
        <v>29</v>
      </c>
      <c r="F453" s="1" t="s">
        <v>45</v>
      </c>
      <c r="G453" s="1" t="s">
        <v>80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6">
        <f>MAX(-16, MIN(16, Games[[#This Row],[RestDiff]]*8))</f>
        <v>0</v>
      </c>
      <c r="N453" s="16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1582.370513060001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1411.9239970199328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0.81225228795962423</v>
      </c>
      <c r="R453" s="1">
        <v>76</v>
      </c>
      <c r="S453" s="1">
        <v>59</v>
      </c>
      <c r="T453" s="1">
        <v>0</v>
      </c>
      <c r="U453" s="16">
        <f>Games[[#This Row],[PointsFor]]-Games[[#This Row],[PointsAgainst]]</f>
        <v>17</v>
      </c>
      <c r="V453" s="16">
        <f>IF(Games[[#This Row],[MOV]]&gt;0,1,IF(Games[[#This Row],[MOV]]=0,0.5,0))</f>
        <v>1</v>
      </c>
      <c r="W453" s="4">
        <f>((ABS(Games[[#This Row],[MOV]])+5)^0.6)/(12+0.01*(ABS(Games[[#This Row],[PreGmRate]]-Games[[#This Row],[OppPreGmRate]])))*IF(Games[[#This Row],[OT]]=1,0.9,1)</f>
        <v>0.46622066269656315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3" s="9">
        <f>MAX(kmin, kmax - 0.15 * MIN(Games[[#This Row],[GamesPlayed]], 82))</f>
        <v>71.650000000000006</v>
      </c>
      <c r="Z453" s="4">
        <f>Games[[#This Row],[K]]*Games[[#This Row],[POMult]]</f>
        <v>71.650000000000006</v>
      </c>
      <c r="AA453" s="4">
        <f>(Games[[#This Row],[Keff]]*Games[[#This Row],[MOVMult]])*(Games[[#This Row],[Result]]-Games[[#This Row],[ExpectedWin%]])</f>
        <v>6.2716579644058505</v>
      </c>
      <c r="AB453" s="4">
        <f>Games[[#This Row],[PreGmRate]]+Games[[#This Row],[RatingChange]]</f>
        <v>1588.6421710244069</v>
      </c>
      <c r="AC453" s="2">
        <f>IF(Games[[#This Row],[Type]]="R",IF(Games[[#This Row],[Result]]&gt;0.5,1,0),0)</f>
        <v>1</v>
      </c>
      <c r="AD453" s="2">
        <f>IF(Games[[#This Row],[Type]]="R",IF(Games[[#This Row],[Result]]&lt;0.5,1,0),0)</f>
        <v>0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37111</v>
      </c>
      <c r="B454" s="2">
        <v>2001</v>
      </c>
      <c r="C454" s="2">
        <f>COUNTIFS(Games[Team],Games[[#This Row],[Team]],Games[Season],Games[[#This Row],[Season]],Games[Date],"&lt;=" &amp; Games[[#This Row],[Date]])</f>
        <v>29</v>
      </c>
      <c r="D454" s="2" t="s">
        <v>23</v>
      </c>
      <c r="E454" s="2" t="s">
        <v>29</v>
      </c>
      <c r="F454" s="1" t="s">
        <v>77</v>
      </c>
      <c r="G454" s="1" t="s">
        <v>1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6">
        <f>MAX(-16, MIN(16, Games[[#This Row],[RestDiff]]*8))</f>
        <v>0</v>
      </c>
      <c r="N454" s="16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1363.3808420556297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1652.2500857208413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0.10466736818653431</v>
      </c>
      <c r="R454" s="1">
        <v>66</v>
      </c>
      <c r="S454" s="1">
        <v>73</v>
      </c>
      <c r="T454" s="1">
        <v>0</v>
      </c>
      <c r="U454" s="16">
        <f>Games[[#This Row],[PointsFor]]-Games[[#This Row],[PointsAgainst]]</f>
        <v>-7</v>
      </c>
      <c r="V454" s="16">
        <f>IF(Games[[#This Row],[MOV]]&gt;0,1,IF(Games[[#This Row],[MOV]]=0,0.5,0))</f>
        <v>0</v>
      </c>
      <c r="W454" s="4">
        <f>((ABS(Games[[#This Row],[MOV]])+5)^0.6)/(12+0.01*(ABS(Games[[#This Row],[PreGmRate]]-Games[[#This Row],[OppPreGmRate]])))*IF(Games[[#This Row],[OT]]=1,0.9,1)</f>
        <v>0.29829926897492626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4" s="9">
        <f>MAX(kmin, kmax - 0.15 * MIN(Games[[#This Row],[GamesPlayed]], 82))</f>
        <v>71.650000000000006</v>
      </c>
      <c r="Z454" s="4">
        <f>Games[[#This Row],[K]]*Games[[#This Row],[POMult]]</f>
        <v>71.650000000000006</v>
      </c>
      <c r="AA454" s="4">
        <f>(Games[[#This Row],[Keff]]*Games[[#This Row],[MOVMult]])*(Games[[#This Row],[Result]]-Games[[#This Row],[ExpectedWin%]])</f>
        <v>-2.2370705881257797</v>
      </c>
      <c r="AB454" s="4">
        <f>Games[[#This Row],[PreGmRate]]+Games[[#This Row],[RatingChange]]</f>
        <v>1361.1437714675039</v>
      </c>
      <c r="AC454" s="2">
        <f>IF(Games[[#This Row],[Type]]="R",IF(Games[[#This Row],[Result]]&gt;0.5,1,0),0)</f>
        <v>0</v>
      </c>
      <c r="AD454" s="2">
        <f>IF(Games[[#This Row],[Type]]="R",IF(Games[[#This Row],[Result]]&lt;0.5,1,0),0)</f>
        <v>1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37111</v>
      </c>
      <c r="B455" s="2">
        <v>2001</v>
      </c>
      <c r="C455" s="2">
        <f>COUNTIFS(Games[Team],Games[[#This Row],[Team]],Games[Season],Games[[#This Row],[Season]],Games[Date],"&lt;=" &amp; Games[[#This Row],[Date]])</f>
        <v>29</v>
      </c>
      <c r="D455" s="2" t="s">
        <v>23</v>
      </c>
      <c r="E455" s="2" t="s">
        <v>29</v>
      </c>
      <c r="F455" s="1" t="s">
        <v>1</v>
      </c>
      <c r="G455" s="1" t="s">
        <v>77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6">
        <f>MAX(-16, MIN(16, Games[[#This Row],[RestDiff]]*8))</f>
        <v>0</v>
      </c>
      <c r="N455" s="16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1652.2500857208413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1363.3808420556297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0.89533263181346578</v>
      </c>
      <c r="R455" s="1">
        <v>73</v>
      </c>
      <c r="S455" s="1">
        <v>66</v>
      </c>
      <c r="T455" s="1">
        <v>0</v>
      </c>
      <c r="U455" s="16">
        <f>Games[[#This Row],[PointsFor]]-Games[[#This Row],[PointsAgainst]]</f>
        <v>7</v>
      </c>
      <c r="V455" s="16">
        <f>IF(Games[[#This Row],[MOV]]&gt;0,1,IF(Games[[#This Row],[MOV]]=0,0.5,0))</f>
        <v>1</v>
      </c>
      <c r="W455" s="4">
        <f>((ABS(Games[[#This Row],[MOV]])+5)^0.6)/(12+0.01*(ABS(Games[[#This Row],[PreGmRate]]-Games[[#This Row],[OppPreGmRate]])))*IF(Games[[#This Row],[OT]]=1,0.9,1)</f>
        <v>0.29829926897492626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5" s="9">
        <f>MAX(kmin, kmax - 0.15 * MIN(Games[[#This Row],[GamesPlayed]], 82))</f>
        <v>71.650000000000006</v>
      </c>
      <c r="Z455" s="4">
        <f>Games[[#This Row],[K]]*Games[[#This Row],[POMult]]</f>
        <v>71.650000000000006</v>
      </c>
      <c r="AA455" s="4">
        <f>(Games[[#This Row],[Keff]]*Games[[#This Row],[MOVMult]])*(Games[[#This Row],[Result]]-Games[[#This Row],[ExpectedWin%]])</f>
        <v>2.2370705881257775</v>
      </c>
      <c r="AB455" s="4">
        <f>Games[[#This Row],[PreGmRate]]+Games[[#This Row],[RatingChange]]</f>
        <v>1654.4871563089671</v>
      </c>
      <c r="AC455" s="2">
        <f>IF(Games[[#This Row],[Type]]="R",IF(Games[[#This Row],[Result]]&gt;0.5,1,0),0)</f>
        <v>1</v>
      </c>
      <c r="AD455" s="2">
        <f>IF(Games[[#This Row],[Type]]="R",IF(Games[[#This Row],[Result]]&lt;0.5,1,0),0)</f>
        <v>0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37111</v>
      </c>
      <c r="B456" s="2">
        <v>2001</v>
      </c>
      <c r="C456" s="2">
        <f>COUNTIFS(Games[Team],Games[[#This Row],[Team]],Games[Season],Games[[#This Row],[Season]],Games[Date],"&lt;=" &amp; Games[[#This Row],[Date]])</f>
        <v>29</v>
      </c>
      <c r="D456" s="2" t="s">
        <v>23</v>
      </c>
      <c r="E456" s="2" t="s">
        <v>29</v>
      </c>
      <c r="F456" s="1" t="s">
        <v>44</v>
      </c>
      <c r="G456" s="1" t="s">
        <v>71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6" s="2">
        <f>Games[[#This Row],[DaysOff]]-Games[[#This Row],[OppDaysOff]]</f>
        <v>0</v>
      </c>
      <c r="L456" s="2">
        <f>Games[[#This Row],[OppDaysOff]]-Games[[#This Row],[DaysOff]]</f>
        <v>0</v>
      </c>
      <c r="M456" s="16">
        <f>MAX(-16, MIN(16, Games[[#This Row],[RestDiff]]*8))</f>
        <v>0</v>
      </c>
      <c r="N456" s="16">
        <f>MAX(-16, MIN(16, Games[[#This Row],[OppRestDiff]]*8))</f>
        <v>0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1449.4327829666308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1734.5448390413057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0.10671158300699841</v>
      </c>
      <c r="R456" s="1">
        <v>67</v>
      </c>
      <c r="S456" s="1">
        <v>79</v>
      </c>
      <c r="T456" s="1">
        <v>0</v>
      </c>
      <c r="U456" s="16">
        <f>Games[[#This Row],[PointsFor]]-Games[[#This Row],[PointsAgainst]]</f>
        <v>-12</v>
      </c>
      <c r="V456" s="16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0.3685616377922169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6" s="9">
        <f>MAX(kmin, kmax - 0.15 * MIN(Games[[#This Row],[GamesPlayed]], 82))</f>
        <v>71.650000000000006</v>
      </c>
      <c r="Z456" s="4">
        <f>Games[[#This Row],[K]]*Games[[#This Row],[POMult]]</f>
        <v>71.650000000000006</v>
      </c>
      <c r="AA456" s="4">
        <f>(Games[[#This Row],[Keff]]*Games[[#This Row],[MOVMult]])*(Games[[#This Row],[Result]]-Games[[#This Row],[ExpectedWin%]])</f>
        <v>-2.8179798693895193</v>
      </c>
      <c r="AB456" s="4">
        <f>Games[[#This Row],[PreGmRate]]+Games[[#This Row],[RatingChange]]</f>
        <v>1446.6148030972413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1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37111</v>
      </c>
      <c r="B457" s="2">
        <v>2001</v>
      </c>
      <c r="C457" s="2">
        <f>COUNTIFS(Games[Team],Games[[#This Row],[Team]],Games[Season],Games[[#This Row],[Season]],Games[Date],"&lt;=" &amp; Games[[#This Row],[Date]])</f>
        <v>29</v>
      </c>
      <c r="D457" s="2" t="s">
        <v>23</v>
      </c>
      <c r="E457" s="2" t="s">
        <v>29</v>
      </c>
      <c r="F457" s="1" t="s">
        <v>71</v>
      </c>
      <c r="G457" s="1" t="s">
        <v>44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0</v>
      </c>
      <c r="L457" s="2">
        <f>Games[[#This Row],[OppDaysOff]]-Games[[#This Row],[DaysOff]]</f>
        <v>0</v>
      </c>
      <c r="M457" s="16">
        <f>MAX(-16, MIN(16, Games[[#This Row],[RestDiff]]*8))</f>
        <v>0</v>
      </c>
      <c r="N457" s="16">
        <f>MAX(-16, MIN(16, Games[[#This Row],[OppRestDiff]]*8))</f>
        <v>0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1734.5448390413057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1449.4327829666308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0.89328841699300154</v>
      </c>
      <c r="R457" s="1">
        <v>79</v>
      </c>
      <c r="S457" s="1">
        <v>67</v>
      </c>
      <c r="T457" s="1">
        <v>0</v>
      </c>
      <c r="U457" s="16">
        <f>Games[[#This Row],[PointsFor]]-Games[[#This Row],[PointsAgainst]]</f>
        <v>12</v>
      </c>
      <c r="V457" s="16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0.3685616377922169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7" s="9">
        <f>MAX(kmin, kmax - 0.15 * MIN(Games[[#This Row],[GamesPlayed]], 82))</f>
        <v>71.650000000000006</v>
      </c>
      <c r="Z457" s="4">
        <f>Games[[#This Row],[K]]*Games[[#This Row],[POMult]]</f>
        <v>71.650000000000006</v>
      </c>
      <c r="AA457" s="4">
        <f>(Games[[#This Row],[Keff]]*Games[[#This Row],[MOVMult]])*(Games[[#This Row],[Result]]-Games[[#This Row],[ExpectedWin%]])</f>
        <v>2.8179798693895202</v>
      </c>
      <c r="AB457" s="4">
        <f>Games[[#This Row],[PreGmRate]]+Games[[#This Row],[RatingChange]]</f>
        <v>1737.3628189106953</v>
      </c>
      <c r="AC457" s="2">
        <f>IF(Games[[#This Row],[Type]]="R",IF(Games[[#This Row],[Result]]&gt;0.5,1,0),0)</f>
        <v>1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37111</v>
      </c>
      <c r="B458" s="2">
        <v>2001</v>
      </c>
      <c r="C458" s="2">
        <f>COUNTIFS(Games[Team],Games[[#This Row],[Team]],Games[Season],Games[[#This Row],[Season]],Games[Date],"&lt;=" &amp; Games[[#This Row],[Date]])</f>
        <v>29</v>
      </c>
      <c r="D458" s="2" t="s">
        <v>23</v>
      </c>
      <c r="E458" s="2" t="s">
        <v>29</v>
      </c>
      <c r="F458" s="1" t="s">
        <v>43</v>
      </c>
      <c r="G458" s="1" t="s">
        <v>66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58" s="2">
        <f>Games[[#This Row],[DaysOff]]-Games[[#This Row],[OppDaysOff]]</f>
        <v>-3</v>
      </c>
      <c r="L458" s="2">
        <f>Games[[#This Row],[OppDaysOff]]-Games[[#This Row],[DaysOff]]</f>
        <v>3</v>
      </c>
      <c r="M458" s="16">
        <f>MAX(-16, MIN(16, Games[[#This Row],[RestDiff]]*8))</f>
        <v>-16</v>
      </c>
      <c r="N458" s="16">
        <f>MAX(-16, MIN(16, Games[[#This Row],[OppRestDiff]]*8))</f>
        <v>16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1574.5497368341466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1559.9849993370444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0.35803378865006302</v>
      </c>
      <c r="R458" s="1">
        <v>63</v>
      </c>
      <c r="S458" s="1">
        <v>82</v>
      </c>
      <c r="T458" s="1">
        <v>0</v>
      </c>
      <c r="U458" s="16">
        <f>Games[[#This Row],[PointsFor]]-Games[[#This Row],[PointsAgainst]]</f>
        <v>-19</v>
      </c>
      <c r="V458" s="16">
        <f>IF(Games[[#This Row],[MOV]]&gt;0,1,IF(Games[[#This Row],[MOV]]=0,0.5,0))</f>
        <v>0</v>
      </c>
      <c r="W458" s="4">
        <f>((ABS(Games[[#This Row],[MOV]])+5)^0.6)/(12+0.01*(ABS(Games[[#This Row],[PreGmRate]]-Games[[#This Row],[OppPreGmRate]])))*IF(Games[[#This Row],[OT]]=1,0.9,1)</f>
        <v>0.55425047878053169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8" s="9">
        <f>MAX(kmin, kmax - 0.15 * MIN(Games[[#This Row],[GamesPlayed]], 82))</f>
        <v>71.650000000000006</v>
      </c>
      <c r="Z458" s="4">
        <f>Games[[#This Row],[K]]*Games[[#This Row],[POMult]]</f>
        <v>71.650000000000006</v>
      </c>
      <c r="AA458" s="4">
        <f>(Games[[#This Row],[Keff]]*Games[[#This Row],[MOVMult]])*(Games[[#This Row],[Result]]-Games[[#This Row],[ExpectedWin%]])</f>
        <v>-14.218254572508553</v>
      </c>
      <c r="AB458" s="4">
        <f>Games[[#This Row],[PreGmRate]]+Games[[#This Row],[RatingChange]]</f>
        <v>1560.331482261638</v>
      </c>
      <c r="AC458" s="2">
        <f>IF(Games[[#This Row],[Type]]="R",IF(Games[[#This Row],[Result]]&gt;0.5,1,0),0)</f>
        <v>0</v>
      </c>
      <c r="AD458" s="2">
        <f>IF(Games[[#This Row],[Type]]="R",IF(Games[[#This Row],[Result]]&lt;0.5,1,0),0)</f>
        <v>1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37111</v>
      </c>
      <c r="B459" s="2">
        <v>2001</v>
      </c>
      <c r="C459" s="2">
        <f>COUNTIFS(Games[Team],Games[[#This Row],[Team]],Games[Season],Games[[#This Row],[Season]],Games[Date],"&lt;=" &amp; Games[[#This Row],[Date]])</f>
        <v>29</v>
      </c>
      <c r="D459" s="2" t="s">
        <v>23</v>
      </c>
      <c r="E459" s="2" t="s">
        <v>29</v>
      </c>
      <c r="F459" s="1" t="s">
        <v>66</v>
      </c>
      <c r="G459" s="1" t="s">
        <v>43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3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59" s="2">
        <f>Games[[#This Row],[DaysOff]]-Games[[#This Row],[OppDaysOff]]</f>
        <v>3</v>
      </c>
      <c r="L459" s="2">
        <f>Games[[#This Row],[OppDaysOff]]-Games[[#This Row],[DaysOff]]</f>
        <v>-3</v>
      </c>
      <c r="M459" s="16">
        <f>MAX(-16, MIN(16, Games[[#This Row],[RestDiff]]*8))</f>
        <v>16</v>
      </c>
      <c r="N459" s="16">
        <f>MAX(-16, MIN(16, Games[[#This Row],[OppRestDiff]]*8))</f>
        <v>-16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1559.9849993370444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1574.5497368341466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0.64196621134993692</v>
      </c>
      <c r="R459" s="1">
        <v>82</v>
      </c>
      <c r="S459" s="1">
        <v>63</v>
      </c>
      <c r="T459" s="1">
        <v>0</v>
      </c>
      <c r="U459" s="16">
        <f>Games[[#This Row],[PointsFor]]-Games[[#This Row],[PointsAgainst]]</f>
        <v>19</v>
      </c>
      <c r="V459" s="16">
        <f>IF(Games[[#This Row],[MOV]]&gt;0,1,IF(Games[[#This Row],[MOV]]=0,0.5,0))</f>
        <v>1</v>
      </c>
      <c r="W459" s="4">
        <f>((ABS(Games[[#This Row],[MOV]])+5)^0.6)/(12+0.01*(ABS(Games[[#This Row],[PreGmRate]]-Games[[#This Row],[OppPreGmRate]])))*IF(Games[[#This Row],[OT]]=1,0.9,1)</f>
        <v>0.55425047878053169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9" s="9">
        <f>MAX(kmin, kmax - 0.15 * MIN(Games[[#This Row],[GamesPlayed]], 82))</f>
        <v>71.650000000000006</v>
      </c>
      <c r="Z459" s="4">
        <f>Games[[#This Row],[K]]*Games[[#This Row],[POMult]]</f>
        <v>71.650000000000006</v>
      </c>
      <c r="AA459" s="4">
        <f>(Games[[#This Row],[Keff]]*Games[[#This Row],[MOVMult]])*(Games[[#This Row],[Result]]-Games[[#This Row],[ExpectedWin%]])</f>
        <v>14.218254572508554</v>
      </c>
      <c r="AB459" s="4">
        <f>Games[[#This Row],[PreGmRate]]+Games[[#This Row],[RatingChange]]</f>
        <v>1574.203253909553</v>
      </c>
      <c r="AC459" s="2">
        <f>IF(Games[[#This Row],[Type]]="R",IF(Games[[#This Row],[Result]]&gt;0.5,1,0),0)</f>
        <v>1</v>
      </c>
      <c r="AD459" s="2">
        <f>IF(Games[[#This Row],[Type]]="R",IF(Games[[#This Row],[Result]]&lt;0.5,1,0),0)</f>
        <v>0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37111</v>
      </c>
      <c r="B460" s="2">
        <v>2001</v>
      </c>
      <c r="C460" s="2">
        <f>COUNTIFS(Games[Team],Games[[#This Row],[Team]],Games[Season],Games[[#This Row],[Season]],Games[Date],"&lt;=" &amp; Games[[#This Row],[Date]])</f>
        <v>29</v>
      </c>
      <c r="D460" s="2" t="s">
        <v>23</v>
      </c>
      <c r="E460" s="2" t="s">
        <v>29</v>
      </c>
      <c r="F460" s="1" t="s">
        <v>80</v>
      </c>
      <c r="G460" s="1" t="s">
        <v>89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0" s="2">
        <f>Games[[#This Row],[DaysOff]]-Games[[#This Row],[OppDaysOff]]</f>
        <v>-3</v>
      </c>
      <c r="L460" s="2">
        <f>Games[[#This Row],[OppDaysOff]]-Games[[#This Row],[DaysOff]]</f>
        <v>3</v>
      </c>
      <c r="M460" s="16">
        <f>MAX(-16, MIN(16, Games[[#This Row],[RestDiff]]*8))</f>
        <v>-16</v>
      </c>
      <c r="N460" s="16">
        <f>MAX(-16, MIN(16, Games[[#This Row],[OppRestDiff]]*8))</f>
        <v>16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1405.639209276118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1406.6644501258106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0.3376797055943383</v>
      </c>
      <c r="R460" s="1">
        <v>70</v>
      </c>
      <c r="S460" s="1">
        <v>58</v>
      </c>
      <c r="T460" s="1">
        <v>0</v>
      </c>
      <c r="U460" s="16">
        <f>Games[[#This Row],[PointsFor]]-Games[[#This Row],[PointsAgainst]]</f>
        <v>12</v>
      </c>
      <c r="V460" s="16">
        <f>IF(Games[[#This Row],[MOV]]&gt;0,1,IF(Games[[#This Row],[MOV]]=0,0.5,0))</f>
        <v>1</v>
      </c>
      <c r="W460" s="4">
        <f>((ABS(Games[[#This Row],[MOV]])+5)^0.6)/(12+0.01*(ABS(Games[[#This Row],[PreGmRate]]-Games[[#This Row],[OppPreGmRate]])))*IF(Games[[#This Row],[OT]]=1,0.9,1)</f>
        <v>0.45574007362627106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0" s="9">
        <f>MAX(kmin, kmax - 0.15 * MIN(Games[[#This Row],[GamesPlayed]], 82))</f>
        <v>71.650000000000006</v>
      </c>
      <c r="Z460" s="4">
        <f>Games[[#This Row],[K]]*Games[[#This Row],[POMult]]</f>
        <v>71.650000000000006</v>
      </c>
      <c r="AA460" s="4">
        <f>(Games[[#This Row],[Keff]]*Games[[#This Row],[MOVMult]])*(Games[[#This Row],[Result]]-Games[[#This Row],[ExpectedWin%]])</f>
        <v>21.62725871612809</v>
      </c>
      <c r="AB460" s="4">
        <f>Games[[#This Row],[PreGmRate]]+Games[[#This Row],[RatingChange]]</f>
        <v>1427.2664679922461</v>
      </c>
      <c r="AC460" s="2">
        <f>IF(Games[[#This Row],[Type]]="R",IF(Games[[#This Row],[Result]]&gt;0.5,1,0),0)</f>
        <v>1</v>
      </c>
      <c r="AD460" s="2">
        <f>IF(Games[[#This Row],[Type]]="R",IF(Games[[#This Row],[Result]]&lt;0.5,1,0),0)</f>
        <v>0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37111</v>
      </c>
      <c r="B461" s="2">
        <v>2001</v>
      </c>
      <c r="C461" s="2">
        <f>COUNTIFS(Games[Team],Games[[#This Row],[Team]],Games[Season],Games[[#This Row],[Season]],Games[Date],"&lt;=" &amp; Games[[#This Row],[Date]])</f>
        <v>29</v>
      </c>
      <c r="D461" s="2" t="s">
        <v>23</v>
      </c>
      <c r="E461" s="2" t="s">
        <v>29</v>
      </c>
      <c r="F461" s="1" t="s">
        <v>89</v>
      </c>
      <c r="G461" s="1" t="s">
        <v>80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1" s="2">
        <f>Games[[#This Row],[DaysOff]]-Games[[#This Row],[OppDaysOff]]</f>
        <v>3</v>
      </c>
      <c r="L461" s="2">
        <f>Games[[#This Row],[OppDaysOff]]-Games[[#This Row],[DaysOff]]</f>
        <v>-3</v>
      </c>
      <c r="M461" s="16">
        <f>MAX(-16, MIN(16, Games[[#This Row],[RestDiff]]*8))</f>
        <v>16</v>
      </c>
      <c r="N461" s="16">
        <f>MAX(-16, MIN(16, Games[[#This Row],[OppRestDiff]]*8))</f>
        <v>-16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1406.6644501258106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1405.639209276118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0.66232029440566165</v>
      </c>
      <c r="R461" s="1">
        <v>58</v>
      </c>
      <c r="S461" s="1">
        <v>70</v>
      </c>
      <c r="T461" s="1">
        <v>0</v>
      </c>
      <c r="U461" s="16">
        <f>Games[[#This Row],[PointsFor]]-Games[[#This Row],[PointsAgainst]]</f>
        <v>-12</v>
      </c>
      <c r="V461" s="16">
        <f>IF(Games[[#This Row],[MOV]]&gt;0,1,IF(Games[[#This Row],[MOV]]=0,0.5,0))</f>
        <v>0</v>
      </c>
      <c r="W461" s="4">
        <f>((ABS(Games[[#This Row],[MOV]])+5)^0.6)/(12+0.01*(ABS(Games[[#This Row],[PreGmRate]]-Games[[#This Row],[OppPreGmRate]])))*IF(Games[[#This Row],[OT]]=1,0.9,1)</f>
        <v>0.45574007362627106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1" s="9">
        <f>MAX(kmin, kmax - 0.15 * MIN(Games[[#This Row],[GamesPlayed]], 82))</f>
        <v>71.650000000000006</v>
      </c>
      <c r="Z461" s="4">
        <f>Games[[#This Row],[K]]*Games[[#This Row],[POMult]]</f>
        <v>71.650000000000006</v>
      </c>
      <c r="AA461" s="4">
        <f>(Games[[#This Row],[Keff]]*Games[[#This Row],[MOVMult]])*(Games[[#This Row],[Result]]-Games[[#This Row],[ExpectedWin%]])</f>
        <v>-21.62725871612809</v>
      </c>
      <c r="AB461" s="4">
        <f>Games[[#This Row],[PreGmRate]]+Games[[#This Row],[RatingChange]]</f>
        <v>1385.0371914096825</v>
      </c>
      <c r="AC461" s="2">
        <f>IF(Games[[#This Row],[Type]]="R",IF(Games[[#This Row],[Result]]&gt;0.5,1,0),0)</f>
        <v>0</v>
      </c>
      <c r="AD461" s="2">
        <f>IF(Games[[#This Row],[Type]]="R",IF(Games[[#This Row],[Result]]&lt;0.5,1,0),0)</f>
        <v>1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37111</v>
      </c>
      <c r="B462" s="2">
        <v>2001</v>
      </c>
      <c r="C462" s="2">
        <f>COUNTIFS(Games[Team],Games[[#This Row],[Team]],Games[Season],Games[[#This Row],[Season]],Games[Date],"&lt;=" &amp; Games[[#This Row],[Date]])</f>
        <v>29</v>
      </c>
      <c r="D462" s="2" t="s">
        <v>23</v>
      </c>
      <c r="E462" s="2" t="s">
        <v>29</v>
      </c>
      <c r="F462" s="1" t="s">
        <v>2</v>
      </c>
      <c r="G462" s="1" t="s">
        <v>87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2" s="2">
        <f>Games[[#This Row],[DaysOff]]-Games[[#This Row],[OppDaysOff]]</f>
        <v>-2</v>
      </c>
      <c r="L462" s="2">
        <f>Games[[#This Row],[OppDaysOff]]-Games[[#This Row],[DaysOff]]</f>
        <v>2</v>
      </c>
      <c r="M462" s="16">
        <f>MAX(-16, MIN(16, Games[[#This Row],[RestDiff]]*8))</f>
        <v>-16</v>
      </c>
      <c r="N462" s="16">
        <f>MAX(-16, MIN(16, Games[[#This Row],[OppRestDiff]]*8))</f>
        <v>16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1606.5959001963342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1368.9488323626867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0.6682447083460038</v>
      </c>
      <c r="R462" s="1">
        <v>55</v>
      </c>
      <c r="S462" s="1">
        <v>72</v>
      </c>
      <c r="T462" s="1">
        <v>0</v>
      </c>
      <c r="U462" s="16">
        <f>Games[[#This Row],[PointsFor]]-Games[[#This Row],[PointsAgainst]]</f>
        <v>-17</v>
      </c>
      <c r="V462" s="16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0.44442791085101596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2" s="9">
        <f>MAX(kmin, kmax - 0.15 * MIN(Games[[#This Row],[GamesPlayed]], 82))</f>
        <v>71.650000000000006</v>
      </c>
      <c r="Z462" s="4">
        <f>Games[[#This Row],[K]]*Games[[#This Row],[POMult]]</f>
        <v>71.650000000000006</v>
      </c>
      <c r="AA462" s="4">
        <f>(Games[[#This Row],[Keff]]*Games[[#This Row],[MOVMult]])*(Games[[#This Row],[Result]]-Games[[#This Row],[ExpectedWin%]])</f>
        <v>-21.279089866173578</v>
      </c>
      <c r="AB462" s="4">
        <f>Games[[#This Row],[PreGmRate]]+Games[[#This Row],[RatingChange]]</f>
        <v>1585.3168103301607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37111</v>
      </c>
      <c r="B463" s="2">
        <v>2001</v>
      </c>
      <c r="C463" s="2">
        <f>COUNTIFS(Games[Team],Games[[#This Row],[Team]],Games[Season],Games[[#This Row],[Season]],Games[Date],"&lt;=" &amp; Games[[#This Row],[Date]])</f>
        <v>29</v>
      </c>
      <c r="D463" s="2" t="s">
        <v>23</v>
      </c>
      <c r="E463" s="2" t="s">
        <v>29</v>
      </c>
      <c r="F463" s="1" t="s">
        <v>87</v>
      </c>
      <c r="G463" s="1" t="s">
        <v>2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3" s="2">
        <f>Games[[#This Row],[DaysOff]]-Games[[#This Row],[OppDaysOff]]</f>
        <v>2</v>
      </c>
      <c r="L463" s="2">
        <f>Games[[#This Row],[OppDaysOff]]-Games[[#This Row],[DaysOff]]</f>
        <v>-2</v>
      </c>
      <c r="M463" s="16">
        <f>MAX(-16, MIN(16, Games[[#This Row],[RestDiff]]*8))</f>
        <v>16</v>
      </c>
      <c r="N463" s="16">
        <f>MAX(-16, MIN(16, Games[[#This Row],[OppRestDiff]]*8))</f>
        <v>-16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1368.9488323626867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1606.5959001963342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0.33175529165399625</v>
      </c>
      <c r="R463" s="1">
        <v>72</v>
      </c>
      <c r="S463" s="1">
        <v>55</v>
      </c>
      <c r="T463" s="1">
        <v>0</v>
      </c>
      <c r="U463" s="16">
        <f>Games[[#This Row],[PointsFor]]-Games[[#This Row],[PointsAgainst]]</f>
        <v>17</v>
      </c>
      <c r="V463" s="16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0.44442791085101596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3" s="9">
        <f>MAX(kmin, kmax - 0.15 * MIN(Games[[#This Row],[GamesPlayed]], 82))</f>
        <v>71.650000000000006</v>
      </c>
      <c r="Z463" s="4">
        <f>Games[[#This Row],[K]]*Games[[#This Row],[POMult]]</f>
        <v>71.650000000000006</v>
      </c>
      <c r="AA463" s="4">
        <f>(Games[[#This Row],[Keff]]*Games[[#This Row],[MOVMult]])*(Games[[#This Row],[Result]]-Games[[#This Row],[ExpectedWin%]])</f>
        <v>21.279089866173575</v>
      </c>
      <c r="AB463" s="4">
        <f>Games[[#This Row],[PreGmRate]]+Games[[#This Row],[RatingChange]]</f>
        <v>1390.2279222288603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37111</v>
      </c>
      <c r="B464" s="2">
        <v>2001</v>
      </c>
      <c r="C464" s="2">
        <f>COUNTIFS(Games[Team],Games[[#This Row],[Team]],Games[Season],Games[[#This Row],[Season]],Games[Date],"&lt;=" &amp; Games[[#This Row],[Date]])</f>
        <v>29</v>
      </c>
      <c r="D464" s="2" t="s">
        <v>23</v>
      </c>
      <c r="E464" s="2" t="s">
        <v>29</v>
      </c>
      <c r="F464" s="1" t="s">
        <v>83</v>
      </c>
      <c r="G464" s="1" t="s">
        <v>75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4" s="2">
        <f>Games[[#This Row],[DaysOff]]-Games[[#This Row],[OppDaysOff]]</f>
        <v>1</v>
      </c>
      <c r="L464" s="2">
        <f>Games[[#This Row],[OppDaysOff]]-Games[[#This Row],[DaysOff]]</f>
        <v>-1</v>
      </c>
      <c r="M464" s="16">
        <f>MAX(-16, MIN(16, Games[[#This Row],[RestDiff]]*8))</f>
        <v>8</v>
      </c>
      <c r="N464" s="16">
        <f>MAX(-16, MIN(16, Games[[#This Row],[OppRestDiff]]*8))</f>
        <v>-8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1553.2798354006898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1381.7257312013892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0.64476476513841685</v>
      </c>
      <c r="R464" s="1">
        <v>42</v>
      </c>
      <c r="S464" s="1">
        <v>36</v>
      </c>
      <c r="T464" s="1">
        <v>0</v>
      </c>
      <c r="U464" s="16">
        <f>Games[[#This Row],[PointsFor]]-Games[[#This Row],[PointsAgainst]]</f>
        <v>6</v>
      </c>
      <c r="V464" s="16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0.30734253356726238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4" s="9">
        <f>MAX(kmin, kmax - 0.15 * MIN(Games[[#This Row],[GamesPlayed]], 82))</f>
        <v>71.650000000000006</v>
      </c>
      <c r="Z464" s="4">
        <f>Games[[#This Row],[K]]*Games[[#This Row],[POMult]]</f>
        <v>71.650000000000006</v>
      </c>
      <c r="AA464" s="4">
        <f>(Games[[#This Row],[Keff]]*Games[[#This Row],[MOVMult]])*(Games[[#This Row],[Result]]-Games[[#This Row],[ExpectedWin%]])</f>
        <v>7.8226679768367209</v>
      </c>
      <c r="AB464" s="4">
        <f>Games[[#This Row],[PreGmRate]]+Games[[#This Row],[RatingChange]]</f>
        <v>1561.1025033775265</v>
      </c>
      <c r="AC464" s="2">
        <f>IF(Games[[#This Row],[Type]]="R",IF(Games[[#This Row],[Result]]&gt;0.5,1,0),0)</f>
        <v>1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37111</v>
      </c>
      <c r="B465" s="2">
        <v>2001</v>
      </c>
      <c r="C465" s="2">
        <f>COUNTIFS(Games[Team],Games[[#This Row],[Team]],Games[Season],Games[[#This Row],[Season]],Games[Date],"&lt;=" &amp; Games[[#This Row],[Date]])</f>
        <v>29</v>
      </c>
      <c r="D465" s="2" t="s">
        <v>23</v>
      </c>
      <c r="E465" s="2" t="s">
        <v>29</v>
      </c>
      <c r="F465" s="1" t="s">
        <v>75</v>
      </c>
      <c r="G465" s="1" t="s">
        <v>83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5" s="2">
        <f>Games[[#This Row],[DaysOff]]-Games[[#This Row],[OppDaysOff]]</f>
        <v>-1</v>
      </c>
      <c r="L465" s="2">
        <f>Games[[#This Row],[OppDaysOff]]-Games[[#This Row],[DaysOff]]</f>
        <v>1</v>
      </c>
      <c r="M465" s="16">
        <f>MAX(-16, MIN(16, Games[[#This Row],[RestDiff]]*8))</f>
        <v>-8</v>
      </c>
      <c r="N465" s="16">
        <f>MAX(-16, MIN(16, Games[[#This Row],[OppRestDiff]]*8))</f>
        <v>8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1381.7257312013892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1553.2798354006898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0.35523523486158315</v>
      </c>
      <c r="R465" s="1">
        <v>36</v>
      </c>
      <c r="S465" s="1">
        <v>42</v>
      </c>
      <c r="T465" s="1">
        <v>0</v>
      </c>
      <c r="U465" s="16">
        <f>Games[[#This Row],[PointsFor]]-Games[[#This Row],[PointsAgainst]]</f>
        <v>-6</v>
      </c>
      <c r="V465" s="16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0.30734253356726238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5" s="9">
        <f>MAX(kmin, kmax - 0.15 * MIN(Games[[#This Row],[GamesPlayed]], 82))</f>
        <v>71.650000000000006</v>
      </c>
      <c r="Z465" s="4">
        <f>Games[[#This Row],[K]]*Games[[#This Row],[POMult]]</f>
        <v>71.650000000000006</v>
      </c>
      <c r="AA465" s="4">
        <f>(Games[[#This Row],[Keff]]*Games[[#This Row],[MOVMult]])*(Games[[#This Row],[Result]]-Games[[#This Row],[ExpectedWin%]])</f>
        <v>-7.8226679768367209</v>
      </c>
      <c r="AB465" s="4">
        <f>Games[[#This Row],[PreGmRate]]+Games[[#This Row],[RatingChange]]</f>
        <v>1373.9030632245524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1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37113</v>
      </c>
      <c r="B466" s="2">
        <v>2001</v>
      </c>
      <c r="C466" s="2">
        <f>COUNTIFS(Games[Team],Games[[#This Row],[Team]],Games[Season],Games[[#This Row],[Season]],Games[Date],"&lt;=" &amp; Games[[#This Row],[Date]])</f>
        <v>30</v>
      </c>
      <c r="D466" s="2" t="s">
        <v>23</v>
      </c>
      <c r="E466" s="2" t="s">
        <v>29</v>
      </c>
      <c r="F466" s="1" t="s">
        <v>64</v>
      </c>
      <c r="G466" s="1" t="s">
        <v>1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2</v>
      </c>
      <c r="L466" s="2">
        <f>Games[[#This Row],[OppDaysOff]]-Games[[#This Row],[DaysOff]]</f>
        <v>-2</v>
      </c>
      <c r="M466" s="16">
        <f>MAX(-16, MIN(16, Games[[#This Row],[RestDiff]]*8))</f>
        <v>16</v>
      </c>
      <c r="N466" s="16">
        <f>MAX(-16, MIN(16, Games[[#This Row],[OppRestDiff]]*8))</f>
        <v>-16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1499.4081654204469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1654.4871563089671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0.23289383643150108</v>
      </c>
      <c r="R466" s="1">
        <v>55</v>
      </c>
      <c r="S466" s="1">
        <v>53</v>
      </c>
      <c r="T466" s="1">
        <v>0</v>
      </c>
      <c r="U466" s="16">
        <f>Games[[#This Row],[PointsFor]]-Games[[#This Row],[PointsAgainst]]</f>
        <v>2</v>
      </c>
      <c r="V466" s="16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0.2371888186096493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6" s="9">
        <f>MAX(kmin, kmax - 0.15 * MIN(Games[[#This Row],[GamesPlayed]], 82))</f>
        <v>71.5</v>
      </c>
      <c r="Z466" s="4">
        <f>Games[[#This Row],[K]]*Games[[#This Row],[POMult]]</f>
        <v>71.5</v>
      </c>
      <c r="AA466" s="4">
        <f>(Games[[#This Row],[Keff]]*Games[[#This Row],[MOVMult]])*(Games[[#This Row],[Result]]-Games[[#This Row],[ExpectedWin%]])</f>
        <v>13.009353834976976</v>
      </c>
      <c r="AB466" s="4">
        <f>Games[[#This Row],[PreGmRate]]+Games[[#This Row],[RatingChange]]</f>
        <v>1512.4175192554239</v>
      </c>
      <c r="AC466" s="2">
        <f>IF(Games[[#This Row],[Type]]="R",IF(Games[[#This Row],[Result]]&gt;0.5,1,0),0)</f>
        <v>1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37113</v>
      </c>
      <c r="B467" s="2">
        <v>2001</v>
      </c>
      <c r="C467" s="2">
        <f>COUNTIFS(Games[Team],Games[[#This Row],[Team]],Games[Season],Games[[#This Row],[Season]],Games[Date],"&lt;=" &amp; Games[[#This Row],[Date]])</f>
        <v>30</v>
      </c>
      <c r="D467" s="2" t="s">
        <v>23</v>
      </c>
      <c r="E467" s="2" t="s">
        <v>29</v>
      </c>
      <c r="F467" s="1" t="s">
        <v>1</v>
      </c>
      <c r="G467" s="1" t="s">
        <v>64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7" s="2">
        <f>Games[[#This Row],[DaysOff]]-Games[[#This Row],[OppDaysOff]]</f>
        <v>-2</v>
      </c>
      <c r="L467" s="2">
        <f>Games[[#This Row],[OppDaysOff]]-Games[[#This Row],[DaysOff]]</f>
        <v>2</v>
      </c>
      <c r="M467" s="16">
        <f>MAX(-16, MIN(16, Games[[#This Row],[RestDiff]]*8))</f>
        <v>-16</v>
      </c>
      <c r="N467" s="16">
        <f>MAX(-16, MIN(16, Games[[#This Row],[OppRestDiff]]*8))</f>
        <v>16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1654.4871563089671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1499.4081654204469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0.76710616356849892</v>
      </c>
      <c r="R467" s="1">
        <v>53</v>
      </c>
      <c r="S467" s="1">
        <v>55</v>
      </c>
      <c r="T467" s="1">
        <v>0</v>
      </c>
      <c r="U467" s="16">
        <f>Games[[#This Row],[PointsFor]]-Games[[#This Row],[PointsAgainst]]</f>
        <v>-2</v>
      </c>
      <c r="V467" s="16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0.2371888186096493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7" s="9">
        <f>MAX(kmin, kmax - 0.15 * MIN(Games[[#This Row],[GamesPlayed]], 82))</f>
        <v>71.5</v>
      </c>
      <c r="Z467" s="4">
        <f>Games[[#This Row],[K]]*Games[[#This Row],[POMult]]</f>
        <v>71.5</v>
      </c>
      <c r="AA467" s="4">
        <f>(Games[[#This Row],[Keff]]*Games[[#This Row],[MOVMult]])*(Games[[#This Row],[Result]]-Games[[#This Row],[ExpectedWin%]])</f>
        <v>-13.009353834976976</v>
      </c>
      <c r="AB467" s="4">
        <f>Games[[#This Row],[PreGmRate]]+Games[[#This Row],[RatingChange]]</f>
        <v>1641.4778024739901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1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37113</v>
      </c>
      <c r="B468" s="2">
        <v>2001</v>
      </c>
      <c r="C468" s="2">
        <f>COUNTIFS(Games[Team],Games[[#This Row],[Team]],Games[Season],Games[[#This Row],[Season]],Games[Date],"&lt;=" &amp; Games[[#This Row],[Date]])</f>
        <v>30</v>
      </c>
      <c r="D468" s="2" t="s">
        <v>23</v>
      </c>
      <c r="E468" s="2" t="s">
        <v>29</v>
      </c>
      <c r="F468" s="1" t="s">
        <v>75</v>
      </c>
      <c r="G468" s="1" t="s">
        <v>77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8" s="2">
        <f>Games[[#This Row],[DaysOff]]-Games[[#This Row],[OppDaysOff]]</f>
        <v>0</v>
      </c>
      <c r="L468" s="2">
        <f>Games[[#This Row],[OppDaysOff]]-Games[[#This Row],[DaysOff]]</f>
        <v>0</v>
      </c>
      <c r="M468" s="16">
        <f>MAX(-16, MIN(16, Games[[#This Row],[RestDiff]]*8))</f>
        <v>0</v>
      </c>
      <c r="N468" s="16">
        <f>MAX(-16, MIN(16, Games[[#This Row],[OppRestDiff]]*8))</f>
        <v>0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1373.9030632245524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1361.1437714675039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0.39888946634810729</v>
      </c>
      <c r="R468" s="1">
        <v>63</v>
      </c>
      <c r="S468" s="1">
        <v>69</v>
      </c>
      <c r="T468" s="1">
        <v>0</v>
      </c>
      <c r="U468" s="16">
        <f>Games[[#This Row],[PointsFor]]-Games[[#This Row],[PointsAgainst]]</f>
        <v>-6</v>
      </c>
      <c r="V468" s="16">
        <f>IF(Games[[#This Row],[MOV]]&gt;0,1,IF(Games[[#This Row],[MOV]]=0,0.5,0))</f>
        <v>0</v>
      </c>
      <c r="W468" s="4">
        <f>((ABS(Games[[#This Row],[MOV]])+5)^0.6)/(12+0.01*(ABS(Games[[#This Row],[PreGmRate]]-Games[[#This Row],[OppPreGmRate]])))*IF(Games[[#This Row],[OT]]=1,0.9,1)</f>
        <v>0.3475849792900505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8" s="9">
        <f>MAX(kmin, kmax - 0.15 * MIN(Games[[#This Row],[GamesPlayed]], 82))</f>
        <v>71.5</v>
      </c>
      <c r="Z468" s="4">
        <f>Games[[#This Row],[K]]*Games[[#This Row],[POMult]]</f>
        <v>71.5</v>
      </c>
      <c r="AA468" s="4">
        <f>(Games[[#This Row],[Keff]]*Games[[#This Row],[MOVMult]])*(Games[[#This Row],[Result]]-Games[[#This Row],[ExpectedWin%]])</f>
        <v>-9.9133310633232714</v>
      </c>
      <c r="AB468" s="4">
        <f>Games[[#This Row],[PreGmRate]]+Games[[#This Row],[RatingChange]]</f>
        <v>1363.9897321612291</v>
      </c>
      <c r="AC468" s="2">
        <f>IF(Games[[#This Row],[Type]]="R",IF(Games[[#This Row],[Result]]&gt;0.5,1,0),0)</f>
        <v>0</v>
      </c>
      <c r="AD468" s="2">
        <f>IF(Games[[#This Row],[Type]]="R",IF(Games[[#This Row],[Result]]&lt;0.5,1,0),0)</f>
        <v>1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37113</v>
      </c>
      <c r="B469" s="2">
        <v>2001</v>
      </c>
      <c r="C469" s="2">
        <f>COUNTIFS(Games[Team],Games[[#This Row],[Team]],Games[Season],Games[[#This Row],[Season]],Games[Date],"&lt;=" &amp; Games[[#This Row],[Date]])</f>
        <v>30</v>
      </c>
      <c r="D469" s="2" t="s">
        <v>23</v>
      </c>
      <c r="E469" s="2" t="s">
        <v>29</v>
      </c>
      <c r="F469" s="1" t="s">
        <v>77</v>
      </c>
      <c r="G469" s="1" t="s">
        <v>75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0</v>
      </c>
      <c r="L469" s="2">
        <f>Games[[#This Row],[OppDaysOff]]-Games[[#This Row],[DaysOff]]</f>
        <v>0</v>
      </c>
      <c r="M469" s="16">
        <f>MAX(-16, MIN(16, Games[[#This Row],[RestDiff]]*8))</f>
        <v>0</v>
      </c>
      <c r="N469" s="16">
        <f>MAX(-16, MIN(16, Games[[#This Row],[OppRestDiff]]*8))</f>
        <v>0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1361.1437714675039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1373.9030632245524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0.60111053365189271</v>
      </c>
      <c r="R469" s="1">
        <v>69</v>
      </c>
      <c r="S469" s="1">
        <v>63</v>
      </c>
      <c r="T469" s="1">
        <v>0</v>
      </c>
      <c r="U469" s="16">
        <f>Games[[#This Row],[PointsFor]]-Games[[#This Row],[PointsAgainst]]</f>
        <v>6</v>
      </c>
      <c r="V469" s="16">
        <f>IF(Games[[#This Row],[MOV]]&gt;0,1,IF(Games[[#This Row],[MOV]]=0,0.5,0))</f>
        <v>1</v>
      </c>
      <c r="W469" s="4">
        <f>((ABS(Games[[#This Row],[MOV]])+5)^0.6)/(12+0.01*(ABS(Games[[#This Row],[PreGmRate]]-Games[[#This Row],[OppPreGmRate]])))*IF(Games[[#This Row],[OT]]=1,0.9,1)</f>
        <v>0.3475849792900505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9" s="9">
        <f>MAX(kmin, kmax - 0.15 * MIN(Games[[#This Row],[GamesPlayed]], 82))</f>
        <v>71.5</v>
      </c>
      <c r="Z469" s="4">
        <f>Games[[#This Row],[K]]*Games[[#This Row],[POMult]]</f>
        <v>71.5</v>
      </c>
      <c r="AA469" s="4">
        <f>(Games[[#This Row],[Keff]]*Games[[#This Row],[MOVMult]])*(Games[[#This Row],[Result]]-Games[[#This Row],[ExpectedWin%]])</f>
        <v>9.9133310633232714</v>
      </c>
      <c r="AB469" s="4">
        <f>Games[[#This Row],[PreGmRate]]+Games[[#This Row],[RatingChange]]</f>
        <v>1371.0571025308273</v>
      </c>
      <c r="AC469" s="2">
        <f>IF(Games[[#This Row],[Type]]="R",IF(Games[[#This Row],[Result]]&gt;0.5,1,0),0)</f>
        <v>1</v>
      </c>
      <c r="AD469" s="2">
        <f>IF(Games[[#This Row],[Type]]="R",IF(Games[[#This Row],[Result]]&lt;0.5,1,0),0)</f>
        <v>0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37113</v>
      </c>
      <c r="B470" s="2">
        <v>2001</v>
      </c>
      <c r="C470" s="2">
        <f>COUNTIFS(Games[Team],Games[[#This Row],[Team]],Games[Season],Games[[#This Row],[Season]],Games[Date],"&lt;=" &amp; Games[[#This Row],[Date]])</f>
        <v>30</v>
      </c>
      <c r="D470" s="2" t="s">
        <v>23</v>
      </c>
      <c r="E470" s="2" t="s">
        <v>29</v>
      </c>
      <c r="F470" s="1" t="s">
        <v>85</v>
      </c>
      <c r="G470" s="1" t="s">
        <v>83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0" s="2">
        <f>Games[[#This Row],[DaysOff]]-Games[[#This Row],[OppDaysOff]]</f>
        <v>2</v>
      </c>
      <c r="L470" s="2">
        <f>Games[[#This Row],[OppDaysOff]]-Games[[#This Row],[DaysOff]]</f>
        <v>-2</v>
      </c>
      <c r="M470" s="16">
        <f>MAX(-16, MIN(16, Games[[#This Row],[RestDiff]]*8))</f>
        <v>16</v>
      </c>
      <c r="N470" s="16">
        <f>MAX(-16, MIN(16, Games[[#This Row],[OppRestDiff]]*8))</f>
        <v>-16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1385.5635405236455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1561.1025033775265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0.21251703985421855</v>
      </c>
      <c r="R470" s="1">
        <v>67</v>
      </c>
      <c r="S470" s="1">
        <v>72</v>
      </c>
      <c r="T470" s="1">
        <v>1</v>
      </c>
      <c r="U470" s="16">
        <f>Games[[#This Row],[PointsFor]]-Games[[#This Row],[PointsAgainst]]</f>
        <v>-5</v>
      </c>
      <c r="V470" s="16">
        <f>IF(Games[[#This Row],[MOV]]&gt;0,1,IF(Games[[#This Row],[MOV]]=0,0.5,0))</f>
        <v>0</v>
      </c>
      <c r="W470" s="4">
        <f>((ABS(Games[[#This Row],[MOV]])+5)^0.6)/(12+0.01*(ABS(Games[[#This Row],[PreGmRate]]-Games[[#This Row],[OppPreGmRate]])))*IF(Games[[#This Row],[OT]]=1,0.9,1)</f>
        <v>0.26047713890617596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0" s="9">
        <f>MAX(kmin, kmax - 0.15 * MIN(Games[[#This Row],[GamesPlayed]], 82))</f>
        <v>71.5</v>
      </c>
      <c r="Z470" s="4">
        <f>Games[[#This Row],[K]]*Games[[#This Row],[POMult]]</f>
        <v>71.5</v>
      </c>
      <c r="AA470" s="4">
        <f>(Games[[#This Row],[Keff]]*Games[[#This Row],[MOVMult]])*(Games[[#This Row],[Result]]-Games[[#This Row],[ExpectedWin%]])</f>
        <v>-3.9579418814676179</v>
      </c>
      <c r="AB470" s="4">
        <f>Games[[#This Row],[PreGmRate]]+Games[[#This Row],[RatingChange]]</f>
        <v>1381.6055986421779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1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37113</v>
      </c>
      <c r="B471" s="2">
        <v>2001</v>
      </c>
      <c r="C471" s="2">
        <f>COUNTIFS(Games[Team],Games[[#This Row],[Team]],Games[Season],Games[[#This Row],[Season]],Games[Date],"&lt;=" &amp; Games[[#This Row],[Date]])</f>
        <v>30</v>
      </c>
      <c r="D471" s="2" t="s">
        <v>23</v>
      </c>
      <c r="E471" s="2" t="s">
        <v>29</v>
      </c>
      <c r="F471" s="1" t="s">
        <v>83</v>
      </c>
      <c r="G471" s="1" t="s">
        <v>85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71" s="2">
        <f>Games[[#This Row],[DaysOff]]-Games[[#This Row],[OppDaysOff]]</f>
        <v>-2</v>
      </c>
      <c r="L471" s="2">
        <f>Games[[#This Row],[OppDaysOff]]-Games[[#This Row],[DaysOff]]</f>
        <v>2</v>
      </c>
      <c r="M471" s="16">
        <f>MAX(-16, MIN(16, Games[[#This Row],[RestDiff]]*8))</f>
        <v>-16</v>
      </c>
      <c r="N471" s="16">
        <f>MAX(-16, MIN(16, Games[[#This Row],[OppRestDiff]]*8))</f>
        <v>16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1561.1025033775265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1385.5635405236455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0.78748296014578145</v>
      </c>
      <c r="R471" s="1">
        <v>72</v>
      </c>
      <c r="S471" s="1">
        <v>67</v>
      </c>
      <c r="T471" s="1">
        <v>1</v>
      </c>
      <c r="U471" s="16">
        <f>Games[[#This Row],[PointsFor]]-Games[[#This Row],[PointsAgainst]]</f>
        <v>5</v>
      </c>
      <c r="V471" s="16">
        <f>IF(Games[[#This Row],[MOV]]&gt;0,1,IF(Games[[#This Row],[MOV]]=0,0.5,0))</f>
        <v>1</v>
      </c>
      <c r="W471" s="4">
        <f>((ABS(Games[[#This Row],[MOV]])+5)^0.6)/(12+0.01*(ABS(Games[[#This Row],[PreGmRate]]-Games[[#This Row],[OppPreGmRate]])))*IF(Games[[#This Row],[OT]]=1,0.9,1)</f>
        <v>0.26047713890617596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1" s="9">
        <f>MAX(kmin, kmax - 0.15 * MIN(Games[[#This Row],[GamesPlayed]], 82))</f>
        <v>71.5</v>
      </c>
      <c r="Z471" s="4">
        <f>Games[[#This Row],[K]]*Games[[#This Row],[POMult]]</f>
        <v>71.5</v>
      </c>
      <c r="AA471" s="4">
        <f>(Games[[#This Row],[Keff]]*Games[[#This Row],[MOVMult]])*(Games[[#This Row],[Result]]-Games[[#This Row],[ExpectedWin%]])</f>
        <v>3.9579418814676179</v>
      </c>
      <c r="AB471" s="4">
        <f>Games[[#This Row],[PreGmRate]]+Games[[#This Row],[RatingChange]]</f>
        <v>1565.0604452589942</v>
      </c>
      <c r="AC471" s="2">
        <f>IF(Games[[#This Row],[Type]]="R",IF(Games[[#This Row],[Result]]&gt;0.5,1,0),0)</f>
        <v>1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37113</v>
      </c>
      <c r="B472" s="2">
        <v>2001</v>
      </c>
      <c r="C472" s="2">
        <f>COUNTIFS(Games[Team],Games[[#This Row],[Team]],Games[Season],Games[[#This Row],[Season]],Games[Date],"&lt;=" &amp; Games[[#This Row],[Date]])</f>
        <v>30</v>
      </c>
      <c r="D472" s="2" t="s">
        <v>23</v>
      </c>
      <c r="E472" s="2" t="s">
        <v>29</v>
      </c>
      <c r="F472" s="1" t="s">
        <v>79</v>
      </c>
      <c r="G472" s="1" t="s">
        <v>66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2" s="2">
        <f>Games[[#This Row],[DaysOff]]-Games[[#This Row],[OppDaysOff]]</f>
        <v>1</v>
      </c>
      <c r="L472" s="2">
        <f>Games[[#This Row],[OppDaysOff]]-Games[[#This Row],[DaysOff]]</f>
        <v>-1</v>
      </c>
      <c r="M472" s="16">
        <f>MAX(-16, MIN(16, Games[[#This Row],[RestDiff]]*8))</f>
        <v>8</v>
      </c>
      <c r="N472" s="16">
        <f>MAX(-16, MIN(16, Games[[#This Row],[OppRestDiff]]*8))</f>
        <v>-8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1467.7247235612922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1574.203253909553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0.2680812984174879</v>
      </c>
      <c r="R472" s="1">
        <v>67</v>
      </c>
      <c r="S472" s="1">
        <v>77</v>
      </c>
      <c r="T472" s="1">
        <v>0</v>
      </c>
      <c r="U472" s="16">
        <f>Games[[#This Row],[PointsFor]]-Games[[#This Row],[PointsAgainst]]</f>
        <v>-10</v>
      </c>
      <c r="V472" s="16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0.38864445714495677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2" s="9">
        <f>MAX(kmin, kmax - 0.15 * MIN(Games[[#This Row],[GamesPlayed]], 82))</f>
        <v>71.5</v>
      </c>
      <c r="Z472" s="4">
        <f>Games[[#This Row],[K]]*Games[[#This Row],[POMult]]</f>
        <v>71.5</v>
      </c>
      <c r="AA472" s="4">
        <f>(Games[[#This Row],[Keff]]*Games[[#This Row],[MOVMult]])*(Games[[#This Row],[Result]]-Games[[#This Row],[ExpectedWin%]])</f>
        <v>-7.4494642146338519</v>
      </c>
      <c r="AB472" s="4">
        <f>Games[[#This Row],[PreGmRate]]+Games[[#This Row],[RatingChange]]</f>
        <v>1460.2752593466582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1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37113</v>
      </c>
      <c r="B473" s="2">
        <v>2001</v>
      </c>
      <c r="C473" s="2">
        <f>COUNTIFS(Games[Team],Games[[#This Row],[Team]],Games[Season],Games[[#This Row],[Season]],Games[Date],"&lt;=" &amp; Games[[#This Row],[Date]])</f>
        <v>30</v>
      </c>
      <c r="D473" s="2" t="s">
        <v>23</v>
      </c>
      <c r="E473" s="2" t="s">
        <v>29</v>
      </c>
      <c r="F473" s="1" t="s">
        <v>66</v>
      </c>
      <c r="G473" s="1" t="s">
        <v>79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3" s="2">
        <f>Games[[#This Row],[DaysOff]]-Games[[#This Row],[OppDaysOff]]</f>
        <v>-1</v>
      </c>
      <c r="L473" s="2">
        <f>Games[[#This Row],[OppDaysOff]]-Games[[#This Row],[DaysOff]]</f>
        <v>1</v>
      </c>
      <c r="M473" s="16">
        <f>MAX(-16, MIN(16, Games[[#This Row],[RestDiff]]*8))</f>
        <v>-8</v>
      </c>
      <c r="N473" s="16">
        <f>MAX(-16, MIN(16, Games[[#This Row],[OppRestDiff]]*8))</f>
        <v>8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1574.203253909553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1467.7247235612922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0.73191870158251215</v>
      </c>
      <c r="R473" s="1">
        <v>77</v>
      </c>
      <c r="S473" s="1">
        <v>67</v>
      </c>
      <c r="T473" s="1">
        <v>0</v>
      </c>
      <c r="U473" s="16">
        <f>Games[[#This Row],[PointsFor]]-Games[[#This Row],[PointsAgainst]]</f>
        <v>10</v>
      </c>
      <c r="V473" s="16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0.38864445714495677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3" s="9">
        <f>MAX(kmin, kmax - 0.15 * MIN(Games[[#This Row],[GamesPlayed]], 82))</f>
        <v>71.5</v>
      </c>
      <c r="Z473" s="4">
        <f>Games[[#This Row],[K]]*Games[[#This Row],[POMult]]</f>
        <v>71.5</v>
      </c>
      <c r="AA473" s="4">
        <f>(Games[[#This Row],[Keff]]*Games[[#This Row],[MOVMult]])*(Games[[#This Row],[Result]]-Games[[#This Row],[ExpectedWin%]])</f>
        <v>7.4494642146338501</v>
      </c>
      <c r="AB473" s="4">
        <f>Games[[#This Row],[PreGmRate]]+Games[[#This Row],[RatingChange]]</f>
        <v>1581.652718124187</v>
      </c>
      <c r="AC473" s="2">
        <f>IF(Games[[#This Row],[Type]]="R",IF(Games[[#This Row],[Result]]&gt;0.5,1,0),0)</f>
        <v>1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37113</v>
      </c>
      <c r="B474" s="2">
        <v>2001</v>
      </c>
      <c r="C474" s="2">
        <f>COUNTIFS(Games[Team],Games[[#This Row],[Team]],Games[Season],Games[[#This Row],[Season]],Games[Date],"&lt;=" &amp; Games[[#This Row],[Date]])</f>
        <v>30</v>
      </c>
      <c r="D474" s="2" t="s">
        <v>23</v>
      </c>
      <c r="E474" s="2" t="s">
        <v>29</v>
      </c>
      <c r="F474" s="1" t="s">
        <v>80</v>
      </c>
      <c r="G474" s="1" t="s">
        <v>87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6">
        <f>MAX(-16, MIN(16, Games[[#This Row],[RestDiff]]*8))</f>
        <v>0</v>
      </c>
      <c r="N474" s="16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1427.2664679922461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1390.2279222288603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0.43282562541427705</v>
      </c>
      <c r="R474" s="1">
        <v>65</v>
      </c>
      <c r="S474" s="1">
        <v>51</v>
      </c>
      <c r="T474" s="1">
        <v>0</v>
      </c>
      <c r="U474" s="16">
        <f>Games[[#This Row],[PointsFor]]-Games[[#This Row],[PointsAgainst]]</f>
        <v>14</v>
      </c>
      <c r="V474" s="16">
        <f>IF(Games[[#This Row],[MOV]]&gt;0,1,IF(Games[[#This Row],[MOV]]=0,0.5,0))</f>
        <v>1</v>
      </c>
      <c r="W474" s="4">
        <f>((ABS(Games[[#This Row],[MOV]])+5)^0.6)/(12+0.01*(ABS(Games[[#This Row],[PreGmRate]]-Games[[#This Row],[OppPreGmRate]])))*IF(Games[[#This Row],[OT]]=1,0.9,1)</f>
        <v>0.47300848162320885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4" s="9">
        <f>MAX(kmin, kmax - 0.15 * MIN(Games[[#This Row],[GamesPlayed]], 82))</f>
        <v>71.5</v>
      </c>
      <c r="Z474" s="4">
        <f>Games[[#This Row],[K]]*Games[[#This Row],[POMult]]</f>
        <v>71.5</v>
      </c>
      <c r="AA474" s="4">
        <f>(Games[[#This Row],[Keff]]*Games[[#This Row],[MOVMult]])*(Games[[#This Row],[Result]]-Games[[#This Row],[ExpectedWin%]])</f>
        <v>19.181897716294593</v>
      </c>
      <c r="AB474" s="4">
        <f>Games[[#This Row],[PreGmRate]]+Games[[#This Row],[RatingChange]]</f>
        <v>1446.4483657085407</v>
      </c>
      <c r="AC474" s="2">
        <f>IF(Games[[#This Row],[Type]]="R",IF(Games[[#This Row],[Result]]&gt;0.5,1,0),0)</f>
        <v>1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37113</v>
      </c>
      <c r="B475" s="2">
        <v>2001</v>
      </c>
      <c r="C475" s="2">
        <f>COUNTIFS(Games[Team],Games[[#This Row],[Team]],Games[Season],Games[[#This Row],[Season]],Games[Date],"&lt;=" &amp; Games[[#This Row],[Date]])</f>
        <v>30</v>
      </c>
      <c r="D475" s="2" t="s">
        <v>23</v>
      </c>
      <c r="E475" s="2" t="s">
        <v>29</v>
      </c>
      <c r="F475" s="1" t="s">
        <v>87</v>
      </c>
      <c r="G475" s="1" t="s">
        <v>80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6">
        <f>MAX(-16, MIN(16, Games[[#This Row],[RestDiff]]*8))</f>
        <v>0</v>
      </c>
      <c r="N475" s="16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1390.2279222288603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1427.2664679922461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0.56717437458572295</v>
      </c>
      <c r="R475" s="1">
        <v>51</v>
      </c>
      <c r="S475" s="1">
        <v>65</v>
      </c>
      <c r="T475" s="1">
        <v>0</v>
      </c>
      <c r="U475" s="16">
        <f>Games[[#This Row],[PointsFor]]-Games[[#This Row],[PointsAgainst]]</f>
        <v>-14</v>
      </c>
      <c r="V475" s="16">
        <f>IF(Games[[#This Row],[MOV]]&gt;0,1,IF(Games[[#This Row],[MOV]]=0,0.5,0))</f>
        <v>0</v>
      </c>
      <c r="W475" s="4">
        <f>((ABS(Games[[#This Row],[MOV]])+5)^0.6)/(12+0.01*(ABS(Games[[#This Row],[PreGmRate]]-Games[[#This Row],[OppPreGmRate]])))*IF(Games[[#This Row],[OT]]=1,0.9,1)</f>
        <v>0.47300848162320885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5" s="9">
        <f>MAX(kmin, kmax - 0.15 * MIN(Games[[#This Row],[GamesPlayed]], 82))</f>
        <v>71.5</v>
      </c>
      <c r="Z475" s="4">
        <f>Games[[#This Row],[K]]*Games[[#This Row],[POMult]]</f>
        <v>71.5</v>
      </c>
      <c r="AA475" s="4">
        <f>(Games[[#This Row],[Keff]]*Games[[#This Row],[MOVMult]])*(Games[[#This Row],[Result]]-Games[[#This Row],[ExpectedWin%]])</f>
        <v>-19.181897716294593</v>
      </c>
      <c r="AB475" s="4">
        <f>Games[[#This Row],[PreGmRate]]+Games[[#This Row],[RatingChange]]</f>
        <v>1371.0460245125657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1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37113</v>
      </c>
      <c r="B476" s="2">
        <v>2001</v>
      </c>
      <c r="C476" s="2">
        <f>COUNTIFS(Games[Team],Games[[#This Row],[Team]],Games[Season],Games[[#This Row],[Season]],Games[Date],"&lt;=" &amp; Games[[#This Row],[Date]])</f>
        <v>30</v>
      </c>
      <c r="D476" s="2" t="s">
        <v>23</v>
      </c>
      <c r="E476" s="2" t="s">
        <v>29</v>
      </c>
      <c r="F476" s="1" t="s">
        <v>44</v>
      </c>
      <c r="G476" s="1" t="s">
        <v>43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6" s="2">
        <f>Games[[#This Row],[DaysOff]]-Games[[#This Row],[OppDaysOff]]</f>
        <v>0</v>
      </c>
      <c r="L476" s="2">
        <f>Games[[#This Row],[OppDaysOff]]-Games[[#This Row],[DaysOff]]</f>
        <v>0</v>
      </c>
      <c r="M476" s="16">
        <f>MAX(-16, MIN(16, Games[[#This Row],[RestDiff]]*8))</f>
        <v>0</v>
      </c>
      <c r="N476" s="16">
        <f>MAX(-16, MIN(16, Games[[#This Row],[OppRestDiff]]*8))</f>
        <v>0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1446.6148030972413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1560.331482261638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0.24266042491395454</v>
      </c>
      <c r="R476" s="1">
        <v>57</v>
      </c>
      <c r="S476" s="1">
        <v>69</v>
      </c>
      <c r="T476" s="1">
        <v>0</v>
      </c>
      <c r="U476" s="16">
        <f>Games[[#This Row],[PointsFor]]-Games[[#This Row],[PointsAgainst]]</f>
        <v>-12</v>
      </c>
      <c r="V476" s="16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0.41664640509854833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6" s="9">
        <f>MAX(kmin, kmax - 0.15 * MIN(Games[[#This Row],[GamesPlayed]], 82))</f>
        <v>71.5</v>
      </c>
      <c r="Z476" s="4">
        <f>Games[[#This Row],[K]]*Games[[#This Row],[POMult]]</f>
        <v>71.5</v>
      </c>
      <c r="AA476" s="4">
        <f>(Games[[#This Row],[Keff]]*Games[[#This Row],[MOVMult]])*(Games[[#This Row],[Result]]-Games[[#This Row],[ExpectedWin%]])</f>
        <v>-7.2289069495561042</v>
      </c>
      <c r="AB476" s="4">
        <f>Games[[#This Row],[PreGmRate]]+Games[[#This Row],[RatingChange]]</f>
        <v>1439.3858961476851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1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37113</v>
      </c>
      <c r="B477" s="2">
        <v>2001</v>
      </c>
      <c r="C477" s="2">
        <f>COUNTIFS(Games[Team],Games[[#This Row],[Team]],Games[Season],Games[[#This Row],[Season]],Games[Date],"&lt;=" &amp; Games[[#This Row],[Date]])</f>
        <v>30</v>
      </c>
      <c r="D477" s="2" t="s">
        <v>23</v>
      </c>
      <c r="E477" s="2" t="s">
        <v>29</v>
      </c>
      <c r="F477" s="1" t="s">
        <v>43</v>
      </c>
      <c r="G477" s="1" t="s">
        <v>44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7" s="2">
        <f>Games[[#This Row],[DaysOff]]-Games[[#This Row],[OppDaysOff]]</f>
        <v>0</v>
      </c>
      <c r="L477" s="2">
        <f>Games[[#This Row],[OppDaysOff]]-Games[[#This Row],[DaysOff]]</f>
        <v>0</v>
      </c>
      <c r="M477" s="16">
        <f>MAX(-16, MIN(16, Games[[#This Row],[RestDiff]]*8))</f>
        <v>0</v>
      </c>
      <c r="N477" s="16">
        <f>MAX(-16, MIN(16, Games[[#This Row],[OppRestDiff]]*8))</f>
        <v>0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1560.331482261638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1446.6148030972413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0.75733957508604544</v>
      </c>
      <c r="R477" s="1">
        <v>69</v>
      </c>
      <c r="S477" s="1">
        <v>57</v>
      </c>
      <c r="T477" s="1">
        <v>0</v>
      </c>
      <c r="U477" s="16">
        <f>Games[[#This Row],[PointsFor]]-Games[[#This Row],[PointsAgainst]]</f>
        <v>12</v>
      </c>
      <c r="V477" s="16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0.41664640509854833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7" s="9">
        <f>MAX(kmin, kmax - 0.15 * MIN(Games[[#This Row],[GamesPlayed]], 82))</f>
        <v>71.5</v>
      </c>
      <c r="Z477" s="4">
        <f>Games[[#This Row],[K]]*Games[[#This Row],[POMult]]</f>
        <v>71.5</v>
      </c>
      <c r="AA477" s="4">
        <f>(Games[[#This Row],[Keff]]*Games[[#This Row],[MOVMult]])*(Games[[#This Row],[Result]]-Games[[#This Row],[ExpectedWin%]])</f>
        <v>7.2289069495561051</v>
      </c>
      <c r="AB477" s="4">
        <f>Games[[#This Row],[PreGmRate]]+Games[[#This Row],[RatingChange]]</f>
        <v>1567.5603892111942</v>
      </c>
      <c r="AC477" s="2">
        <f>IF(Games[[#This Row],[Type]]="R",IF(Games[[#This Row],[Result]]&gt;0.5,1,0),0)</f>
        <v>1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37114</v>
      </c>
      <c r="B478" s="2">
        <v>2001</v>
      </c>
      <c r="C478" s="2">
        <f>COUNTIFS(Games[Team],Games[[#This Row],[Team]],Games[Season],Games[[#This Row],[Season]],Games[Date],"&lt;=" &amp; Games[[#This Row],[Date]])</f>
        <v>31</v>
      </c>
      <c r="D478" s="2" t="s">
        <v>23</v>
      </c>
      <c r="E478" s="2" t="s">
        <v>29</v>
      </c>
      <c r="F478" s="1" t="s">
        <v>66</v>
      </c>
      <c r="G478" s="1" t="s">
        <v>64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8" s="2">
        <f>Games[[#This Row],[DaysOff]]-Games[[#This Row],[OppDaysOff]]</f>
        <v>0</v>
      </c>
      <c r="L478" s="2">
        <f>Games[[#This Row],[OppDaysOff]]-Games[[#This Row],[DaysOff]]</f>
        <v>0</v>
      </c>
      <c r="M478" s="16">
        <f>MAX(-16, MIN(16, Games[[#This Row],[RestDiff]]*8))</f>
        <v>0</v>
      </c>
      <c r="N478" s="16">
        <f>MAX(-16, MIN(16, Games[[#This Row],[OppRestDiff]]*8))</f>
        <v>0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1581.652718124187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1512.4175192554239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0.47876452502310568</v>
      </c>
      <c r="R478" s="1">
        <v>60</v>
      </c>
      <c r="S478" s="1">
        <v>80</v>
      </c>
      <c r="T478" s="1">
        <v>0</v>
      </c>
      <c r="U478" s="16">
        <f>Games[[#This Row],[PointsFor]]-Games[[#This Row],[PointsAgainst]]</f>
        <v>-20</v>
      </c>
      <c r="V478" s="16">
        <f>IF(Games[[#This Row],[MOV]]&gt;0,1,IF(Games[[#This Row],[MOV]]=0,0.5,0))</f>
        <v>0</v>
      </c>
      <c r="W478" s="4">
        <f>((ABS(Games[[#This Row],[MOV]])+5)^0.6)/(12+0.01*(ABS(Games[[#This Row],[PreGmRate]]-Games[[#This Row],[OppPreGmRate]])))*IF(Games[[#This Row],[OT]]=1,0.9,1)</f>
        <v>0.54352796971393968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8" s="9">
        <f>MAX(kmin, kmax - 0.15 * MIN(Games[[#This Row],[GamesPlayed]], 82))</f>
        <v>71.349999999999994</v>
      </c>
      <c r="Z478" s="4">
        <f>Games[[#This Row],[K]]*Games[[#This Row],[POMult]]</f>
        <v>71.349999999999994</v>
      </c>
      <c r="AA478" s="4">
        <f>(Games[[#This Row],[Keff]]*Games[[#This Row],[MOVMult]])*(Games[[#This Row],[Result]]-Games[[#This Row],[ExpectedWin%]])</f>
        <v>-18.566833296827483</v>
      </c>
      <c r="AB478" s="4">
        <f>Games[[#This Row],[PreGmRate]]+Games[[#This Row],[RatingChange]]</f>
        <v>1563.0858848273595</v>
      </c>
      <c r="AC478" s="2">
        <f>IF(Games[[#This Row],[Type]]="R",IF(Games[[#This Row],[Result]]&gt;0.5,1,0),0)</f>
        <v>0</v>
      </c>
      <c r="AD478" s="2">
        <f>IF(Games[[#This Row],[Type]]="R",IF(Games[[#This Row],[Result]]&lt;0.5,1,0),0)</f>
        <v>1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37114</v>
      </c>
      <c r="B479" s="2">
        <v>2001</v>
      </c>
      <c r="C479" s="2">
        <f>COUNTIFS(Games[Team],Games[[#This Row],[Team]],Games[Season],Games[[#This Row],[Season]],Games[Date],"&lt;=" &amp; Games[[#This Row],[Date]])</f>
        <v>31</v>
      </c>
      <c r="D479" s="2" t="s">
        <v>23</v>
      </c>
      <c r="E479" s="2" t="s">
        <v>29</v>
      </c>
      <c r="F479" s="1" t="s">
        <v>64</v>
      </c>
      <c r="G479" s="1" t="s">
        <v>66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9" s="2">
        <f>Games[[#This Row],[DaysOff]]-Games[[#This Row],[OppDaysOff]]</f>
        <v>0</v>
      </c>
      <c r="L479" s="2">
        <f>Games[[#This Row],[OppDaysOff]]-Games[[#This Row],[DaysOff]]</f>
        <v>0</v>
      </c>
      <c r="M479" s="16">
        <f>MAX(-16, MIN(16, Games[[#This Row],[RestDiff]]*8))</f>
        <v>0</v>
      </c>
      <c r="N479" s="16">
        <f>MAX(-16, MIN(16, Games[[#This Row],[OppRestDiff]]*8))</f>
        <v>0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1512.4175192554239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1581.652718124187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0.52123547497689438</v>
      </c>
      <c r="R479" s="1">
        <v>80</v>
      </c>
      <c r="S479" s="1">
        <v>60</v>
      </c>
      <c r="T479" s="1">
        <v>0</v>
      </c>
      <c r="U479" s="16">
        <f>Games[[#This Row],[PointsFor]]-Games[[#This Row],[PointsAgainst]]</f>
        <v>20</v>
      </c>
      <c r="V479" s="16">
        <f>IF(Games[[#This Row],[MOV]]&gt;0,1,IF(Games[[#This Row],[MOV]]=0,0.5,0))</f>
        <v>1</v>
      </c>
      <c r="W479" s="4">
        <f>((ABS(Games[[#This Row],[MOV]])+5)^0.6)/(12+0.01*(ABS(Games[[#This Row],[PreGmRate]]-Games[[#This Row],[OppPreGmRate]])))*IF(Games[[#This Row],[OT]]=1,0.9,1)</f>
        <v>0.54352796971393968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9" s="9">
        <f>MAX(kmin, kmax - 0.15 * MIN(Games[[#This Row],[GamesPlayed]], 82))</f>
        <v>71.349999999999994</v>
      </c>
      <c r="Z479" s="4">
        <f>Games[[#This Row],[K]]*Games[[#This Row],[POMult]]</f>
        <v>71.349999999999994</v>
      </c>
      <c r="AA479" s="4">
        <f>(Games[[#This Row],[Keff]]*Games[[#This Row],[MOVMult]])*(Games[[#This Row],[Result]]-Games[[#This Row],[ExpectedWin%]])</f>
        <v>18.566833296827479</v>
      </c>
      <c r="AB479" s="4">
        <f>Games[[#This Row],[PreGmRate]]+Games[[#This Row],[RatingChange]]</f>
        <v>1530.9843525522515</v>
      </c>
      <c r="AC479" s="2">
        <f>IF(Games[[#This Row],[Type]]="R",IF(Games[[#This Row],[Result]]&gt;0.5,1,0),0)</f>
        <v>1</v>
      </c>
      <c r="AD479" s="2">
        <f>IF(Games[[#This Row],[Type]]="R",IF(Games[[#This Row],[Result]]&lt;0.5,1,0),0)</f>
        <v>0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37114</v>
      </c>
      <c r="B480" s="2">
        <v>2001</v>
      </c>
      <c r="C480" s="2">
        <f>COUNTIFS(Games[Team],Games[[#This Row],[Team]],Games[Season],Games[[#This Row],[Season]],Games[Date],"&lt;=" &amp; Games[[#This Row],[Date]])</f>
        <v>30</v>
      </c>
      <c r="D480" s="2" t="s">
        <v>23</v>
      </c>
      <c r="E480" s="2" t="s">
        <v>29</v>
      </c>
      <c r="F480" s="1" t="s">
        <v>2</v>
      </c>
      <c r="G480" s="1" t="s">
        <v>71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6">
        <f>MAX(-16, MIN(16, Games[[#This Row],[RestDiff]]*8))</f>
        <v>0</v>
      </c>
      <c r="N480" s="16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1585.3168103301607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1737.3628189106953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0.20443702098259567</v>
      </c>
      <c r="R480" s="1">
        <v>54</v>
      </c>
      <c r="S480" s="1">
        <v>65</v>
      </c>
      <c r="T480" s="1">
        <v>0</v>
      </c>
      <c r="U480" s="16">
        <f>Games[[#This Row],[PointsFor]]-Games[[#This Row],[PointsAgainst]]</f>
        <v>-11</v>
      </c>
      <c r="V480" s="16">
        <f>IF(Games[[#This Row],[MOV]]&gt;0,1,IF(Games[[#This Row],[MOV]]=0,0.5,0))</f>
        <v>0</v>
      </c>
      <c r="W480" s="4">
        <f>((ABS(Games[[#This Row],[MOV]])+5)^0.6)/(12+0.01*(ABS(Games[[#This Row],[PreGmRate]]-Games[[#This Row],[OppPreGmRate]])))*IF(Games[[#This Row],[OT]]=1,0.9,1)</f>
        <v>0.39037367142800089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0" s="9">
        <f>MAX(kmin, kmax - 0.15 * MIN(Games[[#This Row],[GamesPlayed]], 82))</f>
        <v>71.5</v>
      </c>
      <c r="Z480" s="4">
        <f>Games[[#This Row],[K]]*Games[[#This Row],[POMult]]</f>
        <v>71.5</v>
      </c>
      <c r="AA480" s="4">
        <f>(Games[[#This Row],[Keff]]*Games[[#This Row],[MOVMult]])*(Games[[#This Row],[Result]]-Games[[#This Row],[ExpectedWin%]])</f>
        <v>-5.706188377659708</v>
      </c>
      <c r="AB480" s="4">
        <f>Games[[#This Row],[PreGmRate]]+Games[[#This Row],[RatingChange]]</f>
        <v>1579.6106219525011</v>
      </c>
      <c r="AC480" s="2">
        <f>IF(Games[[#This Row],[Type]]="R",IF(Games[[#This Row],[Result]]&gt;0.5,1,0),0)</f>
        <v>0</v>
      </c>
      <c r="AD480" s="2">
        <f>IF(Games[[#This Row],[Type]]="R",IF(Games[[#This Row],[Result]]&lt;0.5,1,0),0)</f>
        <v>1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37114</v>
      </c>
      <c r="B481" s="2">
        <v>2001</v>
      </c>
      <c r="C481" s="2">
        <f>COUNTIFS(Games[Team],Games[[#This Row],[Team]],Games[Season],Games[[#This Row],[Season]],Games[Date],"&lt;=" &amp; Games[[#This Row],[Date]])</f>
        <v>30</v>
      </c>
      <c r="D481" s="2" t="s">
        <v>23</v>
      </c>
      <c r="E481" s="2" t="s">
        <v>29</v>
      </c>
      <c r="F481" s="1" t="s">
        <v>71</v>
      </c>
      <c r="G481" s="1" t="s">
        <v>2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6">
        <f>MAX(-16, MIN(16, Games[[#This Row],[RestDiff]]*8))</f>
        <v>0</v>
      </c>
      <c r="N481" s="16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1737.3628189106953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1585.3168103301607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0.79556297901740425</v>
      </c>
      <c r="R481" s="1">
        <v>65</v>
      </c>
      <c r="S481" s="1">
        <v>54</v>
      </c>
      <c r="T481" s="1">
        <v>0</v>
      </c>
      <c r="U481" s="16">
        <f>Games[[#This Row],[PointsFor]]-Games[[#This Row],[PointsAgainst]]</f>
        <v>11</v>
      </c>
      <c r="V481" s="16">
        <f>IF(Games[[#This Row],[MOV]]&gt;0,1,IF(Games[[#This Row],[MOV]]=0,0.5,0))</f>
        <v>1</v>
      </c>
      <c r="W481" s="4">
        <f>((ABS(Games[[#This Row],[MOV]])+5)^0.6)/(12+0.01*(ABS(Games[[#This Row],[PreGmRate]]-Games[[#This Row],[OppPreGmRate]])))*IF(Games[[#This Row],[OT]]=1,0.9,1)</f>
        <v>0.39037367142800089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1" s="9">
        <f>MAX(kmin, kmax - 0.15 * MIN(Games[[#This Row],[GamesPlayed]], 82))</f>
        <v>71.5</v>
      </c>
      <c r="Z481" s="4">
        <f>Games[[#This Row],[K]]*Games[[#This Row],[POMult]]</f>
        <v>71.5</v>
      </c>
      <c r="AA481" s="4">
        <f>(Games[[#This Row],[Keff]]*Games[[#This Row],[MOVMult]])*(Games[[#This Row],[Result]]-Games[[#This Row],[ExpectedWin%]])</f>
        <v>5.7061883776597098</v>
      </c>
      <c r="AB481" s="4">
        <f>Games[[#This Row],[PreGmRate]]+Games[[#This Row],[RatingChange]]</f>
        <v>1743.0690072883549</v>
      </c>
      <c r="AC481" s="2">
        <f>IF(Games[[#This Row],[Type]]="R",IF(Games[[#This Row],[Result]]&gt;0.5,1,0),0)</f>
        <v>1</v>
      </c>
      <c r="AD481" s="2">
        <f>IF(Games[[#This Row],[Type]]="R",IF(Games[[#This Row],[Result]]&lt;0.5,1,0),0)</f>
        <v>0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37114</v>
      </c>
      <c r="B482" s="2">
        <v>2001</v>
      </c>
      <c r="C482" s="2">
        <f>COUNTIFS(Games[Team],Games[[#This Row],[Team]],Games[Season],Games[[#This Row],[Season]],Games[Date],"&lt;=" &amp; Games[[#This Row],[Date]])</f>
        <v>31</v>
      </c>
      <c r="D482" s="2" t="s">
        <v>23</v>
      </c>
      <c r="E482" s="2" t="s">
        <v>29</v>
      </c>
      <c r="F482" s="1" t="s">
        <v>83</v>
      </c>
      <c r="G482" s="1" t="s">
        <v>79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2" s="2">
        <f>Games[[#This Row],[DaysOff]]-Games[[#This Row],[OppDaysOff]]</f>
        <v>0</v>
      </c>
      <c r="L482" s="2">
        <f>Games[[#This Row],[OppDaysOff]]-Games[[#This Row],[DaysOff]]</f>
        <v>0</v>
      </c>
      <c r="M482" s="16">
        <f>MAX(-16, MIN(16, Games[[#This Row],[RestDiff]]*8))</f>
        <v>0</v>
      </c>
      <c r="N482" s="16">
        <f>MAX(-16, MIN(16, Games[[#This Row],[OppRestDiff]]*8))</f>
        <v>0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1565.0604452589942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1460.2752593466582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0.52987665288010277</v>
      </c>
      <c r="R482" s="1">
        <v>75</v>
      </c>
      <c r="S482" s="1">
        <v>64</v>
      </c>
      <c r="T482" s="1">
        <v>0</v>
      </c>
      <c r="U482" s="16">
        <f>Games[[#This Row],[PointsFor]]-Games[[#This Row],[PointsAgainst]]</f>
        <v>11</v>
      </c>
      <c r="V482" s="16">
        <f>IF(Games[[#This Row],[MOV]]&gt;0,1,IF(Games[[#This Row],[MOV]]=0,0.5,0))</f>
        <v>1</v>
      </c>
      <c r="W482" s="4">
        <f>((ABS(Games[[#This Row],[MOV]])+5)^0.6)/(12+0.01*(ABS(Games[[#This Row],[PreGmRate]]-Games[[#This Row],[OppPreGmRate]])))*IF(Games[[#This Row],[OT]]=1,0.9,1)</f>
        <v>0.40451345555406926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2" s="9">
        <f>MAX(kmin, kmax - 0.15 * MIN(Games[[#This Row],[GamesPlayed]], 82))</f>
        <v>71.349999999999994</v>
      </c>
      <c r="Z482" s="4">
        <f>Games[[#This Row],[K]]*Games[[#This Row],[POMult]]</f>
        <v>71.349999999999994</v>
      </c>
      <c r="AA482" s="4">
        <f>(Games[[#This Row],[Keff]]*Games[[#This Row],[MOVMult]])*(Games[[#This Row],[Result]]-Games[[#This Row],[ExpectedWin%]])</f>
        <v>13.568716524176192</v>
      </c>
      <c r="AB482" s="4">
        <f>Games[[#This Row],[PreGmRate]]+Games[[#This Row],[RatingChange]]</f>
        <v>1578.6291617831703</v>
      </c>
      <c r="AC482" s="2">
        <f>IF(Games[[#This Row],[Type]]="R",IF(Games[[#This Row],[Result]]&gt;0.5,1,0),0)</f>
        <v>1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37114</v>
      </c>
      <c r="B483" s="2">
        <v>2001</v>
      </c>
      <c r="C483" s="2">
        <f>COUNTIFS(Games[Team],Games[[#This Row],[Team]],Games[Season],Games[[#This Row],[Season]],Games[Date],"&lt;=" &amp; Games[[#This Row],[Date]])</f>
        <v>31</v>
      </c>
      <c r="D483" s="2" t="s">
        <v>23</v>
      </c>
      <c r="E483" s="2" t="s">
        <v>29</v>
      </c>
      <c r="F483" s="1" t="s">
        <v>79</v>
      </c>
      <c r="G483" s="1" t="s">
        <v>83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3" s="2">
        <f>Games[[#This Row],[DaysOff]]-Games[[#This Row],[OppDaysOff]]</f>
        <v>0</v>
      </c>
      <c r="L483" s="2">
        <f>Games[[#This Row],[OppDaysOff]]-Games[[#This Row],[DaysOff]]</f>
        <v>0</v>
      </c>
      <c r="M483" s="16">
        <f>MAX(-16, MIN(16, Games[[#This Row],[RestDiff]]*8))</f>
        <v>0</v>
      </c>
      <c r="N483" s="16">
        <f>MAX(-16, MIN(16, Games[[#This Row],[OppRestDiff]]*8))</f>
        <v>0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1460.2752593466582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1565.0604452589942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0.47012334711989723</v>
      </c>
      <c r="R483" s="1">
        <v>64</v>
      </c>
      <c r="S483" s="1">
        <v>75</v>
      </c>
      <c r="T483" s="1">
        <v>0</v>
      </c>
      <c r="U483" s="16">
        <f>Games[[#This Row],[PointsFor]]-Games[[#This Row],[PointsAgainst]]</f>
        <v>-11</v>
      </c>
      <c r="V483" s="16">
        <f>IF(Games[[#This Row],[MOV]]&gt;0,1,IF(Games[[#This Row],[MOV]]=0,0.5,0))</f>
        <v>0</v>
      </c>
      <c r="W483" s="4">
        <f>((ABS(Games[[#This Row],[MOV]])+5)^0.6)/(12+0.01*(ABS(Games[[#This Row],[PreGmRate]]-Games[[#This Row],[OppPreGmRate]])))*IF(Games[[#This Row],[OT]]=1,0.9,1)</f>
        <v>0.40451345555406926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3" s="9">
        <f>MAX(kmin, kmax - 0.15 * MIN(Games[[#This Row],[GamesPlayed]], 82))</f>
        <v>71.349999999999994</v>
      </c>
      <c r="Z483" s="4">
        <f>Games[[#This Row],[K]]*Games[[#This Row],[POMult]]</f>
        <v>71.349999999999994</v>
      </c>
      <c r="AA483" s="4">
        <f>(Games[[#This Row],[Keff]]*Games[[#This Row],[MOVMult]])*(Games[[#This Row],[Result]]-Games[[#This Row],[ExpectedWin%]])</f>
        <v>-13.568716524176192</v>
      </c>
      <c r="AB483" s="4">
        <f>Games[[#This Row],[PreGmRate]]+Games[[#This Row],[RatingChange]]</f>
        <v>1446.7065428224821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1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37114</v>
      </c>
      <c r="B484" s="2">
        <v>2001</v>
      </c>
      <c r="C484" s="2">
        <f>COUNTIFS(Games[Team],Games[[#This Row],[Team]],Games[Season],Games[[#This Row],[Season]],Games[Date],"&lt;=" &amp; Games[[#This Row],[Date]])</f>
        <v>30</v>
      </c>
      <c r="D484" s="2" t="s">
        <v>23</v>
      </c>
      <c r="E484" s="2" t="s">
        <v>29</v>
      </c>
      <c r="F484" s="1" t="s">
        <v>89</v>
      </c>
      <c r="G484" s="1" t="s">
        <v>44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4" s="2">
        <f>Games[[#This Row],[DaysOff]]-Games[[#This Row],[OppDaysOff]]</f>
        <v>2</v>
      </c>
      <c r="L484" s="2">
        <f>Games[[#This Row],[OppDaysOff]]-Games[[#This Row],[DaysOff]]</f>
        <v>-2</v>
      </c>
      <c r="M484" s="16">
        <f>MAX(-16, MIN(16, Games[[#This Row],[RestDiff]]*8))</f>
        <v>16</v>
      </c>
      <c r="N484" s="16">
        <f>MAX(-16, MIN(16, Games[[#This Row],[OppRestDiff]]*8))</f>
        <v>-16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1385.0371914096825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1439.3858961476851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0.35155925434882873</v>
      </c>
      <c r="R484" s="1">
        <v>62</v>
      </c>
      <c r="S484" s="1">
        <v>73</v>
      </c>
      <c r="T484" s="1">
        <v>0</v>
      </c>
      <c r="U484" s="16">
        <f>Games[[#This Row],[PointsFor]]-Games[[#This Row],[PointsAgainst]]</f>
        <v>-11</v>
      </c>
      <c r="V484" s="16">
        <f>IF(Games[[#This Row],[MOV]]&gt;0,1,IF(Games[[#This Row],[MOV]]=0,0.5,0))</f>
        <v>0</v>
      </c>
      <c r="W484" s="4">
        <f>((ABS(Games[[#This Row],[MOV]])+5)^0.6)/(12+0.01*(ABS(Games[[#This Row],[PreGmRate]]-Games[[#This Row],[OppPreGmRate]])))*IF(Games[[#This Row],[OT]]=1,0.9,1)</f>
        <v>0.42077865773329803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4" s="9">
        <f>MAX(kmin, kmax - 0.15 * MIN(Games[[#This Row],[GamesPlayed]], 82))</f>
        <v>71.5</v>
      </c>
      <c r="Z484" s="4">
        <f>Games[[#This Row],[K]]*Games[[#This Row],[POMult]]</f>
        <v>71.5</v>
      </c>
      <c r="AA484" s="4">
        <f>(Games[[#This Row],[Keff]]*Games[[#This Row],[MOVMult]])*(Games[[#This Row],[Result]]-Games[[#This Row],[ExpectedWin%]])</f>
        <v>-10.576897127841278</v>
      </c>
      <c r="AB484" s="4">
        <f>Games[[#This Row],[PreGmRate]]+Games[[#This Row],[RatingChange]]</f>
        <v>1374.4602942818412</v>
      </c>
      <c r="AC484" s="2">
        <f>IF(Games[[#This Row],[Type]]="R",IF(Games[[#This Row],[Result]]&gt;0.5,1,0),0)</f>
        <v>0</v>
      </c>
      <c r="AD484" s="2">
        <f>IF(Games[[#This Row],[Type]]="R",IF(Games[[#This Row],[Result]]&lt;0.5,1,0),0)</f>
        <v>1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0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37114</v>
      </c>
      <c r="B485" s="2">
        <v>2001</v>
      </c>
      <c r="C485" s="2">
        <f>COUNTIFS(Games[Team],Games[[#This Row],[Team]],Games[Season],Games[[#This Row],[Season]],Games[Date],"&lt;=" &amp; Games[[#This Row],[Date]])</f>
        <v>31</v>
      </c>
      <c r="D485" s="2" t="s">
        <v>23</v>
      </c>
      <c r="E485" s="2" t="s">
        <v>29</v>
      </c>
      <c r="F485" s="1" t="s">
        <v>44</v>
      </c>
      <c r="G485" s="1" t="s">
        <v>89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85" s="2">
        <f>Games[[#This Row],[DaysOff]]-Games[[#This Row],[OppDaysOff]]</f>
        <v>-2</v>
      </c>
      <c r="L485" s="2">
        <f>Games[[#This Row],[OppDaysOff]]-Games[[#This Row],[DaysOff]]</f>
        <v>2</v>
      </c>
      <c r="M485" s="16">
        <f>MAX(-16, MIN(16, Games[[#This Row],[RestDiff]]*8))</f>
        <v>-16</v>
      </c>
      <c r="N485" s="16">
        <f>MAX(-16, MIN(16, Games[[#This Row],[OppRestDiff]]*8))</f>
        <v>16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1439.3858961476851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1385.0371914096825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0.64844074565117127</v>
      </c>
      <c r="R485" s="1">
        <v>73</v>
      </c>
      <c r="S485" s="1">
        <v>62</v>
      </c>
      <c r="T485" s="1">
        <v>0</v>
      </c>
      <c r="U485" s="16">
        <f>Games[[#This Row],[PointsFor]]-Games[[#This Row],[PointsAgainst]]</f>
        <v>11</v>
      </c>
      <c r="V485" s="16">
        <f>IF(Games[[#This Row],[MOV]]&gt;0,1,IF(Games[[#This Row],[MOV]]=0,0.5,0))</f>
        <v>1</v>
      </c>
      <c r="W485" s="4">
        <f>((ABS(Games[[#This Row],[MOV]])+5)^0.6)/(12+0.01*(ABS(Games[[#This Row],[PreGmRate]]-Games[[#This Row],[OppPreGmRate]])))*IF(Games[[#This Row],[OT]]=1,0.9,1)</f>
        <v>0.42077865773329803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5" s="9">
        <f>MAX(kmin, kmax - 0.15 * MIN(Games[[#This Row],[GamesPlayed]], 82))</f>
        <v>71.349999999999994</v>
      </c>
      <c r="Z485" s="4">
        <f>Games[[#This Row],[K]]*Games[[#This Row],[POMult]]</f>
        <v>71.349999999999994</v>
      </c>
      <c r="AA485" s="4">
        <f>(Games[[#This Row],[Keff]]*Games[[#This Row],[MOVMult]])*(Games[[#This Row],[Result]]-Games[[#This Row],[ExpectedWin%]])</f>
        <v>10.554707833167484</v>
      </c>
      <c r="AB485" s="4">
        <f>Games[[#This Row],[PreGmRate]]+Games[[#This Row],[RatingChange]]</f>
        <v>1449.9406039808525</v>
      </c>
      <c r="AC485" s="2">
        <f>IF(Games[[#This Row],[Type]]="R",IF(Games[[#This Row],[Result]]&gt;0.5,1,0),0)</f>
        <v>1</v>
      </c>
      <c r="AD485" s="2">
        <f>IF(Games[[#This Row],[Type]]="R",IF(Games[[#This Row],[Result]]&lt;0.5,1,0),0)</f>
        <v>0</v>
      </c>
      <c r="AE485" s="2">
        <f>IF(AND(Games[[#This Row],[Type]]="P",Games[[#This Row],[Round]]=1),IF(Games[[#This Row],[Result]]&gt;0.5,1,0),0)</f>
        <v>0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37114</v>
      </c>
      <c r="B486" s="2">
        <v>2001</v>
      </c>
      <c r="C486" s="2">
        <f>COUNTIFS(Games[Team],Games[[#This Row],[Team]],Games[Season],Games[[#This Row],[Season]],Games[Date],"&lt;=" &amp; Games[[#This Row],[Date]])</f>
        <v>31</v>
      </c>
      <c r="D486" s="2" t="s">
        <v>23</v>
      </c>
      <c r="E486" s="2" t="s">
        <v>29</v>
      </c>
      <c r="F486" s="1" t="s">
        <v>87</v>
      </c>
      <c r="G486" s="1" t="s">
        <v>45</v>
      </c>
      <c r="H486" s="1" t="s">
        <v>16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86" s="2">
        <f>Games[[#This Row],[DaysOff]]-Games[[#This Row],[OppDaysOff]]</f>
        <v>-3</v>
      </c>
      <c r="L486" s="2">
        <f>Games[[#This Row],[OppDaysOff]]-Games[[#This Row],[DaysOff]]</f>
        <v>3</v>
      </c>
      <c r="M486" s="16">
        <f>MAX(-16, MIN(16, Games[[#This Row],[RestDiff]]*8))</f>
        <v>-16</v>
      </c>
      <c r="N486" s="16">
        <f>MAX(-16, MIN(16, Games[[#This Row],[OppRestDiff]]*8))</f>
        <v>16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1371.0460245125657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1588.6421710244069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0.127824349569475</v>
      </c>
      <c r="R486" s="1">
        <v>61</v>
      </c>
      <c r="S486" s="1">
        <v>81</v>
      </c>
      <c r="T486" s="1">
        <v>0</v>
      </c>
      <c r="U486" s="16">
        <f>Games[[#This Row],[PointsFor]]-Games[[#This Row],[PointsAgainst]]</f>
        <v>-20</v>
      </c>
      <c r="V486" s="16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0.48664412105528027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6" s="9">
        <f>MAX(kmin, kmax - 0.15 * MIN(Games[[#This Row],[GamesPlayed]], 82))</f>
        <v>71.349999999999994</v>
      </c>
      <c r="Z486" s="4">
        <f>Games[[#This Row],[K]]*Games[[#This Row],[POMult]]</f>
        <v>71.349999999999994</v>
      </c>
      <c r="AA486" s="4">
        <f>(Games[[#This Row],[Keff]]*Games[[#This Row],[MOVMult]])*(Games[[#This Row],[Result]]-Games[[#This Row],[ExpectedWin%]])</f>
        <v>-4.4383244843306988</v>
      </c>
      <c r="AB486" s="4">
        <f>Games[[#This Row],[PreGmRate]]+Games[[#This Row],[RatingChange]]</f>
        <v>1366.6077000282351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1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0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37114</v>
      </c>
      <c r="B487" s="2">
        <v>2001</v>
      </c>
      <c r="C487" s="2">
        <f>COUNTIFS(Games[Team],Games[[#This Row],[Team]],Games[Season],Games[[#This Row],[Season]],Games[Date],"&lt;=" &amp; Games[[#This Row],[Date]])</f>
        <v>30</v>
      </c>
      <c r="D487" s="2" t="s">
        <v>23</v>
      </c>
      <c r="E487" s="2" t="s">
        <v>29</v>
      </c>
      <c r="F487" s="1" t="s">
        <v>45</v>
      </c>
      <c r="G487" s="1" t="s">
        <v>87</v>
      </c>
      <c r="H487" s="1" t="s">
        <v>15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7" s="2">
        <f>Games[[#This Row],[DaysOff]]-Games[[#This Row],[OppDaysOff]]</f>
        <v>3</v>
      </c>
      <c r="L487" s="2">
        <f>Games[[#This Row],[OppDaysOff]]-Games[[#This Row],[DaysOff]]</f>
        <v>-3</v>
      </c>
      <c r="M487" s="16">
        <f>MAX(-16, MIN(16, Games[[#This Row],[RestDiff]]*8))</f>
        <v>16</v>
      </c>
      <c r="N487" s="16">
        <f>MAX(-16, MIN(16, Games[[#This Row],[OppRestDiff]]*8))</f>
        <v>-16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1588.6421710244069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1371.0460245125657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0.87217565043052503</v>
      </c>
      <c r="R487" s="1">
        <v>81</v>
      </c>
      <c r="S487" s="1">
        <v>61</v>
      </c>
      <c r="T487" s="1">
        <v>0</v>
      </c>
      <c r="U487" s="16">
        <f>Games[[#This Row],[PointsFor]]-Games[[#This Row],[PointsAgainst]]</f>
        <v>20</v>
      </c>
      <c r="V487" s="16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0.48664412105528027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7" s="9">
        <f>MAX(kmin, kmax - 0.15 * MIN(Games[[#This Row],[GamesPlayed]], 82))</f>
        <v>71.5</v>
      </c>
      <c r="Z487" s="4">
        <f>Games[[#This Row],[K]]*Games[[#This Row],[POMult]]</f>
        <v>71.5</v>
      </c>
      <c r="AA487" s="4">
        <f>(Games[[#This Row],[Keff]]*Games[[#This Row],[MOVMult]])*(Games[[#This Row],[Result]]-Games[[#This Row],[ExpectedWin%]])</f>
        <v>4.4476552295675527</v>
      </c>
      <c r="AB487" s="4">
        <f>Games[[#This Row],[PreGmRate]]+Games[[#This Row],[RatingChange]]</f>
        <v>1593.0898262539745</v>
      </c>
      <c r="AC487" s="2">
        <f>IF(Games[[#This Row],[Type]]="R",IF(Games[[#This Row],[Result]]&gt;0.5,1,0),0)</f>
        <v>1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0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37115</v>
      </c>
      <c r="B488" s="2">
        <v>2001</v>
      </c>
      <c r="C488" s="2">
        <f>COUNTIFS(Games[Team],Games[[#This Row],[Team]],Games[Season],Games[[#This Row],[Season]],Games[Date],"&lt;=" &amp; Games[[#This Row],[Date]])</f>
        <v>31</v>
      </c>
      <c r="D488" s="2" t="s">
        <v>23</v>
      </c>
      <c r="E488" s="2" t="s">
        <v>29</v>
      </c>
      <c r="F488" s="1" t="s">
        <v>77</v>
      </c>
      <c r="G488" s="1" t="s">
        <v>85</v>
      </c>
      <c r="H488" s="1" t="s">
        <v>16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6">
        <f>MAX(-16, MIN(16, Games[[#This Row],[RestDiff]]*8))</f>
        <v>0</v>
      </c>
      <c r="N488" s="16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1371.0571025308273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1381.6055986421779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0.36719601808427671</v>
      </c>
      <c r="R488" s="1">
        <v>66</v>
      </c>
      <c r="S488" s="1">
        <v>83</v>
      </c>
      <c r="T488" s="1">
        <v>0</v>
      </c>
      <c r="U488" s="16">
        <f>Games[[#This Row],[PointsFor]]-Games[[#This Row],[PointsAgainst]]</f>
        <v>-17</v>
      </c>
      <c r="V488" s="16">
        <f>IF(Games[[#This Row],[MOV]]&gt;0,1,IF(Games[[#This Row],[MOV]]=0,0.5,0))</f>
        <v>0</v>
      </c>
      <c r="W488" s="4">
        <f>((ABS(Games[[#This Row],[MOV]])+5)^0.6)/(12+0.01*(ABS(Games[[#This Row],[PreGmRate]]-Games[[#This Row],[OppPreGmRate]])))*IF(Games[[#This Row],[OT]]=1,0.9,1)</f>
        <v>0.52780246718808499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8" s="9">
        <f>MAX(kmin, kmax - 0.15 * MIN(Games[[#This Row],[GamesPlayed]], 82))</f>
        <v>71.349999999999994</v>
      </c>
      <c r="Z488" s="4">
        <f>Games[[#This Row],[K]]*Games[[#This Row],[POMult]]</f>
        <v>71.349999999999994</v>
      </c>
      <c r="AA488" s="4">
        <f>(Games[[#This Row],[Keff]]*Games[[#This Row],[MOVMult]])*(Games[[#This Row],[Result]]-Games[[#This Row],[ExpectedWin%]])</f>
        <v>-13.828126901843339</v>
      </c>
      <c r="AB488" s="4">
        <f>Games[[#This Row],[PreGmRate]]+Games[[#This Row],[RatingChange]]</f>
        <v>1357.228975628984</v>
      </c>
      <c r="AC488" s="2">
        <f>IF(Games[[#This Row],[Type]]="R",IF(Games[[#This Row],[Result]]&gt;0.5,1,0),0)</f>
        <v>0</v>
      </c>
      <c r="AD488" s="2">
        <f>IF(Games[[#This Row],[Type]]="R",IF(Games[[#This Row],[Result]]&lt;0.5,1,0),0)</f>
        <v>1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0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37115</v>
      </c>
      <c r="B489" s="2">
        <v>2001</v>
      </c>
      <c r="C489" s="2">
        <f>COUNTIFS(Games[Team],Games[[#This Row],[Team]],Games[Season],Games[[#This Row],[Season]],Games[Date],"&lt;=" &amp; Games[[#This Row],[Date]])</f>
        <v>31</v>
      </c>
      <c r="D489" s="2" t="s">
        <v>23</v>
      </c>
      <c r="E489" s="2" t="s">
        <v>29</v>
      </c>
      <c r="F489" s="1" t="s">
        <v>85</v>
      </c>
      <c r="G489" s="1" t="s">
        <v>77</v>
      </c>
      <c r="H489" s="1" t="s">
        <v>15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6">
        <f>MAX(-16, MIN(16, Games[[#This Row],[RestDiff]]*8))</f>
        <v>0</v>
      </c>
      <c r="N489" s="16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1381.6055986421779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1371.0571025308273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0.63280398191572329</v>
      </c>
      <c r="R489" s="1">
        <v>83</v>
      </c>
      <c r="S489" s="1">
        <v>66</v>
      </c>
      <c r="T489" s="1">
        <v>0</v>
      </c>
      <c r="U489" s="16">
        <f>Games[[#This Row],[PointsFor]]-Games[[#This Row],[PointsAgainst]]</f>
        <v>17</v>
      </c>
      <c r="V489" s="16">
        <f>IF(Games[[#This Row],[MOV]]&gt;0,1,IF(Games[[#This Row],[MOV]]=0,0.5,0))</f>
        <v>1</v>
      </c>
      <c r="W489" s="4">
        <f>((ABS(Games[[#This Row],[MOV]])+5)^0.6)/(12+0.01*(ABS(Games[[#This Row],[PreGmRate]]-Games[[#This Row],[OppPreGmRate]])))*IF(Games[[#This Row],[OT]]=1,0.9,1)</f>
        <v>0.52780246718808499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9" s="9">
        <f>MAX(kmin, kmax - 0.15 * MIN(Games[[#This Row],[GamesPlayed]], 82))</f>
        <v>71.349999999999994</v>
      </c>
      <c r="Z489" s="4">
        <f>Games[[#This Row],[K]]*Games[[#This Row],[POMult]]</f>
        <v>71.349999999999994</v>
      </c>
      <c r="AA489" s="4">
        <f>(Games[[#This Row],[Keff]]*Games[[#This Row],[MOVMult]])*(Games[[#This Row],[Result]]-Games[[#This Row],[ExpectedWin%]])</f>
        <v>13.828126901843339</v>
      </c>
      <c r="AB489" s="4">
        <f>Games[[#This Row],[PreGmRate]]+Games[[#This Row],[RatingChange]]</f>
        <v>1395.4337255440212</v>
      </c>
      <c r="AC489" s="2">
        <f>IF(Games[[#This Row],[Type]]="R",IF(Games[[#This Row],[Result]]&gt;0.5,1,0),0)</f>
        <v>1</v>
      </c>
      <c r="AD489" s="2">
        <f>IF(Games[[#This Row],[Type]]="R",IF(Games[[#This Row],[Result]]&lt;0.5,1,0),0)</f>
        <v>0</v>
      </c>
      <c r="AE489" s="2">
        <f>IF(AND(Games[[#This Row],[Type]]="P",Games[[#This Row],[Round]]=1),IF(Games[[#This Row],[Result]]&gt;0.5,1,0),0)</f>
        <v>0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37115</v>
      </c>
      <c r="B490" s="2">
        <v>2001</v>
      </c>
      <c r="C490" s="2">
        <f>COUNTIFS(Games[Team],Games[[#This Row],[Team]],Games[Season],Games[[#This Row],[Season]],Games[Date],"&lt;=" &amp; Games[[#This Row],[Date]])</f>
        <v>31</v>
      </c>
      <c r="D490" s="2" t="s">
        <v>23</v>
      </c>
      <c r="E490" s="2" t="s">
        <v>29</v>
      </c>
      <c r="F490" s="1" t="s">
        <v>43</v>
      </c>
      <c r="G490" s="1" t="s">
        <v>80</v>
      </c>
      <c r="H490" s="1" t="s">
        <v>16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0" s="2">
        <f>Games[[#This Row],[DaysOff]]-Games[[#This Row],[OppDaysOff]]</f>
        <v>0</v>
      </c>
      <c r="L490" s="2">
        <f>Games[[#This Row],[OppDaysOff]]-Games[[#This Row],[DaysOff]]</f>
        <v>0</v>
      </c>
      <c r="M490" s="16">
        <f>MAX(-16, MIN(16, Games[[#This Row],[RestDiff]]*8))</f>
        <v>0</v>
      </c>
      <c r="N490" s="16">
        <f>MAX(-16, MIN(16, Games[[#This Row],[OppRestDiff]]*8))</f>
        <v>0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1567.5603892111942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1446.4483657085407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0.55320628987474418</v>
      </c>
      <c r="R490" s="1">
        <v>62</v>
      </c>
      <c r="S490" s="1">
        <v>69</v>
      </c>
      <c r="T490" s="1">
        <v>0</v>
      </c>
      <c r="U490" s="16">
        <f>Games[[#This Row],[PointsFor]]-Games[[#This Row],[PointsAgainst]]</f>
        <v>-7</v>
      </c>
      <c r="V490" s="16">
        <f>IF(Games[[#This Row],[MOV]]&gt;0,1,IF(Games[[#This Row],[MOV]]=0,0.5,0))</f>
        <v>0</v>
      </c>
      <c r="W490" s="4">
        <f>((ABS(Games[[#This Row],[MOV]])+5)^0.6)/(12+0.01*(ABS(Games[[#This Row],[PreGmRate]]-Games[[#This Row],[OppPreGmRate]])))*IF(Games[[#This Row],[OT]]=1,0.9,1)</f>
        <v>0.33617785553648166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0" s="9">
        <f>MAX(kmin, kmax - 0.15 * MIN(Games[[#This Row],[GamesPlayed]], 82))</f>
        <v>71.349999999999994</v>
      </c>
      <c r="Z490" s="4">
        <f>Games[[#This Row],[K]]*Games[[#This Row],[POMult]]</f>
        <v>71.349999999999994</v>
      </c>
      <c r="AA490" s="4">
        <f>(Games[[#This Row],[Keff]]*Games[[#This Row],[MOVMult]])*(Games[[#This Row],[Result]]-Games[[#This Row],[ExpectedWin%]])</f>
        <v>-13.269366494626102</v>
      </c>
      <c r="AB490" s="4">
        <f>Games[[#This Row],[PreGmRate]]+Games[[#This Row],[RatingChange]]</f>
        <v>1554.291022716568</v>
      </c>
      <c r="AC490" s="2">
        <f>IF(Games[[#This Row],[Type]]="R",IF(Games[[#This Row],[Result]]&gt;0.5,1,0),0)</f>
        <v>0</v>
      </c>
      <c r="AD490" s="2">
        <f>IF(Games[[#This Row],[Type]]="R",IF(Games[[#This Row],[Result]]&lt;0.5,1,0),0)</f>
        <v>1</v>
      </c>
      <c r="AE490" s="2">
        <f>IF(AND(Games[[#This Row],[Type]]="P",Games[[#This Row],[Round]]=1),IF(Games[[#This Row],[Result]]&gt;0.5,1,0),0)</f>
        <v>0</v>
      </c>
      <c r="AF490" s="2">
        <f>IF(AND(Games[[#This Row],[Type]]="P",Games[[#This Row],[Round]]=1),IF(Games[[#This Row],[Result]]&lt;0.5,1,0),0)</f>
        <v>0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37115</v>
      </c>
      <c r="B491" s="2">
        <v>2001</v>
      </c>
      <c r="C491" s="2">
        <f>COUNTIFS(Games[Team],Games[[#This Row],[Team]],Games[Season],Games[[#This Row],[Season]],Games[Date],"&lt;=" &amp; Games[[#This Row],[Date]])</f>
        <v>31</v>
      </c>
      <c r="D491" s="2" t="s">
        <v>23</v>
      </c>
      <c r="E491" s="2" t="s">
        <v>29</v>
      </c>
      <c r="F491" s="1" t="s">
        <v>80</v>
      </c>
      <c r="G491" s="1" t="s">
        <v>43</v>
      </c>
      <c r="H491" s="1" t="s">
        <v>15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1" s="2">
        <f>Games[[#This Row],[DaysOff]]-Games[[#This Row],[OppDaysOff]]</f>
        <v>0</v>
      </c>
      <c r="L491" s="2">
        <f>Games[[#This Row],[OppDaysOff]]-Games[[#This Row],[DaysOff]]</f>
        <v>0</v>
      </c>
      <c r="M491" s="16">
        <f>MAX(-16, MIN(16, Games[[#This Row],[RestDiff]]*8))</f>
        <v>0</v>
      </c>
      <c r="N491" s="16">
        <f>MAX(-16, MIN(16, Games[[#This Row],[OppRestDiff]]*8))</f>
        <v>0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1446.4483657085407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1567.5603892111942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0.44679371012525587</v>
      </c>
      <c r="R491" s="1">
        <v>69</v>
      </c>
      <c r="S491" s="1">
        <v>62</v>
      </c>
      <c r="T491" s="1">
        <v>0</v>
      </c>
      <c r="U491" s="16">
        <f>Games[[#This Row],[PointsFor]]-Games[[#This Row],[PointsAgainst]]</f>
        <v>7</v>
      </c>
      <c r="V491" s="16">
        <f>IF(Games[[#This Row],[MOV]]&gt;0,1,IF(Games[[#This Row],[MOV]]=0,0.5,0))</f>
        <v>1</v>
      </c>
      <c r="W491" s="4">
        <f>((ABS(Games[[#This Row],[MOV]])+5)^0.6)/(12+0.01*(ABS(Games[[#This Row],[PreGmRate]]-Games[[#This Row],[OppPreGmRate]])))*IF(Games[[#This Row],[OT]]=1,0.9,1)</f>
        <v>0.33617785553648166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1" s="9">
        <f>MAX(kmin, kmax - 0.15 * MIN(Games[[#This Row],[GamesPlayed]], 82))</f>
        <v>71.349999999999994</v>
      </c>
      <c r="Z491" s="4">
        <f>Games[[#This Row],[K]]*Games[[#This Row],[POMult]]</f>
        <v>71.349999999999994</v>
      </c>
      <c r="AA491" s="4">
        <f>(Games[[#This Row],[Keff]]*Games[[#This Row],[MOVMult]])*(Games[[#This Row],[Result]]-Games[[#This Row],[ExpectedWin%]])</f>
        <v>13.269366494626098</v>
      </c>
      <c r="AB491" s="4">
        <f>Games[[#This Row],[PreGmRate]]+Games[[#This Row],[RatingChange]]</f>
        <v>1459.7177322031669</v>
      </c>
      <c r="AC491" s="2">
        <f>IF(Games[[#This Row],[Type]]="R",IF(Games[[#This Row],[Result]]&gt;0.5,1,0),0)</f>
        <v>1</v>
      </c>
      <c r="AD491" s="2">
        <f>IF(Games[[#This Row],[Type]]="R",IF(Games[[#This Row],[Result]]&lt;0.5,1,0),0)</f>
        <v>0</v>
      </c>
      <c r="AE491" s="2">
        <f>IF(AND(Games[[#This Row],[Type]]="P",Games[[#This Row],[Round]]=1),IF(Games[[#This Row],[Result]]&gt;0.5,1,0),0)</f>
        <v>0</v>
      </c>
      <c r="AF491" s="2">
        <f>IF(AND(Games[[#This Row],[Type]]="P",Games[[#This Row],[Round]]=1),IF(Games[[#This Row],[Result]]&lt;0.5,1,0),0)</f>
        <v>0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37115</v>
      </c>
      <c r="B492" s="2">
        <v>2001</v>
      </c>
      <c r="C492" s="2">
        <f>COUNTIFS(Games[Team],Games[[#This Row],[Team]],Games[Season],Games[[#This Row],[Season]],Games[Date],"&lt;=" &amp; Games[[#This Row],[Date]])</f>
        <v>31</v>
      </c>
      <c r="D492" s="2" t="s">
        <v>23</v>
      </c>
      <c r="E492" s="2" t="s">
        <v>29</v>
      </c>
      <c r="F492" s="1" t="s">
        <v>45</v>
      </c>
      <c r="G492" s="1" t="s">
        <v>89</v>
      </c>
      <c r="H492" s="1" t="s">
        <v>16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2" s="2">
        <f>Games[[#This Row],[DaysOff]]-Games[[#This Row],[OppDaysOff]]</f>
        <v>0</v>
      </c>
      <c r="L492" s="2">
        <f>Games[[#This Row],[OppDaysOff]]-Games[[#This Row],[DaysOff]]</f>
        <v>0</v>
      </c>
      <c r="M492" s="16">
        <f>MAX(-16, MIN(16, Games[[#This Row],[RestDiff]]*8))</f>
        <v>0</v>
      </c>
      <c r="N492" s="16">
        <f>MAX(-16, MIN(16, Games[[#This Row],[OppRestDiff]]*8))</f>
        <v>0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1593.0898262539745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1374.4602942818412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0.6845993159392767</v>
      </c>
      <c r="R492" s="1">
        <v>64</v>
      </c>
      <c r="S492" s="1">
        <v>58</v>
      </c>
      <c r="T492" s="1">
        <v>0</v>
      </c>
      <c r="U492" s="16">
        <f>Games[[#This Row],[PointsFor]]-Games[[#This Row],[PointsAgainst]]</f>
        <v>6</v>
      </c>
      <c r="V492" s="16">
        <f>IF(Games[[#This Row],[MOV]]&gt;0,1,IF(Games[[#This Row],[MOV]]=0,0.5,0))</f>
        <v>1</v>
      </c>
      <c r="W492" s="4">
        <f>((ABS(Games[[#This Row],[MOV]])+5)^0.6)/(12+0.01*(ABS(Games[[#This Row],[PreGmRate]]-Games[[#This Row],[OppPreGmRate]])))*IF(Games[[#This Row],[OT]]=1,0.9,1)</f>
        <v>0.29714376009301241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2" s="9">
        <f>MAX(kmin, kmax - 0.15 * MIN(Games[[#This Row],[GamesPlayed]], 82))</f>
        <v>71.349999999999994</v>
      </c>
      <c r="Z492" s="4">
        <f>Games[[#This Row],[K]]*Games[[#This Row],[POMult]]</f>
        <v>71.349999999999994</v>
      </c>
      <c r="AA492" s="4">
        <f>(Games[[#This Row],[Keff]]*Games[[#This Row],[MOVMult]])*(Games[[#This Row],[Result]]-Games[[#This Row],[ExpectedWin%]])</f>
        <v>6.6868752798567206</v>
      </c>
      <c r="AB492" s="4">
        <f>Games[[#This Row],[PreGmRate]]+Games[[#This Row],[RatingChange]]</f>
        <v>1599.7767015338311</v>
      </c>
      <c r="AC492" s="2">
        <f>IF(Games[[#This Row],[Type]]="R",IF(Games[[#This Row],[Result]]&gt;0.5,1,0),0)</f>
        <v>1</v>
      </c>
      <c r="AD492" s="2">
        <f>IF(Games[[#This Row],[Type]]="R",IF(Games[[#This Row],[Result]]&lt;0.5,1,0),0)</f>
        <v>0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0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37115</v>
      </c>
      <c r="B493" s="2">
        <v>2001</v>
      </c>
      <c r="C493" s="2">
        <f>COUNTIFS(Games[Team],Games[[#This Row],[Team]],Games[Season],Games[[#This Row],[Season]],Games[Date],"&lt;=" &amp; Games[[#This Row],[Date]])</f>
        <v>31</v>
      </c>
      <c r="D493" s="2" t="s">
        <v>23</v>
      </c>
      <c r="E493" s="2" t="s">
        <v>29</v>
      </c>
      <c r="F493" s="1" t="s">
        <v>89</v>
      </c>
      <c r="G493" s="1" t="s">
        <v>45</v>
      </c>
      <c r="H493" s="1" t="s">
        <v>15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3" s="2">
        <f>Games[[#This Row],[DaysOff]]-Games[[#This Row],[OppDaysOff]]</f>
        <v>0</v>
      </c>
      <c r="L493" s="2">
        <f>Games[[#This Row],[OppDaysOff]]-Games[[#This Row],[DaysOff]]</f>
        <v>0</v>
      </c>
      <c r="M493" s="16">
        <f>MAX(-16, MIN(16, Games[[#This Row],[RestDiff]]*8))</f>
        <v>0</v>
      </c>
      <c r="N493" s="16">
        <f>MAX(-16, MIN(16, Games[[#This Row],[OppRestDiff]]*8))</f>
        <v>0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1374.4602942818412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1593.0898262539745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0.31540068406072336</v>
      </c>
      <c r="R493" s="1">
        <v>58</v>
      </c>
      <c r="S493" s="1">
        <v>64</v>
      </c>
      <c r="T493" s="1">
        <v>0</v>
      </c>
      <c r="U493" s="16">
        <f>Games[[#This Row],[PointsFor]]-Games[[#This Row],[PointsAgainst]]</f>
        <v>-6</v>
      </c>
      <c r="V493" s="16">
        <f>IF(Games[[#This Row],[MOV]]&gt;0,1,IF(Games[[#This Row],[MOV]]=0,0.5,0))</f>
        <v>0</v>
      </c>
      <c r="W493" s="4">
        <f>((ABS(Games[[#This Row],[MOV]])+5)^0.6)/(12+0.01*(ABS(Games[[#This Row],[PreGmRate]]-Games[[#This Row],[OppPreGmRate]])))*IF(Games[[#This Row],[OT]]=1,0.9,1)</f>
        <v>0.29714376009301241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3" s="9">
        <f>MAX(kmin, kmax - 0.15 * MIN(Games[[#This Row],[GamesPlayed]], 82))</f>
        <v>71.349999999999994</v>
      </c>
      <c r="Z493" s="4">
        <f>Games[[#This Row],[K]]*Games[[#This Row],[POMult]]</f>
        <v>71.349999999999994</v>
      </c>
      <c r="AA493" s="4">
        <f>(Games[[#This Row],[Keff]]*Games[[#This Row],[MOVMult]])*(Games[[#This Row],[Result]]-Games[[#This Row],[ExpectedWin%]])</f>
        <v>-6.6868752798567215</v>
      </c>
      <c r="AB493" s="4">
        <f>Games[[#This Row],[PreGmRate]]+Games[[#This Row],[RatingChange]]</f>
        <v>1367.7734190019846</v>
      </c>
      <c r="AC493" s="2">
        <f>IF(Games[[#This Row],[Type]]="R",IF(Games[[#This Row],[Result]]&gt;0.5,1,0),0)</f>
        <v>0</v>
      </c>
      <c r="AD493" s="2">
        <f>IF(Games[[#This Row],[Type]]="R",IF(Games[[#This Row],[Result]]&lt;0.5,1,0),0)</f>
        <v>1</v>
      </c>
      <c r="AE493" s="2">
        <f>IF(AND(Games[[#This Row],[Type]]="P",Games[[#This Row],[Round]]=1),IF(Games[[#This Row],[Result]]&gt;0.5,1,0),0)</f>
        <v>0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37115</v>
      </c>
      <c r="B494" s="2">
        <v>2001</v>
      </c>
      <c r="C494" s="2">
        <f>COUNTIFS(Games[Team],Games[[#This Row],[Team]],Games[Season],Games[[#This Row],[Season]],Games[Date],"&lt;=" &amp; Games[[#This Row],[Date]])</f>
        <v>31</v>
      </c>
      <c r="D494" s="2" t="s">
        <v>23</v>
      </c>
      <c r="E494" s="2" t="s">
        <v>29</v>
      </c>
      <c r="F494" s="1" t="s">
        <v>1</v>
      </c>
      <c r="G494" s="1" t="s">
        <v>75</v>
      </c>
      <c r="H494" s="1" t="s">
        <v>16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4" s="2">
        <f>Games[[#This Row],[DaysOff]]-Games[[#This Row],[OppDaysOff]]</f>
        <v>0</v>
      </c>
      <c r="L494" s="2">
        <f>Games[[#This Row],[OppDaysOff]]-Games[[#This Row],[DaysOff]]</f>
        <v>0</v>
      </c>
      <c r="M494" s="16">
        <f>MAX(-16, MIN(16, Games[[#This Row],[RestDiff]]*8))</f>
        <v>0</v>
      </c>
      <c r="N494" s="16">
        <f>MAX(-16, MIN(16, Games[[#This Row],[OppRestDiff]]*8))</f>
        <v>0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1641.4778024739901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1363.9897321612291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0.75283814752014888</v>
      </c>
      <c r="R494" s="1">
        <v>49</v>
      </c>
      <c r="S494" s="1">
        <v>57</v>
      </c>
      <c r="T494" s="1">
        <v>0</v>
      </c>
      <c r="U494" s="16">
        <f>Games[[#This Row],[PointsFor]]-Games[[#This Row],[PointsAgainst]]</f>
        <v>-8</v>
      </c>
      <c r="V494" s="16">
        <f>IF(Games[[#This Row],[MOV]]&gt;0,1,IF(Games[[#This Row],[MOV]]=0,0.5,0))</f>
        <v>0</v>
      </c>
      <c r="W494" s="4">
        <f>((ABS(Games[[#This Row],[MOV]])+5)^0.6)/(12+0.01*(ABS(Games[[#This Row],[PreGmRate]]-Games[[#This Row],[OppPreGmRate]])))*IF(Games[[#This Row],[OT]]=1,0.9,1)</f>
        <v>0.31538572213646787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4" s="9">
        <f>MAX(kmin, kmax - 0.15 * MIN(Games[[#This Row],[GamesPlayed]], 82))</f>
        <v>71.349999999999994</v>
      </c>
      <c r="Z494" s="4">
        <f>Games[[#This Row],[K]]*Games[[#This Row],[POMult]]</f>
        <v>71.349999999999994</v>
      </c>
      <c r="AA494" s="4">
        <f>(Games[[#This Row],[Keff]]*Games[[#This Row],[MOVMult]])*(Games[[#This Row],[Result]]-Games[[#This Row],[ExpectedWin%]])</f>
        <v>-16.940944640316758</v>
      </c>
      <c r="AB494" s="4">
        <f>Games[[#This Row],[PreGmRate]]+Games[[#This Row],[RatingChange]]</f>
        <v>1624.5368578336734</v>
      </c>
      <c r="AC494" s="2">
        <f>IF(Games[[#This Row],[Type]]="R",IF(Games[[#This Row],[Result]]&gt;0.5,1,0),0)</f>
        <v>0</v>
      </c>
      <c r="AD494" s="2">
        <f>IF(Games[[#This Row],[Type]]="R",IF(Games[[#This Row],[Result]]&lt;0.5,1,0),0)</f>
        <v>1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0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37115</v>
      </c>
      <c r="B495" s="2">
        <v>2001</v>
      </c>
      <c r="C495" s="2">
        <f>COUNTIFS(Games[Team],Games[[#This Row],[Team]],Games[Season],Games[[#This Row],[Season]],Games[Date],"&lt;=" &amp; Games[[#This Row],[Date]])</f>
        <v>31</v>
      </c>
      <c r="D495" s="2" t="s">
        <v>23</v>
      </c>
      <c r="E495" s="2" t="s">
        <v>29</v>
      </c>
      <c r="F495" s="1" t="s">
        <v>75</v>
      </c>
      <c r="G495" s="1" t="s">
        <v>1</v>
      </c>
      <c r="H495" s="1" t="s">
        <v>15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5" s="2">
        <f>Games[[#This Row],[DaysOff]]-Games[[#This Row],[OppDaysOff]]</f>
        <v>0</v>
      </c>
      <c r="L495" s="2">
        <f>Games[[#This Row],[OppDaysOff]]-Games[[#This Row],[DaysOff]]</f>
        <v>0</v>
      </c>
      <c r="M495" s="16">
        <f>MAX(-16, MIN(16, Games[[#This Row],[RestDiff]]*8))</f>
        <v>0</v>
      </c>
      <c r="N495" s="16">
        <f>MAX(-16, MIN(16, Games[[#This Row],[OppRestDiff]]*8))</f>
        <v>0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1363.9897321612291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1641.4778024739901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0.24716185247985112</v>
      </c>
      <c r="R495" s="1">
        <v>57</v>
      </c>
      <c r="S495" s="1">
        <v>49</v>
      </c>
      <c r="T495" s="1">
        <v>0</v>
      </c>
      <c r="U495" s="16">
        <f>Games[[#This Row],[PointsFor]]-Games[[#This Row],[PointsAgainst]]</f>
        <v>8</v>
      </c>
      <c r="V495" s="16">
        <f>IF(Games[[#This Row],[MOV]]&gt;0,1,IF(Games[[#This Row],[MOV]]=0,0.5,0))</f>
        <v>1</v>
      </c>
      <c r="W495" s="4">
        <f>((ABS(Games[[#This Row],[MOV]])+5)^0.6)/(12+0.01*(ABS(Games[[#This Row],[PreGmRate]]-Games[[#This Row],[OppPreGmRate]])))*IF(Games[[#This Row],[OT]]=1,0.9,1)</f>
        <v>0.31538572213646787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5" s="9">
        <f>MAX(kmin, kmax - 0.15 * MIN(Games[[#This Row],[GamesPlayed]], 82))</f>
        <v>71.349999999999994</v>
      </c>
      <c r="Z495" s="4">
        <f>Games[[#This Row],[K]]*Games[[#This Row],[POMult]]</f>
        <v>71.349999999999994</v>
      </c>
      <c r="AA495" s="4">
        <f>(Games[[#This Row],[Keff]]*Games[[#This Row],[MOVMult]])*(Games[[#This Row],[Result]]-Games[[#This Row],[ExpectedWin%]])</f>
        <v>16.940944640316758</v>
      </c>
      <c r="AB495" s="4">
        <f>Games[[#This Row],[PreGmRate]]+Games[[#This Row],[RatingChange]]</f>
        <v>1380.9306768015458</v>
      </c>
      <c r="AC495" s="2">
        <f>IF(Games[[#This Row],[Type]]="R",IF(Games[[#This Row],[Result]]&gt;0.5,1,0),0)</f>
        <v>1</v>
      </c>
      <c r="AD495" s="2">
        <f>IF(Games[[#This Row],[Type]]="R",IF(Games[[#This Row],[Result]]&lt;0.5,1,0),0)</f>
        <v>0</v>
      </c>
      <c r="AE495" s="2">
        <f>IF(AND(Games[[#This Row],[Type]]="P",Games[[#This Row],[Round]]=1),IF(Games[[#This Row],[Result]]&gt;0.5,1,0),0)</f>
        <v>0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37116</v>
      </c>
      <c r="B496" s="2">
        <v>2001</v>
      </c>
      <c r="C496" s="2">
        <f>COUNTIFS(Games[Team],Games[[#This Row],[Team]],Games[Season],Games[[#This Row],[Season]],Games[Date],"&lt;=" &amp; Games[[#This Row],[Date]])</f>
        <v>32</v>
      </c>
      <c r="D496" s="2" t="s">
        <v>23</v>
      </c>
      <c r="E496" s="2" t="s">
        <v>29</v>
      </c>
      <c r="F496" s="1" t="s">
        <v>80</v>
      </c>
      <c r="G496" s="1" t="s">
        <v>2</v>
      </c>
      <c r="H496" s="1" t="s">
        <v>16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6" s="2">
        <f>Games[[#This Row],[DaysOff]]-Games[[#This Row],[OppDaysOff]]</f>
        <v>-1</v>
      </c>
      <c r="L496" s="2">
        <f>Games[[#This Row],[OppDaysOff]]-Games[[#This Row],[DaysOff]]</f>
        <v>1</v>
      </c>
      <c r="M496" s="16">
        <f>MAX(-16, MIN(16, Games[[#This Row],[RestDiff]]*8))</f>
        <v>-8</v>
      </c>
      <c r="N496" s="16">
        <f>MAX(-16, MIN(16, Games[[#This Row],[OppRestDiff]]*8))</f>
        <v>8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1459.7177322031669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1579.6106219525011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0.21997617398335023</v>
      </c>
      <c r="R496" s="1">
        <v>60</v>
      </c>
      <c r="S496" s="1">
        <v>74</v>
      </c>
      <c r="T496" s="1">
        <v>0</v>
      </c>
      <c r="U496" s="16">
        <f>Games[[#This Row],[PointsFor]]-Games[[#This Row],[PointsAgainst]]</f>
        <v>-14</v>
      </c>
      <c r="V496" s="16">
        <f>IF(Games[[#This Row],[MOV]]&gt;0,1,IF(Games[[#This Row],[MOV]]=0,0.5,0))</f>
        <v>0</v>
      </c>
      <c r="W496" s="4">
        <f>((ABS(Games[[#This Row],[MOV]])+5)^0.6)/(12+0.01*(ABS(Games[[#This Row],[PreGmRate]]-Games[[#This Row],[OppPreGmRate]])))*IF(Games[[#This Row],[OT]]=1,0.9,1)</f>
        <v>0.44331606661813722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6" s="9">
        <f>MAX(kmin, kmax - 0.15 * MIN(Games[[#This Row],[GamesPlayed]], 82))</f>
        <v>71.2</v>
      </c>
      <c r="Z496" s="4">
        <f>Games[[#This Row],[K]]*Games[[#This Row],[POMult]]</f>
        <v>71.2</v>
      </c>
      <c r="AA496" s="4">
        <f>(Games[[#This Row],[Keff]]*Games[[#This Row],[MOVMult]])*(Games[[#This Row],[Result]]-Games[[#This Row],[ExpectedWin%]])</f>
        <v>-6.9433508206404158</v>
      </c>
      <c r="AB496" s="4">
        <f>Games[[#This Row],[PreGmRate]]+Games[[#This Row],[RatingChange]]</f>
        <v>1452.7743813825264</v>
      </c>
      <c r="AC496" s="2">
        <f>IF(Games[[#This Row],[Type]]="R",IF(Games[[#This Row],[Result]]&gt;0.5,1,0),0)</f>
        <v>0</v>
      </c>
      <c r="AD496" s="2">
        <f>IF(Games[[#This Row],[Type]]="R",IF(Games[[#This Row],[Result]]&lt;0.5,1,0),0)</f>
        <v>1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0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37116</v>
      </c>
      <c r="B497" s="2">
        <v>2001</v>
      </c>
      <c r="C497" s="2">
        <f>COUNTIFS(Games[Team],Games[[#This Row],[Team]],Games[Season],Games[[#This Row],[Season]],Games[Date],"&lt;=" &amp; Games[[#This Row],[Date]])</f>
        <v>31</v>
      </c>
      <c r="D497" s="2" t="s">
        <v>23</v>
      </c>
      <c r="E497" s="2" t="s">
        <v>29</v>
      </c>
      <c r="F497" s="1" t="s">
        <v>2</v>
      </c>
      <c r="G497" s="1" t="s">
        <v>80</v>
      </c>
      <c r="H497" s="1" t="s">
        <v>15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7" s="2">
        <f>Games[[#This Row],[DaysOff]]-Games[[#This Row],[OppDaysOff]]</f>
        <v>1</v>
      </c>
      <c r="L497" s="2">
        <f>Games[[#This Row],[OppDaysOff]]-Games[[#This Row],[DaysOff]]</f>
        <v>-1</v>
      </c>
      <c r="M497" s="16">
        <f>MAX(-16, MIN(16, Games[[#This Row],[RestDiff]]*8))</f>
        <v>8</v>
      </c>
      <c r="N497" s="16">
        <f>MAX(-16, MIN(16, Games[[#This Row],[OppRestDiff]]*8))</f>
        <v>-8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1579.6106219525011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1459.7177322031669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0.78002382601664977</v>
      </c>
      <c r="R497" s="1">
        <v>74</v>
      </c>
      <c r="S497" s="1">
        <v>60</v>
      </c>
      <c r="T497" s="1">
        <v>0</v>
      </c>
      <c r="U497" s="16">
        <f>Games[[#This Row],[PointsFor]]-Games[[#This Row],[PointsAgainst]]</f>
        <v>14</v>
      </c>
      <c r="V497" s="16">
        <f>IF(Games[[#This Row],[MOV]]&gt;0,1,IF(Games[[#This Row],[MOV]]=0,0.5,0))</f>
        <v>1</v>
      </c>
      <c r="W497" s="4">
        <f>((ABS(Games[[#This Row],[MOV]])+5)^0.6)/(12+0.01*(ABS(Games[[#This Row],[PreGmRate]]-Games[[#This Row],[OppPreGmRate]])))*IF(Games[[#This Row],[OT]]=1,0.9,1)</f>
        <v>0.44331606661813722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7" s="9">
        <f>MAX(kmin, kmax - 0.15 * MIN(Games[[#This Row],[GamesPlayed]], 82))</f>
        <v>71.349999999999994</v>
      </c>
      <c r="Z497" s="4">
        <f>Games[[#This Row],[K]]*Games[[#This Row],[POMult]]</f>
        <v>71.349999999999994</v>
      </c>
      <c r="AA497" s="4">
        <f>(Games[[#This Row],[Keff]]*Games[[#This Row],[MOVMult]])*(Games[[#This Row],[Result]]-Games[[#This Row],[ExpectedWin%]])</f>
        <v>6.9579786664704155</v>
      </c>
      <c r="AB497" s="4">
        <f>Games[[#This Row],[PreGmRate]]+Games[[#This Row],[RatingChange]]</f>
        <v>1586.5686006189715</v>
      </c>
      <c r="AC497" s="2">
        <f>IF(Games[[#This Row],[Type]]="R",IF(Games[[#This Row],[Result]]&gt;0.5,1,0),0)</f>
        <v>1</v>
      </c>
      <c r="AD497" s="2">
        <f>IF(Games[[#This Row],[Type]]="R",IF(Games[[#This Row],[Result]]&lt;0.5,1,0),0)</f>
        <v>0</v>
      </c>
      <c r="AE497" s="2">
        <f>IF(AND(Games[[#This Row],[Type]]="P",Games[[#This Row],[Round]]=1),IF(Games[[#This Row],[Result]]&gt;0.5,1,0),0)</f>
        <v>0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37116</v>
      </c>
      <c r="B498" s="2">
        <v>2001</v>
      </c>
      <c r="C498" s="2">
        <f>COUNTIFS(Games[Team],Games[[#This Row],[Team]],Games[Season],Games[[#This Row],[Season]],Games[Date],"&lt;=" &amp; Games[[#This Row],[Date]])</f>
        <v>31</v>
      </c>
      <c r="D498" s="2" t="s">
        <v>23</v>
      </c>
      <c r="E498" s="2" t="s">
        <v>29</v>
      </c>
      <c r="F498" s="1" t="s">
        <v>71</v>
      </c>
      <c r="G498" s="1" t="s">
        <v>43</v>
      </c>
      <c r="H498" s="1" t="s">
        <v>16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8" s="2">
        <f>Games[[#This Row],[DaysOff]]-Games[[#This Row],[OppDaysOff]]</f>
        <v>1</v>
      </c>
      <c r="L498" s="2">
        <f>Games[[#This Row],[OppDaysOff]]-Games[[#This Row],[DaysOff]]</f>
        <v>-1</v>
      </c>
      <c r="M498" s="16">
        <f>MAX(-16, MIN(16, Games[[#This Row],[RestDiff]]*8))</f>
        <v>8</v>
      </c>
      <c r="N498" s="16">
        <f>MAX(-16, MIN(16, Games[[#This Row],[OppRestDiff]]*8))</f>
        <v>-8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1743.0690072883549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1554.291022716568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0.66713467694553585</v>
      </c>
      <c r="R498" s="1">
        <v>78</v>
      </c>
      <c r="S498" s="1">
        <v>80</v>
      </c>
      <c r="T498" s="1">
        <v>1</v>
      </c>
      <c r="U498" s="16">
        <f>Games[[#This Row],[PointsFor]]-Games[[#This Row],[PointsAgainst]]</f>
        <v>-2</v>
      </c>
      <c r="V498" s="16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0.20829004325240366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8" s="9">
        <f>MAX(kmin, kmax - 0.15 * MIN(Games[[#This Row],[GamesPlayed]], 82))</f>
        <v>71.349999999999994</v>
      </c>
      <c r="Z498" s="4">
        <f>Games[[#This Row],[K]]*Games[[#This Row],[POMult]]</f>
        <v>71.349999999999994</v>
      </c>
      <c r="AA498" s="4">
        <f>(Games[[#This Row],[Keff]]*Games[[#This Row],[MOVMult]])*(Games[[#This Row],[Result]]-Games[[#This Row],[ExpectedWin%]])</f>
        <v>-9.9146183895983011</v>
      </c>
      <c r="AB498" s="4">
        <f>Games[[#This Row],[PreGmRate]]+Games[[#This Row],[RatingChange]]</f>
        <v>1733.1543888987567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1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0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37116</v>
      </c>
      <c r="B499" s="2">
        <v>2001</v>
      </c>
      <c r="C499" s="2">
        <f>COUNTIFS(Games[Team],Games[[#This Row],[Team]],Games[Season],Games[[#This Row],[Season]],Games[Date],"&lt;=" &amp; Games[[#This Row],[Date]])</f>
        <v>32</v>
      </c>
      <c r="D499" s="2" t="s">
        <v>23</v>
      </c>
      <c r="E499" s="2" t="s">
        <v>29</v>
      </c>
      <c r="F499" s="1" t="s">
        <v>43</v>
      </c>
      <c r="G499" s="1" t="s">
        <v>71</v>
      </c>
      <c r="H499" s="1" t="s">
        <v>15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9" s="2">
        <f>Games[[#This Row],[DaysOff]]-Games[[#This Row],[OppDaysOff]]</f>
        <v>-1</v>
      </c>
      <c r="L499" s="2">
        <f>Games[[#This Row],[OppDaysOff]]-Games[[#This Row],[DaysOff]]</f>
        <v>1</v>
      </c>
      <c r="M499" s="16">
        <f>MAX(-16, MIN(16, Games[[#This Row],[RestDiff]]*8))</f>
        <v>-8</v>
      </c>
      <c r="N499" s="16">
        <f>MAX(-16, MIN(16, Games[[#This Row],[OppRestDiff]]*8))</f>
        <v>8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1554.291022716568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1743.0690072883549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0.33286532305446415</v>
      </c>
      <c r="R499" s="1">
        <v>80</v>
      </c>
      <c r="S499" s="1">
        <v>78</v>
      </c>
      <c r="T499" s="1">
        <v>1</v>
      </c>
      <c r="U499" s="16">
        <f>Games[[#This Row],[PointsFor]]-Games[[#This Row],[PointsAgainst]]</f>
        <v>2</v>
      </c>
      <c r="V499" s="16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0.20829004325240366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9" s="9">
        <f>MAX(kmin, kmax - 0.15 * MIN(Games[[#This Row],[GamesPlayed]], 82))</f>
        <v>71.2</v>
      </c>
      <c r="Z499" s="4">
        <f>Games[[#This Row],[K]]*Games[[#This Row],[POMult]]</f>
        <v>71.2</v>
      </c>
      <c r="AA499" s="4">
        <f>(Games[[#This Row],[Keff]]*Games[[#This Row],[MOVMult]])*(Games[[#This Row],[Result]]-Games[[#This Row],[ExpectedWin%]])</f>
        <v>9.8937747629908781</v>
      </c>
      <c r="AB499" s="4">
        <f>Games[[#This Row],[PreGmRate]]+Games[[#This Row],[RatingChange]]</f>
        <v>1564.1847974795589</v>
      </c>
      <c r="AC499" s="2">
        <f>IF(Games[[#This Row],[Type]]="R",IF(Games[[#This Row],[Result]]&gt;0.5,1,0),0)</f>
        <v>1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0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37117</v>
      </c>
      <c r="B500" s="2">
        <v>2001</v>
      </c>
      <c r="C500" s="2">
        <f>COUNTIFS(Games[Team],Games[[#This Row],[Team]],Games[Season],Games[[#This Row],[Season]],Games[Date],"&lt;=" &amp; Games[[#This Row],[Date]])</f>
        <v>32</v>
      </c>
      <c r="D500" s="2" t="s">
        <v>23</v>
      </c>
      <c r="E500" s="2" t="s">
        <v>29</v>
      </c>
      <c r="F500" s="1" t="s">
        <v>1</v>
      </c>
      <c r="G500" s="1" t="s">
        <v>77</v>
      </c>
      <c r="H500" s="1" t="s">
        <v>16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0" s="2">
        <f>Games[[#This Row],[DaysOff]]-Games[[#This Row],[OppDaysOff]]</f>
        <v>0</v>
      </c>
      <c r="L500" s="2">
        <f>Games[[#This Row],[OppDaysOff]]-Games[[#This Row],[DaysOff]]</f>
        <v>0</v>
      </c>
      <c r="M500" s="16">
        <f>MAX(-16, MIN(16, Games[[#This Row],[RestDiff]]*8))</f>
        <v>0</v>
      </c>
      <c r="N500" s="16">
        <f>MAX(-16, MIN(16, Games[[#This Row],[OppRestDiff]]*8))</f>
        <v>0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1624.5368578336734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1357.228975628984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0.7417731473151965</v>
      </c>
      <c r="R500" s="1">
        <v>65</v>
      </c>
      <c r="S500" s="1">
        <v>76</v>
      </c>
      <c r="T500" s="1">
        <v>0</v>
      </c>
      <c r="U500" s="16">
        <f>Games[[#This Row],[PointsFor]]-Games[[#This Row],[PointsAgainst]]</f>
        <v>-11</v>
      </c>
      <c r="V500" s="16">
        <f>IF(Games[[#This Row],[MOV]]&gt;0,1,IF(Games[[#This Row],[MOV]]=0,0.5,0))</f>
        <v>0</v>
      </c>
      <c r="W500" s="4">
        <f>((ABS(Games[[#This Row],[MOV]])+5)^0.6)/(12+0.01*(ABS(Games[[#This Row],[PreGmRate]]-Games[[#This Row],[OppPreGmRate]])))*IF(Games[[#This Row],[OT]]=1,0.9,1)</f>
        <v>0.35970853200632447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0" s="9">
        <f>MAX(kmin, kmax - 0.15 * MIN(Games[[#This Row],[GamesPlayed]], 82))</f>
        <v>71.2</v>
      </c>
      <c r="Z500" s="4">
        <f>Games[[#This Row],[K]]*Games[[#This Row],[POMult]]</f>
        <v>71.2</v>
      </c>
      <c r="AA500" s="4">
        <f>(Games[[#This Row],[Keff]]*Games[[#This Row],[MOVMult]])*(Games[[#This Row],[Result]]-Games[[#This Row],[ExpectedWin%]])</f>
        <v>-18.99773564905518</v>
      </c>
      <c r="AB500" s="4">
        <f>Games[[#This Row],[PreGmRate]]+Games[[#This Row],[RatingChange]]</f>
        <v>1605.5391221846182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1</v>
      </c>
      <c r="AE500" s="2">
        <f>IF(AND(Games[[#This Row],[Type]]="P",Games[[#This Row],[Round]]=1),IF(Games[[#This Row],[Result]]&gt;0.5,1,0),0)</f>
        <v>0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0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37117</v>
      </c>
      <c r="B501" s="2">
        <v>2001</v>
      </c>
      <c r="C501" s="2">
        <f>COUNTIFS(Games[Team],Games[[#This Row],[Team]],Games[Season],Games[[#This Row],[Season]],Games[Date],"&lt;=" &amp; Games[[#This Row],[Date]])</f>
        <v>32</v>
      </c>
      <c r="D501" s="2" t="s">
        <v>23</v>
      </c>
      <c r="E501" s="2" t="s">
        <v>29</v>
      </c>
      <c r="F501" s="1" t="s">
        <v>77</v>
      </c>
      <c r="G501" s="1" t="s">
        <v>1</v>
      </c>
      <c r="H501" s="1" t="s">
        <v>15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1" s="2">
        <f>Games[[#This Row],[DaysOff]]-Games[[#This Row],[OppDaysOff]]</f>
        <v>0</v>
      </c>
      <c r="L501" s="2">
        <f>Games[[#This Row],[OppDaysOff]]-Games[[#This Row],[DaysOff]]</f>
        <v>0</v>
      </c>
      <c r="M501" s="16">
        <f>MAX(-16, MIN(16, Games[[#This Row],[RestDiff]]*8))</f>
        <v>0</v>
      </c>
      <c r="N501" s="16">
        <f>MAX(-16, MIN(16, Games[[#This Row],[OppRestDiff]]*8))</f>
        <v>0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1357.228975628984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1624.5368578336734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0.25822685268480355</v>
      </c>
      <c r="R501" s="1">
        <v>76</v>
      </c>
      <c r="S501" s="1">
        <v>65</v>
      </c>
      <c r="T501" s="1">
        <v>0</v>
      </c>
      <c r="U501" s="16">
        <f>Games[[#This Row],[PointsFor]]-Games[[#This Row],[PointsAgainst]]</f>
        <v>11</v>
      </c>
      <c r="V501" s="16">
        <f>IF(Games[[#This Row],[MOV]]&gt;0,1,IF(Games[[#This Row],[MOV]]=0,0.5,0))</f>
        <v>1</v>
      </c>
      <c r="W501" s="4">
        <f>((ABS(Games[[#This Row],[MOV]])+5)^0.6)/(12+0.01*(ABS(Games[[#This Row],[PreGmRate]]-Games[[#This Row],[OppPreGmRate]])))*IF(Games[[#This Row],[OT]]=1,0.9,1)</f>
        <v>0.35970853200632447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1" s="9">
        <f>MAX(kmin, kmax - 0.15 * MIN(Games[[#This Row],[GamesPlayed]], 82))</f>
        <v>71.2</v>
      </c>
      <c r="Z501" s="4">
        <f>Games[[#This Row],[K]]*Games[[#This Row],[POMult]]</f>
        <v>71.2</v>
      </c>
      <c r="AA501" s="4">
        <f>(Games[[#This Row],[Keff]]*Games[[#This Row],[MOVMult]])*(Games[[#This Row],[Result]]-Games[[#This Row],[ExpectedWin%]])</f>
        <v>18.99773564905518</v>
      </c>
      <c r="AB501" s="4">
        <f>Games[[#This Row],[PreGmRate]]+Games[[#This Row],[RatingChange]]</f>
        <v>1376.2267112780391</v>
      </c>
      <c r="AC501" s="2">
        <f>IF(Games[[#This Row],[Type]]="R",IF(Games[[#This Row],[Result]]&gt;0.5,1,0),0)</f>
        <v>1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0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0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37117</v>
      </c>
      <c r="B502" s="2">
        <v>2001</v>
      </c>
      <c r="C502" s="2">
        <f>COUNTIFS(Games[Team],Games[[#This Row],[Team]],Games[Season],Games[[#This Row],[Season]],Games[Date],"&lt;=" &amp; Games[[#This Row],[Date]])</f>
        <v>32</v>
      </c>
      <c r="D502" s="2" t="s">
        <v>23</v>
      </c>
      <c r="E502" s="2" t="s">
        <v>29</v>
      </c>
      <c r="F502" s="1" t="s">
        <v>64</v>
      </c>
      <c r="G502" s="1" t="s">
        <v>83</v>
      </c>
      <c r="H502" s="1" t="s">
        <v>16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2" s="2">
        <f>Games[[#This Row],[DaysOff]]-Games[[#This Row],[OppDaysOff]]</f>
        <v>0</v>
      </c>
      <c r="L502" s="2">
        <f>Games[[#This Row],[OppDaysOff]]-Games[[#This Row],[DaysOff]]</f>
        <v>0</v>
      </c>
      <c r="M502" s="16">
        <f>MAX(-16, MIN(16, Games[[#This Row],[RestDiff]]*8))</f>
        <v>0</v>
      </c>
      <c r="N502" s="16">
        <f>MAX(-16, MIN(16, Games[[#This Row],[OppRestDiff]]*8))</f>
        <v>0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1530.9843525522515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1578.6291617831703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0.3191222669788904</v>
      </c>
      <c r="R502" s="1">
        <v>48</v>
      </c>
      <c r="S502" s="1">
        <v>41</v>
      </c>
      <c r="T502" s="1">
        <v>0</v>
      </c>
      <c r="U502" s="16">
        <f>Games[[#This Row],[PointsFor]]-Games[[#This Row],[PointsAgainst]]</f>
        <v>7</v>
      </c>
      <c r="V502" s="16">
        <f>IF(Games[[#This Row],[MOV]]&gt;0,1,IF(Games[[#This Row],[MOV]]=0,0.5,0))</f>
        <v>1</v>
      </c>
      <c r="W502" s="4">
        <f>((ABS(Games[[#This Row],[MOV]])+5)^0.6)/(12+0.01*(ABS(Games[[#This Row],[PreGmRate]]-Games[[#This Row],[OppPreGmRate]])))*IF(Games[[#This Row],[OT]]=1,0.9,1)</f>
        <v>0.35597359416608049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2" s="9">
        <f>MAX(kmin, kmax - 0.15 * MIN(Games[[#This Row],[GamesPlayed]], 82))</f>
        <v>71.2</v>
      </c>
      <c r="Z502" s="4">
        <f>Games[[#This Row],[K]]*Games[[#This Row],[POMult]]</f>
        <v>71.2</v>
      </c>
      <c r="AA502" s="4">
        <f>(Games[[#This Row],[Keff]]*Games[[#This Row],[MOVMult]])*(Games[[#This Row],[Result]]-Games[[#This Row],[ExpectedWin%]])</f>
        <v>17.257063959355829</v>
      </c>
      <c r="AB502" s="4">
        <f>Games[[#This Row],[PreGmRate]]+Games[[#This Row],[RatingChange]]</f>
        <v>1548.2414165116072</v>
      </c>
      <c r="AC502" s="2">
        <f>IF(Games[[#This Row],[Type]]="R",IF(Games[[#This Row],[Result]]&gt;0.5,1,0),0)</f>
        <v>1</v>
      </c>
      <c r="AD502" s="2">
        <f>IF(Games[[#This Row],[Type]]="R",IF(Games[[#This Row],[Result]]&lt;0.5,1,0),0)</f>
        <v>0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0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37117</v>
      </c>
      <c r="B503" s="2">
        <v>2001</v>
      </c>
      <c r="C503" s="2">
        <f>COUNTIFS(Games[Team],Games[[#This Row],[Team]],Games[Season],Games[[#This Row],[Season]],Games[Date],"&lt;=" &amp; Games[[#This Row],[Date]])</f>
        <v>32</v>
      </c>
      <c r="D503" s="2" t="s">
        <v>23</v>
      </c>
      <c r="E503" s="2" t="s">
        <v>29</v>
      </c>
      <c r="F503" s="1" t="s">
        <v>83</v>
      </c>
      <c r="G503" s="1" t="s">
        <v>64</v>
      </c>
      <c r="H503" s="1" t="s">
        <v>15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3" s="2">
        <f>Games[[#This Row],[DaysOff]]-Games[[#This Row],[OppDaysOff]]</f>
        <v>0</v>
      </c>
      <c r="L503" s="2">
        <f>Games[[#This Row],[OppDaysOff]]-Games[[#This Row],[DaysOff]]</f>
        <v>0</v>
      </c>
      <c r="M503" s="16">
        <f>MAX(-16, MIN(16, Games[[#This Row],[RestDiff]]*8))</f>
        <v>0</v>
      </c>
      <c r="N503" s="16">
        <f>MAX(-16, MIN(16, Games[[#This Row],[OppRestDiff]]*8))</f>
        <v>0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1578.6291617831703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1530.9843525522515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0.68087773302110954</v>
      </c>
      <c r="R503" s="1">
        <v>41</v>
      </c>
      <c r="S503" s="1">
        <v>48</v>
      </c>
      <c r="T503" s="1">
        <v>0</v>
      </c>
      <c r="U503" s="16">
        <f>Games[[#This Row],[PointsFor]]-Games[[#This Row],[PointsAgainst]]</f>
        <v>-7</v>
      </c>
      <c r="V503" s="16">
        <f>IF(Games[[#This Row],[MOV]]&gt;0,1,IF(Games[[#This Row],[MOV]]=0,0.5,0))</f>
        <v>0</v>
      </c>
      <c r="W503" s="4">
        <f>((ABS(Games[[#This Row],[MOV]])+5)^0.6)/(12+0.01*(ABS(Games[[#This Row],[PreGmRate]]-Games[[#This Row],[OppPreGmRate]])))*IF(Games[[#This Row],[OT]]=1,0.9,1)</f>
        <v>0.35597359416608049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3" s="9">
        <f>MAX(kmin, kmax - 0.15 * MIN(Games[[#This Row],[GamesPlayed]], 82))</f>
        <v>71.2</v>
      </c>
      <c r="Z503" s="4">
        <f>Games[[#This Row],[K]]*Games[[#This Row],[POMult]]</f>
        <v>71.2</v>
      </c>
      <c r="AA503" s="4">
        <f>(Games[[#This Row],[Keff]]*Games[[#This Row],[MOVMult]])*(Games[[#This Row],[Result]]-Games[[#This Row],[ExpectedWin%]])</f>
        <v>-17.257063959355829</v>
      </c>
      <c r="AB503" s="4">
        <f>Games[[#This Row],[PreGmRate]]+Games[[#This Row],[RatingChange]]</f>
        <v>1561.3720978238146</v>
      </c>
      <c r="AC503" s="2">
        <f>IF(Games[[#This Row],[Type]]="R",IF(Games[[#This Row],[Result]]&gt;0.5,1,0),0)</f>
        <v>0</v>
      </c>
      <c r="AD503" s="2">
        <f>IF(Games[[#This Row],[Type]]="R",IF(Games[[#This Row],[Result]]&lt;0.5,1,0),0)</f>
        <v>1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0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37117</v>
      </c>
      <c r="B504" s="2">
        <v>2001</v>
      </c>
      <c r="C504" s="2">
        <f>COUNTIFS(Games[Team],Games[[#This Row],[Team]],Games[Season],Games[[#This Row],[Season]],Games[Date],"&lt;=" &amp; Games[[#This Row],[Date]])</f>
        <v>32</v>
      </c>
      <c r="D504" s="2" t="s">
        <v>23</v>
      </c>
      <c r="E504" s="2" t="s">
        <v>29</v>
      </c>
      <c r="F504" s="1" t="s">
        <v>75</v>
      </c>
      <c r="G504" s="1" t="s">
        <v>66</v>
      </c>
      <c r="H504" s="1" t="s">
        <v>16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4" s="2">
        <f>Games[[#This Row],[DaysOff]]-Games[[#This Row],[OppDaysOff]]</f>
        <v>-1</v>
      </c>
      <c r="L504" s="2">
        <f>Games[[#This Row],[OppDaysOff]]-Games[[#This Row],[DaysOff]]</f>
        <v>1</v>
      </c>
      <c r="M504" s="16">
        <f>MAX(-16, MIN(16, Games[[#This Row],[RestDiff]]*8))</f>
        <v>-8</v>
      </c>
      <c r="N504" s="16">
        <f>MAX(-16, MIN(16, Games[[#This Row],[OppRestDiff]]*8))</f>
        <v>8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1380.9306768015458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1563.0858848273595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0.16462426094816357</v>
      </c>
      <c r="R504" s="1">
        <v>56</v>
      </c>
      <c r="S504" s="1">
        <v>71</v>
      </c>
      <c r="T504" s="1">
        <v>0</v>
      </c>
      <c r="U504" s="16">
        <f>Games[[#This Row],[PointsFor]]-Games[[#This Row],[PointsAgainst]]</f>
        <v>-15</v>
      </c>
      <c r="V504" s="16">
        <f>IF(Games[[#This Row],[MOV]]&gt;0,1,IF(Games[[#This Row],[MOV]]=0,0.5,0))</f>
        <v>0</v>
      </c>
      <c r="W504" s="4">
        <f>((ABS(Games[[#This Row],[MOV]])+5)^0.6)/(12+0.01*(ABS(Games[[#This Row],[PreGmRate]]-Games[[#This Row],[OppPreGmRate]])))*IF(Games[[#This Row],[OT]]=1,0.9,1)</f>
        <v>0.43657733237962559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4" s="9">
        <f>MAX(kmin, kmax - 0.15 * MIN(Games[[#This Row],[GamesPlayed]], 82))</f>
        <v>71.2</v>
      </c>
      <c r="Z504" s="4">
        <f>Games[[#This Row],[K]]*Games[[#This Row],[POMult]]</f>
        <v>71.2</v>
      </c>
      <c r="AA504" s="4">
        <f>(Games[[#This Row],[Keff]]*Games[[#This Row],[MOVMult]])*(Games[[#This Row],[Result]]-Games[[#This Row],[ExpectedWin%]])</f>
        <v>-5.1172309131078233</v>
      </c>
      <c r="AB504" s="4">
        <f>Games[[#This Row],[PreGmRate]]+Games[[#This Row],[RatingChange]]</f>
        <v>1375.8134458884381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1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0</v>
      </c>
      <c r="AH504" s="2">
        <f>IF(AND(Games[[#This Row],[Type]]="P",Games[[#This Row],[Round]]=2),IF(Games[[#This Row],[Result]]&lt;0.5,1,0),0)</f>
        <v>0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37117</v>
      </c>
      <c r="B505" s="2">
        <v>2001</v>
      </c>
      <c r="C505" s="2">
        <f>COUNTIFS(Games[Team],Games[[#This Row],[Team]],Games[Season],Games[[#This Row],[Season]],Games[Date],"&lt;=" &amp; Games[[#This Row],[Date]])</f>
        <v>32</v>
      </c>
      <c r="D505" s="2" t="s">
        <v>23</v>
      </c>
      <c r="E505" s="2" t="s">
        <v>29</v>
      </c>
      <c r="F505" s="1" t="s">
        <v>66</v>
      </c>
      <c r="G505" s="1" t="s">
        <v>75</v>
      </c>
      <c r="H505" s="1" t="s">
        <v>15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5" s="2">
        <f>Games[[#This Row],[DaysOff]]-Games[[#This Row],[OppDaysOff]]</f>
        <v>1</v>
      </c>
      <c r="L505" s="2">
        <f>Games[[#This Row],[OppDaysOff]]-Games[[#This Row],[DaysOff]]</f>
        <v>-1</v>
      </c>
      <c r="M505" s="16">
        <f>MAX(-16, MIN(16, Games[[#This Row],[RestDiff]]*8))</f>
        <v>8</v>
      </c>
      <c r="N505" s="16">
        <f>MAX(-16, MIN(16, Games[[#This Row],[OppRestDiff]]*8))</f>
        <v>-8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1563.0858848273595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1380.9306768015458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0.83537573905183649</v>
      </c>
      <c r="R505" s="1">
        <v>71</v>
      </c>
      <c r="S505" s="1">
        <v>56</v>
      </c>
      <c r="T505" s="1">
        <v>0</v>
      </c>
      <c r="U505" s="16">
        <f>Games[[#This Row],[PointsFor]]-Games[[#This Row],[PointsAgainst]]</f>
        <v>15</v>
      </c>
      <c r="V505" s="16">
        <f>IF(Games[[#This Row],[MOV]]&gt;0,1,IF(Games[[#This Row],[MOV]]=0,0.5,0))</f>
        <v>1</v>
      </c>
      <c r="W505" s="4">
        <f>((ABS(Games[[#This Row],[MOV]])+5)^0.6)/(12+0.01*(ABS(Games[[#This Row],[PreGmRate]]-Games[[#This Row],[OppPreGmRate]])))*IF(Games[[#This Row],[OT]]=1,0.9,1)</f>
        <v>0.43657733237962559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5" s="9">
        <f>MAX(kmin, kmax - 0.15 * MIN(Games[[#This Row],[GamesPlayed]], 82))</f>
        <v>71.2</v>
      </c>
      <c r="Z505" s="4">
        <f>Games[[#This Row],[K]]*Games[[#This Row],[POMult]]</f>
        <v>71.2</v>
      </c>
      <c r="AA505" s="4">
        <f>(Games[[#This Row],[Keff]]*Games[[#This Row],[MOVMult]])*(Games[[#This Row],[Result]]-Games[[#This Row],[ExpectedWin%]])</f>
        <v>5.1172309131078215</v>
      </c>
      <c r="AB505" s="4">
        <f>Games[[#This Row],[PreGmRate]]+Games[[#This Row],[RatingChange]]</f>
        <v>1568.2031157404672</v>
      </c>
      <c r="AC505" s="2">
        <f>IF(Games[[#This Row],[Type]]="R",IF(Games[[#This Row],[Result]]&gt;0.5,1,0),0)</f>
        <v>1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0</v>
      </c>
      <c r="AH505" s="2">
        <f>IF(AND(Games[[#This Row],[Type]]="P",Games[[#This Row],[Round]]=2),IF(Games[[#This Row],[Result]]&lt;0.5,1,0),0)</f>
        <v>0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37117</v>
      </c>
      <c r="B506" s="2">
        <v>2001</v>
      </c>
      <c r="C506" s="2">
        <f>COUNTIFS(Games[Team],Games[[#This Row],[Team]],Games[Season],Games[[#This Row],[Season]],Games[Date],"&lt;=" &amp; Games[[#This Row],[Date]])</f>
        <v>32</v>
      </c>
      <c r="D506" s="2" t="s">
        <v>23</v>
      </c>
      <c r="E506" s="2" t="s">
        <v>29</v>
      </c>
      <c r="F506" s="1" t="s">
        <v>85</v>
      </c>
      <c r="G506" s="1" t="s">
        <v>79</v>
      </c>
      <c r="H506" s="1" t="s">
        <v>16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6" s="2">
        <f>Games[[#This Row],[DaysOff]]-Games[[#This Row],[OppDaysOff]]</f>
        <v>-1</v>
      </c>
      <c r="L506" s="2">
        <f>Games[[#This Row],[OppDaysOff]]-Games[[#This Row],[DaysOff]]</f>
        <v>1</v>
      </c>
      <c r="M506" s="16">
        <f>MAX(-16, MIN(16, Games[[#This Row],[RestDiff]]*8))</f>
        <v>-8</v>
      </c>
      <c r="N506" s="16">
        <f>MAX(-16, MIN(16, Games[[#This Row],[OppRestDiff]]*8))</f>
        <v>8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1395.4337255440212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1446.7065428224821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0.29508862825296284</v>
      </c>
      <c r="R506" s="1">
        <v>72</v>
      </c>
      <c r="S506" s="1">
        <v>78</v>
      </c>
      <c r="T506" s="1">
        <v>0</v>
      </c>
      <c r="U506" s="16">
        <f>Games[[#This Row],[PointsFor]]-Games[[#This Row],[PointsAgainst]]</f>
        <v>-6</v>
      </c>
      <c r="V506" s="16">
        <f>IF(Games[[#This Row],[MOV]]&gt;0,1,IF(Games[[#This Row],[MOV]]=0,0.5,0))</f>
        <v>0</v>
      </c>
      <c r="W506" s="4">
        <f>((ABS(Games[[#This Row],[MOV]])+5)^0.6)/(12+0.01*(ABS(Games[[#This Row],[PreGmRate]]-Games[[#This Row],[OppPreGmRate]])))*IF(Games[[#This Row],[OT]]=1,0.9,1)</f>
        <v>0.33688649468629855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6" s="9">
        <f>MAX(kmin, kmax - 0.15 * MIN(Games[[#This Row],[GamesPlayed]], 82))</f>
        <v>71.2</v>
      </c>
      <c r="Z506" s="4">
        <f>Games[[#This Row],[K]]*Games[[#This Row],[POMult]]</f>
        <v>71.2</v>
      </c>
      <c r="AA506" s="4">
        <f>(Games[[#This Row],[Keff]]*Games[[#This Row],[MOVMult]])*(Games[[#This Row],[Result]]-Games[[#This Row],[ExpectedWin%]])</f>
        <v>-7.0780897998877368</v>
      </c>
      <c r="AB506" s="4">
        <f>Games[[#This Row],[PreGmRate]]+Games[[#This Row],[RatingChange]]</f>
        <v>1388.3556357441335</v>
      </c>
      <c r="AC506" s="2">
        <f>IF(Games[[#This Row],[Type]]="R",IF(Games[[#This Row],[Result]]&gt;0.5,1,0),0)</f>
        <v>0</v>
      </c>
      <c r="AD506" s="2">
        <f>IF(Games[[#This Row],[Type]]="R",IF(Games[[#This Row],[Result]]&lt;0.5,1,0),0)</f>
        <v>1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0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37117</v>
      </c>
      <c r="B507" s="2">
        <v>2001</v>
      </c>
      <c r="C507" s="2">
        <f>COUNTIFS(Games[Team],Games[[#This Row],[Team]],Games[Season],Games[[#This Row],[Season]],Games[Date],"&lt;=" &amp; Games[[#This Row],[Date]])</f>
        <v>32</v>
      </c>
      <c r="D507" s="2" t="s">
        <v>23</v>
      </c>
      <c r="E507" s="2" t="s">
        <v>29</v>
      </c>
      <c r="F507" s="1" t="s">
        <v>79</v>
      </c>
      <c r="G507" s="1" t="s">
        <v>85</v>
      </c>
      <c r="H507" s="1" t="s">
        <v>15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1</v>
      </c>
      <c r="L507" s="2">
        <f>Games[[#This Row],[OppDaysOff]]-Games[[#This Row],[DaysOff]]</f>
        <v>-1</v>
      </c>
      <c r="M507" s="16">
        <f>MAX(-16, MIN(16, Games[[#This Row],[RestDiff]]*8))</f>
        <v>8</v>
      </c>
      <c r="N507" s="16">
        <f>MAX(-16, MIN(16, Games[[#This Row],[OppRestDiff]]*8))</f>
        <v>-8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1446.7065428224821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1395.4337255440212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0.70491137174703722</v>
      </c>
      <c r="R507" s="1">
        <v>78</v>
      </c>
      <c r="S507" s="1">
        <v>72</v>
      </c>
      <c r="T507" s="1">
        <v>0</v>
      </c>
      <c r="U507" s="16">
        <f>Games[[#This Row],[PointsFor]]-Games[[#This Row],[PointsAgainst]]</f>
        <v>6</v>
      </c>
      <c r="V507" s="16">
        <f>IF(Games[[#This Row],[MOV]]&gt;0,1,IF(Games[[#This Row],[MOV]]=0,0.5,0))</f>
        <v>1</v>
      </c>
      <c r="W507" s="4">
        <f>((ABS(Games[[#This Row],[MOV]])+5)^0.6)/(12+0.01*(ABS(Games[[#This Row],[PreGmRate]]-Games[[#This Row],[OppPreGmRate]])))*IF(Games[[#This Row],[OT]]=1,0.9,1)</f>
        <v>0.33688649468629855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7" s="9">
        <f>MAX(kmin, kmax - 0.15 * MIN(Games[[#This Row],[GamesPlayed]], 82))</f>
        <v>71.2</v>
      </c>
      <c r="Z507" s="4">
        <f>Games[[#This Row],[K]]*Games[[#This Row],[POMult]]</f>
        <v>71.2</v>
      </c>
      <c r="AA507" s="4">
        <f>(Games[[#This Row],[Keff]]*Games[[#This Row],[MOVMult]])*(Games[[#This Row],[Result]]-Games[[#This Row],[ExpectedWin%]])</f>
        <v>7.0780897998877359</v>
      </c>
      <c r="AB507" s="4">
        <f>Games[[#This Row],[PreGmRate]]+Games[[#This Row],[RatingChange]]</f>
        <v>1453.7846326223698</v>
      </c>
      <c r="AC507" s="2">
        <f>IF(Games[[#This Row],[Type]]="R",IF(Games[[#This Row],[Result]]&gt;0.5,1,0),0)</f>
        <v>1</v>
      </c>
      <c r="AD507" s="2">
        <f>IF(Games[[#This Row],[Type]]="R",IF(Games[[#This Row],[Result]]&lt;0.5,1,0),0)</f>
        <v>0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0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37117</v>
      </c>
      <c r="B508" s="2">
        <v>2001</v>
      </c>
      <c r="C508" s="2">
        <f>COUNTIFS(Games[Team],Games[[#This Row],[Team]],Games[Season],Games[[#This Row],[Season]],Games[Date],"&lt;=" &amp; Games[[#This Row],[Date]])</f>
        <v>32</v>
      </c>
      <c r="D508" s="2" t="s">
        <v>23</v>
      </c>
      <c r="E508" s="2" t="s">
        <v>29</v>
      </c>
      <c r="F508" s="1" t="s">
        <v>2</v>
      </c>
      <c r="G508" s="1" t="s">
        <v>44</v>
      </c>
      <c r="H508" s="1" t="s">
        <v>16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8" s="2">
        <f>Games[[#This Row],[DaysOff]]-Games[[#This Row],[OppDaysOff]]</f>
        <v>-2</v>
      </c>
      <c r="L508" s="2">
        <f>Games[[#This Row],[OppDaysOff]]-Games[[#This Row],[DaysOff]]</f>
        <v>2</v>
      </c>
      <c r="M508" s="16">
        <f>MAX(-16, MIN(16, Games[[#This Row],[RestDiff]]*8))</f>
        <v>-16</v>
      </c>
      <c r="N508" s="16">
        <f>MAX(-16, MIN(16, Games[[#This Row],[OppRestDiff]]*8))</f>
        <v>16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1586.5686006189715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1449.9406039808525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0.52965124093782523</v>
      </c>
      <c r="R508" s="1">
        <v>38</v>
      </c>
      <c r="S508" s="1">
        <v>56</v>
      </c>
      <c r="T508" s="1">
        <v>0</v>
      </c>
      <c r="U508" s="16">
        <f>Games[[#This Row],[PointsFor]]-Games[[#This Row],[PointsAgainst]]</f>
        <v>-18</v>
      </c>
      <c r="V508" s="16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0.49093743375274101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8" s="9">
        <f>MAX(kmin, kmax - 0.15 * MIN(Games[[#This Row],[GamesPlayed]], 82))</f>
        <v>71.2</v>
      </c>
      <c r="Z508" s="4">
        <f>Games[[#This Row],[K]]*Games[[#This Row],[POMult]]</f>
        <v>71.2</v>
      </c>
      <c r="AA508" s="4">
        <f>(Games[[#This Row],[Keff]]*Games[[#This Row],[MOVMult]])*(Games[[#This Row],[Result]]-Games[[#This Row],[ExpectedWin%]])</f>
        <v>-18.51382421590991</v>
      </c>
      <c r="AB508" s="4">
        <f>Games[[#This Row],[PreGmRate]]+Games[[#This Row],[RatingChange]]</f>
        <v>1568.0547764030616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1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0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37117</v>
      </c>
      <c r="B509" s="2">
        <v>2001</v>
      </c>
      <c r="C509" s="2">
        <f>COUNTIFS(Games[Team],Games[[#This Row],[Team]],Games[Season],Games[[#This Row],[Season]],Games[Date],"&lt;=" &amp; Games[[#This Row],[Date]])</f>
        <v>32</v>
      </c>
      <c r="D509" s="2" t="s">
        <v>23</v>
      </c>
      <c r="E509" s="2" t="s">
        <v>29</v>
      </c>
      <c r="F509" s="1" t="s">
        <v>44</v>
      </c>
      <c r="G509" s="1" t="s">
        <v>2</v>
      </c>
      <c r="H509" s="1" t="s">
        <v>15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09" s="2">
        <f>Games[[#This Row],[DaysOff]]-Games[[#This Row],[OppDaysOff]]</f>
        <v>2</v>
      </c>
      <c r="L509" s="2">
        <f>Games[[#This Row],[OppDaysOff]]-Games[[#This Row],[DaysOff]]</f>
        <v>-2</v>
      </c>
      <c r="M509" s="16">
        <f>MAX(-16, MIN(16, Games[[#This Row],[RestDiff]]*8))</f>
        <v>16</v>
      </c>
      <c r="N509" s="16">
        <f>MAX(-16, MIN(16, Games[[#This Row],[OppRestDiff]]*8))</f>
        <v>-16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1449.9406039808525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1586.5686006189715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0.47034875906217471</v>
      </c>
      <c r="R509" s="1">
        <v>56</v>
      </c>
      <c r="S509" s="1">
        <v>38</v>
      </c>
      <c r="T509" s="1">
        <v>0</v>
      </c>
      <c r="U509" s="16">
        <f>Games[[#This Row],[PointsFor]]-Games[[#This Row],[PointsAgainst]]</f>
        <v>18</v>
      </c>
      <c r="V509" s="16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0.49093743375274101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9" s="9">
        <f>MAX(kmin, kmax - 0.15 * MIN(Games[[#This Row],[GamesPlayed]], 82))</f>
        <v>71.2</v>
      </c>
      <c r="Z509" s="4">
        <f>Games[[#This Row],[K]]*Games[[#This Row],[POMult]]</f>
        <v>71.2</v>
      </c>
      <c r="AA509" s="4">
        <f>(Games[[#This Row],[Keff]]*Games[[#This Row],[MOVMult]])*(Games[[#This Row],[Result]]-Games[[#This Row],[ExpectedWin%]])</f>
        <v>18.513824215909914</v>
      </c>
      <c r="AB509" s="4">
        <f>Games[[#This Row],[PreGmRate]]+Games[[#This Row],[RatingChange]]</f>
        <v>1468.4544281967624</v>
      </c>
      <c r="AC509" s="2">
        <f>IF(Games[[#This Row],[Type]]="R",IF(Games[[#This Row],[Result]]&gt;0.5,1,0),0)</f>
        <v>1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0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37117</v>
      </c>
      <c r="B510" s="2">
        <v>2001</v>
      </c>
      <c r="C510" s="2">
        <f>COUNTIFS(Games[Team],Games[[#This Row],[Team]],Games[Season],Games[[#This Row],[Season]],Games[Date],"&lt;=" &amp; Games[[#This Row],[Date]])</f>
        <v>32</v>
      </c>
      <c r="D510" s="2" t="s">
        <v>23</v>
      </c>
      <c r="E510" s="2" t="s">
        <v>29</v>
      </c>
      <c r="F510" s="1" t="s">
        <v>71</v>
      </c>
      <c r="G510" s="1" t="s">
        <v>89</v>
      </c>
      <c r="H510" s="1" t="s">
        <v>16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0" s="2">
        <f>Games[[#This Row],[DaysOff]]-Games[[#This Row],[OppDaysOff]]</f>
        <v>-1</v>
      </c>
      <c r="L510" s="2">
        <f>Games[[#This Row],[OppDaysOff]]-Games[[#This Row],[DaysOff]]</f>
        <v>1</v>
      </c>
      <c r="M510" s="16">
        <f>MAX(-16, MIN(16, Games[[#This Row],[RestDiff]]*8))</f>
        <v>-8</v>
      </c>
      <c r="N510" s="16">
        <f>MAX(-16, MIN(16, Games[[#This Row],[OppRestDiff]]*8))</f>
        <v>8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1733.1543888987567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1367.7734190019846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0.82166305078268076</v>
      </c>
      <c r="R510" s="1">
        <v>67</v>
      </c>
      <c r="S510" s="1">
        <v>58</v>
      </c>
      <c r="T510" s="1">
        <v>0</v>
      </c>
      <c r="U510" s="16">
        <f>Games[[#This Row],[PointsFor]]-Games[[#This Row],[PointsAgainst]]</f>
        <v>9</v>
      </c>
      <c r="V510" s="16">
        <f>IF(Games[[#This Row],[MOV]]&gt;0,1,IF(Games[[#This Row],[MOV]]=0,0.5,0))</f>
        <v>1</v>
      </c>
      <c r="W510" s="4">
        <f>((ABS(Games[[#This Row],[MOV]])+5)^0.6)/(12+0.01*(ABS(Games[[#This Row],[PreGmRate]]-Games[[#This Row],[OppPreGmRate]])))*IF(Games[[#This Row],[OT]]=1,0.9,1)</f>
        <v>0.31121231313347142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0" s="9">
        <f>MAX(kmin, kmax - 0.15 * MIN(Games[[#This Row],[GamesPlayed]], 82))</f>
        <v>71.2</v>
      </c>
      <c r="Z510" s="4">
        <f>Games[[#This Row],[K]]*Games[[#This Row],[POMult]]</f>
        <v>71.2</v>
      </c>
      <c r="AA510" s="4">
        <f>(Games[[#This Row],[Keff]]*Games[[#This Row],[MOVMult]])*(Games[[#This Row],[Result]]-Games[[#This Row],[ExpectedWin%]])</f>
        <v>3.9516465991958905</v>
      </c>
      <c r="AB510" s="4">
        <f>Games[[#This Row],[PreGmRate]]+Games[[#This Row],[RatingChange]]</f>
        <v>1737.1060354979525</v>
      </c>
      <c r="AC510" s="2">
        <f>IF(Games[[#This Row],[Type]]="R",IF(Games[[#This Row],[Result]]&gt;0.5,1,0),0)</f>
        <v>1</v>
      </c>
      <c r="AD510" s="2">
        <f>IF(Games[[#This Row],[Type]]="R",IF(Games[[#This Row],[Result]]&lt;0.5,1,0),0)</f>
        <v>0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0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0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37117</v>
      </c>
      <c r="B511" s="2">
        <v>2001</v>
      </c>
      <c r="C511" s="2">
        <f>COUNTIFS(Games[Team],Games[[#This Row],[Team]],Games[Season],Games[[#This Row],[Season]],Games[Date],"&lt;=" &amp; Games[[#This Row],[Date]])</f>
        <v>32</v>
      </c>
      <c r="D511" s="2" t="s">
        <v>23</v>
      </c>
      <c r="E511" s="2" t="s">
        <v>29</v>
      </c>
      <c r="F511" s="1" t="s">
        <v>89</v>
      </c>
      <c r="G511" s="1" t="s">
        <v>71</v>
      </c>
      <c r="H511" s="1" t="s">
        <v>15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1" s="2">
        <f>Games[[#This Row],[DaysOff]]-Games[[#This Row],[OppDaysOff]]</f>
        <v>1</v>
      </c>
      <c r="L511" s="2">
        <f>Games[[#This Row],[OppDaysOff]]-Games[[#This Row],[DaysOff]]</f>
        <v>-1</v>
      </c>
      <c r="M511" s="16">
        <f>MAX(-16, MIN(16, Games[[#This Row],[RestDiff]]*8))</f>
        <v>8</v>
      </c>
      <c r="N511" s="16">
        <f>MAX(-16, MIN(16, Games[[#This Row],[OppRestDiff]]*8))</f>
        <v>-8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1367.7734190019846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1733.1543888987567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0.17833694921731932</v>
      </c>
      <c r="R511" s="1">
        <v>58</v>
      </c>
      <c r="S511" s="1">
        <v>67</v>
      </c>
      <c r="T511" s="1">
        <v>0</v>
      </c>
      <c r="U511" s="16">
        <f>Games[[#This Row],[PointsFor]]-Games[[#This Row],[PointsAgainst]]</f>
        <v>-9</v>
      </c>
      <c r="V511" s="16">
        <f>IF(Games[[#This Row],[MOV]]&gt;0,1,IF(Games[[#This Row],[MOV]]=0,0.5,0))</f>
        <v>0</v>
      </c>
      <c r="W511" s="4">
        <f>((ABS(Games[[#This Row],[MOV]])+5)^0.6)/(12+0.01*(ABS(Games[[#This Row],[PreGmRate]]-Games[[#This Row],[OppPreGmRate]])))*IF(Games[[#This Row],[OT]]=1,0.9,1)</f>
        <v>0.31121231313347142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1" s="9">
        <f>MAX(kmin, kmax - 0.15 * MIN(Games[[#This Row],[GamesPlayed]], 82))</f>
        <v>71.2</v>
      </c>
      <c r="Z511" s="4">
        <f>Games[[#This Row],[K]]*Games[[#This Row],[POMult]]</f>
        <v>71.2</v>
      </c>
      <c r="AA511" s="4">
        <f>(Games[[#This Row],[Keff]]*Games[[#This Row],[MOVMult]])*(Games[[#This Row],[Result]]-Games[[#This Row],[ExpectedWin%]])</f>
        <v>-3.9516465991958927</v>
      </c>
      <c r="AB511" s="4">
        <f>Games[[#This Row],[PreGmRate]]+Games[[#This Row],[RatingChange]]</f>
        <v>1363.8217724027888</v>
      </c>
      <c r="AC511" s="2">
        <f>IF(Games[[#This Row],[Type]]="R",IF(Games[[#This Row],[Result]]&gt;0.5,1,0),0)</f>
        <v>0</v>
      </c>
      <c r="AD511" s="2">
        <f>IF(Games[[#This Row],[Type]]="R",IF(Games[[#This Row],[Result]]&lt;0.5,1,0),0)</f>
        <v>1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0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0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37117</v>
      </c>
      <c r="B512" s="2">
        <v>2001</v>
      </c>
      <c r="C512" s="2">
        <f>COUNTIFS(Games[Team],Games[[#This Row],[Team]],Games[Season],Games[[#This Row],[Season]],Games[Date],"&lt;=" &amp; Games[[#This Row],[Date]])</f>
        <v>32</v>
      </c>
      <c r="D512" s="2" t="s">
        <v>23</v>
      </c>
      <c r="E512" s="2" t="s">
        <v>29</v>
      </c>
      <c r="F512" s="1" t="s">
        <v>45</v>
      </c>
      <c r="G512" s="1" t="s">
        <v>87</v>
      </c>
      <c r="H512" s="1" t="s">
        <v>16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2" s="2">
        <f>Games[[#This Row],[DaysOff]]-Games[[#This Row],[OppDaysOff]]</f>
        <v>-1</v>
      </c>
      <c r="L512" s="2">
        <f>Games[[#This Row],[OppDaysOff]]-Games[[#This Row],[DaysOff]]</f>
        <v>1</v>
      </c>
      <c r="M512" s="16">
        <f>MAX(-16, MIN(16, Games[[#This Row],[RestDiff]]*8))</f>
        <v>-8</v>
      </c>
      <c r="N512" s="16">
        <f>MAX(-16, MIN(16, Games[[#This Row],[OppRestDiff]]*8))</f>
        <v>8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1599.7767015338311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1366.6077000282351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0.68278113373125149</v>
      </c>
      <c r="R512" s="1">
        <v>72</v>
      </c>
      <c r="S512" s="1">
        <v>62</v>
      </c>
      <c r="T512" s="1">
        <v>0</v>
      </c>
      <c r="U512" s="16">
        <f>Games[[#This Row],[PointsFor]]-Games[[#This Row],[PointsAgainst]]</f>
        <v>10</v>
      </c>
      <c r="V512" s="16">
        <f>IF(Games[[#This Row],[MOV]]&gt;0,1,IF(Games[[#This Row],[MOV]]=0,0.5,0))</f>
        <v>1</v>
      </c>
      <c r="W512" s="4">
        <f>((ABS(Games[[#This Row],[MOV]])+5)^0.6)/(12+0.01*(ABS(Games[[#This Row],[PreGmRate]]-Games[[#This Row],[OppPreGmRate]])))*IF(Games[[#This Row],[OT]]=1,0.9,1)</f>
        <v>0.35428873961502449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2" s="9">
        <f>MAX(kmin, kmax - 0.15 * MIN(Games[[#This Row],[GamesPlayed]], 82))</f>
        <v>71.2</v>
      </c>
      <c r="Z512" s="4">
        <f>Games[[#This Row],[K]]*Games[[#This Row],[POMult]]</f>
        <v>71.2</v>
      </c>
      <c r="AA512" s="4">
        <f>(Games[[#This Row],[Keff]]*Games[[#This Row],[MOVMult]])*(Games[[#This Row],[Result]]-Games[[#This Row],[ExpectedWin%]])</f>
        <v>8.0019595486472888</v>
      </c>
      <c r="AB512" s="4">
        <f>Games[[#This Row],[PreGmRate]]+Games[[#This Row],[RatingChange]]</f>
        <v>1607.7786610824785</v>
      </c>
      <c r="AC512" s="2">
        <f>IF(Games[[#This Row],[Type]]="R",IF(Games[[#This Row],[Result]]&gt;0.5,1,0),0)</f>
        <v>1</v>
      </c>
      <c r="AD512" s="2">
        <f>IF(Games[[#This Row],[Type]]="R",IF(Games[[#This Row],[Result]]&lt;0.5,1,0),0)</f>
        <v>0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0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37117</v>
      </c>
      <c r="B513" s="2">
        <v>2001</v>
      </c>
      <c r="C513" s="2">
        <f>COUNTIFS(Games[Team],Games[[#This Row],[Team]],Games[Season],Games[[#This Row],[Season]],Games[Date],"&lt;=" &amp; Games[[#This Row],[Date]])</f>
        <v>32</v>
      </c>
      <c r="D513" s="2" t="s">
        <v>23</v>
      </c>
      <c r="E513" s="2" t="s">
        <v>29</v>
      </c>
      <c r="F513" s="1" t="s">
        <v>87</v>
      </c>
      <c r="G513" s="1" t="s">
        <v>45</v>
      </c>
      <c r="H513" s="1" t="s">
        <v>15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3" s="2">
        <f>Games[[#This Row],[DaysOff]]-Games[[#This Row],[OppDaysOff]]</f>
        <v>1</v>
      </c>
      <c r="L513" s="2">
        <f>Games[[#This Row],[OppDaysOff]]-Games[[#This Row],[DaysOff]]</f>
        <v>-1</v>
      </c>
      <c r="M513" s="16">
        <f>MAX(-16, MIN(16, Games[[#This Row],[RestDiff]]*8))</f>
        <v>8</v>
      </c>
      <c r="N513" s="16">
        <f>MAX(-16, MIN(16, Games[[#This Row],[OppRestDiff]]*8))</f>
        <v>-8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1366.6077000282351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1599.7767015338311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0.31721886626874862</v>
      </c>
      <c r="R513" s="1">
        <v>62</v>
      </c>
      <c r="S513" s="1">
        <v>72</v>
      </c>
      <c r="T513" s="1">
        <v>0</v>
      </c>
      <c r="U513" s="16">
        <f>Games[[#This Row],[PointsFor]]-Games[[#This Row],[PointsAgainst]]</f>
        <v>-10</v>
      </c>
      <c r="V513" s="16">
        <f>IF(Games[[#This Row],[MOV]]&gt;0,1,IF(Games[[#This Row],[MOV]]=0,0.5,0))</f>
        <v>0</v>
      </c>
      <c r="W513" s="4">
        <f>((ABS(Games[[#This Row],[MOV]])+5)^0.6)/(12+0.01*(ABS(Games[[#This Row],[PreGmRate]]-Games[[#This Row],[OppPreGmRate]])))*IF(Games[[#This Row],[OT]]=1,0.9,1)</f>
        <v>0.35428873961502449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3" s="9">
        <f>MAX(kmin, kmax - 0.15 * MIN(Games[[#This Row],[GamesPlayed]], 82))</f>
        <v>71.2</v>
      </c>
      <c r="Z513" s="4">
        <f>Games[[#This Row],[K]]*Games[[#This Row],[POMult]]</f>
        <v>71.2</v>
      </c>
      <c r="AA513" s="4">
        <f>(Games[[#This Row],[Keff]]*Games[[#This Row],[MOVMult]])*(Games[[#This Row],[Result]]-Games[[#This Row],[ExpectedWin%]])</f>
        <v>-8.0019595486472905</v>
      </c>
      <c r="AB513" s="4">
        <f>Games[[#This Row],[PreGmRate]]+Games[[#This Row],[RatingChange]]</f>
        <v>1358.6057404795877</v>
      </c>
      <c r="AC513" s="2">
        <f>IF(Games[[#This Row],[Type]]="R",IF(Games[[#This Row],[Result]]&gt;0.5,1,0),0)</f>
        <v>0</v>
      </c>
      <c r="AD513" s="2">
        <f>IF(Games[[#This Row],[Type]]="R",IF(Games[[#This Row],[Result]]&lt;0.5,1,0),0)</f>
        <v>1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0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37119</v>
      </c>
      <c r="B514" s="2">
        <v>2001</v>
      </c>
      <c r="C514" s="2">
        <f>COUNTIFS(Games[Team],Games[[#This Row],[Team]],Games[Season],Games[[#This Row],[Season]],Games[Date],"&lt;=" &amp; Games[[#This Row],[Date]])</f>
        <v>33</v>
      </c>
      <c r="D514" s="2" t="s">
        <v>46</v>
      </c>
      <c r="E514" s="2">
        <v>1</v>
      </c>
      <c r="F514" s="1" t="s">
        <v>1</v>
      </c>
      <c r="G514" s="1" t="s">
        <v>64</v>
      </c>
      <c r="H514" s="1" t="s">
        <v>16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4" s="2">
        <f>Games[[#This Row],[DaysOff]]-Games[[#This Row],[OppDaysOff]]</f>
        <v>0</v>
      </c>
      <c r="L514" s="2">
        <f>Games[[#This Row],[OppDaysOff]]-Games[[#This Row],[DaysOff]]</f>
        <v>0</v>
      </c>
      <c r="M514" s="16">
        <f>MAX(-16, MIN(16, Games[[#This Row],[RestDiff]]*8))</f>
        <v>0</v>
      </c>
      <c r="N514" s="16">
        <f>MAX(-16, MIN(16, Games[[#This Row],[OppRestDiff]]*8))</f>
        <v>0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1605.5391221846182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1548.2414165116072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0.46164779203631251</v>
      </c>
      <c r="R514" s="1">
        <v>46</v>
      </c>
      <c r="S514" s="1">
        <v>53</v>
      </c>
      <c r="T514" s="1">
        <v>0</v>
      </c>
      <c r="U514" s="16">
        <f>Games[[#This Row],[PointsFor]]-Games[[#This Row],[PointsAgainst]]</f>
        <v>-7</v>
      </c>
      <c r="V514" s="16">
        <f>IF(Games[[#This Row],[MOV]]&gt;0,1,IF(Games[[#This Row],[MOV]]=0,0.5,0))</f>
        <v>0</v>
      </c>
      <c r="W514" s="4">
        <f>((ABS(Games[[#This Row],[MOV]])+5)^0.6)/(12+0.01*(ABS(Games[[#This Row],[PreGmRate]]-Games[[#This Row],[OppPreGmRate]])))*IF(Games[[#This Row],[OT]]=1,0.9,1)</f>
        <v>0.35324060879189245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4" s="9">
        <f>MAX(kmin, kmax - 0.15 * MIN(Games[[#This Row],[GamesPlayed]], 82))</f>
        <v>71.05</v>
      </c>
      <c r="Z514" s="4">
        <f>Games[[#This Row],[K]]*Games[[#This Row],[POMult]]</f>
        <v>78.155000000000001</v>
      </c>
      <c r="AA514" s="4">
        <f>(Games[[#This Row],[Keff]]*Games[[#This Row],[MOVMult]])*(Games[[#This Row],[Result]]-Games[[#This Row],[ExpectedWin%]])</f>
        <v>-12.744950550096004</v>
      </c>
      <c r="AB514" s="4">
        <f>Games[[#This Row],[PreGmRate]]+Games[[#This Row],[RatingChange]]</f>
        <v>1592.7941716345222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0</v>
      </c>
      <c r="AF514" s="2">
        <f>IF(AND(Games[[#This Row],[Type]]="P",Games[[#This Row],[Round]]=1),IF(Games[[#This Row],[Result]]&lt;0.5,1,0),0)</f>
        <v>1</v>
      </c>
      <c r="AG514" s="2">
        <f>IF(AND(Games[[#This Row],[Type]]="P",Games[[#This Row],[Round]]=2),IF(Games[[#This Row],[Result]]&gt;0.5,1,0),0)</f>
        <v>0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0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37119</v>
      </c>
      <c r="B515" s="2">
        <v>2001</v>
      </c>
      <c r="C515" s="2">
        <f>COUNTIFS(Games[Team],Games[[#This Row],[Team]],Games[Season],Games[[#This Row],[Season]],Games[Date],"&lt;=" &amp; Games[[#This Row],[Date]])</f>
        <v>33</v>
      </c>
      <c r="D515" s="2" t="s">
        <v>46</v>
      </c>
      <c r="E515" s="2">
        <v>1</v>
      </c>
      <c r="F515" s="1" t="s">
        <v>64</v>
      </c>
      <c r="G515" s="1" t="s">
        <v>1</v>
      </c>
      <c r="H515" s="1" t="s">
        <v>15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0</v>
      </c>
      <c r="L515" s="2">
        <f>Games[[#This Row],[OppDaysOff]]-Games[[#This Row],[DaysOff]]</f>
        <v>0</v>
      </c>
      <c r="M515" s="16">
        <f>MAX(-16, MIN(16, Games[[#This Row],[RestDiff]]*8))</f>
        <v>0</v>
      </c>
      <c r="N515" s="16">
        <f>MAX(-16, MIN(16, Games[[#This Row],[OppRestDiff]]*8))</f>
        <v>0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1548.2414165116072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1605.5391221846182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0.53835220796368743</v>
      </c>
      <c r="R515" s="1">
        <v>53</v>
      </c>
      <c r="S515" s="1">
        <v>46</v>
      </c>
      <c r="T515" s="1">
        <v>0</v>
      </c>
      <c r="U515" s="16">
        <f>Games[[#This Row],[PointsFor]]-Games[[#This Row],[PointsAgainst]]</f>
        <v>7</v>
      </c>
      <c r="V515" s="16">
        <f>IF(Games[[#This Row],[MOV]]&gt;0,1,IF(Games[[#This Row],[MOV]]=0,0.5,0))</f>
        <v>1</v>
      </c>
      <c r="W515" s="4">
        <f>((ABS(Games[[#This Row],[MOV]])+5)^0.6)/(12+0.01*(ABS(Games[[#This Row],[PreGmRate]]-Games[[#This Row],[OppPreGmRate]])))*IF(Games[[#This Row],[OT]]=1,0.9,1)</f>
        <v>0.35324060879189245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5" s="9">
        <f>MAX(kmin, kmax - 0.15 * MIN(Games[[#This Row],[GamesPlayed]], 82))</f>
        <v>71.05</v>
      </c>
      <c r="Z515" s="4">
        <f>Games[[#This Row],[K]]*Games[[#This Row],[POMult]]</f>
        <v>78.155000000000001</v>
      </c>
      <c r="AA515" s="4">
        <f>(Games[[#This Row],[Keff]]*Games[[#This Row],[MOVMult]])*(Games[[#This Row],[Result]]-Games[[#This Row],[ExpectedWin%]])</f>
        <v>12.744950550096004</v>
      </c>
      <c r="AB515" s="4">
        <f>Games[[#This Row],[PreGmRate]]+Games[[#This Row],[RatingChange]]</f>
        <v>1560.9863670617033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1</v>
      </c>
      <c r="AF515" s="2">
        <f>IF(AND(Games[[#This Row],[Type]]="P",Games[[#This Row],[Round]]=1),IF(Games[[#This Row],[Result]]&lt;0.5,1,0),0)</f>
        <v>0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0</v>
      </c>
      <c r="AI515" s="2">
        <f>IF(AND(Games[[#This Row],[Type]]="P",Games[[#This Row],[Round]]=3),IF(Games[[#This Row],[Result]]&gt;0.5,1,0),0)</f>
        <v>0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  <row r="516" spans="1:38" x14ac:dyDescent="0.35">
      <c r="A516" s="10">
        <v>37120</v>
      </c>
      <c r="B516" s="2">
        <v>2001</v>
      </c>
      <c r="C516" s="2">
        <f>COUNTIFS(Games[Team],Games[[#This Row],[Team]],Games[Season],Games[[#This Row],[Season]],Games[Date],"&lt;=" &amp; Games[[#This Row],[Date]])</f>
        <v>33</v>
      </c>
      <c r="D516" s="2" t="s">
        <v>46</v>
      </c>
      <c r="E516" s="2">
        <v>1</v>
      </c>
      <c r="F516" s="1" t="s">
        <v>66</v>
      </c>
      <c r="G516" s="1" t="s">
        <v>83</v>
      </c>
      <c r="H516" s="1" t="s">
        <v>16</v>
      </c>
      <c r="I516" s="2" cm="1">
        <f t="array" ref="I5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6" s="2" cm="1">
        <f t="array" ref="J5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6" s="2">
        <f>Games[[#This Row],[DaysOff]]-Games[[#This Row],[OppDaysOff]]</f>
        <v>0</v>
      </c>
      <c r="L516" s="2">
        <f>Games[[#This Row],[OppDaysOff]]-Games[[#This Row],[DaysOff]]</f>
        <v>0</v>
      </c>
      <c r="M516" s="16">
        <f>MAX(-16, MIN(16, Games[[#This Row],[RestDiff]]*8))</f>
        <v>0</v>
      </c>
      <c r="N516" s="16">
        <f>MAX(-16, MIN(16, Games[[#This Row],[OppRestDiff]]*8))</f>
        <v>0</v>
      </c>
      <c r="O516" s="4" cm="1">
        <f t="array" ref="O5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1568.2031157404672</v>
      </c>
      <c r="P516" s="4" cm="1">
        <f t="array" ref="P5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1561.3720978238146</v>
      </c>
      <c r="Q516" s="4">
        <f>1/(1+10^(((Games[[#This Row],[OppPreGmRate]]+IF(Games[[#This Row],[HomeAway]]="A",HCA,0)+Games[[#This Row],[OppRestAdj]])-(Games[[#This Row],[PreGmRate]]+IF(Games[[#This Row],[HomeAway]]="H",HCA,0)+Games[[#This Row],[RestAdj]]))/400))</f>
        <v>0.39073580043851425</v>
      </c>
      <c r="R516" s="1">
        <v>62</v>
      </c>
      <c r="S516" s="1">
        <v>46</v>
      </c>
      <c r="T516" s="1">
        <v>0</v>
      </c>
      <c r="U516" s="16">
        <f>Games[[#This Row],[PointsFor]]-Games[[#This Row],[PointsAgainst]]</f>
        <v>16</v>
      </c>
      <c r="V516" s="16">
        <f>IF(Games[[#This Row],[MOV]]&gt;0,1,IF(Games[[#This Row],[MOV]]=0,0.5,0))</f>
        <v>1</v>
      </c>
      <c r="W516" s="4">
        <f>((ABS(Games[[#This Row],[MOV]])+5)^0.6)/(12+0.01*(ABS(Games[[#This Row],[PreGmRate]]-Games[[#This Row],[OppPreGmRate]])))*IF(Games[[#This Row],[OT]]=1,0.9,1)</f>
        <v>0.51485521130265322</v>
      </c>
      <c r="X516" s="7" cm="1">
        <f t="array" ref="X5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6" s="9">
        <f>MAX(kmin, kmax - 0.15 * MIN(Games[[#This Row],[GamesPlayed]], 82))</f>
        <v>71.05</v>
      </c>
      <c r="Z516" s="4">
        <f>Games[[#This Row],[K]]*Games[[#This Row],[POMult]]</f>
        <v>78.155000000000001</v>
      </c>
      <c r="AA516" s="4">
        <f>(Games[[#This Row],[Keff]]*Games[[#This Row],[MOVMult]])*(Games[[#This Row],[Result]]-Games[[#This Row],[ExpectedWin%]])</f>
        <v>24.515883001412586</v>
      </c>
      <c r="AB516" s="4">
        <f>Games[[#This Row],[PreGmRate]]+Games[[#This Row],[RatingChange]]</f>
        <v>1592.7189987418797</v>
      </c>
      <c r="AC516" s="2">
        <f>IF(Games[[#This Row],[Type]]="R",IF(Games[[#This Row],[Result]]&gt;0.5,1,0),0)</f>
        <v>0</v>
      </c>
      <c r="AD516" s="2">
        <f>IF(Games[[#This Row],[Type]]="R",IF(Games[[#This Row],[Result]]&lt;0.5,1,0),0)</f>
        <v>0</v>
      </c>
      <c r="AE516" s="2">
        <f>IF(AND(Games[[#This Row],[Type]]="P",Games[[#This Row],[Round]]=1),IF(Games[[#This Row],[Result]]&gt;0.5,1,0),0)</f>
        <v>1</v>
      </c>
      <c r="AF516" s="2">
        <f>IF(AND(Games[[#This Row],[Type]]="P",Games[[#This Row],[Round]]=1),IF(Games[[#This Row],[Result]]&lt;0.5,1,0),0)</f>
        <v>0</v>
      </c>
      <c r="AG516" s="2">
        <f>IF(AND(Games[[#This Row],[Type]]="P",Games[[#This Row],[Round]]=2),IF(Games[[#This Row],[Result]]&gt;0.5,1,0),0)</f>
        <v>0</v>
      </c>
      <c r="AH516" s="2">
        <f>IF(AND(Games[[#This Row],[Type]]="P",Games[[#This Row],[Round]]=2),IF(Games[[#This Row],[Result]]&lt;0.5,1,0),0)</f>
        <v>0</v>
      </c>
      <c r="AI516" s="2">
        <f>IF(AND(Games[[#This Row],[Type]]="P",Games[[#This Row],[Round]]=3),IF(Games[[#This Row],[Result]]&gt;0.5,1,0),0)</f>
        <v>0</v>
      </c>
      <c r="AJ516" s="2">
        <f>IF(AND(Games[[#This Row],[Type]]="P",Games[[#This Row],[Round]]=3),IF(Games[[#This Row],[Result]]&lt;0.5,1,0),0)</f>
        <v>0</v>
      </c>
      <c r="AK516" s="2">
        <f>IF(AND(Games[[#This Row],[Type]]="P",Games[[#This Row],[Round]]=4),IF(Games[[#This Row],[Result]]&gt;0.5,1,0),0)</f>
        <v>0</v>
      </c>
      <c r="AL516" s="2">
        <f>IF(AND(Games[[#This Row],[Type]]="P",Games[[#This Row],[Round]]=4),IF(Games[[#This Row],[Result]]&lt;0.5,1,0),0)</f>
        <v>0</v>
      </c>
    </row>
    <row r="517" spans="1:38" x14ac:dyDescent="0.35">
      <c r="A517" s="10">
        <v>37120</v>
      </c>
      <c r="B517" s="2">
        <v>2001</v>
      </c>
      <c r="C517" s="2">
        <f>COUNTIFS(Games[Team],Games[[#This Row],[Team]],Games[Season],Games[[#This Row],[Season]],Games[Date],"&lt;=" &amp; Games[[#This Row],[Date]])</f>
        <v>33</v>
      </c>
      <c r="D517" s="2" t="s">
        <v>46</v>
      </c>
      <c r="E517" s="2">
        <v>1</v>
      </c>
      <c r="F517" s="1" t="s">
        <v>83</v>
      </c>
      <c r="G517" s="1" t="s">
        <v>66</v>
      </c>
      <c r="H517" s="1" t="s">
        <v>15</v>
      </c>
      <c r="I517" s="2" cm="1">
        <f t="array" ref="I5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7" s="2" cm="1">
        <f t="array" ref="J5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7" s="2">
        <f>Games[[#This Row],[DaysOff]]-Games[[#This Row],[OppDaysOff]]</f>
        <v>0</v>
      </c>
      <c r="L517" s="2">
        <f>Games[[#This Row],[OppDaysOff]]-Games[[#This Row],[DaysOff]]</f>
        <v>0</v>
      </c>
      <c r="M517" s="16">
        <f>MAX(-16, MIN(16, Games[[#This Row],[RestDiff]]*8))</f>
        <v>0</v>
      </c>
      <c r="N517" s="16">
        <f>MAX(-16, MIN(16, Games[[#This Row],[OppRestDiff]]*8))</f>
        <v>0</v>
      </c>
      <c r="O517" s="4" cm="1">
        <f t="array" ref="O5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1561.3720978238146</v>
      </c>
      <c r="P517" s="4" cm="1">
        <f t="array" ref="P5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1568.2031157404672</v>
      </c>
      <c r="Q517" s="4">
        <f>1/(1+10^(((Games[[#This Row],[OppPreGmRate]]+IF(Games[[#This Row],[HomeAway]]="A",HCA,0)+Games[[#This Row],[OppRestAdj]])-(Games[[#This Row],[PreGmRate]]+IF(Games[[#This Row],[HomeAway]]="H",HCA,0)+Games[[#This Row],[RestAdj]]))/400))</f>
        <v>0.60926419956148581</v>
      </c>
      <c r="R517" s="1">
        <v>46</v>
      </c>
      <c r="S517" s="1">
        <v>62</v>
      </c>
      <c r="T517" s="1">
        <v>0</v>
      </c>
      <c r="U517" s="16">
        <f>Games[[#This Row],[PointsFor]]-Games[[#This Row],[PointsAgainst]]</f>
        <v>-16</v>
      </c>
      <c r="V517" s="16">
        <f>IF(Games[[#This Row],[MOV]]&gt;0,1,IF(Games[[#This Row],[MOV]]=0,0.5,0))</f>
        <v>0</v>
      </c>
      <c r="W517" s="4">
        <f>((ABS(Games[[#This Row],[MOV]])+5)^0.6)/(12+0.01*(ABS(Games[[#This Row],[PreGmRate]]-Games[[#This Row],[OppPreGmRate]])))*IF(Games[[#This Row],[OT]]=1,0.9,1)</f>
        <v>0.51485521130265322</v>
      </c>
      <c r="X517" s="7" cm="1">
        <f t="array" ref="X5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7" s="9">
        <f>MAX(kmin, kmax - 0.15 * MIN(Games[[#This Row],[GamesPlayed]], 82))</f>
        <v>71.05</v>
      </c>
      <c r="Z517" s="4">
        <f>Games[[#This Row],[K]]*Games[[#This Row],[POMult]]</f>
        <v>78.155000000000001</v>
      </c>
      <c r="AA517" s="4">
        <f>(Games[[#This Row],[Keff]]*Games[[#This Row],[MOVMult]])*(Games[[#This Row],[Result]]-Games[[#This Row],[ExpectedWin%]])</f>
        <v>-24.515883001412586</v>
      </c>
      <c r="AB517" s="4">
        <f>Games[[#This Row],[PreGmRate]]+Games[[#This Row],[RatingChange]]</f>
        <v>1536.8562148224021</v>
      </c>
      <c r="AC517" s="2">
        <f>IF(Games[[#This Row],[Type]]="R",IF(Games[[#This Row],[Result]]&gt;0.5,1,0),0)</f>
        <v>0</v>
      </c>
      <c r="AD517" s="2">
        <f>IF(Games[[#This Row],[Type]]="R",IF(Games[[#This Row],[Result]]&lt;0.5,1,0),0)</f>
        <v>0</v>
      </c>
      <c r="AE517" s="2">
        <f>IF(AND(Games[[#This Row],[Type]]="P",Games[[#This Row],[Round]]=1),IF(Games[[#This Row],[Result]]&gt;0.5,1,0),0)</f>
        <v>0</v>
      </c>
      <c r="AF517" s="2">
        <f>IF(AND(Games[[#This Row],[Type]]="P",Games[[#This Row],[Round]]=1),IF(Games[[#This Row],[Result]]&lt;0.5,1,0),0)</f>
        <v>1</v>
      </c>
      <c r="AG517" s="2">
        <f>IF(AND(Games[[#This Row],[Type]]="P",Games[[#This Row],[Round]]=2),IF(Games[[#This Row],[Result]]&gt;0.5,1,0),0)</f>
        <v>0</v>
      </c>
      <c r="AH517" s="2">
        <f>IF(AND(Games[[#This Row],[Type]]="P",Games[[#This Row],[Round]]=2),IF(Games[[#This Row],[Result]]&lt;0.5,1,0),0)</f>
        <v>0</v>
      </c>
      <c r="AI517" s="2">
        <f>IF(AND(Games[[#This Row],[Type]]="P",Games[[#This Row],[Round]]=3),IF(Games[[#This Row],[Result]]&gt;0.5,1,0),0)</f>
        <v>0</v>
      </c>
      <c r="AJ517" s="2">
        <f>IF(AND(Games[[#This Row],[Type]]="P",Games[[#This Row],[Round]]=3),IF(Games[[#This Row],[Result]]&lt;0.5,1,0),0)</f>
        <v>0</v>
      </c>
      <c r="AK517" s="2">
        <f>IF(AND(Games[[#This Row],[Type]]="P",Games[[#This Row],[Round]]=4),IF(Games[[#This Row],[Result]]&gt;0.5,1,0),0)</f>
        <v>0</v>
      </c>
      <c r="AL517" s="2">
        <f>IF(AND(Games[[#This Row],[Type]]="P",Games[[#This Row],[Round]]=4),IF(Games[[#This Row],[Result]]&lt;0.5,1,0),0)</f>
        <v>0</v>
      </c>
    </row>
    <row r="518" spans="1:38" x14ac:dyDescent="0.35">
      <c r="A518" s="10">
        <v>37120</v>
      </c>
      <c r="B518" s="2">
        <v>2001</v>
      </c>
      <c r="C518" s="2">
        <f>COUNTIFS(Games[Team],Games[[#This Row],[Team]],Games[Season],Games[[#This Row],[Season]],Games[Date],"&lt;=" &amp; Games[[#This Row],[Date]])</f>
        <v>33</v>
      </c>
      <c r="D518" s="2" t="s">
        <v>46</v>
      </c>
      <c r="E518" s="2">
        <v>1</v>
      </c>
      <c r="F518" s="1" t="s">
        <v>45</v>
      </c>
      <c r="G518" s="1" t="s">
        <v>43</v>
      </c>
      <c r="H518" s="1" t="s">
        <v>16</v>
      </c>
      <c r="I518" s="2" cm="1">
        <f t="array" ref="I5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8" s="2" cm="1">
        <f t="array" ref="J5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18" s="2">
        <f>Games[[#This Row],[DaysOff]]-Games[[#This Row],[OppDaysOff]]</f>
        <v>-1</v>
      </c>
      <c r="L518" s="2">
        <f>Games[[#This Row],[OppDaysOff]]-Games[[#This Row],[DaysOff]]</f>
        <v>1</v>
      </c>
      <c r="M518" s="16">
        <f>MAX(-16, MIN(16, Games[[#This Row],[RestDiff]]*8))</f>
        <v>-8</v>
      </c>
      <c r="N518" s="16">
        <f>MAX(-16, MIN(16, Games[[#This Row],[OppRestDiff]]*8))</f>
        <v>8</v>
      </c>
      <c r="O518" s="4" cm="1">
        <f t="array" ref="O5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1607.7786610824785</v>
      </c>
      <c r="P518" s="4" cm="1">
        <f t="array" ref="P5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1564.1847974795589</v>
      </c>
      <c r="Q518" s="4">
        <f>1/(1+10^(((Games[[#This Row],[OppPreGmRate]]+IF(Games[[#This Row],[HomeAway]]="A",HCA,0)+Games[[#This Row],[OppRestAdj]])-(Games[[#This Row],[PreGmRate]]+IF(Games[[#This Row],[HomeAway]]="H",HCA,0)+Games[[#This Row],[RestAdj]]))/400))</f>
        <v>0.41953079415957945</v>
      </c>
      <c r="R518" s="1">
        <v>89</v>
      </c>
      <c r="S518" s="1">
        <v>65</v>
      </c>
      <c r="T518" s="1">
        <v>0</v>
      </c>
      <c r="U518" s="16">
        <f>Games[[#This Row],[PointsFor]]-Games[[#This Row],[PointsAgainst]]</f>
        <v>24</v>
      </c>
      <c r="V518" s="16">
        <f>IF(Games[[#This Row],[MOV]]&gt;0,1,IF(Games[[#This Row],[MOV]]=0,0.5,0))</f>
        <v>1</v>
      </c>
      <c r="W518" s="4">
        <f>((ABS(Games[[#This Row],[MOV]])+5)^0.6)/(12+0.01*(ABS(Games[[#This Row],[PreGmRate]]-Games[[#This Row],[OppPreGmRate]])))*IF(Games[[#This Row],[OT]]=1,0.9,1)</f>
        <v>0.60640144617065606</v>
      </c>
      <c r="X518" s="7" cm="1">
        <f t="array" ref="X5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8" s="9">
        <f>MAX(kmin, kmax - 0.15 * MIN(Games[[#This Row],[GamesPlayed]], 82))</f>
        <v>71.05</v>
      </c>
      <c r="Z518" s="4">
        <f>Games[[#This Row],[K]]*Games[[#This Row],[POMult]]</f>
        <v>78.155000000000001</v>
      </c>
      <c r="AA518" s="4">
        <f>(Games[[#This Row],[Keff]]*Games[[#This Row],[MOVMult]])*(Games[[#This Row],[Result]]-Games[[#This Row],[ExpectedWin%]])</f>
        <v>27.510354130286007</v>
      </c>
      <c r="AB518" s="4">
        <f>Games[[#This Row],[PreGmRate]]+Games[[#This Row],[RatingChange]]</f>
        <v>1635.2890152127645</v>
      </c>
      <c r="AC518" s="2">
        <f>IF(Games[[#This Row],[Type]]="R",IF(Games[[#This Row],[Result]]&gt;0.5,1,0),0)</f>
        <v>0</v>
      </c>
      <c r="AD518" s="2">
        <f>IF(Games[[#This Row],[Type]]="R",IF(Games[[#This Row],[Result]]&lt;0.5,1,0),0)</f>
        <v>0</v>
      </c>
      <c r="AE518" s="2">
        <f>IF(AND(Games[[#This Row],[Type]]="P",Games[[#This Row],[Round]]=1),IF(Games[[#This Row],[Result]]&gt;0.5,1,0),0)</f>
        <v>1</v>
      </c>
      <c r="AF518" s="2">
        <f>IF(AND(Games[[#This Row],[Type]]="P",Games[[#This Row],[Round]]=1),IF(Games[[#This Row],[Result]]&lt;0.5,1,0),0)</f>
        <v>0</v>
      </c>
      <c r="AG518" s="2">
        <f>IF(AND(Games[[#This Row],[Type]]="P",Games[[#This Row],[Round]]=2),IF(Games[[#This Row],[Result]]&gt;0.5,1,0),0)</f>
        <v>0</v>
      </c>
      <c r="AH518" s="2">
        <f>IF(AND(Games[[#This Row],[Type]]="P",Games[[#This Row],[Round]]=2),IF(Games[[#This Row],[Result]]&lt;0.5,1,0),0)</f>
        <v>0</v>
      </c>
      <c r="AI518" s="2">
        <f>IF(AND(Games[[#This Row],[Type]]="P",Games[[#This Row],[Round]]=3),IF(Games[[#This Row],[Result]]&gt;0.5,1,0),0)</f>
        <v>0</v>
      </c>
      <c r="AJ518" s="2">
        <f>IF(AND(Games[[#This Row],[Type]]="P",Games[[#This Row],[Round]]=3),IF(Games[[#This Row],[Result]]&lt;0.5,1,0),0)</f>
        <v>0</v>
      </c>
      <c r="AK518" s="2">
        <f>IF(AND(Games[[#This Row],[Type]]="P",Games[[#This Row],[Round]]=4),IF(Games[[#This Row],[Result]]&gt;0.5,1,0),0)</f>
        <v>0</v>
      </c>
      <c r="AL518" s="2">
        <f>IF(AND(Games[[#This Row],[Type]]="P",Games[[#This Row],[Round]]=4),IF(Games[[#This Row],[Result]]&lt;0.5,1,0),0)</f>
        <v>0</v>
      </c>
    </row>
    <row r="519" spans="1:38" x14ac:dyDescent="0.35">
      <c r="A519" s="10">
        <v>37120</v>
      </c>
      <c r="B519" s="2">
        <v>2001</v>
      </c>
      <c r="C519" s="2">
        <f>COUNTIFS(Games[Team],Games[[#This Row],[Team]],Games[Season],Games[[#This Row],[Season]],Games[Date],"&lt;=" &amp; Games[[#This Row],[Date]])</f>
        <v>33</v>
      </c>
      <c r="D519" s="2" t="s">
        <v>46</v>
      </c>
      <c r="E519" s="2">
        <v>1</v>
      </c>
      <c r="F519" s="1" t="s">
        <v>43</v>
      </c>
      <c r="G519" s="1" t="s">
        <v>45</v>
      </c>
      <c r="H519" s="1" t="s">
        <v>15</v>
      </c>
      <c r="I519" s="2" cm="1">
        <f t="array" ref="I5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519" s="2" cm="1">
        <f t="array" ref="J5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9" s="2">
        <f>Games[[#This Row],[DaysOff]]-Games[[#This Row],[OppDaysOff]]</f>
        <v>1</v>
      </c>
      <c r="L519" s="2">
        <f>Games[[#This Row],[OppDaysOff]]-Games[[#This Row],[DaysOff]]</f>
        <v>-1</v>
      </c>
      <c r="M519" s="16">
        <f>MAX(-16, MIN(16, Games[[#This Row],[RestDiff]]*8))</f>
        <v>8</v>
      </c>
      <c r="N519" s="16">
        <f>MAX(-16, MIN(16, Games[[#This Row],[OppRestDiff]]*8))</f>
        <v>-8</v>
      </c>
      <c r="O519" s="4" cm="1">
        <f t="array" ref="O5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1564.1847974795589</v>
      </c>
      <c r="P519" s="4" cm="1">
        <f t="array" ref="P5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1607.7786610824785</v>
      </c>
      <c r="Q519" s="4">
        <f>1/(1+10^(((Games[[#This Row],[OppPreGmRate]]+IF(Games[[#This Row],[HomeAway]]="A",HCA,0)+Games[[#This Row],[OppRestAdj]])-(Games[[#This Row],[PreGmRate]]+IF(Games[[#This Row],[HomeAway]]="H",HCA,0)+Games[[#This Row],[RestAdj]]))/400))</f>
        <v>0.5804692058404205</v>
      </c>
      <c r="R519" s="1">
        <v>65</v>
      </c>
      <c r="S519" s="1">
        <v>89</v>
      </c>
      <c r="T519" s="1">
        <v>0</v>
      </c>
      <c r="U519" s="16">
        <f>Games[[#This Row],[PointsFor]]-Games[[#This Row],[PointsAgainst]]</f>
        <v>-24</v>
      </c>
      <c r="V519" s="16">
        <f>IF(Games[[#This Row],[MOV]]&gt;0,1,IF(Games[[#This Row],[MOV]]=0,0.5,0))</f>
        <v>0</v>
      </c>
      <c r="W519" s="4">
        <f>((ABS(Games[[#This Row],[MOV]])+5)^0.6)/(12+0.01*(ABS(Games[[#This Row],[PreGmRate]]-Games[[#This Row],[OppPreGmRate]])))*IF(Games[[#This Row],[OT]]=1,0.9,1)</f>
        <v>0.60640144617065606</v>
      </c>
      <c r="X519" s="7" cm="1">
        <f t="array" ref="X5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9" s="9">
        <f>MAX(kmin, kmax - 0.15 * MIN(Games[[#This Row],[GamesPlayed]], 82))</f>
        <v>71.05</v>
      </c>
      <c r="Z519" s="4">
        <f>Games[[#This Row],[K]]*Games[[#This Row],[POMult]]</f>
        <v>78.155000000000001</v>
      </c>
      <c r="AA519" s="4">
        <f>(Games[[#This Row],[Keff]]*Games[[#This Row],[MOVMult]])*(Games[[#This Row],[Result]]-Games[[#This Row],[ExpectedWin%]])</f>
        <v>-27.510354130286004</v>
      </c>
      <c r="AB519" s="4">
        <f>Games[[#This Row],[PreGmRate]]+Games[[#This Row],[RatingChange]]</f>
        <v>1536.6744433492729</v>
      </c>
      <c r="AC519" s="2">
        <f>IF(Games[[#This Row],[Type]]="R",IF(Games[[#This Row],[Result]]&gt;0.5,1,0),0)</f>
        <v>0</v>
      </c>
      <c r="AD519" s="2">
        <f>IF(Games[[#This Row],[Type]]="R",IF(Games[[#This Row],[Result]]&lt;0.5,1,0),0)</f>
        <v>0</v>
      </c>
      <c r="AE519" s="2">
        <f>IF(AND(Games[[#This Row],[Type]]="P",Games[[#This Row],[Round]]=1),IF(Games[[#This Row],[Result]]&gt;0.5,1,0),0)</f>
        <v>0</v>
      </c>
      <c r="AF519" s="2">
        <f>IF(AND(Games[[#This Row],[Type]]="P",Games[[#This Row],[Round]]=1),IF(Games[[#This Row],[Result]]&lt;0.5,1,0),0)</f>
        <v>1</v>
      </c>
      <c r="AG519" s="2">
        <f>IF(AND(Games[[#This Row],[Type]]="P",Games[[#This Row],[Round]]=2),IF(Games[[#This Row],[Result]]&gt;0.5,1,0),0)</f>
        <v>0</v>
      </c>
      <c r="AH519" s="2">
        <f>IF(AND(Games[[#This Row],[Type]]="P",Games[[#This Row],[Round]]=2),IF(Games[[#This Row],[Result]]&lt;0.5,1,0),0)</f>
        <v>0</v>
      </c>
      <c r="AI519" s="2">
        <f>IF(AND(Games[[#This Row],[Type]]="P",Games[[#This Row],[Round]]=3),IF(Games[[#This Row],[Result]]&gt;0.5,1,0),0)</f>
        <v>0</v>
      </c>
      <c r="AJ519" s="2">
        <f>IF(AND(Games[[#This Row],[Type]]="P",Games[[#This Row],[Round]]=3),IF(Games[[#This Row],[Result]]&lt;0.5,1,0),0)</f>
        <v>0</v>
      </c>
      <c r="AK519" s="2">
        <f>IF(AND(Games[[#This Row],[Type]]="P",Games[[#This Row],[Round]]=4),IF(Games[[#This Row],[Result]]&gt;0.5,1,0),0)</f>
        <v>0</v>
      </c>
      <c r="AL519" s="2">
        <f>IF(AND(Games[[#This Row],[Type]]="P",Games[[#This Row],[Round]]=4),IF(Games[[#This Row],[Result]]&lt;0.5,1,0),0)</f>
        <v>0</v>
      </c>
    </row>
    <row r="520" spans="1:38" x14ac:dyDescent="0.35">
      <c r="A520" s="10">
        <v>37121</v>
      </c>
      <c r="B520" s="2">
        <v>2001</v>
      </c>
      <c r="C520" s="2">
        <f>COUNTIFS(Games[Team],Games[[#This Row],[Team]],Games[Season],Games[[#This Row],[Season]],Games[Date],"&lt;=" &amp; Games[[#This Row],[Date]])</f>
        <v>34</v>
      </c>
      <c r="D520" s="2" t="s">
        <v>46</v>
      </c>
      <c r="E520" s="2">
        <v>1</v>
      </c>
      <c r="F520" s="1" t="s">
        <v>64</v>
      </c>
      <c r="G520" s="1" t="s">
        <v>1</v>
      </c>
      <c r="H520" s="1" t="s">
        <v>16</v>
      </c>
      <c r="I520" s="2" cm="1">
        <f t="array" ref="I5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0" s="2" cm="1">
        <f t="array" ref="J5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0" s="2">
        <f>Games[[#This Row],[DaysOff]]-Games[[#This Row],[OppDaysOff]]</f>
        <v>0</v>
      </c>
      <c r="L520" s="2">
        <f>Games[[#This Row],[OppDaysOff]]-Games[[#This Row],[DaysOff]]</f>
        <v>0</v>
      </c>
      <c r="M520" s="16">
        <f>MAX(-16, MIN(16, Games[[#This Row],[RestDiff]]*8))</f>
        <v>0</v>
      </c>
      <c r="N520" s="16">
        <f>MAX(-16, MIN(16, Games[[#This Row],[OppRestDiff]]*8))</f>
        <v>0</v>
      </c>
      <c r="O520" s="4" cm="1">
        <f t="array" ref="O5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1560.9863670617033</v>
      </c>
      <c r="P520" s="4" cm="1">
        <f t="array" ref="P5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1592.7941716345222</v>
      </c>
      <c r="Q520" s="4">
        <f>1/(1+10^(((Games[[#This Row],[OppPreGmRate]]+IF(Games[[#This Row],[HomeAway]]="A",HCA,0)+Games[[#This Row],[OppRestAdj]])-(Games[[#This Row],[PreGmRate]]+IF(Games[[#This Row],[HomeAway]]="H",HCA,0)+Games[[#This Row],[RestAdj]]))/400))</f>
        <v>0.3392488665645193</v>
      </c>
      <c r="R520" s="1">
        <v>51</v>
      </c>
      <c r="S520" s="1">
        <v>69</v>
      </c>
      <c r="T520" s="1">
        <v>0</v>
      </c>
      <c r="U520" s="16">
        <f>Games[[#This Row],[PointsFor]]-Games[[#This Row],[PointsAgainst]]</f>
        <v>-18</v>
      </c>
      <c r="V520" s="16">
        <f>IF(Games[[#This Row],[MOV]]&gt;0,1,IF(Games[[#This Row],[MOV]]=0,0.5,0))</f>
        <v>0</v>
      </c>
      <c r="W520" s="4">
        <f>((ABS(Games[[#This Row],[MOV]])+5)^0.6)/(12+0.01*(ABS(Games[[#This Row],[PreGmRate]]-Games[[#This Row],[OppPreGmRate]])))*IF(Games[[#This Row],[OT]]=1,0.9,1)</f>
        <v>0.53271355816677146</v>
      </c>
      <c r="X520" s="7" cm="1">
        <f t="array" ref="X5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0" s="9">
        <f>MAX(kmin, kmax - 0.15 * MIN(Games[[#This Row],[GamesPlayed]], 82))</f>
        <v>70.900000000000006</v>
      </c>
      <c r="Z520" s="4">
        <f>Games[[#This Row],[K]]*Games[[#This Row],[POMult]]</f>
        <v>77.990000000000009</v>
      </c>
      <c r="AA520" s="4">
        <f>(Games[[#This Row],[Keff]]*Games[[#This Row],[MOVMult]])*(Games[[#This Row],[Result]]-Games[[#This Row],[ExpectedWin%]])</f>
        <v>-14.094545498598974</v>
      </c>
      <c r="AB520" s="4">
        <f>Games[[#This Row],[PreGmRate]]+Games[[#This Row],[RatingChange]]</f>
        <v>1546.8918215631043</v>
      </c>
      <c r="AC520" s="2">
        <f>IF(Games[[#This Row],[Type]]="R",IF(Games[[#This Row],[Result]]&gt;0.5,1,0),0)</f>
        <v>0</v>
      </c>
      <c r="AD520" s="2">
        <f>IF(Games[[#This Row],[Type]]="R",IF(Games[[#This Row],[Result]]&lt;0.5,1,0),0)</f>
        <v>0</v>
      </c>
      <c r="AE520" s="2">
        <f>IF(AND(Games[[#This Row],[Type]]="P",Games[[#This Row],[Round]]=1),IF(Games[[#This Row],[Result]]&gt;0.5,1,0),0)</f>
        <v>0</v>
      </c>
      <c r="AF520" s="2">
        <f>IF(AND(Games[[#This Row],[Type]]="P",Games[[#This Row],[Round]]=1),IF(Games[[#This Row],[Result]]&lt;0.5,1,0),0)</f>
        <v>1</v>
      </c>
      <c r="AG520" s="2">
        <f>IF(AND(Games[[#This Row],[Type]]="P",Games[[#This Row],[Round]]=2),IF(Games[[#This Row],[Result]]&gt;0.5,1,0),0)</f>
        <v>0</v>
      </c>
      <c r="AH520" s="2">
        <f>IF(AND(Games[[#This Row],[Type]]="P",Games[[#This Row],[Round]]=2),IF(Games[[#This Row],[Result]]&lt;0.5,1,0),0)</f>
        <v>0</v>
      </c>
      <c r="AI520" s="2">
        <f>IF(AND(Games[[#This Row],[Type]]="P",Games[[#This Row],[Round]]=3),IF(Games[[#This Row],[Result]]&gt;0.5,1,0),0)</f>
        <v>0</v>
      </c>
      <c r="AJ520" s="2">
        <f>IF(AND(Games[[#This Row],[Type]]="P",Games[[#This Row],[Round]]=3),IF(Games[[#This Row],[Result]]&lt;0.5,1,0),0)</f>
        <v>0</v>
      </c>
      <c r="AK520" s="2">
        <f>IF(AND(Games[[#This Row],[Type]]="P",Games[[#This Row],[Round]]=4),IF(Games[[#This Row],[Result]]&gt;0.5,1,0),0)</f>
        <v>0</v>
      </c>
      <c r="AL520" s="2">
        <f>IF(AND(Games[[#This Row],[Type]]="P",Games[[#This Row],[Round]]=4),IF(Games[[#This Row],[Result]]&lt;0.5,1,0),0)</f>
        <v>0</v>
      </c>
    </row>
    <row r="521" spans="1:38" x14ac:dyDescent="0.35">
      <c r="A521" s="10">
        <v>37121</v>
      </c>
      <c r="B521" s="2">
        <v>2001</v>
      </c>
      <c r="C521" s="2">
        <f>COUNTIFS(Games[Team],Games[[#This Row],[Team]],Games[Season],Games[[#This Row],[Season]],Games[Date],"&lt;=" &amp; Games[[#This Row],[Date]])</f>
        <v>34</v>
      </c>
      <c r="D521" s="2" t="s">
        <v>46</v>
      </c>
      <c r="E521" s="2">
        <v>1</v>
      </c>
      <c r="F521" s="1" t="s">
        <v>1</v>
      </c>
      <c r="G521" s="1" t="s">
        <v>64</v>
      </c>
      <c r="H521" s="1" t="s">
        <v>15</v>
      </c>
      <c r="I521" s="2" cm="1">
        <f t="array" ref="I5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1" s="2" cm="1">
        <f t="array" ref="J5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1" s="2">
        <f>Games[[#This Row],[DaysOff]]-Games[[#This Row],[OppDaysOff]]</f>
        <v>0</v>
      </c>
      <c r="L521" s="2">
        <f>Games[[#This Row],[OppDaysOff]]-Games[[#This Row],[DaysOff]]</f>
        <v>0</v>
      </c>
      <c r="M521" s="16">
        <f>MAX(-16, MIN(16, Games[[#This Row],[RestDiff]]*8))</f>
        <v>0</v>
      </c>
      <c r="N521" s="16">
        <f>MAX(-16, MIN(16, Games[[#This Row],[OppRestDiff]]*8))</f>
        <v>0</v>
      </c>
      <c r="O521" s="4" cm="1">
        <f t="array" ref="O5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1592.7941716345222</v>
      </c>
      <c r="P521" s="4" cm="1">
        <f t="array" ref="P5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1560.9863670617033</v>
      </c>
      <c r="Q521" s="4">
        <f>1/(1+10^(((Games[[#This Row],[OppPreGmRate]]+IF(Games[[#This Row],[HomeAway]]="A",HCA,0)+Games[[#This Row],[OppRestAdj]])-(Games[[#This Row],[PreGmRate]]+IF(Games[[#This Row],[HomeAway]]="H",HCA,0)+Games[[#This Row],[RestAdj]]))/400))</f>
        <v>0.66075113343548075</v>
      </c>
      <c r="R521" s="1">
        <v>69</v>
      </c>
      <c r="S521" s="1">
        <v>51</v>
      </c>
      <c r="T521" s="1">
        <v>0</v>
      </c>
      <c r="U521" s="16">
        <f>Games[[#This Row],[PointsFor]]-Games[[#This Row],[PointsAgainst]]</f>
        <v>18</v>
      </c>
      <c r="V521" s="16">
        <f>IF(Games[[#This Row],[MOV]]&gt;0,1,IF(Games[[#This Row],[MOV]]=0,0.5,0))</f>
        <v>1</v>
      </c>
      <c r="W521" s="4">
        <f>((ABS(Games[[#This Row],[MOV]])+5)^0.6)/(12+0.01*(ABS(Games[[#This Row],[PreGmRate]]-Games[[#This Row],[OppPreGmRate]])))*IF(Games[[#This Row],[OT]]=1,0.9,1)</f>
        <v>0.53271355816677146</v>
      </c>
      <c r="X521" s="7" cm="1">
        <f t="array" ref="X5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1" s="9">
        <f>MAX(kmin, kmax - 0.15 * MIN(Games[[#This Row],[GamesPlayed]], 82))</f>
        <v>70.900000000000006</v>
      </c>
      <c r="Z521" s="4">
        <f>Games[[#This Row],[K]]*Games[[#This Row],[POMult]]</f>
        <v>77.990000000000009</v>
      </c>
      <c r="AA521" s="4">
        <f>(Games[[#This Row],[Keff]]*Games[[#This Row],[MOVMult]])*(Games[[#This Row],[Result]]-Games[[#This Row],[ExpectedWin%]])</f>
        <v>14.094545498598972</v>
      </c>
      <c r="AB521" s="4">
        <f>Games[[#This Row],[PreGmRate]]+Games[[#This Row],[RatingChange]]</f>
        <v>1606.8887171331212</v>
      </c>
      <c r="AC521" s="2">
        <f>IF(Games[[#This Row],[Type]]="R",IF(Games[[#This Row],[Result]]&gt;0.5,1,0),0)</f>
        <v>0</v>
      </c>
      <c r="AD521" s="2">
        <f>IF(Games[[#This Row],[Type]]="R",IF(Games[[#This Row],[Result]]&lt;0.5,1,0),0)</f>
        <v>0</v>
      </c>
      <c r="AE521" s="2">
        <f>IF(AND(Games[[#This Row],[Type]]="P",Games[[#This Row],[Round]]=1),IF(Games[[#This Row],[Result]]&gt;0.5,1,0),0)</f>
        <v>1</v>
      </c>
      <c r="AF521" s="2">
        <f>IF(AND(Games[[#This Row],[Type]]="P",Games[[#This Row],[Round]]=1),IF(Games[[#This Row],[Result]]&lt;0.5,1,0),0)</f>
        <v>0</v>
      </c>
      <c r="AG521" s="2">
        <f>IF(AND(Games[[#This Row],[Type]]="P",Games[[#This Row],[Round]]=2),IF(Games[[#This Row],[Result]]&gt;0.5,1,0),0)</f>
        <v>0</v>
      </c>
      <c r="AH521" s="2">
        <f>IF(AND(Games[[#This Row],[Type]]="P",Games[[#This Row],[Round]]=2),IF(Games[[#This Row],[Result]]&lt;0.5,1,0),0)</f>
        <v>0</v>
      </c>
      <c r="AI521" s="2">
        <f>IF(AND(Games[[#This Row],[Type]]="P",Games[[#This Row],[Round]]=3),IF(Games[[#This Row],[Result]]&gt;0.5,1,0),0)</f>
        <v>0</v>
      </c>
      <c r="AJ521" s="2">
        <f>IF(AND(Games[[#This Row],[Type]]="P",Games[[#This Row],[Round]]=3),IF(Games[[#This Row],[Result]]&lt;0.5,1,0),0)</f>
        <v>0</v>
      </c>
      <c r="AK521" s="2">
        <f>IF(AND(Games[[#This Row],[Type]]="P",Games[[#This Row],[Round]]=4),IF(Games[[#This Row],[Result]]&gt;0.5,1,0),0)</f>
        <v>0</v>
      </c>
      <c r="AL521" s="2">
        <f>IF(AND(Games[[#This Row],[Type]]="P",Games[[#This Row],[Round]]=4),IF(Games[[#This Row],[Result]]&lt;0.5,1,0),0)</f>
        <v>0</v>
      </c>
    </row>
    <row r="522" spans="1:38" x14ac:dyDescent="0.35">
      <c r="A522" s="10">
        <v>37121</v>
      </c>
      <c r="B522" s="2">
        <v>2001</v>
      </c>
      <c r="C522" s="2">
        <f>COUNTIFS(Games[Team],Games[[#This Row],[Team]],Games[Season],Games[[#This Row],[Season]],Games[Date],"&lt;=" &amp; Games[[#This Row],[Date]])</f>
        <v>33</v>
      </c>
      <c r="D522" s="2" t="s">
        <v>46</v>
      </c>
      <c r="E522" s="2">
        <v>1</v>
      </c>
      <c r="F522" s="1" t="s">
        <v>71</v>
      </c>
      <c r="G522" s="1" t="s">
        <v>2</v>
      </c>
      <c r="H522" s="1" t="s">
        <v>16</v>
      </c>
      <c r="I522" s="2" cm="1">
        <f t="array" ref="I5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2" s="2" cm="1">
        <f t="array" ref="J52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2" s="2">
        <f>Games[[#This Row],[DaysOff]]-Games[[#This Row],[OppDaysOff]]</f>
        <v>0</v>
      </c>
      <c r="L522" s="2">
        <f>Games[[#This Row],[OppDaysOff]]-Games[[#This Row],[DaysOff]]</f>
        <v>0</v>
      </c>
      <c r="M522" s="16">
        <f>MAX(-16, MIN(16, Games[[#This Row],[RestDiff]]*8))</f>
        <v>0</v>
      </c>
      <c r="N522" s="16">
        <f>MAX(-16, MIN(16, Games[[#This Row],[OppRestDiff]]*8))</f>
        <v>0</v>
      </c>
      <c r="O522" s="4" cm="1">
        <f t="array" ref="O5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1737.1060354979525</v>
      </c>
      <c r="P522" s="4" cm="1">
        <f t="array" ref="P5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1568.0547764030616</v>
      </c>
      <c r="Q522" s="4">
        <f>1/(1+10^(((Games[[#This Row],[OppPreGmRate]]+IF(Games[[#This Row],[HomeAway]]="A",HCA,0)+Games[[#This Row],[OppRestAdj]])-(Games[[#This Row],[PreGmRate]]+IF(Games[[#This Row],[HomeAway]]="H",HCA,0)+Games[[#This Row],[RestAdj]]))/400))</f>
        <v>0.62001087947933087</v>
      </c>
      <c r="R522" s="1">
        <v>64</v>
      </c>
      <c r="S522" s="1">
        <v>59</v>
      </c>
      <c r="T522" s="1">
        <v>0</v>
      </c>
      <c r="U522" s="16">
        <f>Games[[#This Row],[PointsFor]]-Games[[#This Row],[PointsAgainst]]</f>
        <v>5</v>
      </c>
      <c r="V522" s="16">
        <f>IF(Games[[#This Row],[MOV]]&gt;0,1,IF(Games[[#This Row],[MOV]]=0,0.5,0))</f>
        <v>1</v>
      </c>
      <c r="W522" s="4">
        <f>((ABS(Games[[#This Row],[MOV]])+5)^0.6)/(12+0.01*(ABS(Games[[#This Row],[PreGmRate]]-Games[[#This Row],[OppPreGmRate]])))*IF(Games[[#This Row],[OT]]=1,0.9,1)</f>
        <v>0.2907905514193051</v>
      </c>
      <c r="X522" s="7" cm="1">
        <f t="array" ref="X5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2" s="9">
        <f>MAX(kmin, kmax - 0.15 * MIN(Games[[#This Row],[GamesPlayed]], 82))</f>
        <v>71.05</v>
      </c>
      <c r="Z522" s="4">
        <f>Games[[#This Row],[K]]*Games[[#This Row],[POMult]]</f>
        <v>78.155000000000001</v>
      </c>
      <c r="AA522" s="4">
        <f>(Games[[#This Row],[Keff]]*Games[[#This Row],[MOVMult]])*(Games[[#This Row],[Result]]-Games[[#This Row],[ExpectedWin%]])</f>
        <v>8.6359122524971674</v>
      </c>
      <c r="AB522" s="4">
        <f>Games[[#This Row],[PreGmRate]]+Games[[#This Row],[RatingChange]]</f>
        <v>1745.7419477504495</v>
      </c>
      <c r="AC522" s="2">
        <f>IF(Games[[#This Row],[Type]]="R",IF(Games[[#This Row],[Result]]&gt;0.5,1,0),0)</f>
        <v>0</v>
      </c>
      <c r="AD522" s="2">
        <f>IF(Games[[#This Row],[Type]]="R",IF(Games[[#This Row],[Result]]&lt;0.5,1,0),0)</f>
        <v>0</v>
      </c>
      <c r="AE522" s="2">
        <f>IF(AND(Games[[#This Row],[Type]]="P",Games[[#This Row],[Round]]=1),IF(Games[[#This Row],[Result]]&gt;0.5,1,0),0)</f>
        <v>1</v>
      </c>
      <c r="AF522" s="2">
        <f>IF(AND(Games[[#This Row],[Type]]="P",Games[[#This Row],[Round]]=1),IF(Games[[#This Row],[Result]]&lt;0.5,1,0),0)</f>
        <v>0</v>
      </c>
      <c r="AG522" s="2">
        <f>IF(AND(Games[[#This Row],[Type]]="P",Games[[#This Row],[Round]]=2),IF(Games[[#This Row],[Result]]&gt;0.5,1,0),0)</f>
        <v>0</v>
      </c>
      <c r="AH522" s="2">
        <f>IF(AND(Games[[#This Row],[Type]]="P",Games[[#This Row],[Round]]=2),IF(Games[[#This Row],[Result]]&lt;0.5,1,0),0)</f>
        <v>0</v>
      </c>
      <c r="AI522" s="2">
        <f>IF(AND(Games[[#This Row],[Type]]="P",Games[[#This Row],[Round]]=3),IF(Games[[#This Row],[Result]]&gt;0.5,1,0),0)</f>
        <v>0</v>
      </c>
      <c r="AJ522" s="2">
        <f>IF(AND(Games[[#This Row],[Type]]="P",Games[[#This Row],[Round]]=3),IF(Games[[#This Row],[Result]]&lt;0.5,1,0),0)</f>
        <v>0</v>
      </c>
      <c r="AK522" s="2">
        <f>IF(AND(Games[[#This Row],[Type]]="P",Games[[#This Row],[Round]]=4),IF(Games[[#This Row],[Result]]&gt;0.5,1,0),0)</f>
        <v>0</v>
      </c>
      <c r="AL522" s="2">
        <f>IF(AND(Games[[#This Row],[Type]]="P",Games[[#This Row],[Round]]=4),IF(Games[[#This Row],[Result]]&lt;0.5,1,0),0)</f>
        <v>0</v>
      </c>
    </row>
    <row r="523" spans="1:38" x14ac:dyDescent="0.35">
      <c r="A523" s="10">
        <v>37121</v>
      </c>
      <c r="B523" s="2">
        <v>2001</v>
      </c>
      <c r="C523" s="2">
        <f>COUNTIFS(Games[Team],Games[[#This Row],[Team]],Games[Season],Games[[#This Row],[Season]],Games[Date],"&lt;=" &amp; Games[[#This Row],[Date]])</f>
        <v>33</v>
      </c>
      <c r="D523" s="2" t="s">
        <v>46</v>
      </c>
      <c r="E523" s="2">
        <v>1</v>
      </c>
      <c r="F523" s="1" t="s">
        <v>2</v>
      </c>
      <c r="G523" s="1" t="s">
        <v>71</v>
      </c>
      <c r="H523" s="1" t="s">
        <v>15</v>
      </c>
      <c r="I523" s="2" cm="1">
        <f t="array" ref="I523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3" s="2" cm="1">
        <f t="array" ref="J5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3" s="2">
        <f>Games[[#This Row],[DaysOff]]-Games[[#This Row],[OppDaysOff]]</f>
        <v>0</v>
      </c>
      <c r="L523" s="2">
        <f>Games[[#This Row],[OppDaysOff]]-Games[[#This Row],[DaysOff]]</f>
        <v>0</v>
      </c>
      <c r="M523" s="16">
        <f>MAX(-16, MIN(16, Games[[#This Row],[RestDiff]]*8))</f>
        <v>0</v>
      </c>
      <c r="N523" s="16">
        <f>MAX(-16, MIN(16, Games[[#This Row],[OppRestDiff]]*8))</f>
        <v>0</v>
      </c>
      <c r="O523" s="4" cm="1">
        <f t="array" ref="O5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1568.0547764030616</v>
      </c>
      <c r="P523" s="4" cm="1">
        <f t="array" ref="P5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1737.1060354979525</v>
      </c>
      <c r="Q523" s="4">
        <f>1/(1+10^(((Games[[#This Row],[OppPreGmRate]]+IF(Games[[#This Row],[HomeAway]]="A",HCA,0)+Games[[#This Row],[OppRestAdj]])-(Games[[#This Row],[PreGmRate]]+IF(Games[[#This Row],[HomeAway]]="H",HCA,0)+Games[[#This Row],[RestAdj]]))/400))</f>
        <v>0.37998912052066913</v>
      </c>
      <c r="R523" s="1">
        <v>59</v>
      </c>
      <c r="S523" s="1">
        <v>64</v>
      </c>
      <c r="T523" s="1">
        <v>0</v>
      </c>
      <c r="U523" s="16">
        <f>Games[[#This Row],[PointsFor]]-Games[[#This Row],[PointsAgainst]]</f>
        <v>-5</v>
      </c>
      <c r="V523" s="16">
        <f>IF(Games[[#This Row],[MOV]]&gt;0,1,IF(Games[[#This Row],[MOV]]=0,0.5,0))</f>
        <v>0</v>
      </c>
      <c r="W523" s="4">
        <f>((ABS(Games[[#This Row],[MOV]])+5)^0.6)/(12+0.01*(ABS(Games[[#This Row],[PreGmRate]]-Games[[#This Row],[OppPreGmRate]])))*IF(Games[[#This Row],[OT]]=1,0.9,1)</f>
        <v>0.2907905514193051</v>
      </c>
      <c r="X523" s="7" cm="1">
        <f t="array" ref="X5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3" s="9">
        <f>MAX(kmin, kmax - 0.15 * MIN(Games[[#This Row],[GamesPlayed]], 82))</f>
        <v>71.05</v>
      </c>
      <c r="Z523" s="4">
        <f>Games[[#This Row],[K]]*Games[[#This Row],[POMult]]</f>
        <v>78.155000000000001</v>
      </c>
      <c r="AA523" s="4">
        <f>(Games[[#This Row],[Keff]]*Games[[#This Row],[MOVMult]])*(Games[[#This Row],[Result]]-Games[[#This Row],[ExpectedWin%]])</f>
        <v>-8.6359122524971674</v>
      </c>
      <c r="AB523" s="4">
        <f>Games[[#This Row],[PreGmRate]]+Games[[#This Row],[RatingChange]]</f>
        <v>1559.4188641505646</v>
      </c>
      <c r="AC523" s="2">
        <f>IF(Games[[#This Row],[Type]]="R",IF(Games[[#This Row],[Result]]&gt;0.5,1,0),0)</f>
        <v>0</v>
      </c>
      <c r="AD523" s="2">
        <f>IF(Games[[#This Row],[Type]]="R",IF(Games[[#This Row],[Result]]&lt;0.5,1,0),0)</f>
        <v>0</v>
      </c>
      <c r="AE523" s="2">
        <f>IF(AND(Games[[#This Row],[Type]]="P",Games[[#This Row],[Round]]=1),IF(Games[[#This Row],[Result]]&gt;0.5,1,0),0)</f>
        <v>0</v>
      </c>
      <c r="AF523" s="2">
        <f>IF(AND(Games[[#This Row],[Type]]="P",Games[[#This Row],[Round]]=1),IF(Games[[#This Row],[Result]]&lt;0.5,1,0),0)</f>
        <v>1</v>
      </c>
      <c r="AG523" s="2">
        <f>IF(AND(Games[[#This Row],[Type]]="P",Games[[#This Row],[Round]]=2),IF(Games[[#This Row],[Result]]&gt;0.5,1,0),0)</f>
        <v>0</v>
      </c>
      <c r="AH523" s="2">
        <f>IF(AND(Games[[#This Row],[Type]]="P",Games[[#This Row],[Round]]=2),IF(Games[[#This Row],[Result]]&lt;0.5,1,0),0)</f>
        <v>0</v>
      </c>
      <c r="AI523" s="2">
        <f>IF(AND(Games[[#This Row],[Type]]="P",Games[[#This Row],[Round]]=3),IF(Games[[#This Row],[Result]]&gt;0.5,1,0),0)</f>
        <v>0</v>
      </c>
      <c r="AJ523" s="2">
        <f>IF(AND(Games[[#This Row],[Type]]="P",Games[[#This Row],[Round]]=3),IF(Games[[#This Row],[Result]]&lt;0.5,1,0),0)</f>
        <v>0</v>
      </c>
      <c r="AK523" s="2">
        <f>IF(AND(Games[[#This Row],[Type]]="P",Games[[#This Row],[Round]]=4),IF(Games[[#This Row],[Result]]&gt;0.5,1,0),0)</f>
        <v>0</v>
      </c>
      <c r="AL523" s="2">
        <f>IF(AND(Games[[#This Row],[Type]]="P",Games[[#This Row],[Round]]=4),IF(Games[[#This Row],[Result]]&lt;0.5,1,0),0)</f>
        <v>0</v>
      </c>
    </row>
    <row r="524" spans="1:38" x14ac:dyDescent="0.35">
      <c r="A524" s="10">
        <v>37122</v>
      </c>
      <c r="B524" s="2">
        <v>2001</v>
      </c>
      <c r="C524" s="2">
        <f>COUNTIFS(Games[Team],Games[[#This Row],[Team]],Games[Season],Games[[#This Row],[Season]],Games[Date],"&lt;=" &amp; Games[[#This Row],[Date]])</f>
        <v>34</v>
      </c>
      <c r="D524" s="2" t="s">
        <v>46</v>
      </c>
      <c r="E524" s="2">
        <v>1</v>
      </c>
      <c r="F524" s="1" t="s">
        <v>83</v>
      </c>
      <c r="G524" s="1" t="s">
        <v>66</v>
      </c>
      <c r="H524" s="1" t="s">
        <v>16</v>
      </c>
      <c r="I524" s="2" cm="1">
        <f t="array" ref="I5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4" s="2" cm="1">
        <f t="array" ref="J5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4" s="2">
        <f>Games[[#This Row],[DaysOff]]-Games[[#This Row],[OppDaysOff]]</f>
        <v>0</v>
      </c>
      <c r="L524" s="2">
        <f>Games[[#This Row],[OppDaysOff]]-Games[[#This Row],[DaysOff]]</f>
        <v>0</v>
      </c>
      <c r="M524" s="16">
        <f>MAX(-16, MIN(16, Games[[#This Row],[RestDiff]]*8))</f>
        <v>0</v>
      </c>
      <c r="N524" s="16">
        <f>MAX(-16, MIN(16, Games[[#This Row],[OppRestDiff]]*8))</f>
        <v>0</v>
      </c>
      <c r="O524" s="4" cm="1">
        <f t="array" ref="O5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1536.8562148224021</v>
      </c>
      <c r="P524" s="4" cm="1">
        <f t="array" ref="P5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1592.7189987418797</v>
      </c>
      <c r="Q524" s="4">
        <f>1/(1+10^(((Games[[#This Row],[OppPreGmRate]]+IF(Games[[#This Row],[HomeAway]]="A",HCA,0)+Games[[#This Row],[OppRestAdj]])-(Games[[#This Row],[PreGmRate]]+IF(Games[[#This Row],[HomeAway]]="H",HCA,0)+Games[[#This Row],[RestAdj]]))/400))</f>
        <v>0.30893245597451707</v>
      </c>
      <c r="R524" s="1">
        <v>53</v>
      </c>
      <c r="S524" s="1">
        <v>50</v>
      </c>
      <c r="T524" s="1">
        <v>0</v>
      </c>
      <c r="U524" s="16">
        <f>Games[[#This Row],[PointsFor]]-Games[[#This Row],[PointsAgainst]]</f>
        <v>3</v>
      </c>
      <c r="V524" s="16">
        <f>IF(Games[[#This Row],[MOV]]&gt;0,1,IF(Games[[#This Row],[MOV]]=0,0.5,0))</f>
        <v>1</v>
      </c>
      <c r="W524" s="4">
        <f>((ABS(Games[[#This Row],[MOV]])+5)^0.6)/(12+0.01*(ABS(Games[[#This Row],[PreGmRate]]-Games[[#This Row],[OppPreGmRate]])))*IF(Games[[#This Row],[OT]]=1,0.9,1)</f>
        <v>0.27727569426945975</v>
      </c>
      <c r="X524" s="7" cm="1">
        <f t="array" ref="X5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4" s="9">
        <f>MAX(kmin, kmax - 0.15 * MIN(Games[[#This Row],[GamesPlayed]], 82))</f>
        <v>70.900000000000006</v>
      </c>
      <c r="Z524" s="4">
        <f>Games[[#This Row],[K]]*Games[[#This Row],[POMult]]</f>
        <v>77.990000000000009</v>
      </c>
      <c r="AA524" s="4">
        <f>(Games[[#This Row],[Keff]]*Games[[#This Row],[MOVMult]])*(Games[[#This Row],[Result]]-Games[[#This Row],[ExpectedWin%]])</f>
        <v>14.944150016096421</v>
      </c>
      <c r="AB524" s="4">
        <f>Games[[#This Row],[PreGmRate]]+Games[[#This Row],[RatingChange]]</f>
        <v>1551.8003648384986</v>
      </c>
      <c r="AC524" s="2">
        <f>IF(Games[[#This Row],[Type]]="R",IF(Games[[#This Row],[Result]]&gt;0.5,1,0),0)</f>
        <v>0</v>
      </c>
      <c r="AD524" s="2">
        <f>IF(Games[[#This Row],[Type]]="R",IF(Games[[#This Row],[Result]]&lt;0.5,1,0),0)</f>
        <v>0</v>
      </c>
      <c r="AE524" s="2">
        <f>IF(AND(Games[[#This Row],[Type]]="P",Games[[#This Row],[Round]]=1),IF(Games[[#This Row],[Result]]&gt;0.5,1,0),0)</f>
        <v>1</v>
      </c>
      <c r="AF524" s="2">
        <f>IF(AND(Games[[#This Row],[Type]]="P",Games[[#This Row],[Round]]=1),IF(Games[[#This Row],[Result]]&lt;0.5,1,0),0)</f>
        <v>0</v>
      </c>
      <c r="AG524" s="2">
        <f>IF(AND(Games[[#This Row],[Type]]="P",Games[[#This Row],[Round]]=2),IF(Games[[#This Row],[Result]]&gt;0.5,1,0),0)</f>
        <v>0</v>
      </c>
      <c r="AH524" s="2">
        <f>IF(AND(Games[[#This Row],[Type]]="P",Games[[#This Row],[Round]]=2),IF(Games[[#This Row],[Result]]&lt;0.5,1,0),0)</f>
        <v>0</v>
      </c>
      <c r="AI524" s="2">
        <f>IF(AND(Games[[#This Row],[Type]]="P",Games[[#This Row],[Round]]=3),IF(Games[[#This Row],[Result]]&gt;0.5,1,0),0)</f>
        <v>0</v>
      </c>
      <c r="AJ524" s="2">
        <f>IF(AND(Games[[#This Row],[Type]]="P",Games[[#This Row],[Round]]=3),IF(Games[[#This Row],[Result]]&lt;0.5,1,0),0)</f>
        <v>0</v>
      </c>
      <c r="AK524" s="2">
        <f>IF(AND(Games[[#This Row],[Type]]="P",Games[[#This Row],[Round]]=4),IF(Games[[#This Row],[Result]]&gt;0.5,1,0),0)</f>
        <v>0</v>
      </c>
      <c r="AL524" s="2">
        <f>IF(AND(Games[[#This Row],[Type]]="P",Games[[#This Row],[Round]]=4),IF(Games[[#This Row],[Result]]&lt;0.5,1,0),0)</f>
        <v>0</v>
      </c>
    </row>
    <row r="525" spans="1:38" x14ac:dyDescent="0.35">
      <c r="A525" s="10">
        <v>37122</v>
      </c>
      <c r="B525" s="2">
        <v>2001</v>
      </c>
      <c r="C525" s="2">
        <f>COUNTIFS(Games[Team],Games[[#This Row],[Team]],Games[Season],Games[[#This Row],[Season]],Games[Date],"&lt;=" &amp; Games[[#This Row],[Date]])</f>
        <v>34</v>
      </c>
      <c r="D525" s="2" t="s">
        <v>46</v>
      </c>
      <c r="E525" s="2">
        <v>1</v>
      </c>
      <c r="F525" s="1" t="s">
        <v>66</v>
      </c>
      <c r="G525" s="1" t="s">
        <v>83</v>
      </c>
      <c r="H525" s="1" t="s">
        <v>15</v>
      </c>
      <c r="I525" s="2" cm="1">
        <f t="array" ref="I5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5" s="2" cm="1">
        <f t="array" ref="J5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5" s="2">
        <f>Games[[#This Row],[DaysOff]]-Games[[#This Row],[OppDaysOff]]</f>
        <v>0</v>
      </c>
      <c r="L525" s="2">
        <f>Games[[#This Row],[OppDaysOff]]-Games[[#This Row],[DaysOff]]</f>
        <v>0</v>
      </c>
      <c r="M525" s="16">
        <f>MAX(-16, MIN(16, Games[[#This Row],[RestDiff]]*8))</f>
        <v>0</v>
      </c>
      <c r="N525" s="16">
        <f>MAX(-16, MIN(16, Games[[#This Row],[OppRestDiff]]*8))</f>
        <v>0</v>
      </c>
      <c r="O525" s="4" cm="1">
        <f t="array" ref="O5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1592.7189987418797</v>
      </c>
      <c r="P525" s="4" cm="1">
        <f t="array" ref="P5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1536.8562148224021</v>
      </c>
      <c r="Q525" s="4">
        <f>1/(1+10^(((Games[[#This Row],[OppPreGmRate]]+IF(Games[[#This Row],[HomeAway]]="A",HCA,0)+Games[[#This Row],[OppRestAdj]])-(Games[[#This Row],[PreGmRate]]+IF(Games[[#This Row],[HomeAway]]="H",HCA,0)+Games[[#This Row],[RestAdj]]))/400))</f>
        <v>0.69106754402548287</v>
      </c>
      <c r="R525" s="1">
        <v>50</v>
      </c>
      <c r="S525" s="1">
        <v>53</v>
      </c>
      <c r="T525" s="1">
        <v>0</v>
      </c>
      <c r="U525" s="16">
        <f>Games[[#This Row],[PointsFor]]-Games[[#This Row],[PointsAgainst]]</f>
        <v>-3</v>
      </c>
      <c r="V525" s="16">
        <f>IF(Games[[#This Row],[MOV]]&gt;0,1,IF(Games[[#This Row],[MOV]]=0,0.5,0))</f>
        <v>0</v>
      </c>
      <c r="W525" s="4">
        <f>((ABS(Games[[#This Row],[MOV]])+5)^0.6)/(12+0.01*(ABS(Games[[#This Row],[PreGmRate]]-Games[[#This Row],[OppPreGmRate]])))*IF(Games[[#This Row],[OT]]=1,0.9,1)</f>
        <v>0.27727569426945975</v>
      </c>
      <c r="X525" s="7" cm="1">
        <f t="array" ref="X5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5" s="9">
        <f>MAX(kmin, kmax - 0.15 * MIN(Games[[#This Row],[GamesPlayed]], 82))</f>
        <v>70.900000000000006</v>
      </c>
      <c r="Z525" s="4">
        <f>Games[[#This Row],[K]]*Games[[#This Row],[POMult]]</f>
        <v>77.990000000000009</v>
      </c>
      <c r="AA525" s="4">
        <f>(Games[[#This Row],[Keff]]*Games[[#This Row],[MOVMult]])*(Games[[#This Row],[Result]]-Games[[#This Row],[ExpectedWin%]])</f>
        <v>-14.944150016096419</v>
      </c>
      <c r="AB525" s="4">
        <f>Games[[#This Row],[PreGmRate]]+Games[[#This Row],[RatingChange]]</f>
        <v>1577.7748487257832</v>
      </c>
      <c r="AC525" s="2">
        <f>IF(Games[[#This Row],[Type]]="R",IF(Games[[#This Row],[Result]]&gt;0.5,1,0),0)</f>
        <v>0</v>
      </c>
      <c r="AD525" s="2">
        <f>IF(Games[[#This Row],[Type]]="R",IF(Games[[#This Row],[Result]]&lt;0.5,1,0),0)</f>
        <v>0</v>
      </c>
      <c r="AE525" s="2">
        <f>IF(AND(Games[[#This Row],[Type]]="P",Games[[#This Row],[Round]]=1),IF(Games[[#This Row],[Result]]&gt;0.5,1,0),0)</f>
        <v>0</v>
      </c>
      <c r="AF525" s="2">
        <f>IF(AND(Games[[#This Row],[Type]]="P",Games[[#This Row],[Round]]=1),IF(Games[[#This Row],[Result]]&lt;0.5,1,0),0)</f>
        <v>1</v>
      </c>
      <c r="AG525" s="2">
        <f>IF(AND(Games[[#This Row],[Type]]="P",Games[[#This Row],[Round]]=2),IF(Games[[#This Row],[Result]]&gt;0.5,1,0),0)</f>
        <v>0</v>
      </c>
      <c r="AH525" s="2">
        <f>IF(AND(Games[[#This Row],[Type]]="P",Games[[#This Row],[Round]]=2),IF(Games[[#This Row],[Result]]&lt;0.5,1,0),0)</f>
        <v>0</v>
      </c>
      <c r="AI525" s="2">
        <f>IF(AND(Games[[#This Row],[Type]]="P",Games[[#This Row],[Round]]=3),IF(Games[[#This Row],[Result]]&gt;0.5,1,0),0)</f>
        <v>0</v>
      </c>
      <c r="AJ525" s="2">
        <f>IF(AND(Games[[#This Row],[Type]]="P",Games[[#This Row],[Round]]=3),IF(Games[[#This Row],[Result]]&lt;0.5,1,0),0)</f>
        <v>0</v>
      </c>
      <c r="AK525" s="2">
        <f>IF(AND(Games[[#This Row],[Type]]="P",Games[[#This Row],[Round]]=4),IF(Games[[#This Row],[Result]]&gt;0.5,1,0),0)</f>
        <v>0</v>
      </c>
      <c r="AL525" s="2">
        <f>IF(AND(Games[[#This Row],[Type]]="P",Games[[#This Row],[Round]]=4),IF(Games[[#This Row],[Result]]&lt;0.5,1,0),0)</f>
        <v>0</v>
      </c>
    </row>
    <row r="526" spans="1:38" x14ac:dyDescent="0.35">
      <c r="A526" s="10">
        <v>37122</v>
      </c>
      <c r="B526" s="2">
        <v>2001</v>
      </c>
      <c r="C526" s="2">
        <f>COUNTIFS(Games[Team],Games[[#This Row],[Team]],Games[Season],Games[[#This Row],[Season]],Games[Date],"&lt;=" &amp; Games[[#This Row],[Date]])</f>
        <v>34</v>
      </c>
      <c r="D526" s="2" t="s">
        <v>46</v>
      </c>
      <c r="E526" s="2">
        <v>1</v>
      </c>
      <c r="F526" s="1" t="s">
        <v>43</v>
      </c>
      <c r="G526" s="1" t="s">
        <v>45</v>
      </c>
      <c r="H526" s="1" t="s">
        <v>16</v>
      </c>
      <c r="I526" s="2" cm="1">
        <f t="array" ref="I5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6" s="2" cm="1">
        <f t="array" ref="J5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6" s="2">
        <f>Games[[#This Row],[DaysOff]]-Games[[#This Row],[OppDaysOff]]</f>
        <v>0</v>
      </c>
      <c r="L526" s="2">
        <f>Games[[#This Row],[OppDaysOff]]-Games[[#This Row],[DaysOff]]</f>
        <v>0</v>
      </c>
      <c r="M526" s="16">
        <f>MAX(-16, MIN(16, Games[[#This Row],[RestDiff]]*8))</f>
        <v>0</v>
      </c>
      <c r="N526" s="16">
        <f>MAX(-16, MIN(16, Games[[#This Row],[OppRestDiff]]*8))</f>
        <v>0</v>
      </c>
      <c r="O526" s="4" cm="1">
        <f t="array" ref="O5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1536.6744433492729</v>
      </c>
      <c r="P526" s="4" cm="1">
        <f t="array" ref="P5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1635.2890152127645</v>
      </c>
      <c r="Q526" s="4">
        <f>1/(1+10^(((Games[[#This Row],[OppPreGmRate]]+IF(Games[[#This Row],[HomeAway]]="A",HCA,0)+Games[[#This Row],[OppRestAdj]])-(Games[[#This Row],[PreGmRate]]+IF(Games[[#This Row],[HomeAway]]="H",HCA,0)+Games[[#This Row],[RestAdj]]))/400))</f>
        <v>0.25899205199492303</v>
      </c>
      <c r="R526" s="1">
        <v>66</v>
      </c>
      <c r="S526" s="1">
        <v>71</v>
      </c>
      <c r="T526" s="1">
        <v>0</v>
      </c>
      <c r="U526" s="16">
        <f>Games[[#This Row],[PointsFor]]-Games[[#This Row],[PointsAgainst]]</f>
        <v>-5</v>
      </c>
      <c r="V526" s="16">
        <f>IF(Games[[#This Row],[MOV]]&gt;0,1,IF(Games[[#This Row],[MOV]]=0,0.5,0))</f>
        <v>0</v>
      </c>
      <c r="W526" s="4">
        <f>((ABS(Games[[#This Row],[MOV]])+5)^0.6)/(12+0.01*(ABS(Games[[#This Row],[PreGmRate]]-Games[[#This Row],[OppPreGmRate]])))*IF(Games[[#This Row],[OT]]=1,0.9,1)</f>
        <v>0.30656299350023442</v>
      </c>
      <c r="X526" s="7" cm="1">
        <f t="array" ref="X5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6" s="9">
        <f>MAX(kmin, kmax - 0.15 * MIN(Games[[#This Row],[GamesPlayed]], 82))</f>
        <v>70.900000000000006</v>
      </c>
      <c r="Z526" s="4">
        <f>Games[[#This Row],[K]]*Games[[#This Row],[POMult]]</f>
        <v>77.990000000000009</v>
      </c>
      <c r="AA526" s="4">
        <f>(Games[[#This Row],[Keff]]*Games[[#This Row],[MOVMult]])*(Games[[#This Row],[Result]]-Games[[#This Row],[ExpectedWin%]])</f>
        <v>-6.1922015688943706</v>
      </c>
      <c r="AB526" s="4">
        <f>Games[[#This Row],[PreGmRate]]+Games[[#This Row],[RatingChange]]</f>
        <v>1530.4822417803784</v>
      </c>
      <c r="AC526" s="2">
        <f>IF(Games[[#This Row],[Type]]="R",IF(Games[[#This Row],[Result]]&gt;0.5,1,0),0)</f>
        <v>0</v>
      </c>
      <c r="AD526" s="2">
        <f>IF(Games[[#This Row],[Type]]="R",IF(Games[[#This Row],[Result]]&lt;0.5,1,0),0)</f>
        <v>0</v>
      </c>
      <c r="AE526" s="2">
        <f>IF(AND(Games[[#This Row],[Type]]="P",Games[[#This Row],[Round]]=1),IF(Games[[#This Row],[Result]]&gt;0.5,1,0),0)</f>
        <v>0</v>
      </c>
      <c r="AF526" s="2">
        <f>IF(AND(Games[[#This Row],[Type]]="P",Games[[#This Row],[Round]]=1),IF(Games[[#This Row],[Result]]&lt;0.5,1,0),0)</f>
        <v>1</v>
      </c>
      <c r="AG526" s="2">
        <f>IF(AND(Games[[#This Row],[Type]]="P",Games[[#This Row],[Round]]=2),IF(Games[[#This Row],[Result]]&gt;0.5,1,0),0)</f>
        <v>0</v>
      </c>
      <c r="AH526" s="2">
        <f>IF(AND(Games[[#This Row],[Type]]="P",Games[[#This Row],[Round]]=2),IF(Games[[#This Row],[Result]]&lt;0.5,1,0),0)</f>
        <v>0</v>
      </c>
      <c r="AI526" s="2">
        <f>IF(AND(Games[[#This Row],[Type]]="P",Games[[#This Row],[Round]]=3),IF(Games[[#This Row],[Result]]&gt;0.5,1,0),0)</f>
        <v>0</v>
      </c>
      <c r="AJ526" s="2">
        <f>IF(AND(Games[[#This Row],[Type]]="P",Games[[#This Row],[Round]]=3),IF(Games[[#This Row],[Result]]&lt;0.5,1,0),0)</f>
        <v>0</v>
      </c>
      <c r="AK526" s="2">
        <f>IF(AND(Games[[#This Row],[Type]]="P",Games[[#This Row],[Round]]=4),IF(Games[[#This Row],[Result]]&gt;0.5,1,0),0)</f>
        <v>0</v>
      </c>
      <c r="AL526" s="2">
        <f>IF(AND(Games[[#This Row],[Type]]="P",Games[[#This Row],[Round]]=4),IF(Games[[#This Row],[Result]]&lt;0.5,1,0),0)</f>
        <v>0</v>
      </c>
    </row>
    <row r="527" spans="1:38" x14ac:dyDescent="0.35">
      <c r="A527" s="10">
        <v>37122</v>
      </c>
      <c r="B527" s="2">
        <v>2001</v>
      </c>
      <c r="C527" s="2">
        <f>COUNTIFS(Games[Team],Games[[#This Row],[Team]],Games[Season],Games[[#This Row],[Season]],Games[Date],"&lt;=" &amp; Games[[#This Row],[Date]])</f>
        <v>34</v>
      </c>
      <c r="D527" s="2" t="s">
        <v>46</v>
      </c>
      <c r="E527" s="2">
        <v>1</v>
      </c>
      <c r="F527" s="1" t="s">
        <v>45</v>
      </c>
      <c r="G527" s="1" t="s">
        <v>43</v>
      </c>
      <c r="H527" s="1" t="s">
        <v>15</v>
      </c>
      <c r="I527" s="2" cm="1">
        <f t="array" ref="I5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7" s="2" cm="1">
        <f t="array" ref="J5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7" s="2">
        <f>Games[[#This Row],[DaysOff]]-Games[[#This Row],[OppDaysOff]]</f>
        <v>0</v>
      </c>
      <c r="L527" s="2">
        <f>Games[[#This Row],[OppDaysOff]]-Games[[#This Row],[DaysOff]]</f>
        <v>0</v>
      </c>
      <c r="M527" s="16">
        <f>MAX(-16, MIN(16, Games[[#This Row],[RestDiff]]*8))</f>
        <v>0</v>
      </c>
      <c r="N527" s="16">
        <f>MAX(-16, MIN(16, Games[[#This Row],[OppRestDiff]]*8))</f>
        <v>0</v>
      </c>
      <c r="O527" s="4" cm="1">
        <f t="array" ref="O5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1635.2890152127645</v>
      </c>
      <c r="P527" s="4" cm="1">
        <f t="array" ref="P5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1536.6744433492729</v>
      </c>
      <c r="Q527" s="4">
        <f>1/(1+10^(((Games[[#This Row],[OppPreGmRate]]+IF(Games[[#This Row],[HomeAway]]="A",HCA,0)+Games[[#This Row],[OppRestAdj]])-(Games[[#This Row],[PreGmRate]]+IF(Games[[#This Row],[HomeAway]]="H",HCA,0)+Games[[#This Row],[RestAdj]]))/400))</f>
        <v>0.74100794800507697</v>
      </c>
      <c r="R527" s="1">
        <v>71</v>
      </c>
      <c r="S527" s="1">
        <v>66</v>
      </c>
      <c r="T527" s="1">
        <v>0</v>
      </c>
      <c r="U527" s="16">
        <f>Games[[#This Row],[PointsFor]]-Games[[#This Row],[PointsAgainst]]</f>
        <v>5</v>
      </c>
      <c r="V527" s="16">
        <f>IF(Games[[#This Row],[MOV]]&gt;0,1,IF(Games[[#This Row],[MOV]]=0,0.5,0))</f>
        <v>1</v>
      </c>
      <c r="W527" s="4">
        <f>((ABS(Games[[#This Row],[MOV]])+5)^0.6)/(12+0.01*(ABS(Games[[#This Row],[PreGmRate]]-Games[[#This Row],[OppPreGmRate]])))*IF(Games[[#This Row],[OT]]=1,0.9,1)</f>
        <v>0.30656299350023442</v>
      </c>
      <c r="X527" s="7" cm="1">
        <f t="array" ref="X5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7" s="9">
        <f>MAX(kmin, kmax - 0.15 * MIN(Games[[#This Row],[GamesPlayed]], 82))</f>
        <v>70.900000000000006</v>
      </c>
      <c r="Z527" s="4">
        <f>Games[[#This Row],[K]]*Games[[#This Row],[POMult]]</f>
        <v>77.990000000000009</v>
      </c>
      <c r="AA527" s="4">
        <f>(Games[[#This Row],[Keff]]*Games[[#This Row],[MOVMult]])*(Games[[#This Row],[Result]]-Games[[#This Row],[ExpectedWin%]])</f>
        <v>6.1922015688943706</v>
      </c>
      <c r="AB527" s="4">
        <f>Games[[#This Row],[PreGmRate]]+Games[[#This Row],[RatingChange]]</f>
        <v>1641.481216781659</v>
      </c>
      <c r="AC527" s="2">
        <f>IF(Games[[#This Row],[Type]]="R",IF(Games[[#This Row],[Result]]&gt;0.5,1,0),0)</f>
        <v>0</v>
      </c>
      <c r="AD527" s="2">
        <f>IF(Games[[#This Row],[Type]]="R",IF(Games[[#This Row],[Result]]&lt;0.5,1,0),0)</f>
        <v>0</v>
      </c>
      <c r="AE527" s="2">
        <f>IF(AND(Games[[#This Row],[Type]]="P",Games[[#This Row],[Round]]=1),IF(Games[[#This Row],[Result]]&gt;0.5,1,0),0)</f>
        <v>1</v>
      </c>
      <c r="AF527" s="2">
        <f>IF(AND(Games[[#This Row],[Type]]="P",Games[[#This Row],[Round]]=1),IF(Games[[#This Row],[Result]]&lt;0.5,1,0),0)</f>
        <v>0</v>
      </c>
      <c r="AG527" s="2">
        <f>IF(AND(Games[[#This Row],[Type]]="P",Games[[#This Row],[Round]]=2),IF(Games[[#This Row],[Result]]&gt;0.5,1,0),0)</f>
        <v>0</v>
      </c>
      <c r="AH527" s="2">
        <f>IF(AND(Games[[#This Row],[Type]]="P",Games[[#This Row],[Round]]=2),IF(Games[[#This Row],[Result]]&lt;0.5,1,0),0)</f>
        <v>0</v>
      </c>
      <c r="AI527" s="2">
        <f>IF(AND(Games[[#This Row],[Type]]="P",Games[[#This Row],[Round]]=3),IF(Games[[#This Row],[Result]]&gt;0.5,1,0),0)</f>
        <v>0</v>
      </c>
      <c r="AJ527" s="2">
        <f>IF(AND(Games[[#This Row],[Type]]="P",Games[[#This Row],[Round]]=3),IF(Games[[#This Row],[Result]]&lt;0.5,1,0),0)</f>
        <v>0</v>
      </c>
      <c r="AK527" s="2">
        <f>IF(AND(Games[[#This Row],[Type]]="P",Games[[#This Row],[Round]]=4),IF(Games[[#This Row],[Result]]&gt;0.5,1,0),0)</f>
        <v>0</v>
      </c>
      <c r="AL527" s="2">
        <f>IF(AND(Games[[#This Row],[Type]]="P",Games[[#This Row],[Round]]=4),IF(Games[[#This Row],[Result]]&lt;0.5,1,0),0)</f>
        <v>0</v>
      </c>
    </row>
    <row r="528" spans="1:38" x14ac:dyDescent="0.35">
      <c r="A528" s="10">
        <v>37123</v>
      </c>
      <c r="B528" s="2">
        <v>2001</v>
      </c>
      <c r="C528" s="2">
        <f>COUNTIFS(Games[Team],Games[[#This Row],[Team]],Games[Season],Games[[#This Row],[Season]],Games[Date],"&lt;=" &amp; Games[[#This Row],[Date]])</f>
        <v>35</v>
      </c>
      <c r="D528" s="2" t="s">
        <v>46</v>
      </c>
      <c r="E528" s="2">
        <v>1</v>
      </c>
      <c r="F528" s="1" t="s">
        <v>64</v>
      </c>
      <c r="G528" s="1" t="s">
        <v>1</v>
      </c>
      <c r="H528" s="1" t="s">
        <v>16</v>
      </c>
      <c r="I528" s="2" cm="1">
        <f t="array" ref="I5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8" s="2" cm="1">
        <f t="array" ref="J5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8" s="2">
        <f>Games[[#This Row],[DaysOff]]-Games[[#This Row],[OppDaysOff]]</f>
        <v>0</v>
      </c>
      <c r="L528" s="2">
        <f>Games[[#This Row],[OppDaysOff]]-Games[[#This Row],[DaysOff]]</f>
        <v>0</v>
      </c>
      <c r="M528" s="16">
        <f>MAX(-16, MIN(16, Games[[#This Row],[RestDiff]]*8))</f>
        <v>0</v>
      </c>
      <c r="N528" s="16">
        <f>MAX(-16, MIN(16, Games[[#This Row],[OppRestDiff]]*8))</f>
        <v>0</v>
      </c>
      <c r="O528" s="4" cm="1">
        <f t="array" ref="O5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1546.8918215631043</v>
      </c>
      <c r="P528" s="4" cm="1">
        <f t="array" ref="P5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1606.8887171331212</v>
      </c>
      <c r="Q528" s="4">
        <f>1/(1+10^(((Games[[#This Row],[OppPreGmRate]]+IF(Games[[#This Row],[HomeAway]]="A",HCA,0)+Games[[#This Row],[OppRestAdj]])-(Games[[#This Row],[PreGmRate]]+IF(Games[[#This Row],[HomeAway]]="H",HCA,0)+Games[[#This Row],[RestAdj]]))/400))</f>
        <v>0.30387500980066801</v>
      </c>
      <c r="R528" s="1">
        <v>72</v>
      </c>
      <c r="S528" s="1">
        <v>64</v>
      </c>
      <c r="T528" s="1">
        <v>0</v>
      </c>
      <c r="U528" s="16">
        <f>Games[[#This Row],[PointsFor]]-Games[[#This Row],[PointsAgainst]]</f>
        <v>8</v>
      </c>
      <c r="V528" s="16">
        <f>IF(Games[[#This Row],[MOV]]&gt;0,1,IF(Games[[#This Row],[MOV]]=0,0.5,0))</f>
        <v>1</v>
      </c>
      <c r="W528" s="4">
        <f>((ABS(Games[[#This Row],[MOV]])+5)^0.6)/(12+0.01*(ABS(Games[[#This Row],[PreGmRate]]-Games[[#This Row],[OppPreGmRate]])))*IF(Games[[#This Row],[OT]]=1,0.9,1)</f>
        <v>0.36982523023820618</v>
      </c>
      <c r="X528" s="7" cm="1">
        <f t="array" ref="X5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8" s="9">
        <f>MAX(kmin, kmax - 0.15 * MIN(Games[[#This Row],[GamesPlayed]], 82))</f>
        <v>70.75</v>
      </c>
      <c r="Z528" s="4">
        <f>Games[[#This Row],[K]]*Games[[#This Row],[POMult]]</f>
        <v>77.825000000000003</v>
      </c>
      <c r="AA528" s="4">
        <f>(Games[[#This Row],[Keff]]*Games[[#This Row],[MOVMult]])*(Games[[#This Row],[Result]]-Games[[#This Row],[ExpectedWin%]])</f>
        <v>20.035624810117255</v>
      </c>
      <c r="AB528" s="4">
        <f>Games[[#This Row],[PreGmRate]]+Games[[#This Row],[RatingChange]]</f>
        <v>1566.9274463732215</v>
      </c>
      <c r="AC528" s="2">
        <f>IF(Games[[#This Row],[Type]]="R",IF(Games[[#This Row],[Result]]&gt;0.5,1,0),0)</f>
        <v>0</v>
      </c>
      <c r="AD528" s="2">
        <f>IF(Games[[#This Row],[Type]]="R",IF(Games[[#This Row],[Result]]&lt;0.5,1,0),0)</f>
        <v>0</v>
      </c>
      <c r="AE528" s="2">
        <f>IF(AND(Games[[#This Row],[Type]]="P",Games[[#This Row],[Round]]=1),IF(Games[[#This Row],[Result]]&gt;0.5,1,0),0)</f>
        <v>1</v>
      </c>
      <c r="AF528" s="2">
        <f>IF(AND(Games[[#This Row],[Type]]="P",Games[[#This Row],[Round]]=1),IF(Games[[#This Row],[Result]]&lt;0.5,1,0),0)</f>
        <v>0</v>
      </c>
      <c r="AG528" s="2">
        <f>IF(AND(Games[[#This Row],[Type]]="P",Games[[#This Row],[Round]]=2),IF(Games[[#This Row],[Result]]&gt;0.5,1,0),0)</f>
        <v>0</v>
      </c>
      <c r="AH528" s="2">
        <f>IF(AND(Games[[#This Row],[Type]]="P",Games[[#This Row],[Round]]=2),IF(Games[[#This Row],[Result]]&lt;0.5,1,0),0)</f>
        <v>0</v>
      </c>
      <c r="AI528" s="2">
        <f>IF(AND(Games[[#This Row],[Type]]="P",Games[[#This Row],[Round]]=3),IF(Games[[#This Row],[Result]]&gt;0.5,1,0),0)</f>
        <v>0</v>
      </c>
      <c r="AJ528" s="2">
        <f>IF(AND(Games[[#This Row],[Type]]="P",Games[[#This Row],[Round]]=3),IF(Games[[#This Row],[Result]]&lt;0.5,1,0),0)</f>
        <v>0</v>
      </c>
      <c r="AK528" s="2">
        <f>IF(AND(Games[[#This Row],[Type]]="P",Games[[#This Row],[Round]]=4),IF(Games[[#This Row],[Result]]&gt;0.5,1,0),0)</f>
        <v>0</v>
      </c>
      <c r="AL528" s="2">
        <f>IF(AND(Games[[#This Row],[Type]]="P",Games[[#This Row],[Round]]=4),IF(Games[[#This Row],[Result]]&lt;0.5,1,0),0)</f>
        <v>0</v>
      </c>
    </row>
    <row r="529" spans="1:38" x14ac:dyDescent="0.35">
      <c r="A529" s="10">
        <v>37123</v>
      </c>
      <c r="B529" s="2">
        <v>2001</v>
      </c>
      <c r="C529" s="2">
        <f>COUNTIFS(Games[Team],Games[[#This Row],[Team]],Games[Season],Games[[#This Row],[Season]],Games[Date],"&lt;=" &amp; Games[[#This Row],[Date]])</f>
        <v>35</v>
      </c>
      <c r="D529" s="2" t="s">
        <v>46</v>
      </c>
      <c r="E529" s="2">
        <v>1</v>
      </c>
      <c r="F529" s="1" t="s">
        <v>1</v>
      </c>
      <c r="G529" s="1" t="s">
        <v>64</v>
      </c>
      <c r="H529" s="1" t="s">
        <v>15</v>
      </c>
      <c r="I529" s="2" cm="1">
        <f t="array" ref="I5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9" s="2" cm="1">
        <f t="array" ref="J5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9" s="2">
        <f>Games[[#This Row],[DaysOff]]-Games[[#This Row],[OppDaysOff]]</f>
        <v>0</v>
      </c>
      <c r="L529" s="2">
        <f>Games[[#This Row],[OppDaysOff]]-Games[[#This Row],[DaysOff]]</f>
        <v>0</v>
      </c>
      <c r="M529" s="16">
        <f>MAX(-16, MIN(16, Games[[#This Row],[RestDiff]]*8))</f>
        <v>0</v>
      </c>
      <c r="N529" s="16">
        <f>MAX(-16, MIN(16, Games[[#This Row],[OppRestDiff]]*8))</f>
        <v>0</v>
      </c>
      <c r="O529" s="4" cm="1">
        <f t="array" ref="O5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1606.8887171331212</v>
      </c>
      <c r="P529" s="4" cm="1">
        <f t="array" ref="P5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1546.8918215631043</v>
      </c>
      <c r="Q529" s="4">
        <f>1/(1+10^(((Games[[#This Row],[OppPreGmRate]]+IF(Games[[#This Row],[HomeAway]]="A",HCA,0)+Games[[#This Row],[OppRestAdj]])-(Games[[#This Row],[PreGmRate]]+IF(Games[[#This Row],[HomeAway]]="H",HCA,0)+Games[[#This Row],[RestAdj]]))/400))</f>
        <v>0.69612499019933194</v>
      </c>
      <c r="R529" s="1">
        <v>64</v>
      </c>
      <c r="S529" s="1">
        <v>72</v>
      </c>
      <c r="T529" s="1">
        <v>0</v>
      </c>
      <c r="U529" s="16">
        <f>Games[[#This Row],[PointsFor]]-Games[[#This Row],[PointsAgainst]]</f>
        <v>-8</v>
      </c>
      <c r="V529" s="16">
        <f>IF(Games[[#This Row],[MOV]]&gt;0,1,IF(Games[[#This Row],[MOV]]=0,0.5,0))</f>
        <v>0</v>
      </c>
      <c r="W529" s="4">
        <f>((ABS(Games[[#This Row],[MOV]])+5)^0.6)/(12+0.01*(ABS(Games[[#This Row],[PreGmRate]]-Games[[#This Row],[OppPreGmRate]])))*IF(Games[[#This Row],[OT]]=1,0.9,1)</f>
        <v>0.36982523023820618</v>
      </c>
      <c r="X529" s="7" cm="1">
        <f t="array" ref="X5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9" s="9">
        <f>MAX(kmin, kmax - 0.15 * MIN(Games[[#This Row],[GamesPlayed]], 82))</f>
        <v>70.75</v>
      </c>
      <c r="Z529" s="4">
        <f>Games[[#This Row],[K]]*Games[[#This Row],[POMult]]</f>
        <v>77.825000000000003</v>
      </c>
      <c r="AA529" s="4">
        <f>(Games[[#This Row],[Keff]]*Games[[#This Row],[MOVMult]])*(Games[[#This Row],[Result]]-Games[[#This Row],[ExpectedWin%]])</f>
        <v>-20.035624810117252</v>
      </c>
      <c r="AB529" s="4">
        <f>Games[[#This Row],[PreGmRate]]+Games[[#This Row],[RatingChange]]</f>
        <v>1586.8530923230039</v>
      </c>
      <c r="AC529" s="2">
        <f>IF(Games[[#This Row],[Type]]="R",IF(Games[[#This Row],[Result]]&gt;0.5,1,0),0)</f>
        <v>0</v>
      </c>
      <c r="AD529" s="2">
        <f>IF(Games[[#This Row],[Type]]="R",IF(Games[[#This Row],[Result]]&lt;0.5,1,0),0)</f>
        <v>0</v>
      </c>
      <c r="AE529" s="2">
        <f>IF(AND(Games[[#This Row],[Type]]="P",Games[[#This Row],[Round]]=1),IF(Games[[#This Row],[Result]]&gt;0.5,1,0),0)</f>
        <v>0</v>
      </c>
      <c r="AF529" s="2">
        <f>IF(AND(Games[[#This Row],[Type]]="P",Games[[#This Row],[Round]]=1),IF(Games[[#This Row],[Result]]&lt;0.5,1,0),0)</f>
        <v>1</v>
      </c>
      <c r="AG529" s="2">
        <f>IF(AND(Games[[#This Row],[Type]]="P",Games[[#This Row],[Round]]=2),IF(Games[[#This Row],[Result]]&gt;0.5,1,0),0)</f>
        <v>0</v>
      </c>
      <c r="AH529" s="2">
        <f>IF(AND(Games[[#This Row],[Type]]="P",Games[[#This Row],[Round]]=2),IF(Games[[#This Row],[Result]]&lt;0.5,1,0),0)</f>
        <v>0</v>
      </c>
      <c r="AI529" s="2">
        <f>IF(AND(Games[[#This Row],[Type]]="P",Games[[#This Row],[Round]]=3),IF(Games[[#This Row],[Result]]&gt;0.5,1,0),0)</f>
        <v>0</v>
      </c>
      <c r="AJ529" s="2">
        <f>IF(AND(Games[[#This Row],[Type]]="P",Games[[#This Row],[Round]]=3),IF(Games[[#This Row],[Result]]&lt;0.5,1,0),0)</f>
        <v>0</v>
      </c>
      <c r="AK529" s="2">
        <f>IF(AND(Games[[#This Row],[Type]]="P",Games[[#This Row],[Round]]=4),IF(Games[[#This Row],[Result]]&gt;0.5,1,0),0)</f>
        <v>0</v>
      </c>
      <c r="AL529" s="2">
        <f>IF(AND(Games[[#This Row],[Type]]="P",Games[[#This Row],[Round]]=4),IF(Games[[#This Row],[Result]]&lt;0.5,1,0),0)</f>
        <v>0</v>
      </c>
    </row>
    <row r="530" spans="1:38" x14ac:dyDescent="0.35">
      <c r="A530" s="10">
        <v>37123</v>
      </c>
      <c r="B530" s="2">
        <v>2001</v>
      </c>
      <c r="C530" s="2">
        <f>COUNTIFS(Games[Team],Games[[#This Row],[Team]],Games[Season],Games[[#This Row],[Season]],Games[Date],"&lt;=" &amp; Games[[#This Row],[Date]])</f>
        <v>34</v>
      </c>
      <c r="D530" s="2" t="s">
        <v>46</v>
      </c>
      <c r="E530" s="2">
        <v>1</v>
      </c>
      <c r="F530" s="1" t="s">
        <v>2</v>
      </c>
      <c r="G530" s="1" t="s">
        <v>71</v>
      </c>
      <c r="H530" s="1" t="s">
        <v>16</v>
      </c>
      <c r="I530" s="2" cm="1">
        <f t="array" ref="I5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0" s="2" cm="1">
        <f t="array" ref="J5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0" s="2">
        <f>Games[[#This Row],[DaysOff]]-Games[[#This Row],[OppDaysOff]]</f>
        <v>0</v>
      </c>
      <c r="L530" s="2">
        <f>Games[[#This Row],[OppDaysOff]]-Games[[#This Row],[DaysOff]]</f>
        <v>0</v>
      </c>
      <c r="M530" s="16">
        <f>MAX(-16, MIN(16, Games[[#This Row],[RestDiff]]*8))</f>
        <v>0</v>
      </c>
      <c r="N530" s="16">
        <f>MAX(-16, MIN(16, Games[[#This Row],[OppRestDiff]]*8))</f>
        <v>0</v>
      </c>
      <c r="O530" s="4" cm="1">
        <f t="array" ref="O5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1559.4188641505646</v>
      </c>
      <c r="P530" s="4" cm="1">
        <f t="array" ref="P5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1745.7419477504495</v>
      </c>
      <c r="Q530" s="4">
        <f>1/(1+10^(((Games[[#This Row],[OppPreGmRate]]+IF(Games[[#This Row],[HomeAway]]="A",HCA,0)+Games[[#This Row],[OppRestAdj]])-(Games[[#This Row],[PreGmRate]]+IF(Games[[#This Row],[HomeAway]]="H",HCA,0)+Games[[#This Row],[RestAdj]]))/400))</f>
        <v>0.17420629984063057</v>
      </c>
      <c r="R530" s="1">
        <v>58</v>
      </c>
      <c r="S530" s="1">
        <v>70</v>
      </c>
      <c r="T530" s="1">
        <v>0</v>
      </c>
      <c r="U530" s="16">
        <f>Games[[#This Row],[PointsFor]]-Games[[#This Row],[PointsAgainst]]</f>
        <v>-12</v>
      </c>
      <c r="V530" s="16">
        <f>IF(Games[[#This Row],[MOV]]&gt;0,1,IF(Games[[#This Row],[MOV]]=0,0.5,0))</f>
        <v>0</v>
      </c>
      <c r="W530" s="4">
        <f>((ABS(Games[[#This Row],[MOV]])+5)^0.6)/(12+0.01*(ABS(Games[[#This Row],[PreGmRate]]-Games[[#This Row],[OppPreGmRate]])))*IF(Games[[#This Row],[OT]]=1,0.9,1)</f>
        <v>0.39482523097756073</v>
      </c>
      <c r="X530" s="7" cm="1">
        <f t="array" ref="X5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0" s="9">
        <f>MAX(kmin, kmax - 0.15 * MIN(Games[[#This Row],[GamesPlayed]], 82))</f>
        <v>70.900000000000006</v>
      </c>
      <c r="Z530" s="4">
        <f>Games[[#This Row],[K]]*Games[[#This Row],[POMult]]</f>
        <v>77.990000000000009</v>
      </c>
      <c r="AA530" s="4">
        <f>(Games[[#This Row],[Keff]]*Games[[#This Row],[MOVMult]])*(Games[[#This Row],[Result]]-Games[[#This Row],[ExpectedWin%]])</f>
        <v>-5.3642335102154846</v>
      </c>
      <c r="AB530" s="4">
        <f>Games[[#This Row],[PreGmRate]]+Games[[#This Row],[RatingChange]]</f>
        <v>1554.0546306403492</v>
      </c>
      <c r="AC530" s="2">
        <f>IF(Games[[#This Row],[Type]]="R",IF(Games[[#This Row],[Result]]&gt;0.5,1,0),0)</f>
        <v>0</v>
      </c>
      <c r="AD530" s="2">
        <f>IF(Games[[#This Row],[Type]]="R",IF(Games[[#This Row],[Result]]&lt;0.5,1,0),0)</f>
        <v>0</v>
      </c>
      <c r="AE530" s="2">
        <f>IF(AND(Games[[#This Row],[Type]]="P",Games[[#This Row],[Round]]=1),IF(Games[[#This Row],[Result]]&gt;0.5,1,0),0)</f>
        <v>0</v>
      </c>
      <c r="AF530" s="2">
        <f>IF(AND(Games[[#This Row],[Type]]="P",Games[[#This Row],[Round]]=1),IF(Games[[#This Row],[Result]]&lt;0.5,1,0),0)</f>
        <v>1</v>
      </c>
      <c r="AG530" s="2">
        <f>IF(AND(Games[[#This Row],[Type]]="P",Games[[#This Row],[Round]]=2),IF(Games[[#This Row],[Result]]&gt;0.5,1,0),0)</f>
        <v>0</v>
      </c>
      <c r="AH530" s="2">
        <f>IF(AND(Games[[#This Row],[Type]]="P",Games[[#This Row],[Round]]=2),IF(Games[[#This Row],[Result]]&lt;0.5,1,0),0)</f>
        <v>0</v>
      </c>
      <c r="AI530" s="2">
        <f>IF(AND(Games[[#This Row],[Type]]="P",Games[[#This Row],[Round]]=3),IF(Games[[#This Row],[Result]]&gt;0.5,1,0),0)</f>
        <v>0</v>
      </c>
      <c r="AJ530" s="2">
        <f>IF(AND(Games[[#This Row],[Type]]="P",Games[[#This Row],[Round]]=3),IF(Games[[#This Row],[Result]]&lt;0.5,1,0),0)</f>
        <v>0</v>
      </c>
      <c r="AK530" s="2">
        <f>IF(AND(Games[[#This Row],[Type]]="P",Games[[#This Row],[Round]]=4),IF(Games[[#This Row],[Result]]&gt;0.5,1,0),0)</f>
        <v>0</v>
      </c>
      <c r="AL530" s="2">
        <f>IF(AND(Games[[#This Row],[Type]]="P",Games[[#This Row],[Round]]=4),IF(Games[[#This Row],[Result]]&lt;0.5,1,0),0)</f>
        <v>0</v>
      </c>
    </row>
    <row r="531" spans="1:38" x14ac:dyDescent="0.35">
      <c r="A531" s="10">
        <v>37123</v>
      </c>
      <c r="B531" s="2">
        <v>2001</v>
      </c>
      <c r="C531" s="2">
        <f>COUNTIFS(Games[Team],Games[[#This Row],[Team]],Games[Season],Games[[#This Row],[Season]],Games[Date],"&lt;=" &amp; Games[[#This Row],[Date]])</f>
        <v>34</v>
      </c>
      <c r="D531" s="2" t="s">
        <v>46</v>
      </c>
      <c r="E531" s="2">
        <v>1</v>
      </c>
      <c r="F531" s="1" t="s">
        <v>71</v>
      </c>
      <c r="G531" s="1" t="s">
        <v>2</v>
      </c>
      <c r="H531" s="1" t="s">
        <v>15</v>
      </c>
      <c r="I531" s="2" cm="1">
        <f t="array" ref="I5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1" s="2" cm="1">
        <f t="array" ref="J5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1" s="2">
        <f>Games[[#This Row],[DaysOff]]-Games[[#This Row],[OppDaysOff]]</f>
        <v>0</v>
      </c>
      <c r="L531" s="2">
        <f>Games[[#This Row],[OppDaysOff]]-Games[[#This Row],[DaysOff]]</f>
        <v>0</v>
      </c>
      <c r="M531" s="16">
        <f>MAX(-16, MIN(16, Games[[#This Row],[RestDiff]]*8))</f>
        <v>0</v>
      </c>
      <c r="N531" s="16">
        <f>MAX(-16, MIN(16, Games[[#This Row],[OppRestDiff]]*8))</f>
        <v>0</v>
      </c>
      <c r="O531" s="4" cm="1">
        <f t="array" ref="O5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1745.7419477504495</v>
      </c>
      <c r="P531" s="4" cm="1">
        <f t="array" ref="P5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1559.4188641505646</v>
      </c>
      <c r="Q531" s="4">
        <f>1/(1+10^(((Games[[#This Row],[OppPreGmRate]]+IF(Games[[#This Row],[HomeAway]]="A",HCA,0)+Games[[#This Row],[OppRestAdj]])-(Games[[#This Row],[PreGmRate]]+IF(Games[[#This Row],[HomeAway]]="H",HCA,0)+Games[[#This Row],[RestAdj]]))/400))</f>
        <v>0.82579370015936948</v>
      </c>
      <c r="R531" s="1">
        <v>70</v>
      </c>
      <c r="S531" s="1">
        <v>58</v>
      </c>
      <c r="T531" s="1">
        <v>0</v>
      </c>
      <c r="U531" s="16">
        <f>Games[[#This Row],[PointsFor]]-Games[[#This Row],[PointsAgainst]]</f>
        <v>12</v>
      </c>
      <c r="V531" s="16">
        <f>IF(Games[[#This Row],[MOV]]&gt;0,1,IF(Games[[#This Row],[MOV]]=0,0.5,0))</f>
        <v>1</v>
      </c>
      <c r="W531" s="4">
        <f>((ABS(Games[[#This Row],[MOV]])+5)^0.6)/(12+0.01*(ABS(Games[[#This Row],[PreGmRate]]-Games[[#This Row],[OppPreGmRate]])))*IF(Games[[#This Row],[OT]]=1,0.9,1)</f>
        <v>0.39482523097756073</v>
      </c>
      <c r="X531" s="7" cm="1">
        <f t="array" ref="X5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1" s="9">
        <f>MAX(kmin, kmax - 0.15 * MIN(Games[[#This Row],[GamesPlayed]], 82))</f>
        <v>70.900000000000006</v>
      </c>
      <c r="Z531" s="4">
        <f>Games[[#This Row],[K]]*Games[[#This Row],[POMult]]</f>
        <v>77.990000000000009</v>
      </c>
      <c r="AA531" s="4">
        <f>(Games[[#This Row],[Keff]]*Games[[#This Row],[MOVMult]])*(Games[[#This Row],[Result]]-Games[[#This Row],[ExpectedWin%]])</f>
        <v>5.3642335102154828</v>
      </c>
      <c r="AB531" s="4">
        <f>Games[[#This Row],[PreGmRate]]+Games[[#This Row],[RatingChange]]</f>
        <v>1751.1061812606649</v>
      </c>
      <c r="AC531" s="2">
        <f>IF(Games[[#This Row],[Type]]="R",IF(Games[[#This Row],[Result]]&gt;0.5,1,0),0)</f>
        <v>0</v>
      </c>
      <c r="AD531" s="2">
        <f>IF(Games[[#This Row],[Type]]="R",IF(Games[[#This Row],[Result]]&lt;0.5,1,0),0)</f>
        <v>0</v>
      </c>
      <c r="AE531" s="2">
        <f>IF(AND(Games[[#This Row],[Type]]="P",Games[[#This Row],[Round]]=1),IF(Games[[#This Row],[Result]]&gt;0.5,1,0),0)</f>
        <v>1</v>
      </c>
      <c r="AF531" s="2">
        <f>IF(AND(Games[[#This Row],[Type]]="P",Games[[#This Row],[Round]]=1),IF(Games[[#This Row],[Result]]&lt;0.5,1,0),0)</f>
        <v>0</v>
      </c>
      <c r="AG531" s="2">
        <f>IF(AND(Games[[#This Row],[Type]]="P",Games[[#This Row],[Round]]=2),IF(Games[[#This Row],[Result]]&gt;0.5,1,0),0)</f>
        <v>0</v>
      </c>
      <c r="AH531" s="2">
        <f>IF(AND(Games[[#This Row],[Type]]="P",Games[[#This Row],[Round]]=2),IF(Games[[#This Row],[Result]]&lt;0.5,1,0),0)</f>
        <v>0</v>
      </c>
      <c r="AI531" s="2">
        <f>IF(AND(Games[[#This Row],[Type]]="P",Games[[#This Row],[Round]]=3),IF(Games[[#This Row],[Result]]&gt;0.5,1,0),0)</f>
        <v>0</v>
      </c>
      <c r="AJ531" s="2">
        <f>IF(AND(Games[[#This Row],[Type]]="P",Games[[#This Row],[Round]]=3),IF(Games[[#This Row],[Result]]&lt;0.5,1,0),0)</f>
        <v>0</v>
      </c>
      <c r="AK531" s="2">
        <f>IF(AND(Games[[#This Row],[Type]]="P",Games[[#This Row],[Round]]=4),IF(Games[[#This Row],[Result]]&gt;0.5,1,0),0)</f>
        <v>0</v>
      </c>
      <c r="AL531" s="2">
        <f>IF(AND(Games[[#This Row],[Type]]="P",Games[[#This Row],[Round]]=4),IF(Games[[#This Row],[Result]]&lt;0.5,1,0),0)</f>
        <v>0</v>
      </c>
    </row>
    <row r="532" spans="1:38" x14ac:dyDescent="0.35">
      <c r="A532" s="10">
        <v>37124</v>
      </c>
      <c r="B532" s="2">
        <v>2001</v>
      </c>
      <c r="C532" s="2">
        <f>COUNTIFS(Games[Team],Games[[#This Row],[Team]],Games[Season],Games[[#This Row],[Season]],Games[Date],"&lt;=" &amp; Games[[#This Row],[Date]])</f>
        <v>35</v>
      </c>
      <c r="D532" s="2" t="s">
        <v>46</v>
      </c>
      <c r="E532" s="2">
        <v>1</v>
      </c>
      <c r="F532" s="1" t="s">
        <v>83</v>
      </c>
      <c r="G532" s="1" t="s">
        <v>66</v>
      </c>
      <c r="H532" s="1" t="s">
        <v>16</v>
      </c>
      <c r="I532" s="2" cm="1">
        <f t="array" ref="I5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2" s="2" cm="1">
        <f t="array" ref="J5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2" s="2">
        <f>Games[[#This Row],[DaysOff]]-Games[[#This Row],[OppDaysOff]]</f>
        <v>0</v>
      </c>
      <c r="L532" s="2">
        <f>Games[[#This Row],[OppDaysOff]]-Games[[#This Row],[DaysOff]]</f>
        <v>0</v>
      </c>
      <c r="M532" s="16">
        <f>MAX(-16, MIN(16, Games[[#This Row],[RestDiff]]*8))</f>
        <v>0</v>
      </c>
      <c r="N532" s="16">
        <f>MAX(-16, MIN(16, Games[[#This Row],[OppRestDiff]]*8))</f>
        <v>0</v>
      </c>
      <c r="O532" s="4" cm="1">
        <f t="array" ref="O5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1551.8003648384986</v>
      </c>
      <c r="P532" s="4" cm="1">
        <f t="array" ref="P5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1577.7748487257832</v>
      </c>
      <c r="Q532" s="4">
        <f>1/(1+10^(((Games[[#This Row],[OppPreGmRate]]+IF(Games[[#This Row],[HomeAway]]="A",HCA,0)+Games[[#This Row],[OppRestAdj]])-(Games[[#This Row],[PreGmRate]]+IF(Games[[#This Row],[HomeAway]]="H",HCA,0)+Games[[#This Row],[RestAdj]]))/400))</f>
        <v>0.34681610602646723</v>
      </c>
      <c r="R532" s="1">
        <v>61</v>
      </c>
      <c r="S532" s="1">
        <v>72</v>
      </c>
      <c r="T532" s="1">
        <v>0</v>
      </c>
      <c r="U532" s="16">
        <f>Games[[#This Row],[PointsFor]]-Games[[#This Row],[PointsAgainst]]</f>
        <v>-11</v>
      </c>
      <c r="V532" s="16">
        <f>IF(Games[[#This Row],[MOV]]&gt;0,1,IF(Games[[#This Row],[MOV]]=0,0.5,0))</f>
        <v>0</v>
      </c>
      <c r="W532" s="4">
        <f>((ABS(Games[[#This Row],[MOV]])+5)^0.6)/(12+0.01*(ABS(Games[[#This Row],[PreGmRate]]-Games[[#This Row],[OppPreGmRate]])))*IF(Games[[#This Row],[OT]]=1,0.9,1)</f>
        <v>0.43051725076333935</v>
      </c>
      <c r="X532" s="7" cm="1">
        <f t="array" ref="X5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2" s="9">
        <f>MAX(kmin, kmax - 0.15 * MIN(Games[[#This Row],[GamesPlayed]], 82))</f>
        <v>70.75</v>
      </c>
      <c r="Z532" s="4">
        <f>Games[[#This Row],[K]]*Games[[#This Row],[POMult]]</f>
        <v>77.825000000000003</v>
      </c>
      <c r="AA532" s="4">
        <f>(Games[[#This Row],[Keff]]*Games[[#This Row],[MOVMult]])*(Games[[#This Row],[Result]]-Games[[#This Row],[ExpectedWin%]])</f>
        <v>-11.620075380597779</v>
      </c>
      <c r="AB532" s="4">
        <f>Games[[#This Row],[PreGmRate]]+Games[[#This Row],[RatingChange]]</f>
        <v>1540.1802894579007</v>
      </c>
      <c r="AC532" s="2">
        <f>IF(Games[[#This Row],[Type]]="R",IF(Games[[#This Row],[Result]]&gt;0.5,1,0),0)</f>
        <v>0</v>
      </c>
      <c r="AD532" s="2">
        <f>IF(Games[[#This Row],[Type]]="R",IF(Games[[#This Row],[Result]]&lt;0.5,1,0),0)</f>
        <v>0</v>
      </c>
      <c r="AE532" s="2">
        <f>IF(AND(Games[[#This Row],[Type]]="P",Games[[#This Row],[Round]]=1),IF(Games[[#This Row],[Result]]&gt;0.5,1,0),0)</f>
        <v>0</v>
      </c>
      <c r="AF532" s="2">
        <f>IF(AND(Games[[#This Row],[Type]]="P",Games[[#This Row],[Round]]=1),IF(Games[[#This Row],[Result]]&lt;0.5,1,0),0)</f>
        <v>1</v>
      </c>
      <c r="AG532" s="2">
        <f>IF(AND(Games[[#This Row],[Type]]="P",Games[[#This Row],[Round]]=2),IF(Games[[#This Row],[Result]]&gt;0.5,1,0),0)</f>
        <v>0</v>
      </c>
      <c r="AH532" s="2">
        <f>IF(AND(Games[[#This Row],[Type]]="P",Games[[#This Row],[Round]]=2),IF(Games[[#This Row],[Result]]&lt;0.5,1,0),0)</f>
        <v>0</v>
      </c>
      <c r="AI532" s="2">
        <f>IF(AND(Games[[#This Row],[Type]]="P",Games[[#This Row],[Round]]=3),IF(Games[[#This Row],[Result]]&gt;0.5,1,0),0)</f>
        <v>0</v>
      </c>
      <c r="AJ532" s="2">
        <f>IF(AND(Games[[#This Row],[Type]]="P",Games[[#This Row],[Round]]=3),IF(Games[[#This Row],[Result]]&lt;0.5,1,0),0)</f>
        <v>0</v>
      </c>
      <c r="AK532" s="2">
        <f>IF(AND(Games[[#This Row],[Type]]="P",Games[[#This Row],[Round]]=4),IF(Games[[#This Row],[Result]]&gt;0.5,1,0),0)</f>
        <v>0</v>
      </c>
      <c r="AL532" s="2">
        <f>IF(AND(Games[[#This Row],[Type]]="P",Games[[#This Row],[Round]]=4),IF(Games[[#This Row],[Result]]&lt;0.5,1,0),0)</f>
        <v>0</v>
      </c>
    </row>
    <row r="533" spans="1:38" x14ac:dyDescent="0.35">
      <c r="A533" s="10">
        <v>37124</v>
      </c>
      <c r="B533" s="2">
        <v>2001</v>
      </c>
      <c r="C533" s="2">
        <f>COUNTIFS(Games[Team],Games[[#This Row],[Team]],Games[Season],Games[[#This Row],[Season]],Games[Date],"&lt;=" &amp; Games[[#This Row],[Date]])</f>
        <v>35</v>
      </c>
      <c r="D533" s="2" t="s">
        <v>46</v>
      </c>
      <c r="E533" s="2">
        <v>1</v>
      </c>
      <c r="F533" s="1" t="s">
        <v>66</v>
      </c>
      <c r="G533" s="1" t="s">
        <v>83</v>
      </c>
      <c r="H533" s="1" t="s">
        <v>15</v>
      </c>
      <c r="I533" s="2" cm="1">
        <f t="array" ref="I5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3" s="2" cm="1">
        <f t="array" ref="J5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3" s="2">
        <f>Games[[#This Row],[DaysOff]]-Games[[#This Row],[OppDaysOff]]</f>
        <v>0</v>
      </c>
      <c r="L533" s="2">
        <f>Games[[#This Row],[OppDaysOff]]-Games[[#This Row],[DaysOff]]</f>
        <v>0</v>
      </c>
      <c r="M533" s="16">
        <f>MAX(-16, MIN(16, Games[[#This Row],[RestDiff]]*8))</f>
        <v>0</v>
      </c>
      <c r="N533" s="16">
        <f>MAX(-16, MIN(16, Games[[#This Row],[OppRestDiff]]*8))</f>
        <v>0</v>
      </c>
      <c r="O533" s="4" cm="1">
        <f t="array" ref="O5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1577.7748487257832</v>
      </c>
      <c r="P533" s="4" cm="1">
        <f t="array" ref="P5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1551.8003648384986</v>
      </c>
      <c r="Q533" s="4">
        <f>1/(1+10^(((Games[[#This Row],[OppPreGmRate]]+IF(Games[[#This Row],[HomeAway]]="A",HCA,0)+Games[[#This Row],[OppRestAdj]])-(Games[[#This Row],[PreGmRate]]+IF(Games[[#This Row],[HomeAway]]="H",HCA,0)+Games[[#This Row],[RestAdj]]))/400))</f>
        <v>0.65318389397353271</v>
      </c>
      <c r="R533" s="1">
        <v>72</v>
      </c>
      <c r="S533" s="1">
        <v>61</v>
      </c>
      <c r="T533" s="1">
        <v>0</v>
      </c>
      <c r="U533" s="16">
        <f>Games[[#This Row],[PointsFor]]-Games[[#This Row],[PointsAgainst]]</f>
        <v>11</v>
      </c>
      <c r="V533" s="16">
        <f>IF(Games[[#This Row],[MOV]]&gt;0,1,IF(Games[[#This Row],[MOV]]=0,0.5,0))</f>
        <v>1</v>
      </c>
      <c r="W533" s="4">
        <f>((ABS(Games[[#This Row],[MOV]])+5)^0.6)/(12+0.01*(ABS(Games[[#This Row],[PreGmRate]]-Games[[#This Row],[OppPreGmRate]])))*IF(Games[[#This Row],[OT]]=1,0.9,1)</f>
        <v>0.43051725076333935</v>
      </c>
      <c r="X533" s="7" cm="1">
        <f t="array" ref="X5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3" s="9">
        <f>MAX(kmin, kmax - 0.15 * MIN(Games[[#This Row],[GamesPlayed]], 82))</f>
        <v>70.75</v>
      </c>
      <c r="Z533" s="4">
        <f>Games[[#This Row],[K]]*Games[[#This Row],[POMult]]</f>
        <v>77.825000000000003</v>
      </c>
      <c r="AA533" s="4">
        <f>(Games[[#This Row],[Keff]]*Games[[#This Row],[MOVMult]])*(Games[[#This Row],[Result]]-Games[[#This Row],[ExpectedWin%]])</f>
        <v>11.620075380597781</v>
      </c>
      <c r="AB533" s="4">
        <f>Games[[#This Row],[PreGmRate]]+Games[[#This Row],[RatingChange]]</f>
        <v>1589.394924106381</v>
      </c>
      <c r="AC533" s="2">
        <f>IF(Games[[#This Row],[Type]]="R",IF(Games[[#This Row],[Result]]&gt;0.5,1,0),0)</f>
        <v>0</v>
      </c>
      <c r="AD533" s="2">
        <f>IF(Games[[#This Row],[Type]]="R",IF(Games[[#This Row],[Result]]&lt;0.5,1,0),0)</f>
        <v>0</v>
      </c>
      <c r="AE533" s="2">
        <f>IF(AND(Games[[#This Row],[Type]]="P",Games[[#This Row],[Round]]=1),IF(Games[[#This Row],[Result]]&gt;0.5,1,0),0)</f>
        <v>1</v>
      </c>
      <c r="AF533" s="2">
        <f>IF(AND(Games[[#This Row],[Type]]="P",Games[[#This Row],[Round]]=1),IF(Games[[#This Row],[Result]]&lt;0.5,1,0),0)</f>
        <v>0</v>
      </c>
      <c r="AG533" s="2">
        <f>IF(AND(Games[[#This Row],[Type]]="P",Games[[#This Row],[Round]]=2),IF(Games[[#This Row],[Result]]&gt;0.5,1,0),0)</f>
        <v>0</v>
      </c>
      <c r="AH533" s="2">
        <f>IF(AND(Games[[#This Row],[Type]]="P",Games[[#This Row],[Round]]=2),IF(Games[[#This Row],[Result]]&lt;0.5,1,0),0)</f>
        <v>0</v>
      </c>
      <c r="AI533" s="2">
        <f>IF(AND(Games[[#This Row],[Type]]="P",Games[[#This Row],[Round]]=3),IF(Games[[#This Row],[Result]]&gt;0.5,1,0),0)</f>
        <v>0</v>
      </c>
      <c r="AJ533" s="2">
        <f>IF(AND(Games[[#This Row],[Type]]="P",Games[[#This Row],[Round]]=3),IF(Games[[#This Row],[Result]]&lt;0.5,1,0),0)</f>
        <v>0</v>
      </c>
      <c r="AK533" s="2">
        <f>IF(AND(Games[[#This Row],[Type]]="P",Games[[#This Row],[Round]]=4),IF(Games[[#This Row],[Result]]&gt;0.5,1,0),0)</f>
        <v>0</v>
      </c>
      <c r="AL533" s="2">
        <f>IF(AND(Games[[#This Row],[Type]]="P",Games[[#This Row],[Round]]=4),IF(Games[[#This Row],[Result]]&lt;0.5,1,0),0)</f>
        <v>0</v>
      </c>
    </row>
    <row r="534" spans="1:38" x14ac:dyDescent="0.35">
      <c r="A534" s="10">
        <v>37127</v>
      </c>
      <c r="B534" s="2">
        <v>2001</v>
      </c>
      <c r="C534" s="2">
        <f>COUNTIFS(Games[Team],Games[[#This Row],[Team]],Games[Season],Games[[#This Row],[Season]],Games[Date],"&lt;=" &amp; Games[[#This Row],[Date]])</f>
        <v>36</v>
      </c>
      <c r="D534" s="2" t="s">
        <v>46</v>
      </c>
      <c r="E534" s="2">
        <v>2</v>
      </c>
      <c r="F534" s="1" t="s">
        <v>66</v>
      </c>
      <c r="G534" s="1" t="s">
        <v>64</v>
      </c>
      <c r="H534" s="1" t="s">
        <v>16</v>
      </c>
      <c r="I534" s="2" cm="1">
        <f t="array" ref="I5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4" s="2" cm="1">
        <f t="array" ref="J5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4" s="2">
        <f>Games[[#This Row],[DaysOff]]-Games[[#This Row],[OppDaysOff]]</f>
        <v>-1</v>
      </c>
      <c r="L534" s="2">
        <f>Games[[#This Row],[OppDaysOff]]-Games[[#This Row],[DaysOff]]</f>
        <v>1</v>
      </c>
      <c r="M534" s="16">
        <f>MAX(-16, MIN(16, Games[[#This Row],[RestDiff]]*8))</f>
        <v>-8</v>
      </c>
      <c r="N534" s="16">
        <f>MAX(-16, MIN(16, Games[[#This Row],[OppRestDiff]]*8))</f>
        <v>8</v>
      </c>
      <c r="O534" s="4" cm="1">
        <f t="array" ref="O5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1589.394924106381</v>
      </c>
      <c r="P534" s="4" cm="1">
        <f t="array" ref="P5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1566.9274463732215</v>
      </c>
      <c r="Q534" s="4">
        <f>1/(1+10^(((Games[[#This Row],[OppPreGmRate]]+IF(Games[[#This Row],[HomeAway]]="A",HCA,0)+Games[[#This Row],[OppRestAdj]])-(Games[[#This Row],[PreGmRate]]+IF(Games[[#This Row],[HomeAway]]="H",HCA,0)+Games[[#This Row],[RestAdj]]))/400))</f>
        <v>0.39023772224100378</v>
      </c>
      <c r="R534" s="1">
        <v>61</v>
      </c>
      <c r="S534" s="1">
        <v>57</v>
      </c>
      <c r="T534" s="1">
        <v>0</v>
      </c>
      <c r="U534" s="16">
        <f>Games[[#This Row],[PointsFor]]-Games[[#This Row],[PointsAgainst]]</f>
        <v>4</v>
      </c>
      <c r="V534" s="16">
        <f>IF(Games[[#This Row],[MOV]]&gt;0,1,IF(Games[[#This Row],[MOV]]=0,0.5,0))</f>
        <v>1</v>
      </c>
      <c r="W534" s="4">
        <f>((ABS(Games[[#This Row],[MOV]])+5)^0.6)/(12+0.01*(ABS(Games[[#This Row],[PreGmRate]]-Games[[#This Row],[OppPreGmRate]])))*IF(Games[[#This Row],[OT]]=1,0.9,1)</f>
        <v>0.30570897687818144</v>
      </c>
      <c r="X534" s="7" cm="1">
        <f t="array" ref="X5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4" s="9">
        <f>MAX(kmin, kmax - 0.15 * MIN(Games[[#This Row],[GamesPlayed]], 82))</f>
        <v>70.599999999999994</v>
      </c>
      <c r="Z534" s="4">
        <f>Games[[#This Row],[K]]*Games[[#This Row],[POMult]]</f>
        <v>84.719999999999985</v>
      </c>
      <c r="AA534" s="4">
        <f>(Games[[#This Row],[Keff]]*Games[[#This Row],[MOVMult]])*(Games[[#This Row],[Result]]-Games[[#This Row],[ExpectedWin%]])</f>
        <v>15.792638431591703</v>
      </c>
      <c r="AB534" s="4">
        <f>Games[[#This Row],[PreGmRate]]+Games[[#This Row],[RatingChange]]</f>
        <v>1605.1875625379728</v>
      </c>
      <c r="AC534" s="2">
        <f>IF(Games[[#This Row],[Type]]="R",IF(Games[[#This Row],[Result]]&gt;0.5,1,0),0)</f>
        <v>0</v>
      </c>
      <c r="AD534" s="2">
        <f>IF(Games[[#This Row],[Type]]="R",IF(Games[[#This Row],[Result]]&lt;0.5,1,0),0)</f>
        <v>0</v>
      </c>
      <c r="AE534" s="2">
        <f>IF(AND(Games[[#This Row],[Type]]="P",Games[[#This Row],[Round]]=1),IF(Games[[#This Row],[Result]]&gt;0.5,1,0),0)</f>
        <v>0</v>
      </c>
      <c r="AF534" s="2">
        <f>IF(AND(Games[[#This Row],[Type]]="P",Games[[#This Row],[Round]]=1),IF(Games[[#This Row],[Result]]&lt;0.5,1,0),0)</f>
        <v>0</v>
      </c>
      <c r="AG534" s="2">
        <f>IF(AND(Games[[#This Row],[Type]]="P",Games[[#This Row],[Round]]=2),IF(Games[[#This Row],[Result]]&gt;0.5,1,0),0)</f>
        <v>1</v>
      </c>
      <c r="AH534" s="2">
        <f>IF(AND(Games[[#This Row],[Type]]="P",Games[[#This Row],[Round]]=2),IF(Games[[#This Row],[Result]]&lt;0.5,1,0),0)</f>
        <v>0</v>
      </c>
      <c r="AI534" s="2">
        <f>IF(AND(Games[[#This Row],[Type]]="P",Games[[#This Row],[Round]]=3),IF(Games[[#This Row],[Result]]&gt;0.5,1,0),0)</f>
        <v>0</v>
      </c>
      <c r="AJ534" s="2">
        <f>IF(AND(Games[[#This Row],[Type]]="P",Games[[#This Row],[Round]]=3),IF(Games[[#This Row],[Result]]&lt;0.5,1,0),0)</f>
        <v>0</v>
      </c>
      <c r="AK534" s="2">
        <f>IF(AND(Games[[#This Row],[Type]]="P",Games[[#This Row],[Round]]=4),IF(Games[[#This Row],[Result]]&gt;0.5,1,0),0)</f>
        <v>0</v>
      </c>
      <c r="AL534" s="2">
        <f>IF(AND(Games[[#This Row],[Type]]="P",Games[[#This Row],[Round]]=4),IF(Games[[#This Row],[Result]]&lt;0.5,1,0),0)</f>
        <v>0</v>
      </c>
    </row>
    <row r="535" spans="1:38" x14ac:dyDescent="0.35">
      <c r="A535" s="10">
        <v>37127</v>
      </c>
      <c r="B535" s="2">
        <v>2001</v>
      </c>
      <c r="C535" s="2">
        <f>COUNTIFS(Games[Team],Games[[#This Row],[Team]],Games[Season],Games[[#This Row],[Season]],Games[Date],"&lt;=" &amp; Games[[#This Row],[Date]])</f>
        <v>36</v>
      </c>
      <c r="D535" s="2" t="s">
        <v>46</v>
      </c>
      <c r="E535" s="2">
        <v>2</v>
      </c>
      <c r="F535" s="1" t="s">
        <v>64</v>
      </c>
      <c r="G535" s="1" t="s">
        <v>66</v>
      </c>
      <c r="H535" s="1" t="s">
        <v>15</v>
      </c>
      <c r="I535" s="2" cm="1">
        <f t="array" ref="I5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5" s="2" cm="1">
        <f t="array" ref="J5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5" s="2">
        <f>Games[[#This Row],[DaysOff]]-Games[[#This Row],[OppDaysOff]]</f>
        <v>1</v>
      </c>
      <c r="L535" s="2">
        <f>Games[[#This Row],[OppDaysOff]]-Games[[#This Row],[DaysOff]]</f>
        <v>-1</v>
      </c>
      <c r="M535" s="16">
        <f>MAX(-16, MIN(16, Games[[#This Row],[RestDiff]]*8))</f>
        <v>8</v>
      </c>
      <c r="N535" s="16">
        <f>MAX(-16, MIN(16, Games[[#This Row],[OppRestDiff]]*8))</f>
        <v>-8</v>
      </c>
      <c r="O535" s="4" cm="1">
        <f t="array" ref="O5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1566.9274463732215</v>
      </c>
      <c r="P535" s="4" cm="1">
        <f t="array" ref="P5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1589.394924106381</v>
      </c>
      <c r="Q535" s="4">
        <f>1/(1+10^(((Games[[#This Row],[OppPreGmRate]]+IF(Games[[#This Row],[HomeAway]]="A",HCA,0)+Games[[#This Row],[OppRestAdj]])-(Games[[#This Row],[PreGmRate]]+IF(Games[[#This Row],[HomeAway]]="H",HCA,0)+Games[[#This Row],[RestAdj]]))/400))</f>
        <v>0.60976227775899616</v>
      </c>
      <c r="R535" s="1">
        <v>57</v>
      </c>
      <c r="S535" s="1">
        <v>61</v>
      </c>
      <c r="T535" s="1">
        <v>0</v>
      </c>
      <c r="U535" s="16">
        <f>Games[[#This Row],[PointsFor]]-Games[[#This Row],[PointsAgainst]]</f>
        <v>-4</v>
      </c>
      <c r="V535" s="16">
        <f>IF(Games[[#This Row],[MOV]]&gt;0,1,IF(Games[[#This Row],[MOV]]=0,0.5,0))</f>
        <v>0</v>
      </c>
      <c r="W535" s="4">
        <f>((ABS(Games[[#This Row],[MOV]])+5)^0.6)/(12+0.01*(ABS(Games[[#This Row],[PreGmRate]]-Games[[#This Row],[OppPreGmRate]])))*IF(Games[[#This Row],[OT]]=1,0.9,1)</f>
        <v>0.30570897687818144</v>
      </c>
      <c r="X535" s="7" cm="1">
        <f t="array" ref="X5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5" s="9">
        <f>MAX(kmin, kmax - 0.15 * MIN(Games[[#This Row],[GamesPlayed]], 82))</f>
        <v>70.599999999999994</v>
      </c>
      <c r="Z535" s="4">
        <f>Games[[#This Row],[K]]*Games[[#This Row],[POMult]]</f>
        <v>84.719999999999985</v>
      </c>
      <c r="AA535" s="4">
        <f>(Games[[#This Row],[Keff]]*Games[[#This Row],[MOVMult]])*(Games[[#This Row],[Result]]-Games[[#This Row],[ExpectedWin%]])</f>
        <v>-15.792638431591703</v>
      </c>
      <c r="AB535" s="4">
        <f>Games[[#This Row],[PreGmRate]]+Games[[#This Row],[RatingChange]]</f>
        <v>1551.1348079416298</v>
      </c>
      <c r="AC535" s="2">
        <f>IF(Games[[#This Row],[Type]]="R",IF(Games[[#This Row],[Result]]&gt;0.5,1,0),0)</f>
        <v>0</v>
      </c>
      <c r="AD535" s="2">
        <f>IF(Games[[#This Row],[Type]]="R",IF(Games[[#This Row],[Result]]&lt;0.5,1,0),0)</f>
        <v>0</v>
      </c>
      <c r="AE535" s="2">
        <f>IF(AND(Games[[#This Row],[Type]]="P",Games[[#This Row],[Round]]=1),IF(Games[[#This Row],[Result]]&gt;0.5,1,0),0)</f>
        <v>0</v>
      </c>
      <c r="AF535" s="2">
        <f>IF(AND(Games[[#This Row],[Type]]="P",Games[[#This Row],[Round]]=1),IF(Games[[#This Row],[Result]]&lt;0.5,1,0),0)</f>
        <v>0</v>
      </c>
      <c r="AG535" s="2">
        <f>IF(AND(Games[[#This Row],[Type]]="P",Games[[#This Row],[Round]]=2),IF(Games[[#This Row],[Result]]&gt;0.5,1,0),0)</f>
        <v>0</v>
      </c>
      <c r="AH535" s="2">
        <f>IF(AND(Games[[#This Row],[Type]]="P",Games[[#This Row],[Round]]=2),IF(Games[[#This Row],[Result]]&lt;0.5,1,0),0)</f>
        <v>1</v>
      </c>
      <c r="AI535" s="2">
        <f>IF(AND(Games[[#This Row],[Type]]="P",Games[[#This Row],[Round]]=3),IF(Games[[#This Row],[Result]]&gt;0.5,1,0),0)</f>
        <v>0</v>
      </c>
      <c r="AJ535" s="2">
        <f>IF(AND(Games[[#This Row],[Type]]="P",Games[[#This Row],[Round]]=3),IF(Games[[#This Row],[Result]]&lt;0.5,1,0),0)</f>
        <v>0</v>
      </c>
      <c r="AK535" s="2">
        <f>IF(AND(Games[[#This Row],[Type]]="P",Games[[#This Row],[Round]]=4),IF(Games[[#This Row],[Result]]&gt;0.5,1,0),0)</f>
        <v>0</v>
      </c>
      <c r="AL535" s="2">
        <f>IF(AND(Games[[#This Row],[Type]]="P",Games[[#This Row],[Round]]=4),IF(Games[[#This Row],[Result]]&lt;0.5,1,0),0)</f>
        <v>0</v>
      </c>
    </row>
    <row r="536" spans="1:38" x14ac:dyDescent="0.35">
      <c r="A536" s="10">
        <v>37127</v>
      </c>
      <c r="B536" s="2">
        <v>2001</v>
      </c>
      <c r="C536" s="2">
        <f>COUNTIFS(Games[Team],Games[[#This Row],[Team]],Games[Season],Games[[#This Row],[Season]],Games[Date],"&lt;=" &amp; Games[[#This Row],[Date]])</f>
        <v>35</v>
      </c>
      <c r="D536" s="2" t="s">
        <v>46</v>
      </c>
      <c r="E536" s="2">
        <v>2</v>
      </c>
      <c r="F536" s="1" t="s">
        <v>71</v>
      </c>
      <c r="G536" s="1" t="s">
        <v>45</v>
      </c>
      <c r="H536" s="1" t="s">
        <v>16</v>
      </c>
      <c r="I536" s="2" cm="1">
        <f t="array" ref="I5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536" s="2" cm="1">
        <f t="array" ref="J5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36" s="2">
        <f>Games[[#This Row],[DaysOff]]-Games[[#This Row],[OppDaysOff]]</f>
        <v>-1</v>
      </c>
      <c r="L536" s="2">
        <f>Games[[#This Row],[OppDaysOff]]-Games[[#This Row],[DaysOff]]</f>
        <v>1</v>
      </c>
      <c r="M536" s="16">
        <f>MAX(-16, MIN(16, Games[[#This Row],[RestDiff]]*8))</f>
        <v>-8</v>
      </c>
      <c r="N536" s="16">
        <f>MAX(-16, MIN(16, Games[[#This Row],[OppRestDiff]]*8))</f>
        <v>8</v>
      </c>
      <c r="O536" s="4" cm="1">
        <f t="array" ref="O5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1751.1061812606649</v>
      </c>
      <c r="P536" s="4" cm="1">
        <f t="array" ref="P5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1641.481216781659</v>
      </c>
      <c r="Q536" s="4">
        <f>1/(1+10^(((Games[[#This Row],[OppPreGmRate]]+IF(Games[[#This Row],[HomeAway]]="A",HCA,0)+Games[[#This Row],[OppRestAdj]])-(Games[[#This Row],[PreGmRate]]+IF(Games[[#This Row],[HomeAway]]="H",HCA,0)+Games[[#This Row],[RestAdj]]))/400))</f>
        <v>0.51384789499351347</v>
      </c>
      <c r="R536" s="1">
        <v>74</v>
      </c>
      <c r="S536" s="1">
        <v>73</v>
      </c>
      <c r="T536" s="1">
        <v>0</v>
      </c>
      <c r="U536" s="16">
        <f>Games[[#This Row],[PointsFor]]-Games[[#This Row],[PointsAgainst]]</f>
        <v>1</v>
      </c>
      <c r="V536" s="16">
        <f>IF(Games[[#This Row],[MOV]]&gt;0,1,IF(Games[[#This Row],[MOV]]=0,0.5,0))</f>
        <v>1</v>
      </c>
      <c r="W536" s="4">
        <f>((ABS(Games[[#This Row],[MOV]])+5)^0.6)/(12+0.01*(ABS(Games[[#This Row],[PreGmRate]]-Games[[#This Row],[OppPreGmRate]])))*IF(Games[[#This Row],[OT]]=1,0.9,1)</f>
        <v>0.2237400882739887</v>
      </c>
      <c r="X536" s="7" cm="1">
        <f t="array" ref="X5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6" s="9">
        <f>MAX(kmin, kmax - 0.15 * MIN(Games[[#This Row],[GamesPlayed]], 82))</f>
        <v>70.75</v>
      </c>
      <c r="Z536" s="4">
        <f>Games[[#This Row],[K]]*Games[[#This Row],[POMult]]</f>
        <v>84.899999999999991</v>
      </c>
      <c r="AA536" s="4">
        <f>(Games[[#This Row],[Keff]]*Games[[#This Row],[MOVMult]])*(Games[[#This Row],[Result]]-Games[[#This Row],[ExpectedWin%]])</f>
        <v>9.2347185940537475</v>
      </c>
      <c r="AB536" s="4">
        <f>Games[[#This Row],[PreGmRate]]+Games[[#This Row],[RatingChange]]</f>
        <v>1760.3408998547186</v>
      </c>
      <c r="AC536" s="2">
        <f>IF(Games[[#This Row],[Type]]="R",IF(Games[[#This Row],[Result]]&gt;0.5,1,0),0)</f>
        <v>0</v>
      </c>
      <c r="AD536" s="2">
        <f>IF(Games[[#This Row],[Type]]="R",IF(Games[[#This Row],[Result]]&lt;0.5,1,0),0)</f>
        <v>0</v>
      </c>
      <c r="AE536" s="2">
        <f>IF(AND(Games[[#This Row],[Type]]="P",Games[[#This Row],[Round]]=1),IF(Games[[#This Row],[Result]]&gt;0.5,1,0),0)</f>
        <v>0</v>
      </c>
      <c r="AF536" s="2">
        <f>IF(AND(Games[[#This Row],[Type]]="P",Games[[#This Row],[Round]]=1),IF(Games[[#This Row],[Result]]&lt;0.5,1,0),0)</f>
        <v>0</v>
      </c>
      <c r="AG536" s="2">
        <f>IF(AND(Games[[#This Row],[Type]]="P",Games[[#This Row],[Round]]=2),IF(Games[[#This Row],[Result]]&gt;0.5,1,0),0)</f>
        <v>1</v>
      </c>
      <c r="AH536" s="2">
        <f>IF(AND(Games[[#This Row],[Type]]="P",Games[[#This Row],[Round]]=2),IF(Games[[#This Row],[Result]]&lt;0.5,1,0),0)</f>
        <v>0</v>
      </c>
      <c r="AI536" s="2">
        <f>IF(AND(Games[[#This Row],[Type]]="P",Games[[#This Row],[Round]]=3),IF(Games[[#This Row],[Result]]&gt;0.5,1,0),0)</f>
        <v>0</v>
      </c>
      <c r="AJ536" s="2">
        <f>IF(AND(Games[[#This Row],[Type]]="P",Games[[#This Row],[Round]]=3),IF(Games[[#This Row],[Result]]&lt;0.5,1,0),0)</f>
        <v>0</v>
      </c>
      <c r="AK536" s="2">
        <f>IF(AND(Games[[#This Row],[Type]]="P",Games[[#This Row],[Round]]=4),IF(Games[[#This Row],[Result]]&gt;0.5,1,0),0)</f>
        <v>0</v>
      </c>
      <c r="AL536" s="2">
        <f>IF(AND(Games[[#This Row],[Type]]="P",Games[[#This Row],[Round]]=4),IF(Games[[#This Row],[Result]]&lt;0.5,1,0),0)</f>
        <v>0</v>
      </c>
    </row>
    <row r="537" spans="1:38" x14ac:dyDescent="0.35">
      <c r="A537" s="10">
        <v>37127</v>
      </c>
      <c r="B537" s="2">
        <v>2001</v>
      </c>
      <c r="C537" s="2">
        <f>COUNTIFS(Games[Team],Games[[#This Row],[Team]],Games[Season],Games[[#This Row],[Season]],Games[Date],"&lt;=" &amp; Games[[#This Row],[Date]])</f>
        <v>35</v>
      </c>
      <c r="D537" s="2" t="s">
        <v>46</v>
      </c>
      <c r="E537" s="2">
        <v>2</v>
      </c>
      <c r="F537" s="1" t="s">
        <v>45</v>
      </c>
      <c r="G537" s="1" t="s">
        <v>71</v>
      </c>
      <c r="H537" s="1" t="s">
        <v>15</v>
      </c>
      <c r="I537" s="2" cm="1">
        <f t="array" ref="I5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537" s="2" cm="1">
        <f t="array" ref="J5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37" s="2">
        <f>Games[[#This Row],[DaysOff]]-Games[[#This Row],[OppDaysOff]]</f>
        <v>1</v>
      </c>
      <c r="L537" s="2">
        <f>Games[[#This Row],[OppDaysOff]]-Games[[#This Row],[DaysOff]]</f>
        <v>-1</v>
      </c>
      <c r="M537" s="16">
        <f>MAX(-16, MIN(16, Games[[#This Row],[RestDiff]]*8))</f>
        <v>8</v>
      </c>
      <c r="N537" s="16">
        <f>MAX(-16, MIN(16, Games[[#This Row],[OppRestDiff]]*8))</f>
        <v>-8</v>
      </c>
      <c r="O537" s="4" cm="1">
        <f t="array" ref="O5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1641.481216781659</v>
      </c>
      <c r="P537" s="4" cm="1">
        <f t="array" ref="P5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1751.1061812606649</v>
      </c>
      <c r="Q537" s="4">
        <f>1/(1+10^(((Games[[#This Row],[OppPreGmRate]]+IF(Games[[#This Row],[HomeAway]]="A",HCA,0)+Games[[#This Row],[OppRestAdj]])-(Games[[#This Row],[PreGmRate]]+IF(Games[[#This Row],[HomeAway]]="H",HCA,0)+Games[[#This Row],[RestAdj]]))/400))</f>
        <v>0.48615210500648648</v>
      </c>
      <c r="R537" s="1">
        <v>73</v>
      </c>
      <c r="S537" s="1">
        <v>74</v>
      </c>
      <c r="T537" s="1">
        <v>0</v>
      </c>
      <c r="U537" s="16">
        <f>Games[[#This Row],[PointsFor]]-Games[[#This Row],[PointsAgainst]]</f>
        <v>-1</v>
      </c>
      <c r="V537" s="16">
        <f>IF(Games[[#This Row],[MOV]]&gt;0,1,IF(Games[[#This Row],[MOV]]=0,0.5,0))</f>
        <v>0</v>
      </c>
      <c r="W537" s="4">
        <f>((ABS(Games[[#This Row],[MOV]])+5)^0.6)/(12+0.01*(ABS(Games[[#This Row],[PreGmRate]]-Games[[#This Row],[OppPreGmRate]])))*IF(Games[[#This Row],[OT]]=1,0.9,1)</f>
        <v>0.2237400882739887</v>
      </c>
      <c r="X537" s="7" cm="1">
        <f t="array" ref="X5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7" s="9">
        <f>MAX(kmin, kmax - 0.15 * MIN(Games[[#This Row],[GamesPlayed]], 82))</f>
        <v>70.75</v>
      </c>
      <c r="Z537" s="4">
        <f>Games[[#This Row],[K]]*Games[[#This Row],[POMult]]</f>
        <v>84.899999999999991</v>
      </c>
      <c r="AA537" s="4">
        <f>(Games[[#This Row],[Keff]]*Games[[#This Row],[MOVMult]])*(Games[[#This Row],[Result]]-Games[[#This Row],[ExpectedWin%]])</f>
        <v>-9.2347185940537457</v>
      </c>
      <c r="AB537" s="4">
        <f>Games[[#This Row],[PreGmRate]]+Games[[#This Row],[RatingChange]]</f>
        <v>1632.2464981876053</v>
      </c>
      <c r="AC537" s="2">
        <f>IF(Games[[#This Row],[Type]]="R",IF(Games[[#This Row],[Result]]&gt;0.5,1,0),0)</f>
        <v>0</v>
      </c>
      <c r="AD537" s="2">
        <f>IF(Games[[#This Row],[Type]]="R",IF(Games[[#This Row],[Result]]&lt;0.5,1,0),0)</f>
        <v>0</v>
      </c>
      <c r="AE537" s="2">
        <f>IF(AND(Games[[#This Row],[Type]]="P",Games[[#This Row],[Round]]=1),IF(Games[[#This Row],[Result]]&gt;0.5,1,0),0)</f>
        <v>0</v>
      </c>
      <c r="AF537" s="2">
        <f>IF(AND(Games[[#This Row],[Type]]="P",Games[[#This Row],[Round]]=1),IF(Games[[#This Row],[Result]]&lt;0.5,1,0),0)</f>
        <v>0</v>
      </c>
      <c r="AG537" s="2">
        <f>IF(AND(Games[[#This Row],[Type]]="P",Games[[#This Row],[Round]]=2),IF(Games[[#This Row],[Result]]&gt;0.5,1,0),0)</f>
        <v>0</v>
      </c>
      <c r="AH537" s="2">
        <f>IF(AND(Games[[#This Row],[Type]]="P",Games[[#This Row],[Round]]=2),IF(Games[[#This Row],[Result]]&lt;0.5,1,0),0)</f>
        <v>1</v>
      </c>
      <c r="AI537" s="2">
        <f>IF(AND(Games[[#This Row],[Type]]="P",Games[[#This Row],[Round]]=3),IF(Games[[#This Row],[Result]]&gt;0.5,1,0),0)</f>
        <v>0</v>
      </c>
      <c r="AJ537" s="2">
        <f>IF(AND(Games[[#This Row],[Type]]="P",Games[[#This Row],[Round]]=3),IF(Games[[#This Row],[Result]]&lt;0.5,1,0),0)</f>
        <v>0</v>
      </c>
      <c r="AK537" s="2">
        <f>IF(AND(Games[[#This Row],[Type]]="P",Games[[#This Row],[Round]]=4),IF(Games[[#This Row],[Result]]&gt;0.5,1,0),0)</f>
        <v>0</v>
      </c>
      <c r="AL537" s="2">
        <f>IF(AND(Games[[#This Row],[Type]]="P",Games[[#This Row],[Round]]=4),IF(Games[[#This Row],[Result]]&lt;0.5,1,0),0)</f>
        <v>0</v>
      </c>
    </row>
    <row r="538" spans="1:38" x14ac:dyDescent="0.35">
      <c r="A538" s="10">
        <v>37129</v>
      </c>
      <c r="B538" s="2">
        <v>2001</v>
      </c>
      <c r="C538" s="2">
        <f>COUNTIFS(Games[Team],Games[[#This Row],[Team]],Games[Season],Games[[#This Row],[Season]],Games[Date],"&lt;=" &amp; Games[[#This Row],[Date]])</f>
        <v>36</v>
      </c>
      <c r="D538" s="2" t="s">
        <v>46</v>
      </c>
      <c r="E538" s="2">
        <v>2</v>
      </c>
      <c r="F538" s="1" t="s">
        <v>45</v>
      </c>
      <c r="G538" s="1" t="s">
        <v>71</v>
      </c>
      <c r="H538" s="1" t="s">
        <v>16</v>
      </c>
      <c r="I538" s="2" cm="1">
        <f t="array" ref="I5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8" s="2" cm="1">
        <f t="array" ref="J5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8" s="2">
        <f>Games[[#This Row],[DaysOff]]-Games[[#This Row],[OppDaysOff]]</f>
        <v>0</v>
      </c>
      <c r="L538" s="2">
        <f>Games[[#This Row],[OppDaysOff]]-Games[[#This Row],[DaysOff]]</f>
        <v>0</v>
      </c>
      <c r="M538" s="16">
        <f>MAX(-16, MIN(16, Games[[#This Row],[RestDiff]]*8))</f>
        <v>0</v>
      </c>
      <c r="N538" s="16">
        <f>MAX(-16, MIN(16, Games[[#This Row],[OppRestDiff]]*8))</f>
        <v>0</v>
      </c>
      <c r="O538" s="4" cm="1">
        <f t="array" ref="O5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1632.2464981876053</v>
      </c>
      <c r="P538" s="4" cm="1">
        <f t="array" ref="P5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1760.3408998547186</v>
      </c>
      <c r="Q538" s="4">
        <f>1/(1+10^(((Games[[#This Row],[OppPreGmRate]]+IF(Games[[#This Row],[HomeAway]]="A",HCA,0)+Games[[#This Row],[OppRestAdj]])-(Games[[#This Row],[PreGmRate]]+IF(Games[[#This Row],[HomeAway]]="H",HCA,0)+Games[[#This Row],[RestAdj]]))/400))</f>
        <v>0.22777572816019817</v>
      </c>
      <c r="R538" s="1">
        <v>80</v>
      </c>
      <c r="S538" s="1">
        <v>60</v>
      </c>
      <c r="T538" s="1">
        <v>0</v>
      </c>
      <c r="U538" s="16">
        <f>Games[[#This Row],[PointsFor]]-Games[[#This Row],[PointsAgainst]]</f>
        <v>20</v>
      </c>
      <c r="V538" s="16">
        <f>IF(Games[[#This Row],[MOV]]&gt;0,1,IF(Games[[#This Row],[MOV]]=0,0.5,0))</f>
        <v>1</v>
      </c>
      <c r="W538" s="4">
        <f>((ABS(Games[[#This Row],[MOV]])+5)^0.6)/(12+0.01*(ABS(Games[[#This Row],[PreGmRate]]-Games[[#This Row],[OppPreGmRate]])))*IF(Games[[#This Row],[OT]]=1,0.9,1)</f>
        <v>0.51943960449245363</v>
      </c>
      <c r="X538" s="7" cm="1">
        <f t="array" ref="X5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8" s="9">
        <f>MAX(kmin, kmax - 0.15 * MIN(Games[[#This Row],[GamesPlayed]], 82))</f>
        <v>70.599999999999994</v>
      </c>
      <c r="Z538" s="4">
        <f>Games[[#This Row],[K]]*Games[[#This Row],[POMult]]</f>
        <v>84.719999999999985</v>
      </c>
      <c r="AA538" s="4">
        <f>(Games[[#This Row],[Keff]]*Games[[#This Row],[MOVMult]])*(Games[[#This Row],[Result]]-Games[[#This Row],[ExpectedWin%]])</f>
        <v>33.983214295538559</v>
      </c>
      <c r="AB538" s="4">
        <f>Games[[#This Row],[PreGmRate]]+Games[[#This Row],[RatingChange]]</f>
        <v>1666.2297124831439</v>
      </c>
      <c r="AC538" s="2">
        <f>IF(Games[[#This Row],[Type]]="R",IF(Games[[#This Row],[Result]]&gt;0.5,1,0),0)</f>
        <v>0</v>
      </c>
      <c r="AD538" s="2">
        <f>IF(Games[[#This Row],[Type]]="R",IF(Games[[#This Row],[Result]]&lt;0.5,1,0),0)</f>
        <v>0</v>
      </c>
      <c r="AE538" s="2">
        <f>IF(AND(Games[[#This Row],[Type]]="P",Games[[#This Row],[Round]]=1),IF(Games[[#This Row],[Result]]&gt;0.5,1,0),0)</f>
        <v>0</v>
      </c>
      <c r="AF538" s="2">
        <f>IF(AND(Games[[#This Row],[Type]]="P",Games[[#This Row],[Round]]=1),IF(Games[[#This Row],[Result]]&lt;0.5,1,0),0)</f>
        <v>0</v>
      </c>
      <c r="AG538" s="2">
        <f>IF(AND(Games[[#This Row],[Type]]="P",Games[[#This Row],[Round]]=2),IF(Games[[#This Row],[Result]]&gt;0.5,1,0),0)</f>
        <v>1</v>
      </c>
      <c r="AH538" s="2">
        <f>IF(AND(Games[[#This Row],[Type]]="P",Games[[#This Row],[Round]]=2),IF(Games[[#This Row],[Result]]&lt;0.5,1,0),0)</f>
        <v>0</v>
      </c>
      <c r="AI538" s="2">
        <f>IF(AND(Games[[#This Row],[Type]]="P",Games[[#This Row],[Round]]=3),IF(Games[[#This Row],[Result]]&gt;0.5,1,0),0)</f>
        <v>0</v>
      </c>
      <c r="AJ538" s="2">
        <f>IF(AND(Games[[#This Row],[Type]]="P",Games[[#This Row],[Round]]=3),IF(Games[[#This Row],[Result]]&lt;0.5,1,0),0)</f>
        <v>0</v>
      </c>
      <c r="AK538" s="2">
        <f>IF(AND(Games[[#This Row],[Type]]="P",Games[[#This Row],[Round]]=4),IF(Games[[#This Row],[Result]]&gt;0.5,1,0),0)</f>
        <v>0</v>
      </c>
      <c r="AL538" s="2">
        <f>IF(AND(Games[[#This Row],[Type]]="P",Games[[#This Row],[Round]]=4),IF(Games[[#This Row],[Result]]&lt;0.5,1,0),0)</f>
        <v>0</v>
      </c>
    </row>
    <row r="539" spans="1:38" x14ac:dyDescent="0.35">
      <c r="A539" s="10">
        <v>37129</v>
      </c>
      <c r="B539" s="2">
        <v>2001</v>
      </c>
      <c r="C539" s="2">
        <f>COUNTIFS(Games[Team],Games[[#This Row],[Team]],Games[Season],Games[[#This Row],[Season]],Games[Date],"&lt;=" &amp; Games[[#This Row],[Date]])</f>
        <v>36</v>
      </c>
      <c r="D539" s="2" t="s">
        <v>46</v>
      </c>
      <c r="E539" s="2">
        <v>2</v>
      </c>
      <c r="F539" s="1" t="s">
        <v>71</v>
      </c>
      <c r="G539" s="1" t="s">
        <v>45</v>
      </c>
      <c r="H539" s="1" t="s">
        <v>15</v>
      </c>
      <c r="I539" s="2" cm="1">
        <f t="array" ref="I5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9" s="2" cm="1">
        <f t="array" ref="J5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9" s="2">
        <f>Games[[#This Row],[DaysOff]]-Games[[#This Row],[OppDaysOff]]</f>
        <v>0</v>
      </c>
      <c r="L539" s="2">
        <f>Games[[#This Row],[OppDaysOff]]-Games[[#This Row],[DaysOff]]</f>
        <v>0</v>
      </c>
      <c r="M539" s="16">
        <f>MAX(-16, MIN(16, Games[[#This Row],[RestDiff]]*8))</f>
        <v>0</v>
      </c>
      <c r="N539" s="16">
        <f>MAX(-16, MIN(16, Games[[#This Row],[OppRestDiff]]*8))</f>
        <v>0</v>
      </c>
      <c r="O539" s="4" cm="1">
        <f t="array" ref="O5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1760.3408998547186</v>
      </c>
      <c r="P539" s="4" cm="1">
        <f t="array" ref="P5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1632.2464981876053</v>
      </c>
      <c r="Q539" s="4">
        <f>1/(1+10^(((Games[[#This Row],[OppPreGmRate]]+IF(Games[[#This Row],[HomeAway]]="A",HCA,0)+Games[[#This Row],[OppRestAdj]])-(Games[[#This Row],[PreGmRate]]+IF(Games[[#This Row],[HomeAway]]="H",HCA,0)+Games[[#This Row],[RestAdj]]))/400))</f>
        <v>0.7722242718398018</v>
      </c>
      <c r="R539" s="1">
        <v>60</v>
      </c>
      <c r="S539" s="1">
        <v>80</v>
      </c>
      <c r="T539" s="1">
        <v>0</v>
      </c>
      <c r="U539" s="16">
        <f>Games[[#This Row],[PointsFor]]-Games[[#This Row],[PointsAgainst]]</f>
        <v>-20</v>
      </c>
      <c r="V539" s="16">
        <f>IF(Games[[#This Row],[MOV]]&gt;0,1,IF(Games[[#This Row],[MOV]]=0,0.5,0))</f>
        <v>0</v>
      </c>
      <c r="W539" s="4">
        <f>((ABS(Games[[#This Row],[MOV]])+5)^0.6)/(12+0.01*(ABS(Games[[#This Row],[PreGmRate]]-Games[[#This Row],[OppPreGmRate]])))*IF(Games[[#This Row],[OT]]=1,0.9,1)</f>
        <v>0.51943960449245363</v>
      </c>
      <c r="X539" s="7" cm="1">
        <f t="array" ref="X5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9" s="9">
        <f>MAX(kmin, kmax - 0.15 * MIN(Games[[#This Row],[GamesPlayed]], 82))</f>
        <v>70.599999999999994</v>
      </c>
      <c r="Z539" s="4">
        <f>Games[[#This Row],[K]]*Games[[#This Row],[POMult]]</f>
        <v>84.719999999999985</v>
      </c>
      <c r="AA539" s="4">
        <f>(Games[[#This Row],[Keff]]*Games[[#This Row],[MOVMult]])*(Games[[#This Row],[Result]]-Games[[#This Row],[ExpectedWin%]])</f>
        <v>-33.983214295538559</v>
      </c>
      <c r="AB539" s="4">
        <f>Games[[#This Row],[PreGmRate]]+Games[[#This Row],[RatingChange]]</f>
        <v>1726.35768555918</v>
      </c>
      <c r="AC539" s="2">
        <f>IF(Games[[#This Row],[Type]]="R",IF(Games[[#This Row],[Result]]&gt;0.5,1,0),0)</f>
        <v>0</v>
      </c>
      <c r="AD539" s="2">
        <f>IF(Games[[#This Row],[Type]]="R",IF(Games[[#This Row],[Result]]&lt;0.5,1,0),0)</f>
        <v>0</v>
      </c>
      <c r="AE539" s="2">
        <f>IF(AND(Games[[#This Row],[Type]]="P",Games[[#This Row],[Round]]=1),IF(Games[[#This Row],[Result]]&gt;0.5,1,0),0)</f>
        <v>0</v>
      </c>
      <c r="AF539" s="2">
        <f>IF(AND(Games[[#This Row],[Type]]="P",Games[[#This Row],[Round]]=1),IF(Games[[#This Row],[Result]]&lt;0.5,1,0),0)</f>
        <v>0</v>
      </c>
      <c r="AG539" s="2">
        <f>IF(AND(Games[[#This Row],[Type]]="P",Games[[#This Row],[Round]]=2),IF(Games[[#This Row],[Result]]&gt;0.5,1,0),0)</f>
        <v>0</v>
      </c>
      <c r="AH539" s="2">
        <f>IF(AND(Games[[#This Row],[Type]]="P",Games[[#This Row],[Round]]=2),IF(Games[[#This Row],[Result]]&lt;0.5,1,0),0)</f>
        <v>1</v>
      </c>
      <c r="AI539" s="2">
        <f>IF(AND(Games[[#This Row],[Type]]="P",Games[[#This Row],[Round]]=3),IF(Games[[#This Row],[Result]]&gt;0.5,1,0),0)</f>
        <v>0</v>
      </c>
      <c r="AJ539" s="2">
        <f>IF(AND(Games[[#This Row],[Type]]="P",Games[[#This Row],[Round]]=3),IF(Games[[#This Row],[Result]]&lt;0.5,1,0),0)</f>
        <v>0</v>
      </c>
      <c r="AK539" s="2">
        <f>IF(AND(Games[[#This Row],[Type]]="P",Games[[#This Row],[Round]]=4),IF(Games[[#This Row],[Result]]&gt;0.5,1,0),0)</f>
        <v>0</v>
      </c>
      <c r="AL539" s="2">
        <f>IF(AND(Games[[#This Row],[Type]]="P",Games[[#This Row],[Round]]=4),IF(Games[[#This Row],[Result]]&lt;0.5,1,0),0)</f>
        <v>0</v>
      </c>
    </row>
    <row r="540" spans="1:38" x14ac:dyDescent="0.35">
      <c r="A540" s="10">
        <v>37129</v>
      </c>
      <c r="B540" s="2">
        <v>2001</v>
      </c>
      <c r="C540" s="2">
        <f>COUNTIFS(Games[Team],Games[[#This Row],[Team]],Games[Season],Games[[#This Row],[Season]],Games[Date],"&lt;=" &amp; Games[[#This Row],[Date]])</f>
        <v>37</v>
      </c>
      <c r="D540" s="2" t="s">
        <v>46</v>
      </c>
      <c r="E540" s="2">
        <v>2</v>
      </c>
      <c r="F540" s="1" t="s">
        <v>64</v>
      </c>
      <c r="G540" s="1" t="s">
        <v>66</v>
      </c>
      <c r="H540" s="1" t="s">
        <v>16</v>
      </c>
      <c r="I540" s="2" cm="1">
        <f t="array" ref="I5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0" s="2" cm="1">
        <f t="array" ref="J5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0" s="2">
        <f>Games[[#This Row],[DaysOff]]-Games[[#This Row],[OppDaysOff]]</f>
        <v>0</v>
      </c>
      <c r="L540" s="2">
        <f>Games[[#This Row],[OppDaysOff]]-Games[[#This Row],[DaysOff]]</f>
        <v>0</v>
      </c>
      <c r="M540" s="16">
        <f>MAX(-16, MIN(16, Games[[#This Row],[RestDiff]]*8))</f>
        <v>0</v>
      </c>
      <c r="N540" s="16">
        <f>MAX(-16, MIN(16, Games[[#This Row],[OppRestDiff]]*8))</f>
        <v>0</v>
      </c>
      <c r="O540" s="4" cm="1">
        <f t="array" ref="O5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1551.1348079416298</v>
      </c>
      <c r="P540" s="4" cm="1">
        <f t="array" ref="P5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1605.1875625379728</v>
      </c>
      <c r="Q540" s="4">
        <f>1/(1+10^(((Games[[#This Row],[OppPreGmRate]]+IF(Games[[#This Row],[HomeAway]]="A",HCA,0)+Games[[#This Row],[OppRestAdj]])-(Games[[#This Row],[PreGmRate]]+IF(Games[[#This Row],[HomeAway]]="H",HCA,0)+Games[[#This Row],[RestAdj]]))/400))</f>
        <v>0.31116133686833752</v>
      </c>
      <c r="R540" s="1">
        <v>62</v>
      </c>
      <c r="S540" s="1">
        <v>53</v>
      </c>
      <c r="T540" s="1">
        <v>0</v>
      </c>
      <c r="U540" s="16">
        <f>Games[[#This Row],[PointsFor]]-Games[[#This Row],[PointsAgainst]]</f>
        <v>9</v>
      </c>
      <c r="V540" s="16">
        <f>IF(Games[[#This Row],[MOV]]&gt;0,1,IF(Games[[#This Row],[MOV]]=0,0.5,0))</f>
        <v>1</v>
      </c>
      <c r="W540" s="4">
        <f>((ABS(Games[[#This Row],[MOV]])+5)^0.6)/(12+0.01*(ABS(Games[[#This Row],[PreGmRate]]-Games[[#This Row],[OppPreGmRate]])))*IF(Games[[#This Row],[OT]]=1,0.9,1)</f>
        <v>0.38847315696340168</v>
      </c>
      <c r="X540" s="7" cm="1">
        <f t="array" ref="X5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0" s="9">
        <f>MAX(kmin, kmax - 0.15 * MIN(Games[[#This Row],[GamesPlayed]], 82))</f>
        <v>70.45</v>
      </c>
      <c r="Z540" s="4">
        <f>Games[[#This Row],[K]]*Games[[#This Row],[POMult]]</f>
        <v>84.54</v>
      </c>
      <c r="AA540" s="4">
        <f>(Games[[#This Row],[Keff]]*Games[[#This Row],[MOVMult]])*(Games[[#This Row],[Result]]-Games[[#This Row],[ExpectedWin%]])</f>
        <v>22.622509207094126</v>
      </c>
      <c r="AB540" s="4">
        <f>Games[[#This Row],[PreGmRate]]+Games[[#This Row],[RatingChange]]</f>
        <v>1573.7573171487238</v>
      </c>
      <c r="AC540" s="2">
        <f>IF(Games[[#This Row],[Type]]="R",IF(Games[[#This Row],[Result]]&gt;0.5,1,0),0)</f>
        <v>0</v>
      </c>
      <c r="AD540" s="2">
        <f>IF(Games[[#This Row],[Type]]="R",IF(Games[[#This Row],[Result]]&lt;0.5,1,0),0)</f>
        <v>0</v>
      </c>
      <c r="AE540" s="2">
        <f>IF(AND(Games[[#This Row],[Type]]="P",Games[[#This Row],[Round]]=1),IF(Games[[#This Row],[Result]]&gt;0.5,1,0),0)</f>
        <v>0</v>
      </c>
      <c r="AF540" s="2">
        <f>IF(AND(Games[[#This Row],[Type]]="P",Games[[#This Row],[Round]]=1),IF(Games[[#This Row],[Result]]&lt;0.5,1,0),0)</f>
        <v>0</v>
      </c>
      <c r="AG540" s="2">
        <f>IF(AND(Games[[#This Row],[Type]]="P",Games[[#This Row],[Round]]=2),IF(Games[[#This Row],[Result]]&gt;0.5,1,0),0)</f>
        <v>1</v>
      </c>
      <c r="AH540" s="2">
        <f>IF(AND(Games[[#This Row],[Type]]="P",Games[[#This Row],[Round]]=2),IF(Games[[#This Row],[Result]]&lt;0.5,1,0),0)</f>
        <v>0</v>
      </c>
      <c r="AI540" s="2">
        <f>IF(AND(Games[[#This Row],[Type]]="P",Games[[#This Row],[Round]]=3),IF(Games[[#This Row],[Result]]&gt;0.5,1,0),0)</f>
        <v>0</v>
      </c>
      <c r="AJ540" s="2">
        <f>IF(AND(Games[[#This Row],[Type]]="P",Games[[#This Row],[Round]]=3),IF(Games[[#This Row],[Result]]&lt;0.5,1,0),0)</f>
        <v>0</v>
      </c>
      <c r="AK540" s="2">
        <f>IF(AND(Games[[#This Row],[Type]]="P",Games[[#This Row],[Round]]=4),IF(Games[[#This Row],[Result]]&gt;0.5,1,0),0)</f>
        <v>0</v>
      </c>
      <c r="AL540" s="2">
        <f>IF(AND(Games[[#This Row],[Type]]="P",Games[[#This Row],[Round]]=4),IF(Games[[#This Row],[Result]]&lt;0.5,1,0),0)</f>
        <v>0</v>
      </c>
    </row>
    <row r="541" spans="1:38" x14ac:dyDescent="0.35">
      <c r="A541" s="10">
        <v>37129</v>
      </c>
      <c r="B541" s="2">
        <v>2001</v>
      </c>
      <c r="C541" s="2">
        <f>COUNTIFS(Games[Team],Games[[#This Row],[Team]],Games[Season],Games[[#This Row],[Season]],Games[Date],"&lt;=" &amp; Games[[#This Row],[Date]])</f>
        <v>37</v>
      </c>
      <c r="D541" s="2" t="s">
        <v>46</v>
      </c>
      <c r="E541" s="2">
        <v>2</v>
      </c>
      <c r="F541" s="1" t="s">
        <v>66</v>
      </c>
      <c r="G541" s="1" t="s">
        <v>64</v>
      </c>
      <c r="H541" s="1" t="s">
        <v>15</v>
      </c>
      <c r="I541" s="2" cm="1">
        <f t="array" ref="I5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1" s="2" cm="1">
        <f t="array" ref="J5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1" s="2">
        <f>Games[[#This Row],[DaysOff]]-Games[[#This Row],[OppDaysOff]]</f>
        <v>0</v>
      </c>
      <c r="L541" s="2">
        <f>Games[[#This Row],[OppDaysOff]]-Games[[#This Row],[DaysOff]]</f>
        <v>0</v>
      </c>
      <c r="M541" s="16">
        <f>MAX(-16, MIN(16, Games[[#This Row],[RestDiff]]*8))</f>
        <v>0</v>
      </c>
      <c r="N541" s="16">
        <f>MAX(-16, MIN(16, Games[[#This Row],[OppRestDiff]]*8))</f>
        <v>0</v>
      </c>
      <c r="O541" s="4" cm="1">
        <f t="array" ref="O5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1605.1875625379728</v>
      </c>
      <c r="P541" s="4" cm="1">
        <f t="array" ref="P5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1551.1348079416298</v>
      </c>
      <c r="Q541" s="4">
        <f>1/(1+10^(((Games[[#This Row],[OppPreGmRate]]+IF(Games[[#This Row],[HomeAway]]="A",HCA,0)+Games[[#This Row],[OppRestAdj]])-(Games[[#This Row],[PreGmRate]]+IF(Games[[#This Row],[HomeAway]]="H",HCA,0)+Games[[#This Row],[RestAdj]]))/400))</f>
        <v>0.68883866313166242</v>
      </c>
      <c r="R541" s="1">
        <v>53</v>
      </c>
      <c r="S541" s="1">
        <v>62</v>
      </c>
      <c r="T541" s="1">
        <v>0</v>
      </c>
      <c r="U541" s="16">
        <f>Games[[#This Row],[PointsFor]]-Games[[#This Row],[PointsAgainst]]</f>
        <v>-9</v>
      </c>
      <c r="V541" s="16">
        <f>IF(Games[[#This Row],[MOV]]&gt;0,1,IF(Games[[#This Row],[MOV]]=0,0.5,0))</f>
        <v>0</v>
      </c>
      <c r="W541" s="4">
        <f>((ABS(Games[[#This Row],[MOV]])+5)^0.6)/(12+0.01*(ABS(Games[[#This Row],[PreGmRate]]-Games[[#This Row],[OppPreGmRate]])))*IF(Games[[#This Row],[OT]]=1,0.9,1)</f>
        <v>0.38847315696340168</v>
      </c>
      <c r="X541" s="7" cm="1">
        <f t="array" ref="X5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1" s="9">
        <f>MAX(kmin, kmax - 0.15 * MIN(Games[[#This Row],[GamesPlayed]], 82))</f>
        <v>70.45</v>
      </c>
      <c r="Z541" s="4">
        <f>Games[[#This Row],[K]]*Games[[#This Row],[POMult]]</f>
        <v>84.54</v>
      </c>
      <c r="AA541" s="4">
        <f>(Games[[#This Row],[Keff]]*Games[[#This Row],[MOVMult]])*(Games[[#This Row],[Result]]-Games[[#This Row],[ExpectedWin%]])</f>
        <v>-22.622509207094122</v>
      </c>
      <c r="AB541" s="4">
        <f>Games[[#This Row],[PreGmRate]]+Games[[#This Row],[RatingChange]]</f>
        <v>1582.5650533308788</v>
      </c>
      <c r="AC541" s="2">
        <f>IF(Games[[#This Row],[Type]]="R",IF(Games[[#This Row],[Result]]&gt;0.5,1,0),0)</f>
        <v>0</v>
      </c>
      <c r="AD541" s="2">
        <f>IF(Games[[#This Row],[Type]]="R",IF(Games[[#This Row],[Result]]&lt;0.5,1,0),0)</f>
        <v>0</v>
      </c>
      <c r="AE541" s="2">
        <f>IF(AND(Games[[#This Row],[Type]]="P",Games[[#This Row],[Round]]=1),IF(Games[[#This Row],[Result]]&gt;0.5,1,0),0)</f>
        <v>0</v>
      </c>
      <c r="AF541" s="2">
        <f>IF(AND(Games[[#This Row],[Type]]="P",Games[[#This Row],[Round]]=1),IF(Games[[#This Row],[Result]]&lt;0.5,1,0),0)</f>
        <v>0</v>
      </c>
      <c r="AG541" s="2">
        <f>IF(AND(Games[[#This Row],[Type]]="P",Games[[#This Row],[Round]]=2),IF(Games[[#This Row],[Result]]&gt;0.5,1,0),0)</f>
        <v>0</v>
      </c>
      <c r="AH541" s="2">
        <f>IF(AND(Games[[#This Row],[Type]]="P",Games[[#This Row],[Round]]=2),IF(Games[[#This Row],[Result]]&lt;0.5,1,0),0)</f>
        <v>1</v>
      </c>
      <c r="AI541" s="2">
        <f>IF(AND(Games[[#This Row],[Type]]="P",Games[[#This Row],[Round]]=3),IF(Games[[#This Row],[Result]]&gt;0.5,1,0),0)</f>
        <v>0</v>
      </c>
      <c r="AJ541" s="2">
        <f>IF(AND(Games[[#This Row],[Type]]="P",Games[[#This Row],[Round]]=3),IF(Games[[#This Row],[Result]]&lt;0.5,1,0),0)</f>
        <v>0</v>
      </c>
      <c r="AK541" s="2">
        <f>IF(AND(Games[[#This Row],[Type]]="P",Games[[#This Row],[Round]]=4),IF(Games[[#This Row],[Result]]&gt;0.5,1,0),0)</f>
        <v>0</v>
      </c>
      <c r="AL541" s="2">
        <f>IF(AND(Games[[#This Row],[Type]]="P",Games[[#This Row],[Round]]=4),IF(Games[[#This Row],[Result]]&lt;0.5,1,0),0)</f>
        <v>0</v>
      </c>
    </row>
    <row r="542" spans="1:38" x14ac:dyDescent="0.35">
      <c r="A542" s="10">
        <v>37130</v>
      </c>
      <c r="B542" s="2">
        <v>2001</v>
      </c>
      <c r="C542" s="2">
        <f>COUNTIFS(Games[Team],Games[[#This Row],[Team]],Games[Season],Games[[#This Row],[Season]],Games[Date],"&lt;=" &amp; Games[[#This Row],[Date]])</f>
        <v>37</v>
      </c>
      <c r="D542" s="2" t="s">
        <v>46</v>
      </c>
      <c r="E542" s="2">
        <v>2</v>
      </c>
      <c r="F542" s="1" t="s">
        <v>45</v>
      </c>
      <c r="G542" s="1" t="s">
        <v>71</v>
      </c>
      <c r="H542" s="1" t="s">
        <v>16</v>
      </c>
      <c r="I542" s="2" cm="1">
        <f t="array" ref="I5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2" s="2" cm="1">
        <f t="array" ref="J5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2" s="2">
        <f>Games[[#This Row],[DaysOff]]-Games[[#This Row],[OppDaysOff]]</f>
        <v>0</v>
      </c>
      <c r="L542" s="2">
        <f>Games[[#This Row],[OppDaysOff]]-Games[[#This Row],[DaysOff]]</f>
        <v>0</v>
      </c>
      <c r="M542" s="16">
        <f>MAX(-16, MIN(16, Games[[#This Row],[RestDiff]]*8))</f>
        <v>0</v>
      </c>
      <c r="N542" s="16">
        <f>MAX(-16, MIN(16, Games[[#This Row],[OppRestDiff]]*8))</f>
        <v>0</v>
      </c>
      <c r="O542" s="4" cm="1">
        <f t="array" ref="O5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1666.2297124831439</v>
      </c>
      <c r="P542" s="4" cm="1">
        <f t="array" ref="P5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1726.35768555918</v>
      </c>
      <c r="Q542" s="4">
        <f>1/(1+10^(((Games[[#This Row],[OppPreGmRate]]+IF(Games[[#This Row],[HomeAway]]="A",HCA,0)+Games[[#This Row],[OppRestAdj]])-(Games[[#This Row],[PreGmRate]]+IF(Games[[#This Row],[HomeAway]]="H",HCA,0)+Games[[#This Row],[RestAdj]]))/400))</f>
        <v>0.30371542122715212</v>
      </c>
      <c r="R542" s="1">
        <v>62</v>
      </c>
      <c r="S542" s="1">
        <v>93</v>
      </c>
      <c r="T542" s="1">
        <v>0</v>
      </c>
      <c r="U542" s="16">
        <f>Games[[#This Row],[PointsFor]]-Games[[#This Row],[PointsAgainst]]</f>
        <v>-31</v>
      </c>
      <c r="V542" s="16">
        <f>IF(Games[[#This Row],[MOV]]&gt;0,1,IF(Games[[#This Row],[MOV]]=0,0.5,0))</f>
        <v>0</v>
      </c>
      <c r="W542" s="4">
        <f>((ABS(Games[[#This Row],[MOV]])+5)^0.6)/(12+0.01*(ABS(Games[[#This Row],[PreGmRate]]-Games[[#This Row],[OppPreGmRate]])))*IF(Games[[#This Row],[OT]]=1,0.9,1)</f>
        <v>0.68134464674037221</v>
      </c>
      <c r="X542" s="7" cm="1">
        <f t="array" ref="X5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2" s="9">
        <f>MAX(kmin, kmax - 0.15 * MIN(Games[[#This Row],[GamesPlayed]], 82))</f>
        <v>70.45</v>
      </c>
      <c r="Z542" s="4">
        <f>Games[[#This Row],[K]]*Games[[#This Row],[POMult]]</f>
        <v>84.54</v>
      </c>
      <c r="AA542" s="4">
        <f>(Games[[#This Row],[Keff]]*Games[[#This Row],[MOVMult]])*(Games[[#This Row],[Result]]-Games[[#This Row],[ExpectedWin%]])</f>
        <v>-17.494274449640088</v>
      </c>
      <c r="AB542" s="4">
        <f>Games[[#This Row],[PreGmRate]]+Games[[#This Row],[RatingChange]]</f>
        <v>1648.7354380335039</v>
      </c>
      <c r="AC542" s="2">
        <f>IF(Games[[#This Row],[Type]]="R",IF(Games[[#This Row],[Result]]&gt;0.5,1,0),0)</f>
        <v>0</v>
      </c>
      <c r="AD542" s="2">
        <f>IF(Games[[#This Row],[Type]]="R",IF(Games[[#This Row],[Result]]&lt;0.5,1,0),0)</f>
        <v>0</v>
      </c>
      <c r="AE542" s="2">
        <f>IF(AND(Games[[#This Row],[Type]]="P",Games[[#This Row],[Round]]=1),IF(Games[[#This Row],[Result]]&gt;0.5,1,0),0)</f>
        <v>0</v>
      </c>
      <c r="AF542" s="2">
        <f>IF(AND(Games[[#This Row],[Type]]="P",Games[[#This Row],[Round]]=1),IF(Games[[#This Row],[Result]]&lt;0.5,1,0),0)</f>
        <v>0</v>
      </c>
      <c r="AG542" s="2">
        <f>IF(AND(Games[[#This Row],[Type]]="P",Games[[#This Row],[Round]]=2),IF(Games[[#This Row],[Result]]&gt;0.5,1,0),0)</f>
        <v>0</v>
      </c>
      <c r="AH542" s="2">
        <f>IF(AND(Games[[#This Row],[Type]]="P",Games[[#This Row],[Round]]=2),IF(Games[[#This Row],[Result]]&lt;0.5,1,0),0)</f>
        <v>1</v>
      </c>
      <c r="AI542" s="2">
        <f>IF(AND(Games[[#This Row],[Type]]="P",Games[[#This Row],[Round]]=3),IF(Games[[#This Row],[Result]]&gt;0.5,1,0),0)</f>
        <v>0</v>
      </c>
      <c r="AJ542" s="2">
        <f>IF(AND(Games[[#This Row],[Type]]="P",Games[[#This Row],[Round]]=3),IF(Games[[#This Row],[Result]]&lt;0.5,1,0),0)</f>
        <v>0</v>
      </c>
      <c r="AK542" s="2">
        <f>IF(AND(Games[[#This Row],[Type]]="P",Games[[#This Row],[Round]]=4),IF(Games[[#This Row],[Result]]&gt;0.5,1,0),0)</f>
        <v>0</v>
      </c>
      <c r="AL542" s="2">
        <f>IF(AND(Games[[#This Row],[Type]]="P",Games[[#This Row],[Round]]=4),IF(Games[[#This Row],[Result]]&lt;0.5,1,0),0)</f>
        <v>0</v>
      </c>
    </row>
    <row r="543" spans="1:38" x14ac:dyDescent="0.35">
      <c r="A543" s="10">
        <v>37130</v>
      </c>
      <c r="B543" s="2">
        <v>2001</v>
      </c>
      <c r="C543" s="2">
        <f>COUNTIFS(Games[Team],Games[[#This Row],[Team]],Games[Season],Games[[#This Row],[Season]],Games[Date],"&lt;=" &amp; Games[[#This Row],[Date]])</f>
        <v>37</v>
      </c>
      <c r="D543" s="2" t="s">
        <v>46</v>
      </c>
      <c r="E543" s="2">
        <v>2</v>
      </c>
      <c r="F543" s="1" t="s">
        <v>71</v>
      </c>
      <c r="G543" s="1" t="s">
        <v>45</v>
      </c>
      <c r="H543" s="1" t="s">
        <v>15</v>
      </c>
      <c r="I543" s="2" cm="1">
        <f t="array" ref="I5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3" s="2" cm="1">
        <f t="array" ref="J5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3" s="2">
        <f>Games[[#This Row],[DaysOff]]-Games[[#This Row],[OppDaysOff]]</f>
        <v>0</v>
      </c>
      <c r="L543" s="2">
        <f>Games[[#This Row],[OppDaysOff]]-Games[[#This Row],[DaysOff]]</f>
        <v>0</v>
      </c>
      <c r="M543" s="16">
        <f>MAX(-16, MIN(16, Games[[#This Row],[RestDiff]]*8))</f>
        <v>0</v>
      </c>
      <c r="N543" s="16">
        <f>MAX(-16, MIN(16, Games[[#This Row],[OppRestDiff]]*8))</f>
        <v>0</v>
      </c>
      <c r="O543" s="4" cm="1">
        <f t="array" ref="O5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1726.35768555918</v>
      </c>
      <c r="P543" s="4" cm="1">
        <f t="array" ref="P5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1666.2297124831439</v>
      </c>
      <c r="Q543" s="4">
        <f>1/(1+10^(((Games[[#This Row],[OppPreGmRate]]+IF(Games[[#This Row],[HomeAway]]="A",HCA,0)+Games[[#This Row],[OppRestAdj]])-(Games[[#This Row],[PreGmRate]]+IF(Games[[#This Row],[HomeAway]]="H",HCA,0)+Games[[#This Row],[RestAdj]]))/400))</f>
        <v>0.69628457877284788</v>
      </c>
      <c r="R543" s="1">
        <v>93</v>
      </c>
      <c r="S543" s="1">
        <v>62</v>
      </c>
      <c r="T543" s="1">
        <v>0</v>
      </c>
      <c r="U543" s="16">
        <f>Games[[#This Row],[PointsFor]]-Games[[#This Row],[PointsAgainst]]</f>
        <v>31</v>
      </c>
      <c r="V543" s="16">
        <f>IF(Games[[#This Row],[MOV]]&gt;0,1,IF(Games[[#This Row],[MOV]]=0,0.5,0))</f>
        <v>1</v>
      </c>
      <c r="W543" s="4">
        <f>((ABS(Games[[#This Row],[MOV]])+5)^0.6)/(12+0.01*(ABS(Games[[#This Row],[PreGmRate]]-Games[[#This Row],[OppPreGmRate]])))*IF(Games[[#This Row],[OT]]=1,0.9,1)</f>
        <v>0.68134464674037221</v>
      </c>
      <c r="X543" s="7" cm="1">
        <f t="array" ref="X5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3" s="9">
        <f>MAX(kmin, kmax - 0.15 * MIN(Games[[#This Row],[GamesPlayed]], 82))</f>
        <v>70.45</v>
      </c>
      <c r="Z543" s="4">
        <f>Games[[#This Row],[K]]*Games[[#This Row],[POMult]]</f>
        <v>84.54</v>
      </c>
      <c r="AA543" s="4">
        <f>(Games[[#This Row],[Keff]]*Games[[#This Row],[MOVMult]])*(Games[[#This Row],[Result]]-Games[[#This Row],[ExpectedWin%]])</f>
        <v>17.494274449640088</v>
      </c>
      <c r="AB543" s="4">
        <f>Games[[#This Row],[PreGmRate]]+Games[[#This Row],[RatingChange]]</f>
        <v>1743.85196000882</v>
      </c>
      <c r="AC543" s="2">
        <f>IF(Games[[#This Row],[Type]]="R",IF(Games[[#This Row],[Result]]&gt;0.5,1,0),0)</f>
        <v>0</v>
      </c>
      <c r="AD543" s="2">
        <f>IF(Games[[#This Row],[Type]]="R",IF(Games[[#This Row],[Result]]&lt;0.5,1,0),0)</f>
        <v>0</v>
      </c>
      <c r="AE543" s="2">
        <f>IF(AND(Games[[#This Row],[Type]]="P",Games[[#This Row],[Round]]=1),IF(Games[[#This Row],[Result]]&gt;0.5,1,0),0)</f>
        <v>0</v>
      </c>
      <c r="AF543" s="2">
        <f>IF(AND(Games[[#This Row],[Type]]="P",Games[[#This Row],[Round]]=1),IF(Games[[#This Row],[Result]]&lt;0.5,1,0),0)</f>
        <v>0</v>
      </c>
      <c r="AG543" s="2">
        <f>IF(AND(Games[[#This Row],[Type]]="P",Games[[#This Row],[Round]]=2),IF(Games[[#This Row],[Result]]&gt;0.5,1,0),0)</f>
        <v>1</v>
      </c>
      <c r="AH543" s="2">
        <f>IF(AND(Games[[#This Row],[Type]]="P",Games[[#This Row],[Round]]=2),IF(Games[[#This Row],[Result]]&lt;0.5,1,0),0)</f>
        <v>0</v>
      </c>
      <c r="AI543" s="2">
        <f>IF(AND(Games[[#This Row],[Type]]="P",Games[[#This Row],[Round]]=3),IF(Games[[#This Row],[Result]]&gt;0.5,1,0),0)</f>
        <v>0</v>
      </c>
      <c r="AJ543" s="2">
        <f>IF(AND(Games[[#This Row],[Type]]="P",Games[[#This Row],[Round]]=3),IF(Games[[#This Row],[Result]]&lt;0.5,1,0),0)</f>
        <v>0</v>
      </c>
      <c r="AK543" s="2">
        <f>IF(AND(Games[[#This Row],[Type]]="P",Games[[#This Row],[Round]]=4),IF(Games[[#This Row],[Result]]&gt;0.5,1,0),0)</f>
        <v>0</v>
      </c>
      <c r="AL543" s="2">
        <f>IF(AND(Games[[#This Row],[Type]]="P",Games[[#This Row],[Round]]=4),IF(Games[[#This Row],[Result]]&lt;0.5,1,0),0)</f>
        <v>0</v>
      </c>
    </row>
    <row r="544" spans="1:38" x14ac:dyDescent="0.35">
      <c r="A544" s="10">
        <v>37130</v>
      </c>
      <c r="B544" s="2">
        <v>2001</v>
      </c>
      <c r="C544" s="2">
        <f>COUNTIFS(Games[Team],Games[[#This Row],[Team]],Games[Season],Games[[#This Row],[Season]],Games[Date],"&lt;=" &amp; Games[[#This Row],[Date]])</f>
        <v>38</v>
      </c>
      <c r="D544" s="2" t="s">
        <v>46</v>
      </c>
      <c r="E544" s="2">
        <v>3</v>
      </c>
      <c r="F544" s="1" t="s">
        <v>64</v>
      </c>
      <c r="G544" s="1" t="s">
        <v>66</v>
      </c>
      <c r="H544" s="1" t="s">
        <v>16</v>
      </c>
      <c r="I544" s="2" cm="1">
        <f t="array" ref="I5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4" s="2" cm="1">
        <f t="array" ref="J54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4" s="2">
        <f>Games[[#This Row],[DaysOff]]-Games[[#This Row],[OppDaysOff]]</f>
        <v>0</v>
      </c>
      <c r="L544" s="2">
        <f>Games[[#This Row],[OppDaysOff]]-Games[[#This Row],[DaysOff]]</f>
        <v>0</v>
      </c>
      <c r="M544" s="16">
        <f>MAX(-16, MIN(16, Games[[#This Row],[RestDiff]]*8))</f>
        <v>0</v>
      </c>
      <c r="N544" s="16">
        <f>MAX(-16, MIN(16, Games[[#This Row],[OppRestDiff]]*8))</f>
        <v>0</v>
      </c>
      <c r="O544" s="4" cm="1">
        <f t="array" ref="O5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1573.7573171487238</v>
      </c>
      <c r="P544" s="4" cm="1">
        <f t="array" ref="P5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1582.5650533308788</v>
      </c>
      <c r="Q544" s="4">
        <f>1/(1+10^(((Games[[#This Row],[OppPreGmRate]]+IF(Games[[#This Row],[HomeAway]]="A",HCA,0)+Games[[#This Row],[OppRestAdj]])-(Games[[#This Row],[PreGmRate]]+IF(Games[[#This Row],[HomeAway]]="H",HCA,0)+Games[[#This Row],[RestAdj]]))/400))</f>
        <v>0.36952752356325558</v>
      </c>
      <c r="R544" s="1">
        <v>48</v>
      </c>
      <c r="S544" s="1">
        <v>44</v>
      </c>
      <c r="T544" s="1">
        <v>0</v>
      </c>
      <c r="U544" s="16">
        <f>Games[[#This Row],[PointsFor]]-Games[[#This Row],[PointsAgainst]]</f>
        <v>4</v>
      </c>
      <c r="V544" s="16">
        <f>IF(Games[[#This Row],[MOV]]&gt;0,1,IF(Games[[#This Row],[MOV]]=0,0.5,0))</f>
        <v>1</v>
      </c>
      <c r="W544" s="4">
        <f>((ABS(Games[[#This Row],[MOV]])+5)^0.6)/(12+0.01*(ABS(Games[[#This Row],[PreGmRate]]-Games[[#This Row],[OppPreGmRate]])))*IF(Games[[#This Row],[OT]]=1,0.9,1)</f>
        <v>0.30916354247119043</v>
      </c>
      <c r="X544" s="7" cm="1">
        <f t="array" ref="X5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4" s="9">
        <f>MAX(kmin, kmax - 0.15 * MIN(Games[[#This Row],[GamesPlayed]], 82))</f>
        <v>70.3</v>
      </c>
      <c r="Z544" s="4">
        <f>Games[[#This Row],[K]]*Games[[#This Row],[POMult]]</f>
        <v>94.905000000000001</v>
      </c>
      <c r="AA544" s="4">
        <f>(Games[[#This Row],[Keff]]*Games[[#This Row],[MOVMult]])*(Games[[#This Row],[Result]]-Games[[#This Row],[ExpectedWin%]])</f>
        <v>18.498797588444617</v>
      </c>
      <c r="AB544" s="4">
        <f>Games[[#This Row],[PreGmRate]]+Games[[#This Row],[RatingChange]]</f>
        <v>1592.2561147371684</v>
      </c>
      <c r="AC544" s="2">
        <f>IF(Games[[#This Row],[Type]]="R",IF(Games[[#This Row],[Result]]&gt;0.5,1,0),0)</f>
        <v>0</v>
      </c>
      <c r="AD544" s="2">
        <f>IF(Games[[#This Row],[Type]]="R",IF(Games[[#This Row],[Result]]&lt;0.5,1,0),0)</f>
        <v>0</v>
      </c>
      <c r="AE544" s="2">
        <f>IF(AND(Games[[#This Row],[Type]]="P",Games[[#This Row],[Round]]=1),IF(Games[[#This Row],[Result]]&gt;0.5,1,0),0)</f>
        <v>0</v>
      </c>
      <c r="AF544" s="2">
        <f>IF(AND(Games[[#This Row],[Type]]="P",Games[[#This Row],[Round]]=1),IF(Games[[#This Row],[Result]]&lt;0.5,1,0),0)</f>
        <v>0</v>
      </c>
      <c r="AG544" s="2">
        <f>IF(AND(Games[[#This Row],[Type]]="P",Games[[#This Row],[Round]]=2),IF(Games[[#This Row],[Result]]&gt;0.5,1,0),0)</f>
        <v>0</v>
      </c>
      <c r="AH544" s="2">
        <f>IF(AND(Games[[#This Row],[Type]]="P",Games[[#This Row],[Round]]=2),IF(Games[[#This Row],[Result]]&lt;0.5,1,0),0)</f>
        <v>0</v>
      </c>
      <c r="AI544" s="2">
        <f>IF(AND(Games[[#This Row],[Type]]="P",Games[[#This Row],[Round]]=3),IF(Games[[#This Row],[Result]]&gt;0.5,1,0),0)</f>
        <v>1</v>
      </c>
      <c r="AJ544" s="2">
        <f>IF(AND(Games[[#This Row],[Type]]="P",Games[[#This Row],[Round]]=3),IF(Games[[#This Row],[Result]]&lt;0.5,1,0),0)</f>
        <v>0</v>
      </c>
      <c r="AK544" s="2">
        <f>IF(AND(Games[[#This Row],[Type]]="P",Games[[#This Row],[Round]]=4),IF(Games[[#This Row],[Result]]&gt;0.5,1,0),0)</f>
        <v>0</v>
      </c>
      <c r="AL544" s="2">
        <f>IF(AND(Games[[#This Row],[Type]]="P",Games[[#This Row],[Round]]=4),IF(Games[[#This Row],[Result]]&lt;0.5,1,0),0)</f>
        <v>0</v>
      </c>
    </row>
    <row r="545" spans="1:38" x14ac:dyDescent="0.35">
      <c r="A545" s="10">
        <v>37130</v>
      </c>
      <c r="B545" s="2">
        <v>2001</v>
      </c>
      <c r="C545" s="2">
        <f>COUNTIFS(Games[Team],Games[[#This Row],[Team]],Games[Season],Games[[#This Row],[Season]],Games[Date],"&lt;=" &amp; Games[[#This Row],[Date]])</f>
        <v>38</v>
      </c>
      <c r="D545" s="2" t="s">
        <v>46</v>
      </c>
      <c r="E545" s="2">
        <v>3</v>
      </c>
      <c r="F545" s="1" t="s">
        <v>66</v>
      </c>
      <c r="G545" s="1" t="s">
        <v>64</v>
      </c>
      <c r="H545" s="1" t="s">
        <v>15</v>
      </c>
      <c r="I545" s="2" cm="1">
        <f t="array" ref="I54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5" s="2" cm="1">
        <f t="array" ref="J5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5" s="2">
        <f>Games[[#This Row],[DaysOff]]-Games[[#This Row],[OppDaysOff]]</f>
        <v>0</v>
      </c>
      <c r="L545" s="2">
        <f>Games[[#This Row],[OppDaysOff]]-Games[[#This Row],[DaysOff]]</f>
        <v>0</v>
      </c>
      <c r="M545" s="16">
        <f>MAX(-16, MIN(16, Games[[#This Row],[RestDiff]]*8))</f>
        <v>0</v>
      </c>
      <c r="N545" s="16">
        <f>MAX(-16, MIN(16, Games[[#This Row],[OppRestDiff]]*8))</f>
        <v>0</v>
      </c>
      <c r="O545" s="4" cm="1">
        <f t="array" ref="O5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1582.5650533308788</v>
      </c>
      <c r="P545" s="4" cm="1">
        <f t="array" ref="P5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1573.7573171487238</v>
      </c>
      <c r="Q545" s="4">
        <f>1/(1+10^(((Games[[#This Row],[OppPreGmRate]]+IF(Games[[#This Row],[HomeAway]]="A",HCA,0)+Games[[#This Row],[OppRestAdj]])-(Games[[#This Row],[PreGmRate]]+IF(Games[[#This Row],[HomeAway]]="H",HCA,0)+Games[[#This Row],[RestAdj]]))/400))</f>
        <v>0.63047247643674453</v>
      </c>
      <c r="R545" s="1">
        <v>44</v>
      </c>
      <c r="S545" s="1">
        <v>48</v>
      </c>
      <c r="T545" s="1">
        <v>0</v>
      </c>
      <c r="U545" s="16">
        <f>Games[[#This Row],[PointsFor]]-Games[[#This Row],[PointsAgainst]]</f>
        <v>-4</v>
      </c>
      <c r="V545" s="16">
        <f>IF(Games[[#This Row],[MOV]]&gt;0,1,IF(Games[[#This Row],[MOV]]=0,0.5,0))</f>
        <v>0</v>
      </c>
      <c r="W545" s="4">
        <f>((ABS(Games[[#This Row],[MOV]])+5)^0.6)/(12+0.01*(ABS(Games[[#This Row],[PreGmRate]]-Games[[#This Row],[OppPreGmRate]])))*IF(Games[[#This Row],[OT]]=1,0.9,1)</f>
        <v>0.30916354247119043</v>
      </c>
      <c r="X545" s="7" cm="1">
        <f t="array" ref="X5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5" s="9">
        <f>MAX(kmin, kmax - 0.15 * MIN(Games[[#This Row],[GamesPlayed]], 82))</f>
        <v>70.3</v>
      </c>
      <c r="Z545" s="4">
        <f>Games[[#This Row],[K]]*Games[[#This Row],[POMult]]</f>
        <v>94.905000000000001</v>
      </c>
      <c r="AA545" s="4">
        <f>(Games[[#This Row],[Keff]]*Games[[#This Row],[MOVMult]])*(Games[[#This Row],[Result]]-Games[[#This Row],[ExpectedWin%]])</f>
        <v>-18.498797588444617</v>
      </c>
      <c r="AB545" s="4">
        <f>Games[[#This Row],[PreGmRate]]+Games[[#This Row],[RatingChange]]</f>
        <v>1564.0662557424341</v>
      </c>
      <c r="AC545" s="2">
        <f>IF(Games[[#This Row],[Type]]="R",IF(Games[[#This Row],[Result]]&gt;0.5,1,0),0)</f>
        <v>0</v>
      </c>
      <c r="AD545" s="2">
        <f>IF(Games[[#This Row],[Type]]="R",IF(Games[[#This Row],[Result]]&lt;0.5,1,0),0)</f>
        <v>0</v>
      </c>
      <c r="AE545" s="2">
        <f>IF(AND(Games[[#This Row],[Type]]="P",Games[[#This Row],[Round]]=1),IF(Games[[#This Row],[Result]]&gt;0.5,1,0),0)</f>
        <v>0</v>
      </c>
      <c r="AF545" s="2">
        <f>IF(AND(Games[[#This Row],[Type]]="P",Games[[#This Row],[Round]]=1),IF(Games[[#This Row],[Result]]&lt;0.5,1,0),0)</f>
        <v>0</v>
      </c>
      <c r="AG545" s="2">
        <f>IF(AND(Games[[#This Row],[Type]]="P",Games[[#This Row],[Round]]=2),IF(Games[[#This Row],[Result]]&gt;0.5,1,0),0)</f>
        <v>0</v>
      </c>
      <c r="AH545" s="2">
        <f>IF(AND(Games[[#This Row],[Type]]="P",Games[[#This Row],[Round]]=2),IF(Games[[#This Row],[Result]]&lt;0.5,1,0),0)</f>
        <v>0</v>
      </c>
      <c r="AI545" s="2">
        <f>IF(AND(Games[[#This Row],[Type]]="P",Games[[#This Row],[Round]]=3),IF(Games[[#This Row],[Result]]&gt;0.5,1,0),0)</f>
        <v>0</v>
      </c>
      <c r="AJ545" s="2">
        <f>IF(AND(Games[[#This Row],[Type]]="P",Games[[#This Row],[Round]]=3),IF(Games[[#This Row],[Result]]&lt;0.5,1,0),0)</f>
        <v>1</v>
      </c>
      <c r="AK545" s="2">
        <f>IF(AND(Games[[#This Row],[Type]]="P",Games[[#This Row],[Round]]=4),IF(Games[[#This Row],[Result]]&gt;0.5,1,0),0)</f>
        <v>0</v>
      </c>
      <c r="AL545" s="2">
        <f>IF(AND(Games[[#This Row],[Type]]="P",Games[[#This Row],[Round]]=4),IF(Games[[#This Row],[Result]]&lt;0.5,1,0),0)</f>
        <v>0</v>
      </c>
    </row>
    <row r="546" spans="1:38" x14ac:dyDescent="0.35">
      <c r="A546" s="10">
        <v>37133</v>
      </c>
      <c r="B546" s="2">
        <v>2001</v>
      </c>
      <c r="C546" s="2">
        <f>COUNTIFS(Games[Team],Games[[#This Row],[Team]],Games[Season],Games[[#This Row],[Season]],Games[Date],"&lt;=" &amp; Games[[#This Row],[Date]])</f>
        <v>38</v>
      </c>
      <c r="D546" s="2" t="s">
        <v>46</v>
      </c>
      <c r="E546" s="2">
        <v>3</v>
      </c>
      <c r="F546" s="1" t="s">
        <v>71</v>
      </c>
      <c r="G546" s="1" t="s">
        <v>64</v>
      </c>
      <c r="H546" s="1" t="s">
        <v>16</v>
      </c>
      <c r="I546" s="2" cm="1">
        <f t="array" ref="I5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6" s="2" cm="1">
        <f t="array" ref="J54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6" s="2">
        <f>Games[[#This Row],[DaysOff]]-Games[[#This Row],[OppDaysOff]]</f>
        <v>0</v>
      </c>
      <c r="L546" s="2">
        <f>Games[[#This Row],[OppDaysOff]]-Games[[#This Row],[DaysOff]]</f>
        <v>0</v>
      </c>
      <c r="M546" s="16">
        <f>MAX(-16, MIN(16, Games[[#This Row],[RestDiff]]*8))</f>
        <v>0</v>
      </c>
      <c r="N546" s="16">
        <f>MAX(-16, MIN(16, Games[[#This Row],[OppRestDiff]]*8))</f>
        <v>0</v>
      </c>
      <c r="O546" s="4" cm="1">
        <f t="array" ref="O5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1743.85196000882</v>
      </c>
      <c r="P546" s="4" cm="1">
        <f t="array" ref="P5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1592.2561147371684</v>
      </c>
      <c r="Q546" s="4">
        <f>1/(1+10^(((Games[[#This Row],[OppPreGmRate]]+IF(Games[[#This Row],[HomeAway]]="A",HCA,0)+Games[[#This Row],[OppRestAdj]])-(Games[[#This Row],[PreGmRate]]+IF(Games[[#This Row],[HomeAway]]="H",HCA,0)+Games[[#This Row],[RestAdj]]))/400))</f>
        <v>0.59606914525602395</v>
      </c>
      <c r="R546" s="1">
        <v>75</v>
      </c>
      <c r="S546" s="1">
        <v>66</v>
      </c>
      <c r="T546" s="1">
        <v>0</v>
      </c>
      <c r="U546" s="16">
        <f>Games[[#This Row],[PointsFor]]-Games[[#This Row],[PointsAgainst]]</f>
        <v>9</v>
      </c>
      <c r="V546" s="16">
        <f>IF(Games[[#This Row],[MOV]]&gt;0,1,IF(Games[[#This Row],[MOV]]=0,0.5,0))</f>
        <v>1</v>
      </c>
      <c r="W546" s="4">
        <f>((ABS(Games[[#This Row],[MOV]])+5)^0.6)/(12+0.01*(ABS(Games[[#This Row],[PreGmRate]]-Games[[#This Row],[OppPreGmRate]])))*IF(Games[[#This Row],[OT]]=1,0.9,1)</f>
        <v>0.3604375037707947</v>
      </c>
      <c r="X546" s="7" cm="1">
        <f t="array" ref="X5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6" s="9">
        <f>MAX(kmin, kmax - 0.15 * MIN(Games[[#This Row],[GamesPlayed]], 82))</f>
        <v>70.3</v>
      </c>
      <c r="Z546" s="4">
        <f>Games[[#This Row],[K]]*Games[[#This Row],[POMult]]</f>
        <v>94.905000000000001</v>
      </c>
      <c r="AA546" s="4">
        <f>(Games[[#This Row],[Keff]]*Games[[#This Row],[MOVMult]])*(Games[[#This Row],[Result]]-Games[[#This Row],[ExpectedWin%]])</f>
        <v>13.817392529339516</v>
      </c>
      <c r="AB546" s="4">
        <f>Games[[#This Row],[PreGmRate]]+Games[[#This Row],[RatingChange]]</f>
        <v>1757.6693525381595</v>
      </c>
      <c r="AC546" s="2">
        <f>IF(Games[[#This Row],[Type]]="R",IF(Games[[#This Row],[Result]]&gt;0.5,1,0),0)</f>
        <v>0</v>
      </c>
      <c r="AD546" s="2">
        <f>IF(Games[[#This Row],[Type]]="R",IF(Games[[#This Row],[Result]]&lt;0.5,1,0),0)</f>
        <v>0</v>
      </c>
      <c r="AE546" s="2">
        <f>IF(AND(Games[[#This Row],[Type]]="P",Games[[#This Row],[Round]]=1),IF(Games[[#This Row],[Result]]&gt;0.5,1,0),0)</f>
        <v>0</v>
      </c>
      <c r="AF546" s="2">
        <f>IF(AND(Games[[#This Row],[Type]]="P",Games[[#This Row],[Round]]=1),IF(Games[[#This Row],[Result]]&lt;0.5,1,0),0)</f>
        <v>0</v>
      </c>
      <c r="AG546" s="2">
        <f>IF(AND(Games[[#This Row],[Type]]="P",Games[[#This Row],[Round]]=2),IF(Games[[#This Row],[Result]]&gt;0.5,1,0),0)</f>
        <v>0</v>
      </c>
      <c r="AH546" s="2">
        <f>IF(AND(Games[[#This Row],[Type]]="P",Games[[#This Row],[Round]]=2),IF(Games[[#This Row],[Result]]&lt;0.5,1,0),0)</f>
        <v>0</v>
      </c>
      <c r="AI546" s="2">
        <f>IF(AND(Games[[#This Row],[Type]]="P",Games[[#This Row],[Round]]=3),IF(Games[[#This Row],[Result]]&gt;0.5,1,0),0)</f>
        <v>1</v>
      </c>
      <c r="AJ546" s="2">
        <f>IF(AND(Games[[#This Row],[Type]]="P",Games[[#This Row],[Round]]=3),IF(Games[[#This Row],[Result]]&lt;0.5,1,0),0)</f>
        <v>0</v>
      </c>
      <c r="AK546" s="2">
        <f>IF(AND(Games[[#This Row],[Type]]="P",Games[[#This Row],[Round]]=4),IF(Games[[#This Row],[Result]]&gt;0.5,1,0),0)</f>
        <v>0</v>
      </c>
      <c r="AL546" s="2">
        <f>IF(AND(Games[[#This Row],[Type]]="P",Games[[#This Row],[Round]]=4),IF(Games[[#This Row],[Result]]&lt;0.5,1,0),0)</f>
        <v>0</v>
      </c>
    </row>
    <row r="547" spans="1:38" x14ac:dyDescent="0.35">
      <c r="A547" s="10">
        <v>37133</v>
      </c>
      <c r="B547" s="2">
        <v>2001</v>
      </c>
      <c r="C547" s="2">
        <f>COUNTIFS(Games[Team],Games[[#This Row],[Team]],Games[Season],Games[[#This Row],[Season]],Games[Date],"&lt;=" &amp; Games[[#This Row],[Date]])</f>
        <v>39</v>
      </c>
      <c r="D547" s="2" t="s">
        <v>46</v>
      </c>
      <c r="E547" s="2">
        <v>3</v>
      </c>
      <c r="F547" s="1" t="s">
        <v>64</v>
      </c>
      <c r="G547" s="1" t="s">
        <v>71</v>
      </c>
      <c r="H547" s="1" t="s">
        <v>15</v>
      </c>
      <c r="I547" s="2" cm="1">
        <f t="array" ref="I54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7" s="2" cm="1">
        <f t="array" ref="J5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7" s="2">
        <f>Games[[#This Row],[DaysOff]]-Games[[#This Row],[OppDaysOff]]</f>
        <v>0</v>
      </c>
      <c r="L547" s="2">
        <f>Games[[#This Row],[OppDaysOff]]-Games[[#This Row],[DaysOff]]</f>
        <v>0</v>
      </c>
      <c r="M547" s="16">
        <f>MAX(-16, MIN(16, Games[[#This Row],[RestDiff]]*8))</f>
        <v>0</v>
      </c>
      <c r="N547" s="16">
        <f>MAX(-16, MIN(16, Games[[#This Row],[OppRestDiff]]*8))</f>
        <v>0</v>
      </c>
      <c r="O547" s="4" cm="1">
        <f t="array" ref="O5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1592.2561147371684</v>
      </c>
      <c r="P547" s="4" cm="1">
        <f t="array" ref="P5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1743.85196000882</v>
      </c>
      <c r="Q547" s="4">
        <f>1/(1+10^(((Games[[#This Row],[OppPreGmRate]]+IF(Games[[#This Row],[HomeAway]]="A",HCA,0)+Games[[#This Row],[OppRestAdj]])-(Games[[#This Row],[PreGmRate]]+IF(Games[[#This Row],[HomeAway]]="H",HCA,0)+Games[[#This Row],[RestAdj]]))/400))</f>
        <v>0.40393085474397605</v>
      </c>
      <c r="R547" s="1">
        <v>66</v>
      </c>
      <c r="S547" s="1">
        <v>75</v>
      </c>
      <c r="T547" s="1">
        <v>0</v>
      </c>
      <c r="U547" s="16">
        <f>Games[[#This Row],[PointsFor]]-Games[[#This Row],[PointsAgainst]]</f>
        <v>-9</v>
      </c>
      <c r="V547" s="16">
        <f>IF(Games[[#This Row],[MOV]]&gt;0,1,IF(Games[[#This Row],[MOV]]=0,0.5,0))</f>
        <v>0</v>
      </c>
      <c r="W547" s="4">
        <f>((ABS(Games[[#This Row],[MOV]])+5)^0.6)/(12+0.01*(ABS(Games[[#This Row],[PreGmRate]]-Games[[#This Row],[OppPreGmRate]])))*IF(Games[[#This Row],[OT]]=1,0.9,1)</f>
        <v>0.3604375037707947</v>
      </c>
      <c r="X547" s="7" cm="1">
        <f t="array" ref="X5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7" s="9">
        <f>MAX(kmin, kmax - 0.15 * MIN(Games[[#This Row],[GamesPlayed]], 82))</f>
        <v>70.150000000000006</v>
      </c>
      <c r="Z547" s="4">
        <f>Games[[#This Row],[K]]*Games[[#This Row],[POMult]]</f>
        <v>94.702500000000015</v>
      </c>
      <c r="AA547" s="4">
        <f>(Games[[#This Row],[Keff]]*Games[[#This Row],[MOVMult]])*(Games[[#This Row],[Result]]-Games[[#This Row],[ExpectedWin%]])</f>
        <v>-13.787910183971084</v>
      </c>
      <c r="AB547" s="4">
        <f>Games[[#This Row],[PreGmRate]]+Games[[#This Row],[RatingChange]]</f>
        <v>1578.4682045531974</v>
      </c>
      <c r="AC547" s="2">
        <f>IF(Games[[#This Row],[Type]]="R",IF(Games[[#This Row],[Result]]&gt;0.5,1,0),0)</f>
        <v>0</v>
      </c>
      <c r="AD547" s="2">
        <f>IF(Games[[#This Row],[Type]]="R",IF(Games[[#This Row],[Result]]&lt;0.5,1,0),0)</f>
        <v>0</v>
      </c>
      <c r="AE547" s="2">
        <f>IF(AND(Games[[#This Row],[Type]]="P",Games[[#This Row],[Round]]=1),IF(Games[[#This Row],[Result]]&gt;0.5,1,0),0)</f>
        <v>0</v>
      </c>
      <c r="AF547" s="2">
        <f>IF(AND(Games[[#This Row],[Type]]="P",Games[[#This Row],[Round]]=1),IF(Games[[#This Row],[Result]]&lt;0.5,1,0),0)</f>
        <v>0</v>
      </c>
      <c r="AG547" s="2">
        <f>IF(AND(Games[[#This Row],[Type]]="P",Games[[#This Row],[Round]]=2),IF(Games[[#This Row],[Result]]&gt;0.5,1,0),0)</f>
        <v>0</v>
      </c>
      <c r="AH547" s="2">
        <f>IF(AND(Games[[#This Row],[Type]]="P",Games[[#This Row],[Round]]=2),IF(Games[[#This Row],[Result]]&lt;0.5,1,0),0)</f>
        <v>0</v>
      </c>
      <c r="AI547" s="2">
        <f>IF(AND(Games[[#This Row],[Type]]="P",Games[[#This Row],[Round]]=3),IF(Games[[#This Row],[Result]]&gt;0.5,1,0),0)</f>
        <v>0</v>
      </c>
      <c r="AJ547" s="2">
        <f>IF(AND(Games[[#This Row],[Type]]="P",Games[[#This Row],[Round]]=3),IF(Games[[#This Row],[Result]]&lt;0.5,1,0),0)</f>
        <v>1</v>
      </c>
      <c r="AK547" s="2">
        <f>IF(AND(Games[[#This Row],[Type]]="P",Games[[#This Row],[Round]]=4),IF(Games[[#This Row],[Result]]&gt;0.5,1,0),0)</f>
        <v>0</v>
      </c>
      <c r="AL547" s="2">
        <f>IF(AND(Games[[#This Row],[Type]]="P",Games[[#This Row],[Round]]=4),IF(Games[[#This Row],[Result]]&lt;0.5,1,0),0)</f>
        <v>0</v>
      </c>
    </row>
    <row r="548" spans="1:38" x14ac:dyDescent="0.35">
      <c r="A548" s="10">
        <v>37135</v>
      </c>
      <c r="B548" s="2">
        <v>2001</v>
      </c>
      <c r="C548" s="2">
        <f>COUNTIFS(Games[Team],Games[[#This Row],[Team]],Games[Season],Games[[#This Row],[Season]],Games[Date],"&lt;=" &amp; Games[[#This Row],[Date]])</f>
        <v>40</v>
      </c>
      <c r="D548" s="2" t="s">
        <v>46</v>
      </c>
      <c r="E548" s="2">
        <v>3</v>
      </c>
      <c r="F548" s="1" t="s">
        <v>64</v>
      </c>
      <c r="G548" s="1" t="s">
        <v>71</v>
      </c>
      <c r="H548" s="1" t="s">
        <v>16</v>
      </c>
      <c r="I548" s="2" cm="1">
        <f t="array" ref="I5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8" s="2" cm="1">
        <f t="array" ref="J5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8" s="2">
        <f>Games[[#This Row],[DaysOff]]-Games[[#This Row],[OppDaysOff]]</f>
        <v>0</v>
      </c>
      <c r="L548" s="2">
        <f>Games[[#This Row],[OppDaysOff]]-Games[[#This Row],[DaysOff]]</f>
        <v>0</v>
      </c>
      <c r="M548" s="16">
        <f>MAX(-16, MIN(16, Games[[#This Row],[RestDiff]]*8))</f>
        <v>0</v>
      </c>
      <c r="N548" s="16">
        <f>MAX(-16, MIN(16, Games[[#This Row],[OppRestDiff]]*8))</f>
        <v>0</v>
      </c>
      <c r="O548" s="4" cm="1">
        <f t="array" ref="O5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1578.4682045531974</v>
      </c>
      <c r="P548" s="4" cm="1">
        <f t="array" ref="P5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1757.6693525381595</v>
      </c>
      <c r="Q548" s="4">
        <f>1/(1+10^(((Games[[#This Row],[OppPreGmRate]]+IF(Games[[#This Row],[HomeAway]]="A",HCA,0)+Games[[#This Row],[OppRestAdj]])-(Games[[#This Row],[PreGmRate]]+IF(Games[[#This Row],[HomeAway]]="H",HCA,0)+Games[[#This Row],[RestAdj]]))/400))</f>
        <v>0.18018308035755221</v>
      </c>
      <c r="R548" s="1">
        <v>54</v>
      </c>
      <c r="S548" s="1">
        <v>82</v>
      </c>
      <c r="T548" s="1">
        <v>0</v>
      </c>
      <c r="U548" s="16">
        <f>Games[[#This Row],[PointsFor]]-Games[[#This Row],[PointsAgainst]]</f>
        <v>-28</v>
      </c>
      <c r="V548" s="16">
        <f>IF(Games[[#This Row],[MOV]]&gt;0,1,IF(Games[[#This Row],[MOV]]=0,0.5,0))</f>
        <v>0</v>
      </c>
      <c r="W548" s="4">
        <f>((ABS(Games[[#This Row],[MOV]])+5)^0.6)/(12+0.01*(ABS(Games[[#This Row],[PreGmRate]]-Games[[#This Row],[OppPreGmRate]])))*IF(Games[[#This Row],[OT]]=1,0.9,1)</f>
        <v>0.59085478088230836</v>
      </c>
      <c r="X548" s="7" cm="1">
        <f t="array" ref="X5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8" s="9">
        <f>MAX(kmin, kmax - 0.15 * MIN(Games[[#This Row],[GamesPlayed]], 82))</f>
        <v>70</v>
      </c>
      <c r="Z548" s="4">
        <f>Games[[#This Row],[K]]*Games[[#This Row],[POMult]]</f>
        <v>94.5</v>
      </c>
      <c r="AA548" s="4">
        <f>(Games[[#This Row],[Keff]]*Games[[#This Row],[MOVMult]])*(Games[[#This Row],[Result]]-Games[[#This Row],[ExpectedWin%]])</f>
        <v>-10.060662256787602</v>
      </c>
      <c r="AB548" s="4">
        <f>Games[[#This Row],[PreGmRate]]+Games[[#This Row],[RatingChange]]</f>
        <v>1568.4075422964099</v>
      </c>
      <c r="AC548" s="2">
        <f>IF(Games[[#This Row],[Type]]="R",IF(Games[[#This Row],[Result]]&gt;0.5,1,0),0)</f>
        <v>0</v>
      </c>
      <c r="AD548" s="2">
        <f>IF(Games[[#This Row],[Type]]="R",IF(Games[[#This Row],[Result]]&lt;0.5,1,0),0)</f>
        <v>0</v>
      </c>
      <c r="AE548" s="2">
        <f>IF(AND(Games[[#This Row],[Type]]="P",Games[[#This Row],[Round]]=1),IF(Games[[#This Row],[Result]]&gt;0.5,1,0),0)</f>
        <v>0</v>
      </c>
      <c r="AF548" s="2">
        <f>IF(AND(Games[[#This Row],[Type]]="P",Games[[#This Row],[Round]]=1),IF(Games[[#This Row],[Result]]&lt;0.5,1,0),0)</f>
        <v>0</v>
      </c>
      <c r="AG548" s="2">
        <f>IF(AND(Games[[#This Row],[Type]]="P",Games[[#This Row],[Round]]=2),IF(Games[[#This Row],[Result]]&gt;0.5,1,0),0)</f>
        <v>0</v>
      </c>
      <c r="AH548" s="2">
        <f>IF(AND(Games[[#This Row],[Type]]="P",Games[[#This Row],[Round]]=2),IF(Games[[#This Row],[Result]]&lt;0.5,1,0),0)</f>
        <v>0</v>
      </c>
      <c r="AI548" s="2">
        <f>IF(AND(Games[[#This Row],[Type]]="P",Games[[#This Row],[Round]]=3),IF(Games[[#This Row],[Result]]&gt;0.5,1,0),0)</f>
        <v>0</v>
      </c>
      <c r="AJ548" s="2">
        <f>IF(AND(Games[[#This Row],[Type]]="P",Games[[#This Row],[Round]]=3),IF(Games[[#This Row],[Result]]&lt;0.5,1,0),0)</f>
        <v>1</v>
      </c>
      <c r="AK548" s="2">
        <f>IF(AND(Games[[#This Row],[Type]]="P",Games[[#This Row],[Round]]=4),IF(Games[[#This Row],[Result]]&gt;0.5,1,0),0)</f>
        <v>0</v>
      </c>
      <c r="AL548" s="2">
        <f>IF(AND(Games[[#This Row],[Type]]="P",Games[[#This Row],[Round]]=4),IF(Games[[#This Row],[Result]]&lt;0.5,1,0),0)</f>
        <v>0</v>
      </c>
    </row>
    <row r="549" spans="1:38" x14ac:dyDescent="0.35">
      <c r="A549" s="10">
        <v>37135</v>
      </c>
      <c r="B549" s="2">
        <v>2001</v>
      </c>
      <c r="C549" s="2">
        <f>COUNTIFS(Games[Team],Games[[#This Row],[Team]],Games[Season],Games[[#This Row],[Season]],Games[Date],"&lt;=" &amp; Games[[#This Row],[Date]])</f>
        <v>39</v>
      </c>
      <c r="D549" s="2" t="s">
        <v>46</v>
      </c>
      <c r="E549" s="2">
        <v>3</v>
      </c>
      <c r="F549" s="1" t="s">
        <v>71</v>
      </c>
      <c r="G549" s="1" t="s">
        <v>64</v>
      </c>
      <c r="H549" s="1" t="s">
        <v>15</v>
      </c>
      <c r="I549" s="2" cm="1">
        <f t="array" ref="I5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9" s="2" cm="1">
        <f t="array" ref="J5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9" s="2">
        <f>Games[[#This Row],[DaysOff]]-Games[[#This Row],[OppDaysOff]]</f>
        <v>0</v>
      </c>
      <c r="L549" s="2">
        <f>Games[[#This Row],[OppDaysOff]]-Games[[#This Row],[DaysOff]]</f>
        <v>0</v>
      </c>
      <c r="M549" s="16">
        <f>MAX(-16, MIN(16, Games[[#This Row],[RestDiff]]*8))</f>
        <v>0</v>
      </c>
      <c r="N549" s="16">
        <f>MAX(-16, MIN(16, Games[[#This Row],[OppRestDiff]]*8))</f>
        <v>0</v>
      </c>
      <c r="O549" s="4" cm="1">
        <f t="array" ref="O5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1757.6693525381595</v>
      </c>
      <c r="P549" s="4" cm="1">
        <f t="array" ref="P5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1578.4682045531974</v>
      </c>
      <c r="Q549" s="4">
        <f>1/(1+10^(((Games[[#This Row],[OppPreGmRate]]+IF(Games[[#This Row],[HomeAway]]="A",HCA,0)+Games[[#This Row],[OppRestAdj]])-(Games[[#This Row],[PreGmRate]]+IF(Games[[#This Row],[HomeAway]]="H",HCA,0)+Games[[#This Row],[RestAdj]]))/400))</f>
        <v>0.81981691964244774</v>
      </c>
      <c r="R549" s="1">
        <v>82</v>
      </c>
      <c r="S549" s="1">
        <v>54</v>
      </c>
      <c r="T549" s="1">
        <v>0</v>
      </c>
      <c r="U549" s="16">
        <f>Games[[#This Row],[PointsFor]]-Games[[#This Row],[PointsAgainst]]</f>
        <v>28</v>
      </c>
      <c r="V549" s="16">
        <f>IF(Games[[#This Row],[MOV]]&gt;0,1,IF(Games[[#This Row],[MOV]]=0,0.5,0))</f>
        <v>1</v>
      </c>
      <c r="W549" s="4">
        <f>((ABS(Games[[#This Row],[MOV]])+5)^0.6)/(12+0.01*(ABS(Games[[#This Row],[PreGmRate]]-Games[[#This Row],[OppPreGmRate]])))*IF(Games[[#This Row],[OT]]=1,0.9,1)</f>
        <v>0.59085478088230836</v>
      </c>
      <c r="X549" s="7" cm="1">
        <f t="array" ref="X5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9" s="9">
        <f>MAX(kmin, kmax - 0.15 * MIN(Games[[#This Row],[GamesPlayed]], 82))</f>
        <v>70.150000000000006</v>
      </c>
      <c r="Z549" s="4">
        <f>Games[[#This Row],[K]]*Games[[#This Row],[POMult]]</f>
        <v>94.702500000000015</v>
      </c>
      <c r="AA549" s="4">
        <f>(Games[[#This Row],[Keff]]*Games[[#This Row],[MOVMult]])*(Games[[#This Row],[Result]]-Games[[#This Row],[ExpectedWin%]])</f>
        <v>10.082220818766437</v>
      </c>
      <c r="AB549" s="4">
        <f>Games[[#This Row],[PreGmRate]]+Games[[#This Row],[RatingChange]]</f>
        <v>1767.751573356926</v>
      </c>
      <c r="AC549" s="2">
        <f>IF(Games[[#This Row],[Type]]="R",IF(Games[[#This Row],[Result]]&gt;0.5,1,0),0)</f>
        <v>0</v>
      </c>
      <c r="AD549" s="2">
        <f>IF(Games[[#This Row],[Type]]="R",IF(Games[[#This Row],[Result]]&lt;0.5,1,0),0)</f>
        <v>0</v>
      </c>
      <c r="AE549" s="2">
        <f>IF(AND(Games[[#This Row],[Type]]="P",Games[[#This Row],[Round]]=1),IF(Games[[#This Row],[Result]]&gt;0.5,1,0),0)</f>
        <v>0</v>
      </c>
      <c r="AF549" s="2">
        <f>IF(AND(Games[[#This Row],[Type]]="P",Games[[#This Row],[Round]]=1),IF(Games[[#This Row],[Result]]&lt;0.5,1,0),0)</f>
        <v>0</v>
      </c>
      <c r="AG549" s="2">
        <f>IF(AND(Games[[#This Row],[Type]]="P",Games[[#This Row],[Round]]=2),IF(Games[[#This Row],[Result]]&gt;0.5,1,0),0)</f>
        <v>0</v>
      </c>
      <c r="AH549" s="2">
        <f>IF(AND(Games[[#This Row],[Type]]="P",Games[[#This Row],[Round]]=2),IF(Games[[#This Row],[Result]]&lt;0.5,1,0),0)</f>
        <v>0</v>
      </c>
      <c r="AI549" s="2">
        <f>IF(AND(Games[[#This Row],[Type]]="P",Games[[#This Row],[Round]]=3),IF(Games[[#This Row],[Result]]&gt;0.5,1,0),0)</f>
        <v>1</v>
      </c>
      <c r="AJ549" s="2">
        <f>IF(AND(Games[[#This Row],[Type]]="P",Games[[#This Row],[Round]]=3),IF(Games[[#This Row],[Result]]&lt;0.5,1,0),0)</f>
        <v>0</v>
      </c>
      <c r="AK549" s="2">
        <f>IF(AND(Games[[#This Row],[Type]]="P",Games[[#This Row],[Round]]=4),IF(Games[[#This Row],[Result]]&gt;0.5,1,0),0)</f>
        <v>0</v>
      </c>
      <c r="AL549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2026-07-27T09:52:13Z</dcterms:modified>
</cp:coreProperties>
</file>
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D99DCFA6-16C9-4E31-9FE4-D7351D1F3A73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3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H36" i="3"/>
  <c r="H35" i="3"/>
  <c r="H34" i="3"/>
  <c r="H33" i="3"/>
  <c r="H32" i="3"/>
  <c r="H31" i="3"/>
  <c r="H30" i="3"/>
  <c r="H29" i="3"/>
  <c r="H28" i="3"/>
  <c r="H27" i="3"/>
  <c r="H26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C478" i="2"/>
  <c r="Y478" i="2" s="1"/>
  <c r="C479" i="2"/>
  <c r="Y479" i="2" s="1"/>
  <c r="C480" i="2"/>
  <c r="Y480" i="2" s="1"/>
  <c r="C481" i="2"/>
  <c r="Y481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I480" i="2" a="1"/>
  <c r="I481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X480" i="2" a="1"/>
  <c r="X481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E29" i="3"/>
  <c r="D29" i="3"/>
  <c r="F29" i="3" s="1"/>
  <c r="C29" i="3"/>
  <c r="B29" i="3"/>
  <c r="E36" i="3"/>
  <c r="D36" i="3"/>
  <c r="F36" i="3" s="1"/>
  <c r="C36" i="3"/>
  <c r="B36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AE386" i="2" s="1"/>
  <c r="V387" i="2"/>
  <c r="AE387" i="2" s="1"/>
  <c r="V388" i="2"/>
  <c r="AE388" i="2" s="1"/>
  <c r="V389" i="2"/>
  <c r="AE389" i="2" s="1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1" i="3"/>
  <c r="D31" i="3"/>
  <c r="C31" i="3"/>
  <c r="B31" i="3"/>
  <c r="E26" i="3"/>
  <c r="D26" i="3"/>
  <c r="C26" i="3"/>
  <c r="B26" i="3"/>
  <c r="E27" i="3"/>
  <c r="D27" i="3"/>
  <c r="F27" i="3" s="1"/>
  <c r="C27" i="3"/>
  <c r="B27" i="3"/>
  <c r="E37" i="3"/>
  <c r="D37" i="3"/>
  <c r="C37" i="3"/>
  <c r="B37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8" i="3"/>
  <c r="F37" i="3" l="1"/>
  <c r="K481" i="2"/>
  <c r="M481" i="2" s="1"/>
  <c r="L481" i="2"/>
  <c r="N481" i="2" s="1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AD478" i="2"/>
  <c r="AC478" i="2"/>
  <c r="AD479" i="2"/>
  <c r="AC479" i="2"/>
  <c r="AD480" i="2"/>
  <c r="AC480" i="2"/>
  <c r="AD481" i="2"/>
  <c r="AC481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6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1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4" i="2" a="1"/>
  <c r="P15" i="2" a="1"/>
  <c r="P14" i="2" a="1"/>
  <c r="O15" i="2" a="1"/>
  <c r="O13" i="2" l="1" a="1"/>
  <c r="P12" i="2" a="1"/>
  <c r="P13" i="2" a="1"/>
  <c r="O12" i="2" a="1"/>
  <c r="W12" i="2" s="1"/>
  <c r="Q14" i="2"/>
  <c r="W15" i="2"/>
  <c r="W14" i="2"/>
  <c r="Q15" i="2"/>
  <c r="W13" i="2" l="1"/>
  <c r="Q12" i="2"/>
  <c r="AA12" i="2" s="1"/>
  <c r="AB12" i="2" s="1"/>
  <c r="Q13" i="2"/>
  <c r="AA14" i="2"/>
  <c r="AB14" i="2" s="1"/>
  <c r="AA15" i="2"/>
  <c r="AB15" i="2" s="1"/>
  <c r="AY9" i="3"/>
  <c r="AY8" i="3"/>
  <c r="AY7" i="3"/>
  <c r="AY6" i="3"/>
  <c r="AY5" i="3"/>
  <c r="AY4" i="3"/>
  <c r="AY3" i="3"/>
  <c r="AY2" i="3"/>
  <c r="AA13" i="2" l="1"/>
  <c r="AB13" i="2" s="1"/>
  <c r="P17" i="2" a="1"/>
  <c r="O16" i="2" a="1"/>
  <c r="O17" i="2" a="1"/>
  <c r="P16" i="2" a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Q16" i="2" l="1"/>
  <c r="W17" i="2"/>
  <c r="Q17" i="2"/>
  <c r="W16" i="2"/>
  <c r="AV7" i="3"/>
  <c r="AV8" i="3"/>
  <c r="AV5" i="3"/>
  <c r="AW7" i="3"/>
  <c r="AW5" i="3"/>
  <c r="AW9" i="3"/>
  <c r="AW8" i="3"/>
  <c r="AV9" i="3"/>
  <c r="AA16" i="2" l="1"/>
  <c r="AB16" i="2" s="1"/>
  <c r="AA17" i="2"/>
  <c r="AB17" i="2" s="1"/>
  <c r="P21" i="2" a="1"/>
  <c r="O21" i="2" a="1"/>
  <c r="P18" i="2" a="1"/>
  <c r="P20" i="2" a="1"/>
  <c r="O19" i="2" a="1"/>
  <c r="O18" i="2" a="1"/>
  <c r="O20" i="2" a="1"/>
  <c r="P19" i="2" a="1"/>
  <c r="AZ9" i="3"/>
  <c r="AZ7" i="3"/>
  <c r="AZ8" i="3"/>
  <c r="AZ5" i="3"/>
  <c r="W21" i="2" l="1"/>
  <c r="Q20" i="2"/>
  <c r="W18" i="2"/>
  <c r="Q19" i="2"/>
  <c r="Q21" i="2"/>
  <c r="Q18" i="2"/>
  <c r="W19" i="2"/>
  <c r="W20" i="2"/>
  <c r="AA21" i="2" l="1"/>
  <c r="AB21" i="2" s="1"/>
  <c r="AA20" i="2"/>
  <c r="AB20" i="2" s="1"/>
  <c r="AA18" i="2"/>
  <c r="AB18" i="2" s="1"/>
  <c r="AA19" i="2"/>
  <c r="AB19" i="2" s="1"/>
  <c r="O23" i="2" a="1"/>
  <c r="P22" i="2" a="1"/>
  <c r="O22" i="2" a="1"/>
  <c r="P23" i="2" a="1"/>
  <c r="C34" i="3"/>
  <c r="B34" i="3"/>
  <c r="C33" i="3"/>
  <c r="B33" i="3"/>
  <c r="C35" i="3"/>
  <c r="B35" i="3"/>
  <c r="C30" i="3"/>
  <c r="B30" i="3"/>
  <c r="C32" i="3"/>
  <c r="B32" i="3"/>
  <c r="C25" i="3"/>
  <c r="B25" i="3"/>
  <c r="C28" i="3"/>
  <c r="B28" i="3"/>
  <c r="Q23" i="2" l="1"/>
  <c r="Q22" i="2"/>
  <c r="W22" i="2"/>
  <c r="W23" i="2"/>
  <c r="AA22" i="2" l="1"/>
  <c r="AB22" i="2" s="1"/>
  <c r="AA23" i="2"/>
  <c r="AB23" i="2" s="1"/>
  <c r="O24" i="2" a="1"/>
  <c r="P25" i="2" a="1"/>
  <c r="P24" i="2" a="1"/>
  <c r="Q24" i="2" s="1"/>
  <c r="O25" i="2" a="1"/>
  <c r="E34" i="3"/>
  <c r="D34" i="3"/>
  <c r="E33" i="3"/>
  <c r="D33" i="3"/>
  <c r="E35" i="3"/>
  <c r="D35" i="3"/>
  <c r="E30" i="3"/>
  <c r="D30" i="3"/>
  <c r="E32" i="3"/>
  <c r="D32" i="3"/>
  <c r="E25" i="3"/>
  <c r="E28" i="3"/>
  <c r="D25" i="3"/>
  <c r="W25" i="2" l="1"/>
  <c r="Q25" i="2"/>
  <c r="W24" i="2"/>
  <c r="AA24" i="2" s="1"/>
  <c r="AB24" i="2" s="1"/>
  <c r="F30" i="3"/>
  <c r="F34" i="3"/>
  <c r="F25" i="3"/>
  <c r="F33" i="3"/>
  <c r="F35" i="3"/>
  <c r="F28" i="3"/>
  <c r="F32" i="3"/>
  <c r="AA25" i="2" l="1"/>
  <c r="AB25" i="2" s="1"/>
  <c r="P27" i="2" l="1" a="1"/>
  <c r="P29" i="2" a="1"/>
  <c r="O28" i="2" a="1"/>
  <c r="P28" i="2" a="1"/>
  <c r="P26" i="2" a="1"/>
  <c r="O27" i="2" a="1"/>
  <c r="O29" i="2" a="1"/>
  <c r="W29" i="2" s="1"/>
  <c r="O26" i="2" a="1"/>
  <c r="Q28" i="2" l="1"/>
  <c r="Q26" i="2"/>
  <c r="W27" i="2"/>
  <c r="W26" i="2"/>
  <c r="Q29" i="2"/>
  <c r="AA29" i="2" s="1"/>
  <c r="AB29" i="2" s="1"/>
  <c r="W28" i="2"/>
  <c r="Q27" i="2"/>
  <c r="AA28" i="2" l="1"/>
  <c r="AB28" i="2" s="1"/>
  <c r="AA27" i="2"/>
  <c r="AB27" i="2" s="1"/>
  <c r="AA26" i="2"/>
  <c r="AB26" i="2" s="1"/>
  <c r="P30" i="2" a="1"/>
  <c r="P31" i="2" a="1"/>
  <c r="O31" i="2" a="1"/>
  <c r="O30" i="2" a="1"/>
  <c r="O32" i="2" a="1"/>
  <c r="P33" i="2" a="1"/>
  <c r="P32" i="2" a="1"/>
  <c r="O33" i="2" a="1"/>
  <c r="Q32" i="2" l="1"/>
  <c r="Q31" i="2"/>
  <c r="W30" i="2"/>
  <c r="W33" i="2"/>
  <c r="Q30" i="2"/>
  <c r="W31" i="2"/>
  <c r="W32" i="2"/>
  <c r="Q33" i="2"/>
  <c r="AW3" i="3"/>
  <c r="AV3" i="3"/>
  <c r="AA31" i="2" l="1"/>
  <c r="AB31" i="2" s="1"/>
  <c r="AA32" i="2"/>
  <c r="AB32" i="2" s="1"/>
  <c r="AA33" i="2"/>
  <c r="AB33" i="2" s="1"/>
  <c r="AA30" i="2"/>
  <c r="AB30" i="2" s="1"/>
  <c r="O35" i="2" a="1"/>
  <c r="P34" i="2" a="1"/>
  <c r="O34" i="2" a="1"/>
  <c r="P35" i="2" a="1"/>
  <c r="AZ3" i="3"/>
  <c r="AV2" i="3"/>
  <c r="AW2" i="3"/>
  <c r="AV4" i="3"/>
  <c r="AW4" i="3"/>
  <c r="Q34" i="2" l="1"/>
  <c r="Q35" i="2"/>
  <c r="W34" i="2"/>
  <c r="AA34" i="2" s="1"/>
  <c r="AB34" i="2" s="1"/>
  <c r="W35" i="2"/>
  <c r="P43" i="2" a="1"/>
  <c r="O43" i="2" a="1"/>
  <c r="P42" i="2" a="1"/>
  <c r="O42" i="2" a="1"/>
  <c r="AZ4" i="3"/>
  <c r="AZ2" i="3"/>
  <c r="AW6" i="3"/>
  <c r="AV6" i="3"/>
  <c r="AA35" i="2" l="1"/>
  <c r="AB35" i="2" s="1"/>
  <c r="O41" i="2" a="1"/>
  <c r="O40" i="2" a="1"/>
  <c r="P37" i="2" a="1"/>
  <c r="O36" i="2" a="1"/>
  <c r="P36" i="2" a="1"/>
  <c r="O37" i="2" a="1"/>
  <c r="P40" i="2" a="1"/>
  <c r="P41" i="2" a="1"/>
  <c r="Q41" i="2" s="1"/>
  <c r="P39" i="2" a="1"/>
  <c r="Q39" i="2" s="1"/>
  <c r="O39" i="2" a="1"/>
  <c r="O38" i="2" a="1"/>
  <c r="P38" i="2" a="1"/>
  <c r="W43" i="2"/>
  <c r="W42" i="2"/>
  <c r="Q42" i="2"/>
  <c r="Q43" i="2"/>
  <c r="AZ6" i="3"/>
  <c r="W38" i="2" l="1"/>
  <c r="Q37" i="2"/>
  <c r="Q36" i="2"/>
  <c r="W40" i="2"/>
  <c r="W36" i="2"/>
  <c r="W37" i="2"/>
  <c r="AA37" i="2" s="1"/>
  <c r="AB37" i="2" s="1"/>
  <c r="Q40" i="2"/>
  <c r="W39" i="2"/>
  <c r="AA39" i="2" s="1"/>
  <c r="AB39" i="2" s="1"/>
  <c r="Q38" i="2"/>
  <c r="W41" i="2"/>
  <c r="AA41" i="2" s="1"/>
  <c r="AB41" i="2" s="1"/>
  <c r="AA43" i="2"/>
  <c r="AB43" i="2" s="1"/>
  <c r="AA42" i="2"/>
  <c r="AB42" i="2" s="1"/>
  <c r="AA38" i="2" l="1"/>
  <c r="AB38" i="2" s="1"/>
  <c r="AA36" i="2"/>
  <c r="AB36" i="2" s="1"/>
  <c r="AA40" i="2"/>
  <c r="AB40" i="2" s="1"/>
  <c r="P44" i="2" a="1"/>
  <c r="O44" i="2" a="1"/>
  <c r="P45" i="2" a="1"/>
  <c r="O45" i="2" a="1"/>
  <c r="W44" i="2" l="1"/>
  <c r="W45" i="2"/>
  <c r="Q45" i="2"/>
  <c r="Q44" i="2"/>
  <c r="AA45" i="2" l="1"/>
  <c r="AB45" i="2" s="1"/>
  <c r="AA44" i="2"/>
  <c r="AB44" i="2" s="1"/>
  <c r="P46" i="2" l="1" a="1"/>
  <c r="O47" i="2" a="1"/>
  <c r="O46" i="2" a="1"/>
  <c r="P47" i="2" a="1"/>
  <c r="P48" i="2" a="1"/>
  <c r="O48" i="2" a="1"/>
  <c r="O49" i="2" a="1"/>
  <c r="P49" i="2" a="1"/>
  <c r="W46" i="2" l="1"/>
  <c r="Q47" i="2"/>
  <c r="Q46" i="2"/>
  <c r="W47" i="2"/>
  <c r="Q48" i="2"/>
  <c r="W49" i="2"/>
  <c r="W48" i="2"/>
  <c r="Q49" i="2"/>
  <c r="AA46" i="2" l="1"/>
  <c r="AB46" i="2" s="1"/>
  <c r="AA47" i="2"/>
  <c r="AB47" i="2" s="1"/>
  <c r="AA48" i="2"/>
  <c r="AB48" i="2" s="1"/>
  <c r="AA49" i="2"/>
  <c r="AB49" i="2" s="1"/>
  <c r="O52" i="2" a="1"/>
  <c r="O53" i="2" a="1"/>
  <c r="P52" i="2" a="1"/>
  <c r="Q52" i="2" s="1"/>
  <c r="P53" i="2" a="1"/>
  <c r="P51" i="2" a="1"/>
  <c r="O50" i="2" a="1"/>
  <c r="P50" i="2" a="1"/>
  <c r="O51" i="2" a="1"/>
  <c r="O55" i="2" a="1"/>
  <c r="O54" i="2" a="1"/>
  <c r="P55" i="2" a="1"/>
  <c r="P54" i="2" a="1"/>
  <c r="W52" i="2" l="1"/>
  <c r="AA52" i="2" s="1"/>
  <c r="AB52" i="2" s="1"/>
  <c r="Q55" i="2"/>
  <c r="W53" i="2"/>
  <c r="W50" i="2"/>
  <c r="W51" i="2"/>
  <c r="Q54" i="2"/>
  <c r="Q53" i="2"/>
  <c r="Q51" i="2"/>
  <c r="Q50" i="2"/>
  <c r="W55" i="2"/>
  <c r="W54" i="2"/>
  <c r="AA55" i="2" l="1"/>
  <c r="AB55" i="2" s="1"/>
  <c r="AA53" i="2"/>
  <c r="AB53" i="2" s="1"/>
  <c r="AA51" i="2"/>
  <c r="AB51" i="2" s="1"/>
  <c r="AA50" i="2"/>
  <c r="AB50" i="2" s="1"/>
  <c r="AA54" i="2"/>
  <c r="AB54" i="2" s="1"/>
  <c r="P57" i="2" s="1" a="1"/>
  <c r="P56" i="2" a="1"/>
  <c r="O57" i="2" a="1"/>
  <c r="O56" i="2" a="1"/>
  <c r="W56" i="2" s="1"/>
  <c r="Q57" i="2" l="1"/>
  <c r="W57" i="2"/>
  <c r="Q56" i="2"/>
  <c r="AA56" i="2" s="1"/>
  <c r="AB56" i="2" s="1"/>
  <c r="AA57" i="2" l="1"/>
  <c r="AB57" i="2" s="1"/>
  <c r="O59" i="2" a="1"/>
  <c r="P58" i="2" a="1"/>
  <c r="O58" i="2" a="1"/>
  <c r="P59" i="2" a="1"/>
  <c r="Q58" i="2" l="1"/>
  <c r="Q59" i="2"/>
  <c r="W58" i="2"/>
  <c r="AA58" i="2" s="1"/>
  <c r="AB58" i="2" s="1"/>
  <c r="W59" i="2"/>
  <c r="AA59" i="2" l="1"/>
  <c r="AB59" i="2" s="1"/>
  <c r="P60" i="2" a="1"/>
  <c r="O61" i="2" a="1"/>
  <c r="P61" i="2" a="1"/>
  <c r="O60" i="2" a="1"/>
  <c r="O63" i="2" a="1"/>
  <c r="O62" i="2" a="1"/>
  <c r="P62" i="2" a="1"/>
  <c r="P63" i="2" a="1"/>
  <c r="W61" i="2" l="1"/>
  <c r="Q60" i="2"/>
  <c r="Q61" i="2"/>
  <c r="W60" i="2"/>
  <c r="Q63" i="2"/>
  <c r="W62" i="2"/>
  <c r="W63" i="2"/>
  <c r="Q62" i="2"/>
  <c r="O66" i="2" a="1"/>
  <c r="P67" i="2" a="1"/>
  <c r="P66" i="2" a="1"/>
  <c r="O67" i="2" a="1"/>
  <c r="P68" i="2" a="1"/>
  <c r="O68" i="2" a="1"/>
  <c r="P65" i="2" a="1"/>
  <c r="P69" i="2" a="1"/>
  <c r="O64" i="2" a="1"/>
  <c r="O69" i="2" a="1"/>
  <c r="AA61" i="2" l="1"/>
  <c r="AB61" i="2" s="1"/>
  <c r="AA60" i="2"/>
  <c r="AB60" i="2" s="1"/>
  <c r="AA62" i="2"/>
  <c r="AB62" i="2" s="1"/>
  <c r="Q66" i="2"/>
  <c r="O65" i="2" a="1"/>
  <c r="P64" i="2" a="1"/>
  <c r="W68" i="2"/>
  <c r="AA63" i="2"/>
  <c r="AB63" i="2" s="1"/>
  <c r="W67" i="2"/>
  <c r="Q69" i="2"/>
  <c r="W66" i="2"/>
  <c r="W69" i="2"/>
  <c r="Q67" i="2"/>
  <c r="Q68" i="2"/>
  <c r="AA66" i="2" l="1"/>
  <c r="AB66" i="2" s="1"/>
  <c r="Q65" i="2"/>
  <c r="W65" i="2"/>
  <c r="Q64" i="2"/>
  <c r="W64" i="2"/>
  <c r="AA68" i="2"/>
  <c r="AB68" i="2" s="1"/>
  <c r="AA69" i="2"/>
  <c r="AB69" i="2" s="1"/>
  <c r="AA67" i="2"/>
  <c r="AB67" i="2" s="1"/>
  <c r="P70" i="2" l="1" a="1"/>
  <c r="O71" i="2" a="1"/>
  <c r="P71" i="2" a="1"/>
  <c r="O70" i="2" a="1"/>
  <c r="AA65" i="2"/>
  <c r="AB65" i="2" s="1"/>
  <c r="AA64" i="2"/>
  <c r="AB64" i="2" s="1"/>
  <c r="W71" i="2" l="1"/>
  <c r="W70" i="2"/>
  <c r="Q70" i="2"/>
  <c r="Q71" i="2"/>
  <c r="O73" i="2" a="1"/>
  <c r="P72" i="2" a="1"/>
  <c r="O72" i="2" a="1"/>
  <c r="P73" i="2" a="1"/>
  <c r="P78" i="2" a="1"/>
  <c r="O79" i="2" a="1"/>
  <c r="O81" i="2" a="1"/>
  <c r="P81" i="2" a="1"/>
  <c r="P79" i="2" a="1"/>
  <c r="P80" i="2" a="1"/>
  <c r="O80" i="2" a="1"/>
  <c r="O78" i="2" a="1"/>
  <c r="AA70" i="2" l="1"/>
  <c r="AB70" i="2" s="1"/>
  <c r="AA71" i="2"/>
  <c r="AB71" i="2" s="1"/>
  <c r="Q73" i="2"/>
  <c r="W73" i="2"/>
  <c r="AA73" i="2" s="1"/>
  <c r="AB73" i="2" s="1"/>
  <c r="Q72" i="2"/>
  <c r="W72" i="2"/>
  <c r="AA72" i="2" s="1"/>
  <c r="AB72" i="2" s="1"/>
  <c r="O75" i="2" a="1"/>
  <c r="P74" i="2" a="1"/>
  <c r="P75" i="2" a="1"/>
  <c r="O74" i="2" a="1"/>
  <c r="P76" i="2" a="1"/>
  <c r="P77" i="2" a="1"/>
  <c r="O76" i="2" a="1"/>
  <c r="O77" i="2" a="1"/>
  <c r="W79" i="2"/>
  <c r="Q80" i="2"/>
  <c r="Q78" i="2"/>
  <c r="W81" i="2"/>
  <c r="Q81" i="2"/>
  <c r="Q79" i="2"/>
  <c r="W80" i="2"/>
  <c r="W78" i="2"/>
  <c r="W76" i="2" l="1"/>
  <c r="Q75" i="2"/>
  <c r="Q74" i="2"/>
  <c r="W77" i="2"/>
  <c r="W74" i="2"/>
  <c r="W75" i="2"/>
  <c r="AA75" i="2" s="1"/>
  <c r="AB75" i="2" s="1"/>
  <c r="Q76" i="2"/>
  <c r="AA76" i="2" s="1"/>
  <c r="AB76" i="2" s="1"/>
  <c r="Q77" i="2"/>
  <c r="AA80" i="2"/>
  <c r="AB80" i="2" s="1"/>
  <c r="AA79" i="2"/>
  <c r="AB79" i="2" s="1"/>
  <c r="AA78" i="2"/>
  <c r="AB78" i="2" s="1"/>
  <c r="AA81" i="2"/>
  <c r="AB81" i="2" s="1"/>
  <c r="AA74" i="2" l="1"/>
  <c r="AB74" i="2" s="1"/>
  <c r="AA77" i="2"/>
  <c r="AB77" i="2" s="1"/>
  <c r="O83" i="2" a="1"/>
  <c r="P82" i="2" a="1"/>
  <c r="O82" i="2" a="1"/>
  <c r="P83" i="2" a="1"/>
  <c r="W83" i="2" l="1"/>
  <c r="Q82" i="2"/>
  <c r="W82" i="2"/>
  <c r="Q83" i="2"/>
  <c r="AA83" i="2" l="1"/>
  <c r="AB83" i="2" s="1"/>
  <c r="AA82" i="2"/>
  <c r="AB82" i="2" s="1"/>
  <c r="P89" i="2" a="1"/>
  <c r="P88" i="2" a="1"/>
  <c r="O88" i="2" a="1"/>
  <c r="O89" i="2" a="1"/>
  <c r="O84" i="2" l="1" a="1"/>
  <c r="P84" i="2" a="1"/>
  <c r="P85" i="2" a="1"/>
  <c r="O85" i="2" a="1"/>
  <c r="O87" i="2" a="1"/>
  <c r="P87" i="2" a="1"/>
  <c r="P86" i="2" a="1"/>
  <c r="O86" i="2" a="1"/>
  <c r="W89" i="2"/>
  <c r="W88" i="2"/>
  <c r="Q89" i="2"/>
  <c r="Q88" i="2"/>
  <c r="W84" i="2" l="1"/>
  <c r="W87" i="2"/>
  <c r="W86" i="2"/>
  <c r="Q84" i="2"/>
  <c r="Q85" i="2"/>
  <c r="W85" i="2"/>
  <c r="Q87" i="2"/>
  <c r="Q86" i="2"/>
  <c r="AA89" i="2"/>
  <c r="AB89" i="2" s="1"/>
  <c r="AA88" i="2"/>
  <c r="AB88" i="2" s="1"/>
  <c r="AA84" i="2" l="1"/>
  <c r="AB84" i="2" s="1"/>
  <c r="AA87" i="2"/>
  <c r="AB87" i="2" s="1"/>
  <c r="AA86" i="2"/>
  <c r="AB86" i="2" s="1"/>
  <c r="AA85" i="2"/>
  <c r="AB85" i="2" s="1"/>
  <c r="O91" i="2" a="1"/>
  <c r="P90" i="2" a="1"/>
  <c r="O90" i="2" a="1"/>
  <c r="P91" i="2" a="1"/>
  <c r="W91" i="2" l="1"/>
  <c r="Q90" i="2"/>
  <c r="W90" i="2"/>
  <c r="Q91" i="2"/>
  <c r="AA91" i="2" l="1"/>
  <c r="AB91" i="2" s="1"/>
  <c r="AA90" i="2"/>
  <c r="AB90" i="2" s="1"/>
  <c r="P92" i="2" l="1" a="1"/>
  <c r="O92" i="2" a="1"/>
  <c r="O93" i="2" a="1"/>
  <c r="P93" i="2" a="1"/>
  <c r="P95" i="2" a="1"/>
  <c r="O94" i="2" a="1"/>
  <c r="O95" i="2" a="1"/>
  <c r="P94" i="2" a="1"/>
  <c r="O97" i="2" a="1"/>
  <c r="P96" i="2" a="1"/>
  <c r="O96" i="2" a="1"/>
  <c r="P97" i="2" a="1"/>
  <c r="P99" i="2" a="1"/>
  <c r="O98" i="2" a="1"/>
  <c r="P98" i="2" a="1"/>
  <c r="O99" i="2" a="1"/>
  <c r="O100" i="2" a="1"/>
  <c r="O101" i="2" a="1"/>
  <c r="P100" i="2" a="1"/>
  <c r="P101" i="2" a="1"/>
  <c r="W92" i="2" l="1"/>
  <c r="Q95" i="2"/>
  <c r="W93" i="2"/>
  <c r="Q94" i="2"/>
  <c r="Q92" i="2"/>
  <c r="AA92" i="2" s="1"/>
  <c r="AB92" i="2" s="1"/>
  <c r="Q93" i="2"/>
  <c r="W94" i="2"/>
  <c r="W95" i="2"/>
  <c r="W96" i="2"/>
  <c r="Q96" i="2"/>
  <c r="W97" i="2"/>
  <c r="Q97" i="2"/>
  <c r="Q100" i="2"/>
  <c r="Q101" i="2"/>
  <c r="Q98" i="2"/>
  <c r="Q99" i="2"/>
  <c r="W100" i="2"/>
  <c r="W99" i="2"/>
  <c r="W101" i="2"/>
  <c r="W98" i="2"/>
  <c r="AA95" i="2" l="1"/>
  <c r="AB95" i="2" s="1"/>
  <c r="AA93" i="2"/>
  <c r="AB93" i="2" s="1"/>
  <c r="AA94" i="2"/>
  <c r="AB94" i="2" s="1"/>
  <c r="AA97" i="2"/>
  <c r="AB97" i="2" s="1"/>
  <c r="AA96" i="2"/>
  <c r="AB96" i="2" s="1"/>
  <c r="AA100" i="2"/>
  <c r="AB100" i="2" s="1"/>
  <c r="AA99" i="2"/>
  <c r="AB99" i="2" s="1"/>
  <c r="AA101" i="2"/>
  <c r="AB101" i="2" s="1"/>
  <c r="AA98" i="2"/>
  <c r="AB98" i="2" s="1"/>
  <c r="P103" i="2" a="1"/>
  <c r="P102" i="2" a="1"/>
  <c r="O102" i="2" a="1"/>
  <c r="O103" i="2" a="1"/>
  <c r="P105" i="2" l="1" a="1"/>
  <c r="P104" i="2" a="1"/>
  <c r="O104" i="2" a="1"/>
  <c r="O105" i="2" a="1"/>
  <c r="Q102" i="2"/>
  <c r="W103" i="2"/>
  <c r="W102" i="2"/>
  <c r="Q103" i="2"/>
  <c r="Q104" i="2" l="1"/>
  <c r="W105" i="2"/>
  <c r="W104" i="2"/>
  <c r="AA104" i="2" s="1"/>
  <c r="AB104" i="2" s="1"/>
  <c r="Q105" i="2"/>
  <c r="O106" i="2" a="1"/>
  <c r="O107" i="2" a="1"/>
  <c r="P107" i="2" a="1"/>
  <c r="P106" i="2" a="1"/>
  <c r="AA102" i="2"/>
  <c r="AB102" i="2" s="1"/>
  <c r="AA103" i="2"/>
  <c r="AB103" i="2" s="1"/>
  <c r="AA105" i="2" l="1"/>
  <c r="AB105" i="2" s="1"/>
  <c r="Q106" i="2"/>
  <c r="W107" i="2"/>
  <c r="W106" i="2"/>
  <c r="Q107" i="2"/>
  <c r="AA106" i="2" l="1"/>
  <c r="AB106" i="2" s="1"/>
  <c r="AA107" i="2"/>
  <c r="AB107" i="2" s="1"/>
  <c r="O108" i="2" a="1"/>
  <c r="O109" i="2" a="1"/>
  <c r="P109" i="2" a="1"/>
  <c r="P108" i="2" a="1"/>
  <c r="W108" i="2" l="1"/>
  <c r="Q109" i="2"/>
  <c r="W109" i="2"/>
  <c r="Q108" i="2"/>
  <c r="AA108" i="2" l="1"/>
  <c r="AB108" i="2" s="1"/>
  <c r="AA109" i="2"/>
  <c r="AB109" i="2" s="1"/>
  <c r="O111" i="2" l="1" a="1"/>
  <c r="P110" i="2" a="1"/>
  <c r="P111" i="2" a="1"/>
  <c r="O110" i="2" a="1"/>
  <c r="Q110" i="2" l="1"/>
  <c r="Q111" i="2"/>
  <c r="W111" i="2"/>
  <c r="W110" i="2"/>
  <c r="AA111" i="2" l="1"/>
  <c r="AB111" i="2" s="1"/>
  <c r="AA110" i="2"/>
  <c r="AB110" i="2" s="1"/>
  <c r="P115" i="2" l="1" a="1"/>
  <c r="O114" i="2" a="1"/>
  <c r="P114" i="2" a="1"/>
  <c r="O115" i="2" a="1"/>
  <c r="O112" i="2" a="1"/>
  <c r="O113" i="2" a="1"/>
  <c r="P112" i="2" a="1"/>
  <c r="P113" i="2" a="1"/>
  <c r="Q112" i="2" l="1"/>
  <c r="W114" i="2"/>
  <c r="Q115" i="2"/>
  <c r="Q113" i="2"/>
  <c r="W115" i="2"/>
  <c r="O116" i="2" a="1"/>
  <c r="O117" i="2" a="1"/>
  <c r="P116" i="2" a="1"/>
  <c r="Q116" i="2" s="1"/>
  <c r="P117" i="2" a="1"/>
  <c r="Q114" i="2"/>
  <c r="W112" i="2"/>
  <c r="W113" i="2"/>
  <c r="AA114" i="2" l="1"/>
  <c r="AB114" i="2" s="1"/>
  <c r="AA112" i="2"/>
  <c r="AB112" i="2" s="1"/>
  <c r="AA115" i="2"/>
  <c r="AB115" i="2" s="1"/>
  <c r="AA113" i="2"/>
  <c r="AB113" i="2" s="1"/>
  <c r="W117" i="2"/>
  <c r="W116" i="2"/>
  <c r="AA116" i="2" s="1"/>
  <c r="AB116" i="2" s="1"/>
  <c r="Q117" i="2"/>
  <c r="P118" i="2" a="1"/>
  <c r="P119" i="2" a="1"/>
  <c r="O119" i="2" a="1"/>
  <c r="O118" i="2" a="1"/>
  <c r="AA117" i="2" l="1"/>
  <c r="AB117" i="2" s="1"/>
  <c r="Q119" i="2"/>
  <c r="Q118" i="2"/>
  <c r="W119" i="2"/>
  <c r="AA119" i="2" s="1"/>
  <c r="AB119" i="2" s="1"/>
  <c r="W118" i="2"/>
  <c r="P120" i="2" a="1"/>
  <c r="O120" i="2" a="1"/>
  <c r="O121" i="2" a="1"/>
  <c r="P121" i="2" a="1"/>
  <c r="AA118" i="2" l="1"/>
  <c r="AB118" i="2" s="1"/>
  <c r="W120" i="2"/>
  <c r="Q121" i="2"/>
  <c r="Q120" i="2"/>
  <c r="W121" i="2"/>
  <c r="AA120" i="2" l="1"/>
  <c r="AB120" i="2" s="1"/>
  <c r="AA121" i="2"/>
  <c r="AB121" i="2" s="1"/>
  <c r="P122" i="2" a="1"/>
  <c r="O123" i="2" a="1"/>
  <c r="O122" i="2" a="1"/>
  <c r="P123" i="2" a="1"/>
  <c r="Q122" i="2" l="1"/>
  <c r="W123" i="2"/>
  <c r="W122" i="2"/>
  <c r="Q123" i="2"/>
  <c r="P124" i="2" a="1"/>
  <c r="O124" i="2" a="1"/>
  <c r="O125" i="2" a="1"/>
  <c r="P125" i="2" a="1"/>
  <c r="P126" i="2" a="1"/>
  <c r="O126" i="2" a="1"/>
  <c r="O127" i="2" a="1"/>
  <c r="P127" i="2" a="1"/>
  <c r="AA122" i="2" l="1"/>
  <c r="AB122" i="2" s="1"/>
  <c r="AA123" i="2"/>
  <c r="AB123" i="2" s="1"/>
  <c r="W125" i="2"/>
  <c r="W127" i="2"/>
  <c r="W124" i="2"/>
  <c r="Q126" i="2"/>
  <c r="Q124" i="2"/>
  <c r="Q125" i="2"/>
  <c r="W126" i="2"/>
  <c r="Q127" i="2"/>
  <c r="AA124" i="2" l="1"/>
  <c r="AB124" i="2" s="1"/>
  <c r="AA125" i="2"/>
  <c r="AB125" i="2" s="1"/>
  <c r="AA127" i="2"/>
  <c r="AB127" i="2" s="1"/>
  <c r="AA126" i="2"/>
  <c r="AB126" i="2" s="1"/>
  <c r="O129" i="2" l="1" a="1"/>
  <c r="P129" i="2" a="1"/>
  <c r="O128" i="2" a="1"/>
  <c r="P128" i="2" a="1"/>
  <c r="O131" i="2" a="1"/>
  <c r="P131" i="2" a="1"/>
  <c r="O130" i="2" a="1"/>
  <c r="P130" i="2" a="1"/>
  <c r="W128" i="2" l="1"/>
  <c r="W129" i="2"/>
  <c r="Q129" i="2"/>
  <c r="AA129" i="2" s="1"/>
  <c r="AB129" i="2" s="1"/>
  <c r="Q128" i="2"/>
  <c r="Q130" i="2"/>
  <c r="Q131" i="2"/>
  <c r="W131" i="2"/>
  <c r="W130" i="2"/>
  <c r="AA128" i="2" l="1"/>
  <c r="AB128" i="2" s="1"/>
  <c r="AA131" i="2"/>
  <c r="AB131" i="2" s="1"/>
  <c r="AA130" i="2"/>
  <c r="AB130" i="2" s="1"/>
  <c r="O135" i="2" l="1" a="1"/>
  <c r="P135" i="2" a="1"/>
  <c r="P134" i="2" a="1"/>
  <c r="O134" i="2" a="1"/>
  <c r="O133" i="2" a="1"/>
  <c r="O132" i="2" a="1"/>
  <c r="P133" i="2" a="1"/>
  <c r="P132" i="2" a="1"/>
  <c r="Q135" i="2" l="1"/>
  <c r="Q132" i="2"/>
  <c r="W134" i="2"/>
  <c r="W135" i="2"/>
  <c r="Q134" i="2"/>
  <c r="W133" i="2"/>
  <c r="W132" i="2"/>
  <c r="Q133" i="2"/>
  <c r="AA132" i="2" l="1"/>
  <c r="AB132" i="2" s="1"/>
  <c r="AA135" i="2"/>
  <c r="AB135" i="2" s="1"/>
  <c r="AA134" i="2"/>
  <c r="AB134" i="2" s="1"/>
  <c r="AA133" i="2"/>
  <c r="AB133" i="2" s="1"/>
  <c r="O138" i="2" l="1" a="1"/>
  <c r="P136" i="2" a="1"/>
  <c r="O137" i="2" a="1"/>
  <c r="O136" i="2" a="1"/>
  <c r="P137" i="2" a="1"/>
  <c r="P139" i="2" a="1"/>
  <c r="P138" i="2" a="1"/>
  <c r="Q138" i="2" s="1"/>
  <c r="O139" i="2" a="1"/>
  <c r="W139" i="2" s="1"/>
  <c r="Q136" i="2" l="1"/>
  <c r="W137" i="2"/>
  <c r="W138" i="2"/>
  <c r="AA138" i="2" s="1"/>
  <c r="AB138" i="2" s="1"/>
  <c r="W136" i="2"/>
  <c r="AA136" i="2" s="1"/>
  <c r="AB136" i="2" s="1"/>
  <c r="Q139" i="2"/>
  <c r="AA139" i="2" s="1"/>
  <c r="AB139" i="2" s="1"/>
  <c r="Q137" i="2"/>
  <c r="AA137" i="2" s="1"/>
  <c r="AB137" i="2" s="1"/>
  <c r="O140" i="2" a="1"/>
  <c r="P140" i="2" a="1"/>
  <c r="O141" i="2" a="1"/>
  <c r="P141" i="2" a="1"/>
  <c r="Q141" i="2" l="1"/>
  <c r="W140" i="2"/>
  <c r="W141" i="2"/>
  <c r="Q140" i="2"/>
  <c r="AA141" i="2" l="1"/>
  <c r="AB141" i="2" s="1"/>
  <c r="AA140" i="2"/>
  <c r="AB140" i="2" s="1"/>
  <c r="P144" i="2" a="1"/>
  <c r="O145" i="2" a="1"/>
  <c r="P145" i="2" a="1"/>
  <c r="O144" i="2" a="1"/>
  <c r="O143" i="2" l="1" a="1"/>
  <c r="O142" i="2" a="1"/>
  <c r="P143" i="2" a="1"/>
  <c r="P142" i="2" a="1"/>
  <c r="W144" i="2"/>
  <c r="W145" i="2"/>
  <c r="Q144" i="2"/>
  <c r="Q145" i="2"/>
  <c r="W142" i="2" l="1"/>
  <c r="Q142" i="2"/>
  <c r="Q143" i="2"/>
  <c r="W143" i="2"/>
  <c r="AA144" i="2"/>
  <c r="AB144" i="2" s="1"/>
  <c r="AA145" i="2"/>
  <c r="AB145" i="2" s="1"/>
  <c r="AA143" i="2" l="1"/>
  <c r="AB143" i="2" s="1"/>
  <c r="AA142" i="2"/>
  <c r="AB142" i="2" s="1"/>
  <c r="P149" i="2" a="1"/>
  <c r="P146" i="2" a="1"/>
  <c r="P148" i="2" a="1"/>
  <c r="O146" i="2" a="1"/>
  <c r="O147" i="2" a="1"/>
  <c r="P147" i="2" a="1"/>
  <c r="O148" i="2" a="1"/>
  <c r="O149" i="2" a="1"/>
  <c r="Q148" i="2" l="1"/>
  <c r="W147" i="2"/>
  <c r="W149" i="2"/>
  <c r="W146" i="2"/>
  <c r="Q147" i="2"/>
  <c r="Q149" i="2"/>
  <c r="Q146" i="2"/>
  <c r="W148" i="2"/>
  <c r="AA147" i="2" l="1"/>
  <c r="AB147" i="2" s="1"/>
  <c r="AA148" i="2"/>
  <c r="AB148" i="2" s="1"/>
  <c r="AA149" i="2"/>
  <c r="AB149" i="2" s="1"/>
  <c r="AA146" i="2"/>
  <c r="AB146" i="2" s="1"/>
  <c r="O151" i="2" l="1" a="1"/>
  <c r="P150" i="2" a="1"/>
  <c r="O150" i="2" a="1"/>
  <c r="P151" i="2" a="1"/>
  <c r="W151" i="2" l="1"/>
  <c r="W150" i="2"/>
  <c r="Q151" i="2"/>
  <c r="Q150" i="2"/>
  <c r="P153" i="2" a="1"/>
  <c r="P152" i="2" a="1"/>
  <c r="AA151" i="2" l="1"/>
  <c r="AB151" i="2" s="1"/>
  <c r="AA150" i="2"/>
  <c r="AB150" i="2" s="1"/>
  <c r="O152" i="2" a="1"/>
  <c r="O153" i="2" a="1"/>
  <c r="Q152" i="2" l="1"/>
  <c r="W152" i="2"/>
  <c r="AA152" i="2" s="1"/>
  <c r="AB152" i="2" s="1"/>
  <c r="W153" i="2"/>
  <c r="Q153" i="2"/>
  <c r="P155" i="2" a="1"/>
  <c r="O154" i="2" a="1"/>
  <c r="P154" i="2" a="1"/>
  <c r="O155" i="2" a="1"/>
  <c r="AA153" i="2" l="1"/>
  <c r="AB153" i="2" s="1"/>
  <c r="W154" i="2"/>
  <c r="Q155" i="2"/>
  <c r="W155" i="2"/>
  <c r="Q154" i="2"/>
  <c r="AA155" i="2" l="1"/>
  <c r="AB155" i="2" s="1"/>
  <c r="AA154" i="2"/>
  <c r="AB154" i="2" s="1"/>
  <c r="O156" i="2" l="1" a="1"/>
  <c r="P156" i="2" a="1"/>
  <c r="O157" i="2" a="1"/>
  <c r="W157" i="2" s="1"/>
  <c r="P157" i="2" a="1"/>
  <c r="P160" i="2" a="1"/>
  <c r="O160" i="2" a="1"/>
  <c r="O159" i="2" a="1"/>
  <c r="P158" i="2" a="1"/>
  <c r="P161" i="2" a="1"/>
  <c r="O161" i="2" a="1"/>
  <c r="P159" i="2" a="1"/>
  <c r="O158" i="2" a="1"/>
  <c r="Q156" i="2" l="1"/>
  <c r="W156" i="2"/>
  <c r="AA156" i="2" s="1"/>
  <c r="AB156" i="2" s="1"/>
  <c r="Q157" i="2"/>
  <c r="AA157" i="2" s="1"/>
  <c r="AB157" i="2" s="1"/>
  <c r="Q161" i="2"/>
  <c r="Q160" i="2"/>
  <c r="W161" i="2"/>
  <c r="W160" i="2"/>
  <c r="W159" i="2"/>
  <c r="Q159" i="2"/>
  <c r="Q158" i="2"/>
  <c r="W158" i="2"/>
  <c r="AA161" i="2" l="1"/>
  <c r="AB161" i="2" s="1"/>
  <c r="AA160" i="2"/>
  <c r="AB160" i="2" s="1"/>
  <c r="AA158" i="2"/>
  <c r="AB158" i="2" s="1"/>
  <c r="AA159" i="2"/>
  <c r="AB159" i="2" s="1"/>
  <c r="O167" i="2" a="1"/>
  <c r="P167" i="2" a="1"/>
  <c r="P166" i="2" a="1"/>
  <c r="O166" i="2" a="1"/>
  <c r="P165" i="2" a="1"/>
  <c r="P164" i="2" a="1"/>
  <c r="O164" i="2" a="1"/>
  <c r="O165" i="2" a="1"/>
  <c r="P163" i="2" l="1" a="1"/>
  <c r="O162" i="2" a="1"/>
  <c r="P162" i="2" a="1"/>
  <c r="O163" i="2" a="1"/>
  <c r="W163" i="2" s="1"/>
  <c r="W164" i="2"/>
  <c r="Q166" i="2"/>
  <c r="W167" i="2"/>
  <c r="Q165" i="2"/>
  <c r="Q167" i="2"/>
  <c r="W166" i="2"/>
  <c r="Q164" i="2"/>
  <c r="W165" i="2"/>
  <c r="Q162" i="2" l="1"/>
  <c r="Q163" i="2"/>
  <c r="AA163" i="2" s="1"/>
  <c r="AB163" i="2" s="1"/>
  <c r="W162" i="2"/>
  <c r="AA164" i="2"/>
  <c r="AB164" i="2" s="1"/>
  <c r="AA166" i="2"/>
  <c r="AB166" i="2" s="1"/>
  <c r="AA167" i="2"/>
  <c r="AB167" i="2" s="1"/>
  <c r="AA165" i="2"/>
  <c r="AB165" i="2" s="1"/>
  <c r="AA162" i="2" l="1"/>
  <c r="AB162" i="2" s="1"/>
  <c r="O168" i="2" a="1"/>
  <c r="P169" i="2" a="1"/>
  <c r="O169" i="2" a="1"/>
  <c r="P168" i="2" a="1"/>
  <c r="P170" i="2" a="1"/>
  <c r="P171" i="2" a="1"/>
  <c r="O170" i="2" a="1"/>
  <c r="O171" i="2" a="1"/>
  <c r="W169" i="2" l="1"/>
  <c r="W170" i="2"/>
  <c r="W171" i="2"/>
  <c r="Q168" i="2"/>
  <c r="Q169" i="2"/>
  <c r="Q170" i="2"/>
  <c r="Q171" i="2"/>
  <c r="W168" i="2"/>
  <c r="AA169" i="2" l="1"/>
  <c r="AB169" i="2" s="1"/>
  <c r="AA170" i="2"/>
  <c r="AB170" i="2" s="1"/>
  <c r="AA171" i="2"/>
  <c r="AB171" i="2" s="1"/>
  <c r="AA168" i="2"/>
  <c r="AB168" i="2" s="1"/>
  <c r="O174" i="2" a="1"/>
  <c r="P175" i="2" a="1"/>
  <c r="O175" i="2" a="1"/>
  <c r="P174" i="2" a="1"/>
  <c r="O173" i="2" l="1" a="1"/>
  <c r="P172" i="2" a="1"/>
  <c r="O172" i="2" a="1"/>
  <c r="P173" i="2" a="1"/>
  <c r="Q174" i="2"/>
  <c r="W175" i="2"/>
  <c r="W174" i="2"/>
  <c r="Q175" i="2"/>
  <c r="Q172" i="2" l="1"/>
  <c r="W172" i="2"/>
  <c r="W173" i="2"/>
  <c r="Q173" i="2"/>
  <c r="AA174" i="2"/>
  <c r="AB174" i="2" s="1"/>
  <c r="AA175" i="2"/>
  <c r="AB175" i="2" s="1"/>
  <c r="P180" i="2" a="1"/>
  <c r="O181" i="2" a="1"/>
  <c r="O176" i="2" l="1" a="1"/>
  <c r="O177" i="2" a="1"/>
  <c r="P176" i="2" a="1"/>
  <c r="P177" i="2" a="1"/>
  <c r="O180" i="2" a="1"/>
  <c r="P181" i="2" a="1"/>
  <c r="O179" i="2" a="1"/>
  <c r="P178" i="2" a="1"/>
  <c r="P179" i="2" a="1"/>
  <c r="O178" i="2" a="1"/>
  <c r="AA173" i="2"/>
  <c r="AB173" i="2" s="1"/>
  <c r="AA172" i="2"/>
  <c r="AB172" i="2" s="1"/>
  <c r="Q177" i="2" l="1"/>
  <c r="W177" i="2"/>
  <c r="Q176" i="2"/>
  <c r="W176" i="2"/>
  <c r="AA176" i="2" s="1"/>
  <c r="AB176" i="2" s="1"/>
  <c r="Q179" i="2"/>
  <c r="W178" i="2"/>
  <c r="Q178" i="2"/>
  <c r="AA178" i="2" s="1"/>
  <c r="AB178" i="2" s="1"/>
  <c r="W179" i="2"/>
  <c r="W180" i="2"/>
  <c r="Q180" i="2"/>
  <c r="W181" i="2"/>
  <c r="Q181" i="2"/>
  <c r="AA177" i="2" l="1"/>
  <c r="AB177" i="2" s="1"/>
  <c r="AA181" i="2"/>
  <c r="AB181" i="2" s="1"/>
  <c r="AA179" i="2"/>
  <c r="AB179" i="2" s="1"/>
  <c r="AA180" i="2"/>
  <c r="AB180" i="2" s="1"/>
  <c r="P182" i="2" a="1"/>
  <c r="O182" i="2" a="1"/>
  <c r="O183" i="2" a="1"/>
  <c r="P183" i="2" a="1"/>
  <c r="Q183" i="2" l="1"/>
  <c r="Q182" i="2"/>
  <c r="W183" i="2"/>
  <c r="W182" i="2"/>
  <c r="AA183" i="2" l="1"/>
  <c r="AB183" i="2" s="1"/>
  <c r="AA182" i="2"/>
  <c r="AB182" i="2" s="1"/>
  <c r="P185" i="2" l="1" a="1"/>
  <c r="O185" i="2" a="1"/>
  <c r="P184" i="2" a="1"/>
  <c r="O184" i="2" a="1"/>
  <c r="W185" i="2" l="1"/>
  <c r="W184" i="2"/>
  <c r="Q185" i="2"/>
  <c r="Q184" i="2"/>
  <c r="AA185" i="2" l="1"/>
  <c r="AB185" i="2" s="1"/>
  <c r="AA184" i="2"/>
  <c r="AB184" i="2" s="1"/>
  <c r="O191" i="2" a="1"/>
  <c r="O190" i="2" a="1"/>
  <c r="P190" i="2" a="1"/>
  <c r="P191" i="2" a="1"/>
  <c r="P189" i="2" l="1" a="1"/>
  <c r="P186" i="2" a="1"/>
  <c r="O186" i="2" a="1"/>
  <c r="P187" i="2" a="1"/>
  <c r="O189" i="2" a="1"/>
  <c r="W189" i="2" s="1"/>
  <c r="O187" i="2" a="1"/>
  <c r="O188" i="2" a="1"/>
  <c r="P188" i="2" a="1"/>
  <c r="O192" i="2" a="1"/>
  <c r="O193" i="2" a="1"/>
  <c r="P192" i="2" a="1"/>
  <c r="P193" i="2" a="1"/>
  <c r="W190" i="2"/>
  <c r="Q191" i="2"/>
  <c r="Q190" i="2"/>
  <c r="W191" i="2"/>
  <c r="Q188" i="2" l="1"/>
  <c r="W187" i="2"/>
  <c r="Q192" i="2"/>
  <c r="Q193" i="2"/>
  <c r="W186" i="2"/>
  <c r="Q186" i="2"/>
  <c r="AA186" i="2" s="1"/>
  <c r="AB186" i="2" s="1"/>
  <c r="Q187" i="2"/>
  <c r="W188" i="2"/>
  <c r="AA188" i="2" s="1"/>
  <c r="AB188" i="2" s="1"/>
  <c r="W192" i="2"/>
  <c r="W193" i="2"/>
  <c r="Q189" i="2"/>
  <c r="AA189" i="2" s="1"/>
  <c r="AB189" i="2" s="1"/>
  <c r="AA190" i="2"/>
  <c r="AB190" i="2" s="1"/>
  <c r="AA191" i="2"/>
  <c r="AB191" i="2" s="1"/>
  <c r="O195" i="2" a="1"/>
  <c r="P195" i="2" a="1"/>
  <c r="P194" i="2" a="1"/>
  <c r="O194" i="2" a="1"/>
  <c r="AA192" i="2" l="1"/>
  <c r="AB192" i="2" s="1"/>
  <c r="AA187" i="2"/>
  <c r="AB187" i="2" s="1"/>
  <c r="AA193" i="2"/>
  <c r="AB193" i="2" s="1"/>
  <c r="Q195" i="2"/>
  <c r="Q194" i="2"/>
  <c r="W195" i="2"/>
  <c r="W194" i="2"/>
  <c r="AA195" i="2" l="1"/>
  <c r="AB195" i="2" s="1"/>
  <c r="AA194" i="2"/>
  <c r="AB194" i="2" s="1"/>
  <c r="P197" i="2" l="1" a="1"/>
  <c r="O196" i="2" a="1"/>
  <c r="O197" i="2" a="1"/>
  <c r="P196" i="2" a="1"/>
  <c r="P198" i="2" a="1"/>
  <c r="O198" i="2" a="1"/>
  <c r="P199" i="2" a="1"/>
  <c r="O199" i="2" a="1"/>
  <c r="W196" i="2" l="1"/>
  <c r="Q198" i="2"/>
  <c r="W199" i="2"/>
  <c r="W197" i="2"/>
  <c r="Q197" i="2"/>
  <c r="Q196" i="2"/>
  <c r="W198" i="2"/>
  <c r="Q199" i="2"/>
  <c r="AA196" i="2" l="1"/>
  <c r="AB196" i="2" s="1"/>
  <c r="AA197" i="2"/>
  <c r="AB197" i="2" s="1"/>
  <c r="AA198" i="2"/>
  <c r="AB198" i="2" s="1"/>
  <c r="AA199" i="2"/>
  <c r="AB199" i="2" s="1"/>
  <c r="P201" i="2" l="1" a="1"/>
  <c r="P200" i="2" a="1"/>
  <c r="O201" i="2" a="1"/>
  <c r="O200" i="2" a="1"/>
  <c r="Q201" i="2" l="1"/>
  <c r="W200" i="2"/>
  <c r="W201" i="2"/>
  <c r="Q200" i="2"/>
  <c r="AA201" i="2" l="1"/>
  <c r="AB201" i="2" s="1"/>
  <c r="AA200" i="2"/>
  <c r="AB200" i="2" s="1"/>
  <c r="P202" i="2" a="1"/>
  <c r="P203" i="2" a="1"/>
  <c r="O203" i="2" a="1"/>
  <c r="O202" i="2" a="1"/>
  <c r="W203" i="2" l="1"/>
  <c r="Q202" i="2"/>
  <c r="Q203" i="2"/>
  <c r="W202" i="2"/>
  <c r="AA203" i="2" l="1"/>
  <c r="AB203" i="2" s="1"/>
  <c r="AA202" i="2"/>
  <c r="AB202" i="2" s="1"/>
  <c r="P209" i="2" l="1" a="1"/>
  <c r="O208" i="2" a="1"/>
  <c r="P208" i="2" a="1"/>
  <c r="O209" i="2" a="1"/>
  <c r="P204" i="2" a="1"/>
  <c r="P207" i="2" a="1"/>
  <c r="P205" i="2" a="1"/>
  <c r="O204" i="2" a="1"/>
  <c r="O205" i="2" a="1"/>
  <c r="O207" i="2" a="1"/>
  <c r="O206" i="2" a="1"/>
  <c r="P206" i="2" a="1"/>
  <c r="W204" i="2" l="1"/>
  <c r="Q206" i="2"/>
  <c r="Q208" i="2"/>
  <c r="W209" i="2"/>
  <c r="W205" i="2"/>
  <c r="W207" i="2"/>
  <c r="Q209" i="2"/>
  <c r="Q204" i="2"/>
  <c r="Q207" i="2"/>
  <c r="Q205" i="2"/>
  <c r="W206" i="2"/>
  <c r="W208" i="2"/>
  <c r="AA204" i="2" l="1"/>
  <c r="AB204" i="2" s="1"/>
  <c r="AA206" i="2"/>
  <c r="AB206" i="2" s="1"/>
  <c r="AA207" i="2"/>
  <c r="AB207" i="2" s="1"/>
  <c r="AA209" i="2"/>
  <c r="AB209" i="2" s="1"/>
  <c r="AA205" i="2"/>
  <c r="AB205" i="2" s="1"/>
  <c r="AA208" i="2"/>
  <c r="AB208" i="2" s="1"/>
  <c r="P211" i="2" a="1"/>
  <c r="O210" i="2" a="1"/>
  <c r="P210" i="2" a="1"/>
  <c r="O211" i="2" a="1"/>
  <c r="W210" i="2" l="1"/>
  <c r="W211" i="2"/>
  <c r="O213" i="2" a="1"/>
  <c r="P213" i="2" a="1"/>
  <c r="P212" i="2" a="1"/>
  <c r="O212" i="2" a="1"/>
  <c r="W212" i="2" s="1"/>
  <c r="Q211" i="2"/>
  <c r="Q210" i="2"/>
  <c r="AA210" i="2" l="1"/>
  <c r="AB210" i="2" s="1"/>
  <c r="W213" i="2"/>
  <c r="AA211" i="2"/>
  <c r="AB211" i="2" s="1"/>
  <c r="Q212" i="2"/>
  <c r="AA212" i="2" s="1"/>
  <c r="AB212" i="2" s="1"/>
  <c r="Q213" i="2"/>
  <c r="P214" i="2" a="1"/>
  <c r="P215" i="2" a="1"/>
  <c r="O215" i="2" a="1"/>
  <c r="O214" i="2" a="1"/>
  <c r="P218" i="2" a="1"/>
  <c r="P217" i="2" a="1"/>
  <c r="O217" i="2" a="1"/>
  <c r="P216" i="2" a="1"/>
  <c r="O216" i="2" a="1"/>
  <c r="O219" i="2" a="1"/>
  <c r="AA213" i="2" l="1"/>
  <c r="AB213" i="2" s="1"/>
  <c r="W215" i="2"/>
  <c r="Q214" i="2"/>
  <c r="W216" i="2"/>
  <c r="W217" i="2"/>
  <c r="Q217" i="2"/>
  <c r="AA217" i="2" s="1"/>
  <c r="AB217" i="2" s="1"/>
  <c r="Q216" i="2"/>
  <c r="W214" i="2"/>
  <c r="Q215" i="2"/>
  <c r="O221" i="2" a="1"/>
  <c r="P221" i="2" a="1"/>
  <c r="O220" i="2" a="1"/>
  <c r="P220" i="2" a="1"/>
  <c r="O218" i="2" l="1" a="1"/>
  <c r="P219" i="2" a="1"/>
  <c r="AA216" i="2"/>
  <c r="AB216" i="2" s="1"/>
  <c r="AA214" i="2"/>
  <c r="AB214" i="2" s="1"/>
  <c r="AA215" i="2"/>
  <c r="AB215" i="2" s="1"/>
  <c r="W221" i="2"/>
  <c r="W220" i="2"/>
  <c r="Q220" i="2"/>
  <c r="Q221" i="2"/>
  <c r="P223" i="2" a="1"/>
  <c r="O223" i="2" a="1"/>
  <c r="O222" i="2" a="1"/>
  <c r="P222" i="2" a="1"/>
  <c r="P225" i="2" a="1"/>
  <c r="O224" i="2" a="1"/>
  <c r="P224" i="2" a="1"/>
  <c r="O225" i="2" a="1"/>
  <c r="Q218" i="2" l="1"/>
  <c r="W218" i="2"/>
  <c r="AA218" i="2" s="1"/>
  <c r="AB218" i="2" s="1"/>
  <c r="W219" i="2"/>
  <c r="Q219" i="2"/>
  <c r="AA221" i="2"/>
  <c r="AB221" i="2" s="1"/>
  <c r="AA220" i="2"/>
  <c r="AB220" i="2" s="1"/>
  <c r="W223" i="2"/>
  <c r="Q222" i="2"/>
  <c r="Q223" i="2"/>
  <c r="W222" i="2"/>
  <c r="Q224" i="2"/>
  <c r="W224" i="2"/>
  <c r="W225" i="2"/>
  <c r="Q225" i="2"/>
  <c r="AA219" i="2" l="1"/>
  <c r="AB219" i="2" s="1"/>
  <c r="AA223" i="2"/>
  <c r="AB223" i="2" s="1"/>
  <c r="AA222" i="2"/>
  <c r="AB222" i="2" s="1"/>
  <c r="AA224" i="2"/>
  <c r="AB224" i="2" s="1"/>
  <c r="AA225" i="2"/>
  <c r="AB225" i="2" s="1"/>
  <c r="O226" i="2" l="1" a="1"/>
  <c r="P227" i="2" a="1"/>
  <c r="O227" i="2" a="1"/>
  <c r="P226" i="2" a="1"/>
  <c r="Q227" i="2" l="1"/>
  <c r="Q226" i="2"/>
  <c r="W226" i="2"/>
  <c r="W227" i="2"/>
  <c r="AA226" i="2" l="1"/>
  <c r="AB226" i="2" s="1"/>
  <c r="AA227" i="2"/>
  <c r="AB227" i="2" s="1"/>
  <c r="O229" i="2" l="1" a="1"/>
  <c r="O228" i="2" a="1"/>
  <c r="P228" i="2" a="1"/>
  <c r="P229" i="2" a="1"/>
  <c r="Q229" i="2" l="1"/>
  <c r="W228" i="2"/>
  <c r="Q228" i="2"/>
  <c r="W229" i="2"/>
  <c r="AA228" i="2" l="1"/>
  <c r="AB228" i="2" s="1"/>
  <c r="AA229" i="2"/>
  <c r="AB229" i="2" s="1"/>
  <c r="O231" i="2" a="1"/>
  <c r="O230" i="2" a="1"/>
  <c r="P231" i="2" a="1"/>
  <c r="P230" i="2" a="1"/>
  <c r="Q231" i="2" l="1"/>
  <c r="Q230" i="2"/>
  <c r="W231" i="2"/>
  <c r="W230" i="2"/>
  <c r="AA231" i="2" l="1"/>
  <c r="AB231" i="2" s="1"/>
  <c r="AA230" i="2"/>
  <c r="AB230" i="2" s="1"/>
  <c r="O235" i="2" l="1" a="1"/>
  <c r="P232" i="2" a="1"/>
  <c r="Q232" i="2" s="1"/>
  <c r="P234" i="2" a="1"/>
  <c r="O233" i="2" a="1"/>
  <c r="O232" i="2" a="1"/>
  <c r="P233" i="2" a="1"/>
  <c r="O234" i="2" a="1"/>
  <c r="P235" i="2" a="1"/>
  <c r="O237" i="2" a="1"/>
  <c r="P236" i="2" a="1"/>
  <c r="P237" i="2" a="1"/>
  <c r="O236" i="2" a="1"/>
  <c r="W234" i="2" l="1"/>
  <c r="W233" i="2"/>
  <c r="Q235" i="2"/>
  <c r="W237" i="2"/>
  <c r="Q236" i="2"/>
  <c r="W235" i="2"/>
  <c r="AA235" i="2" s="1"/>
  <c r="AB235" i="2" s="1"/>
  <c r="Q234" i="2"/>
  <c r="AA234" i="2" s="1"/>
  <c r="AB234" i="2" s="1"/>
  <c r="W232" i="2"/>
  <c r="AA232" i="2" s="1"/>
  <c r="AB232" i="2" s="1"/>
  <c r="Q233" i="2"/>
  <c r="AA233" i="2" s="1"/>
  <c r="AB233" i="2" s="1"/>
  <c r="Q237" i="2"/>
  <c r="W236" i="2"/>
  <c r="P240" i="2" a="1"/>
  <c r="O240" i="2" a="1"/>
  <c r="O241" i="2" a="1"/>
  <c r="P241" i="2" a="1"/>
  <c r="O238" i="2" a="1"/>
  <c r="O239" i="2" a="1"/>
  <c r="P239" i="2" a="1"/>
  <c r="P238" i="2" a="1"/>
  <c r="AA237" i="2" l="1"/>
  <c r="AB237" i="2" s="1"/>
  <c r="Q240" i="2"/>
  <c r="W240" i="2"/>
  <c r="AA240" i="2" s="1"/>
  <c r="AB240" i="2" s="1"/>
  <c r="AA236" i="2"/>
  <c r="AB236" i="2" s="1"/>
  <c r="Q241" i="2"/>
  <c r="W241" i="2"/>
  <c r="AA241" i="2" s="1"/>
  <c r="AB241" i="2" s="1"/>
  <c r="W238" i="2"/>
  <c r="W239" i="2"/>
  <c r="Q239" i="2"/>
  <c r="Q238" i="2"/>
  <c r="AA238" i="2" l="1"/>
  <c r="AB238" i="2" s="1"/>
  <c r="P242" i="2" a="1"/>
  <c r="P244" i="2" a="1"/>
  <c r="O244" i="2" a="1"/>
  <c r="P243" i="2" a="1"/>
  <c r="O243" i="2" a="1"/>
  <c r="P245" i="2" a="1"/>
  <c r="O242" i="2" a="1"/>
  <c r="O245" i="2" a="1"/>
  <c r="AA239" i="2"/>
  <c r="AB239" i="2" s="1"/>
  <c r="Q245" i="2" l="1"/>
  <c r="W242" i="2"/>
  <c r="W243" i="2"/>
  <c r="Q244" i="2"/>
  <c r="Q242" i="2"/>
  <c r="W244" i="2"/>
  <c r="Q243" i="2"/>
  <c r="W245" i="2"/>
  <c r="O246" i="2" a="1"/>
  <c r="P247" i="2" a="1"/>
  <c r="O249" i="2" a="1"/>
  <c r="P248" i="2" a="1"/>
  <c r="AA242" i="2" l="1"/>
  <c r="AB242" i="2" s="1"/>
  <c r="AA243" i="2"/>
  <c r="AB243" i="2" s="1"/>
  <c r="AA245" i="2"/>
  <c r="AB245" i="2" s="1"/>
  <c r="AA244" i="2"/>
  <c r="AB244" i="2" s="1"/>
  <c r="O247" i="2" l="1" a="1"/>
  <c r="P246" i="2" a="1"/>
  <c r="O248" i="2" a="1"/>
  <c r="P249" i="2" a="1"/>
  <c r="O250" i="2" a="1"/>
  <c r="P253" i="2" a="1"/>
  <c r="P251" i="2" a="1"/>
  <c r="O254" i="2" a="1"/>
  <c r="P250" i="2" a="1"/>
  <c r="O253" i="2" a="1"/>
  <c r="P252" i="2" a="1"/>
  <c r="O251" i="2" a="1"/>
  <c r="W251" i="2" s="1"/>
  <c r="O252" i="2" a="1"/>
  <c r="P255" i="2" a="1"/>
  <c r="W247" i="2" l="1"/>
  <c r="AA247" i="2" s="1"/>
  <c r="AB247" i="2" s="1"/>
  <c r="Q247" i="2"/>
  <c r="Q246" i="2"/>
  <c r="W246" i="2"/>
  <c r="AA246" i="2" s="1"/>
  <c r="AB246" i="2" s="1"/>
  <c r="W248" i="2"/>
  <c r="Q248" i="2"/>
  <c r="W249" i="2"/>
  <c r="Q249" i="2"/>
  <c r="W253" i="2"/>
  <c r="W250" i="2"/>
  <c r="W252" i="2"/>
  <c r="P254" i="2" a="1"/>
  <c r="O255" i="2" a="1"/>
  <c r="Q251" i="2"/>
  <c r="AA251" i="2" s="1"/>
  <c r="AB251" i="2" s="1"/>
  <c r="Q250" i="2"/>
  <c r="Q252" i="2"/>
  <c r="Q253" i="2"/>
  <c r="AA248" i="2" l="1"/>
  <c r="AB248" i="2" s="1"/>
  <c r="AA249" i="2"/>
  <c r="AB249" i="2" s="1"/>
  <c r="AA253" i="2"/>
  <c r="AB253" i="2" s="1"/>
  <c r="AA250" i="2"/>
  <c r="AB250" i="2" s="1"/>
  <c r="AA252" i="2"/>
  <c r="AB252" i="2" s="1"/>
  <c r="W254" i="2"/>
  <c r="Q254" i="2"/>
  <c r="AA254" i="2" s="1"/>
  <c r="AB254" i="2" s="1"/>
  <c r="W255" i="2"/>
  <c r="Q255" i="2"/>
  <c r="AA255" i="2" l="1"/>
  <c r="AB255" i="2" s="1"/>
  <c r="P256" i="2" l="1" a="1"/>
  <c r="P257" i="2" a="1"/>
  <c r="Q257" i="2" s="1"/>
  <c r="O257" i="2" a="1"/>
  <c r="O256" i="2" a="1"/>
  <c r="W256" i="2" l="1"/>
  <c r="Q256" i="2"/>
  <c r="W257" i="2"/>
  <c r="AA257" i="2" s="1"/>
  <c r="AB257" i="2" s="1"/>
  <c r="AA256" i="2" l="1"/>
  <c r="AB256" i="2" s="1"/>
  <c r="P263" i="2" a="1"/>
  <c r="O262" i="2" a="1"/>
  <c r="P262" i="2" a="1"/>
  <c r="P260" i="2" a="1"/>
  <c r="O260" i="2" a="1"/>
  <c r="P261" i="2" a="1"/>
  <c r="P259" i="2" a="1"/>
  <c r="O263" i="2" a="1"/>
  <c r="O258" i="2" a="1"/>
  <c r="W258" i="2" s="1"/>
  <c r="O259" i="2" a="1"/>
  <c r="P258" i="2" a="1"/>
  <c r="O261" i="2" a="1"/>
  <c r="Q259" i="2" l="1"/>
  <c r="Q262" i="2"/>
  <c r="Q260" i="2"/>
  <c r="W263" i="2"/>
  <c r="W261" i="2"/>
  <c r="Q263" i="2"/>
  <c r="AA263" i="2" s="1"/>
  <c r="AB263" i="2" s="1"/>
  <c r="W262" i="2"/>
  <c r="W260" i="2"/>
  <c r="Q261" i="2"/>
  <c r="W259" i="2"/>
  <c r="Q258" i="2"/>
  <c r="AA258" i="2" s="1"/>
  <c r="AB258" i="2" s="1"/>
  <c r="P267" i="2" a="1"/>
  <c r="P266" i="2" a="1"/>
  <c r="O268" i="2" a="1"/>
  <c r="O265" i="2" a="1"/>
  <c r="O264" i="2" a="1"/>
  <c r="O266" i="2" a="1"/>
  <c r="O267" i="2" a="1"/>
  <c r="P265" i="2" a="1"/>
  <c r="P264" i="2" a="1"/>
  <c r="O269" i="2" a="1"/>
  <c r="P269" i="2" a="1"/>
  <c r="P268" i="2" a="1"/>
  <c r="AA259" i="2" l="1"/>
  <c r="AB259" i="2" s="1"/>
  <c r="AA262" i="2"/>
  <c r="AB262" i="2" s="1"/>
  <c r="AA260" i="2"/>
  <c r="AB260" i="2" s="1"/>
  <c r="AA261" i="2"/>
  <c r="AB261" i="2" s="1"/>
  <c r="W269" i="2"/>
  <c r="W266" i="2"/>
  <c r="Q267" i="2"/>
  <c r="W268" i="2"/>
  <c r="Q265" i="2"/>
  <c r="Q264" i="2"/>
  <c r="Q266" i="2"/>
  <c r="W265" i="2"/>
  <c r="W264" i="2"/>
  <c r="W267" i="2"/>
  <c r="Q269" i="2"/>
  <c r="AA269" i="2" s="1"/>
  <c r="AB269" i="2" s="1"/>
  <c r="Q268" i="2"/>
  <c r="O270" i="2" l="1" a="1"/>
  <c r="P271" i="2" a="1"/>
  <c r="P270" i="2" a="1"/>
  <c r="Q270" i="2" s="1"/>
  <c r="O271" i="2" a="1"/>
  <c r="W271" i="2" s="1"/>
  <c r="AA266" i="2"/>
  <c r="AB266" i="2" s="1"/>
  <c r="AA265" i="2"/>
  <c r="AB265" i="2" s="1"/>
  <c r="AA264" i="2"/>
  <c r="AB264" i="2" s="1"/>
  <c r="AA267" i="2"/>
  <c r="AB267" i="2" s="1"/>
  <c r="AA268" i="2"/>
  <c r="AB268" i="2" s="1"/>
  <c r="O273" i="2" a="1"/>
  <c r="P272" i="2" a="1"/>
  <c r="P273" i="2" a="1"/>
  <c r="O272" i="2" a="1"/>
  <c r="W270" i="2" l="1"/>
  <c r="AA270" i="2" s="1"/>
  <c r="AB270" i="2" s="1"/>
  <c r="Q271" i="2"/>
  <c r="AA271" i="2" s="1"/>
  <c r="AB271" i="2" s="1"/>
  <c r="Q272" i="2"/>
  <c r="Q273" i="2"/>
  <c r="W273" i="2"/>
  <c r="W272" i="2"/>
  <c r="AA273" i="2" l="1"/>
  <c r="AB273" i="2" s="1"/>
  <c r="AA272" i="2"/>
  <c r="AB272" i="2" s="1"/>
  <c r="O275" i="2" l="1" a="1"/>
  <c r="P274" i="2" a="1"/>
  <c r="P275" i="2" a="1"/>
  <c r="O274" i="2" a="1"/>
  <c r="Q275" i="2" l="1"/>
  <c r="W274" i="2"/>
  <c r="Q274" i="2"/>
  <c r="W275" i="2"/>
  <c r="O281" i="2" a="1"/>
  <c r="P280" i="2" a="1"/>
  <c r="P281" i="2" a="1"/>
  <c r="O280" i="2" a="1"/>
  <c r="AA274" i="2" l="1"/>
  <c r="AB274" i="2" s="1"/>
  <c r="AA275" i="2"/>
  <c r="AB275" i="2" s="1"/>
  <c r="O278" i="2" a="1"/>
  <c r="O276" i="2" a="1"/>
  <c r="P277" i="2" a="1"/>
  <c r="P278" i="2" a="1"/>
  <c r="Q278" i="2" s="1"/>
  <c r="O277" i="2" a="1"/>
  <c r="P276" i="2" a="1"/>
  <c r="O279" i="2" a="1"/>
  <c r="P279" i="2" a="1"/>
  <c r="Q279" i="2" s="1"/>
  <c r="Q280" i="2"/>
  <c r="Q281" i="2"/>
  <c r="W280" i="2"/>
  <c r="W281" i="2"/>
  <c r="Q276" i="2" l="1"/>
  <c r="W278" i="2"/>
  <c r="AA278" i="2" s="1"/>
  <c r="AB278" i="2" s="1"/>
  <c r="Q277" i="2"/>
  <c r="W276" i="2"/>
  <c r="W279" i="2"/>
  <c r="AA279" i="2" s="1"/>
  <c r="AB279" i="2" s="1"/>
  <c r="W277" i="2"/>
  <c r="AA280" i="2"/>
  <c r="AB280" i="2" s="1"/>
  <c r="AA281" i="2"/>
  <c r="AB281" i="2" s="1"/>
  <c r="P287" i="2" a="1"/>
  <c r="P286" i="2" a="1"/>
  <c r="O287" i="2" a="1"/>
  <c r="O286" i="2" a="1"/>
  <c r="O284" i="2" a="1"/>
  <c r="P285" i="2" a="1"/>
  <c r="O285" i="2" a="1"/>
  <c r="P284" i="2" a="1"/>
  <c r="AA276" i="2" l="1"/>
  <c r="AB276" i="2" s="1"/>
  <c r="AA277" i="2"/>
  <c r="AB277" i="2" s="1"/>
  <c r="P283" i="2" a="1"/>
  <c r="O282" i="2" a="1"/>
  <c r="O283" i="2" a="1"/>
  <c r="P282" i="2" a="1"/>
  <c r="W285" i="2"/>
  <c r="Q287" i="2"/>
  <c r="W286" i="2"/>
  <c r="W284" i="2"/>
  <c r="Q285" i="2"/>
  <c r="Q284" i="2"/>
  <c r="W287" i="2"/>
  <c r="Q286" i="2"/>
  <c r="W282" i="2" l="1"/>
  <c r="Q283" i="2"/>
  <c r="W283" i="2"/>
  <c r="Q282" i="2"/>
  <c r="AA285" i="2"/>
  <c r="AB285" i="2" s="1"/>
  <c r="AA287" i="2"/>
  <c r="AB287" i="2" s="1"/>
  <c r="AA284" i="2"/>
  <c r="AB284" i="2" s="1"/>
  <c r="AA286" i="2"/>
  <c r="AB286" i="2" s="1"/>
  <c r="O290" i="2" a="1"/>
  <c r="P291" i="2" a="1"/>
  <c r="O291" i="2" a="1"/>
  <c r="P290" i="2" a="1"/>
  <c r="AA283" i="2" l="1"/>
  <c r="AB283" i="2" s="1"/>
  <c r="AA282" i="2"/>
  <c r="AB282" i="2" s="1"/>
  <c r="P288" i="2" a="1"/>
  <c r="O289" i="2" a="1"/>
  <c r="P289" i="2" a="1"/>
  <c r="O288" i="2" a="1"/>
  <c r="O292" i="2" a="1"/>
  <c r="P293" i="2" a="1"/>
  <c r="Q293" i="2" s="1"/>
  <c r="O293" i="2" a="1"/>
  <c r="P292" i="2" a="1"/>
  <c r="Q291" i="2"/>
  <c r="Q290" i="2"/>
  <c r="W291" i="2"/>
  <c r="W290" i="2"/>
  <c r="W289" i="2" l="1"/>
  <c r="Q292" i="2"/>
  <c r="Q288" i="2"/>
  <c r="Q289" i="2"/>
  <c r="W288" i="2"/>
  <c r="W292" i="2"/>
  <c r="W293" i="2"/>
  <c r="AA293" i="2" s="1"/>
  <c r="AB293" i="2" s="1"/>
  <c r="AA291" i="2"/>
  <c r="AB291" i="2" s="1"/>
  <c r="AA290" i="2"/>
  <c r="AB290" i="2" s="1"/>
  <c r="O294" i="2" a="1"/>
  <c r="P295" i="2" a="1"/>
  <c r="AA289" i="2" l="1"/>
  <c r="AB289" i="2" s="1"/>
  <c r="AA292" i="2"/>
  <c r="AB292" i="2" s="1"/>
  <c r="AA288" i="2"/>
  <c r="AB288" i="2" s="1"/>
  <c r="O297" i="2" a="1"/>
  <c r="P296" i="2" a="1"/>
  <c r="O296" i="2" a="1"/>
  <c r="W296" i="2" s="1"/>
  <c r="P297" i="2" a="1"/>
  <c r="P300" i="2" a="1"/>
  <c r="P301" i="2" a="1"/>
  <c r="O300" i="2" a="1"/>
  <c r="O301" i="2" a="1"/>
  <c r="O295" i="2" l="1" a="1"/>
  <c r="P294" i="2" a="1"/>
  <c r="W297" i="2"/>
  <c r="Q296" i="2"/>
  <c r="AA296" i="2" s="1"/>
  <c r="AB296" i="2" s="1"/>
  <c r="Q297" i="2"/>
  <c r="O299" i="2" a="1"/>
  <c r="P298" i="2" a="1"/>
  <c r="P299" i="2" a="1"/>
  <c r="O298" i="2" a="1"/>
  <c r="Q301" i="2"/>
  <c r="Q300" i="2"/>
  <c r="W300" i="2"/>
  <c r="W301" i="2"/>
  <c r="AA297" i="2" l="1"/>
  <c r="AB297" i="2" s="1"/>
  <c r="W295" i="2"/>
  <c r="Q295" i="2"/>
  <c r="Q294" i="2"/>
  <c r="W294" i="2"/>
  <c r="W298" i="2"/>
  <c r="Q299" i="2"/>
  <c r="Q298" i="2"/>
  <c r="W299" i="2"/>
  <c r="AA301" i="2"/>
  <c r="AB301" i="2" s="1"/>
  <c r="AA300" i="2"/>
  <c r="AB300" i="2" s="1"/>
  <c r="AA295" i="2" l="1"/>
  <c r="AB295" i="2" s="1"/>
  <c r="AA294" i="2"/>
  <c r="AB294" i="2" s="1"/>
  <c r="AA298" i="2"/>
  <c r="AB298" i="2" s="1"/>
  <c r="AA299" i="2"/>
  <c r="AB299" i="2" s="1"/>
  <c r="P303" i="2" a="1"/>
  <c r="P302" i="2" a="1"/>
  <c r="O302" i="2" a="1"/>
  <c r="O303" i="2" a="1"/>
  <c r="W302" i="2" l="1"/>
  <c r="W303" i="2"/>
  <c r="Q302" i="2"/>
  <c r="Q303" i="2"/>
  <c r="AA302" i="2" l="1"/>
  <c r="AB302" i="2" s="1"/>
  <c r="AA303" i="2"/>
  <c r="AB303" i="2" s="1"/>
  <c r="O305" i="2" l="1" a="1"/>
  <c r="O304" i="2" a="1"/>
  <c r="P304" i="2" a="1"/>
  <c r="Q304" i="2" s="1"/>
  <c r="P305" i="2" a="1"/>
  <c r="W305" i="2" l="1"/>
  <c r="W304" i="2"/>
  <c r="AA304" i="2"/>
  <c r="AB304" i="2" s="1"/>
  <c r="Q305" i="2"/>
  <c r="AA305" i="2" s="1"/>
  <c r="AB305" i="2" s="1"/>
  <c r="O307" i="2" l="1" a="1"/>
  <c r="P306" i="2" a="1"/>
  <c r="P307" i="2" a="1"/>
  <c r="O306" i="2" a="1"/>
  <c r="W307" i="2" l="1"/>
  <c r="W306" i="2"/>
  <c r="Q306" i="2"/>
  <c r="AA306" i="2" s="1"/>
  <c r="AB306" i="2" s="1"/>
  <c r="Q307" i="2"/>
  <c r="AA307" i="2" l="1"/>
  <c r="AB307" i="2" s="1"/>
  <c r="P311" i="2" a="1"/>
  <c r="O310" i="2" a="1"/>
  <c r="O311" i="2" a="1"/>
  <c r="O309" i="2" a="1"/>
  <c r="O308" i="2" a="1"/>
  <c r="P308" i="2" a="1"/>
  <c r="P310" i="2" a="1"/>
  <c r="P309" i="2" a="1"/>
  <c r="P313" i="2" a="1"/>
  <c r="O312" i="2" a="1"/>
  <c r="O313" i="2" a="1"/>
  <c r="P312" i="2" a="1"/>
  <c r="W310" i="2" l="1"/>
  <c r="Q309" i="2"/>
  <c r="W311" i="2"/>
  <c r="Q308" i="2"/>
  <c r="W313" i="2"/>
  <c r="Q312" i="2"/>
  <c r="Q311" i="2"/>
  <c r="W309" i="2"/>
  <c r="W312" i="2"/>
  <c r="W308" i="2"/>
  <c r="Q310" i="2"/>
  <c r="Q313" i="2"/>
  <c r="O314" i="2" a="1"/>
  <c r="O315" i="2" a="1"/>
  <c r="P314" i="2" a="1"/>
  <c r="P315" i="2" a="1"/>
  <c r="AA311" i="2" l="1"/>
  <c r="AB311" i="2" s="1"/>
  <c r="AA309" i="2"/>
  <c r="AB309" i="2" s="1"/>
  <c r="AA308" i="2"/>
  <c r="AB308" i="2" s="1"/>
  <c r="AA310" i="2"/>
  <c r="AB310" i="2" s="1"/>
  <c r="W314" i="2"/>
  <c r="AA313" i="2"/>
  <c r="AB313" i="2" s="1"/>
  <c r="Q315" i="2"/>
  <c r="AA312" i="2"/>
  <c r="AB312" i="2" s="1"/>
  <c r="W315" i="2"/>
  <c r="Q314" i="2"/>
  <c r="AA314" i="2" l="1"/>
  <c r="AB314" i="2" s="1"/>
  <c r="AA315" i="2"/>
  <c r="AB315" i="2" s="1"/>
  <c r="P317" i="2" a="1"/>
  <c r="O317" i="2" a="1"/>
  <c r="W317" i="2" s="1"/>
  <c r="P316" i="2" a="1"/>
  <c r="O323" i="2" a="1"/>
  <c r="P319" i="2" a="1"/>
  <c r="O319" i="2" a="1"/>
  <c r="O318" i="2" a="1"/>
  <c r="W318" i="2" s="1"/>
  <c r="P320" i="2" a="1"/>
  <c r="P323" i="2" a="1"/>
  <c r="Q323" i="2" s="1"/>
  <c r="O322" i="2" a="1"/>
  <c r="O316" i="2" a="1"/>
  <c r="W316" i="2" s="1"/>
  <c r="O320" i="2" a="1"/>
  <c r="P321" i="2" a="1"/>
  <c r="P318" i="2" a="1"/>
  <c r="P322" i="2" a="1"/>
  <c r="O321" i="2" a="1"/>
  <c r="W319" i="2" l="1"/>
  <c r="Q320" i="2"/>
  <c r="Q316" i="2"/>
  <c r="AA316" i="2" s="1"/>
  <c r="AB316" i="2" s="1"/>
  <c r="W322" i="2"/>
  <c r="Q321" i="2"/>
  <c r="Q317" i="2"/>
  <c r="AA317" i="2" s="1"/>
  <c r="AB317" i="2" s="1"/>
  <c r="W323" i="2"/>
  <c r="AA323" i="2" s="1"/>
  <c r="AB323" i="2" s="1"/>
  <c r="Q319" i="2"/>
  <c r="W320" i="2"/>
  <c r="Q318" i="2"/>
  <c r="AA318" i="2" s="1"/>
  <c r="AB318" i="2" s="1"/>
  <c r="Q322" i="2"/>
  <c r="W321" i="2"/>
  <c r="AA319" i="2" l="1"/>
  <c r="AB319" i="2" s="1"/>
  <c r="AA320" i="2"/>
  <c r="AB320" i="2" s="1"/>
  <c r="AA321" i="2"/>
  <c r="AB321" i="2" s="1"/>
  <c r="AA322" i="2"/>
  <c r="AB322" i="2" s="1"/>
  <c r="P324" i="2" a="1"/>
  <c r="P325" i="2" a="1"/>
  <c r="O324" i="2" a="1"/>
  <c r="O325" i="2" a="1"/>
  <c r="P329" i="2" a="1"/>
  <c r="P328" i="2" a="1"/>
  <c r="O329" i="2" a="1"/>
  <c r="O328" i="2" a="1"/>
  <c r="Q325" i="2" l="1"/>
  <c r="W324" i="2"/>
  <c r="Q324" i="2"/>
  <c r="W325" i="2"/>
  <c r="P326" i="2" a="1"/>
  <c r="P327" i="2" a="1"/>
  <c r="O327" i="2" a="1"/>
  <c r="O326" i="2" a="1"/>
  <c r="W328" i="2"/>
  <c r="W329" i="2"/>
  <c r="Q328" i="2"/>
  <c r="Q329" i="2"/>
  <c r="AA324" i="2" l="1"/>
  <c r="AB324" i="2" s="1"/>
  <c r="AA325" i="2"/>
  <c r="AB325" i="2" s="1"/>
  <c r="Q327" i="2"/>
  <c r="W326" i="2"/>
  <c r="Q326" i="2"/>
  <c r="W327" i="2"/>
  <c r="AA328" i="2"/>
  <c r="AB328" i="2" s="1"/>
  <c r="AA329" i="2"/>
  <c r="AB329" i="2" s="1"/>
  <c r="AA326" i="2" l="1"/>
  <c r="AB326" i="2" s="1"/>
  <c r="AA327" i="2"/>
  <c r="AB327" i="2" s="1"/>
  <c r="O331" i="2" a="1"/>
  <c r="O330" i="2" a="1"/>
  <c r="P330" i="2" a="1"/>
  <c r="P331" i="2" a="1"/>
  <c r="Q331" i="2" s="1"/>
  <c r="Q330" i="2" l="1"/>
  <c r="W330" i="2"/>
  <c r="W331" i="2"/>
  <c r="AA331" i="2" s="1"/>
  <c r="AB331" i="2" s="1"/>
  <c r="P337" i="2" l="1" a="1"/>
  <c r="P336" i="2" a="1"/>
  <c r="O336" i="2" a="1"/>
  <c r="W336" i="2" s="1"/>
  <c r="O337" i="2" a="1"/>
  <c r="P334" i="2" a="1"/>
  <c r="O333" i="2" a="1"/>
  <c r="O335" i="2" a="1"/>
  <c r="P335" i="2" a="1"/>
  <c r="O332" i="2" a="1"/>
  <c r="O334" i="2" a="1"/>
  <c r="P332" i="2" a="1"/>
  <c r="P333" i="2" a="1"/>
  <c r="AA330" i="2"/>
  <c r="AB330" i="2" s="1"/>
  <c r="Q337" i="2" l="1"/>
  <c r="Q332" i="2"/>
  <c r="Q333" i="2"/>
  <c r="Q335" i="2"/>
  <c r="W334" i="2"/>
  <c r="Q336" i="2"/>
  <c r="AA336" i="2" s="1"/>
  <c r="AB336" i="2" s="1"/>
  <c r="W337" i="2"/>
  <c r="W333" i="2"/>
  <c r="Q334" i="2"/>
  <c r="W335" i="2"/>
  <c r="W332" i="2"/>
  <c r="AA332" i="2" s="1"/>
  <c r="AB332" i="2" s="1"/>
  <c r="AA337" i="2" l="1"/>
  <c r="AB337" i="2" s="1"/>
  <c r="AA333" i="2"/>
  <c r="AB333" i="2" s="1"/>
  <c r="AA335" i="2"/>
  <c r="AB335" i="2" s="1"/>
  <c r="AA334" i="2"/>
  <c r="AB334" i="2" s="1"/>
  <c r="O339" i="2" a="1"/>
  <c r="O342" i="2" a="1"/>
  <c r="P341" i="2" a="1"/>
  <c r="P340" i="2" a="1"/>
  <c r="P339" i="2" a="1"/>
  <c r="O341" i="2" a="1"/>
  <c r="O340" i="2" a="1"/>
  <c r="O338" i="2" a="1"/>
  <c r="P343" i="2" a="1"/>
  <c r="P338" i="2" a="1"/>
  <c r="O343" i="2" a="1"/>
  <c r="P342" i="2" a="1"/>
  <c r="O345" i="2" a="1"/>
  <c r="P345" i="2" a="1"/>
  <c r="O344" i="2" a="1"/>
  <c r="P344" i="2" a="1"/>
  <c r="Q343" i="2" l="1"/>
  <c r="Q338" i="2"/>
  <c r="Q341" i="2"/>
  <c r="W340" i="2"/>
  <c r="W339" i="2"/>
  <c r="W342" i="2"/>
  <c r="Q340" i="2"/>
  <c r="Q339" i="2"/>
  <c r="W338" i="2"/>
  <c r="W341" i="2"/>
  <c r="W343" i="2"/>
  <c r="Q342" i="2"/>
  <c r="Q345" i="2"/>
  <c r="W344" i="2"/>
  <c r="Q344" i="2"/>
  <c r="W345" i="2"/>
  <c r="AA340" i="2" l="1"/>
  <c r="AB340" i="2" s="1"/>
  <c r="AA338" i="2"/>
  <c r="AB338" i="2" s="1"/>
  <c r="AA341" i="2"/>
  <c r="AB341" i="2" s="1"/>
  <c r="AA343" i="2"/>
  <c r="AB343" i="2" s="1"/>
  <c r="AA339" i="2"/>
  <c r="AB339" i="2" s="1"/>
  <c r="AA342" i="2"/>
  <c r="AB342" i="2" s="1"/>
  <c r="AA344" i="2"/>
  <c r="AB344" i="2" s="1"/>
  <c r="AA345" i="2"/>
  <c r="AB345" i="2" s="1"/>
  <c r="O347" i="2" a="1"/>
  <c r="O346" i="2" a="1"/>
  <c r="P346" i="2" a="1"/>
  <c r="P347" i="2" a="1"/>
  <c r="Q347" i="2" l="1"/>
  <c r="Q346" i="2"/>
  <c r="W347" i="2"/>
  <c r="W346" i="2"/>
  <c r="AA347" i="2" l="1"/>
  <c r="AB347" i="2" s="1"/>
  <c r="AA346" i="2"/>
  <c r="AB346" i="2" s="1"/>
  <c r="O348" i="2" l="1" a="1"/>
  <c r="O349" i="2" a="1"/>
  <c r="P348" i="2" a="1"/>
  <c r="P349" i="2" a="1"/>
  <c r="W348" i="2" l="1"/>
  <c r="Q349" i="2"/>
  <c r="W349" i="2"/>
  <c r="Q348" i="2"/>
  <c r="AA349" i="2" l="1"/>
  <c r="AB349" i="2" s="1"/>
  <c r="AA348" i="2"/>
  <c r="AB348" i="2" s="1"/>
  <c r="O350" i="2" l="1" a="1"/>
  <c r="O351" i="2" a="1"/>
  <c r="P351" i="2" a="1"/>
  <c r="O352" i="2" a="1"/>
  <c r="P350" i="2" a="1"/>
  <c r="O353" i="2" a="1"/>
  <c r="W353" i="2" s="1"/>
  <c r="P353" i="2" a="1"/>
  <c r="P352" i="2" a="1"/>
  <c r="W351" i="2" l="1"/>
  <c r="W350" i="2"/>
  <c r="W352" i="2"/>
  <c r="Q352" i="2"/>
  <c r="AA352" i="2" s="1"/>
  <c r="AB352" i="2" s="1"/>
  <c r="Q351" i="2"/>
  <c r="Q350" i="2"/>
  <c r="Q353" i="2"/>
  <c r="AA353" i="2" s="1"/>
  <c r="AB353" i="2" s="1"/>
  <c r="AA351" i="2" l="1"/>
  <c r="AB351" i="2" s="1"/>
  <c r="AA350" i="2"/>
  <c r="AB350" i="2" s="1"/>
  <c r="O355" i="2" a="1"/>
  <c r="O354" i="2" a="1"/>
  <c r="P355" i="2" a="1"/>
  <c r="P354" i="2" a="1"/>
  <c r="O357" i="2" a="1"/>
  <c r="O359" i="2" a="1"/>
  <c r="P358" i="2" a="1"/>
  <c r="P359" i="2" a="1"/>
  <c r="O356" i="2" a="1"/>
  <c r="O358" i="2" a="1"/>
  <c r="P357" i="2" a="1"/>
  <c r="P356" i="2" a="1"/>
  <c r="P361" i="2" a="1"/>
  <c r="O360" i="2" a="1"/>
  <c r="O361" i="2" a="1"/>
  <c r="P360" i="2" a="1"/>
  <c r="W355" i="2" l="1"/>
  <c r="Q358" i="2"/>
  <c r="W354" i="2"/>
  <c r="Q355" i="2"/>
  <c r="AA355" i="2" s="1"/>
  <c r="AB355" i="2" s="1"/>
  <c r="Q354" i="2"/>
  <c r="AA354" i="2" s="1"/>
  <c r="AB354" i="2" s="1"/>
  <c r="Q357" i="2"/>
  <c r="Q359" i="2"/>
  <c r="W356" i="2"/>
  <c r="W361" i="2"/>
  <c r="W358" i="2"/>
  <c r="W360" i="2"/>
  <c r="W357" i="2"/>
  <c r="W359" i="2"/>
  <c r="Q356" i="2"/>
  <c r="Q361" i="2"/>
  <c r="Q360" i="2"/>
  <c r="AA358" i="2" l="1"/>
  <c r="AB358" i="2" s="1"/>
  <c r="AA357" i="2"/>
  <c r="AB357" i="2" s="1"/>
  <c r="AA359" i="2"/>
  <c r="AB359" i="2" s="1"/>
  <c r="AA356" i="2"/>
  <c r="AB356" i="2" s="1"/>
  <c r="AA361" i="2"/>
  <c r="AB361" i="2" s="1"/>
  <c r="AA360" i="2"/>
  <c r="AB360" i="2" s="1"/>
  <c r="O365" i="2" l="1" a="1"/>
  <c r="O367" i="2" a="1"/>
  <c r="P364" i="2" a="1"/>
  <c r="P363" i="2" a="1"/>
  <c r="P366" i="2" a="1"/>
  <c r="P362" i="2" a="1"/>
  <c r="P365" i="2" a="1"/>
  <c r="O363" i="2" a="1"/>
  <c r="O364" i="2" a="1"/>
  <c r="O362" i="2" a="1"/>
  <c r="O366" i="2" a="1"/>
  <c r="P367" i="2" a="1"/>
  <c r="Q363" i="2" l="1"/>
  <c r="W364" i="2"/>
  <c r="Q362" i="2"/>
  <c r="Q365" i="2"/>
  <c r="W365" i="2"/>
  <c r="AA365" i="2" s="1"/>
  <c r="AB365" i="2" s="1"/>
  <c r="Q364" i="2"/>
  <c r="W363" i="2"/>
  <c r="W362" i="2"/>
  <c r="W366" i="2"/>
  <c r="Q366" i="2"/>
  <c r="W367" i="2"/>
  <c r="Q367" i="2"/>
  <c r="P369" i="2" a="1"/>
  <c r="O369" i="2" a="1"/>
  <c r="P368" i="2" a="1"/>
  <c r="O368" i="2" a="1"/>
  <c r="AA364" i="2" l="1"/>
  <c r="AB364" i="2" s="1"/>
  <c r="AA363" i="2"/>
  <c r="AB363" i="2" s="1"/>
  <c r="AA362" i="2"/>
  <c r="AB362" i="2" s="1"/>
  <c r="AA367" i="2"/>
  <c r="AB367" i="2" s="1"/>
  <c r="AA366" i="2"/>
  <c r="AB366" i="2" s="1"/>
  <c r="W369" i="2"/>
  <c r="W368" i="2"/>
  <c r="Q369" i="2"/>
  <c r="Q368" i="2"/>
  <c r="AA369" i="2" l="1"/>
  <c r="AB369" i="2" s="1"/>
  <c r="AA368" i="2"/>
  <c r="AB368" i="2" s="1"/>
  <c r="P370" i="2" l="1" a="1"/>
  <c r="O371" i="2" a="1"/>
  <c r="O370" i="2" a="1"/>
  <c r="P371" i="2" a="1"/>
  <c r="W370" i="2" l="1"/>
  <c r="Q370" i="2"/>
  <c r="AA370" i="2" s="1"/>
  <c r="AB370" i="2" s="1"/>
  <c r="W371" i="2"/>
  <c r="Q371" i="2"/>
  <c r="AA371" i="2" l="1"/>
  <c r="AB371" i="2" s="1"/>
  <c r="P375" i="2" a="1"/>
  <c r="O374" i="2" a="1"/>
  <c r="P374" i="2" a="1"/>
  <c r="O375" i="2" a="1"/>
  <c r="O377" i="2" a="1"/>
  <c r="P376" i="2" a="1"/>
  <c r="Q376" i="2" s="1"/>
  <c r="P377" i="2" a="1"/>
  <c r="O376" i="2" a="1"/>
  <c r="P373" i="2" a="1"/>
  <c r="Q373" i="2" s="1"/>
  <c r="O373" i="2" a="1"/>
  <c r="O372" i="2" a="1"/>
  <c r="P372" i="2" a="1"/>
  <c r="Q374" i="2" l="1"/>
  <c r="W375" i="2"/>
  <c r="W377" i="2"/>
  <c r="W372" i="2"/>
  <c r="Q375" i="2"/>
  <c r="W374" i="2"/>
  <c r="Q377" i="2"/>
  <c r="W376" i="2"/>
  <c r="AA376" i="2" s="1"/>
  <c r="AB376" i="2" s="1"/>
  <c r="W373" i="2"/>
  <c r="AA373" i="2" s="1"/>
  <c r="AB373" i="2" s="1"/>
  <c r="Q372" i="2"/>
  <c r="AA375" i="2" l="1"/>
  <c r="AB375" i="2" s="1"/>
  <c r="AA374" i="2"/>
  <c r="AB374" i="2" s="1"/>
  <c r="AA372" i="2"/>
  <c r="AB372" i="2" s="1"/>
  <c r="AA377" i="2"/>
  <c r="AB377" i="2" s="1"/>
  <c r="O382" i="2" a="1"/>
  <c r="O383" i="2" a="1"/>
  <c r="O385" i="2" a="1"/>
  <c r="P383" i="2" a="1"/>
  <c r="Q383" i="2" s="1"/>
  <c r="O381" i="2" a="1"/>
  <c r="P384" i="2" a="1"/>
  <c r="P382" i="2" a="1"/>
  <c r="O384" i="2" a="1"/>
  <c r="O380" i="2" a="1"/>
  <c r="O379" i="2" a="1"/>
  <c r="P379" i="2" a="1"/>
  <c r="O378" i="2" a="1"/>
  <c r="P378" i="2" a="1"/>
  <c r="P380" i="2" a="1"/>
  <c r="P381" i="2" a="1"/>
  <c r="P385" i="2" a="1"/>
  <c r="Q385" i="2" s="1"/>
  <c r="Q384" i="2" l="1"/>
  <c r="W380" i="2"/>
  <c r="Q379" i="2"/>
  <c r="W378" i="2"/>
  <c r="Q382" i="2"/>
  <c r="Q380" i="2"/>
  <c r="AA380" i="2" s="1"/>
  <c r="AB380" i="2" s="1"/>
  <c r="Q381" i="2"/>
  <c r="W382" i="2"/>
  <c r="W381" i="2"/>
  <c r="W385" i="2"/>
  <c r="AA385" i="2" s="1"/>
  <c r="AB385" i="2" s="1"/>
  <c r="W384" i="2"/>
  <c r="AA384" i="2" s="1"/>
  <c r="AB384" i="2" s="1"/>
  <c r="W379" i="2"/>
  <c r="Q378" i="2"/>
  <c r="W383" i="2"/>
  <c r="AA383" i="2" s="1"/>
  <c r="AB383" i="2" s="1"/>
  <c r="AA379" i="2" l="1"/>
  <c r="AB379" i="2" s="1"/>
  <c r="AA382" i="2"/>
  <c r="AB382" i="2" s="1"/>
  <c r="AA378" i="2"/>
  <c r="AB378" i="2" s="1"/>
  <c r="AA381" i="2"/>
  <c r="AB381" i="2" s="1"/>
  <c r="O390" i="2" a="1"/>
  <c r="P391" i="2" a="1"/>
  <c r="O391" i="2" a="1"/>
  <c r="O389" i="2" a="1"/>
  <c r="P388" i="2" a="1"/>
  <c r="P389" i="2" a="1"/>
  <c r="O388" i="2" a="1"/>
  <c r="W388" i="2" s="1"/>
  <c r="O386" i="2" a="1"/>
  <c r="P387" i="2" a="1"/>
  <c r="O387" i="2" a="1"/>
  <c r="P386" i="2" a="1"/>
  <c r="P390" i="2" a="1"/>
  <c r="W389" i="2" l="1"/>
  <c r="Q387" i="2"/>
  <c r="Q386" i="2"/>
  <c r="W390" i="2"/>
  <c r="W391" i="2"/>
  <c r="Q388" i="2"/>
  <c r="AA388" i="2" s="1"/>
  <c r="AB388" i="2" s="1"/>
  <c r="Q389" i="2"/>
  <c r="W386" i="2"/>
  <c r="W387" i="2"/>
  <c r="Q390" i="2"/>
  <c r="Q391" i="2"/>
  <c r="AA386" i="2" l="1"/>
  <c r="AB386" i="2" s="1"/>
  <c r="AA391" i="2"/>
  <c r="AB391" i="2" s="1"/>
  <c r="AA389" i="2"/>
  <c r="AB389" i="2" s="1"/>
  <c r="AA387" i="2"/>
  <c r="AB387" i="2" s="1"/>
  <c r="AA390" i="2"/>
  <c r="AB390" i="2" s="1"/>
  <c r="P395" i="2" a="1"/>
  <c r="O393" i="2" a="1"/>
  <c r="O395" i="2" a="1"/>
  <c r="O392" i="2" a="1"/>
  <c r="O394" i="2" a="1"/>
  <c r="P393" i="2" a="1"/>
  <c r="P392" i="2" a="1"/>
  <c r="Q392" i="2" s="1"/>
  <c r="P394" i="2" a="1"/>
  <c r="W393" i="2" l="1"/>
  <c r="Q395" i="2"/>
  <c r="W394" i="2"/>
  <c r="W395" i="2"/>
  <c r="W392" i="2"/>
  <c r="AA392" i="2" s="1"/>
  <c r="AB392" i="2" s="1"/>
  <c r="Q393" i="2"/>
  <c r="Q394" i="2"/>
  <c r="AA395" i="2" l="1"/>
  <c r="AB395" i="2" s="1"/>
  <c r="AA393" i="2"/>
  <c r="AB393" i="2" s="1"/>
  <c r="AA394" i="2"/>
  <c r="AB394" i="2" s="1"/>
  <c r="P396" i="2" a="1"/>
  <c r="O397" i="2" a="1"/>
  <c r="O396" i="2" a="1"/>
  <c r="O398" i="2" a="1"/>
  <c r="P397" i="2" a="1"/>
  <c r="P398" i="2" a="1"/>
  <c r="O399" i="2" a="1"/>
  <c r="P399" i="2" a="1"/>
  <c r="P401" i="2" a="1"/>
  <c r="O401" i="2" a="1"/>
  <c r="P400" i="2" a="1"/>
  <c r="O400" i="2" a="1"/>
  <c r="W400" i="2" s="1"/>
  <c r="W397" i="2" l="1"/>
  <c r="W399" i="2"/>
  <c r="Q398" i="2"/>
  <c r="Q396" i="2"/>
  <c r="W401" i="2"/>
  <c r="W396" i="2"/>
  <c r="W398" i="2"/>
  <c r="Q397" i="2"/>
  <c r="AA397" i="2" s="1"/>
  <c r="AB397" i="2" s="1"/>
  <c r="Q399" i="2"/>
  <c r="Q401" i="2"/>
  <c r="Q400" i="2"/>
  <c r="AA400" i="2" s="1"/>
  <c r="AB400" i="2" s="1"/>
  <c r="O402" i="2" a="1"/>
  <c r="P403" i="2" a="1"/>
  <c r="O403" i="2" a="1"/>
  <c r="P402" i="2" a="1"/>
  <c r="AA399" i="2" l="1"/>
  <c r="AB399" i="2" s="1"/>
  <c r="AA398" i="2"/>
  <c r="AB398" i="2" s="1"/>
  <c r="AA396" i="2"/>
  <c r="AB396" i="2" s="1"/>
  <c r="AA401" i="2"/>
  <c r="AB401" i="2" s="1"/>
  <c r="Q402" i="2"/>
  <c r="Q403" i="2"/>
  <c r="W402" i="2"/>
  <c r="W403" i="2"/>
  <c r="AA402" i="2" l="1"/>
  <c r="AB402" i="2" s="1"/>
  <c r="AA403" i="2"/>
  <c r="AB403" i="2" s="1"/>
  <c r="P404" i="2" l="1" a="1"/>
  <c r="O404" i="2" a="1"/>
  <c r="O405" i="2" a="1"/>
  <c r="P405" i="2" a="1"/>
  <c r="Q405" i="2" l="1"/>
  <c r="Q404" i="2"/>
  <c r="W404" i="2"/>
  <c r="W405" i="2"/>
  <c r="AA405" i="2" l="1"/>
  <c r="AB405" i="2" s="1"/>
  <c r="AA404" i="2"/>
  <c r="AB404" i="2" s="1"/>
  <c r="O411" i="2" a="1"/>
  <c r="O409" i="2" a="1"/>
  <c r="P410" i="2" a="1"/>
  <c r="P408" i="2" a="1"/>
  <c r="P411" i="2" a="1"/>
  <c r="O410" i="2" a="1"/>
  <c r="P409" i="2" a="1"/>
  <c r="O408" i="2" a="1"/>
  <c r="P406" i="2" l="1" a="1"/>
  <c r="O407" i="2" a="1"/>
  <c r="O406" i="2" a="1"/>
  <c r="P407" i="2" a="1"/>
  <c r="Q408" i="2"/>
  <c r="W410" i="2"/>
  <c r="W411" i="2"/>
  <c r="Q409" i="2"/>
  <c r="Q410" i="2"/>
  <c r="W408" i="2"/>
  <c r="Q411" i="2"/>
  <c r="W409" i="2"/>
  <c r="W407" i="2" l="1"/>
  <c r="W406" i="2"/>
  <c r="Q406" i="2"/>
  <c r="Q407" i="2"/>
  <c r="AA408" i="2"/>
  <c r="AB408" i="2" s="1"/>
  <c r="AA410" i="2"/>
  <c r="AB410" i="2" s="1"/>
  <c r="AA411" i="2"/>
  <c r="AB411" i="2" s="1"/>
  <c r="AA409" i="2"/>
  <c r="AB409" i="2" s="1"/>
  <c r="AA406" i="2" l="1"/>
  <c r="AB406" i="2" s="1"/>
  <c r="AA407" i="2"/>
  <c r="AB407" i="2" s="1"/>
  <c r="O413" i="2" a="1"/>
  <c r="P412" i="2" a="1"/>
  <c r="O414" i="2" a="1"/>
  <c r="P417" i="2" a="1"/>
  <c r="O417" i="2" a="1"/>
  <c r="W417" i="2" s="1"/>
  <c r="O416" i="2" a="1"/>
  <c r="W416" i="2" s="1"/>
  <c r="P416" i="2" a="1"/>
  <c r="O415" i="2" a="1"/>
  <c r="P415" i="2" a="1"/>
  <c r="P414" i="2" a="1"/>
  <c r="O412" i="2" a="1"/>
  <c r="P413" i="2" a="1"/>
  <c r="W412" i="2" l="1"/>
  <c r="W414" i="2"/>
  <c r="Q415" i="2"/>
  <c r="Q413" i="2"/>
  <c r="W413" i="2"/>
  <c r="Q417" i="2"/>
  <c r="AA417" i="2" s="1"/>
  <c r="AB417" i="2" s="1"/>
  <c r="Q416" i="2"/>
  <c r="AA416" i="2" s="1"/>
  <c r="AB416" i="2" s="1"/>
  <c r="W415" i="2"/>
  <c r="Q414" i="2"/>
  <c r="Q412" i="2"/>
  <c r="P418" i="2" a="1"/>
  <c r="O418" i="2" a="1"/>
  <c r="O419" i="2" a="1"/>
  <c r="P419" i="2" a="1"/>
  <c r="P421" i="2" a="1"/>
  <c r="P420" i="2" a="1"/>
  <c r="O421" i="2" a="1"/>
  <c r="O420" i="2" a="1"/>
  <c r="W420" i="2" s="1"/>
  <c r="AA412" i="2" l="1"/>
  <c r="AB412" i="2" s="1"/>
  <c r="W418" i="2"/>
  <c r="Q419" i="2"/>
  <c r="AA413" i="2"/>
  <c r="AB413" i="2" s="1"/>
  <c r="AA415" i="2"/>
  <c r="AB415" i="2" s="1"/>
  <c r="W419" i="2"/>
  <c r="AA414" i="2"/>
  <c r="AB414" i="2" s="1"/>
  <c r="Q418" i="2"/>
  <c r="Q421" i="2"/>
  <c r="Q420" i="2"/>
  <c r="AA420" i="2" s="1"/>
  <c r="AB420" i="2" s="1"/>
  <c r="W421" i="2"/>
  <c r="P427" i="2" a="1"/>
  <c r="O426" i="2" a="1"/>
  <c r="O427" i="2" a="1"/>
  <c r="P426" i="2" a="1"/>
  <c r="O425" i="2" a="1"/>
  <c r="P425" i="2" a="1"/>
  <c r="O424" i="2" a="1"/>
  <c r="P424" i="2" a="1"/>
  <c r="AA418" i="2" l="1"/>
  <c r="AB418" i="2" s="1"/>
  <c r="AA419" i="2"/>
  <c r="AB419" i="2" s="1"/>
  <c r="AA421" i="2"/>
  <c r="AB421" i="2" s="1"/>
  <c r="P422" i="2" a="1"/>
  <c r="O423" i="2" a="1"/>
  <c r="P423" i="2" a="1"/>
  <c r="O422" i="2" a="1"/>
  <c r="Q424" i="2"/>
  <c r="W427" i="2"/>
  <c r="Q425" i="2"/>
  <c r="Q426" i="2"/>
  <c r="Q427" i="2"/>
  <c r="W426" i="2"/>
  <c r="W425" i="2"/>
  <c r="W424" i="2"/>
  <c r="W422" i="2" l="1"/>
  <c r="W423" i="2"/>
  <c r="Q422" i="2"/>
  <c r="AA422" i="2" s="1"/>
  <c r="AB422" i="2" s="1"/>
  <c r="Q423" i="2"/>
  <c r="AA424" i="2"/>
  <c r="AB424" i="2" s="1"/>
  <c r="AA425" i="2"/>
  <c r="AB425" i="2" s="1"/>
  <c r="AA427" i="2"/>
  <c r="AB427" i="2" s="1"/>
  <c r="AA426" i="2"/>
  <c r="AB426" i="2" s="1"/>
  <c r="O428" i="2" a="1"/>
  <c r="O429" i="2" a="1"/>
  <c r="P429" i="2" a="1"/>
  <c r="P428" i="2" a="1"/>
  <c r="AA423" i="2" l="1"/>
  <c r="AB423" i="2" s="1"/>
  <c r="W429" i="2"/>
  <c r="Q428" i="2"/>
  <c r="W428" i="2"/>
  <c r="Q429" i="2"/>
  <c r="AA428" i="2" l="1"/>
  <c r="AB428" i="2" s="1"/>
  <c r="AA429" i="2"/>
  <c r="AB429" i="2" s="1"/>
  <c r="O432" i="2" a="1"/>
  <c r="O433" i="2" a="1"/>
  <c r="P433" i="2" a="1"/>
  <c r="P431" i="2" a="1"/>
  <c r="O430" i="2" a="1"/>
  <c r="P430" i="2" a="1"/>
  <c r="O431" i="2" a="1"/>
  <c r="P432" i="2" a="1"/>
  <c r="Q433" i="2" l="1"/>
  <c r="W430" i="2"/>
  <c r="Q432" i="2"/>
  <c r="W432" i="2"/>
  <c r="Q431" i="2"/>
  <c r="W433" i="2"/>
  <c r="Q430" i="2"/>
  <c r="W431" i="2"/>
  <c r="AA432" i="2" l="1"/>
  <c r="AB432" i="2" s="1"/>
  <c r="AA433" i="2"/>
  <c r="AB433" i="2" s="1"/>
  <c r="AA430" i="2"/>
  <c r="AB430" i="2" s="1"/>
  <c r="AA431" i="2"/>
  <c r="AB431" i="2" s="1"/>
  <c r="P436" i="2" a="1"/>
  <c r="O437" i="2" a="1"/>
  <c r="P439" i="2" a="1"/>
  <c r="P437" i="2" a="1"/>
  <c r="O438" i="2" a="1"/>
  <c r="O435" i="2" a="1"/>
  <c r="P434" i="2" a="1"/>
  <c r="P435" i="2" a="1"/>
  <c r="O434" i="2" a="1"/>
  <c r="P438" i="2" a="1"/>
  <c r="O439" i="2" a="1"/>
  <c r="O436" i="2" a="1"/>
  <c r="W438" i="2" l="1"/>
  <c r="Q434" i="2"/>
  <c r="W437" i="2"/>
  <c r="Q435" i="2"/>
  <c r="Q436" i="2"/>
  <c r="Q439" i="2"/>
  <c r="W435" i="2"/>
  <c r="W434" i="2"/>
  <c r="Q438" i="2"/>
  <c r="W439" i="2"/>
  <c r="Q437" i="2"/>
  <c r="W436" i="2"/>
  <c r="AA438" i="2" l="1"/>
  <c r="AB438" i="2" s="1"/>
  <c r="AA434" i="2"/>
  <c r="AB434" i="2" s="1"/>
  <c r="AA437" i="2"/>
  <c r="AB437" i="2" s="1"/>
  <c r="AA435" i="2"/>
  <c r="AB435" i="2" s="1"/>
  <c r="AA439" i="2"/>
  <c r="AB439" i="2" s="1"/>
  <c r="AA436" i="2"/>
  <c r="AB436" i="2" s="1"/>
  <c r="O440" i="2" a="1"/>
  <c r="P442" i="2" a="1"/>
  <c r="P443" i="2" a="1"/>
  <c r="O441" i="2" a="1"/>
  <c r="P440" i="2" a="1"/>
  <c r="P441" i="2" a="1"/>
  <c r="O442" i="2" a="1"/>
  <c r="O443" i="2" a="1"/>
  <c r="Q440" i="2" l="1"/>
  <c r="W442" i="2"/>
  <c r="W441" i="2"/>
  <c r="Q441" i="2"/>
  <c r="W443" i="2"/>
  <c r="W440" i="2"/>
  <c r="Q442" i="2"/>
  <c r="Q443" i="2"/>
  <c r="AA440" i="2" l="1"/>
  <c r="AB440" i="2" s="1"/>
  <c r="AA442" i="2"/>
  <c r="AB442" i="2" s="1"/>
  <c r="AA441" i="2"/>
  <c r="AB441" i="2" s="1"/>
  <c r="AA443" i="2"/>
  <c r="AB443" i="2" s="1"/>
  <c r="P444" i="2" l="1" a="1"/>
  <c r="O446" i="2" a="1"/>
  <c r="P447" i="2" a="1"/>
  <c r="O447" i="2" a="1"/>
  <c r="P445" i="2" a="1"/>
  <c r="O445" i="2" a="1"/>
  <c r="O444" i="2" a="1"/>
  <c r="P446" i="2" a="1"/>
  <c r="Q446" i="2" l="1"/>
  <c r="Q447" i="2"/>
  <c r="Q445" i="2"/>
  <c r="W447" i="2"/>
  <c r="AA447" i="2" s="1"/>
  <c r="AB447" i="2" s="1"/>
  <c r="W444" i="2"/>
  <c r="P448" i="2" a="1"/>
  <c r="O450" i="2" a="1"/>
  <c r="O448" i="2" a="1"/>
  <c r="P450" i="2" a="1"/>
  <c r="Q450" i="2" s="1"/>
  <c r="P449" i="2" a="1"/>
  <c r="P451" i="2" a="1"/>
  <c r="O449" i="2" a="1"/>
  <c r="O451" i="2" a="1"/>
  <c r="Q444" i="2"/>
  <c r="AA444" i="2" s="1"/>
  <c r="AB444" i="2" s="1"/>
  <c r="W445" i="2"/>
  <c r="W446" i="2"/>
  <c r="AA446" i="2" s="1"/>
  <c r="AB446" i="2" s="1"/>
  <c r="AA445" i="2" l="1"/>
  <c r="AB445" i="2" s="1"/>
  <c r="Q448" i="2"/>
  <c r="Q449" i="2"/>
  <c r="Q451" i="2"/>
  <c r="W449" i="2"/>
  <c r="AA449" i="2" s="1"/>
  <c r="AB449" i="2" s="1"/>
  <c r="W451" i="2"/>
  <c r="W450" i="2"/>
  <c r="AA450" i="2" s="1"/>
  <c r="AB450" i="2" s="1"/>
  <c r="W448" i="2"/>
  <c r="AA448" i="2" l="1"/>
  <c r="AB448" i="2" s="1"/>
  <c r="AA451" i="2"/>
  <c r="AB451" i="2" s="1"/>
  <c r="O452" i="2" a="1"/>
  <c r="O453" i="2" a="1"/>
  <c r="P452" i="2" a="1"/>
  <c r="P453" i="2" a="1"/>
  <c r="O454" i="2" a="1"/>
  <c r="O455" i="2" a="1"/>
  <c r="P455" i="2" a="1"/>
  <c r="P454" i="2" a="1"/>
  <c r="Q454" i="2" l="1"/>
  <c r="W452" i="2"/>
  <c r="W453" i="2"/>
  <c r="Q453" i="2"/>
  <c r="W455" i="2"/>
  <c r="Q452" i="2"/>
  <c r="W454" i="2"/>
  <c r="Q455" i="2"/>
  <c r="P457" i="2" a="1"/>
  <c r="P458" i="2" a="1"/>
  <c r="P459" i="2" a="1"/>
  <c r="O456" i="2" a="1"/>
  <c r="O459" i="2" a="1"/>
  <c r="P456" i="2" a="1"/>
  <c r="O457" i="2" a="1"/>
  <c r="O458" i="2" a="1"/>
  <c r="W458" i="2" s="1"/>
  <c r="AA455" i="2" l="1"/>
  <c r="AB455" i="2" s="1"/>
  <c r="W456" i="2"/>
  <c r="AA453" i="2"/>
  <c r="AB453" i="2" s="1"/>
  <c r="AA454" i="2"/>
  <c r="AB454" i="2" s="1"/>
  <c r="AA452" i="2"/>
  <c r="AB452" i="2" s="1"/>
  <c r="W459" i="2"/>
  <c r="W457" i="2"/>
  <c r="Q458" i="2"/>
  <c r="AA458" i="2" s="1"/>
  <c r="AB458" i="2" s="1"/>
  <c r="Q457" i="2"/>
  <c r="Q459" i="2"/>
  <c r="Q456" i="2"/>
  <c r="AA457" i="2" l="1"/>
  <c r="AB457" i="2" s="1"/>
  <c r="AA456" i="2"/>
  <c r="AB456" i="2" s="1"/>
  <c r="AA459" i="2"/>
  <c r="AB459" i="2" s="1"/>
  <c r="O460" i="2" a="1"/>
  <c r="O463" i="2" a="1"/>
  <c r="P463" i="2" a="1"/>
  <c r="P462" i="2" a="1"/>
  <c r="P460" i="2" a="1"/>
  <c r="O461" i="2" a="1"/>
  <c r="O462" i="2" a="1"/>
  <c r="P461" i="2" a="1"/>
  <c r="W461" i="2" l="1"/>
  <c r="Q462" i="2"/>
  <c r="Q460" i="2"/>
  <c r="Q463" i="2"/>
  <c r="W460" i="2"/>
  <c r="W463" i="2"/>
  <c r="W462" i="2"/>
  <c r="Q461" i="2"/>
  <c r="AA461" i="2" s="1"/>
  <c r="AB461" i="2" s="1"/>
  <c r="AA460" i="2" l="1"/>
  <c r="AB460" i="2" s="1"/>
  <c r="AA462" i="2"/>
  <c r="AB462" i="2" s="1"/>
  <c r="AA463" i="2"/>
  <c r="AB463" i="2" s="1"/>
  <c r="P464" i="2" a="1"/>
  <c r="O465" i="2" a="1"/>
  <c r="P465" i="2" a="1"/>
  <c r="O464" i="2" a="1"/>
  <c r="W464" i="2" l="1"/>
  <c r="W465" i="2"/>
  <c r="Q464" i="2"/>
  <c r="AA464" i="2" s="1"/>
  <c r="AB464" i="2" s="1"/>
  <c r="Q465" i="2"/>
  <c r="AA465" i="2" l="1"/>
  <c r="AB465" i="2" s="1"/>
  <c r="O469" i="2" a="1"/>
  <c r="P469" i="2" a="1"/>
  <c r="P468" i="2" a="1"/>
  <c r="O467" i="2" a="1"/>
  <c r="P466" i="2" a="1"/>
  <c r="O468" i="2" a="1"/>
  <c r="Q469" i="2" l="1"/>
  <c r="O466" i="2" a="1"/>
  <c r="P467" i="2" a="1"/>
  <c r="W468" i="2"/>
  <c r="W469" i="2"/>
  <c r="AA469" i="2" s="1"/>
  <c r="AB469" i="2" s="1"/>
  <c r="Q468" i="2"/>
  <c r="W466" i="2" l="1"/>
  <c r="AA466" i="2" s="1"/>
  <c r="AB466" i="2" s="1"/>
  <c r="Q466" i="2"/>
  <c r="W467" i="2"/>
  <c r="Q467" i="2"/>
  <c r="AA467" i="2" s="1"/>
  <c r="AB467" i="2" s="1"/>
  <c r="AA468" i="2"/>
  <c r="AB468" i="2" s="1"/>
  <c r="O473" i="2" a="1"/>
  <c r="O470" i="2" a="1"/>
  <c r="P472" i="2" a="1"/>
  <c r="P473" i="2" a="1"/>
  <c r="P471" i="2" a="1"/>
  <c r="O472" i="2" a="1"/>
  <c r="P470" i="2" l="1" a="1"/>
  <c r="O471" i="2" a="1"/>
  <c r="Q472" i="2"/>
  <c r="W473" i="2"/>
  <c r="W472" i="2"/>
  <c r="Q473" i="2"/>
  <c r="G33" i="3" a="1"/>
  <c r="AX6" i="3" a="1"/>
  <c r="W470" i="2" l="1"/>
  <c r="Q470" i="2"/>
  <c r="AA470" i="2" s="1"/>
  <c r="AB470" i="2" s="1"/>
  <c r="W471" i="2"/>
  <c r="AA471" i="2" s="1"/>
  <c r="AB471" i="2" s="1"/>
  <c r="Q471" i="2"/>
  <c r="AA472" i="2"/>
  <c r="AB472" i="2" s="1"/>
  <c r="AA473" i="2"/>
  <c r="AB473" i="2" s="1"/>
  <c r="O475" i="2" a="1"/>
  <c r="W475" i="2" s="1"/>
  <c r="O474" i="2" a="1"/>
  <c r="P475" i="2" a="1"/>
  <c r="P474" i="2" a="1"/>
  <c r="W474" i="2" l="1"/>
  <c r="Q475" i="2"/>
  <c r="AA475" i="2" s="1"/>
  <c r="AB475" i="2" s="1"/>
  <c r="Q474" i="2"/>
  <c r="P477" i="2" a="1"/>
  <c r="O477" i="2" a="1"/>
  <c r="P476" i="2" a="1"/>
  <c r="O476" i="2" a="1"/>
  <c r="W476" i="2" s="1"/>
  <c r="AA474" i="2" l="1"/>
  <c r="AB474" i="2" s="1"/>
  <c r="W477" i="2"/>
  <c r="Q476" i="2"/>
  <c r="AA476" i="2" s="1"/>
  <c r="AB476" i="2" s="1"/>
  <c r="Q477" i="2"/>
  <c r="AA477" i="2" l="1"/>
  <c r="AB477" i="2" s="1"/>
  <c r="O479" i="2" a="1"/>
  <c r="P478" i="2" a="1"/>
  <c r="O478" i="2" a="1"/>
  <c r="P479" i="2" a="1"/>
  <c r="Q478" i="2" l="1"/>
  <c r="W479" i="2"/>
  <c r="W478" i="2"/>
  <c r="AA478" i="2" s="1"/>
  <c r="AB478" i="2" s="1"/>
  <c r="Q479" i="2"/>
  <c r="AA479" i="2" l="1"/>
  <c r="AB479" i="2" s="1"/>
  <c r="P480" i="2" a="1"/>
  <c r="O481" i="2" a="1"/>
  <c r="P481" i="2" a="1"/>
  <c r="O480" i="2" a="1"/>
  <c r="G31" i="3" a="1"/>
  <c r="W481" i="2" l="1"/>
  <c r="W480" i="2"/>
  <c r="Q481" i="2"/>
  <c r="Q480" i="2"/>
  <c r="AA481" i="2" l="1"/>
  <c r="AB481" i="2" s="1"/>
  <c r="G36" i="3" s="1" a="1"/>
  <c r="AA480" i="2"/>
  <c r="AB480" i="2" s="1"/>
  <c r="G29" i="3" l="1" a="1"/>
  <c r="G26" i="3" l="1" a="1"/>
  <c r="AX5" i="3" a="1"/>
  <c r="G37" i="3" l="1" a="1"/>
  <c r="G34" i="3" a="1"/>
  <c r="AX8" i="3" a="1"/>
  <c r="G28" i="3" l="1" a="1"/>
  <c r="AX2" i="3" a="1"/>
  <c r="AX9" i="3" l="1" a="1"/>
  <c r="G35" i="3" a="1"/>
  <c r="G27" i="3" l="1" a="1"/>
  <c r="AX4" i="3" a="1"/>
  <c r="G25" i="3" a="1"/>
  <c r="G30" i="3" l="1" a="1"/>
  <c r="AX7" i="3" a="1"/>
  <c r="G32" i="3" a="1"/>
  <c r="AX3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<sst xmlns="http://schemas.openxmlformats.org/spreadsheetml/2006/main" count="2491" uniqueCount="87">
  <si>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</si>
  <si>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</si>
  <si>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</si>
  <si>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</si>
  <si>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</si>
  <si>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</si>
  <si>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</si>
  <si>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</si>
  <si>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</si>
  <si>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</si>
  <si>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</si>
  <si>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</si>
  <si>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</si>
  <si>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</si>
  <si>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</si>
  <si>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</si>
  <si>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</si>
  <si>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</si>
  <si>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</si>
  <si>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</si>
  <si>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</si>
  <si>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</si>
  <si>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</si>
  <si>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</si>
  <si>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</si>
  <si>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</si>
  <si>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</si>
  <si>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</si>
  <si>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</si>
  <si>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</si>
  <si>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</si>
  <si>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</si>
  <si>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</si>
  <si>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</si>
  <si>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</si>
  <si>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</si>
  <si>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</si>
  <si>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</si>
  <si>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</si>
  <si>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</si>
  <si>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</si>
  <si>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</si>
  <si>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</si>
  <si>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</si>
  <si>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</si>
  <si>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</si>
  <si>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</si>
  <si>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</si>
  <si>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</si>
  <si>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</si>
  <si>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</si>
  <si>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</si>
  <si>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</si>
  <si>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</si>
  <si>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</si>
  <si>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</si>
  <si>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</si>
  <si>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</si>
  <si>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</si>
  <si>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</si>
  <si>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</si>
  <si>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</si>
  <si>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</si>
  <si>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</si>
  <si>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</si>
  <si>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</si>
  <si>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</si>
  <si>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</si>
  <si>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</si>
  <si>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Phoenix Mercury</t>
  </si>
  <si>
    <t>LAS</t>
  </si>
  <si>
    <t>Los Angeles Sparks</t>
  </si>
  <si>
    <t>Sacramento Monarchs</t>
  </si>
  <si>
    <t>WAS</t>
  </si>
  <si>
    <t>Washington Mystics</t>
  </si>
  <si>
    <t>DET</t>
  </si>
  <si>
    <t>Detroit Shock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</si>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</sst>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2671099537" createdVersion="8" refreshedVersion="8" minRefreshableVersion="3" recordCount="480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4-05-20T00:00:00" maxDate="2004-10-13T00:00:00"/>
    </cacheField>
    <cacheField name="Season" numFmtId="1">
      <sharedItems containsSemiMixedTypes="0" containsString="0" containsNumber="1" containsInteger="1" minValue="2004" maxValue="2004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7">
        <s v="SAS"/>
        <s v="HOU"/>
        <s v="SAC"/>
        <s v="PHX"/>
        <s v="MIN"/>
        <s v="SEA"/>
        <s v="CHA"/>
        <s v="NYL"/>
        <s v="IND"/>
        <s v="CON"/>
        <s v="DET"/>
        <s v="LAS"/>
        <s v="WAS"/>
        <s v="CLE" u="1"/>
        <s v="UTA" u="1"/>
        <s v="MIA" u="1"/>
        <s v="POR" u="1"/>
        <s v="ORL" u="1"/>
        <s v="NO" u="1"/>
        <s v="TOR" u="1"/>
        <s v="LAL" u="1"/>
        <s v="LAC" u="1"/>
        <s v="CHI" u="1"/>
        <s v="BRK" u="1"/>
        <s v="MEM" u="1"/>
        <s v="BOS" u="1"/>
        <s v="PHI" u="1"/>
        <s v="DAL" u="1"/>
        <s v="NY" u="1"/>
        <s v="SA" u="1"/>
        <s v="OKC" u="1"/>
        <s v="DEN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32"/>
    </cacheField>
    <cacheField name="OppDaysOff" numFmtId="1">
      <sharedItems containsSemiMixedTypes="0" containsString="0" containsNumber="1" containsInteger="1" minValue="0" maxValue="32"/>
    </cacheField>
    <cacheField name="RestDiff" numFmtId="1">
      <sharedItems containsSemiMixedTypes="0" containsString="0" containsNumber="1" containsInteger="1" minValue="-32" maxValue="32"/>
    </cacheField>
    <cacheField name="OppRestDiff" numFmtId="1">
      <sharedItems containsSemiMixedTypes="0" containsString="0" containsNumber="1" containsInteger="1" minValue="-32" maxValue="32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32.0975453944031" maxValue="1655.3481514771772"/>
    </cacheField>
    <cacheField name="OppPreGmRate" numFmtId="165">
      <sharedItems containsSemiMixedTypes="0" containsString="0" containsNumber="1" minValue="1332.0975453944031" maxValue="1655.3481514771772"/>
    </cacheField>
    <cacheField name="ExpectedWin%" numFmtId="165">
      <sharedItems containsSemiMixedTypes="0" containsString="0" containsNumber="1" minValue="9.993778878013157E-2" maxValue="0.90006221121986851"/>
    </cacheField>
    <cacheField name="PointsFor" numFmtId="0">
      <sharedItems containsSemiMixedTypes="0" containsString="0" containsNumber="1" containsInteger="1" minValue="37" maxValue="97"/>
    </cacheField>
    <cacheField name="PointsAgainst" numFmtId="0">
      <sharedItems containsSemiMixedTypes="0" containsString="0" containsNumber="1" containsInteger="1" minValue="37" maxValue="97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6" maxValue="36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2134482883630399" maxValue="0.7313405552907517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7" maxValue="75.849999999999994"/>
    </cacheField>
    <cacheField name="Keff" numFmtId="165">
      <sharedItems containsSemiMixedTypes="0" containsString="0" containsNumber="1" minValue="70.900000000000006" maxValue="94.5"/>
    </cacheField>
    <cacheField name="RatingChange" numFmtId="165">
      <sharedItems containsSemiMixedTypes="0" containsString="0" containsNumber="1" minValue="-28.076536146190108" maxValue="27.961389723170868"/>
    </cacheField>
    <cacheField name="PostGmRate" numFmtId="165">
      <sharedItems containsSemiMixedTypes="0" containsString="0" containsNumber="1" minValue="1332.0975453944031" maxValue="1655.3481514771772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d v="2004-05-20T00:00:00"/>
    <n v="2004"/>
    <x v="0"/>
    <s v="R"/>
    <s v="RS"/>
    <x v="0"/>
    <s v="HOU"/>
    <s v="A"/>
    <n v="0"/>
    <n v="0"/>
    <n v="0"/>
    <n v="0"/>
    <n v="0"/>
    <n v="0"/>
    <n v="1453.1960421583422"/>
    <n v="1538.4291907797272"/>
    <n v="0.27404726594457773"/>
    <n v="64"/>
    <n v="55"/>
    <n v="0"/>
    <n v="9"/>
    <n v="1"/>
    <n v="0.37904860538280821"/>
    <n v="1"/>
    <n v="75.849999999999994"/>
    <n v="75.849999999999994"/>
    <n v="20.871748522020745"/>
    <n v="1474.0677906803628"/>
    <n v="1"/>
    <n v="0"/>
    <n v="0"/>
    <n v="0"/>
    <n v="0"/>
    <n v="0"/>
    <n v="0"/>
    <n v="0"/>
    <n v="0"/>
    <n v="0"/>
  </r>
  <r>
    <d v="2004-05-20T00:00:00"/>
    <n v="2004"/>
    <x v="0"/>
    <s v="R"/>
    <s v="RS"/>
    <x v="1"/>
    <s v="SAS"/>
    <s v="H"/>
    <n v="0"/>
    <n v="0"/>
    <n v="0"/>
    <n v="0"/>
    <n v="0"/>
    <n v="0"/>
    <n v="1538.4291907797272"/>
    <n v="1453.1960421583422"/>
    <n v="0.72595273405542227"/>
    <n v="55"/>
    <n v="64"/>
    <n v="0"/>
    <n v="-9"/>
    <n v="0"/>
    <n v="0.37904860538280821"/>
    <n v="1"/>
    <n v="75.849999999999994"/>
    <n v="75.849999999999994"/>
    <n v="-20.871748522020745"/>
    <n v="1517.5574422577065"/>
    <n v="0"/>
    <n v="1"/>
    <n v="0"/>
    <n v="0"/>
    <n v="0"/>
    <n v="0"/>
    <n v="0"/>
    <n v="0"/>
    <n v="0"/>
    <n v="0"/>
  </r>
  <r>
    <d v="2004-05-20T00:00:00"/>
    <n v="2004"/>
    <x v="0"/>
    <s v="R"/>
    <s v="RS"/>
    <x v="2"/>
    <s v="PHX"/>
    <s v="A"/>
    <n v="0"/>
    <n v="0"/>
    <n v="0"/>
    <n v="0"/>
    <n v="0"/>
    <n v="0"/>
    <n v="1528.4830361110758"/>
    <n v="1436.7840125492917"/>
    <n v="0.51107797234498709"/>
    <n v="72"/>
    <n v="66"/>
    <n v="0"/>
    <n v="6"/>
    <n v="1"/>
    <n v="0.32634298363625514"/>
    <n v="1"/>
    <n v="75.849999999999994"/>
    <n v="75.849999999999994"/>
    <n v="12.102343327561702"/>
    <n v="1540.5853794386376"/>
    <n v="1"/>
    <n v="0"/>
    <n v="0"/>
    <n v="0"/>
    <n v="0"/>
    <n v="0"/>
    <n v="0"/>
    <n v="0"/>
    <n v="0"/>
    <n v="0"/>
  </r>
  <r>
    <d v="2004-05-20T00:00:00"/>
    <n v="2004"/>
    <x v="0"/>
    <s v="R"/>
    <s v="RS"/>
    <x v="3"/>
    <s v="SAC"/>
    <s v="H"/>
    <n v="0"/>
    <n v="0"/>
    <n v="0"/>
    <n v="0"/>
    <n v="0"/>
    <n v="0"/>
    <n v="1436.7840125492917"/>
    <n v="1528.4830361110758"/>
    <n v="0.48892202765501291"/>
    <n v="66"/>
    <n v="72"/>
    <n v="0"/>
    <n v="-6"/>
    <n v="0"/>
    <n v="0.32634298363625514"/>
    <n v="1"/>
    <n v="75.849999999999994"/>
    <n v="75.849999999999994"/>
    <n v="-12.102343327561702"/>
    <n v="1424.6816692217299"/>
    <n v="0"/>
    <n v="1"/>
    <n v="0"/>
    <n v="0"/>
    <n v="0"/>
    <n v="0"/>
    <n v="0"/>
    <n v="0"/>
    <n v="0"/>
    <n v="0"/>
  </r>
  <r>
    <d v="2004-05-20T00:00:00"/>
    <n v="2004"/>
    <x v="0"/>
    <s v="R"/>
    <s v="RS"/>
    <x v="4"/>
    <s v="SEA"/>
    <s v="A"/>
    <n v="0"/>
    <n v="0"/>
    <n v="0"/>
    <n v="0"/>
    <n v="0"/>
    <n v="0"/>
    <n v="1495.3919996048639"/>
    <n v="1517.9948189160586"/>
    <n v="0.35122585885082136"/>
    <n v="85"/>
    <n v="88"/>
    <n v="0"/>
    <n v="-3"/>
    <n v="0"/>
    <n v="0.28481876519361726"/>
    <n v="1"/>
    <n v="75.849999999999994"/>
    <n v="75.849999999999994"/>
    <n v="-7.5877090147555624"/>
    <n v="1487.8042905901084"/>
    <n v="0"/>
    <n v="1"/>
    <n v="0"/>
    <n v="0"/>
    <n v="0"/>
    <n v="0"/>
    <n v="0"/>
    <n v="0"/>
    <n v="0"/>
    <n v="0"/>
  </r>
  <r>
    <d v="2004-05-20T00:00:00"/>
    <n v="2004"/>
    <x v="0"/>
    <s v="R"/>
    <s v="RS"/>
    <x v="5"/>
    <s v="MIN"/>
    <s v="H"/>
    <n v="0"/>
    <n v="0"/>
    <n v="0"/>
    <n v="0"/>
    <n v="0"/>
    <n v="0"/>
    <n v="1517.9948189160586"/>
    <n v="1495.3919996048639"/>
    <n v="0.64877414114917864"/>
    <n v="88"/>
    <n v="85"/>
    <n v="0"/>
    <n v="3"/>
    <n v="1"/>
    <n v="0.28481876519361726"/>
    <n v="1"/>
    <n v="75.849999999999994"/>
    <n v="75.849999999999994"/>
    <n v="7.5877090147555624"/>
    <n v="1525.5825279308142"/>
    <n v="1"/>
    <n v="0"/>
    <n v="0"/>
    <n v="0"/>
    <n v="0"/>
    <n v="0"/>
    <n v="0"/>
    <n v="0"/>
    <n v="0"/>
    <n v="0"/>
  </r>
  <r>
    <d v="2004-05-21T00:00:00"/>
    <n v="2004"/>
    <x v="1"/>
    <s v="R"/>
    <s v="RS"/>
    <x v="1"/>
    <s v="CHA"/>
    <s v="A"/>
    <n v="0"/>
    <n v="1"/>
    <n v="-1"/>
    <n v="1"/>
    <n v="-8"/>
    <n v="8"/>
    <n v="1517.5574422577065"/>
    <n v="1489.8731084772417"/>
    <n v="0.39740667150667175"/>
    <n v="60"/>
    <n v="53"/>
    <n v="0"/>
    <n v="7"/>
    <n v="1"/>
    <n v="0.36176124005505422"/>
    <n v="1"/>
    <n v="75.7"/>
    <n v="75.7"/>
    <n v="16.502214669183935"/>
    <n v="1534.0596569268905"/>
    <n v="1"/>
    <n v="0"/>
    <n v="0"/>
    <n v="0"/>
    <n v="0"/>
    <n v="0"/>
    <n v="0"/>
    <n v="0"/>
    <n v="0"/>
    <n v="0"/>
  </r>
  <r>
    <d v="2004-05-21T00:00:00"/>
    <n v="2004"/>
    <x v="0"/>
    <s v="R"/>
    <s v="RS"/>
    <x v="6"/>
    <s v="HOU"/>
    <s v="H"/>
    <n v="1"/>
    <n v="0"/>
    <n v="1"/>
    <n v="-1"/>
    <n v="8"/>
    <n v="-8"/>
    <n v="1489.8731084772417"/>
    <n v="1517.5574422577065"/>
    <n v="0.60259332849332825"/>
    <n v="53"/>
    <n v="60"/>
    <n v="0"/>
    <n v="-7"/>
    <n v="0"/>
    <n v="0.36176124005505422"/>
    <n v="1"/>
    <n v="75.849999999999994"/>
    <n v="75.849999999999994"/>
    <n v="-16.534913905648629"/>
    <n v="1473.338194571593"/>
    <n v="0"/>
    <n v="1"/>
    <n v="0"/>
    <n v="0"/>
    <n v="0"/>
    <n v="0"/>
    <n v="0"/>
    <n v="0"/>
    <n v="0"/>
    <n v="0"/>
  </r>
  <r>
    <d v="2004-05-21T00:00:00"/>
    <n v="2004"/>
    <x v="0"/>
    <s v="R"/>
    <s v="RS"/>
    <x v="7"/>
    <s v="IND"/>
    <s v="A"/>
    <n v="1"/>
    <n v="1"/>
    <n v="0"/>
    <n v="0"/>
    <n v="0"/>
    <n v="0"/>
    <n v="1495.5396771696967"/>
    <n v="1483.0173438706895"/>
    <n v="0.39856244593855589"/>
    <n v="67"/>
    <n v="69"/>
    <n v="0"/>
    <n v="-2"/>
    <n v="0"/>
    <n v="0.26507518760262244"/>
    <n v="1"/>
    <n v="75.849999999999994"/>
    <n v="75.849999999999994"/>
    <n v="-8.0134777974984512"/>
    <n v="1487.5261993721983"/>
    <n v="0"/>
    <n v="1"/>
    <n v="0"/>
    <n v="0"/>
    <n v="0"/>
    <n v="0"/>
    <n v="0"/>
    <n v="0"/>
    <n v="0"/>
    <n v="0"/>
  </r>
  <r>
    <d v="2004-05-21T00:00:00"/>
    <n v="2004"/>
    <x v="0"/>
    <s v="R"/>
    <s v="RS"/>
    <x v="8"/>
    <s v="NYL"/>
    <s v="H"/>
    <n v="1"/>
    <n v="1"/>
    <n v="0"/>
    <n v="0"/>
    <n v="0"/>
    <n v="0"/>
    <n v="1483.0173438706895"/>
    <n v="1495.5396771696967"/>
    <n v="0.60143755406144417"/>
    <n v="69"/>
    <n v="67"/>
    <n v="0"/>
    <n v="2"/>
    <n v="1"/>
    <n v="0.26507518760262244"/>
    <n v="1"/>
    <n v="75.849999999999994"/>
    <n v="75.849999999999994"/>
    <n v="8.0134777974984495"/>
    <n v="1491.0308216681879"/>
    <n v="1"/>
    <n v="0"/>
    <n v="0"/>
    <n v="0"/>
    <n v="0"/>
    <n v="0"/>
    <n v="0"/>
    <n v="0"/>
    <n v="0"/>
    <n v="0"/>
  </r>
  <r>
    <d v="2004-05-22T00:00:00"/>
    <n v="2004"/>
    <x v="1"/>
    <s v="R"/>
    <s v="RS"/>
    <x v="3"/>
    <s v="CON"/>
    <s v="A"/>
    <n v="1"/>
    <n v="2"/>
    <n v="-1"/>
    <n v="1"/>
    <n v="-8"/>
    <n v="8"/>
    <n v="1424.6816692217299"/>
    <n v="1509.3362780267839"/>
    <n v="0.25674470243915309"/>
    <n v="65"/>
    <n v="58"/>
    <n v="0"/>
    <n v="7"/>
    <n v="1"/>
    <n v="0.3457182996429668"/>
    <n v="1"/>
    <n v="75.7"/>
    <n v="75.7"/>
    <n v="19.451641695873604"/>
    <n v="1444.1333109176035"/>
    <n v="1"/>
    <n v="0"/>
    <n v="0"/>
    <n v="0"/>
    <n v="0"/>
    <n v="0"/>
    <n v="0"/>
    <n v="0"/>
    <n v="0"/>
    <n v="0"/>
  </r>
  <r>
    <d v="2004-05-22T00:00:00"/>
    <n v="2004"/>
    <x v="0"/>
    <s v="R"/>
    <s v="RS"/>
    <x v="9"/>
    <s v="PHX"/>
    <s v="H"/>
    <n v="2"/>
    <n v="1"/>
    <n v="1"/>
    <n v="-1"/>
    <n v="8"/>
    <n v="-8"/>
    <n v="1509.3362780267839"/>
    <n v="1424.6816692217299"/>
    <n v="0.74325529756084685"/>
    <n v="58"/>
    <n v="65"/>
    <n v="0"/>
    <n v="-7"/>
    <n v="0"/>
    <n v="0.3457182996429668"/>
    <n v="1"/>
    <n v="75.849999999999994"/>
    <n v="75.849999999999994"/>
    <n v="-19.490185239524607"/>
    <n v="1489.8460927872593"/>
    <n v="0"/>
    <n v="1"/>
    <n v="0"/>
    <n v="0"/>
    <n v="0"/>
    <n v="0"/>
    <n v="0"/>
    <n v="0"/>
    <n v="0"/>
    <n v="0"/>
  </r>
  <r>
    <d v="2004-05-22T00:00:00"/>
    <n v="2004"/>
    <x v="1"/>
    <s v="R"/>
    <s v="RS"/>
    <x v="4"/>
    <s v="SAC"/>
    <s v="A"/>
    <n v="1"/>
    <n v="1"/>
    <n v="0"/>
    <n v="0"/>
    <n v="0"/>
    <n v="0"/>
    <n v="1487.8042905901084"/>
    <n v="1540.5853794386376"/>
    <n v="0.31273253385488808"/>
    <n v="69"/>
    <n v="61"/>
    <n v="0"/>
    <n v="8"/>
    <n v="1"/>
    <n v="0.37195536087785486"/>
    <n v="1"/>
    <n v="75.7"/>
    <n v="75.7"/>
    <n v="19.35140435209378"/>
    <n v="1507.1556949422022"/>
    <n v="1"/>
    <n v="0"/>
    <n v="0"/>
    <n v="0"/>
    <n v="0"/>
    <n v="0"/>
    <n v="0"/>
    <n v="0"/>
    <n v="0"/>
    <n v="0"/>
  </r>
  <r>
    <d v="2004-05-22T00:00:00"/>
    <n v="2004"/>
    <x v="1"/>
    <s v="R"/>
    <s v="RS"/>
    <x v="2"/>
    <s v="MIN"/>
    <s v="H"/>
    <n v="1"/>
    <n v="1"/>
    <n v="0"/>
    <n v="0"/>
    <n v="0"/>
    <n v="0"/>
    <n v="1540.5853794386376"/>
    <n v="1487.8042905901084"/>
    <n v="0.68726746614511192"/>
    <n v="61"/>
    <n v="69"/>
    <n v="0"/>
    <n v="-8"/>
    <n v="0"/>
    <n v="0.37195536087785486"/>
    <n v="1"/>
    <n v="75.7"/>
    <n v="75.7"/>
    <n v="-19.35140435209378"/>
    <n v="1521.2339750865438"/>
    <n v="0"/>
    <n v="1"/>
    <n v="0"/>
    <n v="0"/>
    <n v="0"/>
    <n v="0"/>
    <n v="0"/>
    <n v="0"/>
    <n v="0"/>
    <n v="0"/>
  </r>
  <r>
    <d v="2004-05-22T00:00:00"/>
    <n v="2004"/>
    <x v="0"/>
    <s v="R"/>
    <s v="RS"/>
    <x v="10"/>
    <s v="SAS"/>
    <s v="A"/>
    <n v="2"/>
    <n v="1"/>
    <n v="1"/>
    <n v="-1"/>
    <n v="8"/>
    <n v="-8"/>
    <n v="1569.2937466818337"/>
    <n v="1474.0677906803628"/>
    <n v="0.53910129660876993"/>
    <n v="73"/>
    <n v="60"/>
    <n v="0"/>
    <n v="13"/>
    <n v="1"/>
    <n v="0.43733875479584494"/>
    <n v="1"/>
    <n v="75.849999999999994"/>
    <n v="75.849999999999994"/>
    <n v="15.288998412384421"/>
    <n v="1584.5827450942181"/>
    <n v="1"/>
    <n v="0"/>
    <n v="0"/>
    <n v="0"/>
    <n v="0"/>
    <n v="0"/>
    <n v="0"/>
    <n v="0"/>
    <n v="0"/>
    <n v="0"/>
  </r>
  <r>
    <d v="2004-05-22T00:00:00"/>
    <n v="2004"/>
    <x v="1"/>
    <s v="R"/>
    <s v="RS"/>
    <x v="0"/>
    <s v="DET"/>
    <s v="H"/>
    <n v="1"/>
    <n v="2"/>
    <n v="-1"/>
    <n v="1"/>
    <n v="-8"/>
    <n v="8"/>
    <n v="1474.0677906803628"/>
    <n v="1569.2937466818337"/>
    <n v="0.46089870339123007"/>
    <n v="60"/>
    <n v="73"/>
    <n v="0"/>
    <n v="-13"/>
    <n v="0"/>
    <n v="0.43733875479584494"/>
    <n v="1"/>
    <n v="75.7"/>
    <n v="75.7"/>
    <n v="-15.258763082630203"/>
    <n v="1458.8090275977327"/>
    <n v="0"/>
    <n v="1"/>
    <n v="0"/>
    <n v="0"/>
    <n v="0"/>
    <n v="0"/>
    <n v="0"/>
    <n v="0"/>
    <n v="0"/>
    <n v="0"/>
  </r>
  <r>
    <d v="2004-05-22T00:00:00"/>
    <n v="2004"/>
    <x v="0"/>
    <s v="R"/>
    <s v="RS"/>
    <x v="11"/>
    <s v="SEA"/>
    <s v="A"/>
    <n v="2"/>
    <n v="1"/>
    <n v="1"/>
    <n v="-1"/>
    <n v="8"/>
    <n v="-8"/>
    <n v="1562.3002182281759"/>
    <n v="1525.5825279308142"/>
    <n v="0.45510239715741468"/>
    <n v="67"/>
    <n v="93"/>
    <n v="0"/>
    <n v="-26"/>
    <n v="0"/>
    <n v="0.63466776838251382"/>
    <n v="1"/>
    <n v="75.849999999999994"/>
    <n v="75.849999999999994"/>
    <n v="-21.908424708578181"/>
    <n v="1540.3917935195977"/>
    <n v="0"/>
    <n v="1"/>
    <n v="0"/>
    <n v="0"/>
    <n v="0"/>
    <n v="0"/>
    <n v="0"/>
    <n v="0"/>
    <n v="0"/>
    <n v="0"/>
  </r>
  <r>
    <d v="2004-05-22T00:00:00"/>
    <n v="2004"/>
    <x v="1"/>
    <s v="R"/>
    <s v="RS"/>
    <x v="5"/>
    <s v="LAS"/>
    <s v="H"/>
    <n v="1"/>
    <n v="2"/>
    <n v="-1"/>
    <n v="1"/>
    <n v="-8"/>
    <n v="8"/>
    <n v="1525.5825279308142"/>
    <n v="1562.3002182281759"/>
    <n v="0.54489760284258537"/>
    <n v="93"/>
    <n v="67"/>
    <n v="0"/>
    <n v="26"/>
    <n v="1"/>
    <n v="0.63466776838251382"/>
    <n v="1"/>
    <n v="75.7"/>
    <n v="75.7"/>
    <n v="21.865098885159764"/>
    <n v="1547.447626815974"/>
    <n v="1"/>
    <n v="0"/>
    <n v="0"/>
    <n v="0"/>
    <n v="0"/>
    <n v="0"/>
    <n v="0"/>
    <n v="0"/>
    <n v="0"/>
    <n v="0"/>
  </r>
  <r>
    <d v="2004-05-22T00:00:00"/>
    <n v="2004"/>
    <x v="1"/>
    <s v="R"/>
    <s v="RS"/>
    <x v="6"/>
    <s v="WAS"/>
    <s v="A"/>
    <n v="0"/>
    <n v="2"/>
    <n v="-2"/>
    <n v="2"/>
    <n v="-16"/>
    <n v="16"/>
    <n v="1473.338194571593"/>
    <n v="1439.4468507695824"/>
    <n v="0.38398793432330774"/>
    <n v="71"/>
    <n v="68"/>
    <n v="0"/>
    <n v="3"/>
    <n v="1"/>
    <n v="0.28221303850424356"/>
    <n v="1"/>
    <n v="75.7"/>
    <n v="75.7"/>
    <n v="13.16019040650905"/>
    <n v="1486.498384978102"/>
    <n v="1"/>
    <n v="0"/>
    <n v="0"/>
    <n v="0"/>
    <n v="0"/>
    <n v="0"/>
    <n v="0"/>
    <n v="0"/>
    <n v="0"/>
    <n v="0"/>
  </r>
  <r>
    <d v="2004-05-22T00:00:00"/>
    <n v="2004"/>
    <x v="0"/>
    <s v="R"/>
    <s v="RS"/>
    <x v="12"/>
    <s v="CHA"/>
    <s v="H"/>
    <n v="2"/>
    <n v="0"/>
    <n v="2"/>
    <n v="-2"/>
    <n v="16"/>
    <n v="-16"/>
    <n v="1439.4468507695824"/>
    <n v="1473.338194571593"/>
    <n v="0.61601206567669231"/>
    <n v="68"/>
    <n v="71"/>
    <n v="0"/>
    <n v="-3"/>
    <n v="0"/>
    <n v="0.28221303850424356"/>
    <n v="1"/>
    <n v="75.849999999999994"/>
    <n v="75.849999999999994"/>
    <n v="-13.186267402030534"/>
    <n v="1426.2605833675518"/>
    <n v="0"/>
    <n v="1"/>
    <n v="0"/>
    <n v="0"/>
    <n v="0"/>
    <n v="0"/>
    <n v="0"/>
    <n v="0"/>
    <n v="0"/>
    <n v="0"/>
  </r>
  <r>
    <d v="2004-05-23T00:00:00"/>
    <n v="2004"/>
    <x v="1"/>
    <s v="R"/>
    <s v="RS"/>
    <x v="12"/>
    <s v="IND"/>
    <s v="A"/>
    <n v="0"/>
    <n v="1"/>
    <n v="-1"/>
    <n v="1"/>
    <n v="-8"/>
    <n v="8"/>
    <n v="1426.2605833675518"/>
    <n v="1491.0308216681879"/>
    <n v="0.27918784466169999"/>
    <n v="68"/>
    <n v="67"/>
    <n v="0"/>
    <n v="1"/>
    <n v="1"/>
    <n v="0.23167496853187519"/>
    <n v="1"/>
    <n v="75.7"/>
    <n v="75.7"/>
    <n v="12.64145589878831"/>
    <n v="1438.9020392663401"/>
    <n v="1"/>
    <n v="0"/>
    <n v="0"/>
    <n v="0"/>
    <n v="0"/>
    <n v="0"/>
    <n v="0"/>
    <n v="0"/>
    <n v="0"/>
    <n v="0"/>
  </r>
  <r>
    <d v="2004-05-23T00:00:00"/>
    <n v="2004"/>
    <x v="1"/>
    <s v="R"/>
    <s v="RS"/>
    <x v="8"/>
    <s v="WAS"/>
    <s v="H"/>
    <n v="1"/>
    <n v="0"/>
    <n v="1"/>
    <n v="-1"/>
    <n v="8"/>
    <n v="-8"/>
    <n v="1491.0308216681879"/>
    <n v="1426.2605833675518"/>
    <n v="0.72081215533830001"/>
    <n v="67"/>
    <n v="68"/>
    <n v="0"/>
    <n v="-1"/>
    <n v="0"/>
    <n v="0.23167496853187519"/>
    <n v="1"/>
    <n v="75.7"/>
    <n v="75.7"/>
    <n v="-12.64145589878831"/>
    <n v="1478.3893657693995"/>
    <n v="0"/>
    <n v="1"/>
    <n v="0"/>
    <n v="0"/>
    <n v="0"/>
    <n v="0"/>
    <n v="0"/>
    <n v="0"/>
    <n v="0"/>
    <n v="0"/>
  </r>
  <r>
    <d v="2004-05-23T00:00:00"/>
    <n v="2004"/>
    <x v="2"/>
    <s v="R"/>
    <s v="RS"/>
    <x v="1"/>
    <s v="NYL"/>
    <s v="A"/>
    <n v="1"/>
    <n v="1"/>
    <n v="0"/>
    <n v="0"/>
    <n v="0"/>
    <n v="0"/>
    <n v="1534.0596569268905"/>
    <n v="1487.5261993721983"/>
    <n v="0.4462893485437095"/>
    <n v="62"/>
    <n v="68"/>
    <n v="0"/>
    <n v="-6"/>
    <n v="0"/>
    <n v="0.33816734781921798"/>
    <n v="1"/>
    <n v="75.55"/>
    <n v="75.55"/>
    <n v="-11.402042668720807"/>
    <n v="1522.6576142581698"/>
    <n v="0"/>
    <n v="1"/>
    <n v="0"/>
    <n v="0"/>
    <n v="0"/>
    <n v="0"/>
    <n v="0"/>
    <n v="0"/>
    <n v="0"/>
    <n v="0"/>
  </r>
  <r>
    <d v="2004-05-23T00:00:00"/>
    <n v="2004"/>
    <x v="1"/>
    <s v="R"/>
    <s v="RS"/>
    <x v="7"/>
    <s v="HOU"/>
    <s v="H"/>
    <n v="1"/>
    <n v="1"/>
    <n v="0"/>
    <n v="0"/>
    <n v="0"/>
    <n v="0"/>
    <n v="1487.5261993721983"/>
    <n v="1534.0596569268905"/>
    <n v="0.5537106514562905"/>
    <n v="68"/>
    <n v="62"/>
    <n v="0"/>
    <n v="6"/>
    <n v="1"/>
    <n v="0.33816734781921798"/>
    <n v="1"/>
    <n v="75.7"/>
    <n v="75.7"/>
    <n v="11.424680741524357"/>
    <n v="1498.9508801137226"/>
    <n v="1"/>
    <n v="0"/>
    <n v="0"/>
    <n v="0"/>
    <n v="0"/>
    <n v="0"/>
    <n v="0"/>
    <n v="0"/>
    <n v="0"/>
    <n v="0"/>
  </r>
  <r>
    <d v="2004-05-25T00:00:00"/>
    <n v="2004"/>
    <x v="3"/>
    <s v="R"/>
    <s v="RS"/>
    <x v="1"/>
    <s v="CON"/>
    <s v="A"/>
    <n v="1"/>
    <n v="2"/>
    <n v="-1"/>
    <n v="1"/>
    <n v="-8"/>
    <n v="8"/>
    <n v="1522.6576142581698"/>
    <n v="1489.8460927872593"/>
    <n v="0.40449558699235677"/>
    <n v="68"/>
    <n v="57"/>
    <n v="0"/>
    <n v="11"/>
    <n v="1"/>
    <n v="0.42812964927470604"/>
    <n v="1"/>
    <n v="75.400000000000006"/>
    <n v="75.400000000000006"/>
    <n v="19.223463399380648"/>
    <n v="1541.8810776575506"/>
    <n v="1"/>
    <n v="0"/>
    <n v="0"/>
    <n v="0"/>
    <n v="0"/>
    <n v="0"/>
    <n v="0"/>
    <n v="0"/>
    <n v="0"/>
    <n v="0"/>
  </r>
  <r>
    <d v="2004-05-25T00:00:00"/>
    <n v="2004"/>
    <x v="1"/>
    <s v="R"/>
    <s v="RS"/>
    <x v="9"/>
    <s v="HOU"/>
    <s v="H"/>
    <n v="2"/>
    <n v="1"/>
    <n v="1"/>
    <n v="-1"/>
    <n v="8"/>
    <n v="-8"/>
    <n v="1489.8460927872593"/>
    <n v="1522.6576142581698"/>
    <n v="0.59550441300764323"/>
    <n v="57"/>
    <n v="68"/>
    <n v="0"/>
    <n v="-11"/>
    <n v="0"/>
    <n v="0.42812964927470604"/>
    <n v="1"/>
    <n v="75.7"/>
    <n v="75.7"/>
    <n v="-19.299949328025402"/>
    <n v="1470.5461434592339"/>
    <n v="0"/>
    <n v="1"/>
    <n v="0"/>
    <n v="0"/>
    <n v="0"/>
    <n v="0"/>
    <n v="0"/>
    <n v="0"/>
    <n v="0"/>
    <n v="0"/>
  </r>
  <r>
    <d v="2004-05-25T00:00:00"/>
    <n v="2004"/>
    <x v="1"/>
    <s v="R"/>
    <s v="RS"/>
    <x v="11"/>
    <s v="WAS"/>
    <s v="A"/>
    <n v="2"/>
    <n v="1"/>
    <n v="1"/>
    <n v="-1"/>
    <n v="8"/>
    <n v="-8"/>
    <n v="1540.3917935195977"/>
    <n v="1438.9020392663401"/>
    <n v="0.54804691695155272"/>
    <n v="95"/>
    <n v="79"/>
    <n v="0"/>
    <n v="16"/>
    <n v="1"/>
    <n v="0.47740924329640688"/>
    <n v="1"/>
    <n v="75.7"/>
    <n v="75.7"/>
    <n v="16.333530059341349"/>
    <n v="1556.7253235789392"/>
    <n v="1"/>
    <n v="0"/>
    <n v="0"/>
    <n v="0"/>
    <n v="0"/>
    <n v="0"/>
    <n v="0"/>
    <n v="0"/>
    <n v="0"/>
    <n v="0"/>
  </r>
  <r>
    <d v="2004-05-25T00:00:00"/>
    <n v="2004"/>
    <x v="2"/>
    <s v="R"/>
    <s v="RS"/>
    <x v="12"/>
    <s v="LAS"/>
    <s v="H"/>
    <n v="1"/>
    <n v="2"/>
    <n v="-1"/>
    <n v="1"/>
    <n v="-8"/>
    <n v="8"/>
    <n v="1438.9020392663401"/>
    <n v="1540.3917935195977"/>
    <n v="0.45195308304844722"/>
    <n v="79"/>
    <n v="95"/>
    <n v="0"/>
    <n v="-16"/>
    <n v="0"/>
    <n v="0.47740924329640688"/>
    <n v="1"/>
    <n v="75.55"/>
    <n v="75.55"/>
    <n v="-16.3011650724338"/>
    <n v="1422.6008741939063"/>
    <n v="0"/>
    <n v="1"/>
    <n v="0"/>
    <n v="0"/>
    <n v="0"/>
    <n v="0"/>
    <n v="0"/>
    <n v="0"/>
    <n v="0"/>
    <n v="0"/>
  </r>
  <r>
    <d v="2004-05-26T00:00:00"/>
    <n v="2004"/>
    <x v="1"/>
    <s v="R"/>
    <s v="RS"/>
    <x v="10"/>
    <s v="NYL"/>
    <s v="A"/>
    <n v="3"/>
    <n v="2"/>
    <n v="1"/>
    <n v="-1"/>
    <n v="8"/>
    <n v="-8"/>
    <n v="1584.5827450942181"/>
    <n v="1498.9508801137226"/>
    <n v="0.52535253268668647"/>
    <n v="52"/>
    <n v="64"/>
    <n v="0"/>
    <n v="-12"/>
    <n v="0"/>
    <n v="0.42574810612690661"/>
    <n v="1"/>
    <n v="75.7"/>
    <n v="75.7"/>
    <n v="-16.931655930113024"/>
    <n v="1567.6510891641051"/>
    <n v="0"/>
    <n v="1"/>
    <n v="0"/>
    <n v="0"/>
    <n v="0"/>
    <n v="0"/>
    <n v="0"/>
    <n v="0"/>
    <n v="0"/>
    <n v="0"/>
  </r>
  <r>
    <d v="2004-05-26T00:00:00"/>
    <n v="2004"/>
    <x v="2"/>
    <s v="R"/>
    <s v="RS"/>
    <x v="7"/>
    <s v="DET"/>
    <s v="H"/>
    <n v="2"/>
    <n v="3"/>
    <n v="-1"/>
    <n v="1"/>
    <n v="-8"/>
    <n v="8"/>
    <n v="1498.9508801137226"/>
    <n v="1584.5827450942181"/>
    <n v="0.47464746731331348"/>
    <n v="64"/>
    <n v="52"/>
    <n v="0"/>
    <n v="12"/>
    <n v="1"/>
    <n v="0.42574810612690661"/>
    <n v="1"/>
    <n v="75.55"/>
    <n v="75.55"/>
    <n v="16.898105753236976"/>
    <n v="1515.8489858669595"/>
    <n v="1"/>
    <n v="0"/>
    <n v="0"/>
    <n v="0"/>
    <n v="0"/>
    <n v="0"/>
    <n v="0"/>
    <n v="0"/>
    <n v="0"/>
    <n v="0"/>
  </r>
  <r>
    <d v="2004-05-26T00:00:00"/>
    <n v="2004"/>
    <x v="2"/>
    <s v="R"/>
    <s v="RS"/>
    <x v="4"/>
    <s v="SAS"/>
    <s v="A"/>
    <n v="3"/>
    <n v="3"/>
    <n v="0"/>
    <n v="0"/>
    <n v="0"/>
    <n v="0"/>
    <n v="1507.1556949422022"/>
    <n v="1458.8090275977327"/>
    <n v="0.44887007959457631"/>
    <n v="44"/>
    <n v="56"/>
    <n v="0"/>
    <n v="-12"/>
    <n v="0"/>
    <n v="0.43846420710699208"/>
    <n v="1"/>
    <n v="75.55"/>
    <n v="75.55"/>
    <n v="-14.869257170710542"/>
    <n v="1492.2864377714916"/>
    <n v="0"/>
    <n v="1"/>
    <n v="0"/>
    <n v="0"/>
    <n v="0"/>
    <n v="0"/>
    <n v="0"/>
    <n v="0"/>
    <n v="0"/>
    <n v="0"/>
  </r>
  <r>
    <d v="2004-05-26T00:00:00"/>
    <n v="2004"/>
    <x v="2"/>
    <s v="R"/>
    <s v="RS"/>
    <x v="0"/>
    <s v="MIN"/>
    <s v="H"/>
    <n v="3"/>
    <n v="3"/>
    <n v="0"/>
    <n v="0"/>
    <n v="0"/>
    <n v="0"/>
    <n v="1458.8090275977327"/>
    <n v="1507.1556949422022"/>
    <n v="0.55112992040542375"/>
    <n v="56"/>
    <n v="44"/>
    <n v="0"/>
    <n v="12"/>
    <n v="1"/>
    <n v="0.43846420710699208"/>
    <n v="1"/>
    <n v="75.55"/>
    <n v="75.55"/>
    <n v="14.86925717071054"/>
    <n v="1473.6782847684433"/>
    <n v="1"/>
    <n v="0"/>
    <n v="0"/>
    <n v="0"/>
    <n v="0"/>
    <n v="0"/>
    <n v="0"/>
    <n v="0"/>
    <n v="0"/>
    <n v="0"/>
  </r>
  <r>
    <d v="2004-05-27T00:00:00"/>
    <n v="2004"/>
    <x v="2"/>
    <s v="R"/>
    <s v="RS"/>
    <x v="11"/>
    <s v="CON"/>
    <s v="A"/>
    <n v="1"/>
    <n v="1"/>
    <n v="0"/>
    <n v="0"/>
    <n v="0"/>
    <n v="0"/>
    <n v="1556.7253235789392"/>
    <n v="1470.5461434592339"/>
    <n v="0.50313605116232463"/>
    <n v="73"/>
    <n v="82"/>
    <n v="0"/>
    <n v="-9"/>
    <n v="0"/>
    <n v="0.37876980136729527"/>
    <n v="1"/>
    <n v="75.55"/>
    <n v="75.55"/>
    <n v="-14.397770670148638"/>
    <n v="1542.3275529087905"/>
    <n v="0"/>
    <n v="1"/>
    <n v="0"/>
    <n v="0"/>
    <n v="0"/>
    <n v="0"/>
    <n v="0"/>
    <n v="0"/>
    <n v="0"/>
    <n v="0"/>
  </r>
  <r>
    <d v="2004-05-27T00:00:00"/>
    <n v="2004"/>
    <x v="2"/>
    <s v="R"/>
    <s v="RS"/>
    <x v="9"/>
    <s v="LAS"/>
    <s v="H"/>
    <n v="1"/>
    <n v="1"/>
    <n v="0"/>
    <n v="0"/>
    <n v="0"/>
    <n v="0"/>
    <n v="1470.5461434592339"/>
    <n v="1556.7253235789392"/>
    <n v="0.49686394883767526"/>
    <n v="82"/>
    <n v="73"/>
    <n v="0"/>
    <n v="9"/>
    <n v="1"/>
    <n v="0.37876980136729527"/>
    <n v="1"/>
    <n v="75.55"/>
    <n v="75.55"/>
    <n v="14.397770670148642"/>
    <n v="1484.9439141293826"/>
    <n v="1"/>
    <n v="0"/>
    <n v="0"/>
    <n v="0"/>
    <n v="0"/>
    <n v="0"/>
    <n v="0"/>
    <n v="0"/>
    <n v="0"/>
    <n v="0"/>
  </r>
  <r>
    <d v="2004-05-28T00:00:00"/>
    <n v="2004"/>
    <x v="2"/>
    <s v="R"/>
    <s v="RS"/>
    <x v="8"/>
    <s v="CHA"/>
    <s v="A"/>
    <n v="4"/>
    <n v="5"/>
    <n v="-1"/>
    <n v="1"/>
    <n v="-8"/>
    <n v="8"/>
    <n v="1478.3893657693995"/>
    <n v="1486.498384978102"/>
    <n v="0.34925272857483214"/>
    <n v="41"/>
    <n v="63"/>
    <n v="0"/>
    <n v="-22"/>
    <n v="0"/>
    <n v="0.59801507487909944"/>
    <n v="1"/>
    <n v="75.55"/>
    <n v="75.55"/>
    <n v="-15.779251865427328"/>
    <n v="1462.6101139039722"/>
    <n v="0"/>
    <n v="1"/>
    <n v="0"/>
    <n v="0"/>
    <n v="0"/>
    <n v="0"/>
    <n v="0"/>
    <n v="0"/>
    <n v="0"/>
    <n v="0"/>
  </r>
  <r>
    <d v="2004-05-28T00:00:00"/>
    <n v="2004"/>
    <x v="2"/>
    <s v="R"/>
    <s v="RS"/>
    <x v="6"/>
    <s v="IND"/>
    <s v="H"/>
    <n v="5"/>
    <n v="4"/>
    <n v="1"/>
    <n v="-1"/>
    <n v="8"/>
    <n v="-8"/>
    <n v="1486.498384978102"/>
    <n v="1478.3893657693995"/>
    <n v="0.65074727142516786"/>
    <n v="63"/>
    <n v="41"/>
    <n v="0"/>
    <n v="22"/>
    <n v="1"/>
    <n v="0.59801507487909944"/>
    <n v="1"/>
    <n v="75.55"/>
    <n v="75.55"/>
    <n v="15.779251865427328"/>
    <n v="1502.2776368435293"/>
    <n v="1"/>
    <n v="0"/>
    <n v="0"/>
    <n v="0"/>
    <n v="0"/>
    <n v="0"/>
    <n v="0"/>
    <n v="0"/>
    <n v="0"/>
    <n v="0"/>
  </r>
  <r>
    <d v="2004-05-28T00:00:00"/>
    <n v="2004"/>
    <x v="3"/>
    <s v="R"/>
    <s v="RS"/>
    <x v="12"/>
    <s v="MIN"/>
    <s v="A"/>
    <n v="2"/>
    <n v="1"/>
    <n v="1"/>
    <n v="-1"/>
    <n v="8"/>
    <n v="-8"/>
    <n v="1422.6008741939063"/>
    <n v="1492.2864377714916"/>
    <n v="0.31161457257179076"/>
    <n v="62"/>
    <n v="73"/>
    <n v="0"/>
    <n v="-11"/>
    <n v="0"/>
    <n v="0.41569596398494912"/>
    <n v="1"/>
    <n v="75.400000000000006"/>
    <n v="75.400000000000006"/>
    <n v="-9.7670837783289297"/>
    <n v="1412.8337904155774"/>
    <n v="0"/>
    <n v="1"/>
    <n v="0"/>
    <n v="0"/>
    <n v="0"/>
    <n v="0"/>
    <n v="0"/>
    <n v="0"/>
    <n v="0"/>
    <n v="0"/>
  </r>
  <r>
    <d v="2004-05-28T00:00:00"/>
    <n v="2004"/>
    <x v="3"/>
    <s v="R"/>
    <s v="RS"/>
    <x v="4"/>
    <s v="WAS"/>
    <s v="H"/>
    <n v="1"/>
    <n v="2"/>
    <n v="-1"/>
    <n v="1"/>
    <n v="-8"/>
    <n v="8"/>
    <n v="1492.2864377714916"/>
    <n v="1422.6008741939063"/>
    <n v="0.6883854274282093"/>
    <n v="73"/>
    <n v="62"/>
    <n v="0"/>
    <n v="11"/>
    <n v="1"/>
    <n v="0.41569596398494912"/>
    <n v="1"/>
    <n v="75.400000000000006"/>
    <n v="75.400000000000006"/>
    <n v="9.7670837783289279"/>
    <n v="1502.0535215498205"/>
    <n v="1"/>
    <n v="0"/>
    <n v="0"/>
    <n v="0"/>
    <n v="0"/>
    <n v="0"/>
    <n v="0"/>
    <n v="0"/>
    <n v="0"/>
    <n v="0"/>
  </r>
  <r>
    <d v="2004-05-28T00:00:00"/>
    <n v="2004"/>
    <x v="2"/>
    <s v="R"/>
    <s v="RS"/>
    <x v="5"/>
    <s v="PHX"/>
    <s v="A"/>
    <n v="5"/>
    <n v="5"/>
    <n v="0"/>
    <n v="0"/>
    <n v="0"/>
    <n v="0"/>
    <n v="1547.447626815974"/>
    <n v="1444.1333109176035"/>
    <n v="0.52776693746652437"/>
    <n v="76"/>
    <n v="84"/>
    <n v="0"/>
    <n v="-8"/>
    <n v="0"/>
    <n v="0.3575335867329969"/>
    <n v="1"/>
    <n v="75.55"/>
    <n v="75.55"/>
    <n v="-14.255862381723503"/>
    <n v="1533.1917644342504"/>
    <n v="0"/>
    <n v="1"/>
    <n v="0"/>
    <n v="0"/>
    <n v="0"/>
    <n v="0"/>
    <n v="0"/>
    <n v="0"/>
    <n v="0"/>
    <n v="0"/>
  </r>
  <r>
    <d v="2004-05-28T00:00:00"/>
    <n v="2004"/>
    <x v="2"/>
    <s v="R"/>
    <s v="RS"/>
    <x v="3"/>
    <s v="SEA"/>
    <s v="H"/>
    <n v="5"/>
    <n v="5"/>
    <n v="0"/>
    <n v="0"/>
    <n v="0"/>
    <n v="0"/>
    <n v="1444.1333109176035"/>
    <n v="1547.447626815974"/>
    <n v="0.47223306253347558"/>
    <n v="84"/>
    <n v="76"/>
    <n v="0"/>
    <n v="8"/>
    <n v="1"/>
    <n v="0.3575335867329969"/>
    <n v="1"/>
    <n v="75.55"/>
    <n v="75.55"/>
    <n v="14.255862381723503"/>
    <n v="1458.389173299327"/>
    <n v="1"/>
    <n v="0"/>
    <n v="0"/>
    <n v="0"/>
    <n v="0"/>
    <n v="0"/>
    <n v="0"/>
    <n v="0"/>
    <n v="0"/>
    <n v="0"/>
  </r>
  <r>
    <d v="2004-05-28T00:00:00"/>
    <n v="2004"/>
    <x v="2"/>
    <s v="R"/>
    <s v="RS"/>
    <x v="2"/>
    <s v="SAS"/>
    <s v="A"/>
    <n v="5"/>
    <n v="1"/>
    <n v="4"/>
    <n v="-4"/>
    <n v="16"/>
    <n v="-16"/>
    <n v="1521.2339750865438"/>
    <n v="1473.6782847684433"/>
    <n v="0.49360447306335326"/>
    <n v="63"/>
    <n v="72"/>
    <n v="0"/>
    <n v="-9"/>
    <n v="0"/>
    <n v="0.39049626109474467"/>
    <n v="1"/>
    <n v="75.55"/>
    <n v="75.55"/>
    <n v="-14.562315474971063"/>
    <n v="1506.6716596115727"/>
    <n v="0"/>
    <n v="1"/>
    <n v="0"/>
    <n v="0"/>
    <n v="0"/>
    <n v="0"/>
    <n v="0"/>
    <n v="0"/>
    <n v="0"/>
    <n v="0"/>
  </r>
  <r>
    <d v="2004-05-28T00:00:00"/>
    <n v="2004"/>
    <x v="3"/>
    <s v="R"/>
    <s v="RS"/>
    <x v="0"/>
    <s v="SAC"/>
    <s v="H"/>
    <n v="1"/>
    <n v="5"/>
    <n v="-4"/>
    <n v="4"/>
    <n v="-16"/>
    <n v="16"/>
    <n v="1473.6782847684433"/>
    <n v="1521.2339750865438"/>
    <n v="0.5063955269366468"/>
    <n v="72"/>
    <n v="63"/>
    <n v="0"/>
    <n v="9"/>
    <n v="1"/>
    <n v="0.39049626109474467"/>
    <n v="1"/>
    <n v="75.400000000000006"/>
    <n v="75.400000000000006"/>
    <n v="14.533402869792431"/>
    <n v="1488.2116876382356"/>
    <n v="1"/>
    <n v="0"/>
    <n v="0"/>
    <n v="0"/>
    <n v="0"/>
    <n v="0"/>
    <n v="0"/>
    <n v="0"/>
    <n v="0"/>
    <n v="0"/>
  </r>
  <r>
    <d v="2004-05-29T00:00:00"/>
    <n v="2004"/>
    <x v="3"/>
    <s v="R"/>
    <s v="RS"/>
    <x v="11"/>
    <s v="DET"/>
    <s v="A"/>
    <n v="1"/>
    <n v="2"/>
    <n v="-1"/>
    <n v="1"/>
    <n v="-8"/>
    <n v="8"/>
    <n v="1542.3275529087905"/>
    <n v="1567.6510891641051"/>
    <n v="0.32708030738992971"/>
    <n v="63"/>
    <n v="60"/>
    <n v="0"/>
    <n v="3"/>
    <n v="1"/>
    <n v="0.28418635161668249"/>
    <n v="1"/>
    <n v="75.400000000000006"/>
    <n v="75.400000000000006"/>
    <n v="14.419088264990199"/>
    <n v="1556.7466411737807"/>
    <n v="1"/>
    <n v="0"/>
    <n v="0"/>
    <n v="0"/>
    <n v="0"/>
    <n v="0"/>
    <n v="0"/>
    <n v="0"/>
    <n v="0"/>
    <n v="0"/>
  </r>
  <r>
    <d v="2004-05-29T00:00:00"/>
    <n v="2004"/>
    <x v="2"/>
    <s v="R"/>
    <s v="RS"/>
    <x v="10"/>
    <s v="LAS"/>
    <s v="H"/>
    <n v="2"/>
    <n v="1"/>
    <n v="1"/>
    <n v="-1"/>
    <n v="8"/>
    <n v="-8"/>
    <n v="1567.6510891641051"/>
    <n v="1542.3275529087905"/>
    <n v="0.67291969261007034"/>
    <n v="60"/>
    <n v="63"/>
    <n v="0"/>
    <n v="-3"/>
    <n v="0"/>
    <n v="0.28418635161668249"/>
    <n v="1"/>
    <n v="75.55"/>
    <n v="75.55"/>
    <n v="-14.447773453846281"/>
    <n v="1553.2033157102587"/>
    <n v="0"/>
    <n v="1"/>
    <n v="0"/>
    <n v="0"/>
    <n v="0"/>
    <n v="0"/>
    <n v="0"/>
    <n v="0"/>
    <n v="0"/>
    <n v="0"/>
  </r>
  <r>
    <d v="2004-05-30T00:00:00"/>
    <n v="2004"/>
    <x v="3"/>
    <s v="R"/>
    <s v="RS"/>
    <x v="2"/>
    <s v="HOU"/>
    <s v="A"/>
    <n v="1"/>
    <n v="4"/>
    <n v="-3"/>
    <n v="3"/>
    <n v="-16"/>
    <n v="16"/>
    <n v="1506.6716596115727"/>
    <n v="1541.8810776575506"/>
    <n v="0.29516454877093046"/>
    <n v="57"/>
    <n v="63"/>
    <n v="0"/>
    <n v="-6"/>
    <n v="0"/>
    <n v="0.34126756738629344"/>
    <n v="1"/>
    <n v="75.400000000000006"/>
    <n v="75.400000000000006"/>
    <n v="-7.5950486003447226"/>
    <n v="1499.0766110112281"/>
    <n v="0"/>
    <n v="1"/>
    <n v="0"/>
    <n v="0"/>
    <n v="0"/>
    <n v="0"/>
    <n v="0"/>
    <n v="0"/>
    <n v="0"/>
    <n v="0"/>
  </r>
  <r>
    <d v="2004-05-30T00:00:00"/>
    <n v="2004"/>
    <x v="4"/>
    <s v="R"/>
    <s v="RS"/>
    <x v="1"/>
    <s v="SAC"/>
    <s v="H"/>
    <n v="4"/>
    <n v="1"/>
    <n v="3"/>
    <n v="-3"/>
    <n v="16"/>
    <n v="-16"/>
    <n v="1541.8810776575506"/>
    <n v="1506.6716596115727"/>
    <n v="0.70483545122906954"/>
    <n v="63"/>
    <n v="57"/>
    <n v="0"/>
    <n v="6"/>
    <n v="1"/>
    <n v="0.34126756738629344"/>
    <n v="1"/>
    <n v="75.25"/>
    <n v="75.25"/>
    <n v="7.5799390872140631"/>
    <n v="1549.4610167447647"/>
    <n v="1"/>
    <n v="0"/>
    <n v="0"/>
    <n v="0"/>
    <n v="0"/>
    <n v="0"/>
    <n v="0"/>
    <n v="0"/>
    <n v="0"/>
    <n v="0"/>
  </r>
  <r>
    <d v="2004-05-30T00:00:00"/>
    <n v="2004"/>
    <x v="3"/>
    <s v="R"/>
    <s v="RS"/>
    <x v="7"/>
    <s v="MIN"/>
    <s v="A"/>
    <n v="3"/>
    <n v="1"/>
    <n v="2"/>
    <n v="-2"/>
    <n v="16"/>
    <n v="-16"/>
    <n v="1515.8489858669595"/>
    <n v="1502.0535215498205"/>
    <n v="0.44523978740418169"/>
    <n v="68"/>
    <n v="64"/>
    <n v="0"/>
    <n v="4"/>
    <n v="1"/>
    <n v="0.30789312769009514"/>
    <n v="1"/>
    <n v="75.400000000000006"/>
    <n v="75.400000000000006"/>
    <n v="12.878837015850806"/>
    <n v="1528.7278228828104"/>
    <n v="1"/>
    <n v="0"/>
    <n v="0"/>
    <n v="0"/>
    <n v="0"/>
    <n v="0"/>
    <n v="0"/>
    <n v="0"/>
    <n v="0"/>
    <n v="0"/>
  </r>
  <r>
    <d v="2004-05-30T00:00:00"/>
    <n v="2004"/>
    <x v="4"/>
    <s v="R"/>
    <s v="RS"/>
    <x v="4"/>
    <s v="NYL"/>
    <s v="H"/>
    <n v="1"/>
    <n v="3"/>
    <n v="-2"/>
    <n v="2"/>
    <n v="-16"/>
    <n v="16"/>
    <n v="1502.0535215498205"/>
    <n v="1515.8489858669595"/>
    <n v="0.55476021259581831"/>
    <n v="64"/>
    <n v="68"/>
    <n v="0"/>
    <n v="-4"/>
    <n v="0"/>
    <n v="0.30789312769009514"/>
    <n v="1"/>
    <n v="75.25"/>
    <n v="75.25"/>
    <n v="-12.853215987304683"/>
    <n v="1489.2003055625157"/>
    <n v="0"/>
    <n v="1"/>
    <n v="0"/>
    <n v="0"/>
    <n v="0"/>
    <n v="0"/>
    <n v="0"/>
    <n v="0"/>
    <n v="0"/>
    <n v="0"/>
  </r>
  <r>
    <d v="2004-06-01T00:00:00"/>
    <n v="2004"/>
    <x v="4"/>
    <s v="R"/>
    <s v="RS"/>
    <x v="7"/>
    <s v="CHA"/>
    <s v="A"/>
    <n v="1"/>
    <n v="3"/>
    <n v="-2"/>
    <n v="2"/>
    <n v="-16"/>
    <n v="16"/>
    <n v="1528.7278228828104"/>
    <n v="1502.2776368435293"/>
    <n v="0.37390738678315927"/>
    <n v="63"/>
    <n v="53"/>
    <n v="0"/>
    <n v="10"/>
    <n v="1"/>
    <n v="0.41400429057660743"/>
    <n v="1"/>
    <n v="75.25"/>
    <n v="75.25"/>
    <n v="19.505178369799452"/>
    <n v="1548.2330012526099"/>
    <n v="1"/>
    <n v="0"/>
    <n v="0"/>
    <n v="0"/>
    <n v="0"/>
    <n v="0"/>
    <n v="0"/>
    <n v="0"/>
    <n v="0"/>
    <n v="0"/>
  </r>
  <r>
    <d v="2004-06-01T00:00:00"/>
    <n v="2004"/>
    <x v="3"/>
    <s v="R"/>
    <s v="RS"/>
    <x v="6"/>
    <s v="NYL"/>
    <s v="H"/>
    <n v="3"/>
    <n v="1"/>
    <n v="2"/>
    <n v="-2"/>
    <n v="16"/>
    <n v="-16"/>
    <n v="1502.2776368435293"/>
    <n v="1528.7278228828104"/>
    <n v="0.62609261321684073"/>
    <n v="53"/>
    <n v="63"/>
    <n v="0"/>
    <n v="-10"/>
    <n v="0"/>
    <n v="0.41400429057660743"/>
    <n v="1"/>
    <n v="75.400000000000006"/>
    <n v="75.400000000000006"/>
    <n v="-19.544059124024969"/>
    <n v="1482.7335777195044"/>
    <n v="0"/>
    <n v="1"/>
    <n v="0"/>
    <n v="0"/>
    <n v="0"/>
    <n v="0"/>
    <n v="0"/>
    <n v="0"/>
    <n v="0"/>
    <n v="0"/>
  </r>
  <r>
    <d v="2004-06-01T00:00:00"/>
    <n v="2004"/>
    <x v="3"/>
    <s v="R"/>
    <s v="RS"/>
    <x v="5"/>
    <s v="LAS"/>
    <s v="A"/>
    <n v="3"/>
    <n v="2"/>
    <n v="1"/>
    <n v="-1"/>
    <n v="8"/>
    <n v="-8"/>
    <n v="1533.1917644342504"/>
    <n v="1556.7466411737807"/>
    <n v="0.37120933746824192"/>
    <n v="70"/>
    <n v="73"/>
    <n v="0"/>
    <n v="-3"/>
    <n v="0"/>
    <n v="0.28459714552923859"/>
    <n v="1"/>
    <n v="75.400000000000006"/>
    <n v="75.400000000000006"/>
    <n v="-7.965641884929517"/>
    <n v="1525.226122549321"/>
    <n v="0"/>
    <n v="1"/>
    <n v="0"/>
    <n v="0"/>
    <n v="0"/>
    <n v="0"/>
    <n v="0"/>
    <n v="0"/>
    <n v="0"/>
    <n v="0"/>
  </r>
  <r>
    <d v="2004-06-01T00:00:00"/>
    <n v="2004"/>
    <x v="4"/>
    <s v="R"/>
    <s v="RS"/>
    <x v="11"/>
    <s v="SEA"/>
    <s v="H"/>
    <n v="2"/>
    <n v="3"/>
    <n v="-1"/>
    <n v="1"/>
    <n v="-8"/>
    <n v="8"/>
    <n v="1556.7466411737807"/>
    <n v="1533.1917644342504"/>
    <n v="0.62879066253175808"/>
    <n v="73"/>
    <n v="70"/>
    <n v="0"/>
    <n v="3"/>
    <n v="1"/>
    <n v="0.28459714552923859"/>
    <n v="1"/>
    <n v="75.25"/>
    <n v="75.25"/>
    <n v="7.9497951172539265"/>
    <n v="1564.6964362910346"/>
    <n v="1"/>
    <n v="0"/>
    <n v="0"/>
    <n v="0"/>
    <n v="0"/>
    <n v="0"/>
    <n v="0"/>
    <n v="0"/>
    <n v="0"/>
    <n v="0"/>
  </r>
  <r>
    <d v="2004-06-01T00:00:00"/>
    <n v="2004"/>
    <x v="5"/>
    <s v="R"/>
    <s v="RS"/>
    <x v="1"/>
    <s v="PHX"/>
    <s v="A"/>
    <n v="1"/>
    <n v="3"/>
    <n v="-2"/>
    <n v="2"/>
    <n v="-16"/>
    <n v="16"/>
    <n v="1549.4610167447647"/>
    <n v="1458.389173299327"/>
    <n v="0.46418693213170509"/>
    <n v="63"/>
    <n v="73"/>
    <n v="0"/>
    <n v="-10"/>
    <n v="0"/>
    <n v="0.39328224976521153"/>
    <n v="1"/>
    <n v="75.099999999999994"/>
    <n v="75.099999999999994"/>
    <n v="-13.709991721625677"/>
    <n v="1535.7510250231389"/>
    <n v="0"/>
    <n v="1"/>
    <n v="0"/>
    <n v="0"/>
    <n v="0"/>
    <n v="0"/>
    <n v="0"/>
    <n v="0"/>
    <n v="0"/>
    <n v="0"/>
  </r>
  <r>
    <d v="2004-06-01T00:00:00"/>
    <n v="2004"/>
    <x v="3"/>
    <s v="R"/>
    <s v="RS"/>
    <x v="3"/>
    <s v="HOU"/>
    <s v="H"/>
    <n v="3"/>
    <n v="1"/>
    <n v="2"/>
    <n v="-2"/>
    <n v="16"/>
    <n v="-16"/>
    <n v="1458.389173299327"/>
    <n v="1549.4610167447647"/>
    <n v="0.53581306786829497"/>
    <n v="73"/>
    <n v="63"/>
    <n v="0"/>
    <n v="10"/>
    <n v="1"/>
    <n v="0.39328224976521153"/>
    <n v="1"/>
    <n v="75.400000000000006"/>
    <n v="75.400000000000006"/>
    <n v="13.764758665919787"/>
    <n v="1472.1539319652468"/>
    <n v="1"/>
    <n v="0"/>
    <n v="0"/>
    <n v="0"/>
    <n v="0"/>
    <n v="0"/>
    <n v="0"/>
    <n v="0"/>
    <n v="0"/>
    <n v="0"/>
  </r>
  <r>
    <d v="2004-06-01T00:00:00"/>
    <n v="2004"/>
    <x v="3"/>
    <s v="R"/>
    <s v="RS"/>
    <x v="8"/>
    <s v="SAS"/>
    <s v="A"/>
    <n v="3"/>
    <n v="3"/>
    <n v="0"/>
    <n v="0"/>
    <n v="0"/>
    <n v="0"/>
    <n v="1462.6101139039722"/>
    <n v="1488.2116876382356"/>
    <n v="0.34730255500600382"/>
    <n v="79"/>
    <n v="60"/>
    <n v="0"/>
    <n v="19"/>
    <n v="1"/>
    <n v="0.54925932023458546"/>
    <n v="1"/>
    <n v="75.400000000000006"/>
    <n v="75.400000000000006"/>
    <n v="27.030911683701483"/>
    <n v="1489.6410255876738"/>
    <n v="1"/>
    <n v="0"/>
    <n v="0"/>
    <n v="0"/>
    <n v="0"/>
    <n v="0"/>
    <n v="0"/>
    <n v="0"/>
    <n v="0"/>
    <n v="0"/>
  </r>
  <r>
    <d v="2004-06-01T00:00:00"/>
    <n v="2004"/>
    <x v="4"/>
    <s v="R"/>
    <s v="RS"/>
    <x v="0"/>
    <s v="IND"/>
    <s v="H"/>
    <n v="3"/>
    <n v="3"/>
    <n v="0"/>
    <n v="0"/>
    <n v="0"/>
    <n v="0"/>
    <n v="1488.2116876382356"/>
    <n v="1462.6101139039722"/>
    <n v="0.65269744499399618"/>
    <n v="60"/>
    <n v="79"/>
    <n v="0"/>
    <n v="-19"/>
    <n v="0"/>
    <n v="0.54925932023458546"/>
    <n v="1"/>
    <n v="75.25"/>
    <n v="75.25"/>
    <n v="-26.977136660458044"/>
    <n v="1461.2345509777776"/>
    <n v="0"/>
    <n v="1"/>
    <n v="0"/>
    <n v="0"/>
    <n v="0"/>
    <n v="0"/>
    <n v="0"/>
    <n v="0"/>
    <n v="0"/>
    <n v="0"/>
  </r>
  <r>
    <d v="2004-06-02T00:00:00"/>
    <n v="2004"/>
    <x v="4"/>
    <s v="R"/>
    <s v="RS"/>
    <x v="12"/>
    <s v="DET"/>
    <s v="A"/>
    <n v="4"/>
    <n v="3"/>
    <n v="1"/>
    <n v="-1"/>
    <n v="8"/>
    <n v="-8"/>
    <n v="1412.8337904155774"/>
    <n v="1553.2033157102587"/>
    <n v="0.2315692636138186"/>
    <n v="65"/>
    <n v="63"/>
    <n v="0"/>
    <n v="2"/>
    <n v="1"/>
    <n v="0.2397917730194154"/>
    <n v="1"/>
    <n v="75.25"/>
    <n v="75.25"/>
    <n v="13.865818496229473"/>
    <n v="1426.6996089118068"/>
    <n v="1"/>
    <n v="0"/>
    <n v="0"/>
    <n v="0"/>
    <n v="0"/>
    <n v="0"/>
    <n v="0"/>
    <n v="0"/>
    <n v="0"/>
    <n v="0"/>
  </r>
  <r>
    <d v="2004-06-02T00:00:00"/>
    <n v="2004"/>
    <x v="3"/>
    <s v="R"/>
    <s v="RS"/>
    <x v="10"/>
    <s v="WAS"/>
    <s v="H"/>
    <n v="3"/>
    <n v="4"/>
    <n v="-1"/>
    <n v="1"/>
    <n v="-8"/>
    <n v="8"/>
    <n v="1553.2033157102587"/>
    <n v="1412.8337904155774"/>
    <n v="0.76843073638618142"/>
    <n v="63"/>
    <n v="65"/>
    <n v="0"/>
    <n v="-2"/>
    <n v="0"/>
    <n v="0.2397917730194154"/>
    <n v="1"/>
    <n v="75.400000000000006"/>
    <n v="75.400000000000006"/>
    <n v="-13.893458001537574"/>
    <n v="1539.3098577087212"/>
    <n v="0"/>
    <n v="1"/>
    <n v="0"/>
    <n v="0"/>
    <n v="0"/>
    <n v="0"/>
    <n v="0"/>
    <n v="0"/>
    <n v="0"/>
    <n v="0"/>
  </r>
  <r>
    <d v="2004-06-03T00:00:00"/>
    <n v="2004"/>
    <x v="4"/>
    <s v="R"/>
    <s v="RS"/>
    <x v="6"/>
    <s v="CON"/>
    <s v="A"/>
    <n v="1"/>
    <n v="6"/>
    <n v="-5"/>
    <n v="5"/>
    <n v="-16"/>
    <n v="16"/>
    <n v="1482.7335777195044"/>
    <n v="1484.9439141293826"/>
    <n v="0.33615565367368411"/>
    <n v="62"/>
    <n v="71"/>
    <n v="0"/>
    <n v="-9"/>
    <n v="0"/>
    <n v="0.40522512394253646"/>
    <n v="1"/>
    <n v="75.25"/>
    <n v="75.25"/>
    <n v="-10.2504584108987"/>
    <n v="1472.4831193086056"/>
    <n v="0"/>
    <n v="1"/>
    <n v="0"/>
    <n v="0"/>
    <n v="0"/>
    <n v="0"/>
    <n v="0"/>
    <n v="0"/>
    <n v="0"/>
    <n v="0"/>
  </r>
  <r>
    <d v="2004-06-03T00:00:00"/>
    <n v="2004"/>
    <x v="3"/>
    <s v="R"/>
    <s v="RS"/>
    <x v="9"/>
    <s v="CHA"/>
    <s v="H"/>
    <n v="6"/>
    <n v="1"/>
    <n v="5"/>
    <n v="-5"/>
    <n v="16"/>
    <n v="-16"/>
    <n v="1484.9439141293826"/>
    <n v="1482.7335777195044"/>
    <n v="0.66384434632631584"/>
    <n v="71"/>
    <n v="62"/>
    <n v="0"/>
    <n v="9"/>
    <n v="1"/>
    <n v="0.40522512394253646"/>
    <n v="1"/>
    <n v="75.400000000000006"/>
    <n v="75.400000000000006"/>
    <n v="10.270891218362289"/>
    <n v="1495.2148053477449"/>
    <n v="1"/>
    <n v="0"/>
    <n v="0"/>
    <n v="0"/>
    <n v="0"/>
    <n v="0"/>
    <n v="0"/>
    <n v="0"/>
    <n v="0"/>
    <n v="0"/>
  </r>
  <r>
    <d v="2004-06-03T00:00:00"/>
    <n v="2004"/>
    <x v="5"/>
    <s v="R"/>
    <s v="RS"/>
    <x v="7"/>
    <s v="HOU"/>
    <s v="A"/>
    <n v="1"/>
    <n v="1"/>
    <n v="0"/>
    <n v="0"/>
    <n v="0"/>
    <n v="0"/>
    <n v="1548.2330012526099"/>
    <n v="1535.7510250231389"/>
    <n v="0.39850675917192691"/>
    <n v="71"/>
    <n v="62"/>
    <n v="0"/>
    <n v="9"/>
    <n v="1"/>
    <n v="0.40179222629903388"/>
    <n v="1"/>
    <n v="75.099999999999994"/>
    <n v="75.099999999999994"/>
    <n v="18.149815656043543"/>
    <n v="1566.3828169086535"/>
    <n v="1"/>
    <n v="0"/>
    <n v="0"/>
    <n v="0"/>
    <n v="0"/>
    <n v="0"/>
    <n v="0"/>
    <n v="0"/>
    <n v="0"/>
    <n v="0"/>
  </r>
  <r>
    <d v="2004-06-03T00:00:00"/>
    <n v="2004"/>
    <x v="6"/>
    <s v="R"/>
    <s v="RS"/>
    <x v="1"/>
    <s v="NYL"/>
    <s v="H"/>
    <n v="1"/>
    <n v="1"/>
    <n v="0"/>
    <n v="0"/>
    <n v="0"/>
    <n v="0"/>
    <n v="1535.7510250231389"/>
    <n v="1548.2330012526099"/>
    <n v="0.60149324082807309"/>
    <n v="62"/>
    <n v="71"/>
    <n v="0"/>
    <n v="-9"/>
    <n v="0"/>
    <n v="0.40179222629903388"/>
    <n v="1"/>
    <n v="74.95"/>
    <n v="74.95"/>
    <n v="-18.113564359793127"/>
    <n v="1517.6374606633458"/>
    <n v="0"/>
    <n v="1"/>
    <n v="0"/>
    <n v="0"/>
    <n v="0"/>
    <n v="0"/>
    <n v="0"/>
    <n v="0"/>
    <n v="0"/>
    <n v="0"/>
  </r>
  <r>
    <d v="2004-06-03T00:00:00"/>
    <n v="2004"/>
    <x v="5"/>
    <s v="R"/>
    <s v="RS"/>
    <x v="0"/>
    <s v="MIN"/>
    <s v="A"/>
    <n v="1"/>
    <n v="3"/>
    <n v="-2"/>
    <n v="2"/>
    <n v="-16"/>
    <n v="16"/>
    <n v="1461.2345509777776"/>
    <n v="1489.2003055625157"/>
    <n v="0.30391293130219232"/>
    <n v="47"/>
    <n v="55"/>
    <n v="0"/>
    <n v="-8"/>
    <n v="0"/>
    <n v="0.37947201724789703"/>
    <n v="1"/>
    <n v="75.099999999999994"/>
    <n v="75.099999999999994"/>
    <n v="-8.66101662848323"/>
    <n v="1452.5735343492945"/>
    <n v="0"/>
    <n v="1"/>
    <n v="0"/>
    <n v="0"/>
    <n v="0"/>
    <n v="0"/>
    <n v="0"/>
    <n v="0"/>
    <n v="0"/>
    <n v="0"/>
  </r>
  <r>
    <d v="2004-06-03T00:00:00"/>
    <n v="2004"/>
    <x v="5"/>
    <s v="R"/>
    <s v="RS"/>
    <x v="4"/>
    <s v="SAS"/>
    <s v="H"/>
    <n v="3"/>
    <n v="1"/>
    <n v="2"/>
    <n v="-2"/>
    <n v="16"/>
    <n v="-16"/>
    <n v="1489.2003055625157"/>
    <n v="1461.2345509777776"/>
    <n v="0.69608706869780768"/>
    <n v="55"/>
    <n v="47"/>
    <n v="0"/>
    <n v="8"/>
    <n v="1"/>
    <n v="0.37947201724789703"/>
    <n v="1"/>
    <n v="75.099999999999994"/>
    <n v="75.099999999999994"/>
    <n v="8.66101662848323"/>
    <n v="1497.8613221909989"/>
    <n v="1"/>
    <n v="0"/>
    <n v="0"/>
    <n v="0"/>
    <n v="0"/>
    <n v="0"/>
    <n v="0"/>
    <n v="0"/>
    <n v="0"/>
    <n v="0"/>
  </r>
  <r>
    <d v="2004-06-03T00:00:00"/>
    <n v="2004"/>
    <x v="5"/>
    <s v="R"/>
    <s v="RS"/>
    <x v="11"/>
    <s v="SAC"/>
    <s v="A"/>
    <n v="1"/>
    <n v="3"/>
    <n v="-2"/>
    <n v="2"/>
    <n v="-16"/>
    <n v="16"/>
    <n v="1564.6964362910346"/>
    <n v="1499.0766110112281"/>
    <n v="0.42800102763141257"/>
    <n v="51"/>
    <n v="68"/>
    <n v="0"/>
    <n v="-17"/>
    <n v="0"/>
    <n v="0.50483602590307119"/>
    <n v="1"/>
    <n v="75.099999999999994"/>
    <n v="75.099999999999994"/>
    <n v="-16.226882374177652"/>
    <n v="1548.469553916857"/>
    <n v="0"/>
    <n v="1"/>
    <n v="0"/>
    <n v="0"/>
    <n v="0"/>
    <n v="0"/>
    <n v="0"/>
    <n v="0"/>
    <n v="0"/>
    <n v="0"/>
  </r>
  <r>
    <d v="2004-06-03T00:00:00"/>
    <n v="2004"/>
    <x v="4"/>
    <s v="R"/>
    <s v="RS"/>
    <x v="2"/>
    <s v="LAS"/>
    <s v="H"/>
    <n v="3"/>
    <n v="1"/>
    <n v="2"/>
    <n v="-2"/>
    <n v="16"/>
    <n v="-16"/>
    <n v="1499.0766110112281"/>
    <n v="1564.6964362910346"/>
    <n v="0.57199897236858743"/>
    <n v="68"/>
    <n v="51"/>
    <n v="0"/>
    <n v="17"/>
    <n v="1"/>
    <n v="0.50483602590307119"/>
    <n v="1"/>
    <n v="75.25"/>
    <n v="75.25"/>
    <n v="16.259292924858435"/>
    <n v="1515.3359039360867"/>
    <n v="1"/>
    <n v="0"/>
    <n v="0"/>
    <n v="0"/>
    <n v="0"/>
    <n v="0"/>
    <n v="0"/>
    <n v="0"/>
    <n v="0"/>
    <n v="0"/>
  </r>
  <r>
    <d v="2004-06-03T00:00:00"/>
    <n v="2004"/>
    <x v="4"/>
    <s v="R"/>
    <s v="RS"/>
    <x v="3"/>
    <s v="SEA"/>
    <s v="A"/>
    <n v="1"/>
    <n v="1"/>
    <n v="0"/>
    <n v="0"/>
    <n v="0"/>
    <n v="0"/>
    <n v="1472.1539319652468"/>
    <n v="1525.226122549321"/>
    <n v="0.31237248372115056"/>
    <n v="45"/>
    <n v="72"/>
    <n v="0"/>
    <n v="-27"/>
    <n v="0"/>
    <n v="0.63843089489290217"/>
    <n v="1"/>
    <n v="75.25"/>
    <n v="75.25"/>
    <n v="-15.006975385231454"/>
    <n v="1457.1469565800153"/>
    <n v="0"/>
    <n v="1"/>
    <n v="0"/>
    <n v="0"/>
    <n v="0"/>
    <n v="0"/>
    <n v="0"/>
    <n v="0"/>
    <n v="0"/>
    <n v="0"/>
  </r>
  <r>
    <d v="2004-06-03T00:00:00"/>
    <n v="2004"/>
    <x v="4"/>
    <s v="R"/>
    <s v="RS"/>
    <x v="5"/>
    <s v="PHX"/>
    <s v="H"/>
    <n v="1"/>
    <n v="1"/>
    <n v="0"/>
    <n v="0"/>
    <n v="0"/>
    <n v="0"/>
    <n v="1525.226122549321"/>
    <n v="1472.1539319652468"/>
    <n v="0.68762751627884944"/>
    <n v="72"/>
    <n v="45"/>
    <n v="0"/>
    <n v="27"/>
    <n v="1"/>
    <n v="0.63843089489290217"/>
    <n v="1"/>
    <n v="75.25"/>
    <n v="75.25"/>
    <n v="15.006975385231454"/>
    <n v="1540.2330979345525"/>
    <n v="1"/>
    <n v="0"/>
    <n v="0"/>
    <n v="0"/>
    <n v="0"/>
    <n v="0"/>
    <n v="0"/>
    <n v="0"/>
    <n v="0"/>
    <n v="0"/>
  </r>
  <r>
    <d v="2004-06-04T00:00:00"/>
    <n v="2004"/>
    <x v="4"/>
    <s v="R"/>
    <s v="RS"/>
    <x v="9"/>
    <s v="WAS"/>
    <s v="A"/>
    <n v="0"/>
    <n v="1"/>
    <n v="-1"/>
    <n v="1"/>
    <n v="-8"/>
    <n v="8"/>
    <n v="1495.2148053477449"/>
    <n v="1426.6996089118068"/>
    <n v="0.4548133499335138"/>
    <n v="72"/>
    <n v="63"/>
    <n v="0"/>
    <n v="9"/>
    <n v="1"/>
    <n v="0.384044143850581"/>
    <n v="1"/>
    <n v="75.25"/>
    <n v="75.25"/>
    <n v="15.755524454832136"/>
    <n v="1510.970329802577"/>
    <n v="1"/>
    <n v="0"/>
    <n v="0"/>
    <n v="0"/>
    <n v="0"/>
    <n v="0"/>
    <n v="0"/>
    <n v="0"/>
    <n v="0"/>
    <n v="0"/>
  </r>
  <r>
    <d v="2004-06-04T00:00:00"/>
    <n v="2004"/>
    <x v="5"/>
    <s v="R"/>
    <s v="RS"/>
    <x v="12"/>
    <s v="CON"/>
    <s v="H"/>
    <n v="1"/>
    <n v="0"/>
    <n v="1"/>
    <n v="-1"/>
    <n v="8"/>
    <n v="-8"/>
    <n v="1426.6996089118068"/>
    <n v="1495.2148053477449"/>
    <n v="0.54518665006648614"/>
    <n v="63"/>
    <n v="72"/>
    <n v="0"/>
    <n v="-9"/>
    <n v="0"/>
    <n v="0.384044143850581"/>
    <n v="1"/>
    <n v="75.099999999999994"/>
    <n v="75.099999999999994"/>
    <n v="-15.724118093792601"/>
    <n v="1410.9754908180141"/>
    <n v="0"/>
    <n v="1"/>
    <n v="0"/>
    <n v="0"/>
    <n v="0"/>
    <n v="0"/>
    <n v="0"/>
    <n v="0"/>
    <n v="0"/>
    <n v="0"/>
  </r>
  <r>
    <d v="2004-06-05T00:00:00"/>
    <n v="2004"/>
    <x v="6"/>
    <s v="R"/>
    <s v="RS"/>
    <x v="11"/>
    <s v="HOU"/>
    <s v="A"/>
    <n v="1"/>
    <n v="1"/>
    <n v="0"/>
    <n v="0"/>
    <n v="0"/>
    <n v="0"/>
    <n v="1548.469553916857"/>
    <n v="1517.6374606633458"/>
    <n v="0.42407696457026967"/>
    <n v="71"/>
    <n v="75"/>
    <n v="0"/>
    <n v="-4"/>
    <n v="0"/>
    <n v="0.30363140832376823"/>
    <n v="1"/>
    <n v="74.95"/>
    <n v="74.95"/>
    <n v="-9.6507932949609732"/>
    <n v="1538.818760621896"/>
    <n v="0"/>
    <n v="1"/>
    <n v="0"/>
    <n v="0"/>
    <n v="0"/>
    <n v="0"/>
    <n v="0"/>
    <n v="0"/>
    <n v="0"/>
    <n v="0"/>
  </r>
  <r>
    <d v="2004-06-05T00:00:00"/>
    <n v="2004"/>
    <x v="7"/>
    <s v="R"/>
    <s v="RS"/>
    <x v="1"/>
    <s v="LAS"/>
    <s v="H"/>
    <n v="1"/>
    <n v="1"/>
    <n v="0"/>
    <n v="0"/>
    <n v="0"/>
    <n v="0"/>
    <n v="1517.6374606633458"/>
    <n v="1548.469553916857"/>
    <n v="0.57592303542973033"/>
    <n v="75"/>
    <n v="71"/>
    <n v="0"/>
    <n v="4"/>
    <n v="1"/>
    <n v="0.30363140832376823"/>
    <n v="1"/>
    <n v="74.8"/>
    <n v="74.8"/>
    <n v="9.6314788320624523"/>
    <n v="1527.2689394954082"/>
    <n v="1"/>
    <n v="0"/>
    <n v="0"/>
    <n v="0"/>
    <n v="0"/>
    <n v="0"/>
    <n v="0"/>
    <n v="0"/>
    <n v="0"/>
    <n v="0"/>
  </r>
  <r>
    <d v="2004-06-05T00:00:00"/>
    <n v="2004"/>
    <x v="5"/>
    <s v="R"/>
    <s v="RS"/>
    <x v="6"/>
    <s v="IND"/>
    <s v="A"/>
    <n v="1"/>
    <n v="3"/>
    <n v="-2"/>
    <n v="2"/>
    <n v="-16"/>
    <n v="16"/>
    <n v="1472.4831193086056"/>
    <n v="1489.6410255876738"/>
    <n v="0.31723269994035275"/>
    <n v="57"/>
    <n v="70"/>
    <n v="0"/>
    <n v="-13"/>
    <n v="0"/>
    <n v="0.46538949782499767"/>
    <n v="1"/>
    <n v="75.099999999999994"/>
    <n v="75.099999999999994"/>
    <n v="-11.08752119561006"/>
    <n v="1461.3955981129957"/>
    <n v="0"/>
    <n v="1"/>
    <n v="0"/>
    <n v="0"/>
    <n v="0"/>
    <n v="0"/>
    <n v="0"/>
    <n v="0"/>
    <n v="0"/>
    <n v="0"/>
  </r>
  <r>
    <d v="2004-06-05T00:00:00"/>
    <n v="2004"/>
    <x v="4"/>
    <s v="R"/>
    <s v="RS"/>
    <x v="8"/>
    <s v="CHA"/>
    <s v="H"/>
    <n v="3"/>
    <n v="1"/>
    <n v="2"/>
    <n v="-2"/>
    <n v="16"/>
    <n v="-16"/>
    <n v="1489.6410255876738"/>
    <n v="1472.4831193086056"/>
    <n v="0.68276730005964725"/>
    <n v="70"/>
    <n v="57"/>
    <n v="0"/>
    <n v="13"/>
    <n v="1"/>
    <n v="0.46538949782499767"/>
    <n v="1"/>
    <n v="75.25"/>
    <n v="75.25"/>
    <n v="11.109666710647897"/>
    <n v="1500.7506922983216"/>
    <n v="1"/>
    <n v="0"/>
    <n v="0"/>
    <n v="0"/>
    <n v="0"/>
    <n v="0"/>
    <n v="0"/>
    <n v="0"/>
    <n v="0"/>
    <n v="0"/>
  </r>
  <r>
    <d v="2004-06-05T00:00:00"/>
    <n v="2004"/>
    <x v="5"/>
    <s v="R"/>
    <s v="RS"/>
    <x v="3"/>
    <s v="MIN"/>
    <s v="A"/>
    <n v="1"/>
    <n v="1"/>
    <n v="0"/>
    <n v="0"/>
    <n v="0"/>
    <n v="0"/>
    <n v="1457.1469565800153"/>
    <n v="1497.8613221909989"/>
    <n v="0.32785258826097929"/>
    <n v="68"/>
    <n v="76"/>
    <n v="0"/>
    <n v="-8"/>
    <n v="0"/>
    <n v="0.37557285941002039"/>
    <n v="1"/>
    <n v="75.099999999999994"/>
    <n v="75.099999999999994"/>
    <n v="-9.24725330626522"/>
    <n v="1447.89970327375"/>
    <n v="0"/>
    <n v="1"/>
    <n v="0"/>
    <n v="0"/>
    <n v="0"/>
    <n v="0"/>
    <n v="0"/>
    <n v="0"/>
    <n v="0"/>
    <n v="0"/>
  </r>
  <r>
    <d v="2004-06-05T00:00:00"/>
    <n v="2004"/>
    <x v="6"/>
    <s v="R"/>
    <s v="RS"/>
    <x v="4"/>
    <s v="PHX"/>
    <s v="H"/>
    <n v="1"/>
    <n v="1"/>
    <n v="0"/>
    <n v="0"/>
    <n v="0"/>
    <n v="0"/>
    <n v="1497.8613221909989"/>
    <n v="1457.1469565800153"/>
    <n v="0.67214741173902071"/>
    <n v="76"/>
    <n v="68"/>
    <n v="0"/>
    <n v="8"/>
    <n v="1"/>
    <n v="0.37557285941002039"/>
    <n v="1"/>
    <n v="74.95"/>
    <n v="74.95"/>
    <n v="9.2287834261594988"/>
    <n v="1507.0901056171583"/>
    <n v="1"/>
    <n v="0"/>
    <n v="0"/>
    <n v="0"/>
    <n v="0"/>
    <n v="0"/>
    <n v="0"/>
    <n v="0"/>
    <n v="0"/>
    <n v="0"/>
  </r>
  <r>
    <d v="2004-06-05T00:00:00"/>
    <n v="2004"/>
    <x v="5"/>
    <s v="R"/>
    <s v="RS"/>
    <x v="5"/>
    <s v="SAC"/>
    <s v="A"/>
    <n v="1"/>
    <n v="1"/>
    <n v="0"/>
    <n v="0"/>
    <n v="0"/>
    <n v="0"/>
    <n v="1540.2330979345525"/>
    <n v="1515.3359039360867"/>
    <n v="0.41575528439302556"/>
    <n v="65"/>
    <n v="63"/>
    <n v="0"/>
    <n v="2"/>
    <n v="1"/>
    <n v="0.26239719263493261"/>
    <n v="1"/>
    <n v="75.099999999999994"/>
    <n v="75.099999999999994"/>
    <n v="11.513143406348556"/>
    <n v="1551.746241340901"/>
    <n v="1"/>
    <n v="0"/>
    <n v="0"/>
    <n v="0"/>
    <n v="0"/>
    <n v="0"/>
    <n v="0"/>
    <n v="0"/>
    <n v="0"/>
    <n v="0"/>
  </r>
  <r>
    <d v="2004-06-05T00:00:00"/>
    <n v="2004"/>
    <x v="5"/>
    <s v="R"/>
    <s v="RS"/>
    <x v="2"/>
    <s v="SEA"/>
    <s v="H"/>
    <n v="1"/>
    <n v="1"/>
    <n v="0"/>
    <n v="0"/>
    <n v="0"/>
    <n v="0"/>
    <n v="1515.3359039360867"/>
    <n v="1540.2330979345525"/>
    <n v="0.58424471560697455"/>
    <n v="63"/>
    <n v="65"/>
    <n v="0"/>
    <n v="-2"/>
    <n v="0"/>
    <n v="0.26239719263493261"/>
    <n v="1"/>
    <n v="75.099999999999994"/>
    <n v="75.099999999999994"/>
    <n v="-11.51314340634856"/>
    <n v="1503.8227605297382"/>
    <n v="0"/>
    <n v="1"/>
    <n v="0"/>
    <n v="0"/>
    <n v="0"/>
    <n v="0"/>
    <n v="0"/>
    <n v="0"/>
    <n v="0"/>
    <n v="0"/>
  </r>
  <r>
    <d v="2004-06-05T00:00:00"/>
    <n v="2004"/>
    <x v="6"/>
    <s v="R"/>
    <s v="RS"/>
    <x v="7"/>
    <s v="SAS"/>
    <s v="A"/>
    <n v="1"/>
    <n v="1"/>
    <n v="0"/>
    <n v="0"/>
    <n v="0"/>
    <n v="0"/>
    <n v="1566.3828169086535"/>
    <n v="1452.5735343492945"/>
    <n v="0.5427940509303435"/>
    <n v="62"/>
    <n v="57"/>
    <n v="0"/>
    <n v="5"/>
    <n v="1"/>
    <n v="0.30301747433079995"/>
    <n v="1"/>
    <n v="74.95"/>
    <n v="74.95"/>
    <n v="10.38367732561097"/>
    <n v="1576.7664942342644"/>
    <n v="1"/>
    <n v="0"/>
    <n v="0"/>
    <n v="0"/>
    <n v="0"/>
    <n v="0"/>
    <n v="0"/>
    <n v="0"/>
    <n v="0"/>
    <n v="0"/>
  </r>
  <r>
    <d v="2004-06-05T00:00:00"/>
    <n v="2004"/>
    <x v="6"/>
    <s v="R"/>
    <s v="RS"/>
    <x v="0"/>
    <s v="NYL"/>
    <s v="H"/>
    <n v="1"/>
    <n v="1"/>
    <n v="0"/>
    <n v="0"/>
    <n v="0"/>
    <n v="0"/>
    <n v="1452.5735343492945"/>
    <n v="1566.3828169086535"/>
    <n v="0.45720594906965656"/>
    <n v="57"/>
    <n v="62"/>
    <n v="0"/>
    <n v="-5"/>
    <n v="0"/>
    <n v="0.30301747433079995"/>
    <n v="1"/>
    <n v="74.95"/>
    <n v="74.95"/>
    <n v="-10.383677325610972"/>
    <n v="1442.1898570236835"/>
    <n v="0"/>
    <n v="1"/>
    <n v="0"/>
    <n v="0"/>
    <n v="0"/>
    <n v="0"/>
    <n v="0"/>
    <n v="0"/>
    <n v="0"/>
    <n v="0"/>
  </r>
  <r>
    <d v="2004-06-06T00:00:00"/>
    <n v="2004"/>
    <x v="4"/>
    <s v="R"/>
    <s v="RS"/>
    <x v="10"/>
    <s v="CON"/>
    <s v="A"/>
    <n v="3"/>
    <n v="1"/>
    <n v="2"/>
    <n v="-2"/>
    <n v="16"/>
    <n v="-16"/>
    <n v="1539.3098577087212"/>
    <n v="1510.970329802577"/>
    <n v="0.46600238367577612"/>
    <n v="74"/>
    <n v="73"/>
    <n v="0"/>
    <n v="1"/>
    <n v="1"/>
    <n v="0.23854610105874655"/>
    <n v="1"/>
    <n v="75.25"/>
    <n v="75.25"/>
    <n v="9.5855744634978084"/>
    <n v="1548.895432172219"/>
    <n v="1"/>
    <n v="0"/>
    <n v="0"/>
    <n v="0"/>
    <n v="0"/>
    <n v="0"/>
    <n v="0"/>
    <n v="0"/>
    <n v="0"/>
    <n v="0"/>
  </r>
  <r>
    <d v="2004-06-06T00:00:00"/>
    <n v="2004"/>
    <x v="5"/>
    <s v="R"/>
    <s v="RS"/>
    <x v="9"/>
    <s v="DET"/>
    <s v="H"/>
    <n v="1"/>
    <n v="3"/>
    <n v="-2"/>
    <n v="2"/>
    <n v="-16"/>
    <n v="16"/>
    <n v="1510.970329802577"/>
    <n v="1539.3098577087212"/>
    <n v="0.53399761632422393"/>
    <n v="73"/>
    <n v="74"/>
    <n v="0"/>
    <n v="-1"/>
    <n v="0"/>
    <n v="0.23854610105874655"/>
    <n v="1"/>
    <n v="75.099999999999994"/>
    <n v="75.099999999999994"/>
    <n v="-9.5664670060954862"/>
    <n v="1501.4038627964815"/>
    <n v="0"/>
    <n v="1"/>
    <n v="0"/>
    <n v="0"/>
    <n v="0"/>
    <n v="0"/>
    <n v="0"/>
    <n v="0"/>
    <n v="0"/>
    <n v="0"/>
  </r>
  <r>
    <d v="2004-06-09T00:00:00"/>
    <n v="2004"/>
    <x v="7"/>
    <s v="R"/>
    <s v="RS"/>
    <x v="0"/>
    <s v="HOU"/>
    <s v="A"/>
    <n v="3"/>
    <n v="3"/>
    <n v="0"/>
    <n v="0"/>
    <n v="0"/>
    <n v="0"/>
    <n v="1442.1898570236835"/>
    <n v="1527.2689394954082"/>
    <n v="0.27422374117381165"/>
    <n v="47"/>
    <n v="59"/>
    <n v="0"/>
    <n v="-12"/>
    <n v="0"/>
    <n v="0.42593124357690437"/>
    <n v="1"/>
    <n v="74.8"/>
    <n v="74.8"/>
    <n v="-8.7366743404161618"/>
    <n v="1433.4531826832674"/>
    <n v="0"/>
    <n v="1"/>
    <n v="0"/>
    <n v="0"/>
    <n v="0"/>
    <n v="0"/>
    <n v="0"/>
    <n v="0"/>
    <n v="0"/>
    <n v="0"/>
  </r>
  <r>
    <d v="2004-06-09T00:00:00"/>
    <n v="2004"/>
    <x v="8"/>
    <s v="R"/>
    <s v="RS"/>
    <x v="1"/>
    <s v="SAS"/>
    <s v="H"/>
    <n v="3"/>
    <n v="3"/>
    <n v="0"/>
    <n v="0"/>
    <n v="0"/>
    <n v="0"/>
    <n v="1527.2689394954082"/>
    <n v="1442.1898570236835"/>
    <n v="0.72577625882618835"/>
    <n v="59"/>
    <n v="47"/>
    <n v="0"/>
    <n v="12"/>
    <n v="1"/>
    <n v="0.42593124357690437"/>
    <n v="1"/>
    <n v="74.650000000000006"/>
    <n v="74.650000000000006"/>
    <n v="8.719154271551691"/>
    <n v="1535.9880937669598"/>
    <n v="1"/>
    <n v="0"/>
    <n v="0"/>
    <n v="0"/>
    <n v="0"/>
    <n v="0"/>
    <n v="0"/>
    <n v="0"/>
    <n v="0"/>
    <n v="0"/>
  </r>
  <r>
    <d v="2004-06-09T00:00:00"/>
    <n v="2004"/>
    <x v="5"/>
    <s v="R"/>
    <s v="RS"/>
    <x v="10"/>
    <s v="IND"/>
    <s v="A"/>
    <n v="2"/>
    <n v="3"/>
    <n v="-1"/>
    <n v="1"/>
    <n v="-8"/>
    <n v="8"/>
    <n v="1548.895432172219"/>
    <n v="1500.7506922983216"/>
    <n v="0.42592350919922273"/>
    <n v="83"/>
    <n v="79"/>
    <n v="0"/>
    <n v="4"/>
    <n v="1"/>
    <n v="0.29941982684028523"/>
    <n v="1"/>
    <n v="75.099999999999994"/>
    <n v="75.099999999999994"/>
    <n v="12.908930248495414"/>
    <n v="1561.8043624207144"/>
    <n v="1"/>
    <n v="0"/>
    <n v="0"/>
    <n v="0"/>
    <n v="0"/>
    <n v="0"/>
    <n v="0"/>
    <n v="0"/>
    <n v="0"/>
    <n v="0"/>
  </r>
  <r>
    <d v="2004-06-09T00:00:00"/>
    <n v="2004"/>
    <x v="5"/>
    <s v="R"/>
    <s v="RS"/>
    <x v="8"/>
    <s v="DET"/>
    <s v="H"/>
    <n v="3"/>
    <n v="2"/>
    <n v="1"/>
    <n v="-1"/>
    <n v="8"/>
    <n v="-8"/>
    <n v="1500.7506922983216"/>
    <n v="1548.895432172219"/>
    <n v="0.57407649080077727"/>
    <n v="79"/>
    <n v="83"/>
    <n v="0"/>
    <n v="-4"/>
    <n v="0"/>
    <n v="0.29941982684028523"/>
    <n v="1"/>
    <n v="75.099999999999994"/>
    <n v="75.099999999999994"/>
    <n v="-12.908930248495414"/>
    <n v="1487.8417620498262"/>
    <n v="0"/>
    <n v="1"/>
    <n v="0"/>
    <n v="0"/>
    <n v="0"/>
    <n v="0"/>
    <n v="0"/>
    <n v="0"/>
    <n v="0"/>
    <n v="0"/>
  </r>
  <r>
    <d v="2004-06-09T00:00:00"/>
    <n v="2004"/>
    <x v="6"/>
    <s v="R"/>
    <s v="RS"/>
    <x v="6"/>
    <s v="LAS"/>
    <s v="A"/>
    <n v="3"/>
    <n v="3"/>
    <n v="0"/>
    <n v="0"/>
    <n v="0"/>
    <n v="0"/>
    <n v="1461.3955981129957"/>
    <n v="1538.818760621896"/>
    <n v="0.28308168364339736"/>
    <n v="68"/>
    <n v="82"/>
    <n v="0"/>
    <n v="-14"/>
    <n v="0"/>
    <n v="0.45805473191178703"/>
    <n v="1"/>
    <n v="74.95"/>
    <n v="74.95"/>
    <n v="-9.7185345080455061"/>
    <n v="1451.6770636049503"/>
    <n v="0"/>
    <n v="1"/>
    <n v="0"/>
    <n v="0"/>
    <n v="0"/>
    <n v="0"/>
    <n v="0"/>
    <n v="0"/>
    <n v="0"/>
    <n v="0"/>
  </r>
  <r>
    <d v="2004-06-09T00:00:00"/>
    <n v="2004"/>
    <x v="7"/>
    <s v="R"/>
    <s v="RS"/>
    <x v="11"/>
    <s v="CHA"/>
    <s v="H"/>
    <n v="3"/>
    <n v="3"/>
    <n v="0"/>
    <n v="0"/>
    <n v="0"/>
    <n v="0"/>
    <n v="1538.818760621896"/>
    <n v="1461.3955981129957"/>
    <n v="0.71691831635660264"/>
    <n v="82"/>
    <n v="68"/>
    <n v="0"/>
    <n v="14"/>
    <n v="1"/>
    <n v="0.45805473191178703"/>
    <n v="1"/>
    <n v="74.8"/>
    <n v="74.8"/>
    <n v="9.6990844723389422"/>
    <n v="1548.5178450942349"/>
    <n v="1"/>
    <n v="0"/>
    <n v="0"/>
    <n v="0"/>
    <n v="0"/>
    <n v="0"/>
    <n v="0"/>
    <n v="0"/>
    <n v="0"/>
    <n v="0"/>
  </r>
  <r>
    <d v="2004-06-09T00:00:00"/>
    <n v="2004"/>
    <x v="6"/>
    <s v="R"/>
    <s v="RS"/>
    <x v="9"/>
    <s v="PHX"/>
    <s v="A"/>
    <n v="2"/>
    <n v="3"/>
    <n v="-1"/>
    <n v="1"/>
    <n v="-8"/>
    <n v="8"/>
    <n v="1501.4038627964815"/>
    <n v="1447.89970327375"/>
    <n v="0.43348372104798583"/>
    <n v="59"/>
    <n v="75"/>
    <n v="0"/>
    <n v="-16"/>
    <n v="0"/>
    <n v="0.49568502347263782"/>
    <n v="1"/>
    <n v="74.95"/>
    <n v="74.95"/>
    <n v="-16.10461056377866"/>
    <n v="1485.2992522327029"/>
    <n v="0"/>
    <n v="1"/>
    <n v="0"/>
    <n v="0"/>
    <n v="0"/>
    <n v="0"/>
    <n v="0"/>
    <n v="0"/>
    <n v="0"/>
    <n v="0"/>
  </r>
  <r>
    <d v="2004-06-09T00:00:00"/>
    <n v="2004"/>
    <x v="6"/>
    <s v="R"/>
    <s v="RS"/>
    <x v="3"/>
    <s v="CON"/>
    <s v="H"/>
    <n v="3"/>
    <n v="2"/>
    <n v="1"/>
    <n v="-1"/>
    <n v="8"/>
    <n v="-8"/>
    <n v="1447.89970327375"/>
    <n v="1501.4038627964815"/>
    <n v="0.56651627895201417"/>
    <n v="75"/>
    <n v="59"/>
    <n v="0"/>
    <n v="16"/>
    <n v="1"/>
    <n v="0.49568502347263782"/>
    <n v="1"/>
    <n v="74.95"/>
    <n v="74.95"/>
    <n v="16.10461056377866"/>
    <n v="1464.0043138375286"/>
    <n v="1"/>
    <n v="0"/>
    <n v="0"/>
    <n v="0"/>
    <n v="0"/>
    <n v="0"/>
    <n v="0"/>
    <n v="0"/>
    <n v="0"/>
    <n v="0"/>
  </r>
  <r>
    <d v="2004-06-11T00:00:00"/>
    <n v="2004"/>
    <x v="7"/>
    <s v="R"/>
    <s v="RS"/>
    <x v="4"/>
    <s v="LAS"/>
    <s v="A"/>
    <n v="5"/>
    <n v="1"/>
    <n v="4"/>
    <n v="-4"/>
    <n v="16"/>
    <n v="-16"/>
    <n v="1507.0901056171583"/>
    <n v="1548.5178450942349"/>
    <n v="0.36869641076260329"/>
    <n v="55"/>
    <n v="69"/>
    <n v="0"/>
    <n v="-14"/>
    <n v="0"/>
    <n v="0.47133611215051002"/>
    <n v="1"/>
    <n v="74.8"/>
    <n v="74.8"/>
    <n v="-12.998738974389427"/>
    <n v="1494.0913666427689"/>
    <n v="0"/>
    <n v="1"/>
    <n v="0"/>
    <n v="0"/>
    <n v="0"/>
    <n v="0"/>
    <n v="0"/>
    <n v="0"/>
    <n v="0"/>
    <n v="0"/>
  </r>
  <r>
    <d v="2004-06-11T00:00:00"/>
    <n v="2004"/>
    <x v="8"/>
    <s v="R"/>
    <s v="RS"/>
    <x v="11"/>
    <s v="MIN"/>
    <s v="H"/>
    <n v="1"/>
    <n v="5"/>
    <n v="-4"/>
    <n v="4"/>
    <n v="-16"/>
    <n v="16"/>
    <n v="1548.5178450942349"/>
    <n v="1507.0901056171583"/>
    <n v="0.63130358923739671"/>
    <n v="69"/>
    <n v="55"/>
    <n v="0"/>
    <n v="14"/>
    <n v="1"/>
    <n v="0.47133611215051002"/>
    <n v="1"/>
    <n v="74.650000000000006"/>
    <n v="74.650000000000006"/>
    <n v="12.972671984467526"/>
    <n v="1561.4905170787024"/>
    <n v="1"/>
    <n v="0"/>
    <n v="0"/>
    <n v="0"/>
    <n v="0"/>
    <n v="0"/>
    <n v="0"/>
    <n v="0"/>
    <n v="0"/>
    <n v="0"/>
  </r>
  <r>
    <d v="2004-06-11T00:00:00"/>
    <n v="2004"/>
    <x v="6"/>
    <s v="R"/>
    <s v="RS"/>
    <x v="8"/>
    <s v="NYL"/>
    <s v="A"/>
    <n v="1"/>
    <n v="5"/>
    <n v="-4"/>
    <n v="4"/>
    <n v="-16"/>
    <n v="16"/>
    <n v="1487.8417620498262"/>
    <n v="1576.7664942342644"/>
    <n v="0.23511664654529407"/>
    <n v="72"/>
    <n v="68"/>
    <n v="0"/>
    <n v="4"/>
    <n v="1"/>
    <n v="0.28994655200019703"/>
    <n v="1"/>
    <n v="74.95"/>
    <n v="74.95"/>
    <n v="16.622058061689671"/>
    <n v="1504.4638201115158"/>
    <n v="1"/>
    <n v="0"/>
    <n v="0"/>
    <n v="0"/>
    <n v="0"/>
    <n v="0"/>
    <n v="0"/>
    <n v="0"/>
    <n v="0"/>
    <n v="0"/>
  </r>
  <r>
    <d v="2004-06-11T00:00:00"/>
    <n v="2004"/>
    <x v="7"/>
    <s v="R"/>
    <s v="RS"/>
    <x v="7"/>
    <s v="IND"/>
    <s v="H"/>
    <n v="5"/>
    <n v="1"/>
    <n v="4"/>
    <n v="-4"/>
    <n v="16"/>
    <n v="-16"/>
    <n v="1576.7664942342644"/>
    <n v="1487.8417620498262"/>
    <n v="0.76488335345470604"/>
    <n v="68"/>
    <n v="72"/>
    <n v="0"/>
    <n v="-4"/>
    <n v="0"/>
    <n v="0.28994655200019703"/>
    <n v="1"/>
    <n v="74.8"/>
    <n v="74.8"/>
    <n v="-16.588791768037193"/>
    <n v="1560.1777024662272"/>
    <n v="0"/>
    <n v="1"/>
    <n v="0"/>
    <n v="0"/>
    <n v="0"/>
    <n v="0"/>
    <n v="0"/>
    <n v="0"/>
    <n v="0"/>
    <n v="0"/>
  </r>
  <r>
    <d v="2004-06-11T00:00:00"/>
    <n v="2004"/>
    <x v="7"/>
    <s v="R"/>
    <s v="RS"/>
    <x v="6"/>
    <s v="PHX"/>
    <s v="A"/>
    <n v="1"/>
    <n v="1"/>
    <n v="0"/>
    <n v="0"/>
    <n v="0"/>
    <n v="0"/>
    <n v="1451.6770636049503"/>
    <n v="1464.0043138375286"/>
    <n v="0.36482002686768961"/>
    <n v="59"/>
    <n v="51"/>
    <n v="0"/>
    <n v="8"/>
    <n v="1"/>
    <n v="0.38436704438856023"/>
    <n v="1"/>
    <n v="74.8"/>
    <n v="74.8"/>
    <n v="18.261840219789811"/>
    <n v="1469.93890382474"/>
    <n v="1"/>
    <n v="0"/>
    <n v="0"/>
    <n v="0"/>
    <n v="0"/>
    <n v="0"/>
    <n v="0"/>
    <n v="0"/>
    <n v="0"/>
    <n v="0"/>
  </r>
  <r>
    <d v="2004-06-11T00:00:00"/>
    <n v="2004"/>
    <x v="7"/>
    <s v="R"/>
    <s v="RS"/>
    <x v="3"/>
    <s v="CHA"/>
    <s v="H"/>
    <n v="1"/>
    <n v="1"/>
    <n v="0"/>
    <n v="0"/>
    <n v="0"/>
    <n v="0"/>
    <n v="1464.0043138375286"/>
    <n v="1451.6770636049503"/>
    <n v="0.63517997313231034"/>
    <n v="51"/>
    <n v="59"/>
    <n v="0"/>
    <n v="-8"/>
    <n v="0"/>
    <n v="0.38436704438856023"/>
    <n v="1"/>
    <n v="74.8"/>
    <n v="74.8"/>
    <n v="-18.261840219789807"/>
    <n v="1445.7424736177388"/>
    <n v="0"/>
    <n v="1"/>
    <n v="0"/>
    <n v="0"/>
    <n v="0"/>
    <n v="0"/>
    <n v="0"/>
    <n v="0"/>
    <n v="0"/>
    <n v="0"/>
  </r>
  <r>
    <d v="2004-06-11T00:00:00"/>
    <n v="2004"/>
    <x v="7"/>
    <s v="R"/>
    <s v="RS"/>
    <x v="9"/>
    <s v="SEA"/>
    <s v="A"/>
    <n v="1"/>
    <n v="5"/>
    <n v="-4"/>
    <n v="4"/>
    <n v="-16"/>
    <n v="16"/>
    <n v="1485.2992522327029"/>
    <n v="1551.746241340901"/>
    <n v="0.25917723250528663"/>
    <n v="63"/>
    <n v="68"/>
    <n v="0"/>
    <n v="-5"/>
    <n v="0"/>
    <n v="0.3143496521981034"/>
    <n v="1"/>
    <n v="74.8"/>
    <n v="74.8"/>
    <n v="-6.0941260125986467"/>
    <n v="1479.2051262201041"/>
    <n v="0"/>
    <n v="1"/>
    <n v="0"/>
    <n v="0"/>
    <n v="0"/>
    <n v="0"/>
    <n v="0"/>
    <n v="0"/>
    <n v="0"/>
    <n v="0"/>
  </r>
  <r>
    <d v="2004-06-11T00:00:00"/>
    <n v="2004"/>
    <x v="6"/>
    <s v="R"/>
    <s v="RS"/>
    <x v="5"/>
    <s v="CON"/>
    <s v="H"/>
    <n v="5"/>
    <n v="1"/>
    <n v="4"/>
    <n v="-4"/>
    <n v="16"/>
    <n v="-16"/>
    <n v="1551.746241340901"/>
    <n v="1485.2992522327029"/>
    <n v="0.74082276749471343"/>
    <n v="68"/>
    <n v="63"/>
    <n v="0"/>
    <n v="5"/>
    <n v="1"/>
    <n v="0.3143496521981034"/>
    <n v="1"/>
    <n v="74.95"/>
    <n v="74.95"/>
    <n v="6.106346853533001"/>
    <n v="1557.852588194434"/>
    <n v="1"/>
    <n v="0"/>
    <n v="0"/>
    <n v="0"/>
    <n v="0"/>
    <n v="0"/>
    <n v="0"/>
    <n v="0"/>
    <n v="0"/>
    <n v="0"/>
  </r>
  <r>
    <d v="2004-06-11T00:00:00"/>
    <n v="2004"/>
    <x v="6"/>
    <s v="R"/>
    <s v="RS"/>
    <x v="10"/>
    <s v="WAS"/>
    <s v="A"/>
    <n v="1"/>
    <n v="6"/>
    <n v="-5"/>
    <n v="5"/>
    <n v="-16"/>
    <n v="16"/>
    <n v="1561.8043624207144"/>
    <n v="1410.9754908180141"/>
    <n v="0.5499555500694645"/>
    <n v="74"/>
    <n v="60"/>
    <n v="0"/>
    <n v="14"/>
    <n v="1"/>
    <n v="0.43316347210338368"/>
    <n v="1"/>
    <n v="74.95"/>
    <n v="74.95"/>
    <n v="14.610964099130973"/>
    <n v="1576.4153265198454"/>
    <n v="1"/>
    <n v="0"/>
    <n v="0"/>
    <n v="0"/>
    <n v="0"/>
    <n v="0"/>
    <n v="0"/>
    <n v="0"/>
    <n v="0"/>
    <n v="0"/>
  </r>
  <r>
    <d v="2004-06-11T00:00:00"/>
    <n v="2004"/>
    <x v="6"/>
    <s v="R"/>
    <s v="RS"/>
    <x v="12"/>
    <s v="DET"/>
    <s v="H"/>
    <n v="6"/>
    <n v="1"/>
    <n v="5"/>
    <n v="-5"/>
    <n v="16"/>
    <n v="-16"/>
    <n v="1410.9754908180141"/>
    <n v="1561.8043624207144"/>
    <n v="0.45004444993053555"/>
    <n v="60"/>
    <n v="74"/>
    <n v="0"/>
    <n v="-14"/>
    <n v="0"/>
    <n v="0.43316347210338368"/>
    <n v="1"/>
    <n v="74.95"/>
    <n v="74.95"/>
    <n v="-14.610964099130975"/>
    <n v="1396.3645267188831"/>
    <n v="0"/>
    <n v="1"/>
    <n v="0"/>
    <n v="0"/>
    <n v="0"/>
    <n v="0"/>
    <n v="0"/>
    <n v="0"/>
    <n v="0"/>
    <n v="0"/>
  </r>
  <r>
    <d v="2004-06-12T00:00:00"/>
    <n v="2004"/>
    <x v="7"/>
    <s v="R"/>
    <s v="RS"/>
    <x v="8"/>
    <s v="DET"/>
    <s v="A"/>
    <n v="0"/>
    <n v="0"/>
    <n v="0"/>
    <n v="0"/>
    <n v="0"/>
    <n v="0"/>
    <n v="1504.4638201115158"/>
    <n v="1576.4153265198454"/>
    <n v="0.28951740491473094"/>
    <n v="68"/>
    <n v="72"/>
    <n v="0"/>
    <n v="-4"/>
    <n v="0"/>
    <n v="0.29381566828749961"/>
    <n v="1"/>
    <n v="74.8"/>
    <n v="74.8"/>
    <n v="-6.3628432854801442"/>
    <n v="1498.1009768260358"/>
    <n v="0"/>
    <n v="1"/>
    <n v="0"/>
    <n v="0"/>
    <n v="0"/>
    <n v="0"/>
    <n v="0"/>
    <n v="0"/>
    <n v="0"/>
    <n v="0"/>
  </r>
  <r>
    <d v="2004-06-12T00:00:00"/>
    <n v="2004"/>
    <x v="7"/>
    <s v="R"/>
    <s v="RS"/>
    <x v="10"/>
    <s v="IND"/>
    <s v="H"/>
    <n v="0"/>
    <n v="0"/>
    <n v="0"/>
    <n v="0"/>
    <n v="0"/>
    <n v="0"/>
    <n v="1576.4153265198454"/>
    <n v="1504.4638201115158"/>
    <n v="0.71048259508526912"/>
    <n v="72"/>
    <n v="68"/>
    <n v="0"/>
    <n v="4"/>
    <n v="1"/>
    <n v="0.29381566828749961"/>
    <n v="1"/>
    <n v="74.8"/>
    <n v="74.8"/>
    <n v="6.3628432854801433"/>
    <n v="1582.7781698053254"/>
    <n v="1"/>
    <n v="0"/>
    <n v="0"/>
    <n v="0"/>
    <n v="0"/>
    <n v="0"/>
    <n v="0"/>
    <n v="0"/>
    <n v="0"/>
    <n v="0"/>
  </r>
  <r>
    <d v="2004-06-12T00:00:00"/>
    <n v="2004"/>
    <x v="8"/>
    <s v="R"/>
    <s v="RS"/>
    <x v="9"/>
    <s v="SAC"/>
    <s v="A"/>
    <n v="0"/>
    <n v="6"/>
    <n v="-6"/>
    <n v="6"/>
    <n v="-16"/>
    <n v="16"/>
    <n v="1479.2051262201041"/>
    <n v="1503.8227605297382"/>
    <n v="0.30800554182165979"/>
    <n v="83"/>
    <n v="76"/>
    <n v="0"/>
    <n v="7"/>
    <n v="1"/>
    <n v="0.36266716609462923"/>
    <n v="1"/>
    <n v="74.650000000000006"/>
    <n v="74.650000000000006"/>
    <n v="18.734437898369276"/>
    <n v="1497.9395641184735"/>
    <n v="1"/>
    <n v="0"/>
    <n v="0"/>
    <n v="0"/>
    <n v="0"/>
    <n v="0"/>
    <n v="0"/>
    <n v="0"/>
    <n v="0"/>
    <n v="0"/>
  </r>
  <r>
    <d v="2004-06-12T00:00:00"/>
    <n v="2004"/>
    <x v="6"/>
    <s v="R"/>
    <s v="RS"/>
    <x v="2"/>
    <s v="CON"/>
    <s v="H"/>
    <n v="6"/>
    <n v="0"/>
    <n v="6"/>
    <n v="-6"/>
    <n v="16"/>
    <n v="-16"/>
    <n v="1503.8227605297382"/>
    <n v="1479.2051262201041"/>
    <n v="0.69199445817834015"/>
    <n v="76"/>
    <n v="83"/>
    <n v="0"/>
    <n v="-7"/>
    <n v="0"/>
    <n v="0.36266716609462923"/>
    <n v="1"/>
    <n v="74.95"/>
    <n v="74.95"/>
    <n v="-18.809726999099492"/>
    <n v="1485.0130335306387"/>
    <n v="0"/>
    <n v="1"/>
    <n v="0"/>
    <n v="0"/>
    <n v="0"/>
    <n v="0"/>
    <n v="0"/>
    <n v="0"/>
    <n v="0"/>
    <n v="0"/>
  </r>
  <r>
    <d v="2004-06-12T00:00:00"/>
    <n v="2004"/>
    <x v="9"/>
    <s v="R"/>
    <s v="RS"/>
    <x v="1"/>
    <s v="SAS"/>
    <s v="A"/>
    <n v="2"/>
    <n v="2"/>
    <n v="0"/>
    <n v="0"/>
    <n v="0"/>
    <n v="0"/>
    <n v="1535.9880937669598"/>
    <n v="1433.4531826832674"/>
    <n v="0.52664860552152526"/>
    <n v="69"/>
    <n v="66"/>
    <n v="1"/>
    <n v="3"/>
    <n v="1"/>
    <n v="0.24060637463134202"/>
    <n v="1"/>
    <n v="74.5"/>
    <n v="74.5"/>
    <n v="8.4849065399356256"/>
    <n v="1544.4730003068953"/>
    <n v="1"/>
    <n v="0"/>
    <n v="0"/>
    <n v="0"/>
    <n v="0"/>
    <n v="0"/>
    <n v="0"/>
    <n v="0"/>
    <n v="0"/>
    <n v="0"/>
  </r>
  <r>
    <d v="2004-06-12T00:00:00"/>
    <n v="2004"/>
    <x v="8"/>
    <s v="R"/>
    <s v="RS"/>
    <x v="0"/>
    <s v="HOU"/>
    <s v="H"/>
    <n v="2"/>
    <n v="2"/>
    <n v="0"/>
    <n v="0"/>
    <n v="0"/>
    <n v="0"/>
    <n v="1433.4531826832674"/>
    <n v="1535.9880937669598"/>
    <n v="0.47335139447847469"/>
    <n v="66"/>
    <n v="69"/>
    <n v="1"/>
    <n v="-3"/>
    <n v="0"/>
    <n v="0.24060637463134202"/>
    <n v="1"/>
    <n v="74.650000000000006"/>
    <n v="74.650000000000006"/>
    <n v="-8.5019902443784492"/>
    <n v="1424.9511924388889"/>
    <n v="0"/>
    <n v="1"/>
    <n v="0"/>
    <n v="0"/>
    <n v="0"/>
    <n v="0"/>
    <n v="0"/>
    <n v="0"/>
    <n v="0"/>
    <n v="0"/>
  </r>
  <r>
    <d v="2004-06-13T00:00:00"/>
    <n v="2004"/>
    <x v="8"/>
    <s v="R"/>
    <s v="RS"/>
    <x v="7"/>
    <s v="WAS"/>
    <s v="A"/>
    <n v="1"/>
    <n v="1"/>
    <n v="0"/>
    <n v="0"/>
    <n v="0"/>
    <n v="0"/>
    <n v="1560.1777024662272"/>
    <n v="1396.3645267188831"/>
    <n v="0.61288169307897111"/>
    <n v="60"/>
    <n v="62"/>
    <n v="0"/>
    <n v="-2"/>
    <n v="0"/>
    <n v="0.23566980484367103"/>
    <n v="1"/>
    <n v="74.650000000000006"/>
    <n v="74.650000000000006"/>
    <n v="-10.782274976863425"/>
    <n v="1549.3954274893638"/>
    <n v="0"/>
    <n v="1"/>
    <n v="0"/>
    <n v="0"/>
    <n v="0"/>
    <n v="0"/>
    <n v="0"/>
    <n v="0"/>
    <n v="0"/>
    <n v="0"/>
  </r>
  <r>
    <d v="2004-06-13T00:00:00"/>
    <n v="2004"/>
    <x v="7"/>
    <s v="R"/>
    <s v="RS"/>
    <x v="12"/>
    <s v="NYL"/>
    <s v="H"/>
    <n v="1"/>
    <n v="1"/>
    <n v="0"/>
    <n v="0"/>
    <n v="0"/>
    <n v="0"/>
    <n v="1396.3645267188831"/>
    <n v="1560.1777024662272"/>
    <n v="0.38711830692102883"/>
    <n v="62"/>
    <n v="60"/>
    <n v="0"/>
    <n v="2"/>
    <n v="1"/>
    <n v="0.23566980484367103"/>
    <n v="1"/>
    <n v="74.8"/>
    <n v="74.8"/>
    <n v="10.80394063321345"/>
    <n v="1407.1684673520965"/>
    <n v="1"/>
    <n v="0"/>
    <n v="0"/>
    <n v="0"/>
    <n v="0"/>
    <n v="0"/>
    <n v="0"/>
    <n v="0"/>
    <n v="0"/>
    <n v="0"/>
  </r>
  <r>
    <d v="2004-06-14T00:00:00"/>
    <n v="2004"/>
    <x v="9"/>
    <s v="R"/>
    <s v="RS"/>
    <x v="9"/>
    <s v="LAS"/>
    <s v="A"/>
    <n v="1"/>
    <n v="2"/>
    <n v="-1"/>
    <n v="1"/>
    <n v="-8"/>
    <n v="8"/>
    <n v="1497.9395641184735"/>
    <n v="1561.4905170787024"/>
    <n v="0.28060250271528053"/>
    <n v="74"/>
    <n v="76"/>
    <n v="1"/>
    <n v="-2"/>
    <n v="0"/>
    <n v="0.22893309193170969"/>
    <n v="1"/>
    <n v="74.5"/>
    <n v="74.5"/>
    <n v="-4.7858202920036925"/>
    <n v="1493.1537438264697"/>
    <n v="0"/>
    <n v="1"/>
    <n v="0"/>
    <n v="0"/>
    <n v="0"/>
    <n v="0"/>
    <n v="0"/>
    <n v="0"/>
    <n v="0"/>
    <n v="0"/>
  </r>
  <r>
    <d v="2004-06-14T00:00:00"/>
    <n v="2004"/>
    <x v="9"/>
    <s v="R"/>
    <s v="RS"/>
    <x v="11"/>
    <s v="CON"/>
    <s v="H"/>
    <n v="2"/>
    <n v="1"/>
    <n v="1"/>
    <n v="-1"/>
    <n v="8"/>
    <n v="-8"/>
    <n v="1561.4905170787024"/>
    <n v="1497.9395641184735"/>
    <n v="0.71939749728471947"/>
    <n v="76"/>
    <n v="74"/>
    <n v="1"/>
    <n v="2"/>
    <n v="1"/>
    <n v="0.22893309193170969"/>
    <n v="1"/>
    <n v="74.5"/>
    <n v="74.5"/>
    <n v="4.7858202920036925"/>
    <n v="1566.2763373707062"/>
    <n v="1"/>
    <n v="0"/>
    <n v="0"/>
    <n v="0"/>
    <n v="0"/>
    <n v="0"/>
    <n v="0"/>
    <n v="0"/>
    <n v="0"/>
    <n v="0"/>
  </r>
  <r>
    <d v="2004-06-15T00:00:00"/>
    <n v="2004"/>
    <x v="9"/>
    <s v="R"/>
    <s v="RS"/>
    <x v="0"/>
    <s v="CHA"/>
    <s v="A"/>
    <n v="2"/>
    <n v="3"/>
    <n v="-1"/>
    <n v="1"/>
    <n v="-8"/>
    <n v="8"/>
    <n v="1424.9511924388889"/>
    <n v="1469.93890382474"/>
    <n v="0.30266985142186298"/>
    <n v="57"/>
    <n v="59"/>
    <n v="0"/>
    <n v="-2"/>
    <n v="0"/>
    <n v="0.25816285737778771"/>
    <n v="1"/>
    <n v="74.5"/>
    <n v="74.5"/>
    <n v="-5.8212894695458068"/>
    <n v="1419.1299029693432"/>
    <n v="0"/>
    <n v="1"/>
    <n v="0"/>
    <n v="0"/>
    <n v="0"/>
    <n v="0"/>
    <n v="0"/>
    <n v="0"/>
    <n v="0"/>
    <n v="0"/>
  </r>
  <r>
    <d v="2004-06-15T00:00:00"/>
    <n v="2004"/>
    <x v="8"/>
    <s v="R"/>
    <s v="RS"/>
    <x v="6"/>
    <s v="SAS"/>
    <s v="H"/>
    <n v="3"/>
    <n v="2"/>
    <n v="1"/>
    <n v="-1"/>
    <n v="8"/>
    <n v="-8"/>
    <n v="1469.93890382474"/>
    <n v="1424.9511924388889"/>
    <n v="0.69733014857813702"/>
    <n v="59"/>
    <n v="57"/>
    <n v="0"/>
    <n v="2"/>
    <n v="1"/>
    <n v="0.25816285737778771"/>
    <n v="1"/>
    <n v="74.650000000000006"/>
    <n v="74.650000000000006"/>
    <n v="5.8330101865985835"/>
    <n v="1475.7719140113386"/>
    <n v="1"/>
    <n v="0"/>
    <n v="0"/>
    <n v="0"/>
    <n v="0"/>
    <n v="0"/>
    <n v="0"/>
    <n v="0"/>
    <n v="0"/>
    <n v="0"/>
  </r>
  <r>
    <d v="2004-06-15T00:00:00"/>
    <n v="2004"/>
    <x v="7"/>
    <s v="R"/>
    <s v="RS"/>
    <x v="5"/>
    <s v="NYL"/>
    <s v="A"/>
    <n v="3"/>
    <n v="1"/>
    <n v="2"/>
    <n v="-2"/>
    <n v="16"/>
    <n v="-16"/>
    <n v="1557.852588194434"/>
    <n v="1549.3954274893638"/>
    <n v="0.43766284612959788"/>
    <n v="86"/>
    <n v="62"/>
    <n v="0"/>
    <n v="24"/>
    <n v="1"/>
    <n v="0.62403297515137157"/>
    <n v="1"/>
    <n v="74.8"/>
    <n v="74.8"/>
    <n v="26.248586152159042"/>
    <n v="1584.1011743465931"/>
    <n v="1"/>
    <n v="0"/>
    <n v="0"/>
    <n v="0"/>
    <n v="0"/>
    <n v="0"/>
    <n v="0"/>
    <n v="0"/>
    <n v="0"/>
    <n v="0"/>
  </r>
  <r>
    <d v="2004-06-15T00:00:00"/>
    <n v="2004"/>
    <x v="9"/>
    <s v="R"/>
    <s v="RS"/>
    <x v="7"/>
    <s v="SEA"/>
    <s v="H"/>
    <n v="1"/>
    <n v="3"/>
    <n v="-2"/>
    <n v="2"/>
    <n v="-16"/>
    <n v="16"/>
    <n v="1549.3954274893638"/>
    <n v="1557.852588194434"/>
    <n v="0.56233715387040206"/>
    <n v="62"/>
    <n v="86"/>
    <n v="0"/>
    <n v="-24"/>
    <n v="0"/>
    <n v="0.62403297515137157"/>
    <n v="1"/>
    <n v="74.5"/>
    <n v="74.5"/>
    <n v="-26.143311074008672"/>
    <n v="1523.2521164153552"/>
    <n v="0"/>
    <n v="1"/>
    <n v="0"/>
    <n v="0"/>
    <n v="0"/>
    <n v="0"/>
    <n v="0"/>
    <n v="0"/>
    <n v="0"/>
    <n v="0"/>
  </r>
  <r>
    <d v="2004-06-16T00:00:00"/>
    <n v="2004"/>
    <x v="7"/>
    <s v="R"/>
    <s v="RS"/>
    <x v="2"/>
    <s v="IND"/>
    <s v="A"/>
    <n v="3"/>
    <n v="3"/>
    <n v="0"/>
    <n v="0"/>
    <n v="0"/>
    <n v="0"/>
    <n v="1485.0130335306387"/>
    <n v="1498.1009768260358"/>
    <n v="0.36380592186071203"/>
    <n v="50"/>
    <n v="63"/>
    <n v="0"/>
    <n v="-13"/>
    <n v="0"/>
    <n v="0.46695089989778688"/>
    <n v="1"/>
    <n v="74.8"/>
    <n v="74.8"/>
    <n v="-12.706986794555055"/>
    <n v="1472.3060467360838"/>
    <n v="0"/>
    <n v="1"/>
    <n v="0"/>
    <n v="0"/>
    <n v="0"/>
    <n v="0"/>
    <n v="0"/>
    <n v="0"/>
    <n v="0"/>
    <n v="0"/>
  </r>
  <r>
    <d v="2004-06-16T00:00:00"/>
    <n v="2004"/>
    <x v="8"/>
    <s v="R"/>
    <s v="RS"/>
    <x v="8"/>
    <s v="SAC"/>
    <s v="H"/>
    <n v="3"/>
    <n v="3"/>
    <n v="0"/>
    <n v="0"/>
    <n v="0"/>
    <n v="0"/>
    <n v="1498.1009768260358"/>
    <n v="1485.0130335306387"/>
    <n v="0.63619407813928808"/>
    <n v="63"/>
    <n v="50"/>
    <n v="0"/>
    <n v="13"/>
    <n v="1"/>
    <n v="0.46695089989778688"/>
    <n v="1"/>
    <n v="74.650000000000006"/>
    <n v="74.650000000000006"/>
    <n v="12.681504869164904"/>
    <n v="1510.7824816952007"/>
    <n v="1"/>
    <n v="0"/>
    <n v="0"/>
    <n v="0"/>
    <n v="0"/>
    <n v="0"/>
    <n v="0"/>
    <n v="0"/>
    <n v="0"/>
    <n v="0"/>
  </r>
  <r>
    <d v="2004-06-17T00:00:00"/>
    <n v="2004"/>
    <x v="8"/>
    <s v="R"/>
    <s v="RS"/>
    <x v="2"/>
    <s v="MIN"/>
    <s v="A"/>
    <n v="0"/>
    <n v="5"/>
    <n v="-5"/>
    <n v="5"/>
    <n v="-16"/>
    <n v="16"/>
    <n v="1472.3060467360838"/>
    <n v="1494.0913666427689"/>
    <n v="0.31149140437227507"/>
    <n v="60"/>
    <n v="50"/>
    <n v="0"/>
    <n v="10"/>
    <n v="1"/>
    <n v="0.41558498938055743"/>
    <n v="1"/>
    <n v="74.650000000000006"/>
    <n v="74.650000000000006"/>
    <n v="21.359890962086965"/>
    <n v="1493.6659376981706"/>
    <n v="1"/>
    <n v="0"/>
    <n v="0"/>
    <n v="0"/>
    <n v="0"/>
    <n v="0"/>
    <n v="0"/>
    <n v="0"/>
    <n v="0"/>
    <n v="0"/>
  </r>
  <r>
    <d v="2004-06-17T00:00:00"/>
    <n v="2004"/>
    <x v="8"/>
    <s v="R"/>
    <s v="RS"/>
    <x v="4"/>
    <s v="SAC"/>
    <s v="H"/>
    <n v="5"/>
    <n v="0"/>
    <n v="5"/>
    <n v="-5"/>
    <n v="16"/>
    <n v="-16"/>
    <n v="1494.0913666427689"/>
    <n v="1472.3060467360838"/>
    <n v="0.68850859562772493"/>
    <n v="50"/>
    <n v="60"/>
    <n v="0"/>
    <n v="-10"/>
    <n v="0"/>
    <n v="0.41558498938055743"/>
    <n v="1"/>
    <n v="74.650000000000006"/>
    <n v="74.650000000000006"/>
    <n v="-21.359890962086965"/>
    <n v="1472.731475680682"/>
    <n v="0"/>
    <n v="1"/>
    <n v="0"/>
    <n v="0"/>
    <n v="0"/>
    <n v="0"/>
    <n v="0"/>
    <n v="0"/>
    <n v="0"/>
    <n v="0"/>
  </r>
  <r>
    <d v="2004-06-17T00:00:00"/>
    <n v="2004"/>
    <x v="10"/>
    <s v="R"/>
    <s v="RS"/>
    <x v="0"/>
    <s v="WAS"/>
    <s v="A"/>
    <n v="1"/>
    <n v="3"/>
    <n v="-2"/>
    <n v="2"/>
    <n v="-16"/>
    <n v="16"/>
    <n v="1419.1299029693432"/>
    <n v="1407.1684673520965"/>
    <n v="0.3545967427429037"/>
    <n v="60"/>
    <n v="76"/>
    <n v="0"/>
    <n v="-16"/>
    <n v="0"/>
    <n v="0.5126757506270212"/>
    <n v="1"/>
    <n v="74.349999999999994"/>
    <n v="74.349999999999994"/>
    <n v="-13.516320795854964"/>
    <n v="1405.6135821734883"/>
    <n v="0"/>
    <n v="1"/>
    <n v="0"/>
    <n v="0"/>
    <n v="0"/>
    <n v="0"/>
    <n v="0"/>
    <n v="0"/>
    <n v="0"/>
    <n v="0"/>
  </r>
  <r>
    <d v="2004-06-17T00:00:00"/>
    <n v="2004"/>
    <x v="8"/>
    <s v="R"/>
    <s v="RS"/>
    <x v="12"/>
    <s v="SAS"/>
    <s v="H"/>
    <n v="3"/>
    <n v="1"/>
    <n v="2"/>
    <n v="-2"/>
    <n v="16"/>
    <n v="-16"/>
    <n v="1407.1684673520965"/>
    <n v="1419.1299029693432"/>
    <n v="0.64540325725709635"/>
    <n v="76"/>
    <n v="60"/>
    <n v="0"/>
    <n v="16"/>
    <n v="1"/>
    <n v="0.5126757506270212"/>
    <n v="1"/>
    <n v="74.650000000000006"/>
    <n v="74.650000000000006"/>
    <n v="13.57085874123165"/>
    <n v="1420.7393260933281"/>
    <n v="1"/>
    <n v="0"/>
    <n v="0"/>
    <n v="0"/>
    <n v="0"/>
    <n v="0"/>
    <n v="0"/>
    <n v="0"/>
    <n v="0"/>
    <n v="0"/>
  </r>
  <r>
    <d v="2004-06-18T00:00:00"/>
    <n v="2004"/>
    <x v="9"/>
    <s v="R"/>
    <s v="RS"/>
    <x v="6"/>
    <s v="CON"/>
    <s v="A"/>
    <n v="2"/>
    <n v="3"/>
    <n v="-1"/>
    <n v="1"/>
    <n v="-8"/>
    <n v="8"/>
    <n v="1475.7719140113386"/>
    <n v="1493.1537438264697"/>
    <n v="0.33722076995160161"/>
    <n v="63"/>
    <n v="58"/>
    <n v="1"/>
    <n v="5"/>
    <n v="1"/>
    <n v="0.29431723451347858"/>
    <n v="1"/>
    <n v="74.5"/>
    <n v="74.5"/>
    <n v="14.532517581020883"/>
    <n v="1490.3044315923594"/>
    <n v="1"/>
    <n v="0"/>
    <n v="0"/>
    <n v="0"/>
    <n v="0"/>
    <n v="0"/>
    <n v="0"/>
    <n v="0"/>
    <n v="0"/>
    <n v="0"/>
  </r>
  <r>
    <d v="2004-06-18T00:00:00"/>
    <n v="2004"/>
    <x v="10"/>
    <s v="R"/>
    <s v="RS"/>
    <x v="9"/>
    <s v="CHA"/>
    <s v="H"/>
    <n v="3"/>
    <n v="2"/>
    <n v="1"/>
    <n v="-1"/>
    <n v="8"/>
    <n v="-8"/>
    <n v="1493.1537438264697"/>
    <n v="1475.7719140113386"/>
    <n v="0.66277923004839834"/>
    <n v="58"/>
    <n v="63"/>
    <n v="1"/>
    <n v="-5"/>
    <n v="0"/>
    <n v="0.29431723451347858"/>
    <n v="1"/>
    <n v="74.349999999999994"/>
    <n v="74.349999999999994"/>
    <n v="-14.503257478508759"/>
    <n v="1478.6504863479611"/>
    <n v="0"/>
    <n v="1"/>
    <n v="0"/>
    <n v="0"/>
    <n v="0"/>
    <n v="0"/>
    <n v="0"/>
    <n v="0"/>
    <n v="0"/>
    <n v="0"/>
  </r>
  <r>
    <d v="2004-06-18T00:00:00"/>
    <n v="2004"/>
    <x v="8"/>
    <s v="R"/>
    <s v="RS"/>
    <x v="5"/>
    <s v="HOU"/>
    <s v="A"/>
    <n v="2"/>
    <n v="5"/>
    <n v="-3"/>
    <n v="3"/>
    <n v="-16"/>
    <n v="16"/>
    <n v="1584.1011743465931"/>
    <n v="1544.4730003068953"/>
    <n v="0.39182876225941993"/>
    <n v="69"/>
    <n v="63"/>
    <n v="0"/>
    <n v="6"/>
    <n v="1"/>
    <n v="0.34005109123608118"/>
    <n v="1"/>
    <n v="74.650000000000006"/>
    <n v="74.650000000000006"/>
    <n v="15.438313726337956"/>
    <n v="1599.5394880729311"/>
    <n v="1"/>
    <n v="0"/>
    <n v="0"/>
    <n v="0"/>
    <n v="0"/>
    <n v="0"/>
    <n v="0"/>
    <n v="0"/>
    <n v="0"/>
    <n v="0"/>
  </r>
  <r>
    <d v="2004-06-18T00:00:00"/>
    <n v="2004"/>
    <x v="10"/>
    <s v="R"/>
    <s v="RS"/>
    <x v="1"/>
    <s v="SEA"/>
    <s v="H"/>
    <n v="5"/>
    <n v="2"/>
    <n v="3"/>
    <n v="-3"/>
    <n v="16"/>
    <n v="-16"/>
    <n v="1544.4730003068953"/>
    <n v="1584.1011743465931"/>
    <n v="0.60817123774058002"/>
    <n v="63"/>
    <n v="69"/>
    <n v="0"/>
    <n v="-6"/>
    <n v="0"/>
    <n v="0.34005109123608118"/>
    <n v="1"/>
    <n v="74.349999999999994"/>
    <n v="74.349999999999994"/>
    <n v="-15.376270938422325"/>
    <n v="1529.096729368473"/>
    <n v="0"/>
    <n v="1"/>
    <n v="0"/>
    <n v="0"/>
    <n v="0"/>
    <n v="0"/>
    <n v="0"/>
    <n v="0"/>
    <n v="0"/>
    <n v="0"/>
  </r>
  <r>
    <d v="2004-06-18T00:00:00"/>
    <n v="2004"/>
    <x v="10"/>
    <s v="R"/>
    <s v="RS"/>
    <x v="11"/>
    <s v="PHX"/>
    <s v="A"/>
    <n v="3"/>
    <n v="6"/>
    <n v="-3"/>
    <n v="3"/>
    <n v="-16"/>
    <n v="16"/>
    <n v="1566.2763373707062"/>
    <n v="1445.7424736177388"/>
    <n v="0.50652438409113831"/>
    <n v="76"/>
    <n v="74"/>
    <n v="0"/>
    <n v="2"/>
    <n v="1"/>
    <n v="0.24339367114611912"/>
    <n v="1"/>
    <n v="74.349999999999994"/>
    <n v="74.349999999999994"/>
    <n v="8.9300923861311077"/>
    <n v="1575.2064297568372"/>
    <n v="1"/>
    <n v="0"/>
    <n v="0"/>
    <n v="0"/>
    <n v="0"/>
    <n v="0"/>
    <n v="0"/>
    <n v="0"/>
    <n v="0"/>
    <n v="0"/>
  </r>
  <r>
    <d v="2004-06-18T00:00:00"/>
    <n v="2004"/>
    <x v="8"/>
    <s v="R"/>
    <s v="RS"/>
    <x v="3"/>
    <s v="LAS"/>
    <s v="H"/>
    <n v="6"/>
    <n v="3"/>
    <n v="3"/>
    <n v="-3"/>
    <n v="16"/>
    <n v="-16"/>
    <n v="1445.7424736177388"/>
    <n v="1566.2763373707062"/>
    <n v="0.49347561590886174"/>
    <n v="74"/>
    <n v="76"/>
    <n v="0"/>
    <n v="-2"/>
    <n v="0"/>
    <n v="0.24339367114611912"/>
    <n v="1"/>
    <n v="74.650000000000006"/>
    <n v="74.650000000000006"/>
    <n v="-8.9661250386642539"/>
    <n v="1436.7763485790745"/>
    <n v="0"/>
    <n v="1"/>
    <n v="0"/>
    <n v="0"/>
    <n v="0"/>
    <n v="0"/>
    <n v="0"/>
    <n v="0"/>
    <n v="0"/>
    <n v="0"/>
  </r>
  <r>
    <d v="2004-06-19T00:00:00"/>
    <n v="2004"/>
    <x v="10"/>
    <s v="R"/>
    <s v="RS"/>
    <x v="7"/>
    <s v="IND"/>
    <s v="A"/>
    <n v="3"/>
    <n v="2"/>
    <n v="1"/>
    <n v="-1"/>
    <n v="8"/>
    <n v="-8"/>
    <n v="1523.2521164153552"/>
    <n v="1510.7824816952007"/>
    <n v="0.4207589815717368"/>
    <n v="65"/>
    <n v="70"/>
    <n v="0"/>
    <n v="-5"/>
    <n v="0"/>
    <n v="0.3283440336593525"/>
    <n v="1"/>
    <n v="74.349999999999994"/>
    <n v="74.349999999999994"/>
    <n v="-10.271727684789909"/>
    <n v="1512.9803887305652"/>
    <n v="0"/>
    <n v="1"/>
    <n v="0"/>
    <n v="0"/>
    <n v="0"/>
    <n v="0"/>
    <n v="0"/>
    <n v="0"/>
    <n v="0"/>
    <n v="0"/>
  </r>
  <r>
    <d v="2004-06-19T00:00:00"/>
    <n v="2004"/>
    <x v="9"/>
    <s v="R"/>
    <s v="RS"/>
    <x v="8"/>
    <s v="NYL"/>
    <s v="H"/>
    <n v="2"/>
    <n v="3"/>
    <n v="-1"/>
    <n v="1"/>
    <n v="-8"/>
    <n v="8"/>
    <n v="1510.7824816952007"/>
    <n v="1523.2521164153552"/>
    <n v="0.57924101842826325"/>
    <n v="70"/>
    <n v="65"/>
    <n v="0"/>
    <n v="5"/>
    <n v="1"/>
    <n v="0.3283440336593525"/>
    <n v="1"/>
    <n v="74.5"/>
    <n v="74.5"/>
    <n v="10.292450739971057"/>
    <n v="1521.0749324351716"/>
    <n v="1"/>
    <n v="0"/>
    <n v="0"/>
    <n v="0"/>
    <n v="0"/>
    <n v="0"/>
    <n v="0"/>
    <n v="0"/>
    <n v="0"/>
    <n v="0"/>
  </r>
  <r>
    <d v="2004-06-19T00:00:00"/>
    <n v="2004"/>
    <x v="11"/>
    <s v="R"/>
    <s v="RS"/>
    <x v="1"/>
    <s v="MIN"/>
    <s v="A"/>
    <n v="0"/>
    <n v="1"/>
    <n v="-1"/>
    <n v="1"/>
    <n v="-8"/>
    <n v="8"/>
    <n v="1529.096729368473"/>
    <n v="1472.731475680682"/>
    <n v="0.43753264147942594"/>
    <n v="58"/>
    <n v="66"/>
    <n v="0"/>
    <n v="-8"/>
    <n v="0"/>
    <n v="0.37089424483511152"/>
    <n v="1"/>
    <n v="74.2"/>
    <n v="74.2"/>
    <n v="-12.041052727994968"/>
    <n v="1517.0556766404779"/>
    <n v="0"/>
    <n v="1"/>
    <n v="0"/>
    <n v="0"/>
    <n v="0"/>
    <n v="0"/>
    <n v="0"/>
    <n v="0"/>
    <n v="0"/>
    <n v="0"/>
  </r>
  <r>
    <d v="2004-06-19T00:00:00"/>
    <n v="2004"/>
    <x v="9"/>
    <s v="R"/>
    <s v="RS"/>
    <x v="4"/>
    <s v="HOU"/>
    <s v="H"/>
    <n v="1"/>
    <n v="0"/>
    <n v="1"/>
    <n v="-1"/>
    <n v="8"/>
    <n v="-8"/>
    <n v="1472.731475680682"/>
    <n v="1529.096729368473"/>
    <n v="0.56246735852057406"/>
    <n v="66"/>
    <n v="58"/>
    <n v="0"/>
    <n v="8"/>
    <n v="1"/>
    <n v="0.37089424483511152"/>
    <n v="1"/>
    <n v="74.5"/>
    <n v="74.5"/>
    <n v="12.089736229590633"/>
    <n v="1484.8212119102727"/>
    <n v="1"/>
    <n v="0"/>
    <n v="0"/>
    <n v="0"/>
    <n v="0"/>
    <n v="0"/>
    <n v="0"/>
    <n v="0"/>
    <n v="0"/>
    <n v="0"/>
  </r>
  <r>
    <d v="2004-06-19T00:00:00"/>
    <n v="2004"/>
    <x v="8"/>
    <s v="R"/>
    <s v="RS"/>
    <x v="10"/>
    <s v="SAC"/>
    <s v="A"/>
    <n v="6"/>
    <n v="1"/>
    <n v="5"/>
    <n v="-5"/>
    <n v="16"/>
    <n v="-16"/>
    <n v="1582.7781698053254"/>
    <n v="1493.6659376981706"/>
    <n v="0.55320658668131062"/>
    <n v="84"/>
    <n v="74"/>
    <n v="0"/>
    <n v="10"/>
    <n v="1"/>
    <n v="0.393880087825072"/>
    <n v="1"/>
    <n v="74.650000000000006"/>
    <n v="74.650000000000006"/>
    <n v="13.13713310571501"/>
    <n v="1595.9153029110405"/>
    <n v="1"/>
    <n v="0"/>
    <n v="0"/>
    <n v="0"/>
    <n v="0"/>
    <n v="0"/>
    <n v="0"/>
    <n v="0"/>
    <n v="0"/>
    <n v="0"/>
  </r>
  <r>
    <d v="2004-06-19T00:00:00"/>
    <n v="2004"/>
    <x v="9"/>
    <s v="R"/>
    <s v="RS"/>
    <x v="2"/>
    <s v="DET"/>
    <s v="H"/>
    <n v="1"/>
    <n v="6"/>
    <n v="-5"/>
    <n v="5"/>
    <n v="-16"/>
    <n v="16"/>
    <n v="1493.6659376981706"/>
    <n v="1582.7781698053254"/>
    <n v="0.44679341331868938"/>
    <n v="74"/>
    <n v="84"/>
    <n v="0"/>
    <n v="-10"/>
    <n v="0"/>
    <n v="0.393880087825072"/>
    <n v="1"/>
    <n v="74.5"/>
    <n v="74.5"/>
    <n v="-13.110735651383365"/>
    <n v="1480.5552020467874"/>
    <n v="0"/>
    <n v="1"/>
    <n v="0"/>
    <n v="0"/>
    <n v="0"/>
    <n v="0"/>
    <n v="0"/>
    <n v="0"/>
    <n v="0"/>
    <n v="0"/>
  </r>
  <r>
    <d v="2004-06-19T00:00:00"/>
    <n v="2004"/>
    <x v="9"/>
    <s v="R"/>
    <s v="RS"/>
    <x v="5"/>
    <s v="SAS"/>
    <s v="A"/>
    <n v="0"/>
    <n v="1"/>
    <n v="-1"/>
    <n v="1"/>
    <n v="-8"/>
    <n v="8"/>
    <n v="1599.5394880729311"/>
    <n v="1405.6135821734883"/>
    <n v="0.6319708161004558"/>
    <n v="74"/>
    <n v="61"/>
    <n v="0"/>
    <n v="13"/>
    <n v="1"/>
    <n v="0.40637203482593476"/>
    <n v="1"/>
    <n v="74.5"/>
    <n v="74.5"/>
    <n v="11.141979241075651"/>
    <n v="1610.6814673140068"/>
    <n v="1"/>
    <n v="0"/>
    <n v="0"/>
    <n v="0"/>
    <n v="0"/>
    <n v="0"/>
    <n v="0"/>
    <n v="0"/>
    <n v="0"/>
    <n v="0"/>
  </r>
  <r>
    <d v="2004-06-19T00:00:00"/>
    <n v="2004"/>
    <x v="11"/>
    <s v="R"/>
    <s v="RS"/>
    <x v="0"/>
    <s v="SEA"/>
    <s v="H"/>
    <n v="1"/>
    <n v="0"/>
    <n v="1"/>
    <n v="-1"/>
    <n v="8"/>
    <n v="-8"/>
    <n v="1405.6135821734883"/>
    <n v="1599.5394880729311"/>
    <n v="0.3680291838995442"/>
    <n v="61"/>
    <n v="74"/>
    <n v="0"/>
    <n v="-13"/>
    <n v="0"/>
    <n v="0.40637203482593476"/>
    <n v="1"/>
    <n v="74.2"/>
    <n v="74.2"/>
    <n v="-11.097112210574675"/>
    <n v="1394.5164699629136"/>
    <n v="0"/>
    <n v="1"/>
    <n v="0"/>
    <n v="0"/>
    <n v="0"/>
    <n v="0"/>
    <n v="0"/>
    <n v="0"/>
    <n v="0"/>
    <n v="0"/>
  </r>
  <r>
    <d v="2004-06-20T00:00:00"/>
    <n v="2004"/>
    <x v="11"/>
    <s v="R"/>
    <s v="RS"/>
    <x v="11"/>
    <s v="CHA"/>
    <s v="A"/>
    <n v="1"/>
    <n v="1"/>
    <n v="0"/>
    <n v="0"/>
    <n v="0"/>
    <n v="0"/>
    <n v="1575.2064297568372"/>
    <n v="1490.3044315923594"/>
    <n v="0.5012980767882832"/>
    <n v="63"/>
    <n v="68"/>
    <n v="1"/>
    <n v="-5"/>
    <n v="0"/>
    <n v="0.27885119177181228"/>
    <n v="1"/>
    <n v="74.2"/>
    <n v="74.2"/>
    <n v="-10.372237407983503"/>
    <n v="1564.8341923488538"/>
    <n v="0"/>
    <n v="1"/>
    <n v="0"/>
    <n v="0"/>
    <n v="0"/>
    <n v="0"/>
    <n v="0"/>
    <n v="0"/>
    <n v="0"/>
    <n v="0"/>
  </r>
  <r>
    <d v="2004-06-20T00:00:00"/>
    <n v="2004"/>
    <x v="10"/>
    <s v="R"/>
    <s v="RS"/>
    <x v="6"/>
    <s v="LAS"/>
    <s v="H"/>
    <n v="1"/>
    <n v="1"/>
    <n v="0"/>
    <n v="0"/>
    <n v="0"/>
    <n v="0"/>
    <n v="1490.3044315923594"/>
    <n v="1575.2064297568372"/>
    <n v="0.4987019232117168"/>
    <n v="68"/>
    <n v="63"/>
    <n v="1"/>
    <n v="5"/>
    <n v="1"/>
    <n v="0.27885119177181228"/>
    <n v="1"/>
    <n v="74.349999999999994"/>
    <n v="74.349999999999994"/>
    <n v="10.393205542905301"/>
    <n v="1500.6976371352646"/>
    <n v="1"/>
    <n v="0"/>
    <n v="0"/>
    <n v="0"/>
    <n v="0"/>
    <n v="0"/>
    <n v="0"/>
    <n v="0"/>
    <n v="0"/>
    <n v="0"/>
  </r>
  <r>
    <d v="2004-06-20T00:00:00"/>
    <n v="2004"/>
    <x v="9"/>
    <s v="R"/>
    <s v="RS"/>
    <x v="12"/>
    <s v="CON"/>
    <s v="A"/>
    <n v="2"/>
    <n v="1"/>
    <n v="1"/>
    <n v="-1"/>
    <n v="8"/>
    <n v="-8"/>
    <n v="1420.7393260933281"/>
    <n v="1478.6504863479611"/>
    <n v="0.32633622934871098"/>
    <n v="65"/>
    <n v="75"/>
    <n v="0"/>
    <n v="-10"/>
    <n v="0"/>
    <n v="0.40364984049903668"/>
    <n v="1"/>
    <n v="74.5"/>
    <n v="74.5"/>
    <n v="-9.8135547359619864"/>
    <n v="1410.9257713573661"/>
    <n v="0"/>
    <n v="1"/>
    <n v="0"/>
    <n v="0"/>
    <n v="0"/>
    <n v="0"/>
    <n v="0"/>
    <n v="0"/>
    <n v="0"/>
    <n v="0"/>
  </r>
  <r>
    <d v="2004-06-20T00:00:00"/>
    <n v="2004"/>
    <x v="11"/>
    <s v="R"/>
    <s v="RS"/>
    <x v="9"/>
    <s v="WAS"/>
    <s v="H"/>
    <n v="1"/>
    <n v="2"/>
    <n v="-1"/>
    <n v="1"/>
    <n v="-8"/>
    <n v="8"/>
    <n v="1478.6504863479611"/>
    <n v="1420.7393260933281"/>
    <n v="0.67366377065128913"/>
    <n v="75"/>
    <n v="65"/>
    <n v="0"/>
    <n v="10"/>
    <n v="1"/>
    <n v="0.40364984049903668"/>
    <n v="1"/>
    <n v="74.2"/>
    <n v="74.2"/>
    <n v="9.7740370658842828"/>
    <n v="1488.4245234138455"/>
    <n v="1"/>
    <n v="0"/>
    <n v="0"/>
    <n v="0"/>
    <n v="0"/>
    <n v="0"/>
    <n v="0"/>
    <n v="0"/>
    <n v="0"/>
    <n v="0"/>
  </r>
  <r>
    <d v="2004-06-22T00:00:00"/>
    <n v="2004"/>
    <x v="10"/>
    <s v="R"/>
    <s v="RS"/>
    <x v="12"/>
    <s v="DET"/>
    <s v="A"/>
    <n v="1"/>
    <n v="2"/>
    <n v="-1"/>
    <n v="1"/>
    <n v="-8"/>
    <n v="8"/>
    <n v="1410.9257713573661"/>
    <n v="1595.9153029110405"/>
    <n v="0.1623927382737009"/>
    <n v="78"/>
    <n v="72"/>
    <n v="0"/>
    <n v="6"/>
    <n v="1"/>
    <n v="0.30436108266920403"/>
    <n v="1"/>
    <n v="74.349999999999994"/>
    <n v="74.349999999999994"/>
    <n v="18.954421192825386"/>
    <n v="1429.8801925501914"/>
    <n v="1"/>
    <n v="0"/>
    <n v="0"/>
    <n v="0"/>
    <n v="0"/>
    <n v="0"/>
    <n v="0"/>
    <n v="0"/>
    <n v="0"/>
    <n v="0"/>
  </r>
  <r>
    <d v="2004-06-22T00:00:00"/>
    <n v="2004"/>
    <x v="9"/>
    <s v="R"/>
    <s v="RS"/>
    <x v="10"/>
    <s v="WAS"/>
    <s v="H"/>
    <n v="2"/>
    <n v="1"/>
    <n v="1"/>
    <n v="-1"/>
    <n v="8"/>
    <n v="-8"/>
    <n v="1595.9153029110405"/>
    <n v="1410.9257713573661"/>
    <n v="0.83760726172629907"/>
    <n v="72"/>
    <n v="78"/>
    <n v="0"/>
    <n v="-6"/>
    <n v="0"/>
    <n v="0.30436108266920403"/>
    <n v="1"/>
    <n v="74.5"/>
    <n v="74.5"/>
    <n v="-18.99266145077998"/>
    <n v="1576.9226414602606"/>
    <n v="0"/>
    <n v="1"/>
    <n v="0"/>
    <n v="0"/>
    <n v="0"/>
    <n v="0"/>
    <n v="0"/>
    <n v="0"/>
    <n v="0"/>
    <n v="0"/>
  </r>
  <r>
    <d v="2004-06-22T00:00:00"/>
    <n v="2004"/>
    <x v="12"/>
    <s v="R"/>
    <s v="RS"/>
    <x v="9"/>
    <s v="IND"/>
    <s v="A"/>
    <n v="1"/>
    <n v="2"/>
    <n v="-1"/>
    <n v="1"/>
    <n v="-8"/>
    <n v="8"/>
    <n v="1488.4245234138455"/>
    <n v="1521.0749324351716"/>
    <n v="0.31786579903948736"/>
    <n v="63"/>
    <n v="58"/>
    <n v="0"/>
    <n v="5"/>
    <n v="1"/>
    <n v="0.32296843260659608"/>
    <n v="1"/>
    <n v="74.05"/>
    <n v="74.05"/>
    <n v="16.313793605341729"/>
    <n v="1504.7383170191872"/>
    <n v="1"/>
    <n v="0"/>
    <n v="0"/>
    <n v="0"/>
    <n v="0"/>
    <n v="0"/>
    <n v="0"/>
    <n v="0"/>
    <n v="0"/>
    <n v="0"/>
  </r>
  <r>
    <d v="2004-06-22T00:00:00"/>
    <n v="2004"/>
    <x v="10"/>
    <s v="R"/>
    <s v="RS"/>
    <x v="8"/>
    <s v="CON"/>
    <s v="H"/>
    <n v="2"/>
    <n v="1"/>
    <n v="1"/>
    <n v="-1"/>
    <n v="8"/>
    <n v="-8"/>
    <n v="1521.0749324351716"/>
    <n v="1488.4245234138455"/>
    <n v="0.68213420096051258"/>
    <n v="58"/>
    <n v="63"/>
    <n v="0"/>
    <n v="-5"/>
    <n v="0"/>
    <n v="0.32296843260659608"/>
    <n v="1"/>
    <n v="74.349999999999994"/>
    <n v="74.349999999999994"/>
    <n v="-16.379885949455197"/>
    <n v="1504.6950464857164"/>
    <n v="0"/>
    <n v="1"/>
    <n v="0"/>
    <n v="0"/>
    <n v="0"/>
    <n v="0"/>
    <n v="0"/>
    <n v="0"/>
    <n v="0"/>
    <n v="0"/>
  </r>
  <r>
    <d v="2004-06-22T00:00:00"/>
    <n v="2004"/>
    <x v="12"/>
    <s v="R"/>
    <s v="RS"/>
    <x v="11"/>
    <s v="NYL"/>
    <s v="A"/>
    <n v="1"/>
    <n v="2"/>
    <n v="-1"/>
    <n v="1"/>
    <n v="-8"/>
    <n v="8"/>
    <n v="1564.8341923488538"/>
    <n v="1512.9803887305652"/>
    <n v="0.43115219174119612"/>
    <n v="65"/>
    <n v="49"/>
    <n v="0"/>
    <n v="16"/>
    <n v="1"/>
    <n v="0.49633849970354232"/>
    <n v="1"/>
    <n v="74.05"/>
    <n v="74.05"/>
    <n v="20.907356063986445"/>
    <n v="1585.7415484128403"/>
    <n v="1"/>
    <n v="0"/>
    <n v="0"/>
    <n v="0"/>
    <n v="0"/>
    <n v="0"/>
    <n v="0"/>
    <n v="0"/>
    <n v="0"/>
    <n v="0"/>
  </r>
  <r>
    <d v="2004-06-22T00:00:00"/>
    <n v="2004"/>
    <x v="11"/>
    <s v="R"/>
    <s v="RS"/>
    <x v="7"/>
    <s v="LAS"/>
    <s v="H"/>
    <n v="2"/>
    <n v="1"/>
    <n v="1"/>
    <n v="-1"/>
    <n v="8"/>
    <n v="-8"/>
    <n v="1512.9803887305652"/>
    <n v="1564.8341923488538"/>
    <n v="0.56884780825880377"/>
    <n v="49"/>
    <n v="65"/>
    <n v="0"/>
    <n v="-16"/>
    <n v="0"/>
    <n v="0.49633849970354232"/>
    <n v="1"/>
    <n v="74.2"/>
    <n v="74.2"/>
    <n v="-20.949707224143065"/>
    <n v="1492.0306815064221"/>
    <n v="0"/>
    <n v="1"/>
    <n v="0"/>
    <n v="0"/>
    <n v="0"/>
    <n v="0"/>
    <n v="0"/>
    <n v="0"/>
    <n v="0"/>
    <n v="0"/>
  </r>
  <r>
    <d v="2004-06-22T00:00:00"/>
    <n v="2004"/>
    <x v="10"/>
    <s v="R"/>
    <s v="RS"/>
    <x v="4"/>
    <s v="PHX"/>
    <s v="A"/>
    <n v="2"/>
    <n v="3"/>
    <n v="-1"/>
    <n v="1"/>
    <n v="-8"/>
    <n v="8"/>
    <n v="1484.8212119102727"/>
    <n v="1436.7763485790745"/>
    <n v="0.42578293615034102"/>
    <n v="46"/>
    <n v="69"/>
    <n v="0"/>
    <n v="-23"/>
    <n v="0"/>
    <n v="0.59164966322077539"/>
    <n v="1"/>
    <n v="74.349999999999994"/>
    <n v="74.349999999999994"/>
    <n v="-18.729830493381634"/>
    <n v="1466.0913814168912"/>
    <n v="0"/>
    <n v="1"/>
    <n v="0"/>
    <n v="0"/>
    <n v="0"/>
    <n v="0"/>
    <n v="0"/>
    <n v="0"/>
    <n v="0"/>
    <n v="0"/>
  </r>
  <r>
    <d v="2004-06-22T00:00:00"/>
    <n v="2004"/>
    <x v="9"/>
    <s v="R"/>
    <s v="RS"/>
    <x v="3"/>
    <s v="MIN"/>
    <s v="H"/>
    <n v="3"/>
    <n v="2"/>
    <n v="1"/>
    <n v="-1"/>
    <n v="8"/>
    <n v="-8"/>
    <n v="1436.7763485790745"/>
    <n v="1484.8212119102727"/>
    <n v="0.57421706384965898"/>
    <n v="69"/>
    <n v="46"/>
    <n v="0"/>
    <n v="23"/>
    <n v="1"/>
    <n v="0.59164966322077539"/>
    <n v="1"/>
    <n v="74.5"/>
    <n v="74.5"/>
    <n v="18.767617642998413"/>
    <n v="1455.5439662220729"/>
    <n v="1"/>
    <n v="0"/>
    <n v="0"/>
    <n v="0"/>
    <n v="0"/>
    <n v="0"/>
    <n v="0"/>
    <n v="0"/>
    <n v="0"/>
    <n v="0"/>
  </r>
  <r>
    <d v="2004-06-22T00:00:00"/>
    <n v="2004"/>
    <x v="12"/>
    <s v="R"/>
    <s v="RS"/>
    <x v="1"/>
    <s v="SEA"/>
    <s v="A"/>
    <n v="2"/>
    <n v="2"/>
    <n v="0"/>
    <n v="0"/>
    <n v="0"/>
    <n v="0"/>
    <n v="1517.0556766404779"/>
    <n v="1610.6814673140068"/>
    <n v="0.2645414476842079"/>
    <n v="63"/>
    <n v="57"/>
    <n v="0"/>
    <n v="6"/>
    <n v="1"/>
    <n v="0.325856918088898"/>
    <n v="1"/>
    <n v="74.05"/>
    <n v="74.05"/>
    <n v="17.746397748603236"/>
    <n v="1534.8020743890811"/>
    <n v="1"/>
    <n v="0"/>
    <n v="0"/>
    <n v="0"/>
    <n v="0"/>
    <n v="0"/>
    <n v="0"/>
    <n v="0"/>
    <n v="0"/>
    <n v="0"/>
  </r>
  <r>
    <d v="2004-06-22T00:00:00"/>
    <n v="2004"/>
    <x v="10"/>
    <s v="R"/>
    <s v="RS"/>
    <x v="5"/>
    <s v="HOU"/>
    <s v="H"/>
    <n v="2"/>
    <n v="2"/>
    <n v="0"/>
    <n v="0"/>
    <n v="0"/>
    <n v="0"/>
    <n v="1610.6814673140068"/>
    <n v="1517.0556766404779"/>
    <n v="0.73545855231579216"/>
    <n v="57"/>
    <n v="63"/>
    <n v="0"/>
    <n v="-6"/>
    <n v="0"/>
    <n v="0.325856918088898"/>
    <n v="1"/>
    <n v="74.349999999999994"/>
    <n v="74.349999999999994"/>
    <n v="-17.818294025775156"/>
    <n v="1592.8631732882316"/>
    <n v="0"/>
    <n v="1"/>
    <n v="0"/>
    <n v="0"/>
    <n v="0"/>
    <n v="0"/>
    <n v="0"/>
    <n v="0"/>
    <n v="0"/>
    <n v="0"/>
  </r>
  <r>
    <d v="2004-06-23T00:00:00"/>
    <n v="2004"/>
    <x v="10"/>
    <s v="R"/>
    <s v="RS"/>
    <x v="10"/>
    <s v="CHA"/>
    <s v="A"/>
    <n v="0"/>
    <n v="2"/>
    <n v="-2"/>
    <n v="2"/>
    <n v="-16"/>
    <n v="16"/>
    <n v="1576.9226414602606"/>
    <n v="1500.6976371352646"/>
    <n v="0.44300794282913908"/>
    <n v="65"/>
    <n v="60"/>
    <n v="0"/>
    <n v="5"/>
    <n v="1"/>
    <n v="0.31194120880279952"/>
    <n v="1"/>
    <n v="74.349999999999994"/>
    <n v="74.349999999999994"/>
    <n v="12.918221466412893"/>
    <n v="1589.8408629266735"/>
    <n v="1"/>
    <n v="0"/>
    <n v="0"/>
    <n v="0"/>
    <n v="0"/>
    <n v="0"/>
    <n v="0"/>
    <n v="0"/>
    <n v="0"/>
    <n v="0"/>
  </r>
  <r>
    <d v="2004-06-23T00:00:00"/>
    <n v="2004"/>
    <x v="11"/>
    <s v="R"/>
    <s v="RS"/>
    <x v="6"/>
    <s v="DET"/>
    <s v="H"/>
    <n v="2"/>
    <n v="0"/>
    <n v="2"/>
    <n v="-2"/>
    <n v="16"/>
    <n v="-16"/>
    <n v="1500.6976371352646"/>
    <n v="1576.9226414602606"/>
    <n v="0.55699205717086098"/>
    <n v="60"/>
    <n v="65"/>
    <n v="0"/>
    <n v="-5"/>
    <n v="0"/>
    <n v="0.31194120880279952"/>
    <n v="1"/>
    <n v="74.2"/>
    <n v="74.2"/>
    <n v="-12.89215915007178"/>
    <n v="1487.8054779851927"/>
    <n v="0"/>
    <n v="1"/>
    <n v="0"/>
    <n v="0"/>
    <n v="0"/>
    <n v="0"/>
    <n v="0"/>
    <n v="0"/>
    <n v="0"/>
    <n v="0"/>
  </r>
  <r>
    <d v="2004-06-24T00:00:00"/>
    <n v="2004"/>
    <x v="12"/>
    <s v="R"/>
    <s v="RS"/>
    <x v="7"/>
    <s v="PHX"/>
    <s v="A"/>
    <n v="1"/>
    <n v="1"/>
    <n v="0"/>
    <n v="0"/>
    <n v="0"/>
    <n v="0"/>
    <n v="1492.0306815064221"/>
    <n v="1455.5439662220729"/>
    <n v="0.43204597857952365"/>
    <n v="60"/>
    <n v="72"/>
    <n v="0"/>
    <n v="-12"/>
    <n v="0"/>
    <n v="0.44266980382880705"/>
    <n v="1"/>
    <n v="74.05"/>
    <n v="74.05"/>
    <n v="-14.162337120558021"/>
    <n v="1477.868344385864"/>
    <n v="0"/>
    <n v="1"/>
    <n v="0"/>
    <n v="0"/>
    <n v="0"/>
    <n v="0"/>
    <n v="0"/>
    <n v="0"/>
    <n v="0"/>
    <n v="0"/>
  </r>
  <r>
    <d v="2004-06-24T00:00:00"/>
    <n v="2004"/>
    <x v="10"/>
    <s v="R"/>
    <s v="RS"/>
    <x v="3"/>
    <s v="NYL"/>
    <s v="H"/>
    <n v="1"/>
    <n v="1"/>
    <n v="0"/>
    <n v="0"/>
    <n v="0"/>
    <n v="0"/>
    <n v="1455.5439662220729"/>
    <n v="1492.0306815064221"/>
    <n v="0.56795402142047635"/>
    <n v="72"/>
    <n v="60"/>
    <n v="0"/>
    <n v="12"/>
    <n v="1"/>
    <n v="0.44266980382880705"/>
    <n v="1"/>
    <n v="74.349999999999994"/>
    <n v="74.349999999999994"/>
    <n v="14.219713233132866"/>
    <n v="1469.7636794552056"/>
    <n v="1"/>
    <n v="0"/>
    <n v="0"/>
    <n v="0"/>
    <n v="0"/>
    <n v="0"/>
    <n v="0"/>
    <n v="0"/>
    <n v="0"/>
    <n v="0"/>
  </r>
  <r>
    <d v="2004-06-24T00:00:00"/>
    <n v="2004"/>
    <x v="11"/>
    <s v="R"/>
    <s v="RS"/>
    <x v="4"/>
    <s v="SAS"/>
    <s v="A"/>
    <n v="1"/>
    <n v="4"/>
    <n v="-3"/>
    <n v="3"/>
    <n v="-16"/>
    <n v="16"/>
    <n v="1466.0913814168912"/>
    <n v="1394.5164699629136"/>
    <n v="0.4364133208387892"/>
    <n v="57"/>
    <n v="70"/>
    <n v="0"/>
    <n v="-13"/>
    <n v="0"/>
    <n v="0.44547317006218146"/>
    <n v="1"/>
    <n v="74.2"/>
    <n v="74.2"/>
    <n v="-14.425253571463314"/>
    <n v="1451.6661278454278"/>
    <n v="0"/>
    <n v="1"/>
    <n v="0"/>
    <n v="0"/>
    <n v="0"/>
    <n v="0"/>
    <n v="0"/>
    <n v="0"/>
    <n v="0"/>
    <n v="0"/>
  </r>
  <r>
    <d v="2004-06-24T00:00:00"/>
    <n v="2004"/>
    <x v="12"/>
    <s v="R"/>
    <s v="RS"/>
    <x v="0"/>
    <s v="MIN"/>
    <s v="H"/>
    <n v="4"/>
    <n v="1"/>
    <n v="3"/>
    <n v="-3"/>
    <n v="16"/>
    <n v="-16"/>
    <n v="1394.5164699629136"/>
    <n v="1466.0913814168912"/>
    <n v="0.56358667916121075"/>
    <n v="70"/>
    <n v="57"/>
    <n v="0"/>
    <n v="13"/>
    <n v="1"/>
    <n v="0.44547317006218146"/>
    <n v="1"/>
    <n v="74.05"/>
    <n v="74.05"/>
    <n v="14.3960920076396"/>
    <n v="1408.9125619705533"/>
    <n v="1"/>
    <n v="0"/>
    <n v="0"/>
    <n v="0"/>
    <n v="0"/>
    <n v="0"/>
    <n v="0"/>
    <n v="0"/>
    <n v="0"/>
    <n v="0"/>
  </r>
  <r>
    <d v="2004-06-25T00:00:00"/>
    <n v="2004"/>
    <x v="11"/>
    <s v="R"/>
    <s v="RS"/>
    <x v="10"/>
    <s v="CON"/>
    <s v="A"/>
    <n v="1"/>
    <n v="2"/>
    <n v="-1"/>
    <n v="1"/>
    <n v="-8"/>
    <n v="8"/>
    <n v="1589.8408629266735"/>
    <n v="1504.7383170191872"/>
    <n v="0.47857396951260178"/>
    <n v="67"/>
    <n v="71"/>
    <n v="1"/>
    <n v="-4"/>
    <n v="0"/>
    <n v="0.26172802689350766"/>
    <n v="1"/>
    <n v="74.2"/>
    <n v="74.2"/>
    <n v="-9.2940115806240211"/>
    <n v="1580.5468513460494"/>
    <n v="0"/>
    <n v="1"/>
    <n v="0"/>
    <n v="0"/>
    <n v="0"/>
    <n v="0"/>
    <n v="0"/>
    <n v="0"/>
    <n v="0"/>
    <n v="0"/>
  </r>
  <r>
    <d v="2004-06-25T00:00:00"/>
    <n v="2004"/>
    <x v="13"/>
    <s v="R"/>
    <s v="RS"/>
    <x v="9"/>
    <s v="DET"/>
    <s v="H"/>
    <n v="2"/>
    <n v="1"/>
    <n v="1"/>
    <n v="-1"/>
    <n v="8"/>
    <n v="-8"/>
    <n v="1504.7383170191872"/>
    <n v="1589.8408629266735"/>
    <n v="0.52142603048739822"/>
    <n v="71"/>
    <n v="67"/>
    <n v="1"/>
    <n v="4"/>
    <n v="1"/>
    <n v="0.26172802689350766"/>
    <n v="1"/>
    <n v="73.900000000000006"/>
    <n v="73.900000000000006"/>
    <n v="9.2564347143950823"/>
    <n v="1513.9947517335822"/>
    <n v="1"/>
    <n v="0"/>
    <n v="0"/>
    <n v="0"/>
    <n v="0"/>
    <n v="0"/>
    <n v="0"/>
    <n v="0"/>
    <n v="0"/>
    <n v="0"/>
  </r>
  <r>
    <d v="2004-06-25T00:00:00"/>
    <n v="2004"/>
    <x v="13"/>
    <s v="R"/>
    <s v="RS"/>
    <x v="11"/>
    <s v="IND"/>
    <s v="A"/>
    <n v="2"/>
    <n v="2"/>
    <n v="0"/>
    <n v="0"/>
    <n v="0"/>
    <n v="0"/>
    <n v="1585.7415484128403"/>
    <n v="1504.6950464857164"/>
    <n v="0.49574967698520078"/>
    <n v="67"/>
    <n v="71"/>
    <n v="0"/>
    <n v="-4"/>
    <n v="0"/>
    <n v="0.29172967673106009"/>
    <n v="1"/>
    <n v="73.900000000000006"/>
    <n v="73.900000000000006"/>
    <n v="-10.687779593174445"/>
    <n v="1575.0537688196659"/>
    <n v="0"/>
    <n v="1"/>
    <n v="0"/>
    <n v="0"/>
    <n v="0"/>
    <n v="0"/>
    <n v="0"/>
    <n v="0"/>
    <n v="0"/>
    <n v="0"/>
  </r>
  <r>
    <d v="2004-06-25T00:00:00"/>
    <n v="2004"/>
    <x v="11"/>
    <s v="R"/>
    <s v="RS"/>
    <x v="8"/>
    <s v="LAS"/>
    <s v="H"/>
    <n v="2"/>
    <n v="2"/>
    <n v="0"/>
    <n v="0"/>
    <n v="0"/>
    <n v="0"/>
    <n v="1504.6950464857164"/>
    <n v="1585.7415484128403"/>
    <n v="0.50425032301479922"/>
    <n v="71"/>
    <n v="67"/>
    <n v="0"/>
    <n v="4"/>
    <n v="1"/>
    <n v="0.29172967673106009"/>
    <n v="1"/>
    <n v="74.2"/>
    <n v="74.2"/>
    <n v="10.73116706107637"/>
    <n v="1515.4262135467927"/>
    <n v="1"/>
    <n v="0"/>
    <n v="0"/>
    <n v="0"/>
    <n v="0"/>
    <n v="0"/>
    <n v="0"/>
    <n v="0"/>
    <n v="0"/>
    <n v="0"/>
  </r>
  <r>
    <d v="2004-06-25T00:00:00"/>
    <n v="2004"/>
    <x v="13"/>
    <s v="R"/>
    <s v="RS"/>
    <x v="1"/>
    <s v="SAC"/>
    <s v="A"/>
    <n v="2"/>
    <n v="5"/>
    <n v="-3"/>
    <n v="3"/>
    <n v="-16"/>
    <n v="16"/>
    <n v="1534.8020743890811"/>
    <n v="1480.5552020467874"/>
    <n v="0.41205427139763046"/>
    <n v="55"/>
    <n v="61"/>
    <n v="0"/>
    <n v="-6"/>
    <n v="0"/>
    <n v="0.33608767349124335"/>
    <n v="1"/>
    <n v="73.900000000000006"/>
    <n v="73.900000000000006"/>
    <n v="-10.234142109393151"/>
    <n v="1524.567932279688"/>
    <n v="0"/>
    <n v="1"/>
    <n v="0"/>
    <n v="0"/>
    <n v="0"/>
    <n v="0"/>
    <n v="0"/>
    <n v="0"/>
    <n v="0"/>
    <n v="0"/>
  </r>
  <r>
    <d v="2004-06-25T00:00:00"/>
    <n v="2004"/>
    <x v="10"/>
    <s v="R"/>
    <s v="RS"/>
    <x v="2"/>
    <s v="HOU"/>
    <s v="H"/>
    <n v="5"/>
    <n v="2"/>
    <n v="3"/>
    <n v="-3"/>
    <n v="16"/>
    <n v="-16"/>
    <n v="1480.5552020467874"/>
    <n v="1534.8020743890811"/>
    <n v="0.58794572860236949"/>
    <n v="61"/>
    <n v="55"/>
    <n v="0"/>
    <n v="6"/>
    <n v="1"/>
    <n v="0.33608767349124335"/>
    <n v="1"/>
    <n v="74.349999999999994"/>
    <n v="74.349999999999994"/>
    <n v="10.296460972034922"/>
    <n v="1490.8516630188224"/>
    <n v="1"/>
    <n v="0"/>
    <n v="0"/>
    <n v="0"/>
    <n v="0"/>
    <n v="0"/>
    <n v="0"/>
    <n v="0"/>
    <n v="0"/>
    <n v="0"/>
  </r>
  <r>
    <d v="2004-06-26T00:00:00"/>
    <n v="2004"/>
    <x v="12"/>
    <s v="R"/>
    <s v="RS"/>
    <x v="8"/>
    <s v="CHA"/>
    <s v="A"/>
    <n v="0"/>
    <n v="2"/>
    <n v="-2"/>
    <n v="2"/>
    <n v="-16"/>
    <n v="16"/>
    <n v="1515.4262135467927"/>
    <n v="1487.8054779851927"/>
    <n v="0.37548614498841898"/>
    <n v="37"/>
    <n v="46"/>
    <n v="0"/>
    <n v="-9"/>
    <n v="0"/>
    <n v="0.3968374095227607"/>
    <n v="1"/>
    <n v="74.05"/>
    <n v="74.05"/>
    <n v="-11.033964580032446"/>
    <n v="1504.3922489667602"/>
    <n v="0"/>
    <n v="1"/>
    <n v="0"/>
    <n v="0"/>
    <n v="0"/>
    <n v="0"/>
    <n v="0"/>
    <n v="0"/>
    <n v="0"/>
    <n v="0"/>
  </r>
  <r>
    <d v="2004-06-26T00:00:00"/>
    <n v="2004"/>
    <x v="12"/>
    <s v="R"/>
    <s v="RS"/>
    <x v="6"/>
    <s v="IND"/>
    <s v="H"/>
    <n v="2"/>
    <n v="0"/>
    <n v="2"/>
    <n v="-2"/>
    <n v="16"/>
    <n v="-16"/>
    <n v="1487.8054779851927"/>
    <n v="1515.4262135467927"/>
    <n v="0.62451385501158097"/>
    <n v="46"/>
    <n v="37"/>
    <n v="0"/>
    <n v="9"/>
    <n v="1"/>
    <n v="0.3968374095227607"/>
    <n v="1"/>
    <n v="74.05"/>
    <n v="74.05"/>
    <n v="11.033964580032448"/>
    <n v="1498.8394425652252"/>
    <n v="1"/>
    <n v="0"/>
    <n v="0"/>
    <n v="0"/>
    <n v="0"/>
    <n v="0"/>
    <n v="0"/>
    <n v="0"/>
    <n v="0"/>
    <n v="0"/>
  </r>
  <r>
    <d v="2004-06-26T00:00:00"/>
    <n v="2004"/>
    <x v="13"/>
    <s v="R"/>
    <s v="RS"/>
    <x v="0"/>
    <s v="PHX"/>
    <s v="A"/>
    <n v="1"/>
    <n v="1"/>
    <n v="0"/>
    <n v="0"/>
    <n v="0"/>
    <n v="0"/>
    <n v="1408.9125619705533"/>
    <n v="1469.7636794552056"/>
    <n v="0.3028358337989423"/>
    <n v="80"/>
    <n v="72"/>
    <n v="1"/>
    <n v="8"/>
    <n v="1"/>
    <n v="0.33261720752557516"/>
    <n v="1"/>
    <n v="73.900000000000006"/>
    <n v="73.900000000000006"/>
    <n v="17.136582183188324"/>
    <n v="1426.0491441537415"/>
    <n v="1"/>
    <n v="0"/>
    <n v="0"/>
    <n v="0"/>
    <n v="0"/>
    <n v="0"/>
    <n v="0"/>
    <n v="0"/>
    <n v="0"/>
    <n v="0"/>
  </r>
  <r>
    <d v="2004-06-26T00:00:00"/>
    <n v="2004"/>
    <x v="11"/>
    <s v="R"/>
    <s v="RS"/>
    <x v="3"/>
    <s v="SAS"/>
    <s v="H"/>
    <n v="1"/>
    <n v="1"/>
    <n v="0"/>
    <n v="0"/>
    <n v="0"/>
    <n v="0"/>
    <n v="1469.7636794552056"/>
    <n v="1408.9125619705533"/>
    <n v="0.6971641662010577"/>
    <n v="72"/>
    <n v="80"/>
    <n v="1"/>
    <n v="-8"/>
    <n v="0"/>
    <n v="0.33261720752557516"/>
    <n v="1"/>
    <n v="74.2"/>
    <n v="74.2"/>
    <n v="-17.20614882263293"/>
    <n v="1452.5575306325727"/>
    <n v="0"/>
    <n v="1"/>
    <n v="0"/>
    <n v="0"/>
    <n v="0"/>
    <n v="0"/>
    <n v="0"/>
    <n v="0"/>
    <n v="0"/>
    <n v="0"/>
  </r>
  <r>
    <d v="2004-06-26T00:00:00"/>
    <n v="2004"/>
    <x v="13"/>
    <s v="R"/>
    <s v="RS"/>
    <x v="7"/>
    <s v="SEA"/>
    <s v="A"/>
    <n v="1"/>
    <n v="3"/>
    <n v="-2"/>
    <n v="2"/>
    <n v="-16"/>
    <n v="16"/>
    <n v="1477.868344385864"/>
    <n v="1592.8631732882316"/>
    <n v="0.20920682183078063"/>
    <n v="67"/>
    <n v="62"/>
    <n v="0"/>
    <n v="5"/>
    <n v="1"/>
    <n v="0.30274428598764846"/>
    <n v="1"/>
    <n v="73.900000000000006"/>
    <n v="73.900000000000006"/>
    <n v="17.692259778958153"/>
    <n v="1495.5606041648223"/>
    <n v="1"/>
    <n v="0"/>
    <n v="0"/>
    <n v="0"/>
    <n v="0"/>
    <n v="0"/>
    <n v="0"/>
    <n v="0"/>
    <n v="0"/>
    <n v="0"/>
  </r>
  <r>
    <d v="2004-06-26T00:00:00"/>
    <n v="2004"/>
    <x v="11"/>
    <s v="R"/>
    <s v="RS"/>
    <x v="5"/>
    <s v="NYL"/>
    <s v="H"/>
    <n v="3"/>
    <n v="1"/>
    <n v="2"/>
    <n v="-2"/>
    <n v="16"/>
    <n v="-16"/>
    <n v="1592.8631732882316"/>
    <n v="1477.868344385864"/>
    <n v="0.79079317816921935"/>
    <n v="62"/>
    <n v="67"/>
    <n v="0"/>
    <n v="-5"/>
    <n v="0"/>
    <n v="0.30274428598764846"/>
    <n v="1"/>
    <n v="74.2"/>
    <n v="74.2"/>
    <n v="-17.764082213784775"/>
    <n v="1575.0990910744467"/>
    <n v="0"/>
    <n v="1"/>
    <n v="0"/>
    <n v="0"/>
    <n v="0"/>
    <n v="0"/>
    <n v="0"/>
    <n v="0"/>
    <n v="0"/>
    <n v="0"/>
  </r>
  <r>
    <d v="2004-06-27T00:00:00"/>
    <n v="2004"/>
    <x v="14"/>
    <s v="R"/>
    <s v="RS"/>
    <x v="9"/>
    <s v="DET"/>
    <s v="A"/>
    <n v="1"/>
    <n v="1"/>
    <n v="0"/>
    <n v="0"/>
    <n v="0"/>
    <n v="0"/>
    <n v="1513.9947517335822"/>
    <n v="1580.5468513460494"/>
    <n v="0.29595235545381166"/>
    <n v="74"/>
    <n v="72"/>
    <n v="0"/>
    <n v="2"/>
    <n v="1"/>
    <n v="0.25376736185581866"/>
    <n v="1"/>
    <n v="73.75"/>
    <n v="73.75"/>
    <n v="13.176493111575091"/>
    <n v="1527.1712448451574"/>
    <n v="1"/>
    <n v="0"/>
    <n v="0"/>
    <n v="0"/>
    <n v="0"/>
    <n v="0"/>
    <n v="0"/>
    <n v="0"/>
    <n v="0"/>
    <n v="0"/>
  </r>
  <r>
    <d v="2004-06-27T00:00:00"/>
    <n v="2004"/>
    <x v="12"/>
    <s v="R"/>
    <s v="RS"/>
    <x v="10"/>
    <s v="CON"/>
    <s v="H"/>
    <n v="1"/>
    <n v="1"/>
    <n v="0"/>
    <n v="0"/>
    <n v="0"/>
    <n v="0"/>
    <n v="1580.5468513460494"/>
    <n v="1513.9947517335822"/>
    <n v="0.70404764454618829"/>
    <n v="72"/>
    <n v="74"/>
    <n v="0"/>
    <n v="-2"/>
    <n v="0"/>
    <n v="0.25376736185581866"/>
    <n v="1"/>
    <n v="74.05"/>
    <n v="74.05"/>
    <n v="-13.230092405588277"/>
    <n v="1567.3167589404611"/>
    <n v="0"/>
    <n v="1"/>
    <n v="0"/>
    <n v="0"/>
    <n v="0"/>
    <n v="0"/>
    <n v="0"/>
    <n v="0"/>
    <n v="0"/>
    <n v="0"/>
  </r>
  <r>
    <d v="2004-06-27T00:00:00"/>
    <n v="2004"/>
    <x v="11"/>
    <s v="R"/>
    <s v="RS"/>
    <x v="12"/>
    <s v="HOU"/>
    <s v="A"/>
    <n v="4"/>
    <n v="1"/>
    <n v="3"/>
    <n v="-3"/>
    <n v="16"/>
    <n v="-16"/>
    <n v="1429.8801925501914"/>
    <n v="1524.567932279688"/>
    <n v="0.30060837606532231"/>
    <n v="67"/>
    <n v="72"/>
    <n v="0"/>
    <n v="-5"/>
    <n v="0"/>
    <n v="0.30749280953002239"/>
    <n v="1"/>
    <n v="74.2"/>
    <n v="74.2"/>
    <n v="-6.8586706280440959"/>
    <n v="1423.0215219221473"/>
    <n v="0"/>
    <n v="1"/>
    <n v="0"/>
    <n v="0"/>
    <n v="0"/>
    <n v="0"/>
    <n v="0"/>
    <n v="0"/>
    <n v="0"/>
    <n v="0"/>
  </r>
  <r>
    <d v="2004-06-27T00:00:00"/>
    <n v="2004"/>
    <x v="14"/>
    <s v="R"/>
    <s v="RS"/>
    <x v="1"/>
    <s v="WAS"/>
    <s v="H"/>
    <n v="1"/>
    <n v="4"/>
    <n v="-3"/>
    <n v="3"/>
    <n v="-16"/>
    <n v="16"/>
    <n v="1524.567932279688"/>
    <n v="1429.8801925501914"/>
    <n v="0.69939162393467769"/>
    <n v="72"/>
    <n v="67"/>
    <n v="0"/>
    <n v="5"/>
    <n v="1"/>
    <n v="0.30749280953002239"/>
    <n v="1"/>
    <n v="73.75"/>
    <n v="73.75"/>
    <n v="6.8170749166880329"/>
    <n v="1531.3850071963759"/>
    <n v="1"/>
    <n v="0"/>
    <n v="0"/>
    <n v="0"/>
    <n v="0"/>
    <n v="0"/>
    <n v="0"/>
    <n v="0"/>
    <n v="0"/>
    <n v="0"/>
  </r>
  <r>
    <d v="2004-06-27T00:00:00"/>
    <n v="2004"/>
    <x v="14"/>
    <s v="R"/>
    <s v="RS"/>
    <x v="11"/>
    <s v="MIN"/>
    <s v="A"/>
    <n v="1"/>
    <n v="2"/>
    <n v="-1"/>
    <n v="1"/>
    <n v="-8"/>
    <n v="8"/>
    <n v="1575.0537688196659"/>
    <n v="1451.6661278454278"/>
    <n v="0.5336067752848308"/>
    <n v="83"/>
    <n v="67"/>
    <n v="0"/>
    <n v="16"/>
    <n v="1"/>
    <n v="0.46950962779028227"/>
    <n v="1"/>
    <n v="73.75"/>
    <n v="73.75"/>
    <n v="16.149488063819732"/>
    <n v="1591.2032568834857"/>
    <n v="1"/>
    <n v="0"/>
    <n v="0"/>
    <n v="0"/>
    <n v="0"/>
    <n v="0"/>
    <n v="0"/>
    <n v="0"/>
    <n v="0"/>
    <n v="0"/>
  </r>
  <r>
    <d v="2004-06-27T00:00:00"/>
    <n v="2004"/>
    <x v="12"/>
    <s v="R"/>
    <s v="RS"/>
    <x v="4"/>
    <s v="LAS"/>
    <s v="H"/>
    <n v="2"/>
    <n v="1"/>
    <n v="1"/>
    <n v="-1"/>
    <n v="8"/>
    <n v="-8"/>
    <n v="1451.6661278454278"/>
    <n v="1575.0537688196659"/>
    <n v="0.46639322471516909"/>
    <n v="67"/>
    <n v="83"/>
    <n v="0"/>
    <n v="-16"/>
    <n v="0"/>
    <n v="0.46950962779028227"/>
    <n v="1"/>
    <n v="74.05"/>
    <n v="74.05"/>
    <n v="-16.215180896621707"/>
    <n v="1435.4509469488062"/>
    <n v="0"/>
    <n v="1"/>
    <n v="0"/>
    <n v="0"/>
    <n v="0"/>
    <n v="0"/>
    <n v="0"/>
    <n v="0"/>
    <n v="0"/>
    <n v="0"/>
  </r>
  <r>
    <d v="2004-06-27T00:00:00"/>
    <n v="2004"/>
    <x v="12"/>
    <s v="R"/>
    <s v="RS"/>
    <x v="3"/>
    <s v="SAC"/>
    <s v="A"/>
    <n v="0"/>
    <n v="1"/>
    <n v="-1"/>
    <n v="1"/>
    <n v="-8"/>
    <n v="8"/>
    <n v="1452.5575306325727"/>
    <n v="1490.8516630188224"/>
    <n v="0.31086359347116571"/>
    <n v="57"/>
    <n v="63"/>
    <n v="0"/>
    <n v="-6"/>
    <n v="0"/>
    <n v="0.34041743579683209"/>
    <n v="1"/>
    <n v="74.05"/>
    <n v="74.05"/>
    <n v="-7.8362218348997885"/>
    <n v="1444.7213087976729"/>
    <n v="0"/>
    <n v="1"/>
    <n v="0"/>
    <n v="0"/>
    <n v="0"/>
    <n v="0"/>
    <n v="0"/>
    <n v="0"/>
    <n v="0"/>
    <n v="0"/>
  </r>
  <r>
    <d v="2004-06-27T00:00:00"/>
    <n v="2004"/>
    <x v="11"/>
    <s v="R"/>
    <s v="RS"/>
    <x v="2"/>
    <s v="PHX"/>
    <s v="H"/>
    <n v="1"/>
    <n v="0"/>
    <n v="1"/>
    <n v="-1"/>
    <n v="8"/>
    <n v="-8"/>
    <n v="1490.8516630188224"/>
    <n v="1452.5575306325727"/>
    <n v="0.68913640652883434"/>
    <n v="63"/>
    <n v="57"/>
    <n v="0"/>
    <n v="6"/>
    <n v="1"/>
    <n v="0.34041743579683209"/>
    <n v="1"/>
    <n v="74.2"/>
    <n v="74.2"/>
    <n v="7.8520953430055949"/>
    <n v="1498.703758361828"/>
    <n v="1"/>
    <n v="0"/>
    <n v="0"/>
    <n v="0"/>
    <n v="0"/>
    <n v="0"/>
    <n v="0"/>
    <n v="0"/>
    <n v="0"/>
    <n v="0"/>
  </r>
  <r>
    <d v="2004-06-29T00:00:00"/>
    <n v="2004"/>
    <x v="13"/>
    <s v="R"/>
    <s v="RS"/>
    <x v="8"/>
    <s v="DET"/>
    <s v="A"/>
    <n v="2"/>
    <n v="1"/>
    <n v="1"/>
    <n v="-1"/>
    <n v="8"/>
    <n v="-8"/>
    <n v="1504.3922489667602"/>
    <n v="1567.3167589404611"/>
    <n v="0.32002387988347153"/>
    <n v="69"/>
    <n v="68"/>
    <n v="0"/>
    <n v="1"/>
    <n v="1"/>
    <n v="0.2320135549229731"/>
    <n v="1"/>
    <n v="73.900000000000006"/>
    <n v="73.900000000000006"/>
    <n v="11.658735722242412"/>
    <n v="1516.0509846890027"/>
    <n v="1"/>
    <n v="0"/>
    <n v="0"/>
    <n v="0"/>
    <n v="0"/>
    <n v="0"/>
    <n v="0"/>
    <n v="0"/>
    <n v="0"/>
    <n v="0"/>
  </r>
  <r>
    <d v="2004-06-29T00:00:00"/>
    <n v="2004"/>
    <x v="13"/>
    <s v="R"/>
    <s v="RS"/>
    <x v="10"/>
    <s v="IND"/>
    <s v="H"/>
    <n v="1"/>
    <n v="2"/>
    <n v="-1"/>
    <n v="1"/>
    <n v="-8"/>
    <n v="8"/>
    <n v="1567.3167589404611"/>
    <n v="1504.3922489667602"/>
    <n v="0.67997612011652853"/>
    <n v="68"/>
    <n v="69"/>
    <n v="0"/>
    <n v="-1"/>
    <n v="0"/>
    <n v="0.2320135549229731"/>
    <n v="1"/>
    <n v="73.900000000000006"/>
    <n v="73.900000000000006"/>
    <n v="-11.658735722242414"/>
    <n v="1555.6580232182187"/>
    <n v="0"/>
    <n v="1"/>
    <n v="0"/>
    <n v="0"/>
    <n v="0"/>
    <n v="0"/>
    <n v="0"/>
    <n v="0"/>
    <n v="0"/>
    <n v="0"/>
  </r>
  <r>
    <d v="2004-06-29T00:00:00"/>
    <n v="2004"/>
    <x v="14"/>
    <s v="R"/>
    <s v="RS"/>
    <x v="7"/>
    <s v="LAS"/>
    <s v="A"/>
    <n v="2"/>
    <n v="1"/>
    <n v="1"/>
    <n v="-1"/>
    <n v="8"/>
    <n v="-8"/>
    <n v="1495.5606041648223"/>
    <n v="1591.2032568834857"/>
    <n v="0.28049595747628914"/>
    <n v="65"/>
    <n v="69"/>
    <n v="1"/>
    <n v="-4"/>
    <n v="0"/>
    <n v="0.25959885852046299"/>
    <n v="1"/>
    <n v="73.75"/>
    <n v="73.75"/>
    <n v="-5.3702117405581129"/>
    <n v="1490.1903924242642"/>
    <n v="0"/>
    <n v="1"/>
    <n v="0"/>
    <n v="0"/>
    <n v="0"/>
    <n v="0"/>
    <n v="0"/>
    <n v="0"/>
    <n v="0"/>
    <n v="0"/>
  </r>
  <r>
    <d v="2004-06-29T00:00:00"/>
    <n v="2004"/>
    <x v="15"/>
    <s v="R"/>
    <s v="RS"/>
    <x v="11"/>
    <s v="NYL"/>
    <s v="H"/>
    <n v="1"/>
    <n v="2"/>
    <n v="-1"/>
    <n v="1"/>
    <n v="-8"/>
    <n v="8"/>
    <n v="1591.2032568834857"/>
    <n v="1495.5606041648223"/>
    <n v="0.71950404252371081"/>
    <n v="69"/>
    <n v="65"/>
    <n v="1"/>
    <n v="4"/>
    <n v="1"/>
    <n v="0.25959885852046299"/>
    <n v="1"/>
    <n v="73.599999999999994"/>
    <n v="73.599999999999994"/>
    <n v="5.3592892760010464"/>
    <n v="1596.5625461594866"/>
    <n v="1"/>
    <n v="0"/>
    <n v="0"/>
    <n v="0"/>
    <n v="0"/>
    <n v="0"/>
    <n v="0"/>
    <n v="0"/>
    <n v="0"/>
    <n v="0"/>
  </r>
  <r>
    <d v="2004-06-29T00:00:00"/>
    <n v="2004"/>
    <x v="13"/>
    <s v="R"/>
    <s v="RS"/>
    <x v="3"/>
    <s v="SAS"/>
    <s v="A"/>
    <n v="1"/>
    <n v="2"/>
    <n v="-1"/>
    <n v="1"/>
    <n v="-8"/>
    <n v="8"/>
    <n v="1444.7213087976729"/>
    <n v="1426.0491441537415"/>
    <n v="0.38505168458630062"/>
    <n v="77"/>
    <n v="65"/>
    <n v="0"/>
    <n v="12"/>
    <n v="1"/>
    <n v="0.44914075136176901"/>
    <n v="1"/>
    <n v="73.900000000000006"/>
    <n v="73.900000000000006"/>
    <n v="20.411057949240316"/>
    <n v="1465.1323667469132"/>
    <n v="1"/>
    <n v="0"/>
    <n v="0"/>
    <n v="0"/>
    <n v="0"/>
    <n v="0"/>
    <n v="0"/>
    <n v="0"/>
    <n v="0"/>
    <n v="0"/>
  </r>
  <r>
    <d v="2004-06-29T00:00:00"/>
    <n v="2004"/>
    <x v="14"/>
    <s v="R"/>
    <s v="RS"/>
    <x v="0"/>
    <s v="PHX"/>
    <s v="H"/>
    <n v="2"/>
    <n v="1"/>
    <n v="1"/>
    <n v="-1"/>
    <n v="8"/>
    <n v="-8"/>
    <n v="1426.0491441537415"/>
    <n v="1444.7213087976729"/>
    <n v="0.61494831541369932"/>
    <n v="65"/>
    <n v="77"/>
    <n v="0"/>
    <n v="-12"/>
    <n v="0"/>
    <n v="0.44914075136176901"/>
    <n v="1"/>
    <n v="73.75"/>
    <n v="73.75"/>
    <n v="-20.369628196975274"/>
    <n v="1405.6795159567662"/>
    <n v="0"/>
    <n v="1"/>
    <n v="0"/>
    <n v="0"/>
    <n v="0"/>
    <n v="0"/>
    <n v="0"/>
    <n v="0"/>
    <n v="0"/>
    <n v="0"/>
  </r>
  <r>
    <d v="2004-06-30T00:00:00"/>
    <n v="2004"/>
    <x v="12"/>
    <s v="R"/>
    <s v="RS"/>
    <x v="12"/>
    <s v="CON"/>
    <s v="A"/>
    <n v="2"/>
    <n v="2"/>
    <n v="0"/>
    <n v="0"/>
    <n v="0"/>
    <n v="0"/>
    <n v="1423.0215219221473"/>
    <n v="1527.1712448451574"/>
    <n v="0.25292418966689428"/>
    <n v="69"/>
    <n v="78"/>
    <n v="0"/>
    <n v="-9"/>
    <n v="0"/>
    <n v="0.37355053949235167"/>
    <n v="1"/>
    <n v="74.05"/>
    <n v="74.05"/>
    <n v="-6.9962415934293709"/>
    <n v="1416.0252803287178"/>
    <n v="0"/>
    <n v="1"/>
    <n v="0"/>
    <n v="0"/>
    <n v="0"/>
    <n v="0"/>
    <n v="0"/>
    <n v="0"/>
    <n v="0"/>
    <n v="0"/>
  </r>
  <r>
    <d v="2004-06-30T00:00:00"/>
    <n v="2004"/>
    <x v="15"/>
    <s v="R"/>
    <s v="RS"/>
    <x v="9"/>
    <s v="WAS"/>
    <s v="H"/>
    <n v="2"/>
    <n v="2"/>
    <n v="0"/>
    <n v="0"/>
    <n v="0"/>
    <n v="0"/>
    <n v="1527.1712448451574"/>
    <n v="1423.0215219221473"/>
    <n v="0.74707581033310566"/>
    <n v="78"/>
    <n v="69"/>
    <n v="0"/>
    <n v="9"/>
    <n v="1"/>
    <n v="0.37355053949235167"/>
    <n v="1"/>
    <n v="73.599999999999994"/>
    <n v="73.599999999999994"/>
    <n v="6.9537256080540413"/>
    <n v="1534.1249704532115"/>
    <n v="1"/>
    <n v="0"/>
    <n v="0"/>
    <n v="0"/>
    <n v="0"/>
    <n v="0"/>
    <n v="0"/>
    <n v="0"/>
    <n v="0"/>
    <n v="0"/>
  </r>
  <r>
    <d v="2004-06-30T00:00:00"/>
    <n v="2004"/>
    <x v="15"/>
    <s v="R"/>
    <s v="RS"/>
    <x v="1"/>
    <s v="MIN"/>
    <s v="A"/>
    <n v="2"/>
    <n v="2"/>
    <n v="0"/>
    <n v="0"/>
    <n v="0"/>
    <n v="0"/>
    <n v="1531.3850071963759"/>
    <n v="1435.4509469488062"/>
    <n v="0.51716774199335425"/>
    <n v="50"/>
    <n v="58"/>
    <n v="1"/>
    <n v="-8"/>
    <n v="0"/>
    <n v="0.32361274440393151"/>
    <n v="1"/>
    <n v="73.599999999999994"/>
    <n v="73.599999999999994"/>
    <n v="-12.317848521548914"/>
    <n v="1519.0671586748269"/>
    <n v="0"/>
    <n v="1"/>
    <n v="0"/>
    <n v="0"/>
    <n v="0"/>
    <n v="0"/>
    <n v="0"/>
    <n v="0"/>
    <n v="0"/>
    <n v="0"/>
  </r>
  <r>
    <d v="2004-06-30T00:00:00"/>
    <n v="2004"/>
    <x v="13"/>
    <s v="R"/>
    <s v="RS"/>
    <x v="4"/>
    <s v="HOU"/>
    <s v="H"/>
    <n v="2"/>
    <n v="2"/>
    <n v="0"/>
    <n v="0"/>
    <n v="0"/>
    <n v="0"/>
    <n v="1435.4509469488062"/>
    <n v="1531.3850071963759"/>
    <n v="0.48283225800664564"/>
    <n v="58"/>
    <n v="50"/>
    <n v="1"/>
    <n v="8"/>
    <n v="1"/>
    <n v="0.32361274440393151"/>
    <n v="1"/>
    <n v="73.900000000000006"/>
    <n v="73.900000000000006"/>
    <n v="12.368057143240016"/>
    <n v="1447.8190040920463"/>
    <n v="1"/>
    <n v="0"/>
    <n v="0"/>
    <n v="0"/>
    <n v="0"/>
    <n v="0"/>
    <n v="0"/>
    <n v="0"/>
    <n v="0"/>
    <n v="0"/>
  </r>
  <r>
    <d v="2004-07-01T00:00:00"/>
    <n v="2004"/>
    <x v="14"/>
    <s v="R"/>
    <s v="RS"/>
    <x v="3"/>
    <s v="CHA"/>
    <s v="A"/>
    <n v="1"/>
    <n v="4"/>
    <n v="-3"/>
    <n v="3"/>
    <n v="-16"/>
    <n v="16"/>
    <n v="1465.1323667469132"/>
    <n v="1498.8394425652252"/>
    <n v="0.29696691818668952"/>
    <n v="71"/>
    <n v="59"/>
    <n v="0"/>
    <n v="12"/>
    <n v="1"/>
    <n v="0.44366717385388316"/>
    <n v="1"/>
    <n v="73.75"/>
    <n v="73.75"/>
    <n v="23.003561664374928"/>
    <n v="1488.1359284112882"/>
    <n v="1"/>
    <n v="0"/>
    <n v="0"/>
    <n v="0"/>
    <n v="0"/>
    <n v="0"/>
    <n v="0"/>
    <n v="0"/>
    <n v="0"/>
    <n v="0"/>
  </r>
  <r>
    <d v="2004-07-01T00:00:00"/>
    <n v="2004"/>
    <x v="13"/>
    <s v="R"/>
    <s v="RS"/>
    <x v="6"/>
    <s v="PHX"/>
    <s v="H"/>
    <n v="4"/>
    <n v="1"/>
    <n v="3"/>
    <n v="-3"/>
    <n v="16"/>
    <n v="-16"/>
    <n v="1498.8394425652252"/>
    <n v="1465.1323667469132"/>
    <n v="0.70303308181331048"/>
    <n v="59"/>
    <n v="71"/>
    <n v="0"/>
    <n v="-12"/>
    <n v="0"/>
    <n v="0.44366717385388316"/>
    <n v="1"/>
    <n v="73.900000000000006"/>
    <n v="73.900000000000006"/>
    <n v="-23.050348569455011"/>
    <n v="1475.7890939957701"/>
    <n v="0"/>
    <n v="1"/>
    <n v="0"/>
    <n v="0"/>
    <n v="0"/>
    <n v="0"/>
    <n v="0"/>
    <n v="0"/>
    <n v="0"/>
    <n v="0"/>
  </r>
  <r>
    <d v="2004-07-01T00:00:00"/>
    <n v="2004"/>
    <x v="15"/>
    <s v="R"/>
    <s v="RS"/>
    <x v="7"/>
    <s v="SAC"/>
    <s v="A"/>
    <n v="1"/>
    <n v="3"/>
    <n v="-2"/>
    <n v="2"/>
    <n v="-16"/>
    <n v="16"/>
    <n v="1490.1903924242642"/>
    <n v="1498.703758361828"/>
    <n v="0.32810761203030669"/>
    <n v="47"/>
    <n v="73"/>
    <n v="0"/>
    <n v="-26"/>
    <n v="0"/>
    <n v="0.64947966546590474"/>
    <n v="1"/>
    <n v="73.599999999999994"/>
    <n v="73.599999999999994"/>
    <n v="-15.684102746431968"/>
    <n v="1474.5062896778322"/>
    <n v="0"/>
    <n v="1"/>
    <n v="0"/>
    <n v="0"/>
    <n v="0"/>
    <n v="0"/>
    <n v="0"/>
    <n v="0"/>
    <n v="0"/>
    <n v="0"/>
  </r>
  <r>
    <d v="2004-07-01T00:00:00"/>
    <n v="2004"/>
    <x v="12"/>
    <s v="R"/>
    <s v="RS"/>
    <x v="2"/>
    <s v="NYL"/>
    <s v="H"/>
    <n v="3"/>
    <n v="1"/>
    <n v="2"/>
    <n v="-2"/>
    <n v="16"/>
    <n v="-16"/>
    <n v="1498.703758361828"/>
    <n v="1490.1903924242642"/>
    <n v="0.67189238796969319"/>
    <n v="73"/>
    <n v="47"/>
    <n v="0"/>
    <n v="26"/>
    <n v="1"/>
    <n v="0.64947966546590474"/>
    <n v="1"/>
    <n v="74.05"/>
    <n v="74.05"/>
    <n v="15.77999739637619"/>
    <n v="1514.4837557582043"/>
    <n v="1"/>
    <n v="0"/>
    <n v="0"/>
    <n v="0"/>
    <n v="0"/>
    <n v="0"/>
    <n v="0"/>
    <n v="0"/>
    <n v="0"/>
    <n v="0"/>
  </r>
  <r>
    <d v="2004-07-01T00:00:00"/>
    <n v="2004"/>
    <x v="15"/>
    <s v="R"/>
    <s v="RS"/>
    <x v="0"/>
    <s v="SEA"/>
    <s v="A"/>
    <n v="1"/>
    <n v="4"/>
    <n v="-3"/>
    <n v="3"/>
    <n v="-16"/>
    <n v="16"/>
    <n v="1405.6795159567662"/>
    <n v="1575.0990910744467"/>
    <n v="0.16205629476458072"/>
    <n v="52"/>
    <n v="76"/>
    <n v="0"/>
    <n v="-24"/>
    <n v="0"/>
    <n v="0.55068375758609944"/>
    <n v="1"/>
    <n v="73.599999999999994"/>
    <n v="73.599999999999994"/>
    <n v="-6.5681942235299724"/>
    <n v="1399.1113217332363"/>
    <n v="0"/>
    <n v="1"/>
    <n v="0"/>
    <n v="0"/>
    <n v="0"/>
    <n v="0"/>
    <n v="0"/>
    <n v="0"/>
    <n v="0"/>
    <n v="0"/>
  </r>
  <r>
    <d v="2004-07-01T00:00:00"/>
    <n v="2004"/>
    <x v="12"/>
    <s v="R"/>
    <s v="RS"/>
    <x v="5"/>
    <s v="SAS"/>
    <s v="H"/>
    <n v="4"/>
    <n v="1"/>
    <n v="3"/>
    <n v="-3"/>
    <n v="16"/>
    <n v="-16"/>
    <n v="1575.0990910744467"/>
    <n v="1405.6795159567662"/>
    <n v="0.83794370523541928"/>
    <n v="76"/>
    <n v="52"/>
    <n v="0"/>
    <n v="24"/>
    <n v="1"/>
    <n v="0.55068375758609944"/>
    <n v="1"/>
    <n v="74.05"/>
    <n v="74.05"/>
    <n v="6.6083530197336202"/>
    <n v="1581.7074440941803"/>
    <n v="1"/>
    <n v="0"/>
    <n v="0"/>
    <n v="0"/>
    <n v="0"/>
    <n v="0"/>
    <n v="0"/>
    <n v="0"/>
    <n v="0"/>
    <n v="0"/>
  </r>
  <r>
    <d v="2004-07-01T00:00:00"/>
    <n v="2004"/>
    <x v="14"/>
    <s v="R"/>
    <s v="RS"/>
    <x v="8"/>
    <s v="WAS"/>
    <s v="A"/>
    <n v="1"/>
    <n v="0"/>
    <n v="1"/>
    <n v="-1"/>
    <n v="8"/>
    <n v="-8"/>
    <n v="1516.0509846890027"/>
    <n v="1416.0252803287178"/>
    <n v="0.54595860204468794"/>
    <n v="64"/>
    <n v="69"/>
    <n v="0"/>
    <n v="-5"/>
    <n v="0"/>
    <n v="0.30623023007794864"/>
    <n v="1"/>
    <n v="73.75"/>
    <n v="73.75"/>
    <n v="-12.330190838392024"/>
    <n v="1503.7207938506106"/>
    <n v="0"/>
    <n v="1"/>
    <n v="0"/>
    <n v="0"/>
    <n v="0"/>
    <n v="0"/>
    <n v="0"/>
    <n v="0"/>
    <n v="0"/>
    <n v="0"/>
  </r>
  <r>
    <d v="2004-07-01T00:00:00"/>
    <n v="2004"/>
    <x v="13"/>
    <s v="R"/>
    <s v="RS"/>
    <x v="12"/>
    <s v="IND"/>
    <s v="H"/>
    <n v="0"/>
    <n v="1"/>
    <n v="-1"/>
    <n v="1"/>
    <n v="-8"/>
    <n v="8"/>
    <n v="1416.0252803287178"/>
    <n v="1516.0509846890027"/>
    <n v="0.45404139795531212"/>
    <n v="69"/>
    <n v="64"/>
    <n v="0"/>
    <n v="5"/>
    <n v="1"/>
    <n v="0.30623023007794864"/>
    <n v="1"/>
    <n v="73.900000000000006"/>
    <n v="73.900000000000006"/>
    <n v="12.3552691926396"/>
    <n v="1428.3805495213574"/>
    <n v="1"/>
    <n v="0"/>
    <n v="0"/>
    <n v="0"/>
    <n v="0"/>
    <n v="0"/>
    <n v="0"/>
    <n v="0"/>
    <n v="0"/>
    <n v="0"/>
  </r>
  <r>
    <d v="2004-07-02T00:00:00"/>
    <n v="2004"/>
    <x v="16"/>
    <s v="R"/>
    <s v="RS"/>
    <x v="0"/>
    <s v="LAS"/>
    <s v="A"/>
    <n v="0"/>
    <n v="2"/>
    <n v="-2"/>
    <n v="2"/>
    <n v="-16"/>
    <n v="16"/>
    <n v="1399.1113217332363"/>
    <n v="1596.5625461594866"/>
    <n v="0.14131990438133854"/>
    <n v="80"/>
    <n v="87"/>
    <n v="1"/>
    <n v="-7"/>
    <n v="0"/>
    <n v="0.28603198401449492"/>
    <n v="1"/>
    <n v="73.45"/>
    <n v="73.45"/>
    <n v="-2.9689968277420276"/>
    <n v="1396.1423249054942"/>
    <n v="0"/>
    <n v="1"/>
    <n v="0"/>
    <n v="0"/>
    <n v="0"/>
    <n v="0"/>
    <n v="0"/>
    <n v="0"/>
    <n v="0"/>
    <n v="0"/>
  </r>
  <r>
    <d v="2004-07-02T00:00:00"/>
    <n v="2004"/>
    <x v="16"/>
    <s v="R"/>
    <s v="RS"/>
    <x v="11"/>
    <s v="SAS"/>
    <s v="H"/>
    <n v="2"/>
    <n v="0"/>
    <n v="2"/>
    <n v="-2"/>
    <n v="16"/>
    <n v="-16"/>
    <n v="1596.5625461594866"/>
    <n v="1399.1113217332363"/>
    <n v="0.85868009561866143"/>
    <n v="87"/>
    <n v="80"/>
    <n v="1"/>
    <n v="7"/>
    <n v="1"/>
    <n v="0.28603198401449492"/>
    <n v="1"/>
    <n v="73.45"/>
    <n v="73.45"/>
    <n v="2.968996827742028"/>
    <n v="1599.5315429872287"/>
    <n v="1"/>
    <n v="0"/>
    <n v="0"/>
    <n v="0"/>
    <n v="0"/>
    <n v="0"/>
    <n v="0"/>
    <n v="0"/>
    <n v="0"/>
    <n v="0"/>
  </r>
  <r>
    <d v="2004-07-03T00:00:00"/>
    <n v="2004"/>
    <x v="14"/>
    <s v="R"/>
    <s v="RS"/>
    <x v="6"/>
    <s v="HOU"/>
    <s v="A"/>
    <n v="1"/>
    <n v="2"/>
    <n v="-1"/>
    <n v="1"/>
    <n v="-8"/>
    <n v="8"/>
    <n v="1475.7890939957701"/>
    <n v="1519.0671586748269"/>
    <n v="0.30475103503182743"/>
    <n v="62"/>
    <n v="55"/>
    <n v="0"/>
    <n v="7"/>
    <n v="1"/>
    <n v="0.35722387420969465"/>
    <n v="1"/>
    <n v="73.75"/>
    <n v="73.75"/>
    <n v="18.316515249458053"/>
    <n v="1494.1056092452282"/>
    <n v="1"/>
    <n v="0"/>
    <n v="0"/>
    <n v="0"/>
    <n v="0"/>
    <n v="0"/>
    <n v="0"/>
    <n v="0"/>
    <n v="0"/>
    <n v="0"/>
  </r>
  <r>
    <d v="2004-07-03T00:00:00"/>
    <n v="2004"/>
    <x v="16"/>
    <s v="R"/>
    <s v="RS"/>
    <x v="1"/>
    <s v="CHA"/>
    <s v="H"/>
    <n v="2"/>
    <n v="1"/>
    <n v="1"/>
    <n v="-1"/>
    <n v="8"/>
    <n v="-8"/>
    <n v="1519.0671586748269"/>
    <n v="1475.7890939957701"/>
    <n v="0.69524896496817257"/>
    <n v="55"/>
    <n v="62"/>
    <n v="0"/>
    <n v="-7"/>
    <n v="0"/>
    <n v="0.35722387420969465"/>
    <n v="1"/>
    <n v="73.45"/>
    <n v="73.45"/>
    <n v="-18.242007390816191"/>
    <n v="1500.8251512840106"/>
    <n v="0"/>
    <n v="1"/>
    <n v="0"/>
    <n v="0"/>
    <n v="0"/>
    <n v="0"/>
    <n v="0"/>
    <n v="0"/>
    <n v="0"/>
    <n v="0"/>
  </r>
  <r>
    <d v="2004-07-03T00:00:00"/>
    <n v="2004"/>
    <x v="15"/>
    <s v="R"/>
    <s v="RS"/>
    <x v="3"/>
    <s v="IND"/>
    <s v="A"/>
    <n v="1"/>
    <n v="1"/>
    <n v="0"/>
    <n v="0"/>
    <n v="0"/>
    <n v="0"/>
    <n v="1488.1359284112882"/>
    <n v="1503.7207938506106"/>
    <n v="0.36048572917622201"/>
    <n v="60"/>
    <n v="61"/>
    <n v="0"/>
    <n v="-1"/>
    <n v="0"/>
    <n v="0.24104907315743346"/>
    <n v="1"/>
    <n v="73.599999999999994"/>
    <n v="73.599999999999994"/>
    <n v="-6.3954536665645669"/>
    <n v="1481.7404747447235"/>
    <n v="0"/>
    <n v="1"/>
    <n v="0"/>
    <n v="0"/>
    <n v="0"/>
    <n v="0"/>
    <n v="0"/>
    <n v="0"/>
    <n v="0"/>
    <n v="0"/>
  </r>
  <r>
    <d v="2004-07-03T00:00:00"/>
    <n v="2004"/>
    <x v="15"/>
    <s v="R"/>
    <s v="RS"/>
    <x v="8"/>
    <s v="PHX"/>
    <s v="H"/>
    <n v="1"/>
    <n v="1"/>
    <n v="0"/>
    <n v="0"/>
    <n v="0"/>
    <n v="0"/>
    <n v="1503.7207938506106"/>
    <n v="1488.1359284112882"/>
    <n v="0.63951427082377799"/>
    <n v="61"/>
    <n v="60"/>
    <n v="0"/>
    <n v="1"/>
    <n v="1"/>
    <n v="0.24104907315743346"/>
    <n v="1"/>
    <n v="73.599999999999994"/>
    <n v="73.599999999999994"/>
    <n v="6.3954536665645669"/>
    <n v="1510.1162475171752"/>
    <n v="1"/>
    <n v="0"/>
    <n v="0"/>
    <n v="0"/>
    <n v="0"/>
    <n v="0"/>
    <n v="0"/>
    <n v="0"/>
    <n v="0"/>
    <n v="0"/>
  </r>
  <r>
    <d v="2004-07-03T00:00:00"/>
    <n v="2004"/>
    <x v="14"/>
    <s v="R"/>
    <s v="RS"/>
    <x v="10"/>
    <s v="MIN"/>
    <s v="A"/>
    <n v="3"/>
    <n v="2"/>
    <n v="1"/>
    <n v="-1"/>
    <n v="8"/>
    <n v="-8"/>
    <n v="1555.6580232182187"/>
    <n v="1447.8190040920463"/>
    <n v="0.5570829953316544"/>
    <n v="70"/>
    <n v="78"/>
    <n v="0"/>
    <n v="-8"/>
    <n v="0"/>
    <n v="0.35629663528080729"/>
    <n v="1"/>
    <n v="73.75"/>
    <n v="73.75"/>
    <n v="-14.638401264650634"/>
    <n v="1541.019621953568"/>
    <n v="0"/>
    <n v="1"/>
    <n v="0"/>
    <n v="0"/>
    <n v="0"/>
    <n v="0"/>
    <n v="0"/>
    <n v="0"/>
    <n v="0"/>
    <n v="0"/>
  </r>
  <r>
    <d v="2004-07-03T00:00:00"/>
    <n v="2004"/>
    <x v="14"/>
    <s v="R"/>
    <s v="RS"/>
    <x v="4"/>
    <s v="DET"/>
    <s v="H"/>
    <n v="2"/>
    <n v="3"/>
    <n v="-1"/>
    <n v="1"/>
    <n v="-8"/>
    <n v="8"/>
    <n v="1447.8190040920463"/>
    <n v="1555.6580232182187"/>
    <n v="0.44291700466834572"/>
    <n v="78"/>
    <n v="70"/>
    <n v="0"/>
    <n v="8"/>
    <n v="1"/>
    <n v="0.35629663528080729"/>
    <n v="1"/>
    <n v="73.75"/>
    <n v="73.75"/>
    <n v="14.63840126465063"/>
    <n v="1462.4574053566969"/>
    <n v="1"/>
    <n v="0"/>
    <n v="0"/>
    <n v="0"/>
    <n v="0"/>
    <n v="0"/>
    <n v="0"/>
    <n v="0"/>
    <n v="0"/>
    <n v="0"/>
  </r>
  <r>
    <d v="2004-07-03T00:00:00"/>
    <n v="2004"/>
    <x v="13"/>
    <s v="R"/>
    <s v="RS"/>
    <x v="2"/>
    <s v="SEA"/>
    <s v="A"/>
    <n v="1"/>
    <n v="1"/>
    <n v="0"/>
    <n v="0"/>
    <n v="0"/>
    <n v="0"/>
    <n v="1514.4837557582043"/>
    <n v="1581.7074440941803"/>
    <n v="0.29514745912272522"/>
    <n v="61"/>
    <n v="75"/>
    <n v="0"/>
    <n v="-14"/>
    <n v="0"/>
    <n v="0.4617414665040474"/>
    <n v="1"/>
    <n v="73.900000000000006"/>
    <n v="73.900000000000006"/>
    <n v="-10.071226543098993"/>
    <n v="1504.4125292151052"/>
    <n v="0"/>
    <n v="1"/>
    <n v="0"/>
    <n v="0"/>
    <n v="0"/>
    <n v="0"/>
    <n v="0"/>
    <n v="0"/>
    <n v="0"/>
    <n v="0"/>
  </r>
  <r>
    <d v="2004-07-03T00:00:00"/>
    <n v="2004"/>
    <x v="13"/>
    <s v="R"/>
    <s v="RS"/>
    <x v="5"/>
    <s v="SAC"/>
    <s v="H"/>
    <n v="1"/>
    <n v="1"/>
    <n v="0"/>
    <n v="0"/>
    <n v="0"/>
    <n v="0"/>
    <n v="1581.7074440941803"/>
    <n v="1514.4837557582043"/>
    <n v="0.70485254087727478"/>
    <n v="75"/>
    <n v="61"/>
    <n v="0"/>
    <n v="14"/>
    <n v="1"/>
    <n v="0.4617414665040474"/>
    <n v="1"/>
    <n v="73.900000000000006"/>
    <n v="73.900000000000006"/>
    <n v="10.071226543098993"/>
    <n v="1591.7786706372794"/>
    <n v="1"/>
    <n v="0"/>
    <n v="0"/>
    <n v="0"/>
    <n v="0"/>
    <n v="0"/>
    <n v="0"/>
    <n v="0"/>
    <n v="0"/>
    <n v="0"/>
  </r>
  <r>
    <d v="2004-07-06T00:00:00"/>
    <n v="2004"/>
    <x v="16"/>
    <s v="R"/>
    <s v="RS"/>
    <x v="8"/>
    <s v="CON"/>
    <s v="A"/>
    <n v="2"/>
    <n v="5"/>
    <n v="-3"/>
    <n v="3"/>
    <n v="-16"/>
    <n v="16"/>
    <n v="1510.1162475171752"/>
    <n v="1534.1249704532115"/>
    <n v="0.30875313073644511"/>
    <n v="77"/>
    <n v="79"/>
    <n v="1"/>
    <n v="-2"/>
    <n v="0"/>
    <n v="0.23632889296783216"/>
    <n v="1"/>
    <n v="73.45"/>
    <n v="73.45"/>
    <n v="-5.3594471263869226"/>
    <n v="1504.7568003907884"/>
    <n v="0"/>
    <n v="1"/>
    <n v="0"/>
    <n v="0"/>
    <n v="0"/>
    <n v="0"/>
    <n v="0"/>
    <n v="0"/>
    <n v="0"/>
    <n v="0"/>
  </r>
  <r>
    <d v="2004-07-06T00:00:00"/>
    <n v="2004"/>
    <x v="16"/>
    <s v="R"/>
    <s v="RS"/>
    <x v="9"/>
    <s v="IND"/>
    <s v="H"/>
    <n v="5"/>
    <n v="2"/>
    <n v="3"/>
    <n v="-3"/>
    <n v="16"/>
    <n v="-16"/>
    <n v="1534.1249704532115"/>
    <n v="1510.1162475171752"/>
    <n v="0.69124686926355494"/>
    <n v="79"/>
    <n v="77"/>
    <n v="1"/>
    <n v="2"/>
    <n v="1"/>
    <n v="0.23632889296783216"/>
    <n v="1"/>
    <n v="73.45"/>
    <n v="73.45"/>
    <n v="5.3594471263869217"/>
    <n v="1539.4844175795984"/>
    <n v="1"/>
    <n v="0"/>
    <n v="0"/>
    <n v="0"/>
    <n v="0"/>
    <n v="0"/>
    <n v="0"/>
    <n v="0"/>
    <n v="0"/>
    <n v="0"/>
  </r>
  <r>
    <d v="2004-07-06T00:00:00"/>
    <n v="2004"/>
    <x v="17"/>
    <s v="R"/>
    <s v="RS"/>
    <x v="1"/>
    <s v="DET"/>
    <s v="A"/>
    <n v="2"/>
    <n v="2"/>
    <n v="0"/>
    <n v="0"/>
    <n v="0"/>
    <n v="0"/>
    <n v="1500.8251512840106"/>
    <n v="1541.019621953568"/>
    <n v="0.32851242716226886"/>
    <n v="63"/>
    <n v="82"/>
    <n v="0"/>
    <n v="-19"/>
    <n v="0"/>
    <n v="0.54279639458825069"/>
    <n v="1"/>
    <n v="73.3"/>
    <n v="73.3"/>
    <n v="-13.070515964313719"/>
    <n v="1487.7546353196969"/>
    <n v="0"/>
    <n v="1"/>
    <n v="0"/>
    <n v="0"/>
    <n v="0"/>
    <n v="0"/>
    <n v="0"/>
    <n v="0"/>
    <n v="0"/>
    <n v="0"/>
  </r>
  <r>
    <d v="2004-07-06T00:00:00"/>
    <n v="2004"/>
    <x v="15"/>
    <s v="R"/>
    <s v="RS"/>
    <x v="10"/>
    <s v="HOU"/>
    <s v="H"/>
    <n v="2"/>
    <n v="2"/>
    <n v="0"/>
    <n v="0"/>
    <n v="0"/>
    <n v="0"/>
    <n v="1541.019621953568"/>
    <n v="1500.8251512840106"/>
    <n v="0.67148757283773108"/>
    <n v="82"/>
    <n v="63"/>
    <n v="0"/>
    <n v="19"/>
    <n v="1"/>
    <n v="0.54279639458825069"/>
    <n v="1"/>
    <n v="73.599999999999994"/>
    <n v="73.599999999999994"/>
    <n v="13.124010572626055"/>
    <n v="1554.1436325261941"/>
    <n v="1"/>
    <n v="0"/>
    <n v="0"/>
    <n v="0"/>
    <n v="0"/>
    <n v="0"/>
    <n v="0"/>
    <n v="0"/>
    <n v="0"/>
    <n v="0"/>
  </r>
  <r>
    <d v="2004-07-06T00:00:00"/>
    <n v="2004"/>
    <x v="14"/>
    <s v="R"/>
    <s v="RS"/>
    <x v="2"/>
    <s v="NYL"/>
    <s v="A"/>
    <n v="2"/>
    <n v="4"/>
    <n v="-2"/>
    <n v="2"/>
    <n v="-16"/>
    <n v="16"/>
    <n v="1504.4125292151052"/>
    <n v="1474.5062896778322"/>
    <n v="0.37857629401186904"/>
    <n v="66"/>
    <n v="73"/>
    <n v="0"/>
    <n v="-7"/>
    <n v="0"/>
    <n v="0.36110769480418142"/>
    <n v="1"/>
    <n v="73.75"/>
    <n v="73.75"/>
    <n v="-10.082127446812535"/>
    <n v="1494.3304017682926"/>
    <n v="0"/>
    <n v="1"/>
    <n v="0"/>
    <n v="0"/>
    <n v="0"/>
    <n v="0"/>
    <n v="0"/>
    <n v="0"/>
    <n v="0"/>
    <n v="0"/>
  </r>
  <r>
    <d v="2004-07-06T00:00:00"/>
    <n v="2004"/>
    <x v="16"/>
    <s v="R"/>
    <s v="RS"/>
    <x v="7"/>
    <s v="SAC"/>
    <s v="H"/>
    <n v="4"/>
    <n v="2"/>
    <n v="2"/>
    <n v="-2"/>
    <n v="16"/>
    <n v="-16"/>
    <n v="1474.5062896778322"/>
    <n v="1504.4125292151052"/>
    <n v="0.62142370598813101"/>
    <n v="73"/>
    <n v="66"/>
    <n v="0"/>
    <n v="7"/>
    <n v="1"/>
    <n v="0.36110769480418142"/>
    <n v="1"/>
    <n v="73.45"/>
    <n v="73.45"/>
    <n v="10.041115402961093"/>
    <n v="1484.5474050807934"/>
    <n v="1"/>
    <n v="0"/>
    <n v="0"/>
    <n v="0"/>
    <n v="0"/>
    <n v="0"/>
    <n v="0"/>
    <n v="0"/>
    <n v="0"/>
    <n v="0"/>
  </r>
  <r>
    <d v="2004-07-07T00:00:00"/>
    <n v="2004"/>
    <x v="16"/>
    <s v="R"/>
    <s v="RS"/>
    <x v="3"/>
    <s v="LAS"/>
    <s v="A"/>
    <n v="3"/>
    <n v="4"/>
    <n v="-1"/>
    <n v="1"/>
    <n v="-8"/>
    <n v="8"/>
    <n v="1481.7404747447235"/>
    <n v="1599.5315429872287"/>
    <n v="0.22205924283178377"/>
    <n v="71"/>
    <n v="73"/>
    <n v="0"/>
    <n v="-2"/>
    <n v="0"/>
    <n v="0.24390026060827477"/>
    <n v="1"/>
    <n v="73.45"/>
    <n v="73.45"/>
    <n v="-3.9780745636305377"/>
    <n v="1477.762400181093"/>
    <n v="0"/>
    <n v="1"/>
    <n v="0"/>
    <n v="0"/>
    <n v="0"/>
    <n v="0"/>
    <n v="0"/>
    <n v="0"/>
    <n v="0"/>
    <n v="0"/>
  </r>
  <r>
    <d v="2004-07-07T00:00:00"/>
    <n v="2004"/>
    <x v="17"/>
    <s v="R"/>
    <s v="RS"/>
    <x v="11"/>
    <s v="PHX"/>
    <s v="H"/>
    <n v="4"/>
    <n v="3"/>
    <n v="1"/>
    <n v="-1"/>
    <n v="8"/>
    <n v="-8"/>
    <n v="1599.5315429872287"/>
    <n v="1481.7404747447235"/>
    <n v="0.7779407571682162"/>
    <n v="73"/>
    <n v="71"/>
    <n v="0"/>
    <n v="2"/>
    <n v="1"/>
    <n v="0.24390026060827477"/>
    <n v="1"/>
    <n v="73.3"/>
    <n v="73.3"/>
    <n v="3.969950517550966"/>
    <n v="1603.5014935047798"/>
    <n v="1"/>
    <n v="0"/>
    <n v="0"/>
    <n v="0"/>
    <n v="0"/>
    <n v="0"/>
    <n v="0"/>
    <n v="0"/>
    <n v="0"/>
    <n v="0"/>
  </r>
  <r>
    <d v="2004-07-07T00:00:00"/>
    <n v="2004"/>
    <x v="14"/>
    <s v="R"/>
    <s v="RS"/>
    <x v="5"/>
    <s v="WAS"/>
    <s v="A"/>
    <n v="3"/>
    <n v="5"/>
    <n v="-2"/>
    <n v="2"/>
    <n v="-16"/>
    <n v="16"/>
    <n v="1591.7786706372794"/>
    <n v="1428.3805495213574"/>
    <n v="0.56779134162267464"/>
    <n v="69"/>
    <n v="72"/>
    <n v="0"/>
    <n v="-3"/>
    <n v="0"/>
    <n v="0.25540612087204312"/>
    <n v="1"/>
    <n v="73.75"/>
    <n v="73.75"/>
    <n v="-10.695032072107802"/>
    <n v="1581.0836385651717"/>
    <n v="0"/>
    <n v="1"/>
    <n v="0"/>
    <n v="0"/>
    <n v="0"/>
    <n v="0"/>
    <n v="0"/>
    <n v="0"/>
    <n v="0"/>
    <n v="0"/>
  </r>
  <r>
    <d v="2004-07-07T00:00:00"/>
    <n v="2004"/>
    <x v="14"/>
    <s v="R"/>
    <s v="RS"/>
    <x v="12"/>
    <s v="SEA"/>
    <s v="H"/>
    <n v="5"/>
    <n v="3"/>
    <n v="2"/>
    <n v="-2"/>
    <n v="16"/>
    <n v="-16"/>
    <n v="1428.3805495213574"/>
    <n v="1591.7786706372794"/>
    <n v="0.43220865837732542"/>
    <n v="72"/>
    <n v="69"/>
    <n v="0"/>
    <n v="3"/>
    <n v="1"/>
    <n v="0.25540612087204312"/>
    <n v="1"/>
    <n v="73.75"/>
    <n v="73.75"/>
    <n v="10.6950320721078"/>
    <n v="1439.0755815934651"/>
    <n v="1"/>
    <n v="0"/>
    <n v="0"/>
    <n v="0"/>
    <n v="0"/>
    <n v="0"/>
    <n v="0"/>
    <n v="0"/>
    <n v="0"/>
    <n v="0"/>
  </r>
  <r>
    <d v="2004-07-08T00:00:00"/>
    <n v="2004"/>
    <x v="15"/>
    <s v="R"/>
    <s v="RS"/>
    <x v="5"/>
    <s v="CHA"/>
    <s v="A"/>
    <n v="0"/>
    <n v="4"/>
    <n v="-4"/>
    <n v="4"/>
    <n v="-16"/>
    <n v="16"/>
    <n v="1581.0836385651717"/>
    <n v="1494.1056092452282"/>
    <n v="0.45833089836710761"/>
    <n v="67"/>
    <n v="70"/>
    <n v="0"/>
    <n v="-3"/>
    <n v="0"/>
    <n v="0.27057200463822517"/>
    <n v="1"/>
    <n v="73.599999999999994"/>
    <n v="73.599999999999994"/>
    <n v="-9.1272471329696625"/>
    <n v="1571.9563914322021"/>
    <n v="0"/>
    <n v="1"/>
    <n v="0"/>
    <n v="0"/>
    <n v="0"/>
    <n v="0"/>
    <n v="0"/>
    <n v="0"/>
    <n v="0"/>
    <n v="0"/>
  </r>
  <r>
    <d v="2004-07-08T00:00:00"/>
    <n v="2004"/>
    <x v="15"/>
    <s v="R"/>
    <s v="RS"/>
    <x v="6"/>
    <s v="SEA"/>
    <s v="H"/>
    <n v="4"/>
    <n v="0"/>
    <n v="4"/>
    <n v="-4"/>
    <n v="16"/>
    <n v="-16"/>
    <n v="1494.1056092452282"/>
    <n v="1581.0836385651717"/>
    <n v="0.54166910163289239"/>
    <n v="70"/>
    <n v="67"/>
    <n v="0"/>
    <n v="3"/>
    <n v="1"/>
    <n v="0.27057200463822517"/>
    <n v="1"/>
    <n v="73.599999999999994"/>
    <n v="73.599999999999994"/>
    <n v="9.1272471329696625"/>
    <n v="1503.2328563781978"/>
    <n v="1"/>
    <n v="0"/>
    <n v="0"/>
    <n v="0"/>
    <n v="0"/>
    <n v="0"/>
    <n v="0"/>
    <n v="0"/>
    <n v="0"/>
    <n v="0"/>
  </r>
  <r>
    <d v="2004-07-08T00:00:00"/>
    <n v="2004"/>
    <x v="15"/>
    <s v="R"/>
    <s v="RS"/>
    <x v="4"/>
    <s v="IND"/>
    <s v="A"/>
    <n v="4"/>
    <n v="1"/>
    <n v="3"/>
    <n v="-3"/>
    <n v="16"/>
    <n v="-16"/>
    <n v="1462.4574053566969"/>
    <n v="1504.7568003907884"/>
    <n v="0.36752927648576789"/>
    <n v="56"/>
    <n v="58"/>
    <n v="0"/>
    <n v="-2"/>
    <n v="0"/>
    <n v="0.25872151774072433"/>
    <n v="1"/>
    <n v="73.599999999999994"/>
    <n v="73.599999999999994"/>
    <n v="-6.998457091873945"/>
    <n v="1455.458948264823"/>
    <n v="0"/>
    <n v="1"/>
    <n v="0"/>
    <n v="0"/>
    <n v="0"/>
    <n v="0"/>
    <n v="0"/>
    <n v="0"/>
    <n v="0"/>
    <n v="0"/>
  </r>
  <r>
    <d v="2004-07-08T00:00:00"/>
    <n v="2004"/>
    <x v="17"/>
    <s v="R"/>
    <s v="RS"/>
    <x v="8"/>
    <s v="MIN"/>
    <s v="H"/>
    <n v="1"/>
    <n v="4"/>
    <n v="-3"/>
    <n v="3"/>
    <n v="-16"/>
    <n v="16"/>
    <n v="1504.7568003907884"/>
    <n v="1462.4574053566969"/>
    <n v="0.63247072351423217"/>
    <n v="58"/>
    <n v="56"/>
    <n v="0"/>
    <n v="2"/>
    <n v="1"/>
    <n v="0.25872151774072433"/>
    <n v="1"/>
    <n v="73.3"/>
    <n v="73.3"/>
    <n v="6.9699307722059798"/>
    <n v="1511.7267311629944"/>
    <n v="1"/>
    <n v="0"/>
    <n v="0"/>
    <n v="0"/>
    <n v="0"/>
    <n v="0"/>
    <n v="0"/>
    <n v="0"/>
    <n v="0"/>
    <n v="0"/>
  </r>
  <r>
    <d v="2004-07-08T00:00:00"/>
    <n v="2004"/>
    <x v="15"/>
    <s v="R"/>
    <s v="RS"/>
    <x v="12"/>
    <s v="NYL"/>
    <s v="A"/>
    <n v="0"/>
    <n v="1"/>
    <n v="-1"/>
    <n v="1"/>
    <n v="-8"/>
    <n v="8"/>
    <n v="1439.0755815934651"/>
    <n v="1484.5474050807934"/>
    <n v="0.30208199644159811"/>
    <n v="71"/>
    <n v="54"/>
    <n v="0"/>
    <n v="17"/>
    <n v="1"/>
    <n v="0.51300275995757794"/>
    <n v="1"/>
    <n v="73.599999999999994"/>
    <n v="73.599999999999994"/>
    <n v="26.351292246846352"/>
    <n v="1465.4268738403114"/>
    <n v="1"/>
    <n v="0"/>
    <n v="0"/>
    <n v="0"/>
    <n v="0"/>
    <n v="0"/>
    <n v="0"/>
    <n v="0"/>
    <n v="0"/>
    <n v="0"/>
  </r>
  <r>
    <d v="2004-07-08T00:00:00"/>
    <n v="2004"/>
    <x v="17"/>
    <s v="R"/>
    <s v="RS"/>
    <x v="7"/>
    <s v="WAS"/>
    <s v="H"/>
    <n v="1"/>
    <n v="0"/>
    <n v="1"/>
    <n v="-1"/>
    <n v="8"/>
    <n v="-8"/>
    <n v="1484.5474050807934"/>
    <n v="1439.0755815934651"/>
    <n v="0.69791800355840183"/>
    <n v="54"/>
    <n v="71"/>
    <n v="0"/>
    <n v="-17"/>
    <n v="0"/>
    <n v="0.51300275995757794"/>
    <n v="1"/>
    <n v="73.3"/>
    <n v="73.3"/>
    <n v="-26.243882088231491"/>
    <n v="1458.303522992562"/>
    <n v="0"/>
    <n v="1"/>
    <n v="0"/>
    <n v="0"/>
    <n v="0"/>
    <n v="0"/>
    <n v="0"/>
    <n v="0"/>
    <n v="0"/>
    <n v="0"/>
  </r>
  <r>
    <d v="2004-07-09T00:00:00"/>
    <n v="2004"/>
    <x v="15"/>
    <s v="R"/>
    <s v="RS"/>
    <x v="2"/>
    <s v="CON"/>
    <s v="A"/>
    <n v="2"/>
    <n v="2"/>
    <n v="0"/>
    <n v="0"/>
    <n v="0"/>
    <n v="0"/>
    <n v="1494.3304017682926"/>
    <n v="1539.4844175795984"/>
    <n v="0.32224575592424626"/>
    <n v="85"/>
    <n v="70"/>
    <n v="0"/>
    <n v="15"/>
    <n v="1"/>
    <n v="0.48461284788239395"/>
    <n v="1"/>
    <n v="73.599999999999994"/>
    <n v="73.599999999999994"/>
    <n v="24.173803298804458"/>
    <n v="1518.504205067097"/>
    <n v="1"/>
    <n v="0"/>
    <n v="0"/>
    <n v="0"/>
    <n v="0"/>
    <n v="0"/>
    <n v="0"/>
    <n v="0"/>
    <n v="0"/>
    <n v="0"/>
  </r>
  <r>
    <d v="2004-07-09T00:00:00"/>
    <n v="2004"/>
    <x v="17"/>
    <s v="R"/>
    <s v="RS"/>
    <x v="9"/>
    <s v="SAC"/>
    <s v="H"/>
    <n v="2"/>
    <n v="2"/>
    <n v="0"/>
    <n v="0"/>
    <n v="0"/>
    <n v="0"/>
    <n v="1539.4844175795984"/>
    <n v="1494.3304017682926"/>
    <n v="0.6777542440757538"/>
    <n v="70"/>
    <n v="85"/>
    <n v="0"/>
    <n v="-15"/>
    <n v="0"/>
    <n v="0.48461284788239395"/>
    <n v="1"/>
    <n v="73.3"/>
    <n v="73.3"/>
    <n v="-24.075268774488681"/>
    <n v="1515.4091488051097"/>
    <n v="0"/>
    <n v="1"/>
    <n v="0"/>
    <n v="0"/>
    <n v="0"/>
    <n v="0"/>
    <n v="0"/>
    <n v="0"/>
    <n v="0"/>
    <n v="0"/>
  </r>
  <r>
    <d v="2004-07-09T00:00:00"/>
    <n v="2004"/>
    <x v="17"/>
    <s v="R"/>
    <s v="RS"/>
    <x v="3"/>
    <s v="MIN"/>
    <s v="A"/>
    <n v="1"/>
    <n v="0"/>
    <n v="1"/>
    <n v="-1"/>
    <n v="8"/>
    <n v="-8"/>
    <n v="1477.762400181093"/>
    <n v="1455.458948264823"/>
    <n v="0.43461398202316787"/>
    <n v="59"/>
    <n v="61"/>
    <n v="0"/>
    <n v="-2"/>
    <n v="0"/>
    <n v="0.26295400251689788"/>
    <n v="1"/>
    <n v="73.3"/>
    <n v="73.3"/>
    <n v="-8.3769795328011742"/>
    <n v="1469.3854206482918"/>
    <n v="0"/>
    <n v="1"/>
    <n v="0"/>
    <n v="0"/>
    <n v="0"/>
    <n v="0"/>
    <n v="0"/>
    <n v="0"/>
    <n v="0"/>
    <n v="0"/>
  </r>
  <r>
    <d v="2004-07-09T00:00:00"/>
    <n v="2004"/>
    <x v="16"/>
    <s v="R"/>
    <s v="RS"/>
    <x v="4"/>
    <s v="PHX"/>
    <s v="H"/>
    <n v="0"/>
    <n v="1"/>
    <n v="-1"/>
    <n v="1"/>
    <n v="-8"/>
    <n v="8"/>
    <n v="1455.458948264823"/>
    <n v="1477.762400181093"/>
    <n v="0.56538601797683219"/>
    <n v="61"/>
    <n v="59"/>
    <n v="0"/>
    <n v="2"/>
    <n v="1"/>
    <n v="0.26295400251689788"/>
    <n v="1"/>
    <n v="73.45"/>
    <n v="73.45"/>
    <n v="8.3941220557195937"/>
    <n v="1463.8530703205427"/>
    <n v="1"/>
    <n v="0"/>
    <n v="0"/>
    <n v="0"/>
    <n v="0"/>
    <n v="0"/>
    <n v="0"/>
    <n v="0"/>
    <n v="0"/>
    <n v="0"/>
  </r>
  <r>
    <d v="2004-07-09T00:00:00"/>
    <n v="2004"/>
    <x v="18"/>
    <s v="R"/>
    <s v="RS"/>
    <x v="11"/>
    <s v="SAS"/>
    <s v="A"/>
    <n v="1"/>
    <n v="6"/>
    <n v="-5"/>
    <n v="5"/>
    <n v="-16"/>
    <n v="16"/>
    <n v="1603.5014935047798"/>
    <n v="1396.1423249054942"/>
    <n v="0.62852766447758768"/>
    <n v="66"/>
    <n v="61"/>
    <n v="0"/>
    <n v="5"/>
    <n v="1"/>
    <n v="0.28287531671799515"/>
    <n v="1"/>
    <n v="73.150000000000006"/>
    <n v="73.150000000000006"/>
    <n v="7.6866279362743617"/>
    <n v="1611.1881214410541"/>
    <n v="1"/>
    <n v="0"/>
    <n v="0"/>
    <n v="0"/>
    <n v="0"/>
    <n v="0"/>
    <n v="0"/>
    <n v="0"/>
    <n v="0"/>
    <n v="0"/>
  </r>
  <r>
    <d v="2004-07-09T00:00:00"/>
    <n v="2004"/>
    <x v="17"/>
    <s v="R"/>
    <s v="RS"/>
    <x v="0"/>
    <s v="LAS"/>
    <s v="H"/>
    <n v="6"/>
    <n v="1"/>
    <n v="5"/>
    <n v="-5"/>
    <n v="16"/>
    <n v="-16"/>
    <n v="1396.1423249054942"/>
    <n v="1603.5014935047798"/>
    <n v="0.37147233552241232"/>
    <n v="61"/>
    <n v="66"/>
    <n v="0"/>
    <n v="-5"/>
    <n v="0"/>
    <n v="0.28287531671799515"/>
    <n v="1"/>
    <n v="73.3"/>
    <n v="73.3"/>
    <n v="-7.7023899894587915"/>
    <n v="1388.4399349160353"/>
    <n v="0"/>
    <n v="1"/>
    <n v="0"/>
    <n v="0"/>
    <n v="0"/>
    <n v="0"/>
    <n v="0"/>
    <n v="0"/>
    <n v="0"/>
    <n v="0"/>
  </r>
  <r>
    <d v="2004-07-10T00:00:00"/>
    <n v="2004"/>
    <x v="16"/>
    <s v="R"/>
    <s v="RS"/>
    <x v="12"/>
    <s v="CHA"/>
    <s v="A"/>
    <n v="1"/>
    <n v="1"/>
    <n v="0"/>
    <n v="0"/>
    <n v="0"/>
    <n v="0"/>
    <n v="1465.4268738403114"/>
    <n v="1503.2328563781978"/>
    <n v="0.33155252043968975"/>
    <n v="65"/>
    <n v="67"/>
    <n v="0"/>
    <n v="-2"/>
    <n v="0"/>
    <n v="0.259660713799924"/>
    <n v="1"/>
    <n v="73.45"/>
    <n v="73.45"/>
    <n v="-6.3233960045797524"/>
    <n v="1459.1034778357316"/>
    <n v="0"/>
    <n v="1"/>
    <n v="0"/>
    <n v="0"/>
    <n v="0"/>
    <n v="0"/>
    <n v="0"/>
    <n v="0"/>
    <n v="0"/>
    <n v="0"/>
  </r>
  <r>
    <d v="2004-07-10T00:00:00"/>
    <n v="2004"/>
    <x v="16"/>
    <s v="R"/>
    <s v="RS"/>
    <x v="6"/>
    <s v="WAS"/>
    <s v="H"/>
    <n v="1"/>
    <n v="1"/>
    <n v="0"/>
    <n v="0"/>
    <n v="0"/>
    <n v="0"/>
    <n v="1503.2328563781978"/>
    <n v="1465.4268738403114"/>
    <n v="0.66844747956031025"/>
    <n v="67"/>
    <n v="65"/>
    <n v="0"/>
    <n v="2"/>
    <n v="1"/>
    <n v="0.259660713799924"/>
    <n v="1"/>
    <n v="73.45"/>
    <n v="73.45"/>
    <n v="6.3233960045797524"/>
    <n v="1509.5562523827775"/>
    <n v="1"/>
    <n v="0"/>
    <n v="0"/>
    <n v="0"/>
    <n v="0"/>
    <n v="0"/>
    <n v="0"/>
    <n v="0"/>
    <n v="0"/>
    <n v="0"/>
  </r>
  <r>
    <d v="2004-07-10T00:00:00"/>
    <n v="2004"/>
    <x v="16"/>
    <s v="R"/>
    <s v="RS"/>
    <x v="5"/>
    <s v="DET"/>
    <s v="A"/>
    <n v="1"/>
    <n v="3"/>
    <n v="-2"/>
    <n v="2"/>
    <n v="-16"/>
    <n v="16"/>
    <n v="1571.9563914322021"/>
    <n v="1554.1436325261941"/>
    <n v="0.36234254945816363"/>
    <n v="65"/>
    <n v="70"/>
    <n v="0"/>
    <n v="-5"/>
    <n v="0"/>
    <n v="0.32690343210981548"/>
    <n v="1"/>
    <n v="73.45"/>
    <n v="73.45"/>
    <n v="-8.7002276406202625"/>
    <n v="1563.2561637915817"/>
    <n v="0"/>
    <n v="1"/>
    <n v="0"/>
    <n v="0"/>
    <n v="0"/>
    <n v="0"/>
    <n v="0"/>
    <n v="0"/>
    <n v="0"/>
    <n v="0"/>
  </r>
  <r>
    <d v="2004-07-10T00:00:00"/>
    <n v="2004"/>
    <x v="16"/>
    <s v="R"/>
    <s v="RS"/>
    <x v="10"/>
    <s v="SEA"/>
    <s v="H"/>
    <n v="3"/>
    <n v="1"/>
    <n v="2"/>
    <n v="-2"/>
    <n v="16"/>
    <n v="-16"/>
    <n v="1554.1436325261941"/>
    <n v="1571.9563914322021"/>
    <n v="0.63765745054183642"/>
    <n v="70"/>
    <n v="65"/>
    <n v="0"/>
    <n v="5"/>
    <n v="1"/>
    <n v="0.32690343210981548"/>
    <n v="1"/>
    <n v="73.45"/>
    <n v="73.45"/>
    <n v="8.7002276406202608"/>
    <n v="1562.8438601668145"/>
    <n v="1"/>
    <n v="0"/>
    <n v="0"/>
    <n v="0"/>
    <n v="0"/>
    <n v="0"/>
    <n v="0"/>
    <n v="0"/>
    <n v="0"/>
    <n v="0"/>
  </r>
  <r>
    <d v="2004-07-10T00:00:00"/>
    <n v="2004"/>
    <x v="19"/>
    <s v="R"/>
    <s v="RS"/>
    <x v="11"/>
    <s v="HOU"/>
    <s v="A"/>
    <n v="0"/>
    <n v="3"/>
    <n v="-3"/>
    <n v="3"/>
    <n v="-16"/>
    <n v="16"/>
    <n v="1611.1881214410541"/>
    <n v="1487.7546353196969"/>
    <n v="0.51069601444326085"/>
    <n v="59"/>
    <n v="56"/>
    <n v="0"/>
    <n v="3"/>
    <n v="1"/>
    <n v="0.26311879589732423"/>
    <n v="1"/>
    <n v="73"/>
    <n v="73"/>
    <n v="9.3983905120439193"/>
    <n v="1620.5865119530981"/>
    <n v="1"/>
    <n v="0"/>
    <n v="0"/>
    <n v="0"/>
    <n v="0"/>
    <n v="0"/>
    <n v="0"/>
    <n v="0"/>
    <n v="0"/>
    <n v="0"/>
  </r>
  <r>
    <d v="2004-07-10T00:00:00"/>
    <n v="2004"/>
    <x v="18"/>
    <s v="R"/>
    <s v="RS"/>
    <x v="1"/>
    <s v="LAS"/>
    <s v="H"/>
    <n v="3"/>
    <n v="0"/>
    <n v="3"/>
    <n v="-3"/>
    <n v="16"/>
    <n v="-16"/>
    <n v="1487.7546353196969"/>
    <n v="1611.1881214410541"/>
    <n v="0.48930398555673915"/>
    <n v="56"/>
    <n v="59"/>
    <n v="0"/>
    <n v="-3"/>
    <n v="0"/>
    <n v="0.26311879589732423"/>
    <n v="1"/>
    <n v="73.150000000000006"/>
    <n v="73.150000000000006"/>
    <n v="-9.4177022733700362"/>
    <n v="1478.336933046327"/>
    <n v="0"/>
    <n v="1"/>
    <n v="0"/>
    <n v="0"/>
    <n v="0"/>
    <n v="0"/>
    <n v="0"/>
    <n v="0"/>
    <n v="0"/>
    <n v="0"/>
  </r>
  <r>
    <d v="2004-07-11T00:00:00"/>
    <n v="2004"/>
    <x v="18"/>
    <s v="R"/>
    <s v="RS"/>
    <x v="9"/>
    <s v="IND"/>
    <s v="A"/>
    <n v="1"/>
    <n v="2"/>
    <n v="-1"/>
    <n v="1"/>
    <n v="-8"/>
    <n v="8"/>
    <n v="1515.4091488051097"/>
    <n v="1511.7267311629944"/>
    <n v="0.36483292317712013"/>
    <n v="65"/>
    <n v="61"/>
    <n v="0"/>
    <n v="4"/>
    <n v="1"/>
    <n v="0.31047997080220813"/>
    <n v="1"/>
    <n v="73.150000000000006"/>
    <n v="73.150000000000006"/>
    <n v="14.425666847373863"/>
    <n v="1529.8348156524835"/>
    <n v="1"/>
    <n v="0"/>
    <n v="0"/>
    <n v="0"/>
    <n v="0"/>
    <n v="0"/>
    <n v="0"/>
    <n v="0"/>
    <n v="0"/>
    <n v="0"/>
  </r>
  <r>
    <d v="2004-07-11T00:00:00"/>
    <n v="2004"/>
    <x v="18"/>
    <s v="R"/>
    <s v="RS"/>
    <x v="8"/>
    <s v="CON"/>
    <s v="H"/>
    <n v="2"/>
    <n v="1"/>
    <n v="1"/>
    <n v="-1"/>
    <n v="8"/>
    <n v="-8"/>
    <n v="1511.7267311629944"/>
    <n v="1515.4091488051097"/>
    <n v="0.63516707682287987"/>
    <n v="61"/>
    <n v="65"/>
    <n v="0"/>
    <n v="-4"/>
    <n v="0"/>
    <n v="0.31047997080220813"/>
    <n v="1"/>
    <n v="73.150000000000006"/>
    <n v="73.150000000000006"/>
    <n v="-14.425666847373863"/>
    <n v="1497.3010643156206"/>
    <n v="0"/>
    <n v="1"/>
    <n v="0"/>
    <n v="0"/>
    <n v="0"/>
    <n v="0"/>
    <n v="0"/>
    <n v="0"/>
    <n v="0"/>
    <n v="0"/>
  </r>
  <r>
    <d v="2004-07-11T00:00:00"/>
    <n v="2004"/>
    <x v="16"/>
    <s v="R"/>
    <s v="RS"/>
    <x v="2"/>
    <s v="MIN"/>
    <s v="A"/>
    <n v="1"/>
    <n v="1"/>
    <n v="0"/>
    <n v="0"/>
    <n v="0"/>
    <n v="0"/>
    <n v="1518.504205067097"/>
    <n v="1463.8530703205427"/>
    <n v="0.45786376334632151"/>
    <n v="73"/>
    <n v="83"/>
    <n v="1"/>
    <n v="-10"/>
    <n v="0"/>
    <n v="0.36422879844697137"/>
    <n v="1"/>
    <n v="73.45"/>
    <n v="73.45"/>
    <n v="-12.249048517220075"/>
    <n v="1506.255156549877"/>
    <n v="0"/>
    <n v="1"/>
    <n v="0"/>
    <n v="0"/>
    <n v="0"/>
    <n v="0"/>
    <n v="0"/>
    <n v="0"/>
    <n v="0"/>
    <n v="0"/>
  </r>
  <r>
    <d v="2004-07-11T00:00:00"/>
    <n v="2004"/>
    <x v="17"/>
    <s v="R"/>
    <s v="RS"/>
    <x v="4"/>
    <s v="SAC"/>
    <s v="H"/>
    <n v="1"/>
    <n v="1"/>
    <n v="0"/>
    <n v="0"/>
    <n v="0"/>
    <n v="0"/>
    <n v="1463.8530703205427"/>
    <n v="1518.504205067097"/>
    <n v="0.54213623665367849"/>
    <n v="83"/>
    <n v="73"/>
    <n v="1"/>
    <n v="10"/>
    <n v="1"/>
    <n v="0.36422879844697137"/>
    <n v="1"/>
    <n v="73.3"/>
    <n v="73.3"/>
    <n v="12.22403344196367"/>
    <n v="1476.0771037625063"/>
    <n v="1"/>
    <n v="0"/>
    <n v="0"/>
    <n v="0"/>
    <n v="0"/>
    <n v="0"/>
    <n v="0"/>
    <n v="0"/>
    <n v="0"/>
    <n v="0"/>
  </r>
  <r>
    <d v="2004-07-11T00:00:00"/>
    <n v="2004"/>
    <x v="18"/>
    <s v="R"/>
    <s v="RS"/>
    <x v="3"/>
    <s v="NYL"/>
    <s v="A"/>
    <n v="1"/>
    <n v="2"/>
    <n v="-1"/>
    <n v="1"/>
    <n v="-8"/>
    <n v="8"/>
    <n v="1469.3854206482918"/>
    <n v="1458.303522992562"/>
    <n v="0.37475906568280093"/>
    <n v="69"/>
    <n v="77"/>
    <n v="0"/>
    <n v="-8"/>
    <n v="0"/>
    <n v="0.3847622880876953"/>
    <n v="1"/>
    <n v="73.150000000000006"/>
    <n v="73.150000000000006"/>
    <n v="-10.547729331680721"/>
    <n v="1458.837691316611"/>
    <n v="0"/>
    <n v="1"/>
    <n v="0"/>
    <n v="0"/>
    <n v="0"/>
    <n v="0"/>
    <n v="0"/>
    <n v="0"/>
    <n v="0"/>
    <n v="0"/>
  </r>
  <r>
    <d v="2004-07-11T00:00:00"/>
    <n v="2004"/>
    <x v="18"/>
    <s v="R"/>
    <s v="RS"/>
    <x v="7"/>
    <s v="PHX"/>
    <s v="H"/>
    <n v="2"/>
    <n v="1"/>
    <n v="1"/>
    <n v="-1"/>
    <n v="8"/>
    <n v="-8"/>
    <n v="1458.303522992562"/>
    <n v="1469.3854206482918"/>
    <n v="0.62524093431719907"/>
    <n v="77"/>
    <n v="69"/>
    <n v="0"/>
    <n v="8"/>
    <n v="1"/>
    <n v="0.3847622880876953"/>
    <n v="1"/>
    <n v="73.150000000000006"/>
    <n v="73.150000000000006"/>
    <n v="10.547729331680721"/>
    <n v="1468.8512523242428"/>
    <n v="1"/>
    <n v="0"/>
    <n v="0"/>
    <n v="0"/>
    <n v="0"/>
    <n v="0"/>
    <n v="0"/>
    <n v="0"/>
    <n v="0"/>
    <n v="0"/>
  </r>
  <r>
    <d v="2004-07-12T00:00:00"/>
    <n v="2004"/>
    <x v="17"/>
    <s v="R"/>
    <s v="RS"/>
    <x v="2"/>
    <s v="DET"/>
    <s v="A"/>
    <n v="0"/>
    <n v="1"/>
    <n v="-1"/>
    <n v="1"/>
    <n v="-8"/>
    <n v="8"/>
    <n v="1506.255156549877"/>
    <n v="1562.8438601668145"/>
    <n v="0.28876349053277173"/>
    <n v="67"/>
    <n v="51"/>
    <n v="0"/>
    <n v="16"/>
    <n v="1"/>
    <n v="0.49446826710093245"/>
    <n v="1"/>
    <n v="73.3"/>
    <n v="73.3"/>
    <n v="25.778428721768424"/>
    <n v="1532.0335852716455"/>
    <n v="1"/>
    <n v="0"/>
    <n v="0"/>
    <n v="0"/>
    <n v="0"/>
    <n v="0"/>
    <n v="0"/>
    <n v="0"/>
    <n v="0"/>
    <n v="0"/>
  </r>
  <r>
    <d v="2004-07-12T00:00:00"/>
    <n v="2004"/>
    <x v="17"/>
    <s v="R"/>
    <s v="RS"/>
    <x v="10"/>
    <s v="SAC"/>
    <s v="H"/>
    <n v="1"/>
    <n v="0"/>
    <n v="1"/>
    <n v="-1"/>
    <n v="8"/>
    <n v="-8"/>
    <n v="1562.8438601668145"/>
    <n v="1506.255156549877"/>
    <n v="0.71123650946722827"/>
    <n v="51"/>
    <n v="67"/>
    <n v="0"/>
    <n v="-16"/>
    <n v="0"/>
    <n v="0.49446826710093245"/>
    <n v="1"/>
    <n v="73.3"/>
    <n v="73.3"/>
    <n v="-25.778428721768424"/>
    <n v="1537.065431445046"/>
    <n v="0"/>
    <n v="1"/>
    <n v="0"/>
    <n v="0"/>
    <n v="0"/>
    <n v="0"/>
    <n v="0"/>
    <n v="0"/>
    <n v="0"/>
    <n v="0"/>
  </r>
  <r>
    <d v="2004-07-12T00:00:00"/>
    <n v="2004"/>
    <x v="18"/>
    <s v="R"/>
    <s v="RS"/>
    <x v="0"/>
    <s v="SEA"/>
    <s v="A"/>
    <n v="2"/>
    <n v="1"/>
    <n v="1"/>
    <n v="-1"/>
    <n v="8"/>
    <n v="-8"/>
    <n v="1388.4399349160353"/>
    <n v="1563.2561637915817"/>
    <n v="0.19817139748224377"/>
    <n v="59"/>
    <n v="75"/>
    <n v="0"/>
    <n v="-16"/>
    <n v="0"/>
    <n v="0.45194639522423086"/>
    <n v="1"/>
    <n v="73.150000000000006"/>
    <n v="73.150000000000006"/>
    <n v="-6.5515223845006236"/>
    <n v="1381.8884125315346"/>
    <n v="0"/>
    <n v="1"/>
    <n v="0"/>
    <n v="0"/>
    <n v="0"/>
    <n v="0"/>
    <n v="0"/>
    <n v="0"/>
    <n v="0"/>
    <n v="0"/>
  </r>
  <r>
    <d v="2004-07-12T00:00:00"/>
    <n v="2004"/>
    <x v="17"/>
    <s v="R"/>
    <s v="RS"/>
    <x v="5"/>
    <s v="SAS"/>
    <s v="H"/>
    <n v="1"/>
    <n v="2"/>
    <n v="-1"/>
    <n v="1"/>
    <n v="-8"/>
    <n v="8"/>
    <n v="1563.2561637915817"/>
    <n v="1388.4399349160353"/>
    <n v="0.80182860251775623"/>
    <n v="75"/>
    <n v="59"/>
    <n v="0"/>
    <n v="16"/>
    <n v="1"/>
    <n v="0.45194639522423086"/>
    <n v="1"/>
    <n v="73.3"/>
    <n v="73.3"/>
    <n v="6.5649568118099202"/>
    <n v="1569.8211206033916"/>
    <n v="1"/>
    <n v="0"/>
    <n v="0"/>
    <n v="0"/>
    <n v="0"/>
    <n v="0"/>
    <n v="0"/>
    <n v="0"/>
    <n v="0"/>
    <n v="0"/>
  </r>
  <r>
    <d v="2004-07-14T00:00:00"/>
    <n v="2004"/>
    <x v="19"/>
    <s v="R"/>
    <s v="RS"/>
    <x v="1"/>
    <s v="IND"/>
    <s v="A"/>
    <n v="3"/>
    <n v="2"/>
    <n v="1"/>
    <n v="-1"/>
    <n v="8"/>
    <n v="-8"/>
    <n v="1478.336933046327"/>
    <n v="1497.3010643156206"/>
    <n v="0.37739831864581269"/>
    <n v="62"/>
    <n v="70"/>
    <n v="0"/>
    <n v="-8"/>
    <n v="0"/>
    <n v="0.38227428523133677"/>
    <n v="1"/>
    <n v="73"/>
    <n v="73"/>
    <n v="-10.531686093072052"/>
    <n v="1467.8052469532549"/>
    <n v="0"/>
    <n v="1"/>
    <n v="0"/>
    <n v="0"/>
    <n v="0"/>
    <n v="0"/>
    <n v="0"/>
    <n v="0"/>
    <n v="0"/>
    <n v="0"/>
  </r>
  <r>
    <d v="2004-07-14T00:00:00"/>
    <n v="2004"/>
    <x v="19"/>
    <s v="R"/>
    <s v="RS"/>
    <x v="8"/>
    <s v="HOU"/>
    <s v="H"/>
    <n v="2"/>
    <n v="3"/>
    <n v="-1"/>
    <n v="1"/>
    <n v="-8"/>
    <n v="8"/>
    <n v="1497.3010643156206"/>
    <n v="1478.336933046327"/>
    <n v="0.62260168135418736"/>
    <n v="70"/>
    <n v="62"/>
    <n v="0"/>
    <n v="8"/>
    <n v="1"/>
    <n v="0.38227428523133677"/>
    <n v="1"/>
    <n v="73"/>
    <n v="73"/>
    <n v="10.53168609307205"/>
    <n v="1507.8327504086926"/>
    <n v="1"/>
    <n v="0"/>
    <n v="0"/>
    <n v="0"/>
    <n v="0"/>
    <n v="0"/>
    <n v="0"/>
    <n v="0"/>
    <n v="0"/>
    <n v="0"/>
  </r>
  <r>
    <d v="2004-07-14T00:00:00"/>
    <n v="2004"/>
    <x v="19"/>
    <s v="R"/>
    <s v="RS"/>
    <x v="9"/>
    <s v="MIN"/>
    <s v="A"/>
    <n v="2"/>
    <n v="2"/>
    <n v="0"/>
    <n v="0"/>
    <n v="0"/>
    <n v="0"/>
    <n v="1529.8348156524835"/>
    <n v="1476.0771037625063"/>
    <n v="0.45658743502555577"/>
    <n v="63"/>
    <n v="66"/>
    <n v="0"/>
    <n v="-3"/>
    <n v="0"/>
    <n v="0.2777412429978397"/>
    <n v="1"/>
    <n v="73"/>
    <n v="73"/>
    <n v="-9.257360807107105"/>
    <n v="1520.5774548453765"/>
    <n v="0"/>
    <n v="1"/>
    <n v="0"/>
    <n v="0"/>
    <n v="0"/>
    <n v="0"/>
    <n v="0"/>
    <n v="0"/>
    <n v="0"/>
    <n v="0"/>
  </r>
  <r>
    <d v="2004-07-14T00:00:00"/>
    <n v="2004"/>
    <x v="18"/>
    <s v="R"/>
    <s v="RS"/>
    <x v="4"/>
    <s v="CON"/>
    <s v="H"/>
    <n v="2"/>
    <n v="2"/>
    <n v="0"/>
    <n v="0"/>
    <n v="0"/>
    <n v="0"/>
    <n v="1476.0771037625063"/>
    <n v="1529.8348156524835"/>
    <n v="0.54341256497444423"/>
    <n v="66"/>
    <n v="63"/>
    <n v="0"/>
    <n v="3"/>
    <n v="1"/>
    <n v="0.2777412429978397"/>
    <n v="1"/>
    <n v="73.150000000000006"/>
    <n v="73.150000000000006"/>
    <n v="9.2763827813682838"/>
    <n v="1485.3534865438746"/>
    <n v="1"/>
    <n v="0"/>
    <n v="0"/>
    <n v="0"/>
    <n v="0"/>
    <n v="0"/>
    <n v="0"/>
    <n v="0"/>
    <n v="0"/>
    <n v="0"/>
  </r>
  <r>
    <d v="2004-07-15T00:00:00"/>
    <n v="2004"/>
    <x v="18"/>
    <s v="R"/>
    <s v="RS"/>
    <x v="10"/>
    <s v="HOU"/>
    <s v="A"/>
    <n v="2"/>
    <n v="0"/>
    <n v="2"/>
    <n v="-2"/>
    <n v="16"/>
    <n v="-16"/>
    <n v="1537.065431445046"/>
    <n v="1467.8052469532549"/>
    <n v="0.5248189879358246"/>
    <n v="61"/>
    <n v="97"/>
    <n v="0"/>
    <n v="-36"/>
    <n v="0"/>
    <n v="0.7313405552907517"/>
    <n v="1"/>
    <n v="73.150000000000006"/>
    <n v="73.150000000000006"/>
    <n v="-28.076536146190108"/>
    <n v="1508.9888952988558"/>
    <n v="0"/>
    <n v="1"/>
    <n v="0"/>
    <n v="0"/>
    <n v="0"/>
    <n v="0"/>
    <n v="0"/>
    <n v="0"/>
    <n v="0"/>
    <n v="0"/>
  </r>
  <r>
    <d v="2004-07-15T00:00:00"/>
    <n v="2004"/>
    <x v="20"/>
    <s v="R"/>
    <s v="RS"/>
    <x v="1"/>
    <s v="DET"/>
    <s v="H"/>
    <n v="0"/>
    <n v="2"/>
    <n v="-2"/>
    <n v="2"/>
    <n v="-16"/>
    <n v="16"/>
    <n v="1467.8052469532549"/>
    <n v="1537.065431445046"/>
    <n v="0.4751810120641754"/>
    <n v="97"/>
    <n v="61"/>
    <n v="0"/>
    <n v="36"/>
    <n v="1"/>
    <n v="0.7313405552907517"/>
    <n v="1"/>
    <n v="72.849999999999994"/>
    <n v="72.849999999999994"/>
    <n v="27.961389723170868"/>
    <n v="1495.7666366764258"/>
    <n v="1"/>
    <n v="0"/>
    <n v="0"/>
    <n v="0"/>
    <n v="0"/>
    <n v="0"/>
    <n v="0"/>
    <n v="0"/>
    <n v="0"/>
    <n v="0"/>
  </r>
  <r>
    <d v="2004-07-15T00:00:00"/>
    <n v="2004"/>
    <x v="19"/>
    <s v="R"/>
    <s v="RS"/>
    <x v="4"/>
    <s v="NYL"/>
    <s v="A"/>
    <n v="0"/>
    <n v="3"/>
    <n v="-3"/>
    <n v="3"/>
    <n v="-16"/>
    <n v="16"/>
    <n v="1485.3534865438746"/>
    <n v="1468.8512523242428"/>
    <n v="0.36060132465280226"/>
    <n v="69"/>
    <n v="66"/>
    <n v="0"/>
    <n v="3"/>
    <n v="1"/>
    <n v="0.28624709065316906"/>
    <n v="1"/>
    <n v="73"/>
    <n v="73"/>
    <n v="13.360898772750662"/>
    <n v="1498.7143853166253"/>
    <n v="1"/>
    <n v="0"/>
    <n v="0"/>
    <n v="0"/>
    <n v="0"/>
    <n v="0"/>
    <n v="0"/>
    <n v="0"/>
    <n v="0"/>
    <n v="0"/>
  </r>
  <r>
    <d v="2004-07-15T00:00:00"/>
    <n v="2004"/>
    <x v="19"/>
    <s v="R"/>
    <s v="RS"/>
    <x v="7"/>
    <s v="MIN"/>
    <s v="H"/>
    <n v="3"/>
    <n v="0"/>
    <n v="3"/>
    <n v="-3"/>
    <n v="16"/>
    <n v="-16"/>
    <n v="1468.8512523242428"/>
    <n v="1485.3534865438746"/>
    <n v="0.63939867534719774"/>
    <n v="66"/>
    <n v="69"/>
    <n v="0"/>
    <n v="-3"/>
    <n v="0"/>
    <n v="0.28624709065316906"/>
    <n v="1"/>
    <n v="73"/>
    <n v="73"/>
    <n v="-13.360898772750662"/>
    <n v="1455.490353551492"/>
    <n v="0"/>
    <n v="1"/>
    <n v="0"/>
    <n v="0"/>
    <n v="0"/>
    <n v="0"/>
    <n v="0"/>
    <n v="0"/>
    <n v="0"/>
    <n v="0"/>
  </r>
  <r>
    <d v="2004-07-15T00:00:00"/>
    <n v="2004"/>
    <x v="18"/>
    <s v="R"/>
    <s v="RS"/>
    <x v="5"/>
    <s v="SAC"/>
    <s v="A"/>
    <n v="2"/>
    <n v="2"/>
    <n v="0"/>
    <n v="0"/>
    <n v="0"/>
    <n v="0"/>
    <n v="1569.8211206033916"/>
    <n v="1532.0335852716455"/>
    <n v="0.43388435770743744"/>
    <n v="66"/>
    <n v="63"/>
    <n v="0"/>
    <n v="3"/>
    <n v="1"/>
    <n v="0.28132471476627152"/>
    <n v="1"/>
    <n v="73.150000000000006"/>
    <n v="73.150000000000006"/>
    <n v="11.650038824504527"/>
    <n v="1581.4711594278961"/>
    <n v="1"/>
    <n v="0"/>
    <n v="0"/>
    <n v="0"/>
    <n v="0"/>
    <n v="0"/>
    <n v="0"/>
    <n v="0"/>
    <n v="0"/>
    <n v="0"/>
  </r>
  <r>
    <d v="2004-07-15T00:00:00"/>
    <n v="2004"/>
    <x v="18"/>
    <s v="R"/>
    <s v="RS"/>
    <x v="2"/>
    <s v="SEA"/>
    <s v="H"/>
    <n v="2"/>
    <n v="2"/>
    <n v="0"/>
    <n v="0"/>
    <n v="0"/>
    <n v="0"/>
    <n v="1532.0335852716455"/>
    <n v="1569.8211206033916"/>
    <n v="0.5661156422925625"/>
    <n v="63"/>
    <n v="66"/>
    <n v="0"/>
    <n v="-3"/>
    <n v="0"/>
    <n v="0.28132471476627152"/>
    <n v="1"/>
    <n v="73.150000000000006"/>
    <n v="73.150000000000006"/>
    <n v="-11.650038824504525"/>
    <n v="1520.383546447141"/>
    <n v="0"/>
    <n v="1"/>
    <n v="0"/>
    <n v="0"/>
    <n v="0"/>
    <n v="0"/>
    <n v="0"/>
    <n v="0"/>
    <n v="0"/>
    <n v="0"/>
  </r>
  <r>
    <d v="2004-07-15T00:00:00"/>
    <n v="2004"/>
    <x v="20"/>
    <s v="R"/>
    <s v="RS"/>
    <x v="9"/>
    <s v="SAS"/>
    <s v="A"/>
    <n v="0"/>
    <n v="2"/>
    <n v="-2"/>
    <n v="2"/>
    <n v="-16"/>
    <n v="16"/>
    <n v="1520.5774548453765"/>
    <n v="1381.8884125315346"/>
    <n v="0.53260581896337855"/>
    <n v="67"/>
    <n v="78"/>
    <n v="0"/>
    <n v="-11"/>
    <n v="0"/>
    <n v="0.39426868199121307"/>
    <n v="1"/>
    <n v="72.849999999999994"/>
    <n v="72.849999999999994"/>
    <n v="-15.297756512099026"/>
    <n v="1505.2796983332773"/>
    <n v="0"/>
    <n v="1"/>
    <n v="0"/>
    <n v="0"/>
    <n v="0"/>
    <n v="0"/>
    <n v="0"/>
    <n v="0"/>
    <n v="0"/>
    <n v="0"/>
  </r>
  <r>
    <d v="2004-07-15T00:00:00"/>
    <n v="2004"/>
    <x v="19"/>
    <s v="R"/>
    <s v="RS"/>
    <x v="0"/>
    <s v="CON"/>
    <s v="H"/>
    <n v="2"/>
    <n v="0"/>
    <n v="2"/>
    <n v="-2"/>
    <n v="16"/>
    <n v="-16"/>
    <n v="1381.8884125315346"/>
    <n v="1520.5774548453765"/>
    <n v="0.46739418103662139"/>
    <n v="78"/>
    <n v="67"/>
    <n v="0"/>
    <n v="11"/>
    <n v="1"/>
    <n v="0.39426868199121307"/>
    <n v="1"/>
    <n v="73"/>
    <n v="73"/>
    <n v="15.329254981238563"/>
    <n v="1397.2176675127732"/>
    <n v="1"/>
    <n v="0"/>
    <n v="0"/>
    <n v="0"/>
    <n v="0"/>
    <n v="0"/>
    <n v="0"/>
    <n v="0"/>
    <n v="0"/>
    <n v="0"/>
  </r>
  <r>
    <d v="2004-07-15T00:00:00"/>
    <n v="2004"/>
    <x v="17"/>
    <s v="R"/>
    <s v="RS"/>
    <x v="6"/>
    <s v="WAS"/>
    <s v="A"/>
    <n v="4"/>
    <n v="4"/>
    <n v="0"/>
    <n v="0"/>
    <n v="0"/>
    <n v="0"/>
    <n v="1509.5562523827775"/>
    <n v="1459.1034778357316"/>
    <n v="0.45187114037190224"/>
    <n v="54"/>
    <n v="68"/>
    <n v="0"/>
    <n v="-14"/>
    <n v="0"/>
    <n v="0.46793428440580193"/>
    <n v="1"/>
    <n v="73.3"/>
    <n v="73.3"/>
    <n v="-15.498991705703929"/>
    <n v="1494.0572606770736"/>
    <n v="0"/>
    <n v="1"/>
    <n v="0"/>
    <n v="0"/>
    <n v="0"/>
    <n v="0"/>
    <n v="0"/>
    <n v="0"/>
    <n v="0"/>
    <n v="0"/>
  </r>
  <r>
    <d v="2004-07-15T00:00:00"/>
    <n v="2004"/>
    <x v="17"/>
    <s v="R"/>
    <s v="RS"/>
    <x v="12"/>
    <s v="CHA"/>
    <s v="H"/>
    <n v="4"/>
    <n v="4"/>
    <n v="0"/>
    <n v="0"/>
    <n v="0"/>
    <n v="0"/>
    <n v="1459.1034778357316"/>
    <n v="1509.5562523827775"/>
    <n v="0.54812885962809776"/>
    <n v="68"/>
    <n v="54"/>
    <n v="0"/>
    <n v="14"/>
    <n v="1"/>
    <n v="0.46793428440580193"/>
    <n v="1"/>
    <n v="73.3"/>
    <n v="73.3"/>
    <n v="15.498991705703929"/>
    <n v="1474.6024695414355"/>
    <n v="1"/>
    <n v="0"/>
    <n v="0"/>
    <n v="0"/>
    <n v="0"/>
    <n v="0"/>
    <n v="0"/>
    <n v="0"/>
    <n v="0"/>
    <n v="0"/>
  </r>
  <r>
    <d v="2004-07-16T00:00:00"/>
    <n v="2004"/>
    <x v="19"/>
    <s v="R"/>
    <s v="RS"/>
    <x v="10"/>
    <s v="IND"/>
    <s v="A"/>
    <n v="0"/>
    <n v="1"/>
    <n v="-1"/>
    <n v="1"/>
    <n v="-8"/>
    <n v="8"/>
    <n v="1508.9888952988558"/>
    <n v="1507.8327504086926"/>
    <n v="0.3614696862404721"/>
    <n v="73"/>
    <n v="85"/>
    <n v="0"/>
    <n v="-12"/>
    <n v="0"/>
    <n v="0.45569040629759289"/>
    <n v="1"/>
    <n v="73"/>
    <n v="73"/>
    <n v="-12.024433577664443"/>
    <n v="1496.9644617211914"/>
    <n v="0"/>
    <n v="1"/>
    <n v="0"/>
    <n v="0"/>
    <n v="0"/>
    <n v="0"/>
    <n v="0"/>
    <n v="0"/>
    <n v="0"/>
    <n v="0"/>
  </r>
  <r>
    <d v="2004-07-16T00:00:00"/>
    <n v="2004"/>
    <x v="20"/>
    <s v="R"/>
    <s v="RS"/>
    <x v="8"/>
    <s v="DET"/>
    <s v="H"/>
    <n v="1"/>
    <n v="0"/>
    <n v="1"/>
    <n v="-1"/>
    <n v="8"/>
    <n v="-8"/>
    <n v="1507.8327504086926"/>
    <n v="1508.9888952988558"/>
    <n v="0.63853031375952796"/>
    <n v="85"/>
    <n v="73"/>
    <n v="0"/>
    <n v="12"/>
    <n v="1"/>
    <n v="0.45569040629759289"/>
    <n v="1"/>
    <n v="72.849999999999994"/>
    <n v="72.849999999999994"/>
    <n v="11.999725837436362"/>
    <n v="1519.8324762461291"/>
    <n v="1"/>
    <n v="0"/>
    <n v="0"/>
    <n v="0"/>
    <n v="0"/>
    <n v="0"/>
    <n v="0"/>
    <n v="0"/>
    <n v="0"/>
    <n v="0"/>
  </r>
  <r>
    <d v="2004-07-17T00:00:00"/>
    <n v="2004"/>
    <x v="21"/>
    <s v="R"/>
    <s v="RS"/>
    <x v="9"/>
    <s v="HOU"/>
    <s v="A"/>
    <n v="1"/>
    <n v="1"/>
    <n v="0"/>
    <n v="0"/>
    <n v="0"/>
    <n v="0"/>
    <n v="1505.2796983332773"/>
    <n v="1495.7666366764258"/>
    <n v="0.39441738706438956"/>
    <n v="56"/>
    <n v="72"/>
    <n v="0"/>
    <n v="-16"/>
    <n v="0"/>
    <n v="0.51371354178261397"/>
    <n v="1"/>
    <n v="72.7"/>
    <n v="72.7"/>
    <n v="-14.730296092158047"/>
    <n v="1490.5494022411192"/>
    <n v="0"/>
    <n v="1"/>
    <n v="0"/>
    <n v="0"/>
    <n v="0"/>
    <n v="0"/>
    <n v="0"/>
    <n v="0"/>
    <n v="0"/>
    <n v="0"/>
  </r>
  <r>
    <d v="2004-07-17T00:00:00"/>
    <n v="2004"/>
    <x v="21"/>
    <s v="R"/>
    <s v="RS"/>
    <x v="1"/>
    <s v="CON"/>
    <s v="H"/>
    <n v="1"/>
    <n v="1"/>
    <n v="0"/>
    <n v="0"/>
    <n v="0"/>
    <n v="0"/>
    <n v="1495.7666366764258"/>
    <n v="1505.2796983332773"/>
    <n v="0.60558261293561044"/>
    <n v="72"/>
    <n v="56"/>
    <n v="0"/>
    <n v="16"/>
    <n v="1"/>
    <n v="0.51371354178261397"/>
    <n v="1"/>
    <n v="72.7"/>
    <n v="72.7"/>
    <n v="14.730296092158047"/>
    <n v="1510.496932768584"/>
    <n v="1"/>
    <n v="0"/>
    <n v="0"/>
    <n v="0"/>
    <n v="0"/>
    <n v="0"/>
    <n v="0"/>
    <n v="0"/>
    <n v="0"/>
    <n v="0"/>
  </r>
  <r>
    <d v="2004-07-17T00:00:00"/>
    <n v="2004"/>
    <x v="19"/>
    <s v="R"/>
    <s v="RS"/>
    <x v="2"/>
    <s v="LAS"/>
    <s v="A"/>
    <n v="1"/>
    <n v="6"/>
    <n v="-5"/>
    <n v="5"/>
    <n v="-16"/>
    <n v="16"/>
    <n v="1520.383546447141"/>
    <n v="1620.5865119530981"/>
    <n v="0.22364250027918312"/>
    <n v="79"/>
    <n v="70"/>
    <n v="0"/>
    <n v="9"/>
    <n v="1"/>
    <n v="0.37468444965983994"/>
    <n v="1"/>
    <n v="73"/>
    <n v="73"/>
    <n v="21.234903024119404"/>
    <n v="1541.6184494712604"/>
    <n v="1"/>
    <n v="0"/>
    <n v="0"/>
    <n v="0"/>
    <n v="0"/>
    <n v="0"/>
    <n v="0"/>
    <n v="0"/>
    <n v="0"/>
    <n v="0"/>
  </r>
  <r>
    <d v="2004-07-17T00:00:00"/>
    <n v="2004"/>
    <x v="20"/>
    <s v="R"/>
    <s v="RS"/>
    <x v="11"/>
    <s v="SAC"/>
    <s v="H"/>
    <n v="6"/>
    <n v="1"/>
    <n v="5"/>
    <n v="-5"/>
    <n v="16"/>
    <n v="-16"/>
    <n v="1620.5865119530981"/>
    <n v="1520.383546447141"/>
    <n v="0.7763574997208168"/>
    <n v="70"/>
    <n v="79"/>
    <n v="0"/>
    <n v="-9"/>
    <n v="0"/>
    <n v="0.37468444965983994"/>
    <n v="1"/>
    <n v="72.849999999999994"/>
    <n v="72.849999999999994"/>
    <n v="-21.191269661741071"/>
    <n v="1599.3952422913571"/>
    <n v="0"/>
    <n v="1"/>
    <n v="0"/>
    <n v="0"/>
    <n v="0"/>
    <n v="0"/>
    <n v="0"/>
    <n v="0"/>
    <n v="0"/>
    <n v="0"/>
  </r>
  <r>
    <d v="2004-07-17T00:00:00"/>
    <n v="2004"/>
    <x v="18"/>
    <s v="R"/>
    <s v="RS"/>
    <x v="12"/>
    <s v="SEA"/>
    <s v="A"/>
    <n v="1"/>
    <n v="1"/>
    <n v="0"/>
    <n v="0"/>
    <n v="0"/>
    <n v="0"/>
    <n v="1474.6024695414355"/>
    <n v="1581.4711594278961"/>
    <n v="0.24997821098401557"/>
    <n v="83"/>
    <n v="85"/>
    <n v="1"/>
    <n v="-2"/>
    <n v="0"/>
    <n v="0.22134482883630399"/>
    <n v="1"/>
    <n v="73.150000000000006"/>
    <n v="73.150000000000006"/>
    <n v="-4.0474907632320161"/>
    <n v="1470.5549787782036"/>
    <n v="0"/>
    <n v="1"/>
    <n v="0"/>
    <n v="0"/>
    <n v="0"/>
    <n v="0"/>
    <n v="0"/>
    <n v="0"/>
    <n v="0"/>
    <n v="0"/>
  </r>
  <r>
    <d v="2004-07-17T00:00:00"/>
    <n v="2004"/>
    <x v="19"/>
    <s v="R"/>
    <s v="RS"/>
    <x v="5"/>
    <s v="WAS"/>
    <s v="H"/>
    <n v="1"/>
    <n v="1"/>
    <n v="0"/>
    <n v="0"/>
    <n v="0"/>
    <n v="0"/>
    <n v="1581.4711594278961"/>
    <n v="1474.6024695414355"/>
    <n v="0.75002178901598449"/>
    <n v="85"/>
    <n v="83"/>
    <n v="1"/>
    <n v="2"/>
    <n v="1"/>
    <n v="0.22134482883630399"/>
    <n v="1"/>
    <n v="73"/>
    <n v="73"/>
    <n v="4.0391910555835553"/>
    <n v="1585.5103504834797"/>
    <n v="1"/>
    <n v="0"/>
    <n v="0"/>
    <n v="0"/>
    <n v="0"/>
    <n v="0"/>
    <n v="0"/>
    <n v="0"/>
    <n v="0"/>
    <n v="0"/>
  </r>
  <r>
    <d v="2004-07-18T00:00:00"/>
    <n v="2004"/>
    <x v="20"/>
    <s v="R"/>
    <s v="RS"/>
    <x v="0"/>
    <s v="DET"/>
    <s v="A"/>
    <n v="2"/>
    <n v="1"/>
    <n v="1"/>
    <n v="-1"/>
    <n v="8"/>
    <n v="-8"/>
    <n v="1397.2176675127732"/>
    <n v="1496.9644617211914"/>
    <n v="0.27575275786288655"/>
    <n v="71"/>
    <n v="77"/>
    <n v="0"/>
    <n v="-6"/>
    <n v="0"/>
    <n v="0.32432233354029366"/>
    <n v="1"/>
    <n v="72.849999999999994"/>
    <n v="72.849999999999994"/>
    <n v="-6.5151778707626535"/>
    <n v="1390.7024896420105"/>
    <n v="0"/>
    <n v="1"/>
    <n v="0"/>
    <n v="0"/>
    <n v="0"/>
    <n v="0"/>
    <n v="0"/>
    <n v="0"/>
    <n v="0"/>
    <n v="0"/>
  </r>
  <r>
    <d v="2004-07-18T00:00:00"/>
    <n v="2004"/>
    <x v="20"/>
    <s v="R"/>
    <s v="RS"/>
    <x v="10"/>
    <s v="SAS"/>
    <s v="H"/>
    <n v="1"/>
    <n v="2"/>
    <n v="-1"/>
    <n v="1"/>
    <n v="-8"/>
    <n v="8"/>
    <n v="1496.9644617211914"/>
    <n v="1397.2176675127732"/>
    <n v="0.72424724213711333"/>
    <n v="77"/>
    <n v="71"/>
    <n v="0"/>
    <n v="6"/>
    <n v="1"/>
    <n v="0.32432233354029366"/>
    <n v="1"/>
    <n v="72.849999999999994"/>
    <n v="72.849999999999994"/>
    <n v="6.5151778707626562"/>
    <n v="1503.4796395919541"/>
    <n v="1"/>
    <n v="0"/>
    <n v="0"/>
    <n v="0"/>
    <n v="0"/>
    <n v="0"/>
    <n v="0"/>
    <n v="0"/>
    <n v="0"/>
    <n v="0"/>
  </r>
  <r>
    <d v="2004-07-18T00:00:00"/>
    <n v="2004"/>
    <x v="18"/>
    <s v="R"/>
    <s v="RS"/>
    <x v="6"/>
    <s v="NYL"/>
    <s v="A"/>
    <n v="2"/>
    <n v="2"/>
    <n v="0"/>
    <n v="0"/>
    <n v="0"/>
    <n v="0"/>
    <n v="1494.0572606770736"/>
    <n v="1455.490353551492"/>
    <n v="0.43498667759300919"/>
    <n v="58"/>
    <n v="75"/>
    <n v="0"/>
    <n v="-17"/>
    <n v="0"/>
    <n v="0.51586271135017003"/>
    <n v="1"/>
    <n v="73.150000000000006"/>
    <n v="73.150000000000006"/>
    <n v="-16.414377715051888"/>
    <n v="1477.6428829620218"/>
    <n v="0"/>
    <n v="1"/>
    <n v="0"/>
    <n v="0"/>
    <n v="0"/>
    <n v="0"/>
    <n v="0"/>
    <n v="0"/>
    <n v="0"/>
    <n v="0"/>
  </r>
  <r>
    <d v="2004-07-18T00:00:00"/>
    <n v="2004"/>
    <x v="20"/>
    <s v="R"/>
    <s v="RS"/>
    <x v="7"/>
    <s v="CHA"/>
    <s v="H"/>
    <n v="2"/>
    <n v="2"/>
    <n v="0"/>
    <n v="0"/>
    <n v="0"/>
    <n v="0"/>
    <n v="1455.490353551492"/>
    <n v="1494.0572606770736"/>
    <n v="0.56501332240699087"/>
    <n v="75"/>
    <n v="58"/>
    <n v="0"/>
    <n v="17"/>
    <n v="1"/>
    <n v="0.51586271135017003"/>
    <n v="1"/>
    <n v="72.849999999999994"/>
    <n v="72.849999999999994"/>
    <n v="16.347059692980579"/>
    <n v="1471.8374132444726"/>
    <n v="1"/>
    <n v="0"/>
    <n v="0"/>
    <n v="0"/>
    <n v="0"/>
    <n v="0"/>
    <n v="0"/>
    <n v="0"/>
    <n v="0"/>
    <n v="0"/>
  </r>
  <r>
    <d v="2004-07-18T00:00:00"/>
    <n v="2004"/>
    <x v="20"/>
    <s v="R"/>
    <s v="RS"/>
    <x v="4"/>
    <s v="PHX"/>
    <s v="A"/>
    <n v="2"/>
    <n v="6"/>
    <n v="-4"/>
    <n v="4"/>
    <n v="-16"/>
    <n v="16"/>
    <n v="1498.7143853166253"/>
    <n v="1458.837691316611"/>
    <n v="0.39216972451104704"/>
    <n v="63"/>
    <n v="60"/>
    <n v="0"/>
    <n v="3"/>
    <n v="1"/>
    <n v="0.2808506902368193"/>
    <n v="1"/>
    <n v="72.849999999999994"/>
    <n v="72.849999999999994"/>
    <n v="12.436190893644632"/>
    <n v="1511.1505762102699"/>
    <n v="1"/>
    <n v="0"/>
    <n v="0"/>
    <n v="0"/>
    <n v="0"/>
    <n v="0"/>
    <n v="0"/>
    <n v="0"/>
    <n v="0"/>
    <n v="0"/>
  </r>
  <r>
    <d v="2004-07-18T00:00:00"/>
    <n v="2004"/>
    <x v="19"/>
    <s v="R"/>
    <s v="RS"/>
    <x v="3"/>
    <s v="MIN"/>
    <s v="H"/>
    <n v="6"/>
    <n v="2"/>
    <n v="4"/>
    <n v="-4"/>
    <n v="16"/>
    <n v="-16"/>
    <n v="1458.837691316611"/>
    <n v="1498.7143853166253"/>
    <n v="0.60783027548895296"/>
    <n v="60"/>
    <n v="63"/>
    <n v="0"/>
    <n v="-3"/>
    <n v="0"/>
    <n v="0.2808506902368193"/>
    <n v="1"/>
    <n v="73"/>
    <n v="73"/>
    <n v="-12.461797326507318"/>
    <n v="1446.3758939901036"/>
    <n v="0"/>
    <n v="1"/>
    <n v="0"/>
    <n v="0"/>
    <n v="0"/>
    <n v="0"/>
    <n v="0"/>
    <n v="0"/>
    <n v="0"/>
    <n v="0"/>
  </r>
  <r>
    <d v="2004-07-18T00:00:00"/>
    <n v="2004"/>
    <x v="19"/>
    <s v="R"/>
    <s v="RS"/>
    <x v="12"/>
    <s v="SAC"/>
    <s v="A"/>
    <n v="0"/>
    <n v="0"/>
    <n v="0"/>
    <n v="0"/>
    <n v="0"/>
    <n v="0"/>
    <n v="1470.5549787782036"/>
    <n v="1541.6184494712604"/>
    <n v="0.29057004728196612"/>
    <n v="71"/>
    <n v="81"/>
    <n v="0"/>
    <n v="-10"/>
    <n v="0"/>
    <n v="0.39947307975256596"/>
    <n v="1"/>
    <n v="73"/>
    <n v="73"/>
    <n v="-8.473468552025027"/>
    <n v="1462.0815102261786"/>
    <n v="0"/>
    <n v="1"/>
    <n v="0"/>
    <n v="0"/>
    <n v="0"/>
    <n v="0"/>
    <n v="0"/>
    <n v="0"/>
    <n v="0"/>
    <n v="0"/>
  </r>
  <r>
    <d v="2004-07-18T00:00:00"/>
    <n v="2004"/>
    <x v="20"/>
    <s v="R"/>
    <s v="RS"/>
    <x v="2"/>
    <s v="WAS"/>
    <s v="H"/>
    <n v="0"/>
    <n v="0"/>
    <n v="0"/>
    <n v="0"/>
    <n v="0"/>
    <n v="0"/>
    <n v="1541.6184494712604"/>
    <n v="1470.5549787782036"/>
    <n v="0.70942995271803388"/>
    <n v="81"/>
    <n v="71"/>
    <n v="0"/>
    <n v="10"/>
    <n v="1"/>
    <n v="0.39947307975256596"/>
    <n v="1"/>
    <n v="72.849999999999994"/>
    <n v="72.849999999999994"/>
    <n v="8.4560573152742897"/>
    <n v="1550.0745067865348"/>
    <n v="1"/>
    <n v="0"/>
    <n v="0"/>
    <n v="0"/>
    <n v="0"/>
    <n v="0"/>
    <n v="0"/>
    <n v="0"/>
    <n v="0"/>
    <n v="0"/>
  </r>
  <r>
    <d v="2004-07-19T00:00:00"/>
    <n v="2004"/>
    <x v="21"/>
    <s v="R"/>
    <s v="RS"/>
    <x v="8"/>
    <s v="LAS"/>
    <s v="A"/>
    <n v="2"/>
    <n v="1"/>
    <n v="1"/>
    <n v="-1"/>
    <n v="8"/>
    <n v="-8"/>
    <n v="1519.8324762461291"/>
    <n v="1599.3952422913571"/>
    <n v="0.29955043509728718"/>
    <n v="51"/>
    <n v="82"/>
    <n v="0"/>
    <n v="-31"/>
    <n v="0"/>
    <n v="0.67099596162585218"/>
    <n v="1"/>
    <n v="72.7"/>
    <n v="72.7"/>
    <n v="-14.61249151483284"/>
    <n v="1505.2199847312963"/>
    <n v="0"/>
    <n v="1"/>
    <n v="0"/>
    <n v="0"/>
    <n v="0"/>
    <n v="0"/>
    <n v="0"/>
    <n v="0"/>
    <n v="0"/>
    <n v="0"/>
  </r>
  <r>
    <d v="2004-07-19T00:00:00"/>
    <n v="2004"/>
    <x v="21"/>
    <s v="R"/>
    <s v="RS"/>
    <x v="11"/>
    <s v="IND"/>
    <s v="H"/>
    <n v="1"/>
    <n v="2"/>
    <n v="-1"/>
    <n v="1"/>
    <n v="-8"/>
    <n v="8"/>
    <n v="1599.3952422913571"/>
    <n v="1519.8324762461291"/>
    <n v="0.70044956490271282"/>
    <n v="82"/>
    <n v="51"/>
    <n v="0"/>
    <n v="31"/>
    <n v="1"/>
    <n v="0.67099596162585218"/>
    <n v="1"/>
    <n v="72.7"/>
    <n v="72.7"/>
    <n v="14.61249151483284"/>
    <n v="1614.0077338061899"/>
    <n v="1"/>
    <n v="0"/>
    <n v="0"/>
    <n v="0"/>
    <n v="0"/>
    <n v="0"/>
    <n v="0"/>
    <n v="0"/>
    <n v="0"/>
    <n v="0"/>
  </r>
  <r>
    <d v="2004-07-20T00:00:00"/>
    <n v="2004"/>
    <x v="21"/>
    <s v="R"/>
    <s v="RS"/>
    <x v="7"/>
    <s v="CHA"/>
    <s v="A"/>
    <n v="1"/>
    <n v="1"/>
    <n v="0"/>
    <n v="0"/>
    <n v="0"/>
    <n v="0"/>
    <n v="1471.8374132444726"/>
    <n v="1477.6428829620218"/>
    <n v="0.37356293119306694"/>
    <n v="80"/>
    <n v="74"/>
    <n v="1"/>
    <n v="6"/>
    <n v="1"/>
    <n v="0.31463053660482954"/>
    <n v="1"/>
    <n v="72.7"/>
    <n v="72.7"/>
    <n v="14.328896001543013"/>
    <n v="1486.1663092460155"/>
    <n v="1"/>
    <n v="0"/>
    <n v="0"/>
    <n v="0"/>
    <n v="0"/>
    <n v="0"/>
    <n v="0"/>
    <n v="0"/>
    <n v="0"/>
    <n v="0"/>
  </r>
  <r>
    <d v="2004-07-20T00:00:00"/>
    <n v="2004"/>
    <x v="19"/>
    <s v="R"/>
    <s v="RS"/>
    <x v="6"/>
    <s v="NYL"/>
    <s v="H"/>
    <n v="1"/>
    <n v="1"/>
    <n v="0"/>
    <n v="0"/>
    <n v="0"/>
    <n v="0"/>
    <n v="1477.6428829620218"/>
    <n v="1471.8374132444726"/>
    <n v="0.62643706880693306"/>
    <n v="74"/>
    <n v="80"/>
    <n v="1"/>
    <n v="-6"/>
    <n v="0"/>
    <n v="0.31463053660482954"/>
    <n v="1"/>
    <n v="73"/>
    <n v="73"/>
    <n v="-14.388024870875375"/>
    <n v="1463.2548580911464"/>
    <n v="0"/>
    <n v="1"/>
    <n v="0"/>
    <n v="0"/>
    <n v="0"/>
    <n v="0"/>
    <n v="0"/>
    <n v="0"/>
    <n v="0"/>
    <n v="0"/>
  </r>
  <r>
    <d v="2004-07-21T00:00:00"/>
    <n v="2004"/>
    <x v="22"/>
    <s v="R"/>
    <s v="RS"/>
    <x v="9"/>
    <s v="DET"/>
    <s v="A"/>
    <n v="3"/>
    <n v="2"/>
    <n v="1"/>
    <n v="-1"/>
    <n v="8"/>
    <n v="-8"/>
    <n v="1490.5494022411192"/>
    <n v="1503.4796395919541"/>
    <n v="0.38559377486802537"/>
    <n v="78"/>
    <n v="68"/>
    <n v="0"/>
    <n v="10"/>
    <n v="1"/>
    <n v="0.41861899684167458"/>
    <n v="1"/>
    <n v="72.55"/>
    <n v="72.55"/>
    <n v="18.66001363318788"/>
    <n v="1509.2094158743071"/>
    <n v="1"/>
    <n v="0"/>
    <n v="0"/>
    <n v="0"/>
    <n v="0"/>
    <n v="0"/>
    <n v="0"/>
    <n v="0"/>
    <n v="0"/>
    <n v="0"/>
  </r>
  <r>
    <d v="2004-07-21T00:00:00"/>
    <n v="2004"/>
    <x v="21"/>
    <s v="R"/>
    <s v="RS"/>
    <x v="10"/>
    <s v="CON"/>
    <s v="H"/>
    <n v="2"/>
    <n v="3"/>
    <n v="-1"/>
    <n v="1"/>
    <n v="-8"/>
    <n v="8"/>
    <n v="1503.4796395919541"/>
    <n v="1490.5494022411192"/>
    <n v="0.61440622513197463"/>
    <n v="68"/>
    <n v="78"/>
    <n v="0"/>
    <n v="-10"/>
    <n v="0"/>
    <n v="0.41861899684167458"/>
    <n v="1"/>
    <n v="72.7"/>
    <n v="72.7"/>
    <n v="-18.698593950830585"/>
    <n v="1484.7810456411235"/>
    <n v="0"/>
    <n v="1"/>
    <n v="0"/>
    <n v="0"/>
    <n v="0"/>
    <n v="0"/>
    <n v="0"/>
    <n v="0"/>
    <n v="0"/>
    <n v="0"/>
  </r>
  <r>
    <d v="2004-07-21T00:00:00"/>
    <n v="2004"/>
    <x v="20"/>
    <s v="R"/>
    <s v="RS"/>
    <x v="12"/>
    <s v="LAS"/>
    <s v="A"/>
    <n v="2"/>
    <n v="1"/>
    <n v="1"/>
    <n v="-1"/>
    <n v="8"/>
    <n v="-8"/>
    <n v="1462.0815102261786"/>
    <n v="1614.0077338061899"/>
    <n v="0.21994325085472535"/>
    <n v="76"/>
    <n v="96"/>
    <n v="0"/>
    <n v="-20"/>
    <n v="0"/>
    <n v="0.51028289761536594"/>
    <n v="1"/>
    <n v="72.849999999999994"/>
    <n v="72.849999999999994"/>
    <n v="-8.1761944011641923"/>
    <n v="1453.9053158250144"/>
    <n v="0"/>
    <n v="1"/>
    <n v="0"/>
    <n v="0"/>
    <n v="0"/>
    <n v="0"/>
    <n v="0"/>
    <n v="0"/>
    <n v="0"/>
    <n v="0"/>
  </r>
  <r>
    <d v="2004-07-21T00:00:00"/>
    <n v="2004"/>
    <x v="22"/>
    <s v="R"/>
    <s v="RS"/>
    <x v="11"/>
    <s v="WAS"/>
    <s v="H"/>
    <n v="1"/>
    <n v="2"/>
    <n v="-1"/>
    <n v="1"/>
    <n v="-8"/>
    <n v="8"/>
    <n v="1614.0077338061899"/>
    <n v="1462.0815102261786"/>
    <n v="0.78005674914527467"/>
    <n v="96"/>
    <n v="76"/>
    <n v="0"/>
    <n v="20"/>
    <n v="1"/>
    <n v="0.51028289761536594"/>
    <n v="1"/>
    <n v="72.55"/>
    <n v="72.55"/>
    <n v="8.1425244173570643"/>
    <n v="1622.1502582235469"/>
    <n v="1"/>
    <n v="0"/>
    <n v="0"/>
    <n v="0"/>
    <n v="0"/>
    <n v="0"/>
    <n v="0"/>
    <n v="0"/>
    <n v="0"/>
    <n v="0"/>
  </r>
  <r>
    <d v="2004-07-21T00:00:00"/>
    <n v="2004"/>
    <x v="21"/>
    <s v="R"/>
    <s v="RS"/>
    <x v="0"/>
    <s v="PHX"/>
    <s v="A"/>
    <n v="2"/>
    <n v="2"/>
    <n v="0"/>
    <n v="0"/>
    <n v="0"/>
    <n v="0"/>
    <n v="1390.7024896420105"/>
    <n v="1446.3758939901036"/>
    <n v="0.30916524542097623"/>
    <n v="55"/>
    <n v="87"/>
    <n v="0"/>
    <n v="-32"/>
    <n v="0"/>
    <n v="0.69509527863318121"/>
    <n v="1"/>
    <n v="72.7"/>
    <n v="72.7"/>
    <n v="-15.623179285177144"/>
    <n v="1375.0793103568333"/>
    <n v="0"/>
    <n v="1"/>
    <n v="0"/>
    <n v="0"/>
    <n v="0"/>
    <n v="0"/>
    <n v="0"/>
    <n v="0"/>
    <n v="0"/>
    <n v="0"/>
  </r>
  <r>
    <d v="2004-07-21T00:00:00"/>
    <n v="2004"/>
    <x v="20"/>
    <s v="R"/>
    <s v="RS"/>
    <x v="3"/>
    <s v="SAS"/>
    <s v="H"/>
    <n v="2"/>
    <n v="2"/>
    <n v="0"/>
    <n v="0"/>
    <n v="0"/>
    <n v="0"/>
    <n v="1446.3758939901036"/>
    <n v="1390.7024896420105"/>
    <n v="0.69083475457902377"/>
    <n v="87"/>
    <n v="55"/>
    <n v="0"/>
    <n v="32"/>
    <n v="1"/>
    <n v="0.69509527863318121"/>
    <n v="1"/>
    <n v="72.849999999999994"/>
    <n v="72.849999999999994"/>
    <n v="15.655414180538582"/>
    <n v="1462.0313081706422"/>
    <n v="1"/>
    <n v="0"/>
    <n v="0"/>
    <n v="0"/>
    <n v="0"/>
    <n v="0"/>
    <n v="0"/>
    <n v="0"/>
    <n v="0"/>
    <n v="0"/>
  </r>
  <r>
    <d v="2004-07-22T00:00:00"/>
    <n v="2004"/>
    <x v="21"/>
    <s v="R"/>
    <s v="RS"/>
    <x v="4"/>
    <s v="CON"/>
    <s v="A"/>
    <n v="3"/>
    <n v="0"/>
    <n v="3"/>
    <n v="-3"/>
    <n v="16"/>
    <n v="-16"/>
    <n v="1511.1505762102699"/>
    <n v="1509.2094158743071"/>
    <n v="0.42845393729252801"/>
    <n v="68"/>
    <n v="52"/>
    <n v="0"/>
    <n v="16"/>
    <n v="1"/>
    <n v="0.5169497969121869"/>
    <n v="1"/>
    <n v="72.7"/>
    <n v="72.7"/>
    <n v="21.479987149796123"/>
    <n v="1532.6305633600662"/>
    <n v="1"/>
    <n v="0"/>
    <n v="0"/>
    <n v="0"/>
    <n v="0"/>
    <n v="0"/>
    <n v="0"/>
    <n v="0"/>
    <n v="0"/>
    <n v="0"/>
  </r>
  <r>
    <d v="2004-07-22T00:00:00"/>
    <n v="2004"/>
    <x v="23"/>
    <s v="R"/>
    <s v="RS"/>
    <x v="9"/>
    <s v="MIN"/>
    <s v="H"/>
    <n v="0"/>
    <n v="3"/>
    <n v="-3"/>
    <n v="3"/>
    <n v="-16"/>
    <n v="16"/>
    <n v="1509.2094158743071"/>
    <n v="1511.1505762102699"/>
    <n v="0.57154606270747199"/>
    <n v="52"/>
    <n v="68"/>
    <n v="0"/>
    <n v="-16"/>
    <n v="0"/>
    <n v="0.5169497969121869"/>
    <n v="1"/>
    <n v="72.400000000000006"/>
    <n v="72.400000000000006"/>
    <n v="-21.391348963483349"/>
    <n v="1487.8180669108237"/>
    <n v="0"/>
    <n v="1"/>
    <n v="0"/>
    <n v="0"/>
    <n v="0"/>
    <n v="0"/>
    <n v="0"/>
    <n v="0"/>
    <n v="0"/>
    <n v="0"/>
  </r>
  <r>
    <d v="2004-07-22T00:00:00"/>
    <n v="2004"/>
    <x v="21"/>
    <s v="R"/>
    <s v="RS"/>
    <x v="3"/>
    <s v="SAC"/>
    <s v="A"/>
    <n v="0"/>
    <n v="3"/>
    <n v="-3"/>
    <n v="3"/>
    <n v="-16"/>
    <n v="16"/>
    <n v="1462.0313081706422"/>
    <n v="1550.0745067865348"/>
    <n v="0.23603045749691309"/>
    <n v="71"/>
    <n v="69"/>
    <n v="0"/>
    <n v="2"/>
    <n v="1"/>
    <n v="0.24953323406931119"/>
    <n v="1"/>
    <n v="72.7"/>
    <n v="72.7"/>
    <n v="13.859221981799685"/>
    <n v="1475.8905301524419"/>
    <n v="1"/>
    <n v="0"/>
    <n v="0"/>
    <n v="0"/>
    <n v="0"/>
    <n v="0"/>
    <n v="0"/>
    <n v="0"/>
    <n v="0"/>
    <n v="0"/>
  </r>
  <r>
    <d v="2004-07-22T00:00:00"/>
    <n v="2004"/>
    <x v="21"/>
    <s v="R"/>
    <s v="RS"/>
    <x v="2"/>
    <s v="PHX"/>
    <s v="H"/>
    <n v="3"/>
    <n v="0"/>
    <n v="3"/>
    <n v="-3"/>
    <n v="16"/>
    <n v="-16"/>
    <n v="1550.0745067865348"/>
    <n v="1462.0313081706422"/>
    <n v="0.7639695425030868"/>
    <n v="69"/>
    <n v="71"/>
    <n v="0"/>
    <n v="-2"/>
    <n v="0"/>
    <n v="0.24953323406931119"/>
    <n v="1"/>
    <n v="72.7"/>
    <n v="72.7"/>
    <n v="-13.859221981799683"/>
    <n v="1536.2152848047351"/>
    <n v="0"/>
    <n v="1"/>
    <n v="0"/>
    <n v="0"/>
    <n v="0"/>
    <n v="0"/>
    <n v="0"/>
    <n v="0"/>
    <n v="0"/>
    <n v="0"/>
  </r>
  <r>
    <d v="2004-07-22T00:00:00"/>
    <n v="2004"/>
    <x v="22"/>
    <s v="R"/>
    <s v="RS"/>
    <x v="8"/>
    <s v="SEA"/>
    <s v="A"/>
    <n v="2"/>
    <n v="4"/>
    <n v="-2"/>
    <n v="2"/>
    <n v="-16"/>
    <n v="16"/>
    <n v="1505.2199847312963"/>
    <n v="1585.5103504834797"/>
    <n v="0.24417251063381862"/>
    <n v="54"/>
    <n v="59"/>
    <n v="0"/>
    <n v="-5"/>
    <n v="0"/>
    <n v="0.31095068837732398"/>
    <n v="1"/>
    <n v="72.55"/>
    <n v="72.55"/>
    <n v="-5.5084030246826083"/>
    <n v="1499.7115817066137"/>
    <n v="0"/>
    <n v="1"/>
    <n v="0"/>
    <n v="0"/>
    <n v="0"/>
    <n v="0"/>
    <n v="0"/>
    <n v="0"/>
    <n v="0"/>
    <n v="0"/>
  </r>
  <r>
    <d v="2004-07-22T00:00:00"/>
    <n v="2004"/>
    <x v="20"/>
    <s v="R"/>
    <s v="RS"/>
    <x v="5"/>
    <s v="IND"/>
    <s v="H"/>
    <n v="4"/>
    <n v="2"/>
    <n v="2"/>
    <n v="-2"/>
    <n v="16"/>
    <n v="-16"/>
    <n v="1585.5103504834797"/>
    <n v="1505.2199847312963"/>
    <n v="0.75582748936618138"/>
    <n v="59"/>
    <n v="54"/>
    <n v="0"/>
    <n v="5"/>
    <n v="1"/>
    <n v="0.31095068837732398"/>
    <n v="1"/>
    <n v="72.849999999999994"/>
    <n v="72.849999999999994"/>
    <n v="5.5311807077619308"/>
    <n v="1591.0415311912416"/>
    <n v="1"/>
    <n v="0"/>
    <n v="0"/>
    <n v="0"/>
    <n v="0"/>
    <n v="0"/>
    <n v="0"/>
    <n v="0"/>
    <n v="0"/>
    <n v="0"/>
  </r>
  <r>
    <d v="2004-07-23T00:00:00"/>
    <n v="2004"/>
    <x v="20"/>
    <s v="R"/>
    <s v="RS"/>
    <x v="6"/>
    <s v="DET"/>
    <s v="A"/>
    <n v="2"/>
    <n v="1"/>
    <n v="1"/>
    <n v="-1"/>
    <n v="8"/>
    <n v="-8"/>
    <n v="1463.2548580911464"/>
    <n v="1484.7810456411235"/>
    <n v="0.37393922608376678"/>
    <n v="53"/>
    <n v="63"/>
    <n v="0"/>
    <n v="-10"/>
    <n v="0"/>
    <n v="0.41567315082875916"/>
    <n v="1"/>
    <n v="72.849999999999994"/>
    <n v="72.849999999999994"/>
    <n v="-11.323548757254908"/>
    <n v="1451.9313093338915"/>
    <n v="0"/>
    <n v="1"/>
    <n v="0"/>
    <n v="0"/>
    <n v="0"/>
    <n v="0"/>
    <n v="0"/>
    <n v="0"/>
    <n v="0"/>
    <n v="0"/>
  </r>
  <r>
    <d v="2004-07-23T00:00:00"/>
    <n v="2004"/>
    <x v="22"/>
    <s v="R"/>
    <s v="RS"/>
    <x v="10"/>
    <s v="CHA"/>
    <s v="H"/>
    <n v="1"/>
    <n v="2"/>
    <n v="-1"/>
    <n v="1"/>
    <n v="-8"/>
    <n v="8"/>
    <n v="1484.7810456411235"/>
    <n v="1463.2548580911464"/>
    <n v="0.62606077391623327"/>
    <n v="63"/>
    <n v="53"/>
    <n v="0"/>
    <n v="10"/>
    <n v="1"/>
    <n v="0.41567315082875916"/>
    <n v="1"/>
    <n v="72.55"/>
    <n v="72.55"/>
    <n v="11.276917808357496"/>
    <n v="1496.0579634494809"/>
    <n v="1"/>
    <n v="0"/>
    <n v="0"/>
    <n v="0"/>
    <n v="0"/>
    <n v="0"/>
    <n v="0"/>
    <n v="0"/>
    <n v="0"/>
    <n v="0"/>
  </r>
  <r>
    <d v="2004-07-23T00:00:00"/>
    <n v="2004"/>
    <x v="22"/>
    <s v="R"/>
    <s v="RS"/>
    <x v="1"/>
    <s v="LAS"/>
    <s v="A"/>
    <n v="5"/>
    <n v="1"/>
    <n v="4"/>
    <n v="-4"/>
    <n v="16"/>
    <n v="-16"/>
    <n v="1510.496932768584"/>
    <n v="1622.1502582235469"/>
    <n v="0.28048355851042062"/>
    <n v="67"/>
    <n v="70"/>
    <n v="0"/>
    <n v="-3"/>
    <n v="0"/>
    <n v="0.26548190635484054"/>
    <n v="1"/>
    <n v="72.55"/>
    <n v="72.55"/>
    <n v="-5.4023131270445806"/>
    <n v="1505.0946196415393"/>
    <n v="0"/>
    <n v="1"/>
    <n v="0"/>
    <n v="0"/>
    <n v="0"/>
    <n v="0"/>
    <n v="0"/>
    <n v="0"/>
    <n v="0"/>
    <n v="0"/>
  </r>
  <r>
    <d v="2004-07-23T00:00:00"/>
    <n v="2004"/>
    <x v="23"/>
    <s v="R"/>
    <s v="RS"/>
    <x v="11"/>
    <s v="HOU"/>
    <s v="H"/>
    <n v="1"/>
    <n v="5"/>
    <n v="-4"/>
    <n v="4"/>
    <n v="-16"/>
    <n v="16"/>
    <n v="1622.1502582235469"/>
    <n v="1510.496932768584"/>
    <n v="0.71951644148957938"/>
    <n v="70"/>
    <n v="67"/>
    <n v="0"/>
    <n v="3"/>
    <n v="1"/>
    <n v="0.26548190635484054"/>
    <n v="1"/>
    <n v="72.400000000000006"/>
    <n v="72.400000000000006"/>
    <n v="5.3911436305724019"/>
    <n v="1627.5414018541194"/>
    <n v="1"/>
    <n v="0"/>
    <n v="0"/>
    <n v="0"/>
    <n v="0"/>
    <n v="0"/>
    <n v="0"/>
    <n v="0"/>
    <n v="0"/>
    <n v="0"/>
  </r>
  <r>
    <d v="2004-07-23T00:00:00"/>
    <n v="2004"/>
    <x v="22"/>
    <s v="R"/>
    <s v="RS"/>
    <x v="4"/>
    <s v="WAS"/>
    <s v="A"/>
    <n v="0"/>
    <n v="1"/>
    <n v="-1"/>
    <n v="1"/>
    <n v="-8"/>
    <n v="8"/>
    <n v="1532.6305633600662"/>
    <n v="1453.9053158250144"/>
    <n v="0.46942137932517974"/>
    <n v="61"/>
    <n v="65"/>
    <n v="0"/>
    <n v="-4"/>
    <n v="0"/>
    <n v="0.29225925006568781"/>
    <n v="1"/>
    <n v="72.55"/>
    <n v="72.55"/>
    <n v="-9.9533333077767097"/>
    <n v="1522.6772300522894"/>
    <n v="0"/>
    <n v="1"/>
    <n v="0"/>
    <n v="0"/>
    <n v="0"/>
    <n v="0"/>
    <n v="0"/>
    <n v="0"/>
    <n v="0"/>
    <n v="0"/>
  </r>
  <r>
    <d v="2004-07-23T00:00:00"/>
    <n v="2004"/>
    <x v="21"/>
    <s v="R"/>
    <s v="RS"/>
    <x v="12"/>
    <s v="MIN"/>
    <s v="H"/>
    <n v="1"/>
    <n v="0"/>
    <n v="1"/>
    <n v="-1"/>
    <n v="8"/>
    <n v="-8"/>
    <n v="1453.9053158250144"/>
    <n v="1532.6305633600662"/>
    <n v="0.5305786206748202"/>
    <n v="65"/>
    <n v="61"/>
    <n v="0"/>
    <n v="4"/>
    <n v="1"/>
    <n v="0.29225925006568781"/>
    <n v="1"/>
    <n v="72.7"/>
    <n v="72.7"/>
    <n v="9.9739122188196685"/>
    <n v="1463.879228043834"/>
    <n v="1"/>
    <n v="0"/>
    <n v="0"/>
    <n v="0"/>
    <n v="0"/>
    <n v="0"/>
    <n v="0"/>
    <n v="0"/>
    <n v="0"/>
    <n v="0"/>
  </r>
  <r>
    <d v="2004-07-24T00:00:00"/>
    <n v="2004"/>
    <x v="22"/>
    <s v="R"/>
    <s v="RS"/>
    <x v="12"/>
    <s v="CHA"/>
    <s v="A"/>
    <n v="0"/>
    <n v="0"/>
    <n v="0"/>
    <n v="0"/>
    <n v="0"/>
    <n v="0"/>
    <n v="1463.879228043834"/>
    <n v="1451.9313093338915"/>
    <n v="0.3977700868615065"/>
    <n v="41"/>
    <n v="70"/>
    <n v="0"/>
    <n v="-29"/>
    <n v="0"/>
    <n v="0.68454719151317522"/>
    <n v="1"/>
    <n v="72.55"/>
    <n v="72.55"/>
    <n v="-19.754813317393658"/>
    <n v="1444.1244147264404"/>
    <n v="0"/>
    <n v="1"/>
    <n v="0"/>
    <n v="0"/>
    <n v="0"/>
    <n v="0"/>
    <n v="0"/>
    <n v="0"/>
    <n v="0"/>
    <n v="0"/>
  </r>
  <r>
    <d v="2004-07-24T00:00:00"/>
    <n v="2004"/>
    <x v="21"/>
    <s v="R"/>
    <s v="RS"/>
    <x v="6"/>
    <s v="WAS"/>
    <s v="H"/>
    <n v="0"/>
    <n v="0"/>
    <n v="0"/>
    <n v="0"/>
    <n v="0"/>
    <n v="0"/>
    <n v="1451.9313093338915"/>
    <n v="1463.879228043834"/>
    <n v="0.6022299131384935"/>
    <n v="70"/>
    <n v="41"/>
    <n v="0"/>
    <n v="29"/>
    <n v="1"/>
    <n v="0.68454719151317522"/>
    <n v="1"/>
    <n v="72.7"/>
    <n v="72.7"/>
    <n v="19.795657176768014"/>
    <n v="1471.7269665106594"/>
    <n v="1"/>
    <n v="0"/>
    <n v="0"/>
    <n v="0"/>
    <n v="0"/>
    <n v="0"/>
    <n v="0"/>
    <n v="0"/>
    <n v="0"/>
    <n v="0"/>
  </r>
  <r>
    <d v="2004-07-24T00:00:00"/>
    <n v="2004"/>
    <x v="22"/>
    <s v="R"/>
    <s v="RS"/>
    <x v="0"/>
    <s v="CON"/>
    <s v="A"/>
    <n v="2"/>
    <n v="1"/>
    <n v="1"/>
    <n v="-1"/>
    <n v="8"/>
    <n v="-8"/>
    <n v="1375.0793103568333"/>
    <n v="1487.8180669108237"/>
    <n v="0.26106975053484521"/>
    <n v="55"/>
    <n v="69"/>
    <n v="0"/>
    <n v="-14"/>
    <n v="0"/>
    <n v="0.44573204022475754"/>
    <n v="1"/>
    <n v="72.55"/>
    <n v="72.55"/>
    <n v="-8.4424369172750584"/>
    <n v="1366.6368734395583"/>
    <n v="0"/>
    <n v="1"/>
    <n v="0"/>
    <n v="0"/>
    <n v="0"/>
    <n v="0"/>
    <n v="0"/>
    <n v="0"/>
    <n v="0"/>
    <n v="0"/>
  </r>
  <r>
    <d v="2004-07-24T00:00:00"/>
    <n v="2004"/>
    <x v="24"/>
    <s v="R"/>
    <s v="RS"/>
    <x v="9"/>
    <s v="SAS"/>
    <s v="H"/>
    <n v="1"/>
    <n v="2"/>
    <n v="-1"/>
    <n v="1"/>
    <n v="-8"/>
    <n v="8"/>
    <n v="1487.8180669108237"/>
    <n v="1375.0793103568333"/>
    <n v="0.73893024946515484"/>
    <n v="69"/>
    <n v="55"/>
    <n v="0"/>
    <n v="14"/>
    <n v="1"/>
    <n v="0.44573204022475754"/>
    <n v="1"/>
    <n v="72.25"/>
    <n v="72.25"/>
    <n v="8.4075267715109963"/>
    <n v="1496.2255936823346"/>
    <n v="1"/>
    <n v="0"/>
    <n v="0"/>
    <n v="0"/>
    <n v="0"/>
    <n v="0"/>
    <n v="0"/>
    <n v="0"/>
    <n v="0"/>
    <n v="0"/>
  </r>
  <r>
    <d v="2004-07-24T00:00:00"/>
    <n v="2004"/>
    <x v="23"/>
    <s v="R"/>
    <s v="RS"/>
    <x v="10"/>
    <s v="NYL"/>
    <s v="A"/>
    <n v="0"/>
    <n v="3"/>
    <n v="-3"/>
    <n v="3"/>
    <n v="-16"/>
    <n v="16"/>
    <n v="1496.0579634494809"/>
    <n v="1486.1663092460155"/>
    <n v="0.35187473588640461"/>
    <n v="69"/>
    <n v="78"/>
    <n v="0"/>
    <n v="-9"/>
    <n v="0"/>
    <n v="0.40265244485665791"/>
    <n v="1"/>
    <n v="72.400000000000006"/>
    <n v="72.400000000000006"/>
    <n v="-10.257865322607696"/>
    <n v="1485.8000981268733"/>
    <n v="0"/>
    <n v="1"/>
    <n v="0"/>
    <n v="0"/>
    <n v="0"/>
    <n v="0"/>
    <n v="0"/>
    <n v="0"/>
    <n v="0"/>
    <n v="0"/>
  </r>
  <r>
    <d v="2004-07-24T00:00:00"/>
    <n v="2004"/>
    <x v="22"/>
    <s v="R"/>
    <s v="RS"/>
    <x v="7"/>
    <s v="DET"/>
    <s v="H"/>
    <n v="3"/>
    <n v="0"/>
    <n v="3"/>
    <n v="-3"/>
    <n v="16"/>
    <n v="-16"/>
    <n v="1486.1663092460155"/>
    <n v="1496.0579634494809"/>
    <n v="0.64812526411359539"/>
    <n v="78"/>
    <n v="69"/>
    <n v="0"/>
    <n v="9"/>
    <n v="1"/>
    <n v="0.40265244485665791"/>
    <n v="1"/>
    <n v="72.55"/>
    <n v="72.55"/>
    <n v="10.279117806010889"/>
    <n v="1496.4454270520264"/>
    <n v="1"/>
    <n v="0"/>
    <n v="0"/>
    <n v="0"/>
    <n v="0"/>
    <n v="0"/>
    <n v="0"/>
    <n v="0"/>
    <n v="0"/>
    <n v="0"/>
  </r>
  <r>
    <d v="2004-07-24T00:00:00"/>
    <n v="2004"/>
    <x v="23"/>
    <s v="R"/>
    <s v="RS"/>
    <x v="8"/>
    <s v="PHX"/>
    <s v="A"/>
    <n v="1"/>
    <n v="1"/>
    <n v="0"/>
    <n v="0"/>
    <n v="0"/>
    <n v="0"/>
    <n v="1499.7115817066137"/>
    <n v="1475.8905301524419"/>
    <n v="0.41425134598083807"/>
    <n v="56"/>
    <n v="71"/>
    <n v="0"/>
    <n v="-15"/>
    <n v="0"/>
    <n v="0.49306034806985521"/>
    <n v="1"/>
    <n v="72.400000000000006"/>
    <n v="72.400000000000006"/>
    <n v="-14.787766089450786"/>
    <n v="1484.923815617163"/>
    <n v="0"/>
    <n v="1"/>
    <n v="0"/>
    <n v="0"/>
    <n v="0"/>
    <n v="0"/>
    <n v="0"/>
    <n v="0"/>
    <n v="0"/>
    <n v="0"/>
  </r>
  <r>
    <d v="2004-07-24T00:00:00"/>
    <n v="2004"/>
    <x v="22"/>
    <s v="R"/>
    <s v="RS"/>
    <x v="3"/>
    <s v="IND"/>
    <s v="H"/>
    <n v="1"/>
    <n v="1"/>
    <n v="0"/>
    <n v="0"/>
    <n v="0"/>
    <n v="0"/>
    <n v="1475.8905301524419"/>
    <n v="1499.7115817066137"/>
    <n v="0.58574865401916187"/>
    <n v="71"/>
    <n v="56"/>
    <n v="0"/>
    <n v="15"/>
    <n v="1"/>
    <n v="0.49306034806985521"/>
    <n v="1"/>
    <n v="72.55"/>
    <n v="72.55"/>
    <n v="14.818403726376445"/>
    <n v="1490.7089338788182"/>
    <n v="1"/>
    <n v="0"/>
    <n v="0"/>
    <n v="0"/>
    <n v="0"/>
    <n v="0"/>
    <n v="0"/>
    <n v="0"/>
    <n v="0"/>
    <n v="0"/>
  </r>
  <r>
    <d v="2004-07-24T00:00:00"/>
    <n v="2004"/>
    <x v="23"/>
    <s v="R"/>
    <s v="RS"/>
    <x v="1"/>
    <s v="SEA"/>
    <s v="A"/>
    <n v="0"/>
    <n v="1"/>
    <n v="-1"/>
    <n v="1"/>
    <n v="-8"/>
    <n v="8"/>
    <n v="1505.0946196415393"/>
    <n v="1591.0415311912416"/>
    <n v="0.25532769450811621"/>
    <n v="63"/>
    <n v="67"/>
    <n v="0"/>
    <n v="-4"/>
    <n v="0"/>
    <n v="0.2906179707172234"/>
    <n v="1"/>
    <n v="72.400000000000006"/>
    <n v="72.400000000000006"/>
    <n v="-5.3722839106799656"/>
    <n v="1499.7223357308594"/>
    <n v="0"/>
    <n v="1"/>
    <n v="0"/>
    <n v="0"/>
    <n v="0"/>
    <n v="0"/>
    <n v="0"/>
    <n v="0"/>
    <n v="0"/>
    <n v="0"/>
  </r>
  <r>
    <d v="2004-07-24T00:00:00"/>
    <n v="2004"/>
    <x v="21"/>
    <s v="R"/>
    <s v="RS"/>
    <x v="5"/>
    <s v="HOU"/>
    <s v="H"/>
    <n v="1"/>
    <n v="0"/>
    <n v="1"/>
    <n v="-1"/>
    <n v="8"/>
    <n v="-8"/>
    <n v="1591.0415311912416"/>
    <n v="1505.0946196415393"/>
    <n v="0.7446723054918839"/>
    <n v="67"/>
    <n v="63"/>
    <n v="0"/>
    <n v="4"/>
    <n v="1"/>
    <n v="0.2906179707172234"/>
    <n v="1"/>
    <n v="72.7"/>
    <n v="72.7"/>
    <n v="5.3945447556137207"/>
    <n v="1596.4360759468552"/>
    <n v="1"/>
    <n v="0"/>
    <n v="0"/>
    <n v="0"/>
    <n v="0"/>
    <n v="0"/>
    <n v="0"/>
    <n v="0"/>
    <n v="0"/>
    <n v="0"/>
  </r>
  <r>
    <d v="2004-07-25T00:00:00"/>
    <n v="2004"/>
    <x v="24"/>
    <s v="R"/>
    <s v="RS"/>
    <x v="8"/>
    <s v="SAC"/>
    <s v="A"/>
    <n v="0"/>
    <n v="2"/>
    <n v="-2"/>
    <n v="2"/>
    <n v="-16"/>
    <n v="16"/>
    <n v="1484.923815617163"/>
    <n v="1536.2152848047351"/>
    <n v="0.2762765259311733"/>
    <n v="62"/>
    <n v="71"/>
    <n v="0"/>
    <n v="-9"/>
    <n v="0"/>
    <n v="0.38933041946893021"/>
    <n v="1"/>
    <n v="72.25"/>
    <n v="72.25"/>
    <n v="-7.7714163265071283"/>
    <n v="1477.1523992906559"/>
    <n v="0"/>
    <n v="1"/>
    <n v="0"/>
    <n v="0"/>
    <n v="0"/>
    <n v="0"/>
    <n v="0"/>
    <n v="0"/>
    <n v="0"/>
    <n v="0"/>
  </r>
  <r>
    <d v="2004-07-25T00:00:00"/>
    <n v="2004"/>
    <x v="22"/>
    <s v="R"/>
    <s v="RS"/>
    <x v="2"/>
    <s v="IND"/>
    <s v="H"/>
    <n v="2"/>
    <n v="0"/>
    <n v="2"/>
    <n v="-2"/>
    <n v="16"/>
    <n v="-16"/>
    <n v="1536.2152848047351"/>
    <n v="1484.923815617163"/>
    <n v="0.72372347406882664"/>
    <n v="71"/>
    <n v="62"/>
    <n v="0"/>
    <n v="9"/>
    <n v="1"/>
    <n v="0.38933041946893021"/>
    <n v="1"/>
    <n v="72.55"/>
    <n v="72.55"/>
    <n v="7.8036851832261904"/>
    <n v="1544.0189699879613"/>
    <n v="1"/>
    <n v="0"/>
    <n v="0"/>
    <n v="0"/>
    <n v="0"/>
    <n v="0"/>
    <n v="0"/>
    <n v="0"/>
    <n v="0"/>
    <n v="0"/>
  </r>
  <r>
    <d v="2004-07-27T00:00:00"/>
    <n v="2004"/>
    <x v="22"/>
    <s v="R"/>
    <s v="RS"/>
    <x v="5"/>
    <s v="HOU"/>
    <s v="A"/>
    <n v="2"/>
    <n v="2"/>
    <n v="0"/>
    <n v="0"/>
    <n v="0"/>
    <n v="0"/>
    <n v="1596.4360759468552"/>
    <n v="1499.7223357308594"/>
    <n v="0.51828838062192284"/>
    <n v="55"/>
    <n v="80"/>
    <n v="0"/>
    <n v="-25"/>
    <n v="0"/>
    <n v="0.59351081908364145"/>
    <n v="1"/>
    <n v="72.55"/>
    <n v="72.55"/>
    <n v="-22.31708818263796"/>
    <n v="1574.1189877642173"/>
    <n v="0"/>
    <n v="1"/>
    <n v="0"/>
    <n v="0"/>
    <n v="0"/>
    <n v="0"/>
    <n v="0"/>
    <n v="0"/>
    <n v="0"/>
    <n v="0"/>
  </r>
  <r>
    <d v="2004-07-27T00:00:00"/>
    <n v="2004"/>
    <x v="24"/>
    <s v="R"/>
    <s v="RS"/>
    <x v="1"/>
    <s v="SEA"/>
    <s v="H"/>
    <n v="2"/>
    <n v="2"/>
    <n v="0"/>
    <n v="0"/>
    <n v="0"/>
    <n v="0"/>
    <n v="1499.7223357308594"/>
    <n v="1596.4360759468552"/>
    <n v="0.48171161937807722"/>
    <n v="80"/>
    <n v="55"/>
    <n v="0"/>
    <n v="25"/>
    <n v="1"/>
    <n v="0.59351081908364145"/>
    <n v="1"/>
    <n v="72.25"/>
    <n v="72.25"/>
    <n v="22.224805254246622"/>
    <n v="1521.947140985106"/>
    <n v="1"/>
    <n v="0"/>
    <n v="0"/>
    <n v="0"/>
    <n v="0"/>
    <n v="0"/>
    <n v="0"/>
    <n v="0"/>
    <n v="0"/>
    <n v="0"/>
  </r>
  <r>
    <d v="2004-07-28T00:00:00"/>
    <n v="2004"/>
    <x v="22"/>
    <s v="R"/>
    <s v="RS"/>
    <x v="6"/>
    <s v="IND"/>
    <s v="A"/>
    <n v="3"/>
    <n v="2"/>
    <n v="1"/>
    <n v="-1"/>
    <n v="8"/>
    <n v="-8"/>
    <n v="1471.7269665106594"/>
    <n v="1477.1523992906559"/>
    <n v="0.39587783591300407"/>
    <n v="63"/>
    <n v="53"/>
    <n v="0"/>
    <n v="10"/>
    <n v="1"/>
    <n v="0.42122525822915152"/>
    <n v="1"/>
    <n v="72.55"/>
    <n v="72.55"/>
    <n v="18.461908382017128"/>
    <n v="1490.1888748926765"/>
    <n v="1"/>
    <n v="0"/>
    <n v="0"/>
    <n v="0"/>
    <n v="0"/>
    <n v="0"/>
    <n v="0"/>
    <n v="0"/>
    <n v="0"/>
    <n v="0"/>
  </r>
  <r>
    <d v="2004-07-28T00:00:00"/>
    <n v="2004"/>
    <x v="25"/>
    <s v="R"/>
    <s v="RS"/>
    <x v="8"/>
    <s v="CHA"/>
    <s v="H"/>
    <n v="2"/>
    <n v="3"/>
    <n v="-1"/>
    <n v="1"/>
    <n v="-8"/>
    <n v="8"/>
    <n v="1477.1523992906559"/>
    <n v="1471.7269665106594"/>
    <n v="0.60412216408699593"/>
    <n v="53"/>
    <n v="63"/>
    <n v="0"/>
    <n v="-10"/>
    <n v="0"/>
    <n v="0.42122525822915152"/>
    <n v="1"/>
    <n v="72.099999999999994"/>
    <n v="72.099999999999994"/>
    <n v="-18.347396200460853"/>
    <n v="1458.805003090195"/>
    <n v="0"/>
    <n v="1"/>
    <n v="0"/>
    <n v="0"/>
    <n v="0"/>
    <n v="0"/>
    <n v="0"/>
    <n v="0"/>
    <n v="0"/>
    <n v="0"/>
  </r>
  <r>
    <d v="2004-07-28T00:00:00"/>
    <n v="2004"/>
    <x v="23"/>
    <s v="R"/>
    <s v="RS"/>
    <x v="0"/>
    <s v="MIN"/>
    <s v="A"/>
    <n v="3"/>
    <n v="4"/>
    <n v="-1"/>
    <n v="1"/>
    <n v="-8"/>
    <n v="8"/>
    <n v="1366.6368734395583"/>
    <n v="1522.6772300522894"/>
    <n v="0.18635256265508635"/>
    <n v="53"/>
    <n v="66"/>
    <n v="0"/>
    <n v="-13"/>
    <n v="0"/>
    <n v="0.41772540471574854"/>
    <n v="1"/>
    <n v="72.400000000000006"/>
    <n v="72.400000000000006"/>
    <n v="-5.6359200550156894"/>
    <n v="1361.0009533845425"/>
    <n v="0"/>
    <n v="1"/>
    <n v="0"/>
    <n v="0"/>
    <n v="0"/>
    <n v="0"/>
    <n v="0"/>
    <n v="0"/>
    <n v="0"/>
    <n v="0"/>
  </r>
  <r>
    <d v="2004-07-28T00:00:00"/>
    <n v="2004"/>
    <x v="23"/>
    <s v="R"/>
    <s v="RS"/>
    <x v="4"/>
    <s v="SAS"/>
    <s v="H"/>
    <n v="4"/>
    <n v="3"/>
    <n v="1"/>
    <n v="-1"/>
    <n v="8"/>
    <n v="-8"/>
    <n v="1522.6772300522894"/>
    <n v="1366.6368734395583"/>
    <n v="0.81364743734491363"/>
    <n v="66"/>
    <n v="53"/>
    <n v="0"/>
    <n v="13"/>
    <n v="1"/>
    <n v="0.41772540471574854"/>
    <n v="1"/>
    <n v="72.400000000000006"/>
    <n v="72.400000000000006"/>
    <n v="5.6359200550156903"/>
    <n v="1528.3131501073051"/>
    <n v="1"/>
    <n v="0"/>
    <n v="0"/>
    <n v="0"/>
    <n v="0"/>
    <n v="0"/>
    <n v="0"/>
    <n v="0"/>
    <n v="0"/>
    <n v="0"/>
  </r>
  <r>
    <d v="2004-07-28T00:00:00"/>
    <n v="2004"/>
    <x v="24"/>
    <s v="R"/>
    <s v="RS"/>
    <x v="10"/>
    <s v="WAS"/>
    <s v="A"/>
    <n v="3"/>
    <n v="3"/>
    <n v="0"/>
    <n v="0"/>
    <n v="0"/>
    <n v="0"/>
    <n v="1485.8000981268733"/>
    <n v="1444.1244147264404"/>
    <n v="0.43938993202233412"/>
    <n v="73"/>
    <n v="65"/>
    <n v="0"/>
    <n v="8"/>
    <n v="1"/>
    <n v="0.3752820871288105"/>
    <n v="1"/>
    <n v="72.25"/>
    <n v="72.25"/>
    <n v="15.200454708171982"/>
    <n v="1501.0005528350453"/>
    <n v="1"/>
    <n v="0"/>
    <n v="0"/>
    <n v="0"/>
    <n v="0"/>
    <n v="0"/>
    <n v="0"/>
    <n v="0"/>
    <n v="0"/>
    <n v="0"/>
  </r>
  <r>
    <d v="2004-07-28T00:00:00"/>
    <n v="2004"/>
    <x v="23"/>
    <s v="R"/>
    <s v="RS"/>
    <x v="12"/>
    <s v="DET"/>
    <s v="H"/>
    <n v="3"/>
    <n v="3"/>
    <n v="0"/>
    <n v="0"/>
    <n v="0"/>
    <n v="0"/>
    <n v="1444.1244147264404"/>
    <n v="1485.8000981268733"/>
    <n v="0.56061006797766588"/>
    <n v="65"/>
    <n v="73"/>
    <n v="0"/>
    <n v="-8"/>
    <n v="0"/>
    <n v="0.3752820871288105"/>
    <n v="1"/>
    <n v="72.400000000000006"/>
    <n v="72.400000000000006"/>
    <n v="-15.232012745628394"/>
    <n v="1428.8924019808119"/>
    <n v="0"/>
    <n v="1"/>
    <n v="0"/>
    <n v="0"/>
    <n v="0"/>
    <n v="0"/>
    <n v="0"/>
    <n v="0"/>
    <n v="0"/>
    <n v="0"/>
  </r>
  <r>
    <d v="2004-07-29T00:00:00"/>
    <n v="2004"/>
    <x v="24"/>
    <s v="R"/>
    <s v="RS"/>
    <x v="11"/>
    <s v="SAC"/>
    <s v="A"/>
    <n v="5"/>
    <n v="3"/>
    <n v="2"/>
    <n v="-2"/>
    <n v="16"/>
    <n v="-16"/>
    <n v="1627.5414018541194"/>
    <n v="1544.0189699879613"/>
    <n v="0.54524035874708043"/>
    <n v="85"/>
    <n v="80"/>
    <n v="1"/>
    <n v="5"/>
    <n v="1"/>
    <n v="0.27915090893830957"/>
    <n v="1"/>
    <n v="72.25"/>
    <n v="72.25"/>
    <n v="9.1718894805043227"/>
    <n v="1636.7132913346238"/>
    <n v="1"/>
    <n v="0"/>
    <n v="0"/>
    <n v="0"/>
    <n v="0"/>
    <n v="0"/>
    <n v="0"/>
    <n v="0"/>
    <n v="0"/>
    <n v="0"/>
  </r>
  <r>
    <d v="2004-07-29T00:00:00"/>
    <n v="2004"/>
    <x v="23"/>
    <s v="R"/>
    <s v="RS"/>
    <x v="2"/>
    <s v="LAS"/>
    <s v="H"/>
    <n v="3"/>
    <n v="5"/>
    <n v="-2"/>
    <n v="2"/>
    <n v="-16"/>
    <n v="16"/>
    <n v="1544.0189699879613"/>
    <n v="1627.5414018541194"/>
    <n v="0.45475964125291951"/>
    <n v="80"/>
    <n v="85"/>
    <n v="1"/>
    <n v="-5"/>
    <n v="0"/>
    <n v="0.27915090893830957"/>
    <n v="1"/>
    <n v="72.400000000000006"/>
    <n v="72.400000000000006"/>
    <n v="-9.1909314655849546"/>
    <n v="1534.8280385223763"/>
    <n v="0"/>
    <n v="1"/>
    <n v="0"/>
    <n v="0"/>
    <n v="0"/>
    <n v="0"/>
    <n v="0"/>
    <n v="0"/>
    <n v="0"/>
    <n v="0"/>
  </r>
  <r>
    <d v="2004-07-30T00:00:00"/>
    <n v="2004"/>
    <x v="23"/>
    <s v="R"/>
    <s v="RS"/>
    <x v="7"/>
    <s v="DET"/>
    <s v="A"/>
    <n v="5"/>
    <n v="1"/>
    <n v="4"/>
    <n v="-4"/>
    <n v="16"/>
    <n v="-16"/>
    <n v="1496.4454270520264"/>
    <n v="1501.0005528350453"/>
    <n v="0.41932194917088583"/>
    <n v="79"/>
    <n v="88"/>
    <n v="0"/>
    <n v="-9"/>
    <n v="0"/>
    <n v="0.40443631192056079"/>
    <n v="1"/>
    <n v="72.400000000000006"/>
    <n v="72.400000000000006"/>
    <n v="-12.278245238413009"/>
    <n v="1484.1671818136133"/>
    <n v="0"/>
    <n v="1"/>
    <n v="0"/>
    <n v="0"/>
    <n v="0"/>
    <n v="0"/>
    <n v="0"/>
    <n v="0"/>
    <n v="0"/>
    <n v="0"/>
  </r>
  <r>
    <d v="2004-07-30T00:00:00"/>
    <n v="2004"/>
    <x v="25"/>
    <s v="R"/>
    <s v="RS"/>
    <x v="10"/>
    <s v="NYL"/>
    <s v="H"/>
    <n v="1"/>
    <n v="5"/>
    <n v="-4"/>
    <n v="4"/>
    <n v="-16"/>
    <n v="16"/>
    <n v="1501.0005528350453"/>
    <n v="1496.4454270520264"/>
    <n v="0.58067805082911417"/>
    <n v="88"/>
    <n v="79"/>
    <n v="0"/>
    <n v="9"/>
    <n v="1"/>
    <n v="0.40443631192056079"/>
    <n v="1"/>
    <n v="72.099999999999994"/>
    <n v="72.099999999999994"/>
    <n v="12.227368531624002"/>
    <n v="1513.2279213666693"/>
    <n v="1"/>
    <n v="0"/>
    <n v="0"/>
    <n v="0"/>
    <n v="0"/>
    <n v="0"/>
    <n v="0"/>
    <n v="0"/>
    <n v="0"/>
    <n v="0"/>
  </r>
  <r>
    <d v="2004-07-30T00:00:00"/>
    <n v="2004"/>
    <x v="23"/>
    <s v="R"/>
    <s v="RS"/>
    <x v="5"/>
    <s v="MIN"/>
    <s v="A"/>
    <n v="2"/>
    <n v="1"/>
    <n v="1"/>
    <n v="-1"/>
    <n v="8"/>
    <n v="-8"/>
    <n v="1574.1189877642173"/>
    <n v="1528.3131501073051"/>
    <n v="0.4681034073343428"/>
    <n v="70"/>
    <n v="55"/>
    <n v="0"/>
    <n v="15"/>
    <n v="1"/>
    <n v="0.48435929212646212"/>
    <n v="1"/>
    <n v="72.400000000000006"/>
    <n v="72.400000000000006"/>
    <n v="18.652343734620278"/>
    <n v="1592.7713314988375"/>
    <n v="1"/>
    <n v="0"/>
    <n v="0"/>
    <n v="0"/>
    <n v="0"/>
    <n v="0"/>
    <n v="0"/>
    <n v="0"/>
    <n v="0"/>
    <n v="0"/>
  </r>
  <r>
    <d v="2004-07-30T00:00:00"/>
    <n v="2004"/>
    <x v="24"/>
    <s v="R"/>
    <s v="RS"/>
    <x v="4"/>
    <s v="SEA"/>
    <s v="H"/>
    <n v="1"/>
    <n v="2"/>
    <n v="-1"/>
    <n v="1"/>
    <n v="-8"/>
    <n v="8"/>
    <n v="1528.3131501073051"/>
    <n v="1574.1189877642173"/>
    <n v="0.53189659266565714"/>
    <n v="55"/>
    <n v="70"/>
    <n v="0"/>
    <n v="-15"/>
    <n v="0"/>
    <n v="0.48435929212646212"/>
    <n v="1"/>
    <n v="72.25"/>
    <n v="72.25"/>
    <n v="-18.613699376054075"/>
    <n v="1509.6994507312511"/>
    <n v="0"/>
    <n v="1"/>
    <n v="0"/>
    <n v="0"/>
    <n v="0"/>
    <n v="0"/>
    <n v="0"/>
    <n v="0"/>
    <n v="0"/>
    <n v="0"/>
  </r>
  <r>
    <d v="2004-07-30T00:00:00"/>
    <n v="2004"/>
    <x v="23"/>
    <s v="R"/>
    <s v="RS"/>
    <x v="3"/>
    <s v="SAS"/>
    <s v="A"/>
    <n v="5"/>
    <n v="1"/>
    <n v="4"/>
    <n v="-4"/>
    <n v="16"/>
    <n v="-16"/>
    <n v="1490.7089338788182"/>
    <n v="1361.0009533845425"/>
    <n v="0.61000258732315449"/>
    <n v="68"/>
    <n v="59"/>
    <n v="0"/>
    <n v="9"/>
    <n v="1"/>
    <n v="0.36637054129403906"/>
    <n v="1"/>
    <n v="72.400000000000006"/>
    <n v="72.400000000000006"/>
    <n v="10.344769974644002"/>
    <n v="1501.0537038534621"/>
    <n v="1"/>
    <n v="0"/>
    <n v="0"/>
    <n v="0"/>
    <n v="0"/>
    <n v="0"/>
    <n v="0"/>
    <n v="0"/>
    <n v="0"/>
    <n v="0"/>
  </r>
  <r>
    <d v="2004-07-30T00:00:00"/>
    <n v="2004"/>
    <x v="24"/>
    <s v="R"/>
    <s v="RS"/>
    <x v="0"/>
    <s v="PHX"/>
    <s v="H"/>
    <n v="1"/>
    <n v="5"/>
    <n v="-4"/>
    <n v="4"/>
    <n v="-16"/>
    <n v="16"/>
    <n v="1361.0009533845425"/>
    <n v="1490.7089338788182"/>
    <n v="0.38999741267684551"/>
    <n v="59"/>
    <n v="68"/>
    <n v="0"/>
    <n v="-9"/>
    <n v="0"/>
    <n v="0.36637054129403906"/>
    <n v="1"/>
    <n v="72.25"/>
    <n v="72.25"/>
    <n v="-10.323337440166148"/>
    <n v="1350.6776159443764"/>
    <n v="0"/>
    <n v="1"/>
    <n v="0"/>
    <n v="0"/>
    <n v="0"/>
    <n v="0"/>
    <n v="0"/>
    <n v="0"/>
    <n v="0"/>
    <n v="0"/>
  </r>
  <r>
    <d v="2004-07-30T00:00:00"/>
    <n v="2004"/>
    <x v="25"/>
    <s v="R"/>
    <s v="RS"/>
    <x v="9"/>
    <s v="WAS"/>
    <s v="A"/>
    <n v="5"/>
    <n v="1"/>
    <n v="4"/>
    <n v="-4"/>
    <n v="16"/>
    <n v="-16"/>
    <n v="1496.2255936823346"/>
    <n v="1428.8924019808119"/>
    <n v="0.52205192184813987"/>
    <n v="68"/>
    <n v="69"/>
    <n v="0"/>
    <n v="-1"/>
    <n v="0"/>
    <n v="0.23120644758380318"/>
    <n v="1"/>
    <n v="72.099999999999994"/>
    <n v="72.099999999999994"/>
    <n v="-8.7025976389764885"/>
    <n v="1487.5229960433583"/>
    <n v="0"/>
    <n v="1"/>
    <n v="0"/>
    <n v="0"/>
    <n v="0"/>
    <n v="0"/>
    <n v="0"/>
    <n v="0"/>
    <n v="0"/>
    <n v="0"/>
  </r>
  <r>
    <d v="2004-07-30T00:00:00"/>
    <n v="2004"/>
    <x v="24"/>
    <s v="R"/>
    <s v="RS"/>
    <x v="12"/>
    <s v="CON"/>
    <s v="H"/>
    <n v="1"/>
    <n v="5"/>
    <n v="-4"/>
    <n v="4"/>
    <n v="-16"/>
    <n v="16"/>
    <n v="1428.8924019808119"/>
    <n v="1496.2255936823346"/>
    <n v="0.47794807815186019"/>
    <n v="69"/>
    <n v="68"/>
    <n v="0"/>
    <n v="1"/>
    <n v="1"/>
    <n v="0.23120644758380318"/>
    <n v="1"/>
    <n v="72.25"/>
    <n v="72.25"/>
    <n v="8.7207029045222093"/>
    <n v="1437.613104885334"/>
    <n v="1"/>
    <n v="0"/>
    <n v="0"/>
    <n v="0"/>
    <n v="0"/>
    <n v="0"/>
    <n v="0"/>
    <n v="0"/>
    <n v="0"/>
    <n v="0"/>
  </r>
  <r>
    <d v="2004-07-31T00:00:00"/>
    <n v="2004"/>
    <x v="26"/>
    <s v="R"/>
    <s v="RS"/>
    <x v="8"/>
    <s v="HOU"/>
    <s v="A"/>
    <n v="2"/>
    <n v="3"/>
    <n v="-1"/>
    <n v="1"/>
    <n v="-8"/>
    <n v="8"/>
    <n v="1458.805003090195"/>
    <n v="1521.947140985106"/>
    <n v="0.28107780197925264"/>
    <n v="54"/>
    <n v="62"/>
    <n v="0"/>
    <n v="-8"/>
    <n v="0"/>
    <n v="0.36890436002727539"/>
    <n v="1"/>
    <n v="71.95"/>
    <n v="71.95"/>
    <n v="-7.4605549779732687"/>
    <n v="1451.3444481122217"/>
    <n v="0"/>
    <n v="1"/>
    <n v="0"/>
    <n v="0"/>
    <n v="0"/>
    <n v="0"/>
    <n v="0"/>
    <n v="0"/>
    <n v="0"/>
    <n v="0"/>
  </r>
  <r>
    <d v="2004-07-31T00:00:00"/>
    <n v="2004"/>
    <x v="25"/>
    <s v="R"/>
    <s v="RS"/>
    <x v="1"/>
    <s v="IND"/>
    <s v="H"/>
    <n v="3"/>
    <n v="2"/>
    <n v="1"/>
    <n v="-1"/>
    <n v="8"/>
    <n v="-8"/>
    <n v="1521.947140985106"/>
    <n v="1458.805003090195"/>
    <n v="0.71892219802074731"/>
    <n v="62"/>
    <n v="54"/>
    <n v="0"/>
    <n v="8"/>
    <n v="1"/>
    <n v="0.36890436002727539"/>
    <n v="1"/>
    <n v="72.099999999999994"/>
    <n v="72.099999999999994"/>
    <n v="7.4761086019718226"/>
    <n v="1529.4232495870779"/>
    <n v="1"/>
    <n v="0"/>
    <n v="0"/>
    <n v="0"/>
    <n v="0"/>
    <n v="0"/>
    <n v="0"/>
    <n v="0"/>
    <n v="0"/>
    <n v="0"/>
  </r>
  <r>
    <d v="2004-07-31T00:00:00"/>
    <n v="2004"/>
    <x v="26"/>
    <s v="R"/>
    <s v="RS"/>
    <x v="9"/>
    <s v="NYL"/>
    <s v="A"/>
    <n v="0"/>
    <n v="0"/>
    <n v="0"/>
    <n v="0"/>
    <n v="0"/>
    <n v="0"/>
    <n v="1487.5229960433583"/>
    <n v="1484.1671818136133"/>
    <n v="0.38598395701594457"/>
    <n v="66"/>
    <n v="80"/>
    <n v="0"/>
    <n v="-14"/>
    <n v="0"/>
    <n v="0.48624830438489774"/>
    <n v="1"/>
    <n v="71.95"/>
    <n v="71.95"/>
    <n v="-13.503867010320954"/>
    <n v="1474.0191290330374"/>
    <n v="0"/>
    <n v="1"/>
    <n v="0"/>
    <n v="0"/>
    <n v="0"/>
    <n v="0"/>
    <n v="0"/>
    <n v="0"/>
    <n v="0"/>
    <n v="0"/>
  </r>
  <r>
    <d v="2004-07-31T00:00:00"/>
    <n v="2004"/>
    <x v="24"/>
    <s v="R"/>
    <s v="RS"/>
    <x v="7"/>
    <s v="CON"/>
    <s v="H"/>
    <n v="0"/>
    <n v="0"/>
    <n v="0"/>
    <n v="0"/>
    <n v="0"/>
    <n v="0"/>
    <n v="1484.1671818136133"/>
    <n v="1487.5229960433583"/>
    <n v="0.61401604298405543"/>
    <n v="80"/>
    <n v="66"/>
    <n v="0"/>
    <n v="14"/>
    <n v="1"/>
    <n v="0.48624830438489774"/>
    <n v="1"/>
    <n v="72.25"/>
    <n v="72.25"/>
    <n v="13.560172223706587"/>
    <n v="1497.7273540373199"/>
    <n v="1"/>
    <n v="0"/>
    <n v="0"/>
    <n v="0"/>
    <n v="0"/>
    <n v="0"/>
    <n v="0"/>
    <n v="0"/>
    <n v="0"/>
    <n v="0"/>
  </r>
  <r>
    <d v="2004-07-31T00:00:00"/>
    <n v="2004"/>
    <x v="23"/>
    <s v="R"/>
    <s v="RS"/>
    <x v="6"/>
    <s v="SAC"/>
    <s v="A"/>
    <n v="2"/>
    <n v="1"/>
    <n v="1"/>
    <n v="-1"/>
    <n v="8"/>
    <n v="-8"/>
    <n v="1490.1888748926765"/>
    <n v="1534.8280385223763"/>
    <n v="0.3433494745214235"/>
    <n v="61"/>
    <n v="62"/>
    <n v="0"/>
    <n v="-1"/>
    <n v="0"/>
    <n v="0.23542213174767893"/>
    <n v="1"/>
    <n v="72.400000000000006"/>
    <n v="72.400000000000006"/>
    <n v="-5.8522415223825925"/>
    <n v="1484.3366333702938"/>
    <n v="0"/>
    <n v="1"/>
    <n v="0"/>
    <n v="0"/>
    <n v="0"/>
    <n v="0"/>
    <n v="0"/>
    <n v="0"/>
    <n v="0"/>
    <n v="0"/>
  </r>
  <r>
    <d v="2004-07-31T00:00:00"/>
    <n v="2004"/>
    <x v="24"/>
    <s v="R"/>
    <s v="RS"/>
    <x v="2"/>
    <s v="CHA"/>
    <s v="H"/>
    <n v="1"/>
    <n v="2"/>
    <n v="-1"/>
    <n v="1"/>
    <n v="-8"/>
    <n v="8"/>
    <n v="1534.8280385223763"/>
    <n v="1490.1888748926765"/>
    <n v="0.6566505254785765"/>
    <n v="62"/>
    <n v="61"/>
    <n v="0"/>
    <n v="1"/>
    <n v="1"/>
    <n v="0.23542213174767893"/>
    <n v="1"/>
    <n v="72.25"/>
    <n v="72.25"/>
    <n v="5.8401167125986504"/>
    <n v="1540.6681552349751"/>
    <n v="1"/>
    <n v="0"/>
    <n v="0"/>
    <n v="0"/>
    <n v="0"/>
    <n v="0"/>
    <n v="0"/>
    <n v="0"/>
    <n v="0"/>
    <n v="0"/>
  </r>
  <r>
    <d v="2004-07-31T00:00:00"/>
    <n v="2004"/>
    <x v="25"/>
    <s v="R"/>
    <s v="RS"/>
    <x v="11"/>
    <s v="SAS"/>
    <s v="A"/>
    <n v="1"/>
    <n v="0"/>
    <n v="1"/>
    <n v="-1"/>
    <n v="8"/>
    <n v="-8"/>
    <n v="1636.7132913346238"/>
    <n v="1350.6776159443764"/>
    <n v="0.77818390489664224"/>
    <n v="79"/>
    <n v="67"/>
    <n v="0"/>
    <n v="12"/>
    <n v="1"/>
    <n v="0.36833256479398319"/>
    <n v="1"/>
    <n v="72.099999999999994"/>
    <n v="72.099999999999994"/>
    <n v="5.8907207771066226"/>
    <n v="1642.6040121117305"/>
    <n v="1"/>
    <n v="0"/>
    <n v="0"/>
    <n v="0"/>
    <n v="0"/>
    <n v="0"/>
    <n v="0"/>
    <n v="0"/>
    <n v="0"/>
    <n v="0"/>
  </r>
  <r>
    <d v="2004-07-31T00:00:00"/>
    <n v="2004"/>
    <x v="25"/>
    <s v="R"/>
    <s v="RS"/>
    <x v="0"/>
    <s v="LAS"/>
    <s v="H"/>
    <n v="0"/>
    <n v="1"/>
    <n v="-1"/>
    <n v="1"/>
    <n v="-8"/>
    <n v="8"/>
    <n v="1350.6776159443764"/>
    <n v="1636.7132913346238"/>
    <n v="0.22181609510335779"/>
    <n v="67"/>
    <n v="79"/>
    <n v="0"/>
    <n v="-12"/>
    <n v="0"/>
    <n v="0.36833256479398319"/>
    <n v="1"/>
    <n v="72.099999999999994"/>
    <n v="72.099999999999994"/>
    <n v="-5.8907207771066226"/>
    <n v="1344.7868951672697"/>
    <n v="0"/>
    <n v="1"/>
    <n v="0"/>
    <n v="0"/>
    <n v="0"/>
    <n v="0"/>
    <n v="0"/>
    <n v="0"/>
    <n v="0"/>
    <n v="0"/>
  </r>
  <r>
    <d v="2004-08-01T00:00:00"/>
    <n v="2004"/>
    <x v="25"/>
    <s v="R"/>
    <s v="RS"/>
    <x v="4"/>
    <s v="DET"/>
    <s v="A"/>
    <n v="1"/>
    <n v="1"/>
    <n v="0"/>
    <n v="0"/>
    <n v="0"/>
    <n v="0"/>
    <n v="1509.6994507312511"/>
    <n v="1513.2279213666693"/>
    <n v="0.37663530382491128"/>
    <n v="59"/>
    <n v="58"/>
    <n v="0"/>
    <n v="1"/>
    <n v="1"/>
    <n v="0.24346379193144535"/>
    <n v="1"/>
    <n v="72.099999999999994"/>
    <n v="72.099999999999994"/>
    <n v="10.942381426731288"/>
    <n v="1520.6418321579824"/>
    <n v="1"/>
    <n v="0"/>
    <n v="0"/>
    <n v="0"/>
    <n v="0"/>
    <n v="0"/>
    <n v="0"/>
    <n v="0"/>
    <n v="0"/>
    <n v="0"/>
  </r>
  <r>
    <d v="2004-08-01T00:00:00"/>
    <n v="2004"/>
    <x v="26"/>
    <s v="R"/>
    <s v="RS"/>
    <x v="10"/>
    <s v="MIN"/>
    <s v="H"/>
    <n v="1"/>
    <n v="1"/>
    <n v="0"/>
    <n v="0"/>
    <n v="0"/>
    <n v="0"/>
    <n v="1513.2279213666693"/>
    <n v="1509.6994507312511"/>
    <n v="0.62336469617508883"/>
    <n v="58"/>
    <n v="59"/>
    <n v="0"/>
    <n v="-1"/>
    <n v="0"/>
    <n v="0.24346379193144535"/>
    <n v="1"/>
    <n v="71.95"/>
    <n v="71.95"/>
    <n v="-10.919616416828244"/>
    <n v="1502.3083049498412"/>
    <n v="0"/>
    <n v="1"/>
    <n v="0"/>
    <n v="0"/>
    <n v="0"/>
    <n v="0"/>
    <n v="0"/>
    <n v="0"/>
    <n v="0"/>
    <n v="0"/>
  </r>
  <r>
    <d v="2004-08-01T00:00:00"/>
    <n v="2004"/>
    <x v="24"/>
    <s v="R"/>
    <s v="RS"/>
    <x v="6"/>
    <s v="SEA"/>
    <s v="A"/>
    <n v="0"/>
    <n v="1"/>
    <n v="-1"/>
    <n v="1"/>
    <n v="-8"/>
    <n v="8"/>
    <n v="1484.3366333702938"/>
    <n v="1592.7713314988375"/>
    <n v="0.23150251162549276"/>
    <n v="55"/>
    <n v="87"/>
    <n v="0"/>
    <n v="-32"/>
    <n v="0"/>
    <n v="0.66706627095413962"/>
    <n v="1"/>
    <n v="72.25"/>
    <n v="72.25"/>
    <n v="-11.15738811383714"/>
    <n v="1473.1792452564566"/>
    <n v="0"/>
    <n v="1"/>
    <n v="0"/>
    <n v="0"/>
    <n v="0"/>
    <n v="0"/>
    <n v="0"/>
    <n v="0"/>
    <n v="0"/>
    <n v="0"/>
  </r>
  <r>
    <d v="2004-08-01T00:00:00"/>
    <n v="2004"/>
    <x v="24"/>
    <s v="R"/>
    <s v="RS"/>
    <x v="5"/>
    <s v="CHA"/>
    <s v="H"/>
    <n v="1"/>
    <n v="0"/>
    <n v="1"/>
    <n v="-1"/>
    <n v="8"/>
    <n v="-8"/>
    <n v="1592.7713314988375"/>
    <n v="1484.3366333702938"/>
    <n v="0.76849748837450726"/>
    <n v="87"/>
    <n v="55"/>
    <n v="0"/>
    <n v="32"/>
    <n v="1"/>
    <n v="0.66706627095413962"/>
    <n v="1"/>
    <n v="72.25"/>
    <n v="72.25"/>
    <n v="11.157388113837138"/>
    <n v="1603.9287196126747"/>
    <n v="1"/>
    <n v="0"/>
    <n v="0"/>
    <n v="0"/>
    <n v="0"/>
    <n v="0"/>
    <n v="0"/>
    <n v="0"/>
    <n v="0"/>
    <n v="0"/>
  </r>
  <r>
    <d v="2004-08-01T00:00:00"/>
    <n v="2004"/>
    <x v="24"/>
    <s v="R"/>
    <s v="RS"/>
    <x v="3"/>
    <s v="WAS"/>
    <s v="A"/>
    <n v="1"/>
    <n v="1"/>
    <n v="0"/>
    <n v="0"/>
    <n v="0"/>
    <n v="0"/>
    <n v="1501.0537038534621"/>
    <n v="1437.613104885334"/>
    <n v="0.47044713005895367"/>
    <n v="62"/>
    <n v="82"/>
    <n v="0"/>
    <n v="-20"/>
    <n v="0"/>
    <n v="0.54602078743870563"/>
    <n v="1"/>
    <n v="72.25"/>
    <n v="72.25"/>
    <n v="-18.559140171121737"/>
    <n v="1482.4945636823404"/>
    <n v="0"/>
    <n v="1"/>
    <n v="0"/>
    <n v="0"/>
    <n v="0"/>
    <n v="0"/>
    <n v="0"/>
    <n v="0"/>
    <n v="0"/>
    <n v="0"/>
  </r>
  <r>
    <d v="2004-08-01T00:00:00"/>
    <n v="2004"/>
    <x v="25"/>
    <s v="R"/>
    <s v="RS"/>
    <x v="12"/>
    <s v="PHX"/>
    <s v="H"/>
    <n v="1"/>
    <n v="1"/>
    <n v="0"/>
    <n v="0"/>
    <n v="0"/>
    <n v="0"/>
    <n v="1437.613104885334"/>
    <n v="1501.0537038534621"/>
    <n v="0.52955286994104622"/>
    <n v="82"/>
    <n v="62"/>
    <n v="0"/>
    <n v="20"/>
    <n v="1"/>
    <n v="0.54602078743870563"/>
    <n v="1"/>
    <n v="72.099999999999994"/>
    <n v="72.099999999999994"/>
    <n v="18.520609084261281"/>
    <n v="1456.1337139695952"/>
    <n v="1"/>
    <n v="0"/>
    <n v="0"/>
    <n v="0"/>
    <n v="0"/>
    <n v="0"/>
    <n v="0"/>
    <n v="0"/>
    <n v="0"/>
    <n v="0"/>
  </r>
  <r>
    <d v="2004-09-01T00:00:00"/>
    <n v="2004"/>
    <x v="27"/>
    <s v="R"/>
    <s v="RS"/>
    <x v="9"/>
    <s v="CHA"/>
    <s v="A"/>
    <n v="31"/>
    <n v="30"/>
    <n v="1"/>
    <n v="-1"/>
    <n v="8"/>
    <n v="-8"/>
    <n v="1474.0191290330374"/>
    <n v="1473.1792452564566"/>
    <n v="0.40453491507497741"/>
    <n v="55"/>
    <n v="62"/>
    <n v="0"/>
    <n v="-7"/>
    <n v="0"/>
    <n v="0.36984831448787492"/>
    <n v="1"/>
    <n v="71.8"/>
    <n v="71.8"/>
    <n v="-10.742468756123877"/>
    <n v="1463.2766602769136"/>
    <n v="0"/>
    <n v="1"/>
    <n v="0"/>
    <n v="0"/>
    <n v="0"/>
    <n v="0"/>
    <n v="0"/>
    <n v="0"/>
    <n v="0"/>
    <n v="0"/>
  </r>
  <r>
    <d v="2004-09-01T00:00:00"/>
    <n v="2004"/>
    <x v="25"/>
    <s v="R"/>
    <s v="RS"/>
    <x v="6"/>
    <s v="CON"/>
    <s v="H"/>
    <n v="30"/>
    <n v="31"/>
    <n v="-1"/>
    <n v="1"/>
    <n v="-8"/>
    <n v="8"/>
    <n v="1473.1792452564566"/>
    <n v="1474.0191290330374"/>
    <n v="0.59546508492502259"/>
    <n v="62"/>
    <n v="55"/>
    <n v="0"/>
    <n v="7"/>
    <n v="1"/>
    <n v="0.36984831448787492"/>
    <n v="1"/>
    <n v="72.099999999999994"/>
    <n v="72.099999999999994"/>
    <n v="10.787353723071469"/>
    <n v="1483.966598979528"/>
    <n v="1"/>
    <n v="0"/>
    <n v="0"/>
    <n v="0"/>
    <n v="0"/>
    <n v="0"/>
    <n v="0"/>
    <n v="0"/>
    <n v="0"/>
    <n v="0"/>
  </r>
  <r>
    <d v="2004-09-01T00:00:00"/>
    <n v="2004"/>
    <x v="25"/>
    <s v="R"/>
    <s v="RS"/>
    <x v="3"/>
    <s v="DET"/>
    <s v="A"/>
    <n v="30"/>
    <n v="30"/>
    <n v="0"/>
    <n v="0"/>
    <n v="0"/>
    <n v="0"/>
    <n v="1482.4945636823404"/>
    <n v="1502.3083049498412"/>
    <n v="0.35489298310208089"/>
    <n v="63"/>
    <n v="58"/>
    <n v="0"/>
    <n v="5"/>
    <n v="1"/>
    <n v="0.32636717974649687"/>
    <n v="1"/>
    <n v="72.099999999999994"/>
    <n v="72.099999999999994"/>
    <n v="15.180060733028734"/>
    <n v="1497.6746244153692"/>
    <n v="1"/>
    <n v="0"/>
    <n v="0"/>
    <n v="0"/>
    <n v="0"/>
    <n v="0"/>
    <n v="0"/>
    <n v="0"/>
    <n v="0"/>
    <n v="0"/>
  </r>
  <r>
    <d v="2004-09-01T00:00:00"/>
    <n v="2004"/>
    <x v="27"/>
    <s v="R"/>
    <s v="RS"/>
    <x v="10"/>
    <s v="PHX"/>
    <s v="H"/>
    <n v="30"/>
    <n v="30"/>
    <n v="0"/>
    <n v="0"/>
    <n v="0"/>
    <n v="0"/>
    <n v="1502.3083049498412"/>
    <n v="1482.4945636823404"/>
    <n v="0.64510701689791916"/>
    <n v="58"/>
    <n v="63"/>
    <n v="0"/>
    <n v="-5"/>
    <n v="0"/>
    <n v="0.32636717974649687"/>
    <n v="1"/>
    <n v="71.8"/>
    <n v="71.8"/>
    <n v="-15.116898205706839"/>
    <n v="1487.1914067441344"/>
    <n v="0"/>
    <n v="1"/>
    <n v="0"/>
    <n v="0"/>
    <n v="0"/>
    <n v="0"/>
    <n v="0"/>
    <n v="0"/>
    <n v="0"/>
    <n v="0"/>
  </r>
  <r>
    <d v="2004-09-01T00:00:00"/>
    <n v="2004"/>
    <x v="26"/>
    <s v="R"/>
    <s v="RS"/>
    <x v="4"/>
    <s v="HOU"/>
    <s v="A"/>
    <n v="30"/>
    <n v="31"/>
    <n v="-1"/>
    <n v="1"/>
    <n v="-8"/>
    <n v="8"/>
    <n v="1520.6418321579824"/>
    <n v="1529.4232495870779"/>
    <n v="0.34837354302232565"/>
    <n v="72"/>
    <n v="64"/>
    <n v="0"/>
    <n v="8"/>
    <n v="1"/>
    <n v="0.38549454457587234"/>
    <n v="1"/>
    <n v="71.95"/>
    <n v="71.95"/>
    <n v="18.073728064952938"/>
    <n v="1538.7155602229354"/>
    <n v="1"/>
    <n v="0"/>
    <n v="0"/>
    <n v="0"/>
    <n v="0"/>
    <n v="0"/>
    <n v="0"/>
    <n v="0"/>
    <n v="0"/>
    <n v="0"/>
  </r>
  <r>
    <d v="2004-09-01T00:00:00"/>
    <n v="2004"/>
    <x v="26"/>
    <s v="R"/>
    <s v="RS"/>
    <x v="1"/>
    <s v="MIN"/>
    <s v="H"/>
    <n v="31"/>
    <n v="30"/>
    <n v="1"/>
    <n v="-1"/>
    <n v="8"/>
    <n v="-8"/>
    <n v="1529.4232495870779"/>
    <n v="1520.6418321579824"/>
    <n v="0.6516264569776743"/>
    <n v="64"/>
    <n v="72"/>
    <n v="0"/>
    <n v="-8"/>
    <n v="0"/>
    <n v="0.38549454457587234"/>
    <n v="1"/>
    <n v="71.95"/>
    <n v="71.95"/>
    <n v="-18.073728064952935"/>
    <n v="1511.3495215221249"/>
    <n v="0"/>
    <n v="1"/>
    <n v="0"/>
    <n v="0"/>
    <n v="0"/>
    <n v="0"/>
    <n v="0"/>
    <n v="0"/>
    <n v="0"/>
    <n v="0"/>
  </r>
  <r>
    <d v="2004-09-01T00:00:00"/>
    <n v="2004"/>
    <x v="26"/>
    <s v="R"/>
    <s v="RS"/>
    <x v="0"/>
    <s v="LAS"/>
    <s v="A"/>
    <n v="31"/>
    <n v="31"/>
    <n v="0"/>
    <n v="0"/>
    <n v="0"/>
    <n v="0"/>
    <n v="1344.7868951672697"/>
    <n v="1642.6040121117305"/>
    <n v="9.993778878013157E-2"/>
    <n v="69"/>
    <n v="77"/>
    <n v="0"/>
    <n v="-8"/>
    <n v="0"/>
    <n v="0.31110516546519418"/>
    <n v="1"/>
    <n v="71.95"/>
    <n v="71.95"/>
    <n v="-2.2370091285403957"/>
    <n v="1342.5498860387293"/>
    <n v="0"/>
    <n v="1"/>
    <n v="0"/>
    <n v="0"/>
    <n v="0"/>
    <n v="0"/>
    <n v="0"/>
    <n v="0"/>
    <n v="0"/>
    <n v="0"/>
  </r>
  <r>
    <d v="2004-09-01T00:00:00"/>
    <n v="2004"/>
    <x v="26"/>
    <s v="R"/>
    <s v="RS"/>
    <x v="11"/>
    <s v="SAS"/>
    <s v="H"/>
    <n v="31"/>
    <n v="31"/>
    <n v="0"/>
    <n v="0"/>
    <n v="0"/>
    <n v="0"/>
    <n v="1642.6040121117305"/>
    <n v="1344.7868951672697"/>
    <n v="0.90006221121986851"/>
    <n v="77"/>
    <n v="69"/>
    <n v="0"/>
    <n v="8"/>
    <n v="1"/>
    <n v="0.31110516546519418"/>
    <n v="1"/>
    <n v="71.95"/>
    <n v="71.95"/>
    <n v="2.2370091285403939"/>
    <n v="1644.8410212402709"/>
    <n v="1"/>
    <n v="0"/>
    <n v="0"/>
    <n v="0"/>
    <n v="0"/>
    <n v="0"/>
    <n v="0"/>
    <n v="0"/>
    <n v="0"/>
    <n v="0"/>
  </r>
  <r>
    <d v="2004-09-01T00:00:00"/>
    <n v="2004"/>
    <x v="25"/>
    <s v="R"/>
    <s v="RS"/>
    <x v="2"/>
    <s v="SEA"/>
    <s v="A"/>
    <n v="31"/>
    <n v="30"/>
    <n v="1"/>
    <n v="-1"/>
    <n v="8"/>
    <n v="-8"/>
    <n v="1540.6681552349751"/>
    <n v="1603.9287196126747"/>
    <n v="0.31960306603606875"/>
    <n v="73"/>
    <n v="65"/>
    <n v="0"/>
    <n v="8"/>
    <n v="1"/>
    <n v="0.36886977646860558"/>
    <n v="1"/>
    <n v="72.099999999999994"/>
    <n v="72.099999999999994"/>
    <n v="18.095504062260513"/>
    <n v="1558.7636592972356"/>
    <n v="1"/>
    <n v="0"/>
    <n v="0"/>
    <n v="0"/>
    <n v="0"/>
    <n v="0"/>
    <n v="0"/>
    <n v="0"/>
    <n v="0"/>
    <n v="0"/>
  </r>
  <r>
    <d v="2004-09-01T00:00:00"/>
    <n v="2004"/>
    <x v="25"/>
    <s v="R"/>
    <s v="RS"/>
    <x v="5"/>
    <s v="SAC"/>
    <s v="H"/>
    <n v="30"/>
    <n v="31"/>
    <n v="-1"/>
    <n v="1"/>
    <n v="-8"/>
    <n v="8"/>
    <n v="1603.9287196126747"/>
    <n v="1540.6681552349751"/>
    <n v="0.68039693396393119"/>
    <n v="65"/>
    <n v="73"/>
    <n v="0"/>
    <n v="-8"/>
    <n v="0"/>
    <n v="0.36886977646860558"/>
    <n v="1"/>
    <n v="72.099999999999994"/>
    <n v="72.099999999999994"/>
    <n v="-18.09550406226051"/>
    <n v="1585.8332155504143"/>
    <n v="0"/>
    <n v="1"/>
    <n v="0"/>
    <n v="0"/>
    <n v="0"/>
    <n v="0"/>
    <n v="0"/>
    <n v="0"/>
    <n v="0"/>
    <n v="0"/>
  </r>
  <r>
    <d v="2004-09-01T00:00:00"/>
    <n v="2004"/>
    <x v="27"/>
    <s v="R"/>
    <s v="RS"/>
    <x v="8"/>
    <s v="WAS"/>
    <s v="A"/>
    <n v="31"/>
    <n v="30"/>
    <n v="1"/>
    <n v="-1"/>
    <n v="8"/>
    <n v="-8"/>
    <n v="1451.3444481122217"/>
    <n v="1456.1337139695952"/>
    <n v="0.39675398473700157"/>
    <n v="75"/>
    <n v="58"/>
    <n v="0"/>
    <n v="17"/>
    <n v="1"/>
    <n v="0.53032551086327095"/>
    <n v="1"/>
    <n v="71.8"/>
    <n v="71.8"/>
    <n v="22.970022737637798"/>
    <n v="1474.3144708498594"/>
    <n v="1"/>
    <n v="0"/>
    <n v="0"/>
    <n v="0"/>
    <n v="0"/>
    <n v="0"/>
    <n v="0"/>
    <n v="0"/>
    <n v="0"/>
    <n v="0"/>
  </r>
  <r>
    <d v="2004-09-01T00:00:00"/>
    <n v="2004"/>
    <x v="26"/>
    <s v="R"/>
    <s v="RS"/>
    <x v="12"/>
    <s v="IND"/>
    <s v="H"/>
    <n v="30"/>
    <n v="31"/>
    <n v="-1"/>
    <n v="1"/>
    <n v="-8"/>
    <n v="8"/>
    <n v="1456.1337139695952"/>
    <n v="1451.3444481122217"/>
    <n v="0.60324601526299848"/>
    <n v="58"/>
    <n v="75"/>
    <n v="0"/>
    <n v="-17"/>
    <n v="0"/>
    <n v="0.53032551086327095"/>
    <n v="1"/>
    <n v="71.95"/>
    <n v="71.95"/>
    <n v="-23.018010250320891"/>
    <n v="1433.1157037192743"/>
    <n v="0"/>
    <n v="1"/>
    <n v="0"/>
    <n v="0"/>
    <n v="0"/>
    <n v="0"/>
    <n v="0"/>
    <n v="0"/>
    <n v="0"/>
    <n v="0"/>
  </r>
  <r>
    <d v="2004-09-02T00:00:00"/>
    <n v="2004"/>
    <x v="26"/>
    <s v="R"/>
    <s v="RS"/>
    <x v="6"/>
    <s v="NYL"/>
    <s v="A"/>
    <n v="0"/>
    <n v="32"/>
    <n v="-32"/>
    <n v="32"/>
    <n v="-16"/>
    <n v="16"/>
    <n v="1483.966598979528"/>
    <n v="1497.7273540373199"/>
    <n v="0.32148341847693807"/>
    <n v="52"/>
    <n v="56"/>
    <n v="0"/>
    <n v="-4"/>
    <n v="0"/>
    <n v="0.30790193234321617"/>
    <n v="1"/>
    <n v="71.95"/>
    <n v="71.95"/>
    <n v="-7.1219970668170793"/>
    <n v="1476.8446019127109"/>
    <n v="0"/>
    <n v="1"/>
    <n v="0"/>
    <n v="0"/>
    <n v="0"/>
    <n v="0"/>
    <n v="0"/>
    <n v="0"/>
    <n v="0"/>
    <n v="0"/>
  </r>
  <r>
    <d v="2004-09-02T00:00:00"/>
    <n v="2004"/>
    <x v="25"/>
    <s v="R"/>
    <s v="RS"/>
    <x v="7"/>
    <s v="CHA"/>
    <s v="H"/>
    <n v="32"/>
    <n v="0"/>
    <n v="32"/>
    <n v="-32"/>
    <n v="16"/>
    <n v="-16"/>
    <n v="1497.7273540373199"/>
    <n v="1483.966598979528"/>
    <n v="0.67851658152306193"/>
    <n v="56"/>
    <n v="52"/>
    <n v="0"/>
    <n v="4"/>
    <n v="1"/>
    <n v="0.30790193234321617"/>
    <n v="1"/>
    <n v="72.099999999999994"/>
    <n v="72.099999999999994"/>
    <n v="7.1368448716818813"/>
    <n v="1504.8641989090017"/>
    <n v="1"/>
    <n v="0"/>
    <n v="0"/>
    <n v="0"/>
    <n v="0"/>
    <n v="0"/>
    <n v="0"/>
    <n v="0"/>
    <n v="0"/>
    <n v="0"/>
  </r>
  <r>
    <d v="2004-09-02T00:00:00"/>
    <n v="2004"/>
    <x v="27"/>
    <s v="R"/>
    <s v="RS"/>
    <x v="0"/>
    <s v="SAC"/>
    <s v="A"/>
    <n v="0"/>
    <n v="0"/>
    <n v="0"/>
    <n v="0"/>
    <n v="0"/>
    <n v="0"/>
    <n v="1342.5498860387293"/>
    <n v="1558.7636592972356"/>
    <n v="0.15082188366837165"/>
    <n v="64"/>
    <n v="66"/>
    <n v="0"/>
    <n v="-2"/>
    <n v="0"/>
    <n v="0.22694990759204817"/>
    <n v="1"/>
    <n v="71.8"/>
    <n v="71.8"/>
    <n v="-2.4576431019082028"/>
    <n v="1340.0922429368211"/>
    <n v="0"/>
    <n v="1"/>
    <n v="0"/>
    <n v="0"/>
    <n v="0"/>
    <n v="0"/>
    <n v="0"/>
    <n v="0"/>
    <n v="0"/>
    <n v="0"/>
  </r>
  <r>
    <d v="2004-09-02T00:00:00"/>
    <n v="2004"/>
    <x v="26"/>
    <s v="R"/>
    <s v="RS"/>
    <x v="2"/>
    <s v="SAS"/>
    <s v="H"/>
    <n v="0"/>
    <n v="0"/>
    <n v="0"/>
    <n v="0"/>
    <n v="0"/>
    <n v="0"/>
    <n v="1558.7636592972356"/>
    <n v="1342.5498860387293"/>
    <n v="0.84917811633162832"/>
    <n v="66"/>
    <n v="64"/>
    <n v="0"/>
    <n v="2"/>
    <n v="1"/>
    <n v="0.22694990759204817"/>
    <n v="1"/>
    <n v="71.95"/>
    <n v="71.95"/>
    <n v="2.462777453792413"/>
    <n v="1561.2264367510279"/>
    <n v="1"/>
    <n v="0"/>
    <n v="0"/>
    <n v="0"/>
    <n v="0"/>
    <n v="0"/>
    <n v="0"/>
    <n v="0"/>
    <n v="0"/>
    <n v="0"/>
  </r>
  <r>
    <d v="2004-09-03T00:00:00"/>
    <n v="2004"/>
    <x v="26"/>
    <s v="R"/>
    <s v="RS"/>
    <x v="7"/>
    <s v="CON"/>
    <s v="A"/>
    <n v="0"/>
    <n v="1"/>
    <n v="-1"/>
    <n v="1"/>
    <n v="-8"/>
    <n v="8"/>
    <n v="1504.8641989090017"/>
    <n v="1463.2766602769136"/>
    <n v="0.41672088842125288"/>
    <n v="43"/>
    <n v="61"/>
    <n v="0"/>
    <n v="-18"/>
    <n v="0"/>
    <n v="0.5285174811552561"/>
    <n v="1"/>
    <n v="71.95"/>
    <n v="71.95"/>
    <n v="-15.846575535394381"/>
    <n v="1489.0176233736074"/>
    <n v="0"/>
    <n v="1"/>
    <n v="0"/>
    <n v="0"/>
    <n v="0"/>
    <n v="0"/>
    <n v="0"/>
    <n v="0"/>
    <n v="0"/>
    <n v="0"/>
  </r>
  <r>
    <d v="2004-09-03T00:00:00"/>
    <n v="2004"/>
    <x v="28"/>
    <s v="R"/>
    <s v="RS"/>
    <x v="9"/>
    <s v="NYL"/>
    <s v="H"/>
    <n v="1"/>
    <n v="0"/>
    <n v="1"/>
    <n v="-1"/>
    <n v="8"/>
    <n v="-8"/>
    <n v="1463.2766602769136"/>
    <n v="1504.8641989090017"/>
    <n v="0.58327911157874712"/>
    <n v="61"/>
    <n v="43"/>
    <n v="0"/>
    <n v="18"/>
    <n v="1"/>
    <n v="0.5285174811552561"/>
    <n v="1"/>
    <n v="71.650000000000006"/>
    <n v="71.650000000000006"/>
    <n v="15.780502253106427"/>
    <n v="1479.0571625300202"/>
    <n v="1"/>
    <n v="0"/>
    <n v="0"/>
    <n v="0"/>
    <n v="0"/>
    <n v="0"/>
    <n v="0"/>
    <n v="0"/>
    <n v="0"/>
    <n v="0"/>
  </r>
  <r>
    <d v="2004-09-03T00:00:00"/>
    <n v="2004"/>
    <x v="26"/>
    <s v="R"/>
    <s v="RS"/>
    <x v="3"/>
    <s v="HOU"/>
    <s v="A"/>
    <n v="1"/>
    <n v="1"/>
    <n v="0"/>
    <n v="0"/>
    <n v="0"/>
    <n v="0"/>
    <n v="1497.6746244153692"/>
    <n v="1511.3495215221249"/>
    <n v="0.36302426022952056"/>
    <n v="70"/>
    <n v="60"/>
    <n v="0"/>
    <n v="10"/>
    <n v="1"/>
    <n v="0.41836214987157161"/>
    <n v="1"/>
    <n v="71.95"/>
    <n v="71.95"/>
    <n v="19.173706546266381"/>
    <n v="1516.8483309616356"/>
    <n v="1"/>
    <n v="0"/>
    <n v="0"/>
    <n v="0"/>
    <n v="0"/>
    <n v="0"/>
    <n v="0"/>
    <n v="0"/>
    <n v="0"/>
    <n v="0"/>
  </r>
  <r>
    <d v="2004-09-03T00:00:00"/>
    <n v="2004"/>
    <x v="27"/>
    <s v="R"/>
    <s v="RS"/>
    <x v="1"/>
    <s v="PHX"/>
    <s v="H"/>
    <n v="1"/>
    <n v="1"/>
    <n v="0"/>
    <n v="0"/>
    <n v="0"/>
    <n v="0"/>
    <n v="1511.3495215221249"/>
    <n v="1497.6746244153692"/>
    <n v="0.6369757397704795"/>
    <n v="60"/>
    <n v="70"/>
    <n v="0"/>
    <n v="-10"/>
    <n v="0"/>
    <n v="0.41836214987157161"/>
    <n v="1"/>
    <n v="71.8"/>
    <n v="71.8"/>
    <n v="-19.133733565280419"/>
    <n v="1492.2157879568445"/>
    <n v="0"/>
    <n v="1"/>
    <n v="0"/>
    <n v="0"/>
    <n v="0"/>
    <n v="0"/>
    <n v="0"/>
    <n v="0"/>
    <n v="0"/>
    <n v="0"/>
  </r>
  <r>
    <d v="2004-09-03T00:00:00"/>
    <n v="2004"/>
    <x v="26"/>
    <s v="R"/>
    <s v="RS"/>
    <x v="5"/>
    <s v="LAS"/>
    <s v="A"/>
    <n v="1"/>
    <n v="1"/>
    <n v="0"/>
    <n v="0"/>
    <n v="0"/>
    <n v="0"/>
    <n v="1585.8332155504143"/>
    <n v="1644.8410212402709"/>
    <n v="0.30508076106493043"/>
    <n v="81"/>
    <n v="82"/>
    <n v="0"/>
    <n v="-1"/>
    <n v="0"/>
    <n v="0.23273533637688457"/>
    <n v="1"/>
    <n v="71.95"/>
    <n v="71.95"/>
    <n v="-5.108671141819074"/>
    <n v="1580.7245444085952"/>
    <n v="0"/>
    <n v="1"/>
    <n v="0"/>
    <n v="0"/>
    <n v="0"/>
    <n v="0"/>
    <n v="0"/>
    <n v="0"/>
    <n v="0"/>
    <n v="0"/>
  </r>
  <r>
    <d v="2004-09-03T00:00:00"/>
    <n v="2004"/>
    <x v="27"/>
    <s v="R"/>
    <s v="RS"/>
    <x v="11"/>
    <s v="SEA"/>
    <s v="H"/>
    <n v="1"/>
    <n v="1"/>
    <n v="0"/>
    <n v="0"/>
    <n v="0"/>
    <n v="0"/>
    <n v="1644.8410212402709"/>
    <n v="1585.8332155504143"/>
    <n v="0.69491923893506957"/>
    <n v="82"/>
    <n v="81"/>
    <n v="0"/>
    <n v="1"/>
    <n v="1"/>
    <n v="0.23273533637688457"/>
    <n v="1"/>
    <n v="71.8"/>
    <n v="71.8"/>
    <n v="5.0980206807867887"/>
    <n v="1649.9390419210577"/>
    <n v="1"/>
    <n v="0"/>
    <n v="0"/>
    <n v="0"/>
    <n v="0"/>
    <n v="0"/>
    <n v="0"/>
    <n v="0"/>
    <n v="0"/>
    <n v="0"/>
  </r>
  <r>
    <d v="2004-09-03T00:00:00"/>
    <n v="2004"/>
    <x v="28"/>
    <s v="R"/>
    <s v="RS"/>
    <x v="8"/>
    <s v="MIN"/>
    <s v="A"/>
    <n v="1"/>
    <n v="1"/>
    <n v="0"/>
    <n v="0"/>
    <n v="0"/>
    <n v="0"/>
    <n v="1474.3144708498594"/>
    <n v="1538.7155602229354"/>
    <n v="0.29853887117783706"/>
    <n v="69"/>
    <n v="61"/>
    <n v="0"/>
    <n v="8"/>
    <n v="1"/>
    <n v="0.3685370456574435"/>
    <n v="1"/>
    <n v="71.650000000000006"/>
    <n v="71.650000000000006"/>
    <n v="18.522557624074306"/>
    <n v="1492.8370284739337"/>
    <n v="1"/>
    <n v="0"/>
    <n v="0"/>
    <n v="0"/>
    <n v="0"/>
    <n v="0"/>
    <n v="0"/>
    <n v="0"/>
    <n v="0"/>
    <n v="0"/>
  </r>
  <r>
    <d v="2004-09-03T00:00:00"/>
    <n v="2004"/>
    <x v="27"/>
    <s v="R"/>
    <s v="RS"/>
    <x v="4"/>
    <s v="IND"/>
    <s v="H"/>
    <n v="1"/>
    <n v="1"/>
    <n v="0"/>
    <n v="0"/>
    <n v="0"/>
    <n v="0"/>
    <n v="1538.7155602229354"/>
    <n v="1474.3144708498594"/>
    <n v="0.70146112882216294"/>
    <n v="61"/>
    <n v="69"/>
    <n v="0"/>
    <n v="-8"/>
    <n v="0"/>
    <n v="0.3685370456574435"/>
    <n v="1"/>
    <n v="71.8"/>
    <n v="71.8"/>
    <n v="-18.56133478588325"/>
    <n v="1520.1542254370522"/>
    <n v="0"/>
    <n v="1"/>
    <n v="0"/>
    <n v="0"/>
    <n v="0"/>
    <n v="0"/>
    <n v="0"/>
    <n v="0"/>
    <n v="0"/>
    <n v="0"/>
  </r>
  <r>
    <d v="2004-09-04T00:00:00"/>
    <n v="2004"/>
    <x v="28"/>
    <s v="R"/>
    <s v="RS"/>
    <x v="10"/>
    <s v="CHA"/>
    <s v="A"/>
    <n v="2"/>
    <n v="1"/>
    <n v="1"/>
    <n v="-1"/>
    <n v="8"/>
    <n v="-8"/>
    <n v="1487.1914067441344"/>
    <n v="1476.8446019127109"/>
    <n v="0.41778363293754189"/>
    <n v="66"/>
    <n v="58"/>
    <n v="0"/>
    <n v="8"/>
    <n v="1"/>
    <n v="0.38499596986874179"/>
    <n v="1"/>
    <n v="71.650000000000006"/>
    <n v="71.650000000000006"/>
    <n v="16.06041591934925"/>
    <n v="1503.2518226634836"/>
    <n v="1"/>
    <n v="0"/>
    <n v="0"/>
    <n v="0"/>
    <n v="0"/>
    <n v="0"/>
    <n v="0"/>
    <n v="0"/>
    <n v="0"/>
    <n v="0"/>
  </r>
  <r>
    <d v="2004-09-04T00:00:00"/>
    <n v="2004"/>
    <x v="27"/>
    <s v="R"/>
    <s v="RS"/>
    <x v="6"/>
    <s v="DET"/>
    <s v="H"/>
    <n v="1"/>
    <n v="2"/>
    <n v="-1"/>
    <n v="1"/>
    <n v="-8"/>
    <n v="8"/>
    <n v="1476.8446019127109"/>
    <n v="1487.1914067441344"/>
    <n v="0.58221636706245805"/>
    <n v="58"/>
    <n v="66"/>
    <n v="0"/>
    <n v="-8"/>
    <n v="0"/>
    <n v="0.38499596986874179"/>
    <n v="1"/>
    <n v="71.8"/>
    <n v="71.8"/>
    <n v="-16.094038562585848"/>
    <n v="1460.750563350125"/>
    <n v="0"/>
    <n v="1"/>
    <n v="0"/>
    <n v="0"/>
    <n v="0"/>
    <n v="0"/>
    <n v="0"/>
    <n v="0"/>
    <n v="0"/>
    <n v="0"/>
  </r>
  <r>
    <d v="2004-09-04T00:00:00"/>
    <n v="2004"/>
    <x v="27"/>
    <s v="R"/>
    <s v="RS"/>
    <x v="12"/>
    <s v="IND"/>
    <s v="A"/>
    <n v="2"/>
    <n v="0"/>
    <n v="2"/>
    <n v="-2"/>
    <n v="16"/>
    <n v="-16"/>
    <n v="1433.1157037192743"/>
    <n v="1492.8370284739337"/>
    <n v="0.34454168083231107"/>
    <n v="42"/>
    <n v="69"/>
    <n v="0"/>
    <n v="-27"/>
    <n v="0"/>
    <n v="0.63506109190920146"/>
    <n v="1"/>
    <n v="71.8"/>
    <n v="71.8"/>
    <n v="-15.710200151499611"/>
    <n v="1417.4055035677748"/>
    <n v="0"/>
    <n v="1"/>
    <n v="0"/>
    <n v="0"/>
    <n v="0"/>
    <n v="0"/>
    <n v="0"/>
    <n v="0"/>
    <n v="0"/>
    <n v="0"/>
  </r>
  <r>
    <d v="2004-09-04T00:00:00"/>
    <n v="2004"/>
    <x v="29"/>
    <s v="R"/>
    <s v="RS"/>
    <x v="8"/>
    <s v="WAS"/>
    <s v="H"/>
    <n v="0"/>
    <n v="2"/>
    <n v="-2"/>
    <n v="2"/>
    <n v="-16"/>
    <n v="16"/>
    <n v="1492.8370284739337"/>
    <n v="1433.1157037192743"/>
    <n v="0.65545831916768893"/>
    <n v="69"/>
    <n v="42"/>
    <n v="0"/>
    <n v="27"/>
    <n v="1"/>
    <n v="0.63506109190920146"/>
    <n v="1"/>
    <n v="71.5"/>
    <n v="71.5"/>
    <n v="15.644558646688331"/>
    <n v="1508.4815871206222"/>
    <n v="1"/>
    <n v="0"/>
    <n v="0"/>
    <n v="0"/>
    <n v="0"/>
    <n v="0"/>
    <n v="0"/>
    <n v="0"/>
    <n v="0"/>
    <n v="0"/>
  </r>
  <r>
    <d v="2004-09-04T00:00:00"/>
    <n v="2004"/>
    <x v="27"/>
    <s v="R"/>
    <s v="RS"/>
    <x v="5"/>
    <s v="PHX"/>
    <s v="A"/>
    <n v="0"/>
    <n v="0"/>
    <n v="0"/>
    <n v="0"/>
    <n v="0"/>
    <n v="0"/>
    <n v="1580.7245444085952"/>
    <n v="1516.8483309616356"/>
    <n v="0.47107188559181767"/>
    <n v="55"/>
    <n v="63"/>
    <n v="0"/>
    <n v="-8"/>
    <n v="0"/>
    <n v="0.36869009563266225"/>
    <n v="1"/>
    <n v="71.8"/>
    <n v="71.8"/>
    <n v="-12.470190867797076"/>
    <n v="1568.2543535407981"/>
    <n v="0"/>
    <n v="1"/>
    <n v="0"/>
    <n v="0"/>
    <n v="0"/>
    <n v="0"/>
    <n v="0"/>
    <n v="0"/>
    <n v="0"/>
    <n v="0"/>
  </r>
  <r>
    <d v="2004-09-04T00:00:00"/>
    <n v="2004"/>
    <x v="27"/>
    <s v="R"/>
    <s v="RS"/>
    <x v="3"/>
    <s v="SEA"/>
    <s v="H"/>
    <n v="0"/>
    <n v="0"/>
    <n v="0"/>
    <n v="0"/>
    <n v="0"/>
    <n v="0"/>
    <n v="1516.8483309616356"/>
    <n v="1580.7245444085952"/>
    <n v="0.52892811440818233"/>
    <n v="63"/>
    <n v="55"/>
    <n v="0"/>
    <n v="8"/>
    <n v="1"/>
    <n v="0.36869009563266225"/>
    <n v="1"/>
    <n v="71.8"/>
    <n v="71.8"/>
    <n v="12.470190867797076"/>
    <n v="1529.3185218294327"/>
    <n v="1"/>
    <n v="0"/>
    <n v="0"/>
    <n v="0"/>
    <n v="0"/>
    <n v="0"/>
    <n v="0"/>
    <n v="0"/>
    <n v="0"/>
    <n v="0"/>
  </r>
  <r>
    <d v="2004-09-04T00:00:00"/>
    <n v="2004"/>
    <x v="27"/>
    <s v="R"/>
    <s v="RS"/>
    <x v="2"/>
    <s v="SAS"/>
    <s v="A"/>
    <n v="1"/>
    <n v="1"/>
    <n v="0"/>
    <n v="0"/>
    <n v="0"/>
    <n v="0"/>
    <n v="1561.2264367510279"/>
    <n v="1340.0922429368211"/>
    <n v="0.68770417594844013"/>
    <n v="80"/>
    <n v="70"/>
    <n v="0"/>
    <n v="10"/>
    <n v="1"/>
    <n v="0.35728901704628369"/>
    <n v="1"/>
    <n v="71.8"/>
    <n v="71.8"/>
    <n v="8.0114345226183428"/>
    <n v="1569.2378712736463"/>
    <n v="1"/>
    <n v="0"/>
    <n v="0"/>
    <n v="0"/>
    <n v="0"/>
    <n v="0"/>
    <n v="0"/>
    <n v="0"/>
    <n v="0"/>
    <n v="0"/>
  </r>
  <r>
    <d v="2004-09-04T00:00:00"/>
    <n v="2004"/>
    <x v="28"/>
    <s v="R"/>
    <s v="RS"/>
    <x v="0"/>
    <s v="SAC"/>
    <s v="H"/>
    <n v="1"/>
    <n v="1"/>
    <n v="0"/>
    <n v="0"/>
    <n v="0"/>
    <n v="0"/>
    <n v="1340.0922429368211"/>
    <n v="1561.2264367510279"/>
    <n v="0.31229582405155987"/>
    <n v="70"/>
    <n v="80"/>
    <n v="0"/>
    <n v="-10"/>
    <n v="0"/>
    <n v="0.35728901704628369"/>
    <n v="1"/>
    <n v="71.650000000000006"/>
    <n v="71.650000000000006"/>
    <n v="-7.994697542417887"/>
    <n v="1332.0975453944031"/>
    <n v="0"/>
    <n v="1"/>
    <n v="0"/>
    <n v="0"/>
    <n v="0"/>
    <n v="0"/>
    <n v="0"/>
    <n v="0"/>
    <n v="0"/>
    <n v="0"/>
  </r>
  <r>
    <d v="2004-09-07T00:00:00"/>
    <n v="2004"/>
    <x v="28"/>
    <s v="R"/>
    <s v="RS"/>
    <x v="2"/>
    <s v="WAS"/>
    <s v="A"/>
    <n v="2"/>
    <n v="2"/>
    <n v="0"/>
    <n v="0"/>
    <n v="0"/>
    <n v="0"/>
    <n v="1569.2378712736463"/>
    <n v="1417.4055035677748"/>
    <n v="0.59639691951029217"/>
    <n v="63"/>
    <n v="67"/>
    <n v="1"/>
    <n v="-4"/>
    <n v="0"/>
    <n v="0.24880847783441398"/>
    <n v="1"/>
    <n v="71.650000000000006"/>
    <n v="71.650000000000006"/>
    <n v="-10.63204388704626"/>
    <n v="1558.6058273866001"/>
    <n v="0"/>
    <n v="1"/>
    <n v="0"/>
    <n v="0"/>
    <n v="0"/>
    <n v="0"/>
    <n v="0"/>
    <n v="0"/>
    <n v="0"/>
    <n v="0"/>
  </r>
  <r>
    <d v="2004-09-07T00:00:00"/>
    <n v="2004"/>
    <x v="28"/>
    <s v="R"/>
    <s v="RS"/>
    <x v="12"/>
    <s v="SAC"/>
    <s v="H"/>
    <n v="2"/>
    <n v="2"/>
    <n v="0"/>
    <n v="0"/>
    <n v="0"/>
    <n v="0"/>
    <n v="1417.4055035677748"/>
    <n v="1569.2378712736463"/>
    <n v="0.40360308048970778"/>
    <n v="67"/>
    <n v="63"/>
    <n v="1"/>
    <n v="4"/>
    <n v="1"/>
    <n v="0.24880847783441398"/>
    <n v="1"/>
    <n v="71.650000000000006"/>
    <n v="71.650000000000006"/>
    <n v="10.632043887046262"/>
    <n v="1428.0375474548209"/>
    <n v="1"/>
    <n v="0"/>
    <n v="0"/>
    <n v="0"/>
    <n v="0"/>
    <n v="0"/>
    <n v="0"/>
    <n v="0"/>
    <n v="0"/>
    <n v="0"/>
  </r>
  <r>
    <d v="2004-09-08T00:00:00"/>
    <n v="2004"/>
    <x v="28"/>
    <s v="R"/>
    <s v="RS"/>
    <x v="6"/>
    <s v="MIN"/>
    <s v="A"/>
    <n v="3"/>
    <n v="4"/>
    <n v="-1"/>
    <n v="1"/>
    <n v="-8"/>
    <n v="8"/>
    <n v="1460.750563350125"/>
    <n v="1520.1542254370522"/>
    <n v="0.28544691015396217"/>
    <n v="72"/>
    <n v="68"/>
    <n v="0"/>
    <n v="4"/>
    <n v="1"/>
    <n v="0.29674304842450122"/>
    <n v="1"/>
    <n v="71.650000000000006"/>
    <n v="71.650000000000006"/>
    <n v="15.192570142478584"/>
    <n v="1475.9431334926037"/>
    <n v="1"/>
    <n v="0"/>
    <n v="0"/>
    <n v="0"/>
    <n v="0"/>
    <n v="0"/>
    <n v="0"/>
    <n v="0"/>
    <n v="0"/>
    <n v="0"/>
  </r>
  <r>
    <d v="2004-09-08T00:00:00"/>
    <n v="2004"/>
    <x v="28"/>
    <s v="R"/>
    <s v="RS"/>
    <x v="4"/>
    <s v="CHA"/>
    <s v="H"/>
    <n v="4"/>
    <n v="3"/>
    <n v="1"/>
    <n v="-1"/>
    <n v="8"/>
    <n v="-8"/>
    <n v="1520.1542254370522"/>
    <n v="1460.750563350125"/>
    <n v="0.71455308984603783"/>
    <n v="68"/>
    <n v="72"/>
    <n v="0"/>
    <n v="-4"/>
    <n v="0"/>
    <n v="0.29674304842450122"/>
    <n v="1"/>
    <n v="71.650000000000006"/>
    <n v="71.650000000000006"/>
    <n v="-15.192570142478584"/>
    <n v="1504.9616552945736"/>
    <n v="0"/>
    <n v="1"/>
    <n v="0"/>
    <n v="0"/>
    <n v="0"/>
    <n v="0"/>
    <n v="0"/>
    <n v="0"/>
    <n v="0"/>
    <n v="0"/>
  </r>
  <r>
    <d v="2004-09-08T00:00:00"/>
    <n v="2004"/>
    <x v="28"/>
    <s v="R"/>
    <s v="RS"/>
    <x v="11"/>
    <s v="PHX"/>
    <s v="A"/>
    <n v="4"/>
    <n v="3"/>
    <n v="1"/>
    <n v="-1"/>
    <n v="8"/>
    <n v="-8"/>
    <n v="1649.9390419210577"/>
    <n v="1529.3185218294327"/>
    <n v="0.5751532625858633"/>
    <n v="58"/>
    <n v="72"/>
    <n v="0"/>
    <n v="-14"/>
    <n v="0"/>
    <n v="0.44307181006117113"/>
    <n v="1"/>
    <n v="71.650000000000006"/>
    <n v="71.650000000000006"/>
    <n v="-18.258870223397693"/>
    <n v="1631.6801716976599"/>
    <n v="0"/>
    <n v="1"/>
    <n v="0"/>
    <n v="0"/>
    <n v="0"/>
    <n v="0"/>
    <n v="0"/>
    <n v="0"/>
    <n v="0"/>
    <n v="0"/>
  </r>
  <r>
    <d v="2004-09-08T00:00:00"/>
    <n v="2004"/>
    <x v="28"/>
    <s v="R"/>
    <s v="RS"/>
    <x v="3"/>
    <s v="LAS"/>
    <s v="H"/>
    <n v="3"/>
    <n v="4"/>
    <n v="-1"/>
    <n v="1"/>
    <n v="-8"/>
    <n v="8"/>
    <n v="1529.3185218294327"/>
    <n v="1649.9390419210577"/>
    <n v="0.42484673741413675"/>
    <n v="72"/>
    <n v="58"/>
    <n v="0"/>
    <n v="14"/>
    <n v="1"/>
    <n v="0.44307181006117113"/>
    <n v="1"/>
    <n v="71.650000000000006"/>
    <n v="71.650000000000006"/>
    <n v="18.258870223397693"/>
    <n v="1547.5773920528304"/>
    <n v="1"/>
    <n v="0"/>
    <n v="0"/>
    <n v="0"/>
    <n v="0"/>
    <n v="0"/>
    <n v="0"/>
    <n v="0"/>
    <n v="0"/>
    <n v="0"/>
  </r>
  <r>
    <d v="2004-09-08T00:00:00"/>
    <n v="2004"/>
    <x v="29"/>
    <s v="R"/>
    <s v="RS"/>
    <x v="10"/>
    <s v="SEA"/>
    <s v="A"/>
    <n v="3"/>
    <n v="3"/>
    <n v="0"/>
    <n v="0"/>
    <n v="0"/>
    <n v="0"/>
    <n v="1503.2518226634836"/>
    <n v="1568.2543535407981"/>
    <n v="0.29781435123790401"/>
    <n v="67"/>
    <n v="86"/>
    <n v="0"/>
    <n v="-19"/>
    <n v="0"/>
    <n v="0.53215157348409048"/>
    <n v="1"/>
    <n v="71.5"/>
    <n v="71.5"/>
    <n v="-11.331489856643685"/>
    <n v="1491.92033280684"/>
    <n v="0"/>
    <n v="1"/>
    <n v="0"/>
    <n v="0"/>
    <n v="0"/>
    <n v="0"/>
    <n v="0"/>
    <n v="0"/>
    <n v="0"/>
    <n v="0"/>
  </r>
  <r>
    <d v="2004-09-08T00:00:00"/>
    <n v="2004"/>
    <x v="28"/>
    <s v="R"/>
    <s v="RS"/>
    <x v="5"/>
    <s v="DET"/>
    <s v="H"/>
    <n v="3"/>
    <n v="3"/>
    <n v="0"/>
    <n v="0"/>
    <n v="0"/>
    <n v="0"/>
    <n v="1568.2543535407981"/>
    <n v="1503.2518226634836"/>
    <n v="0.70218564876209599"/>
    <n v="86"/>
    <n v="67"/>
    <n v="0"/>
    <n v="19"/>
    <n v="1"/>
    <n v="0.53215157348409048"/>
    <n v="1"/>
    <n v="71.650000000000006"/>
    <n v="71.650000000000006"/>
    <n v="11.355262212986295"/>
    <n v="1579.6096157537843"/>
    <n v="1"/>
    <n v="0"/>
    <n v="0"/>
    <n v="0"/>
    <n v="0"/>
    <n v="0"/>
    <n v="0"/>
    <n v="0"/>
    <n v="0"/>
    <n v="0"/>
  </r>
  <r>
    <d v="2004-09-09T00:00:00"/>
    <n v="2004"/>
    <x v="29"/>
    <s v="R"/>
    <s v="RS"/>
    <x v="2"/>
    <s v="CHA"/>
    <s v="A"/>
    <n v="1"/>
    <n v="0"/>
    <n v="1"/>
    <n v="-1"/>
    <n v="8"/>
    <n v="-8"/>
    <n v="1558.6058273866001"/>
    <n v="1475.9431334926037"/>
    <n v="0.52108879407892561"/>
    <n v="69"/>
    <n v="74"/>
    <n v="0"/>
    <n v="-5"/>
    <n v="0"/>
    <n v="0.31037557453619852"/>
    <n v="1"/>
    <n v="71.5"/>
    <n v="71.5"/>
    <n v="-11.563926220033428"/>
    <n v="1547.0419011665667"/>
    <n v="0"/>
    <n v="1"/>
    <n v="0"/>
    <n v="0"/>
    <n v="0"/>
    <n v="0"/>
    <n v="0"/>
    <n v="0"/>
    <n v="0"/>
    <n v="0"/>
  </r>
  <r>
    <d v="2004-09-09T00:00:00"/>
    <n v="2004"/>
    <x v="29"/>
    <s v="R"/>
    <s v="RS"/>
    <x v="6"/>
    <s v="SAC"/>
    <s v="H"/>
    <n v="0"/>
    <n v="1"/>
    <n v="-1"/>
    <n v="1"/>
    <n v="-8"/>
    <n v="8"/>
    <n v="1475.9431334926037"/>
    <n v="1558.6058273866001"/>
    <n v="0.47891120592107445"/>
    <n v="74"/>
    <n v="69"/>
    <n v="0"/>
    <n v="5"/>
    <n v="1"/>
    <n v="0.31037557453619852"/>
    <n v="1"/>
    <n v="71.5"/>
    <n v="71.5"/>
    <n v="11.563926220033427"/>
    <n v="1487.5070597126371"/>
    <n v="1"/>
    <n v="0"/>
    <n v="0"/>
    <n v="0"/>
    <n v="0"/>
    <n v="0"/>
    <n v="0"/>
    <n v="0"/>
    <n v="0"/>
    <n v="0"/>
  </r>
  <r>
    <d v="2004-09-09T00:00:00"/>
    <n v="2004"/>
    <x v="30"/>
    <s v="R"/>
    <s v="RS"/>
    <x v="10"/>
    <s v="LAS"/>
    <s v="A"/>
    <n v="0"/>
    <n v="0"/>
    <n v="0"/>
    <n v="0"/>
    <n v="0"/>
    <n v="0"/>
    <n v="1491.92033280684"/>
    <n v="1631.6801716976599"/>
    <n v="0.21618048030642115"/>
    <n v="63"/>
    <n v="81"/>
    <n v="0"/>
    <n v="-18"/>
    <n v="0"/>
    <n v="0.48978981120590276"/>
    <n v="1"/>
    <n v="71.349999999999994"/>
    <n v="71.349999999999994"/>
    <n v="-7.5547518099560103"/>
    <n v="1484.3655809968839"/>
    <n v="0"/>
    <n v="1"/>
    <n v="0"/>
    <n v="0"/>
    <n v="0"/>
    <n v="0"/>
    <n v="0"/>
    <n v="0"/>
    <n v="0"/>
    <n v="0"/>
  </r>
  <r>
    <d v="2004-09-09T00:00:00"/>
    <n v="2004"/>
    <x v="29"/>
    <s v="R"/>
    <s v="RS"/>
    <x v="11"/>
    <s v="DET"/>
    <s v="H"/>
    <n v="0"/>
    <n v="0"/>
    <n v="0"/>
    <n v="0"/>
    <n v="0"/>
    <n v="0"/>
    <n v="1631.6801716976599"/>
    <n v="1491.92033280684"/>
    <n v="0.78381951969357888"/>
    <n v="81"/>
    <n v="63"/>
    <n v="0"/>
    <n v="18"/>
    <n v="1"/>
    <n v="0.48978981120590276"/>
    <n v="1"/>
    <n v="71.5"/>
    <n v="71.5"/>
    <n v="7.5706342594513609"/>
    <n v="1639.2508059571112"/>
    <n v="1"/>
    <n v="0"/>
    <n v="0"/>
    <n v="0"/>
    <n v="0"/>
    <n v="0"/>
    <n v="0"/>
    <n v="0"/>
    <n v="0"/>
    <n v="0"/>
  </r>
  <r>
    <d v="2004-09-09T00:00:00"/>
    <n v="2004"/>
    <x v="28"/>
    <s v="R"/>
    <s v="RS"/>
    <x v="1"/>
    <s v="SAS"/>
    <s v="A"/>
    <n v="5"/>
    <n v="4"/>
    <n v="1"/>
    <n v="-1"/>
    <n v="8"/>
    <n v="-8"/>
    <n v="1492.2157879568445"/>
    <n v="1332.0975453944031"/>
    <n v="0.6295473027755204"/>
    <n v="72"/>
    <n v="77"/>
    <n v="0"/>
    <n v="-5"/>
    <n v="0"/>
    <n v="0.29270041243139983"/>
    <n v="1"/>
    <n v="71.650000000000006"/>
    <n v="71.650000000000006"/>
    <n v="-13.202856307749238"/>
    <n v="1479.0129316490952"/>
    <n v="0"/>
    <n v="1"/>
    <n v="0"/>
    <n v="0"/>
    <n v="0"/>
    <n v="0"/>
    <n v="0"/>
    <n v="0"/>
    <n v="0"/>
    <n v="0"/>
  </r>
  <r>
    <d v="2004-09-09T00:00:00"/>
    <n v="2004"/>
    <x v="29"/>
    <s v="R"/>
    <s v="RS"/>
    <x v="0"/>
    <s v="HOU"/>
    <s v="H"/>
    <n v="4"/>
    <n v="5"/>
    <n v="-1"/>
    <n v="1"/>
    <n v="-8"/>
    <n v="8"/>
    <n v="1332.0975453944031"/>
    <n v="1492.2157879568445"/>
    <n v="0.37045269722447965"/>
    <n v="77"/>
    <n v="72"/>
    <n v="0"/>
    <n v="5"/>
    <n v="1"/>
    <n v="0.29270041243139983"/>
    <n v="1"/>
    <n v="71.5"/>
    <n v="71.5"/>
    <n v="13.175215994474115"/>
    <n v="1345.2727613888774"/>
    <n v="1"/>
    <n v="0"/>
    <n v="0"/>
    <n v="0"/>
    <n v="0"/>
    <n v="0"/>
    <n v="0"/>
    <n v="0"/>
    <n v="0"/>
    <n v="0"/>
  </r>
  <r>
    <d v="2004-09-09T00:00:00"/>
    <n v="2004"/>
    <x v="27"/>
    <s v="R"/>
    <s v="RS"/>
    <x v="7"/>
    <s v="WAS"/>
    <s v="A"/>
    <n v="5"/>
    <n v="1"/>
    <n v="4"/>
    <n v="-4"/>
    <n v="16"/>
    <n v="-16"/>
    <n v="1489.0176233736074"/>
    <n v="1428.0375474548209"/>
    <n v="0.51292049102422721"/>
    <n v="59"/>
    <n v="71"/>
    <n v="0"/>
    <n v="-12"/>
    <n v="0"/>
    <n v="0.43407135619730547"/>
    <n v="1"/>
    <n v="71.8"/>
    <n v="71.8"/>
    <n v="-15.985845888907683"/>
    <n v="1473.0317774846997"/>
    <n v="0"/>
    <n v="1"/>
    <n v="0"/>
    <n v="0"/>
    <n v="0"/>
    <n v="0"/>
    <n v="0"/>
    <n v="0"/>
    <n v="0"/>
    <n v="0"/>
  </r>
  <r>
    <d v="2004-09-09T00:00:00"/>
    <n v="2004"/>
    <x v="29"/>
    <s v="R"/>
    <s v="RS"/>
    <x v="12"/>
    <s v="NYL"/>
    <s v="H"/>
    <n v="1"/>
    <n v="5"/>
    <n v="-4"/>
    <n v="4"/>
    <n v="-16"/>
    <n v="16"/>
    <n v="1428.0375474548209"/>
    <n v="1489.0176233736074"/>
    <n v="0.48707950897577285"/>
    <n v="71"/>
    <n v="59"/>
    <n v="0"/>
    <n v="12"/>
    <n v="1"/>
    <n v="0.43407135619730547"/>
    <n v="1"/>
    <n v="71.5"/>
    <n v="71.5"/>
    <n v="15.919052660959599"/>
    <n v="1443.9566001157805"/>
    <n v="1"/>
    <n v="0"/>
    <n v="0"/>
    <n v="0"/>
    <n v="0"/>
    <n v="0"/>
    <n v="0"/>
    <n v="0"/>
    <n v="0"/>
    <n v="0"/>
  </r>
  <r>
    <d v="2004-09-10T00:00:00"/>
    <n v="2004"/>
    <x v="30"/>
    <s v="R"/>
    <s v="RS"/>
    <x v="0"/>
    <s v="IND"/>
    <s v="A"/>
    <n v="0"/>
    <n v="5"/>
    <n v="-5"/>
    <n v="5"/>
    <n v="-16"/>
    <n v="16"/>
    <n v="1345.2727613888774"/>
    <n v="1508.4815871206222"/>
    <n v="0.16697004179094632"/>
    <n v="82"/>
    <n v="65"/>
    <n v="0"/>
    <n v="17"/>
    <n v="1"/>
    <n v="0.46869597000696567"/>
    <n v="1"/>
    <n v="71.349999999999994"/>
    <n v="71.349999999999994"/>
    <n v="27.857735910351145"/>
    <n v="1373.1304972992284"/>
    <n v="1"/>
    <n v="0"/>
    <n v="0"/>
    <n v="0"/>
    <n v="0"/>
    <n v="0"/>
    <n v="0"/>
    <n v="0"/>
    <n v="0"/>
    <n v="0"/>
  </r>
  <r>
    <d v="2004-09-10T00:00:00"/>
    <n v="2004"/>
    <x v="30"/>
    <s v="R"/>
    <s v="RS"/>
    <x v="8"/>
    <s v="SAS"/>
    <s v="H"/>
    <n v="5"/>
    <n v="0"/>
    <n v="5"/>
    <n v="-5"/>
    <n v="16"/>
    <n v="-16"/>
    <n v="1508.4815871206222"/>
    <n v="1345.2727613888774"/>
    <n v="0.83302995820905368"/>
    <n v="65"/>
    <n v="82"/>
    <n v="0"/>
    <n v="-17"/>
    <n v="0"/>
    <n v="0.46869597000696567"/>
    <n v="1"/>
    <n v="71.349999999999994"/>
    <n v="71.349999999999994"/>
    <n v="-27.857735910351145"/>
    <n v="1480.6238512102711"/>
    <n v="0"/>
    <n v="1"/>
    <n v="0"/>
    <n v="0"/>
    <n v="0"/>
    <n v="0"/>
    <n v="0"/>
    <n v="0"/>
    <n v="0"/>
    <n v="0"/>
  </r>
  <r>
    <d v="2004-09-10T00:00:00"/>
    <n v="2004"/>
    <x v="29"/>
    <s v="R"/>
    <s v="RS"/>
    <x v="5"/>
    <s v="MIN"/>
    <s v="A"/>
    <n v="1"/>
    <n v="1"/>
    <n v="0"/>
    <n v="0"/>
    <n v="0"/>
    <n v="0"/>
    <n v="1579.6096157537843"/>
    <n v="1504.9616552945736"/>
    <n v="0.48654458274615525"/>
    <n v="61"/>
    <n v="64"/>
    <n v="0"/>
    <n v="-3"/>
    <n v="0"/>
    <n v="0.27318933236514825"/>
    <n v="1"/>
    <n v="71.5"/>
    <n v="71.5"/>
    <n v="-9.5036934654305778"/>
    <n v="1570.1059222883537"/>
    <n v="0"/>
    <n v="1"/>
    <n v="0"/>
    <n v="0"/>
    <n v="0"/>
    <n v="0"/>
    <n v="0"/>
    <n v="0"/>
    <n v="0"/>
    <n v="0"/>
  </r>
  <r>
    <d v="2004-09-10T00:00:00"/>
    <n v="2004"/>
    <x v="29"/>
    <s v="R"/>
    <s v="RS"/>
    <x v="4"/>
    <s v="SEA"/>
    <s v="H"/>
    <n v="1"/>
    <n v="1"/>
    <n v="0"/>
    <n v="0"/>
    <n v="0"/>
    <n v="0"/>
    <n v="1504.9616552945736"/>
    <n v="1579.6096157537843"/>
    <n v="0.51345541725384469"/>
    <n v="64"/>
    <n v="61"/>
    <n v="0"/>
    <n v="3"/>
    <n v="1"/>
    <n v="0.27318933236514825"/>
    <n v="1"/>
    <n v="71.5"/>
    <n v="71.5"/>
    <n v="9.5036934654305778"/>
    <n v="1514.4653487600042"/>
    <n v="1"/>
    <n v="0"/>
    <n v="0"/>
    <n v="0"/>
    <n v="0"/>
    <n v="0"/>
    <n v="0"/>
    <n v="0"/>
    <n v="0"/>
    <n v="0"/>
  </r>
  <r>
    <d v="2004-09-10T00:00:00"/>
    <n v="2004"/>
    <x v="29"/>
    <s v="R"/>
    <s v="RS"/>
    <x v="9"/>
    <s v="NYL"/>
    <s v="A"/>
    <n v="6"/>
    <n v="0"/>
    <n v="6"/>
    <n v="-6"/>
    <n v="16"/>
    <n v="-16"/>
    <n v="1479.0571625300202"/>
    <n v="1473.0317774846997"/>
    <n v="0.4342206963184797"/>
    <n v="77"/>
    <n v="66"/>
    <n v="0"/>
    <n v="11"/>
    <n v="1"/>
    <n v="0.43763851976409579"/>
    <n v="1"/>
    <n v="71.5"/>
    <n v="71.5"/>
    <n v="17.703887413808406"/>
    <n v="1496.7610499438285"/>
    <n v="1"/>
    <n v="0"/>
    <n v="0"/>
    <n v="0"/>
    <n v="0"/>
    <n v="0"/>
    <n v="0"/>
    <n v="0"/>
    <n v="0"/>
    <n v="0"/>
  </r>
  <r>
    <d v="2004-09-10T00:00:00"/>
    <n v="2004"/>
    <x v="28"/>
    <s v="R"/>
    <s v="RS"/>
    <x v="7"/>
    <s v="CON"/>
    <s v="H"/>
    <n v="0"/>
    <n v="6"/>
    <n v="-6"/>
    <n v="6"/>
    <n v="-16"/>
    <n v="16"/>
    <n v="1473.0317774846997"/>
    <n v="1479.0571625300202"/>
    <n v="0.5657793036815203"/>
    <n v="66"/>
    <n v="77"/>
    <n v="0"/>
    <n v="-11"/>
    <n v="0"/>
    <n v="0.43763851976409579"/>
    <n v="1"/>
    <n v="71.650000000000006"/>
    <n v="71.650000000000006"/>
    <n v="-17.74102843635486"/>
    <n v="1455.2907490483449"/>
    <n v="0"/>
    <n v="1"/>
    <n v="0"/>
    <n v="0"/>
    <n v="0"/>
    <n v="0"/>
    <n v="0"/>
    <n v="0"/>
    <n v="0"/>
    <n v="0"/>
  </r>
  <r>
    <d v="2004-09-11T00:00:00"/>
    <n v="2004"/>
    <x v="30"/>
    <s v="R"/>
    <s v="RS"/>
    <x v="4"/>
    <s v="CHA"/>
    <s v="A"/>
    <n v="0"/>
    <n v="1"/>
    <n v="-1"/>
    <n v="1"/>
    <n v="-8"/>
    <n v="8"/>
    <n v="1514.4653487600042"/>
    <n v="1487.5070597126371"/>
    <n v="0.39640622991371494"/>
    <n v="50"/>
    <n v="60"/>
    <n v="0"/>
    <n v="-10"/>
    <n v="0"/>
    <n v="0.4138328447929322"/>
    <n v="1"/>
    <n v="71.349999999999994"/>
    <n v="71.349999999999994"/>
    <n v="-11.704676236373789"/>
    <n v="1502.7606725236303"/>
    <n v="0"/>
    <n v="1"/>
    <n v="0"/>
    <n v="0"/>
    <n v="0"/>
    <n v="0"/>
    <n v="0"/>
    <n v="0"/>
    <n v="0"/>
    <n v="0"/>
  </r>
  <r>
    <d v="2004-09-11T00:00:00"/>
    <n v="2004"/>
    <x v="30"/>
    <s v="R"/>
    <s v="RS"/>
    <x v="6"/>
    <s v="MIN"/>
    <s v="H"/>
    <n v="1"/>
    <n v="0"/>
    <n v="1"/>
    <n v="-1"/>
    <n v="8"/>
    <n v="-8"/>
    <n v="1487.5070597126371"/>
    <n v="1514.4653487600042"/>
    <n v="0.60359377008628501"/>
    <n v="60"/>
    <n v="50"/>
    <n v="0"/>
    <n v="10"/>
    <n v="1"/>
    <n v="0.4138328447929322"/>
    <n v="1"/>
    <n v="71.349999999999994"/>
    <n v="71.349999999999994"/>
    <n v="11.704676236373791"/>
    <n v="1499.211735949011"/>
    <n v="1"/>
    <n v="0"/>
    <n v="0"/>
    <n v="0"/>
    <n v="0"/>
    <n v="0"/>
    <n v="0"/>
    <n v="0"/>
    <n v="0"/>
    <n v="0"/>
  </r>
  <r>
    <d v="2004-09-11T00:00:00"/>
    <n v="2004"/>
    <x v="31"/>
    <s v="R"/>
    <s v="RS"/>
    <x v="10"/>
    <s v="PHX"/>
    <s v="A"/>
    <n v="1"/>
    <n v="2"/>
    <n v="-1"/>
    <n v="1"/>
    <n v="-8"/>
    <n v="8"/>
    <n v="1484.3655809968839"/>
    <n v="1547.5773920528304"/>
    <n v="0.28099676345614905"/>
    <n v="80"/>
    <n v="72"/>
    <n v="0"/>
    <n v="8"/>
    <n v="1"/>
    <n v="0.36888401289890155"/>
    <n v="1"/>
    <n v="71.2"/>
    <n v="71.2"/>
    <n v="18.884290501871885"/>
    <n v="1503.2498714987557"/>
    <n v="1"/>
    <n v="0"/>
    <n v="0"/>
    <n v="0"/>
    <n v="0"/>
    <n v="0"/>
    <n v="0"/>
    <n v="0"/>
    <n v="0"/>
    <n v="0"/>
  </r>
  <r>
    <d v="2004-09-11T00:00:00"/>
    <n v="2004"/>
    <x v="29"/>
    <s v="R"/>
    <s v="RS"/>
    <x v="3"/>
    <s v="DET"/>
    <s v="H"/>
    <n v="2"/>
    <n v="1"/>
    <n v="1"/>
    <n v="-1"/>
    <n v="8"/>
    <n v="-8"/>
    <n v="1547.5773920528304"/>
    <n v="1484.3655809968839"/>
    <n v="0.71900323654385101"/>
    <n v="72"/>
    <n v="80"/>
    <n v="0"/>
    <n v="-8"/>
    <n v="0"/>
    <n v="0.36888401289890155"/>
    <n v="1"/>
    <n v="71.5"/>
    <n v="71.5"/>
    <n v="-18.963859141626962"/>
    <n v="1528.6135329112035"/>
    <n v="0"/>
    <n v="1"/>
    <n v="0"/>
    <n v="0"/>
    <n v="0"/>
    <n v="0"/>
    <n v="0"/>
    <n v="0"/>
    <n v="0"/>
    <n v="0"/>
  </r>
  <r>
    <d v="2004-09-12T00:00:00"/>
    <n v="2004"/>
    <x v="30"/>
    <s v="R"/>
    <s v="RS"/>
    <x v="5"/>
    <s v="CON"/>
    <s v="A"/>
    <n v="1"/>
    <n v="1"/>
    <n v="0"/>
    <n v="0"/>
    <n v="0"/>
    <n v="0"/>
    <n v="1570.1059222883537"/>
    <n v="1496.7610499438285"/>
    <n v="0.48467084418414019"/>
    <n v="64"/>
    <n v="71"/>
    <n v="0"/>
    <n v="-7"/>
    <n v="0"/>
    <n v="0.34878893898307345"/>
    <n v="1"/>
    <n v="71.349999999999994"/>
    <n v="71.349999999999994"/>
    <n v="-12.061562634754846"/>
    <n v="1558.0443596535988"/>
    <n v="0"/>
    <n v="1"/>
    <n v="0"/>
    <n v="0"/>
    <n v="0"/>
    <n v="0"/>
    <n v="0"/>
    <n v="0"/>
    <n v="0"/>
    <n v="0"/>
  </r>
  <r>
    <d v="2004-09-12T00:00:00"/>
    <n v="2004"/>
    <x v="30"/>
    <s v="R"/>
    <s v="RS"/>
    <x v="9"/>
    <s v="SEA"/>
    <s v="H"/>
    <n v="1"/>
    <n v="1"/>
    <n v="0"/>
    <n v="0"/>
    <n v="0"/>
    <n v="0"/>
    <n v="1496.7610499438285"/>
    <n v="1570.1059222883537"/>
    <n v="0.51532915581585992"/>
    <n v="71"/>
    <n v="64"/>
    <n v="0"/>
    <n v="7"/>
    <n v="1"/>
    <n v="0.34878893898307345"/>
    <n v="1"/>
    <n v="71.349999999999994"/>
    <n v="71.349999999999994"/>
    <n v="12.061562634754843"/>
    <n v="1508.8226125785834"/>
    <n v="1"/>
    <n v="0"/>
    <n v="0"/>
    <n v="0"/>
    <n v="0"/>
    <n v="0"/>
    <n v="0"/>
    <n v="0"/>
    <n v="0"/>
    <n v="0"/>
  </r>
  <r>
    <d v="2004-09-12T00:00:00"/>
    <n v="2004"/>
    <x v="30"/>
    <s v="R"/>
    <s v="RS"/>
    <x v="2"/>
    <s v="LAS"/>
    <s v="A"/>
    <n v="2"/>
    <n v="2"/>
    <n v="0"/>
    <n v="0"/>
    <n v="0"/>
    <n v="0"/>
    <n v="1547.0419011665667"/>
    <n v="1639.2508059571112"/>
    <n v="0.26613136644312824"/>
    <n v="52"/>
    <n v="65"/>
    <n v="0"/>
    <n v="-13"/>
    <n v="0"/>
    <n v="0.43835985395005306"/>
    <n v="1"/>
    <n v="71.349999999999994"/>
    <n v="71.349999999999994"/>
    <n v="-8.3237842491371179"/>
    <n v="1538.7181169174296"/>
    <n v="0"/>
    <n v="1"/>
    <n v="0"/>
    <n v="0"/>
    <n v="0"/>
    <n v="0"/>
    <n v="0"/>
    <n v="0"/>
    <n v="0"/>
    <n v="0"/>
  </r>
  <r>
    <d v="2004-09-12T00:00:00"/>
    <n v="2004"/>
    <x v="30"/>
    <s v="R"/>
    <s v="RS"/>
    <x v="11"/>
    <s v="SAC"/>
    <s v="H"/>
    <n v="2"/>
    <n v="2"/>
    <n v="0"/>
    <n v="0"/>
    <n v="0"/>
    <n v="0"/>
    <n v="1639.2508059571112"/>
    <n v="1547.0419011665667"/>
    <n v="0.73386863355687171"/>
    <n v="65"/>
    <n v="52"/>
    <n v="0"/>
    <n v="13"/>
    <n v="1"/>
    <n v="0.43835985395005306"/>
    <n v="1"/>
    <n v="71.349999999999994"/>
    <n v="71.349999999999994"/>
    <n v="8.3237842491371197"/>
    <n v="1647.5745902062483"/>
    <n v="1"/>
    <n v="0"/>
    <n v="0"/>
    <n v="0"/>
    <n v="0"/>
    <n v="0"/>
    <n v="0"/>
    <n v="0"/>
    <n v="0"/>
    <n v="0"/>
  </r>
  <r>
    <d v="2004-09-12T00:00:00"/>
    <n v="2004"/>
    <x v="31"/>
    <s v="R"/>
    <s v="RS"/>
    <x v="0"/>
    <s v="NYL"/>
    <s v="A"/>
    <n v="1"/>
    <n v="1"/>
    <n v="0"/>
    <n v="0"/>
    <n v="0"/>
    <n v="0"/>
    <n v="1373.1304972992284"/>
    <n v="1455.2907490483449"/>
    <n v="0.27758044326441916"/>
    <n v="62"/>
    <n v="64"/>
    <n v="0"/>
    <n v="-2"/>
    <n v="0"/>
    <n v="0.25067816954482758"/>
    <n v="1"/>
    <n v="71.2"/>
    <n v="71.2"/>
    <n v="-4.954335048230412"/>
    <n v="1368.176162250998"/>
    <n v="0"/>
    <n v="1"/>
    <n v="0"/>
    <n v="0"/>
    <n v="0"/>
    <n v="0"/>
    <n v="0"/>
    <n v="0"/>
    <n v="0"/>
    <n v="0"/>
  </r>
  <r>
    <d v="2004-09-12T00:00:00"/>
    <n v="2004"/>
    <x v="29"/>
    <s v="R"/>
    <s v="RS"/>
    <x v="7"/>
    <s v="SAS"/>
    <s v="H"/>
    <n v="1"/>
    <n v="1"/>
    <n v="0"/>
    <n v="0"/>
    <n v="0"/>
    <n v="0"/>
    <n v="1455.2907490483449"/>
    <n v="1373.1304972992284"/>
    <n v="0.72241955673558089"/>
    <n v="64"/>
    <n v="62"/>
    <n v="0"/>
    <n v="2"/>
    <n v="1"/>
    <n v="0.25067816954482758"/>
    <n v="1"/>
    <n v="71.5"/>
    <n v="71.5"/>
    <n v="4.9752100554561016"/>
    <n v="1460.2659591038009"/>
    <n v="1"/>
    <n v="0"/>
    <n v="0"/>
    <n v="0"/>
    <n v="0"/>
    <n v="0"/>
    <n v="0"/>
    <n v="0"/>
    <n v="0"/>
    <n v="0"/>
  </r>
  <r>
    <d v="2004-09-12T00:00:00"/>
    <n v="2004"/>
    <x v="29"/>
    <s v="R"/>
    <s v="RS"/>
    <x v="1"/>
    <s v="WAS"/>
    <s v="A"/>
    <n v="2"/>
    <n v="2"/>
    <n v="0"/>
    <n v="0"/>
    <n v="0"/>
    <n v="0"/>
    <n v="1479.0129316490952"/>
    <n v="1443.9566001157805"/>
    <n v="0.43002665448998534"/>
    <n v="63"/>
    <n v="75"/>
    <n v="0"/>
    <n v="-12"/>
    <n v="0"/>
    <n v="0.44318248303080282"/>
    <n v="1"/>
    <n v="71.5"/>
    <n v="71.5"/>
    <n v="-13.62649005620051"/>
    <n v="1465.3864415928947"/>
    <n v="0"/>
    <n v="1"/>
    <n v="0"/>
    <n v="0"/>
    <n v="0"/>
    <n v="0"/>
    <n v="0"/>
    <n v="0"/>
    <n v="0"/>
    <n v="0"/>
  </r>
  <r>
    <d v="2004-09-12T00:00:00"/>
    <n v="2004"/>
    <x v="30"/>
    <s v="R"/>
    <s v="RS"/>
    <x v="12"/>
    <s v="HOU"/>
    <s v="H"/>
    <n v="2"/>
    <n v="2"/>
    <n v="0"/>
    <n v="0"/>
    <n v="0"/>
    <n v="0"/>
    <n v="1443.9566001157805"/>
    <n v="1479.0129316490952"/>
    <n v="0.56997334551001466"/>
    <n v="75"/>
    <n v="63"/>
    <n v="0"/>
    <n v="12"/>
    <n v="1"/>
    <n v="0.44318248303080282"/>
    <n v="1"/>
    <n v="71.349999999999994"/>
    <n v="71.349999999999994"/>
    <n v="13.597903014124563"/>
    <n v="1457.554503129905"/>
    <n v="1"/>
    <n v="0"/>
    <n v="0"/>
    <n v="0"/>
    <n v="0"/>
    <n v="0"/>
    <n v="0"/>
    <n v="0"/>
    <n v="0"/>
    <n v="0"/>
  </r>
  <r>
    <d v="2004-09-13T00:00:00"/>
    <n v="2004"/>
    <x v="31"/>
    <s v="R"/>
    <s v="RS"/>
    <x v="5"/>
    <s v="IND"/>
    <s v="A"/>
    <n v="0"/>
    <n v="2"/>
    <n v="-2"/>
    <n v="2"/>
    <n v="-16"/>
    <n v="16"/>
    <n v="1558.0443596535988"/>
    <n v="1480.6238512102711"/>
    <n v="0.44470671815038371"/>
    <n v="76"/>
    <n v="70"/>
    <n v="0"/>
    <n v="6"/>
    <n v="1"/>
    <n v="0.32999071998842217"/>
    <n v="1"/>
    <n v="71.2"/>
    <n v="71.2"/>
    <n v="13.046804047618958"/>
    <n v="1571.0911637012177"/>
    <n v="1"/>
    <n v="0"/>
    <n v="0"/>
    <n v="0"/>
    <n v="0"/>
    <n v="0"/>
    <n v="0"/>
    <n v="0"/>
    <n v="0"/>
    <n v="0"/>
  </r>
  <r>
    <d v="2004-09-13T00:00:00"/>
    <n v="2004"/>
    <x v="31"/>
    <s v="R"/>
    <s v="RS"/>
    <x v="8"/>
    <s v="SEA"/>
    <s v="H"/>
    <n v="2"/>
    <n v="0"/>
    <n v="2"/>
    <n v="-2"/>
    <n v="16"/>
    <n v="-16"/>
    <n v="1480.6238512102711"/>
    <n v="1558.0443596535988"/>
    <n v="0.55529328184961635"/>
    <n v="70"/>
    <n v="76"/>
    <n v="0"/>
    <n v="-6"/>
    <n v="0"/>
    <n v="0.32999071998842217"/>
    <n v="1"/>
    <n v="71.2"/>
    <n v="71.2"/>
    <n v="-13.046804047618958"/>
    <n v="1467.5770471626522"/>
    <n v="0"/>
    <n v="1"/>
    <n v="0"/>
    <n v="0"/>
    <n v="0"/>
    <n v="0"/>
    <n v="0"/>
    <n v="0"/>
    <n v="0"/>
    <n v="0"/>
  </r>
  <r>
    <d v="2004-09-14T00:00:00"/>
    <n v="2004"/>
    <x v="30"/>
    <s v="R"/>
    <s v="RS"/>
    <x v="7"/>
    <s v="DET"/>
    <s v="A"/>
    <n v="1"/>
    <n v="2"/>
    <n v="-1"/>
    <n v="1"/>
    <n v="-8"/>
    <n v="8"/>
    <n v="1460.2659591038009"/>
    <n v="1503.2498714987557"/>
    <n v="0.30510992140200666"/>
    <n v="71"/>
    <n v="82"/>
    <n v="1"/>
    <n v="-11"/>
    <n v="0"/>
    <n v="0.38216331131991726"/>
    <n v="1"/>
    <n v="71.349999999999994"/>
    <n v="71.349999999999994"/>
    <n v="-8.3195397057059317"/>
    <n v="1451.946419398095"/>
    <n v="0"/>
    <n v="1"/>
    <n v="0"/>
    <n v="0"/>
    <n v="0"/>
    <n v="0"/>
    <n v="0"/>
    <n v="0"/>
    <n v="0"/>
    <n v="0"/>
  </r>
  <r>
    <d v="2004-09-14T00:00:00"/>
    <n v="2004"/>
    <x v="32"/>
    <s v="R"/>
    <s v="RS"/>
    <x v="10"/>
    <s v="NYL"/>
    <s v="H"/>
    <n v="2"/>
    <n v="1"/>
    <n v="1"/>
    <n v="-1"/>
    <n v="8"/>
    <n v="-8"/>
    <n v="1503.2498714987557"/>
    <n v="1460.2659591038009"/>
    <n v="0.69489007859799334"/>
    <n v="82"/>
    <n v="71"/>
    <n v="1"/>
    <n v="11"/>
    <n v="1"/>
    <n v="0.38216331131991726"/>
    <n v="1"/>
    <n v="71.05"/>
    <n v="71.05"/>
    <n v="8.2845591603420665"/>
    <n v="1511.5344306590978"/>
    <n v="1"/>
    <n v="0"/>
    <n v="0"/>
    <n v="0"/>
    <n v="0"/>
    <n v="0"/>
    <n v="0"/>
    <n v="0"/>
    <n v="0"/>
    <n v="0"/>
  </r>
  <r>
    <d v="2004-09-14T00:00:00"/>
    <n v="2004"/>
    <x v="31"/>
    <s v="R"/>
    <s v="RS"/>
    <x v="4"/>
    <s v="HOU"/>
    <s v="A"/>
    <n v="2"/>
    <n v="1"/>
    <n v="1"/>
    <n v="-1"/>
    <n v="8"/>
    <n v="-8"/>
    <n v="1502.7606725236303"/>
    <n v="1465.3864415928947"/>
    <n v="0.45603977462429901"/>
    <n v="59"/>
    <n v="70"/>
    <n v="0"/>
    <n v="-11"/>
    <n v="0"/>
    <n v="0.42655095856663466"/>
    <n v="1"/>
    <n v="71.2"/>
    <n v="71.2"/>
    <n v="-13.850123254348084"/>
    <n v="1488.9105492692822"/>
    <n v="0"/>
    <n v="1"/>
    <n v="0"/>
    <n v="0"/>
    <n v="0"/>
    <n v="0"/>
    <n v="0"/>
    <n v="0"/>
    <n v="0"/>
    <n v="0"/>
  </r>
  <r>
    <d v="2004-09-14T00:00:00"/>
    <n v="2004"/>
    <x v="30"/>
    <s v="R"/>
    <s v="RS"/>
    <x v="1"/>
    <s v="MIN"/>
    <s v="H"/>
    <n v="1"/>
    <n v="2"/>
    <n v="-1"/>
    <n v="1"/>
    <n v="-8"/>
    <n v="8"/>
    <n v="1465.3864415928947"/>
    <n v="1502.7606725236303"/>
    <n v="0.54396022537570099"/>
    <n v="70"/>
    <n v="59"/>
    <n v="0"/>
    <n v="11"/>
    <n v="1"/>
    <n v="0.42655095856663466"/>
    <n v="1"/>
    <n v="71.349999999999994"/>
    <n v="71.349999999999994"/>
    <n v="13.879301884799657"/>
    <n v="1479.2657434776943"/>
    <n v="1"/>
    <n v="0"/>
    <n v="0"/>
    <n v="0"/>
    <n v="0"/>
    <n v="0"/>
    <n v="0"/>
    <n v="0"/>
    <n v="0"/>
    <n v="0"/>
  </r>
  <r>
    <d v="2004-09-14T00:00:00"/>
    <n v="2004"/>
    <x v="30"/>
    <s v="R"/>
    <s v="RS"/>
    <x v="3"/>
    <s v="LAS"/>
    <s v="A"/>
    <n v="2"/>
    <n v="1"/>
    <n v="1"/>
    <n v="-1"/>
    <n v="8"/>
    <n v="-8"/>
    <n v="1528.6135329112035"/>
    <n v="1647.5745902062483"/>
    <n v="0.25421929053391268"/>
    <n v="60"/>
    <n v="73"/>
    <n v="0"/>
    <n v="-13"/>
    <n v="0"/>
    <n v="0.4294687122443438"/>
    <n v="1"/>
    <n v="71.349999999999994"/>
    <n v="71.349999999999994"/>
    <n v="-7.7899381556288265"/>
    <n v="1520.8235947555747"/>
    <n v="0"/>
    <n v="1"/>
    <n v="0"/>
    <n v="0"/>
    <n v="0"/>
    <n v="0"/>
    <n v="0"/>
    <n v="0"/>
    <n v="0"/>
    <n v="0"/>
  </r>
  <r>
    <d v="2004-09-14T00:00:00"/>
    <n v="2004"/>
    <x v="31"/>
    <s v="R"/>
    <s v="RS"/>
    <x v="11"/>
    <s v="PHX"/>
    <s v="H"/>
    <n v="1"/>
    <n v="2"/>
    <n v="-1"/>
    <n v="1"/>
    <n v="-8"/>
    <n v="8"/>
    <n v="1647.5745902062483"/>
    <n v="1528.6135329112035"/>
    <n v="0.74578070946608743"/>
    <n v="73"/>
    <n v="60"/>
    <n v="0"/>
    <n v="13"/>
    <n v="1"/>
    <n v="0.4294687122443438"/>
    <n v="1"/>
    <n v="71.2"/>
    <n v="71.2"/>
    <n v="7.7735612709288331"/>
    <n v="1655.3481514771772"/>
    <n v="1"/>
    <n v="0"/>
    <n v="0"/>
    <n v="0"/>
    <n v="0"/>
    <n v="0"/>
    <n v="0"/>
    <n v="0"/>
    <n v="0"/>
    <n v="0"/>
  </r>
  <r>
    <d v="2004-09-15T00:00:00"/>
    <n v="2004"/>
    <x v="31"/>
    <s v="R"/>
    <s v="RS"/>
    <x v="9"/>
    <s v="CHA"/>
    <s v="A"/>
    <n v="2"/>
    <n v="3"/>
    <n v="-1"/>
    <n v="1"/>
    <n v="-8"/>
    <n v="8"/>
    <n v="1508.8226125785834"/>
    <n v="1499.211735949011"/>
    <n v="0.37277703122569195"/>
    <n v="81"/>
    <n v="67"/>
    <n v="0"/>
    <n v="14"/>
    <n v="1"/>
    <n v="0.48373384825317656"/>
    <n v="1"/>
    <n v="71.2"/>
    <n v="71.2"/>
    <n v="21.602719404336035"/>
    <n v="1530.4253319829195"/>
    <n v="1"/>
    <n v="0"/>
    <n v="0"/>
    <n v="0"/>
    <n v="0"/>
    <n v="0"/>
    <n v="0"/>
    <n v="0"/>
    <n v="0"/>
    <n v="0"/>
  </r>
  <r>
    <d v="2004-09-15T00:00:00"/>
    <n v="2004"/>
    <x v="31"/>
    <s v="R"/>
    <s v="RS"/>
    <x v="6"/>
    <s v="CON"/>
    <s v="H"/>
    <n v="3"/>
    <n v="2"/>
    <n v="1"/>
    <n v="-1"/>
    <n v="8"/>
    <n v="-8"/>
    <n v="1499.211735949011"/>
    <n v="1508.8226125785834"/>
    <n v="0.62722296877430805"/>
    <n v="67"/>
    <n v="81"/>
    <n v="0"/>
    <n v="-14"/>
    <n v="0"/>
    <n v="0.48373384825317656"/>
    <n v="1"/>
    <n v="71.2"/>
    <n v="71.2"/>
    <n v="-21.602719404336035"/>
    <n v="1477.6090165446749"/>
    <n v="0"/>
    <n v="1"/>
    <n v="0"/>
    <n v="0"/>
    <n v="0"/>
    <n v="0"/>
    <n v="0"/>
    <n v="0"/>
    <n v="0"/>
    <n v="0"/>
  </r>
  <r>
    <d v="2004-09-15T00:00:00"/>
    <n v="2004"/>
    <x v="31"/>
    <s v="R"/>
    <s v="RS"/>
    <x v="12"/>
    <s v="SAS"/>
    <s v="A"/>
    <n v="2"/>
    <n v="2"/>
    <n v="0"/>
    <n v="0"/>
    <n v="0"/>
    <n v="0"/>
    <n v="1457.554503129905"/>
    <n v="1368.176162250998"/>
    <n v="0.50773943650772224"/>
    <n v="84"/>
    <n v="73"/>
    <n v="0"/>
    <n v="11"/>
    <n v="1"/>
    <n v="0.40934700667406881"/>
    <n v="1"/>
    <n v="71.2"/>
    <n v="71.2"/>
    <n v="14.347183637650906"/>
    <n v="1471.9016867675559"/>
    <n v="1"/>
    <n v="0"/>
    <n v="0"/>
    <n v="0"/>
    <n v="0"/>
    <n v="0"/>
    <n v="0"/>
    <n v="0"/>
    <n v="0"/>
    <n v="0"/>
  </r>
  <r>
    <d v="2004-09-15T00:00:00"/>
    <n v="2004"/>
    <x v="32"/>
    <s v="R"/>
    <s v="RS"/>
    <x v="0"/>
    <s v="WAS"/>
    <s v="H"/>
    <n v="2"/>
    <n v="2"/>
    <n v="0"/>
    <n v="0"/>
    <n v="0"/>
    <n v="0"/>
    <n v="1368.176162250998"/>
    <n v="1457.554503129905"/>
    <n v="0.49226056349227781"/>
    <n v="73"/>
    <n v="84"/>
    <n v="0"/>
    <n v="-11"/>
    <n v="0"/>
    <n v="0.40934700667406881"/>
    <n v="1"/>
    <n v="71.05"/>
    <n v="71.05"/>
    <n v="-14.316957829425521"/>
    <n v="1353.8592044215725"/>
    <n v="0"/>
    <n v="1"/>
    <n v="0"/>
    <n v="0"/>
    <n v="0"/>
    <n v="0"/>
    <n v="0"/>
    <n v="0"/>
    <n v="0"/>
    <n v="0"/>
  </r>
  <r>
    <d v="2004-09-15T00:00:00"/>
    <n v="2004"/>
    <x v="31"/>
    <s v="R"/>
    <s v="RS"/>
    <x v="3"/>
    <s v="SEA"/>
    <s v="A"/>
    <n v="0"/>
    <n v="1"/>
    <n v="-1"/>
    <n v="1"/>
    <n v="-8"/>
    <n v="8"/>
    <n v="1520.8235947555747"/>
    <n v="1571.0911637012177"/>
    <n v="0.29629374773800637"/>
    <n v="58"/>
    <n v="73"/>
    <n v="0"/>
    <n v="-15"/>
    <n v="0"/>
    <n v="0.48263079731275549"/>
    <n v="1"/>
    <n v="71.2"/>
    <n v="71.2"/>
    <n v="-10.181634724921988"/>
    <n v="1510.6419600306529"/>
    <n v="0"/>
    <n v="1"/>
    <n v="0"/>
    <n v="0"/>
    <n v="0"/>
    <n v="0"/>
    <n v="0"/>
    <n v="0"/>
    <n v="0"/>
    <n v="0"/>
  </r>
  <r>
    <d v="2004-09-15T00:00:00"/>
    <n v="2004"/>
    <x v="32"/>
    <s v="R"/>
    <s v="RS"/>
    <x v="5"/>
    <s v="PHX"/>
    <s v="H"/>
    <n v="1"/>
    <n v="0"/>
    <n v="1"/>
    <n v="-1"/>
    <n v="8"/>
    <n v="-8"/>
    <n v="1571.0911637012177"/>
    <n v="1520.8235947555747"/>
    <n v="0.70370625226199357"/>
    <n v="73"/>
    <n v="58"/>
    <n v="0"/>
    <n v="15"/>
    <n v="1"/>
    <n v="0.48263079731275549"/>
    <n v="1"/>
    <n v="71.05"/>
    <n v="71.05"/>
    <n v="10.160184651765551"/>
    <n v="1581.2513483529833"/>
    <n v="1"/>
    <n v="0"/>
    <n v="0"/>
    <n v="0"/>
    <n v="0"/>
    <n v="0"/>
    <n v="0"/>
    <n v="0"/>
    <n v="0"/>
    <n v="0"/>
  </r>
  <r>
    <d v="2004-09-16T00:00:00"/>
    <n v="2004"/>
    <x v="31"/>
    <s v="R"/>
    <s v="RS"/>
    <x v="2"/>
    <s v="HOU"/>
    <s v="A"/>
    <n v="3"/>
    <n v="1"/>
    <n v="2"/>
    <n v="-2"/>
    <n v="16"/>
    <n v="-16"/>
    <n v="1538.7181169174296"/>
    <n v="1479.2657434776943"/>
    <n v="0.51072318300917363"/>
    <n v="71"/>
    <n v="62"/>
    <n v="0"/>
    <n v="9"/>
    <n v="1"/>
    <n v="0.38680766565723756"/>
    <n v="1"/>
    <n v="71.2"/>
    <n v="71.2"/>
    <n v="13.475028868958258"/>
    <n v="1552.193145786388"/>
    <n v="1"/>
    <n v="0"/>
    <n v="0"/>
    <n v="0"/>
    <n v="0"/>
    <n v="0"/>
    <n v="0"/>
    <n v="0"/>
    <n v="0"/>
    <n v="0"/>
  </r>
  <r>
    <d v="2004-09-16T00:00:00"/>
    <n v="2004"/>
    <x v="31"/>
    <s v="R"/>
    <s v="RS"/>
    <x v="1"/>
    <s v="SAC"/>
    <s v="H"/>
    <n v="1"/>
    <n v="3"/>
    <n v="-2"/>
    <n v="2"/>
    <n v="-16"/>
    <n v="16"/>
    <n v="1479.2657434776943"/>
    <n v="1538.7181169174296"/>
    <n v="0.48927681699082642"/>
    <n v="62"/>
    <n v="71"/>
    <n v="0"/>
    <n v="-9"/>
    <n v="0"/>
    <n v="0.38680766565723756"/>
    <n v="1"/>
    <n v="71.2"/>
    <n v="71.2"/>
    <n v="-13.47502886895826"/>
    <n v="1465.7907146087359"/>
    <n v="0"/>
    <n v="1"/>
    <n v="0"/>
    <n v="0"/>
    <n v="0"/>
    <n v="0"/>
    <n v="0"/>
    <n v="0"/>
    <n v="0"/>
    <n v="0"/>
  </r>
  <r>
    <d v="2004-09-16T00:00:00"/>
    <n v="2004"/>
    <x v="32"/>
    <s v="R"/>
    <s v="RS"/>
    <x v="8"/>
    <s v="NYL"/>
    <s v="A"/>
    <n v="2"/>
    <n v="1"/>
    <n v="1"/>
    <n v="-1"/>
    <n v="8"/>
    <n v="-8"/>
    <n v="1467.5770471626522"/>
    <n v="1451.946419398095"/>
    <n v="0.42520004109427728"/>
    <n v="71"/>
    <n v="77"/>
    <n v="1"/>
    <n v="-6"/>
    <n v="0"/>
    <n v="0.31208758097509026"/>
    <n v="1"/>
    <n v="71.05"/>
    <n v="71.05"/>
    <n v="-9.4283102927619407"/>
    <n v="1458.1487368698902"/>
    <n v="0"/>
    <n v="1"/>
    <n v="0"/>
    <n v="0"/>
    <n v="0"/>
    <n v="0"/>
    <n v="0"/>
    <n v="0"/>
    <n v="0"/>
    <n v="0"/>
  </r>
  <r>
    <d v="2004-09-16T00:00:00"/>
    <n v="2004"/>
    <x v="31"/>
    <s v="R"/>
    <s v="RS"/>
    <x v="7"/>
    <s v="IND"/>
    <s v="H"/>
    <n v="1"/>
    <n v="2"/>
    <n v="-1"/>
    <n v="1"/>
    <n v="-8"/>
    <n v="8"/>
    <n v="1451.946419398095"/>
    <n v="1467.5770471626522"/>
    <n v="0.57479995890572277"/>
    <n v="77"/>
    <n v="71"/>
    <n v="1"/>
    <n v="6"/>
    <n v="1"/>
    <n v="0.31208758097509026"/>
    <n v="1"/>
    <n v="71.2"/>
    <n v="71.2"/>
    <n v="9.4482152406002822"/>
    <n v="1461.3946346386954"/>
    <n v="1"/>
    <n v="0"/>
    <n v="0"/>
    <n v="0"/>
    <n v="0"/>
    <n v="0"/>
    <n v="0"/>
    <n v="0"/>
    <n v="0"/>
    <n v="0"/>
  </r>
  <r>
    <d v="2004-09-17T00:00:00"/>
    <n v="2004"/>
    <x v="32"/>
    <s v="R"/>
    <s v="RS"/>
    <x v="7"/>
    <s v="CON"/>
    <s v="A"/>
    <n v="0"/>
    <n v="1"/>
    <n v="-1"/>
    <n v="1"/>
    <n v="-8"/>
    <n v="8"/>
    <n v="1461.3946346386954"/>
    <n v="1530.4253319829195"/>
    <n v="0.2742791785548192"/>
    <n v="69"/>
    <n v="66"/>
    <n v="0"/>
    <n v="3"/>
    <n v="1"/>
    <n v="0.27439858314475041"/>
    <n v="1"/>
    <n v="71.05"/>
    <n v="71.05"/>
    <n v="14.1486671648455"/>
    <n v="1475.5433018035408"/>
    <n v="1"/>
    <n v="0"/>
    <n v="0"/>
    <n v="0"/>
    <n v="0"/>
    <n v="0"/>
    <n v="0"/>
    <n v="0"/>
    <n v="0"/>
    <n v="0"/>
  </r>
  <r>
    <d v="2004-09-17T00:00:00"/>
    <n v="2004"/>
    <x v="32"/>
    <s v="R"/>
    <s v="RS"/>
    <x v="9"/>
    <s v="NYL"/>
    <s v="H"/>
    <n v="1"/>
    <n v="0"/>
    <n v="1"/>
    <n v="-1"/>
    <n v="8"/>
    <n v="-8"/>
    <n v="1530.4253319829195"/>
    <n v="1461.3946346386954"/>
    <n v="0.7257208214451808"/>
    <n v="66"/>
    <n v="69"/>
    <n v="0"/>
    <n v="-3"/>
    <n v="0"/>
    <n v="0.27439858314475041"/>
    <n v="1"/>
    <n v="71.05"/>
    <n v="71.05"/>
    <n v="-14.1486671648455"/>
    <n v="1516.2766648180741"/>
    <n v="0"/>
    <n v="1"/>
    <n v="0"/>
    <n v="0"/>
    <n v="0"/>
    <n v="0"/>
    <n v="0"/>
    <n v="0"/>
    <n v="0"/>
    <n v="0"/>
  </r>
  <r>
    <d v="2004-09-17T00:00:00"/>
    <n v="2004"/>
    <x v="32"/>
    <s v="R"/>
    <s v="RS"/>
    <x v="4"/>
    <s v="LAS"/>
    <s v="A"/>
    <n v="2"/>
    <n v="2"/>
    <n v="0"/>
    <n v="0"/>
    <n v="0"/>
    <n v="0"/>
    <n v="1488.9105492692822"/>
    <n v="1655.3481514771772"/>
    <n v="0.19129232983638383"/>
    <n v="78"/>
    <n v="66"/>
    <n v="0"/>
    <n v="12"/>
    <n v="1"/>
    <n v="0.400571040205151"/>
    <n v="1"/>
    <n v="71.05"/>
    <n v="71.05"/>
    <n v="23.016283202444964"/>
    <n v="1511.9268324717273"/>
    <n v="1"/>
    <n v="0"/>
    <n v="0"/>
    <n v="0"/>
    <n v="0"/>
    <n v="0"/>
    <n v="0"/>
    <n v="0"/>
    <n v="0"/>
    <n v="0"/>
  </r>
  <r>
    <d v="2004-09-17T00:00:00"/>
    <n v="2004"/>
    <x v="32"/>
    <s v="R"/>
    <s v="RS"/>
    <x v="11"/>
    <s v="MIN"/>
    <s v="H"/>
    <n v="2"/>
    <n v="2"/>
    <n v="0"/>
    <n v="0"/>
    <n v="0"/>
    <n v="0"/>
    <n v="1655.3481514771772"/>
    <n v="1488.9105492692822"/>
    <n v="0.80870767016361611"/>
    <n v="66"/>
    <n v="78"/>
    <n v="0"/>
    <n v="-12"/>
    <n v="0"/>
    <n v="0.400571040205151"/>
    <n v="1"/>
    <n v="71.05"/>
    <n v="71.05"/>
    <n v="-23.01628320244496"/>
    <n v="1632.3318682747322"/>
    <n v="0"/>
    <n v="1"/>
    <n v="0"/>
    <n v="0"/>
    <n v="0"/>
    <n v="0"/>
    <n v="0"/>
    <n v="0"/>
    <n v="0"/>
    <n v="0"/>
  </r>
  <r>
    <d v="2004-09-17T00:00:00"/>
    <n v="2004"/>
    <x v="32"/>
    <s v="R"/>
    <s v="RS"/>
    <x v="12"/>
    <s v="PHX"/>
    <s v="A"/>
    <n v="1"/>
    <n v="1"/>
    <n v="0"/>
    <n v="0"/>
    <n v="0"/>
    <n v="0"/>
    <n v="1471.9016867675559"/>
    <n v="1510.6419600306529"/>
    <n v="0.33036165403478074"/>
    <n v="74"/>
    <n v="67"/>
    <n v="0"/>
    <n v="7"/>
    <n v="1"/>
    <n v="0.35853246767755265"/>
    <n v="1"/>
    <n v="71.05"/>
    <n v="71.05"/>
    <n v="17.05818764719168"/>
    <n v="1488.9598744147477"/>
    <n v="1"/>
    <n v="0"/>
    <n v="0"/>
    <n v="0"/>
    <n v="0"/>
    <n v="0"/>
    <n v="0"/>
    <n v="0"/>
    <n v="0"/>
    <n v="0"/>
  </r>
  <r>
    <d v="2004-09-17T00:00:00"/>
    <n v="2004"/>
    <x v="32"/>
    <s v="R"/>
    <s v="RS"/>
    <x v="3"/>
    <s v="WAS"/>
    <s v="H"/>
    <n v="1"/>
    <n v="1"/>
    <n v="0"/>
    <n v="0"/>
    <n v="0"/>
    <n v="0"/>
    <n v="1510.6419600306529"/>
    <n v="1471.9016867675559"/>
    <n v="0.66963834596521932"/>
    <n v="67"/>
    <n v="74"/>
    <n v="0"/>
    <n v="-7"/>
    <n v="0"/>
    <n v="0.35853246767755265"/>
    <n v="1"/>
    <n v="71.05"/>
    <n v="71.05"/>
    <n v="-17.05818764719168"/>
    <n v="1493.5837723834611"/>
    <n v="0"/>
    <n v="1"/>
    <n v="0"/>
    <n v="0"/>
    <n v="0"/>
    <n v="0"/>
    <n v="0"/>
    <n v="0"/>
    <n v="0"/>
    <n v="0"/>
  </r>
  <r>
    <d v="2004-09-17T00:00:00"/>
    <n v="2004"/>
    <x v="32"/>
    <s v="R"/>
    <s v="RS"/>
    <x v="6"/>
    <s v="SAS"/>
    <s v="A"/>
    <n v="1"/>
    <n v="1"/>
    <n v="0"/>
    <n v="0"/>
    <n v="0"/>
    <n v="0"/>
    <n v="1477.6090165446749"/>
    <n v="1353.8592044215725"/>
    <n v="0.55695628570123346"/>
    <n v="65"/>
    <n v="82"/>
    <n v="0"/>
    <n v="-17"/>
    <n v="0"/>
    <n v="0.48266709996630336"/>
    <n v="1"/>
    <n v="71.05"/>
    <n v="71.05"/>
    <n v="-19.099978964908068"/>
    <n v="1458.5090375797668"/>
    <n v="0"/>
    <n v="1"/>
    <n v="0"/>
    <n v="0"/>
    <n v="0"/>
    <n v="0"/>
    <n v="0"/>
    <n v="0"/>
    <n v="0"/>
    <n v="0"/>
  </r>
  <r>
    <d v="2004-09-17T00:00:00"/>
    <n v="2004"/>
    <x v="33"/>
    <s v="R"/>
    <s v="RS"/>
    <x v="0"/>
    <s v="CHA"/>
    <s v="H"/>
    <n v="1"/>
    <n v="1"/>
    <n v="0"/>
    <n v="0"/>
    <n v="0"/>
    <n v="0"/>
    <n v="1353.8592044215725"/>
    <n v="1477.6090165446749"/>
    <n v="0.44304371429876649"/>
    <n v="82"/>
    <n v="65"/>
    <n v="0"/>
    <n v="17"/>
    <n v="1"/>
    <n v="0.48266709996630336"/>
    <n v="1"/>
    <n v="70.900000000000006"/>
    <n v="70.900000000000006"/>
    <n v="19.059655293623962"/>
    <n v="1372.9188597151965"/>
    <n v="1"/>
    <n v="0"/>
    <n v="0"/>
    <n v="0"/>
    <n v="0"/>
    <n v="0"/>
    <n v="0"/>
    <n v="0"/>
    <n v="0"/>
    <n v="0"/>
  </r>
  <r>
    <d v="2004-09-18T00:00:00"/>
    <n v="2004"/>
    <x v="32"/>
    <s v="R"/>
    <s v="RS"/>
    <x v="1"/>
    <s v="SAC"/>
    <s v="A"/>
    <n v="1"/>
    <n v="1"/>
    <n v="0"/>
    <n v="0"/>
    <n v="0"/>
    <n v="0"/>
    <n v="1465.7907146087359"/>
    <n v="1552.193145786388"/>
    <n v="0.2727102168780125"/>
    <n v="48"/>
    <n v="68"/>
    <n v="0"/>
    <n v="-20"/>
    <n v="0"/>
    <n v="0.53627450789179754"/>
    <n v="1"/>
    <n v="71.05"/>
    <n v="71.05"/>
    <n v="-10.390887528953495"/>
    <n v="1455.3998270797824"/>
    <n v="0"/>
    <n v="1"/>
    <n v="0"/>
    <n v="0"/>
    <n v="0"/>
    <n v="0"/>
    <n v="0"/>
    <n v="0"/>
    <n v="0"/>
    <n v="0"/>
  </r>
  <r>
    <d v="2004-09-18T00:00:00"/>
    <n v="2004"/>
    <x v="32"/>
    <s v="R"/>
    <s v="RS"/>
    <x v="2"/>
    <s v="HOU"/>
    <s v="H"/>
    <n v="1"/>
    <n v="1"/>
    <n v="0"/>
    <n v="0"/>
    <n v="0"/>
    <n v="0"/>
    <n v="1552.193145786388"/>
    <n v="1465.7907146087359"/>
    <n v="0.72728978312198744"/>
    <n v="68"/>
    <n v="48"/>
    <n v="0"/>
    <n v="20"/>
    <n v="1"/>
    <n v="0.53627450789179754"/>
    <n v="1"/>
    <n v="71.05"/>
    <n v="71.05"/>
    <n v="10.390887528953497"/>
    <n v="1562.5840333153415"/>
    <n v="1"/>
    <n v="0"/>
    <n v="0"/>
    <n v="0"/>
    <n v="0"/>
    <n v="0"/>
    <n v="0"/>
    <n v="0"/>
    <n v="0"/>
    <n v="0"/>
  </r>
  <r>
    <d v="2004-09-18T00:00:00"/>
    <n v="2004"/>
    <x v="33"/>
    <s v="R"/>
    <s v="RS"/>
    <x v="11"/>
    <s v="SEA"/>
    <s v="A"/>
    <n v="0"/>
    <n v="2"/>
    <n v="-2"/>
    <n v="2"/>
    <n v="-16"/>
    <n v="16"/>
    <n v="1632.3318682747322"/>
    <n v="1581.2513483529833"/>
    <n v="0.40764568868095491"/>
    <n v="83"/>
    <n v="80"/>
    <n v="0"/>
    <n v="3"/>
    <n v="1"/>
    <n v="0.27833558254126578"/>
    <n v="1"/>
    <n v="70.900000000000006"/>
    <n v="70.900000000000006"/>
    <n v="11.689515715907806"/>
    <n v="1644.0213839906401"/>
    <n v="1"/>
    <n v="0"/>
    <n v="0"/>
    <n v="0"/>
    <n v="0"/>
    <n v="0"/>
    <n v="0"/>
    <n v="0"/>
    <n v="0"/>
    <n v="0"/>
  </r>
  <r>
    <d v="2004-09-18T00:00:00"/>
    <n v="2004"/>
    <x v="33"/>
    <s v="R"/>
    <s v="RS"/>
    <x v="5"/>
    <s v="LAS"/>
    <s v="H"/>
    <n v="2"/>
    <n v="0"/>
    <n v="2"/>
    <n v="-2"/>
    <n v="16"/>
    <n v="-16"/>
    <n v="1581.2513483529833"/>
    <n v="1632.3318682747322"/>
    <n v="0.59235431131904503"/>
    <n v="80"/>
    <n v="83"/>
    <n v="0"/>
    <n v="-3"/>
    <n v="0"/>
    <n v="0.27833558254126578"/>
    <n v="1"/>
    <n v="70.900000000000006"/>
    <n v="70.900000000000006"/>
    <n v="-11.689515715907806"/>
    <n v="1569.5618326370754"/>
    <n v="0"/>
    <n v="1"/>
    <n v="0"/>
    <n v="0"/>
    <n v="0"/>
    <n v="0"/>
    <n v="0"/>
    <n v="0"/>
    <n v="0"/>
    <n v="0"/>
  </r>
  <r>
    <d v="2004-09-19T00:00:00"/>
    <n v="2004"/>
    <x v="33"/>
    <s v="R"/>
    <s v="RS"/>
    <x v="8"/>
    <s v="CON"/>
    <s v="A"/>
    <n v="2"/>
    <n v="1"/>
    <n v="1"/>
    <n v="-1"/>
    <n v="8"/>
    <n v="-8"/>
    <n v="1458.1487368698902"/>
    <n v="1516.2766648180741"/>
    <n v="0.32606196801783321"/>
    <n v="60"/>
    <n v="80"/>
    <n v="0"/>
    <n v="-20"/>
    <n v="0"/>
    <n v="0.54832645822883241"/>
    <n v="1"/>
    <n v="70.900000000000006"/>
    <n v="70.900000000000006"/>
    <n v="-12.6760978497216"/>
    <n v="1445.4726390201686"/>
    <n v="0"/>
    <n v="1"/>
    <n v="0"/>
    <n v="0"/>
    <n v="0"/>
    <n v="0"/>
    <n v="0"/>
    <n v="0"/>
    <n v="0"/>
    <n v="0"/>
  </r>
  <r>
    <d v="2004-09-19T00:00:00"/>
    <n v="2004"/>
    <x v="33"/>
    <s v="R"/>
    <s v="RS"/>
    <x v="9"/>
    <s v="IND"/>
    <s v="H"/>
    <n v="1"/>
    <n v="2"/>
    <n v="-1"/>
    <n v="1"/>
    <n v="-8"/>
    <n v="8"/>
    <n v="1516.2766648180741"/>
    <n v="1458.1487368698902"/>
    <n v="0.67393803198216673"/>
    <n v="80"/>
    <n v="60"/>
    <n v="0"/>
    <n v="20"/>
    <n v="1"/>
    <n v="0.54832645822883241"/>
    <n v="1"/>
    <n v="70.900000000000006"/>
    <n v="70.900000000000006"/>
    <n v="12.676097849721602"/>
    <n v="1528.9527626677957"/>
    <n v="1"/>
    <n v="0"/>
    <n v="0"/>
    <n v="0"/>
    <n v="0"/>
    <n v="0"/>
    <n v="0"/>
    <n v="0"/>
    <n v="0"/>
    <n v="0"/>
  </r>
  <r>
    <d v="2004-09-19T00:00:00"/>
    <n v="2004"/>
    <x v="33"/>
    <s v="R"/>
    <s v="RS"/>
    <x v="6"/>
    <s v="DET"/>
    <s v="A"/>
    <n v="1"/>
    <n v="4"/>
    <n v="-3"/>
    <n v="3"/>
    <n v="-16"/>
    <n v="16"/>
    <n v="1458.5090375797668"/>
    <n v="1511.5344306590978"/>
    <n v="0.27428525635361278"/>
    <n v="54"/>
    <n v="68"/>
    <n v="0"/>
    <n v="-14"/>
    <n v="0"/>
    <n v="0.46697355653978834"/>
    <n v="1"/>
    <n v="70.900000000000006"/>
    <n v="70.900000000000006"/>
    <n v="-9.0811528821104766"/>
    <n v="1449.4278846976563"/>
    <n v="0"/>
    <n v="1"/>
    <n v="0"/>
    <n v="0"/>
    <n v="0"/>
    <n v="0"/>
    <n v="0"/>
    <n v="0"/>
    <n v="0"/>
    <n v="0"/>
  </r>
  <r>
    <d v="2004-09-19T00:00:00"/>
    <n v="2004"/>
    <x v="33"/>
    <s v="R"/>
    <s v="RS"/>
    <x v="10"/>
    <s v="CHA"/>
    <s v="H"/>
    <n v="4"/>
    <n v="1"/>
    <n v="3"/>
    <n v="-3"/>
    <n v="16"/>
    <n v="-16"/>
    <n v="1511.5344306590978"/>
    <n v="1458.5090375797668"/>
    <n v="0.72571474364638733"/>
    <n v="68"/>
    <n v="54"/>
    <n v="0"/>
    <n v="14"/>
    <n v="1"/>
    <n v="0.46697355653978834"/>
    <n v="1"/>
    <n v="70.900000000000006"/>
    <n v="70.900000000000006"/>
    <n v="9.081152882110473"/>
    <n v="1520.6155835412083"/>
    <n v="1"/>
    <n v="0"/>
    <n v="0"/>
    <n v="0"/>
    <n v="0"/>
    <n v="0"/>
    <n v="0"/>
    <n v="0"/>
    <n v="0"/>
    <n v="0"/>
  </r>
  <r>
    <d v="2004-09-19T00:00:00"/>
    <n v="2004"/>
    <x v="33"/>
    <s v="R"/>
    <s v="RS"/>
    <x v="12"/>
    <s v="NYL"/>
    <s v="A"/>
    <n v="1"/>
    <n v="1"/>
    <n v="0"/>
    <n v="0"/>
    <n v="0"/>
    <n v="0"/>
    <n v="1488.9598744147477"/>
    <n v="1475.5433018035408"/>
    <n v="0.39979703449337534"/>
    <n v="75"/>
    <n v="79"/>
    <n v="0"/>
    <n v="-4"/>
    <n v="0"/>
    <n v="0.30798926792340697"/>
    <n v="1"/>
    <n v="70.900000000000006"/>
    <n v="70.900000000000006"/>
    <n v="-8.7301435943838719"/>
    <n v="1480.2297308203638"/>
    <n v="0"/>
    <n v="1"/>
    <n v="0"/>
    <n v="0"/>
    <n v="0"/>
    <n v="0"/>
    <n v="0"/>
    <n v="0"/>
    <n v="0"/>
    <n v="0"/>
  </r>
  <r>
    <d v="2004-09-19T00:00:00"/>
    <n v="2004"/>
    <x v="33"/>
    <s v="R"/>
    <s v="RS"/>
    <x v="7"/>
    <s v="WAS"/>
    <s v="H"/>
    <n v="1"/>
    <n v="1"/>
    <n v="0"/>
    <n v="0"/>
    <n v="0"/>
    <n v="0"/>
    <n v="1475.5433018035408"/>
    <n v="1488.9598744147477"/>
    <n v="0.60020296550662477"/>
    <n v="79"/>
    <n v="75"/>
    <n v="0"/>
    <n v="4"/>
    <n v="1"/>
    <n v="0.30798926792340697"/>
    <n v="1"/>
    <n v="70.900000000000006"/>
    <n v="70.900000000000006"/>
    <n v="8.7301435943838683"/>
    <n v="1484.2734453979247"/>
    <n v="1"/>
    <n v="0"/>
    <n v="0"/>
    <n v="0"/>
    <n v="0"/>
    <n v="0"/>
    <n v="0"/>
    <n v="0"/>
    <n v="0"/>
    <n v="0"/>
  </r>
  <r>
    <d v="2004-09-19T00:00:00"/>
    <n v="2004"/>
    <x v="33"/>
    <s v="R"/>
    <s v="RS"/>
    <x v="1"/>
    <s v="PHX"/>
    <s v="A"/>
    <n v="0"/>
    <n v="1"/>
    <n v="-1"/>
    <n v="1"/>
    <n v="-8"/>
    <n v="8"/>
    <n v="1455.3998270797824"/>
    <n v="1493.5837723834611"/>
    <n v="0.31099949161602281"/>
    <n v="64"/>
    <n v="78"/>
    <n v="0"/>
    <n v="-14"/>
    <n v="0"/>
    <n v="0.47257091844896426"/>
    <n v="1"/>
    <n v="70.900000000000006"/>
    <n v="70.900000000000006"/>
    <n v="-10.42012446116127"/>
    <n v="1444.9797026186211"/>
    <n v="0"/>
    <n v="1"/>
    <n v="0"/>
    <n v="0"/>
    <n v="0"/>
    <n v="0"/>
    <n v="0"/>
    <n v="0"/>
    <n v="0"/>
    <n v="0"/>
  </r>
  <r>
    <d v="2004-09-19T00:00:00"/>
    <n v="2004"/>
    <x v="33"/>
    <s v="R"/>
    <s v="RS"/>
    <x v="3"/>
    <s v="HOU"/>
    <s v="H"/>
    <n v="1"/>
    <n v="0"/>
    <n v="1"/>
    <n v="-1"/>
    <n v="8"/>
    <n v="-8"/>
    <n v="1493.5837723834611"/>
    <n v="1455.3998270797824"/>
    <n v="0.68900050838397719"/>
    <n v="78"/>
    <n v="64"/>
    <n v="0"/>
    <n v="14"/>
    <n v="1"/>
    <n v="0.47257091844896426"/>
    <n v="1"/>
    <n v="70.900000000000006"/>
    <n v="70.900000000000006"/>
    <n v="10.42012446116127"/>
    <n v="1504.0038968446224"/>
    <n v="1"/>
    <n v="0"/>
    <n v="0"/>
    <n v="0"/>
    <n v="0"/>
    <n v="0"/>
    <n v="0"/>
    <n v="0"/>
    <n v="0"/>
    <n v="0"/>
  </r>
  <r>
    <d v="2004-09-19T00:00:00"/>
    <n v="2004"/>
    <x v="33"/>
    <s v="R"/>
    <s v="RS"/>
    <x v="4"/>
    <s v="SAC"/>
    <s v="A"/>
    <n v="1"/>
    <n v="0"/>
    <n v="1"/>
    <n v="-1"/>
    <n v="8"/>
    <n v="-8"/>
    <n v="1511.9268324717273"/>
    <n v="1562.5840333153415"/>
    <n v="0.33558186109476607"/>
    <n v="63"/>
    <n v="72"/>
    <n v="0"/>
    <n v="-9"/>
    <n v="0"/>
    <n v="0.38952786762678066"/>
    <n v="1"/>
    <n v="70.900000000000006"/>
    <n v="70.900000000000006"/>
    <n v="-9.2679407117427761"/>
    <n v="1502.6588917599845"/>
    <n v="0"/>
    <n v="1"/>
    <n v="0"/>
    <n v="0"/>
    <n v="0"/>
    <n v="0"/>
    <n v="0"/>
    <n v="0"/>
    <n v="0"/>
    <n v="0"/>
  </r>
  <r>
    <d v="2004-09-19T00:00:00"/>
    <n v="2004"/>
    <x v="33"/>
    <s v="R"/>
    <s v="RS"/>
    <x v="2"/>
    <s v="MIN"/>
    <s v="H"/>
    <n v="0"/>
    <n v="1"/>
    <n v="-1"/>
    <n v="1"/>
    <n v="-8"/>
    <n v="8"/>
    <n v="1562.5840333153415"/>
    <n v="1511.9268324717273"/>
    <n v="0.66441813890523393"/>
    <n v="72"/>
    <n v="63"/>
    <n v="0"/>
    <n v="9"/>
    <n v="1"/>
    <n v="0.38952786762678066"/>
    <n v="1"/>
    <n v="70.900000000000006"/>
    <n v="70.900000000000006"/>
    <n v="9.2679407117427761"/>
    <n v="1571.8519740270842"/>
    <n v="1"/>
    <n v="0"/>
    <n v="0"/>
    <n v="0"/>
    <n v="0"/>
    <n v="0"/>
    <n v="0"/>
    <n v="0"/>
    <n v="0"/>
    <n v="0"/>
  </r>
  <r>
    <d v="2004-09-24T00:00:00"/>
    <n v="2004"/>
    <x v="34"/>
    <s v="P"/>
    <n v="1"/>
    <x v="7"/>
    <s v="DET"/>
    <s v="A"/>
    <n v="4"/>
    <n v="4"/>
    <n v="0"/>
    <n v="0"/>
    <n v="0"/>
    <n v="0"/>
    <n v="1484.2734453979247"/>
    <n v="1520.6155835412083"/>
    <n v="0.33342270536459367"/>
    <n v="75"/>
    <n v="62"/>
    <n v="0"/>
    <n v="13"/>
    <n v="1"/>
    <n v="0.45816808252417024"/>
    <n v="1.1000000000000001"/>
    <n v="70.75"/>
    <n v="77.825000000000003"/>
    <n v="23.768100615941712"/>
    <n v="1508.0415460138663"/>
    <n v="0"/>
    <n v="0"/>
    <n v="1"/>
    <n v="0"/>
    <n v="0"/>
    <n v="0"/>
    <n v="0"/>
    <n v="0"/>
    <n v="0"/>
    <n v="0"/>
  </r>
  <r>
    <d v="2004-09-24T00:00:00"/>
    <n v="2004"/>
    <x v="34"/>
    <s v="P"/>
    <n v="1"/>
    <x v="10"/>
    <s v="NYL"/>
    <s v="H"/>
    <n v="4"/>
    <n v="4"/>
    <n v="0"/>
    <n v="0"/>
    <n v="0"/>
    <n v="0"/>
    <n v="1520.6155835412083"/>
    <n v="1484.2734453979247"/>
    <n v="0.66657729463540638"/>
    <n v="62"/>
    <n v="75"/>
    <n v="0"/>
    <n v="-13"/>
    <n v="0"/>
    <n v="0.45816808252417024"/>
    <n v="1.1000000000000001"/>
    <n v="70.75"/>
    <n v="77.825000000000003"/>
    <n v="-23.768100615941716"/>
    <n v="1496.8474829252666"/>
    <n v="0"/>
    <n v="0"/>
    <n v="0"/>
    <n v="1"/>
    <n v="0"/>
    <n v="0"/>
    <n v="0"/>
    <n v="0"/>
    <n v="0"/>
    <n v="0"/>
  </r>
  <r>
    <d v="2004-09-24T00:00:00"/>
    <n v="2004"/>
    <x v="34"/>
    <s v="P"/>
    <n v="1"/>
    <x v="11"/>
    <s v="SAC"/>
    <s v="A"/>
    <n v="5"/>
    <n v="4"/>
    <n v="1"/>
    <n v="-1"/>
    <n v="8"/>
    <n v="-8"/>
    <n v="1644.0213839906401"/>
    <n v="1571.8519740270842"/>
    <n v="0.50599997524659457"/>
    <n v="52"/>
    <n v="72"/>
    <n v="0"/>
    <n v="-20"/>
    <n v="0"/>
    <n v="0.54227434280971276"/>
    <n v="1.1000000000000001"/>
    <n v="70.75"/>
    <n v="77.825000000000003"/>
    <n v="-21.354464324302334"/>
    <n v="1622.6669196663377"/>
    <n v="0"/>
    <n v="0"/>
    <n v="0"/>
    <n v="1"/>
    <n v="0"/>
    <n v="0"/>
    <n v="0"/>
    <n v="0"/>
    <n v="0"/>
    <n v="0"/>
  </r>
  <r>
    <d v="2004-09-24T00:00:00"/>
    <n v="2004"/>
    <x v="34"/>
    <s v="P"/>
    <n v="1"/>
    <x v="2"/>
    <s v="LAS"/>
    <s v="H"/>
    <n v="4"/>
    <n v="5"/>
    <n v="-1"/>
    <n v="1"/>
    <n v="-8"/>
    <n v="8"/>
    <n v="1571.8519740270842"/>
    <n v="1644.0213839906401"/>
    <n v="0.49400002475340543"/>
    <n v="72"/>
    <n v="52"/>
    <n v="0"/>
    <n v="20"/>
    <n v="1"/>
    <n v="0.54227434280971276"/>
    <n v="1.1000000000000001"/>
    <n v="70.75"/>
    <n v="77.825000000000003"/>
    <n v="21.354464324302334"/>
    <n v="1593.2064383513866"/>
    <n v="0"/>
    <n v="0"/>
    <n v="1"/>
    <n v="0"/>
    <n v="0"/>
    <n v="0"/>
    <n v="0"/>
    <n v="0"/>
    <n v="0"/>
    <n v="0"/>
  </r>
  <r>
    <d v="2004-09-25T00:00:00"/>
    <n v="2004"/>
    <x v="34"/>
    <s v="P"/>
    <n v="1"/>
    <x v="5"/>
    <s v="MIN"/>
    <s v="A"/>
    <n v="6"/>
    <n v="5"/>
    <n v="1"/>
    <n v="-1"/>
    <n v="8"/>
    <n v="-8"/>
    <n v="1569.5618326370754"/>
    <n v="1502.6588917599845"/>
    <n v="0.4984212102579485"/>
    <n v="70"/>
    <n v="58"/>
    <n v="0"/>
    <n v="12"/>
    <n v="1"/>
    <n v="0.43204204049988926"/>
    <n v="1.1000000000000001"/>
    <n v="70.75"/>
    <n v="77.825000000000003"/>
    <n v="16.864920609082894"/>
    <n v="1586.4267532461583"/>
    <n v="0"/>
    <n v="0"/>
    <n v="1"/>
    <n v="0"/>
    <n v="0"/>
    <n v="0"/>
    <n v="0"/>
    <n v="0"/>
    <n v="0"/>
    <n v="0"/>
  </r>
  <r>
    <d v="2004-09-25T00:00:00"/>
    <n v="2004"/>
    <x v="34"/>
    <s v="P"/>
    <n v="1"/>
    <x v="4"/>
    <s v="SEA"/>
    <s v="H"/>
    <n v="5"/>
    <n v="6"/>
    <n v="-1"/>
    <n v="1"/>
    <n v="-8"/>
    <n v="8"/>
    <n v="1502.6588917599845"/>
    <n v="1569.5618326370754"/>
    <n v="0.5015787897420515"/>
    <n v="58"/>
    <n v="70"/>
    <n v="0"/>
    <n v="-12"/>
    <n v="0"/>
    <n v="0.43204204049988926"/>
    <n v="1.1000000000000001"/>
    <n v="70.75"/>
    <n v="77.825000000000003"/>
    <n v="-16.864920609082894"/>
    <n v="1485.7939711509016"/>
    <n v="0"/>
    <n v="0"/>
    <n v="0"/>
    <n v="1"/>
    <n v="0"/>
    <n v="0"/>
    <n v="0"/>
    <n v="0"/>
    <n v="0"/>
    <n v="0"/>
  </r>
  <r>
    <d v="2004-09-25T00:00:00"/>
    <n v="2004"/>
    <x v="34"/>
    <s v="P"/>
    <n v="1"/>
    <x v="9"/>
    <s v="WAS"/>
    <s v="A"/>
    <n v="5"/>
    <n v="5"/>
    <n v="0"/>
    <n v="0"/>
    <n v="0"/>
    <n v="0"/>
    <n v="1528.9527626677957"/>
    <n v="1480.2297308203638"/>
    <n v="0.44940610693472199"/>
    <n v="59"/>
    <n v="67"/>
    <n v="0"/>
    <n v="-8"/>
    <n v="0"/>
    <n v="0.37316412856917619"/>
    <n v="1.1000000000000001"/>
    <n v="70.75"/>
    <n v="77.825000000000003"/>
    <n v="-13.051426693204107"/>
    <n v="1515.9013359745916"/>
    <n v="0"/>
    <n v="0"/>
    <n v="0"/>
    <n v="1"/>
    <n v="0"/>
    <n v="0"/>
    <n v="0"/>
    <n v="0"/>
    <n v="0"/>
    <n v="0"/>
  </r>
  <r>
    <d v="2004-09-25T00:00:00"/>
    <n v="2004"/>
    <x v="34"/>
    <s v="P"/>
    <n v="1"/>
    <x v="12"/>
    <s v="CON"/>
    <s v="H"/>
    <n v="5"/>
    <n v="5"/>
    <n v="0"/>
    <n v="0"/>
    <n v="0"/>
    <n v="0"/>
    <n v="1480.2297308203638"/>
    <n v="1528.9527626677957"/>
    <n v="0.55059389306527806"/>
    <n v="67"/>
    <n v="59"/>
    <n v="0"/>
    <n v="8"/>
    <n v="1"/>
    <n v="0.37316412856917619"/>
    <n v="1.1000000000000001"/>
    <n v="70.75"/>
    <n v="77.825000000000003"/>
    <n v="13.051426693204105"/>
    <n v="1493.2811575135679"/>
    <n v="0"/>
    <n v="0"/>
    <n v="1"/>
    <n v="0"/>
    <n v="0"/>
    <n v="0"/>
    <n v="0"/>
    <n v="0"/>
    <n v="0"/>
    <n v="0"/>
  </r>
  <r>
    <d v="2004-09-26T00:00:00"/>
    <n v="2004"/>
    <x v="35"/>
    <s v="P"/>
    <n v="1"/>
    <x v="2"/>
    <s v="LAS"/>
    <s v="A"/>
    <n v="1"/>
    <n v="1"/>
    <n v="0"/>
    <n v="0"/>
    <n v="0"/>
    <n v="0"/>
    <n v="1593.2064383513866"/>
    <n v="1622.6669196663377"/>
    <n v="0.34228431362098177"/>
    <n v="57"/>
    <n v="71"/>
    <n v="0"/>
    <n v="-14"/>
    <n v="0"/>
    <n v="0.47592397895953908"/>
    <n v="1.1000000000000001"/>
    <n v="70.599999999999994"/>
    <n v="77.66"/>
    <n v="-12.65091592672559"/>
    <n v="1580.5555224246609"/>
    <n v="0"/>
    <n v="0"/>
    <n v="0"/>
    <n v="1"/>
    <n v="0"/>
    <n v="0"/>
    <n v="0"/>
    <n v="0"/>
    <n v="0"/>
    <n v="0"/>
  </r>
  <r>
    <d v="2004-09-26T00:00:00"/>
    <n v="2004"/>
    <x v="35"/>
    <s v="P"/>
    <n v="1"/>
    <x v="11"/>
    <s v="SAC"/>
    <s v="H"/>
    <n v="1"/>
    <n v="1"/>
    <n v="0"/>
    <n v="0"/>
    <n v="0"/>
    <n v="0"/>
    <n v="1622.6669196663377"/>
    <n v="1593.2064383513866"/>
    <n v="0.65771568637901823"/>
    <n v="71"/>
    <n v="57"/>
    <n v="0"/>
    <n v="14"/>
    <n v="1"/>
    <n v="0.47592397895953908"/>
    <n v="1.1000000000000001"/>
    <n v="70.599999999999994"/>
    <n v="77.66"/>
    <n v="12.65091592672559"/>
    <n v="1635.3178355930634"/>
    <n v="0"/>
    <n v="0"/>
    <n v="1"/>
    <n v="0"/>
    <n v="0"/>
    <n v="0"/>
    <n v="0"/>
    <n v="0"/>
    <n v="0"/>
    <n v="0"/>
  </r>
  <r>
    <d v="2004-09-26T00:00:00"/>
    <n v="2004"/>
    <x v="35"/>
    <s v="P"/>
    <n v="1"/>
    <x v="10"/>
    <s v="NYL"/>
    <s v="A"/>
    <n v="1"/>
    <n v="1"/>
    <n v="0"/>
    <n v="0"/>
    <n v="0"/>
    <n v="0"/>
    <n v="1496.8474829252666"/>
    <n v="1508.0415460138663"/>
    <n v="0.36633294139073991"/>
    <n v="76"/>
    <n v="66"/>
    <n v="0"/>
    <n v="10"/>
    <n v="1"/>
    <n v="0.41921906214099242"/>
    <n v="1.1000000000000001"/>
    <n v="70.599999999999994"/>
    <n v="77.66"/>
    <n v="20.630014776138857"/>
    <n v="1517.4774977014054"/>
    <n v="0"/>
    <n v="0"/>
    <n v="1"/>
    <n v="0"/>
    <n v="0"/>
    <n v="0"/>
    <n v="0"/>
    <n v="0"/>
    <n v="0"/>
    <n v="0"/>
  </r>
  <r>
    <d v="2004-09-26T00:00:00"/>
    <n v="2004"/>
    <x v="35"/>
    <s v="P"/>
    <n v="1"/>
    <x v="7"/>
    <s v="DET"/>
    <s v="H"/>
    <n v="1"/>
    <n v="1"/>
    <n v="0"/>
    <n v="0"/>
    <n v="0"/>
    <n v="0"/>
    <n v="1508.0415460138663"/>
    <n v="1496.8474829252666"/>
    <n v="0.63366705860926009"/>
    <n v="66"/>
    <n v="76"/>
    <n v="0"/>
    <n v="-10"/>
    <n v="0"/>
    <n v="0.41921906214099242"/>
    <n v="1.1000000000000001"/>
    <n v="70.599999999999994"/>
    <n v="77.66"/>
    <n v="-20.630014776138857"/>
    <n v="1487.4115312377276"/>
    <n v="0"/>
    <n v="0"/>
    <n v="0"/>
    <n v="1"/>
    <n v="0"/>
    <n v="0"/>
    <n v="0"/>
    <n v="0"/>
    <n v="0"/>
    <n v="0"/>
  </r>
  <r>
    <d v="2004-09-27T00:00:00"/>
    <n v="2004"/>
    <x v="35"/>
    <s v="P"/>
    <n v="1"/>
    <x v="12"/>
    <s v="CON"/>
    <s v="A"/>
    <n v="1"/>
    <n v="1"/>
    <n v="0"/>
    <n v="0"/>
    <n v="0"/>
    <n v="0"/>
    <n v="1493.2811575135679"/>
    <n v="1515.9013359745916"/>
    <n v="0.35120308912994741"/>
    <n v="70"/>
    <n v="80"/>
    <n v="0"/>
    <n v="-10"/>
    <n v="0"/>
    <n v="0.41530120976563589"/>
    <n v="1.1000000000000001"/>
    <n v="70.599999999999994"/>
    <n v="77.66"/>
    <n v="-11.327104564501164"/>
    <n v="1481.9540529490666"/>
    <n v="0"/>
    <n v="0"/>
    <n v="0"/>
    <n v="1"/>
    <n v="0"/>
    <n v="0"/>
    <n v="0"/>
    <n v="0"/>
    <n v="0"/>
    <n v="0"/>
  </r>
  <r>
    <d v="2004-09-27T00:00:00"/>
    <n v="2004"/>
    <x v="35"/>
    <s v="P"/>
    <n v="1"/>
    <x v="9"/>
    <s v="WAS"/>
    <s v="H"/>
    <n v="1"/>
    <n v="1"/>
    <n v="0"/>
    <n v="0"/>
    <n v="0"/>
    <n v="0"/>
    <n v="1515.9013359745916"/>
    <n v="1493.2811575135679"/>
    <n v="0.64879691087005253"/>
    <n v="80"/>
    <n v="70"/>
    <n v="0"/>
    <n v="10"/>
    <n v="1"/>
    <n v="0.41530120976563589"/>
    <n v="1.1000000000000001"/>
    <n v="70.599999999999994"/>
    <n v="77.66"/>
    <n v="11.327104564501166"/>
    <n v="1527.2284405390928"/>
    <n v="0"/>
    <n v="0"/>
    <n v="1"/>
    <n v="0"/>
    <n v="0"/>
    <n v="0"/>
    <n v="0"/>
    <n v="0"/>
    <n v="0"/>
    <n v="0"/>
  </r>
  <r>
    <d v="2004-09-27T00:00:00"/>
    <n v="2004"/>
    <x v="35"/>
    <s v="P"/>
    <n v="1"/>
    <x v="4"/>
    <s v="SEA"/>
    <s v="A"/>
    <n v="1"/>
    <n v="1"/>
    <n v="0"/>
    <n v="0"/>
    <n v="0"/>
    <n v="0"/>
    <n v="1485.7939711509016"/>
    <n v="1586.4267532461583"/>
    <n v="0.25676867954439464"/>
    <n v="54"/>
    <n v="64"/>
    <n v="0"/>
    <n v="-10"/>
    <n v="0"/>
    <n v="0.39039123585734237"/>
    <n v="1.1000000000000001"/>
    <n v="70.599999999999994"/>
    <n v="77.66"/>
    <n v="-7.7846572043434312"/>
    <n v="1478.0093139465582"/>
    <n v="0"/>
    <n v="0"/>
    <n v="0"/>
    <n v="1"/>
    <n v="0"/>
    <n v="0"/>
    <n v="0"/>
    <n v="0"/>
    <n v="0"/>
    <n v="0"/>
  </r>
  <r>
    <d v="2004-09-27T00:00:00"/>
    <n v="2004"/>
    <x v="35"/>
    <s v="P"/>
    <n v="1"/>
    <x v="5"/>
    <s v="MIN"/>
    <s v="H"/>
    <n v="1"/>
    <n v="1"/>
    <n v="0"/>
    <n v="0"/>
    <n v="0"/>
    <n v="0"/>
    <n v="1586.4267532461583"/>
    <n v="1485.7939711509016"/>
    <n v="0.74323132045560536"/>
    <n v="64"/>
    <n v="54"/>
    <n v="0"/>
    <n v="10"/>
    <n v="1"/>
    <n v="0.39039123585734237"/>
    <n v="1.1000000000000001"/>
    <n v="70.599999999999994"/>
    <n v="77.66"/>
    <n v="7.7846572043434312"/>
    <n v="1594.2114104505017"/>
    <n v="0"/>
    <n v="0"/>
    <n v="1"/>
    <n v="0"/>
    <n v="0"/>
    <n v="0"/>
    <n v="0"/>
    <n v="0"/>
    <n v="0"/>
    <n v="0"/>
  </r>
  <r>
    <d v="2004-09-28T00:00:00"/>
    <n v="2004"/>
    <x v="36"/>
    <s v="P"/>
    <n v="1"/>
    <x v="2"/>
    <s v="LAS"/>
    <s v="A"/>
    <n v="1"/>
    <n v="1"/>
    <n v="0"/>
    <n v="0"/>
    <n v="0"/>
    <n v="0"/>
    <n v="1580.5555224246609"/>
    <n v="1635.3178355930634"/>
    <n v="0.31028653110026849"/>
    <n v="73"/>
    <n v="58"/>
    <n v="0"/>
    <n v="15"/>
    <n v="1"/>
    <n v="0.48090194240120687"/>
    <n v="1.1000000000000001"/>
    <n v="70.45"/>
    <n v="77.495000000000005"/>
    <n v="25.703893961562564"/>
    <n v="1606.2594163862234"/>
    <n v="0"/>
    <n v="0"/>
    <n v="1"/>
    <n v="0"/>
    <n v="0"/>
    <n v="0"/>
    <n v="0"/>
    <n v="0"/>
    <n v="0"/>
    <n v="0"/>
  </r>
  <r>
    <d v="2004-09-28T00:00:00"/>
    <n v="2004"/>
    <x v="36"/>
    <s v="P"/>
    <n v="1"/>
    <x v="11"/>
    <s v="SAC"/>
    <s v="H"/>
    <n v="1"/>
    <n v="1"/>
    <n v="0"/>
    <n v="0"/>
    <n v="0"/>
    <n v="0"/>
    <n v="1635.3178355930634"/>
    <n v="1580.5555224246609"/>
    <n v="0.68971346889973151"/>
    <n v="58"/>
    <n v="73"/>
    <n v="0"/>
    <n v="-15"/>
    <n v="0"/>
    <n v="0.48090194240120687"/>
    <n v="1.1000000000000001"/>
    <n v="70.45"/>
    <n v="77.495000000000005"/>
    <n v="-25.703893961562564"/>
    <n v="1609.6139416315009"/>
    <n v="0"/>
    <n v="0"/>
    <n v="0"/>
    <n v="1"/>
    <n v="0"/>
    <n v="0"/>
    <n v="0"/>
    <n v="0"/>
    <n v="0"/>
    <n v="0"/>
  </r>
  <r>
    <d v="2004-09-28T00:00:00"/>
    <n v="2004"/>
    <x v="36"/>
    <s v="P"/>
    <n v="1"/>
    <x v="10"/>
    <s v="NYL"/>
    <s v="A"/>
    <n v="1"/>
    <n v="1"/>
    <n v="0"/>
    <n v="0"/>
    <n v="0"/>
    <n v="0"/>
    <n v="1517.4774977014054"/>
    <n v="1487.4115312377276"/>
    <n v="0.42300020340814515"/>
    <n v="64"/>
    <n v="66"/>
    <n v="0"/>
    <n v="-2"/>
    <n v="0"/>
    <n v="0.2612945921068166"/>
    <n v="1.1000000000000001"/>
    <n v="70.45"/>
    <n v="77.495000000000005"/>
    <n v="-8.565341446495907"/>
    <n v="1508.9121562549094"/>
    <n v="0"/>
    <n v="0"/>
    <n v="0"/>
    <n v="1"/>
    <n v="0"/>
    <n v="0"/>
    <n v="0"/>
    <n v="0"/>
    <n v="0"/>
    <n v="0"/>
  </r>
  <r>
    <d v="2004-09-28T00:00:00"/>
    <n v="2004"/>
    <x v="36"/>
    <s v="P"/>
    <n v="1"/>
    <x v="7"/>
    <s v="DET"/>
    <s v="H"/>
    <n v="1"/>
    <n v="1"/>
    <n v="0"/>
    <n v="0"/>
    <n v="0"/>
    <n v="0"/>
    <n v="1487.4115312377276"/>
    <n v="1517.4774977014054"/>
    <n v="0.57699979659185496"/>
    <n v="66"/>
    <n v="64"/>
    <n v="0"/>
    <n v="2"/>
    <n v="1"/>
    <n v="0.2612945921068166"/>
    <n v="1.1000000000000001"/>
    <n v="70.45"/>
    <n v="77.495000000000005"/>
    <n v="8.5653414464959035"/>
    <n v="1495.9768726842235"/>
    <n v="0"/>
    <n v="0"/>
    <n v="1"/>
    <n v="0"/>
    <n v="0"/>
    <n v="0"/>
    <n v="0"/>
    <n v="0"/>
    <n v="0"/>
    <n v="0"/>
  </r>
  <r>
    <d v="2004-09-29T00:00:00"/>
    <n v="2004"/>
    <x v="36"/>
    <s v="P"/>
    <n v="1"/>
    <x v="12"/>
    <s v="CON"/>
    <s v="A"/>
    <n v="1"/>
    <n v="1"/>
    <n v="0"/>
    <n v="0"/>
    <n v="0"/>
    <n v="0"/>
    <n v="1481.9540529490666"/>
    <n v="1527.2284405390928"/>
    <n v="0.32209443941218835"/>
    <n v="56"/>
    <n v="76"/>
    <n v="0"/>
    <n v="-20"/>
    <n v="0"/>
    <n v="0.55398620384837394"/>
    <n v="1.1000000000000001"/>
    <n v="70.45"/>
    <n v="77.495000000000005"/>
    <n v="-13.827888192844842"/>
    <n v="1468.1261647562219"/>
    <n v="0"/>
    <n v="0"/>
    <n v="0"/>
    <n v="1"/>
    <n v="0"/>
    <n v="0"/>
    <n v="0"/>
    <n v="0"/>
    <n v="0"/>
    <n v="0"/>
  </r>
  <r>
    <d v="2004-09-29T00:00:00"/>
    <n v="2004"/>
    <x v="36"/>
    <s v="P"/>
    <n v="1"/>
    <x v="9"/>
    <s v="WAS"/>
    <s v="H"/>
    <n v="1"/>
    <n v="1"/>
    <n v="0"/>
    <n v="0"/>
    <n v="0"/>
    <n v="0"/>
    <n v="1527.2284405390928"/>
    <n v="1481.9540529490666"/>
    <n v="0.67790556058781171"/>
    <n v="76"/>
    <n v="56"/>
    <n v="0"/>
    <n v="20"/>
    <n v="1"/>
    <n v="0.55398620384837394"/>
    <n v="1.1000000000000001"/>
    <n v="70.45"/>
    <n v="77.495000000000005"/>
    <n v="13.827888192844838"/>
    <n v="1541.0563287319376"/>
    <n v="0"/>
    <n v="0"/>
    <n v="1"/>
    <n v="0"/>
    <n v="0"/>
    <n v="0"/>
    <n v="0"/>
    <n v="0"/>
    <n v="0"/>
    <n v="0"/>
  </r>
  <r>
    <d v="2004-10-01T00:00:00"/>
    <n v="2004"/>
    <x v="37"/>
    <s v="P"/>
    <n v="2"/>
    <x v="9"/>
    <s v="NYL"/>
    <s v="A"/>
    <n v="1"/>
    <n v="2"/>
    <n v="-1"/>
    <n v="1"/>
    <n v="-8"/>
    <n v="8"/>
    <n v="1541.0563287319376"/>
    <n v="1495.9768726842235"/>
    <n v="0.42161477980976947"/>
    <n v="61"/>
    <n v="51"/>
    <n v="0"/>
    <n v="10"/>
    <n v="1"/>
    <n v="0.40780982830647755"/>
    <n v="1.2"/>
    <n v="70.3"/>
    <n v="84.36"/>
    <n v="19.898092520468381"/>
    <n v="1560.9544212524061"/>
    <n v="0"/>
    <n v="0"/>
    <n v="0"/>
    <n v="0"/>
    <n v="1"/>
    <n v="0"/>
    <n v="0"/>
    <n v="0"/>
    <n v="0"/>
    <n v="0"/>
  </r>
  <r>
    <d v="2004-10-01T00:00:00"/>
    <n v="2004"/>
    <x v="37"/>
    <s v="P"/>
    <n v="2"/>
    <x v="7"/>
    <s v="CON"/>
    <s v="H"/>
    <n v="2"/>
    <n v="1"/>
    <n v="1"/>
    <n v="-1"/>
    <n v="8"/>
    <n v="-8"/>
    <n v="1495.9768726842235"/>
    <n v="1541.0563287319376"/>
    <n v="0.57838522019023053"/>
    <n v="51"/>
    <n v="61"/>
    <n v="0"/>
    <n v="-10"/>
    <n v="0"/>
    <n v="0.40780982830647755"/>
    <n v="1.2"/>
    <n v="70.3"/>
    <n v="84.36"/>
    <n v="-19.898092520468381"/>
    <n v="1476.078780163755"/>
    <n v="0"/>
    <n v="0"/>
    <n v="0"/>
    <n v="0"/>
    <n v="0"/>
    <n v="1"/>
    <n v="0"/>
    <n v="0"/>
    <n v="0"/>
    <n v="0"/>
  </r>
  <r>
    <d v="2004-10-01T00:00:00"/>
    <n v="2004"/>
    <x v="36"/>
    <s v="P"/>
    <n v="2"/>
    <x v="5"/>
    <s v="SAC"/>
    <s v="A"/>
    <n v="3"/>
    <n v="2"/>
    <n v="1"/>
    <n v="-1"/>
    <n v="8"/>
    <n v="-8"/>
    <n v="1594.2114104505017"/>
    <n v="1606.2594163862234"/>
    <n v="0.38679763299310127"/>
    <n v="72"/>
    <n v="74"/>
    <n v="1"/>
    <n v="-2"/>
    <n v="0"/>
    <n v="0.23866103079896012"/>
    <n v="1.2"/>
    <n v="70.45"/>
    <n v="84.54"/>
    <n v="-7.8041851330338341"/>
    <n v="1586.4072253174679"/>
    <n v="0"/>
    <n v="0"/>
    <n v="0"/>
    <n v="0"/>
    <n v="0"/>
    <n v="1"/>
    <n v="0"/>
    <n v="0"/>
    <n v="0"/>
    <n v="0"/>
  </r>
  <r>
    <d v="2004-10-01T00:00:00"/>
    <n v="2004"/>
    <x v="37"/>
    <s v="P"/>
    <n v="2"/>
    <x v="2"/>
    <s v="SEA"/>
    <s v="H"/>
    <n v="2"/>
    <n v="3"/>
    <n v="-1"/>
    <n v="1"/>
    <n v="-8"/>
    <n v="8"/>
    <n v="1606.2594163862234"/>
    <n v="1594.2114104505017"/>
    <n v="0.61320236700689867"/>
    <n v="74"/>
    <n v="72"/>
    <n v="1"/>
    <n v="2"/>
    <n v="1"/>
    <n v="0.23866103079896012"/>
    <n v="1.2"/>
    <n v="70.3"/>
    <n v="84.36"/>
    <n v="7.7875686991097028"/>
    <n v="1614.0469850853331"/>
    <n v="0"/>
    <n v="0"/>
    <n v="0"/>
    <n v="0"/>
    <n v="1"/>
    <n v="0"/>
    <n v="0"/>
    <n v="0"/>
    <n v="0"/>
    <n v="0"/>
  </r>
  <r>
    <d v="2004-10-03T00:00:00"/>
    <n v="2004"/>
    <x v="38"/>
    <s v="P"/>
    <n v="2"/>
    <x v="7"/>
    <s v="CON"/>
    <s v="A"/>
    <n v="1"/>
    <n v="1"/>
    <n v="0"/>
    <n v="0"/>
    <n v="0"/>
    <n v="0"/>
    <n v="1476.078780163755"/>
    <n v="1560.9544212524061"/>
    <n v="0.27445688160878612"/>
    <n v="57"/>
    <n v="60"/>
    <n v="0"/>
    <n v="-3"/>
    <n v="0"/>
    <n v="0.27101473028425471"/>
    <n v="1.2"/>
    <n v="70.150000000000006"/>
    <n v="84.18"/>
    <n v="-6.2614647848783713"/>
    <n v="1469.8173153788766"/>
    <n v="0"/>
    <n v="0"/>
    <n v="0"/>
    <n v="0"/>
    <n v="0"/>
    <n v="1"/>
    <n v="0"/>
    <n v="0"/>
    <n v="0"/>
    <n v="0"/>
  </r>
  <r>
    <d v="2004-10-03T00:00:00"/>
    <n v="2004"/>
    <x v="38"/>
    <s v="P"/>
    <n v="2"/>
    <x v="9"/>
    <s v="NYL"/>
    <s v="H"/>
    <n v="1"/>
    <n v="1"/>
    <n v="0"/>
    <n v="0"/>
    <n v="0"/>
    <n v="0"/>
    <n v="1560.9544212524061"/>
    <n v="1476.078780163755"/>
    <n v="0.72554311839121399"/>
    <n v="60"/>
    <n v="57"/>
    <n v="0"/>
    <n v="3"/>
    <n v="1"/>
    <n v="0.27101473028425471"/>
    <n v="1.2"/>
    <n v="70.150000000000006"/>
    <n v="84.18"/>
    <n v="6.2614647848783687"/>
    <n v="1567.2158860372845"/>
    <n v="0"/>
    <n v="0"/>
    <n v="0"/>
    <n v="0"/>
    <n v="1"/>
    <n v="0"/>
    <n v="0"/>
    <n v="0"/>
    <n v="0"/>
    <n v="0"/>
  </r>
  <r>
    <d v="2004-10-03T00:00:00"/>
    <n v="2004"/>
    <x v="38"/>
    <s v="P"/>
    <n v="2"/>
    <x v="2"/>
    <s v="SEA"/>
    <s v="A"/>
    <n v="1"/>
    <n v="1"/>
    <n v="0"/>
    <n v="0"/>
    <n v="0"/>
    <n v="0"/>
    <n v="1614.0469850853331"/>
    <n v="1586.4072253174679"/>
    <n v="0.41959513464824294"/>
    <n v="54"/>
    <n v="66"/>
    <n v="0"/>
    <n v="-12"/>
    <n v="0"/>
    <n v="0.44585989280385357"/>
    <n v="1.2"/>
    <n v="70.150000000000006"/>
    <n v="84.18"/>
    <n v="-15.748448422959818"/>
    <n v="1598.2985366623732"/>
    <n v="0"/>
    <n v="0"/>
    <n v="0"/>
    <n v="0"/>
    <n v="0"/>
    <n v="1"/>
    <n v="0"/>
    <n v="0"/>
    <n v="0"/>
    <n v="0"/>
  </r>
  <r>
    <d v="2004-10-03T00:00:00"/>
    <n v="2004"/>
    <x v="37"/>
    <s v="P"/>
    <n v="2"/>
    <x v="5"/>
    <s v="SAC"/>
    <s v="H"/>
    <n v="1"/>
    <n v="1"/>
    <n v="0"/>
    <n v="0"/>
    <n v="0"/>
    <n v="0"/>
    <n v="1586.4072253174679"/>
    <n v="1614.0469850853331"/>
    <n v="0.58040486535175706"/>
    <n v="66"/>
    <n v="54"/>
    <n v="0"/>
    <n v="12"/>
    <n v="1"/>
    <n v="0.44585989280385357"/>
    <n v="1.2"/>
    <n v="70.3"/>
    <n v="84.36"/>
    <n v="15.782122938475768"/>
    <n v="1602.1893482559437"/>
    <n v="0"/>
    <n v="0"/>
    <n v="0"/>
    <n v="0"/>
    <n v="1"/>
    <n v="0"/>
    <n v="0"/>
    <n v="0"/>
    <n v="0"/>
    <n v="0"/>
  </r>
  <r>
    <d v="2004-10-05T00:00:00"/>
    <n v="2004"/>
    <x v="39"/>
    <s v="P"/>
    <n v="2"/>
    <x v="2"/>
    <s v="SEA"/>
    <s v="A"/>
    <n v="1"/>
    <n v="1"/>
    <n v="0"/>
    <n v="0"/>
    <n v="0"/>
    <n v="0"/>
    <n v="1598.2985366623732"/>
    <n v="1602.1893482559437"/>
    <n v="0.37614572293060938"/>
    <n v="62"/>
    <n v="82"/>
    <n v="0"/>
    <n v="-20"/>
    <n v="0"/>
    <n v="0.57302940107786393"/>
    <n v="1.2"/>
    <n v="70"/>
    <n v="84"/>
    <n v="-18.10557489962989"/>
    <n v="1580.1929617627434"/>
    <n v="0"/>
    <n v="0"/>
    <n v="0"/>
    <n v="0"/>
    <n v="0"/>
    <n v="1"/>
    <n v="0"/>
    <n v="0"/>
    <n v="0"/>
    <n v="0"/>
  </r>
  <r>
    <d v="2004-10-05T00:00:00"/>
    <n v="2004"/>
    <x v="38"/>
    <s v="P"/>
    <n v="2"/>
    <x v="5"/>
    <s v="SAC"/>
    <s v="H"/>
    <n v="1"/>
    <n v="1"/>
    <n v="0"/>
    <n v="0"/>
    <n v="0"/>
    <n v="0"/>
    <n v="1602.1893482559437"/>
    <n v="1598.2985366623732"/>
    <n v="0.62385427706939056"/>
    <n v="82"/>
    <n v="62"/>
    <n v="0"/>
    <n v="20"/>
    <n v="1"/>
    <n v="0.57302940107786393"/>
    <n v="1.2"/>
    <n v="70.150000000000006"/>
    <n v="84.18"/>
    <n v="18.144372560129099"/>
    <n v="1620.3337208160729"/>
    <n v="0"/>
    <n v="0"/>
    <n v="0"/>
    <n v="0"/>
    <n v="1"/>
    <n v="0"/>
    <n v="0"/>
    <n v="0"/>
    <n v="0"/>
    <n v="0"/>
  </r>
  <r>
    <d v="2004-10-08T00:00:00"/>
    <n v="2004"/>
    <x v="39"/>
    <s v="P"/>
    <n v="3"/>
    <x v="5"/>
    <s v="CON"/>
    <s v="A"/>
    <n v="2"/>
    <n v="4"/>
    <n v="-2"/>
    <n v="2"/>
    <n v="-16"/>
    <n v="16"/>
    <n v="1620.3337208160729"/>
    <n v="1567.2158860372845"/>
    <n v="0.41048062896845883"/>
    <n v="64"/>
    <n v="68"/>
    <n v="0"/>
    <n v="-4"/>
    <n v="0"/>
    <n v="0.29823155613344815"/>
    <n v="1.35"/>
    <n v="70"/>
    <n v="94.5"/>
    <n v="-11.568527151920552"/>
    <n v="1608.7651936641523"/>
    <n v="0"/>
    <n v="0"/>
    <n v="0"/>
    <n v="0"/>
    <n v="0"/>
    <n v="0"/>
    <n v="0"/>
    <n v="1"/>
    <n v="0"/>
    <n v="0"/>
  </r>
  <r>
    <d v="2004-10-08T00:00:00"/>
    <n v="2004"/>
    <x v="39"/>
    <s v="P"/>
    <n v="3"/>
    <x v="9"/>
    <s v="SEA"/>
    <s v="H"/>
    <n v="4"/>
    <n v="2"/>
    <n v="2"/>
    <n v="-2"/>
    <n v="16"/>
    <n v="-16"/>
    <n v="1567.2158860372845"/>
    <n v="1620.3337208160729"/>
    <n v="0.58951937103154117"/>
    <n v="68"/>
    <n v="64"/>
    <n v="0"/>
    <n v="4"/>
    <n v="1"/>
    <n v="0.29823155613344815"/>
    <n v="1.35"/>
    <n v="70"/>
    <n v="94.5"/>
    <n v="11.568527151920552"/>
    <n v="1578.784413189205"/>
    <n v="0"/>
    <n v="0"/>
    <n v="0"/>
    <n v="0"/>
    <n v="0"/>
    <n v="0"/>
    <n v="1"/>
    <n v="0"/>
    <n v="0"/>
    <n v="0"/>
  </r>
  <r>
    <d v="2004-10-10T00:00:00"/>
    <n v="2004"/>
    <x v="40"/>
    <s v="P"/>
    <n v="3"/>
    <x v="9"/>
    <s v="SEA"/>
    <s v="A"/>
    <n v="1"/>
    <n v="1"/>
    <n v="0"/>
    <n v="0"/>
    <n v="0"/>
    <n v="0"/>
    <n v="1578.784413189205"/>
    <n v="1608.7651936641523"/>
    <n v="0.34161036219889124"/>
    <n v="65"/>
    <n v="67"/>
    <n v="0"/>
    <n v="-2"/>
    <n v="0"/>
    <n v="0.2613126888433932"/>
    <n v="1.35"/>
    <n v="69.849999999999994"/>
    <n v="94.297499999999999"/>
    <n v="-8.4176664634772056"/>
    <n v="1570.3667467257278"/>
    <n v="0"/>
    <n v="0"/>
    <n v="0"/>
    <n v="0"/>
    <n v="0"/>
    <n v="0"/>
    <n v="0"/>
    <n v="1"/>
    <n v="0"/>
    <n v="0"/>
  </r>
  <r>
    <d v="2004-10-10T00:00:00"/>
    <n v="2004"/>
    <x v="40"/>
    <s v="P"/>
    <n v="3"/>
    <x v="5"/>
    <s v="CON"/>
    <s v="H"/>
    <n v="1"/>
    <n v="1"/>
    <n v="0"/>
    <n v="0"/>
    <n v="0"/>
    <n v="0"/>
    <n v="1608.7651936641523"/>
    <n v="1578.784413189205"/>
    <n v="0.65838963780110871"/>
    <n v="67"/>
    <n v="65"/>
    <n v="0"/>
    <n v="2"/>
    <n v="1"/>
    <n v="0.2613126888433932"/>
    <n v="1.35"/>
    <n v="69.849999999999994"/>
    <n v="94.297499999999999"/>
    <n v="8.4176664634772074"/>
    <n v="1617.1828601276295"/>
    <n v="0"/>
    <n v="0"/>
    <n v="0"/>
    <n v="0"/>
    <n v="0"/>
    <n v="0"/>
    <n v="1"/>
    <n v="0"/>
    <n v="0"/>
    <n v="0"/>
  </r>
  <r>
    <d v="2004-10-12T00:00:00"/>
    <n v="2004"/>
    <x v="41"/>
    <s v="P"/>
    <n v="3"/>
    <x v="9"/>
    <s v="SEA"/>
    <s v="A"/>
    <n v="1"/>
    <n v="1"/>
    <n v="0"/>
    <n v="0"/>
    <n v="0"/>
    <n v="0"/>
    <n v="1570.3667467257278"/>
    <n v="1617.1828601276295"/>
    <n v="0.32015967872106887"/>
    <n v="60"/>
    <n v="74"/>
    <n v="0"/>
    <n v="-14"/>
    <n v="0"/>
    <n v="0.4692991355753432"/>
    <n v="1.35"/>
    <n v="69.7"/>
    <n v="94.095000000000013"/>
    <n v="-14.137835896913099"/>
    <n v="1556.2289108288146"/>
    <n v="0"/>
    <n v="0"/>
    <n v="0"/>
    <n v="0"/>
    <n v="0"/>
    <n v="0"/>
    <n v="0"/>
    <n v="1"/>
    <n v="0"/>
    <n v="0"/>
  </r>
  <r>
    <d v="2004-10-12T00:00:00"/>
    <n v="2004"/>
    <x v="41"/>
    <s v="P"/>
    <n v="3"/>
    <x v="5"/>
    <s v="CON"/>
    <s v="H"/>
    <n v="1"/>
    <n v="1"/>
    <n v="0"/>
    <n v="0"/>
    <n v="0"/>
    <n v="0"/>
    <n v="1617.1828601276295"/>
    <n v="1570.3667467257278"/>
    <n v="0.67984032127893113"/>
    <n v="74"/>
    <n v="60"/>
    <n v="0"/>
    <n v="14"/>
    <n v="1"/>
    <n v="0.4692991355753432"/>
    <n v="1.35"/>
    <n v="69.7"/>
    <n v="94.095000000000013"/>
    <n v="14.137835896913099"/>
    <n v="1631.3206960245427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7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8">
        <item m="1" x="38"/>
        <item m="1" x="32"/>
        <item m="1" x="49"/>
        <item m="1" x="25"/>
        <item m="1" x="23"/>
        <item m="1" x="37"/>
        <item m="1" x="53"/>
        <item x="6"/>
        <item m="1" x="22"/>
        <item m="1" x="39"/>
        <item m="1" x="13"/>
        <item x="9"/>
        <item m="1" x="27"/>
        <item m="1" x="31"/>
        <item x="10"/>
        <item m="1" x="54"/>
        <item m="1" x="34"/>
        <item x="1"/>
        <item x="8"/>
        <item m="1" x="48"/>
        <item m="1" x="47"/>
        <item m="1" x="21"/>
        <item m="1" x="20"/>
        <item m="1" x="56"/>
        <item x="11"/>
        <item m="1" x="55"/>
        <item m="1" x="24"/>
        <item m="1" x="15"/>
        <item m="1" x="33"/>
        <item x="4"/>
        <item m="1" x="41"/>
        <item m="1" x="18"/>
        <item m="1" x="28"/>
        <item m="1" x="42"/>
        <item m="1" x="50"/>
        <item x="7"/>
        <item m="1" x="43"/>
        <item m="1" x="30"/>
        <item m="1" x="17"/>
        <item m="1" x="26"/>
        <item x="3"/>
        <item m="1" x="45"/>
        <item m="1" x="16"/>
        <item m="1" x="29"/>
        <item x="2"/>
        <item x="0"/>
        <item m="1" x="40"/>
        <item x="5"/>
        <item m="1" x="51"/>
        <item m="1" x="46"/>
        <item m="1" x="52"/>
        <item m="1" x="44"/>
        <item m="1" x="19"/>
        <item m="1" x="14"/>
        <item m="1" x="36"/>
        <item x="12"/>
        <item m="1" x="35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4">
    <i>
      <x v="7"/>
    </i>
    <i>
      <x v="11"/>
    </i>
    <i>
      <x v="14"/>
    </i>
    <i>
      <x v="17"/>
    </i>
    <i>
      <x v="18"/>
    </i>
    <i>
      <x v="24"/>
    </i>
    <i>
      <x v="29"/>
    </i>
    <i>
      <x v="35"/>
    </i>
    <i>
      <x v="40"/>
    </i>
    <i>
      <x v="44"/>
    </i>
    <i>
      <x v="45"/>
    </i>
    <i>
      <x v="47"/>
    </i>
    <i>
      <x v="5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6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4" totalsRowShown="0">
  <autoFilter ref="A1:D14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4">
    <sortCondition ref="C10:C14"/>
  </sortState>
  <tableColumns count="4">
    <tableColumn id="1" xr3:uid="{8C17ECDF-4459-4994-A3F5-8E8FEDF92B6F}" name="TeamID"/>
    <tableColumn id="4" xr3:uid="{789F069E-DAF9-4B19-A6DB-107BA6995CE5}" name="Logo" dataDxfId="46"/>
    <tableColumn id="5" xr3:uid="{A9DA91BA-5529-4913-978B-19C8EF225B29}" name="TeamName" dataDxfId="45"/>
    <tableColumn id="2" xr3:uid="{AA4C8157-DB69-4779-8EEE-6F419B992D71}" name="PreSeasonElo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81" totalsRowShown="0" headerRowDxfId="41" dataDxfId="40">
  <autoFilter ref="A1:AL481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9"/>
    <tableColumn id="21" xr3:uid="{D754AB95-C77C-4DD5-B1B9-A24A4FEE7279}" name="Season" dataDxfId="38"/>
    <tableColumn id="19" xr3:uid="{4C42B78B-6AFC-42C3-A5F4-3266E247C458}" name="GamesPlayed" dataDxfId="37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6"/>
    <tableColumn id="14" xr3:uid="{EFA83923-8CCA-4DC9-BC85-5D86949A45D9}" name="Round" dataDxfId="35"/>
    <tableColumn id="2" xr3:uid="{6E102E51-A49B-416B-8CD2-B93B2A4EA389}" name="Team" dataDxfId="34"/>
    <tableColumn id="3" xr3:uid="{19101345-1C34-4AF3-88E6-76A7F19B7FE6}" name="Opponent" dataDxfId="33"/>
    <tableColumn id="16" xr3:uid="{4CBCDF29-B095-48DF-8EF6-06DC7D78C844}" name="HomeAway" dataDxfId="32"/>
    <tableColumn id="32" xr3:uid="{E3FA53E3-DAD6-4BC2-969A-C53F4798E86D}" name="DaysOff" dataDxfId="31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0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9">
      <calculatedColumnFormula>Games[[#This Row],[DaysOff]]-Games[[#This Row],[OppDaysOff]]</calculatedColumnFormula>
    </tableColumn>
    <tableColumn id="35" xr3:uid="{3F2DB366-7372-41BA-8B0C-09F9BA7EA850}" name="OppRestDiff" dataDxfId="28">
      <calculatedColumnFormula>Games[[#This Row],[OppDaysOff]]-Games[[#This Row],[DaysOff]]</calculatedColumnFormula>
    </tableColumn>
    <tableColumn id="36" xr3:uid="{BDD0FD2C-608F-4CCC-867B-4481F0F4B802}" name="RestAdj" dataDxfId="27">
      <calculatedColumnFormula>MAX(-16, MIN(16, Games[[#This Row],[RestDiff]]*8))</calculatedColumnFormula>
    </tableColumn>
    <tableColumn id="37" xr3:uid="{5F89213A-4C28-428C-B766-3B05D4F530A5}" name="OppRestAdj" dataDxfId="26">
      <calculatedColumnFormula>MAX(-16, MIN(16, Games[[#This Row],[OppRestDiff]]*8))</calculatedColumnFormula>
    </tableColumn>
    <tableColumn id="4" xr3:uid="{68053CFA-948B-4F2C-A114-7C46ABD9EA33}" name="PreGmRate" dataDxfId="25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4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3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2"/>
    <tableColumn id="8" xr3:uid="{0CDDF0F9-2F1E-487C-96DD-90F70CE7DAFC}" name="PointsAgainst" dataDxfId="21"/>
    <tableColumn id="22" xr3:uid="{AB7B5B5C-5BAD-4213-990E-8EB9B177497C}" name="OT" dataDxfId="20"/>
    <tableColumn id="9" xr3:uid="{CE171F1D-5E5D-4800-A6DC-8F6DBD74C939}" name="MOV" dataDxfId="19">
      <calculatedColumnFormula>Games[[#This Row],[PointsFor]]-Games[[#This Row],[PointsAgainst]]</calculatedColumnFormula>
    </tableColumn>
    <tableColumn id="10" xr3:uid="{883A3911-25F6-4C39-9637-F1C42D6A1FC2}" name="Result" dataDxfId="18">
      <calculatedColumnFormula>IF(Games[[#This Row],[MOV]]&gt;0,1,IF(Games[[#This Row],[MOV]]=0,0.5,0))</calculatedColumnFormula>
    </tableColumn>
    <tableColumn id="15" xr3:uid="{00048431-5FD6-47EE-807E-5B63FD521193}" name="MOVMult" dataDxfId="17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6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15">
      <calculatedColumnFormula>MAX(kmin, kmax - 0.15 * MIN(Games[[#This Row],[GamesPlayed]], 82))</calculatedColumnFormula>
    </tableColumn>
    <tableColumn id="29" xr3:uid="{FBA5D644-15ED-4725-9E52-1D37FD0FAC64}" name="Keff" dataDxfId="14">
      <calculatedColumnFormula>Games[[#This Row],[K]]*Games[[#This Row],[POMult]]</calculatedColumnFormula>
    </tableColumn>
    <tableColumn id="11" xr3:uid="{309DAEBD-E62C-4090-89E9-A58FD32AB89B}" name="RatingChange" dataDxfId="13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2">
      <calculatedColumnFormula>Games[[#This Row],[PreGmRate]]+Games[[#This Row],[RatingChange]]</calculatedColumnFormula>
    </tableColumn>
    <tableColumn id="17" xr3:uid="{90B7BF87-E472-4474-A10D-555BD3BF8F04}" name="W" dataDxfId="11">
      <calculatedColumnFormula>IF(Games[[#This Row],[Type]]="R",IF(Games[[#This Row],[Result]]&gt;0.5,1,0),0)</calculatedColumnFormula>
    </tableColumn>
    <tableColumn id="18" xr3:uid="{29756EA1-783D-4C76-A7B8-F906AF0EC7E7}" name="L" dataDxfId="10">
      <calculatedColumnFormula>IF(Games[[#This Row],[Type]]="R",IF(Games[[#This Row],[Result]]&lt;0.5,1,0),0)</calculatedColumnFormula>
    </tableColumn>
    <tableColumn id="23" xr3:uid="{C253CFA7-28A4-4AE5-B131-DC1E8F2B73F8}" name="R1W" dataDxfId="9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8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7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6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5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4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3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2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8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1479.7462169544833</v>
      </c>
      <c r="G2" t="s">
        <v>68</v>
      </c>
      <c r="H2" s="12">
        <v>1449.4278846976563</v>
      </c>
    </row>
    <row r="3" spans="1:8" x14ac:dyDescent="0.35">
      <c r="A3" t="s">
        <v>86</v>
      </c>
      <c r="B3" s="8"/>
      <c r="C3" s="15" t="s">
        <v>85</v>
      </c>
      <c r="D3" s="13">
        <v>1518.6725560535676</v>
      </c>
      <c r="G3" t="s">
        <v>85</v>
      </c>
      <c r="H3" s="12">
        <v>1556.2289108288146</v>
      </c>
    </row>
    <row r="4" spans="1:8" x14ac:dyDescent="0.35">
      <c r="A4" t="s">
        <v>75</v>
      </c>
      <c r="B4" s="8"/>
      <c r="C4" s="15" t="s">
        <v>76</v>
      </c>
      <c r="D4" s="13">
        <v>1638.5874933636674</v>
      </c>
      <c r="G4" t="s">
        <v>76</v>
      </c>
      <c r="H4" s="12">
        <v>1508.9121562549094</v>
      </c>
    </row>
    <row r="5" spans="1:8" x14ac:dyDescent="0.35">
      <c r="A5" t="s">
        <v>2</v>
      </c>
      <c r="B5" s="8"/>
      <c r="C5" s="15" t="s">
        <v>65</v>
      </c>
      <c r="D5" s="13">
        <v>1576.8583815594543</v>
      </c>
      <c r="G5" t="s">
        <v>65</v>
      </c>
      <c r="H5" s="12">
        <v>1444.9797026186211</v>
      </c>
    </row>
    <row r="6" spans="1:8" x14ac:dyDescent="0.35">
      <c r="A6" t="s">
        <v>79</v>
      </c>
      <c r="B6" s="8"/>
      <c r="C6" s="15" t="s">
        <v>80</v>
      </c>
      <c r="D6" s="13">
        <v>1466.034687741379</v>
      </c>
      <c r="G6" t="s">
        <v>80</v>
      </c>
      <c r="H6" s="12">
        <v>1445.4726390201686</v>
      </c>
    </row>
    <row r="7" spans="1:8" x14ac:dyDescent="0.35">
      <c r="A7" t="s">
        <v>70</v>
      </c>
      <c r="B7" s="8"/>
      <c r="C7" s="15" t="s">
        <v>71</v>
      </c>
      <c r="D7" s="13">
        <v>1624.6004364563519</v>
      </c>
      <c r="G7" t="s">
        <v>71</v>
      </c>
      <c r="H7" s="12">
        <v>1609.6139416315009</v>
      </c>
    </row>
    <row r="8" spans="1:8" x14ac:dyDescent="0.35">
      <c r="A8" t="s">
        <v>77</v>
      </c>
      <c r="B8" s="8"/>
      <c r="C8" s="15" t="s">
        <v>78</v>
      </c>
      <c r="D8" s="13">
        <v>1490.7839992097279</v>
      </c>
      <c r="G8" t="s">
        <v>78</v>
      </c>
      <c r="H8" s="12">
        <v>1478.0093139465582</v>
      </c>
    </row>
    <row r="9" spans="1:8" x14ac:dyDescent="0.35">
      <c r="A9" t="s">
        <v>66</v>
      </c>
      <c r="B9" s="8"/>
      <c r="C9" s="15" t="s">
        <v>67</v>
      </c>
      <c r="D9" s="13">
        <v>1491.0793543393934</v>
      </c>
      <c r="G9" t="s">
        <v>67</v>
      </c>
      <c r="H9" s="12">
        <v>1469.8173153788766</v>
      </c>
    </row>
    <row r="10" spans="1:8" x14ac:dyDescent="0.35">
      <c r="A10" t="s">
        <v>44</v>
      </c>
      <c r="B10" s="8"/>
      <c r="C10" s="15" t="s">
        <v>69</v>
      </c>
      <c r="D10" s="13">
        <v>1373.5680250985833</v>
      </c>
      <c r="G10" t="s">
        <v>69</v>
      </c>
      <c r="H10" s="12">
        <v>1504.0038968446224</v>
      </c>
    </row>
    <row r="11" spans="1:8" x14ac:dyDescent="0.35">
      <c r="A11" t="s">
        <v>45</v>
      </c>
      <c r="B11" s="8"/>
      <c r="C11" s="15" t="s">
        <v>72</v>
      </c>
      <c r="D11" s="13">
        <v>1556.9660722221515</v>
      </c>
      <c r="G11" t="s">
        <v>72</v>
      </c>
      <c r="H11" s="12">
        <v>1580.1929617627434</v>
      </c>
    </row>
    <row r="12" spans="1:8" x14ac:dyDescent="0.35">
      <c r="A12" t="s">
        <v>84</v>
      </c>
      <c r="B12" s="8"/>
      <c r="C12" s="15" t="s">
        <v>83</v>
      </c>
      <c r="D12" s="13">
        <v>1406.3920843166845</v>
      </c>
      <c r="G12" t="s">
        <v>83</v>
      </c>
      <c r="H12" s="12">
        <v>1372.9188597151965</v>
      </c>
    </row>
    <row r="13" spans="1:8" x14ac:dyDescent="0.35">
      <c r="A13" t="s">
        <v>81</v>
      </c>
      <c r="B13" s="8"/>
      <c r="C13" s="15" t="s">
        <v>82</v>
      </c>
      <c r="D13" s="13">
        <v>1535.9896378321173</v>
      </c>
      <c r="G13" t="s">
        <v>82</v>
      </c>
      <c r="H13" s="12">
        <v>1631.3206960245427</v>
      </c>
    </row>
    <row r="14" spans="1:8" x14ac:dyDescent="0.35">
      <c r="A14" t="s">
        <v>73</v>
      </c>
      <c r="B14" s="8"/>
      <c r="C14" s="15" t="s">
        <v>74</v>
      </c>
      <c r="D14" s="13">
        <v>1378.8937015391648</v>
      </c>
      <c r="G14" t="s">
        <v>74</v>
      </c>
      <c r="H14" s="12">
        <v>1468.1261647562219</v>
      </c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15"/>
      <c r="D25" s="13"/>
    </row>
    <row r="26" spans="2:4" x14ac:dyDescent="0.35">
      <c r="B26" s="8"/>
      <c r="C26" s="8"/>
      <c r="D26" s="13"/>
    </row>
    <row r="27" spans="2:4" x14ac:dyDescent="0.35">
      <c r="B27" s="8"/>
      <c r="C27" s="8"/>
      <c r="D27" s="13"/>
    </row>
    <row r="28" spans="2:4" x14ac:dyDescent="0.35">
      <c r="B28" s="8"/>
      <c r="C28" s="8"/>
      <c r="D28" s="13"/>
    </row>
  </sheetData>
  <sortState xmlns:xlrd2="http://schemas.microsoft.com/office/spreadsheetml/2017/richdata2" ref="G2:H14">
    <sortCondition ref="G2:G1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7"/>
  <sheetViews>
    <sheetView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4">_xlfn.SORTBY(A25:H37,G25:G37,-1)</f>
        <v>SEA</v>
      </c>
      <c r="B2">
        <v>0</v>
      </c>
      <c r="C2" t="str">
        <v>Seattle Storm</v>
      </c>
      <c r="D2" s="1">
        <v>20</v>
      </c>
      <c r="E2" s="1">
        <v>14</v>
      </c>
      <c r="F2" s="3">
        <v>0.58823529411764708</v>
      </c>
      <c r="G2" s="9">
        <v>1631.3206960245427</v>
      </c>
      <c r="H2" s="1">
        <v>38272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0</v>
      </c>
      <c r="AO2" s="1">
        <f>_xlfn.XLOOKUP($AK2,StandingsPivot!$A$4:$A$33,StandingsPivot!E$4:E$33)</f>
        <v>0</v>
      </c>
      <c r="AP2" s="1">
        <f>_xlfn.XLOOKUP($AK2,StandingsPivot!$A$4:$A$33,StandingsPivot!F$4:F$33)</f>
        <v>0</v>
      </c>
      <c r="AQ2" s="1">
        <f>_xlfn.XLOOKUP($AK2,StandingsPivot!$A$4:$A$33,StandingsPivot!G$4:G$33)</f>
        <v>0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0</v>
      </c>
      <c r="AW2" s="1">
        <f t="shared" ref="AW2:AW5" si="1">SUM(AO2,AQ2,AS2,AU2)</f>
        <v>0</v>
      </c>
      <c r="AX2" s="4" cm="1">
        <f t="array" ref="AX2">_xlfn.IFNA(INDEX(Games[PostGmRate], MATCH(1, (Games[Team]=AK2)*(Games[Date]=AY2), 0)),0)</f>
        <v>1444.9797026186211</v>
      </c>
      <c r="AY2" s="1">
        <f>_xlfn.MAXIFS(Games[Date], Games[Team], AK2)</f>
        <v>38249</v>
      </c>
      <c r="AZ2">
        <f t="shared" ref="AZ2:AZ5" si="2">SUM(AV2:AW2)</f>
        <v>0</v>
      </c>
    </row>
    <row r="3" spans="1:68" x14ac:dyDescent="0.35">
      <c r="A3" t="str">
        <v>LAS</v>
      </c>
      <c r="B3">
        <v>0</v>
      </c>
      <c r="C3" t="str">
        <v>Los Angeles Sparks</v>
      </c>
      <c r="D3" s="1">
        <v>25</v>
      </c>
      <c r="E3" s="1">
        <v>9</v>
      </c>
      <c r="F3" s="3">
        <v>0.73529411764705888</v>
      </c>
      <c r="G3" s="9">
        <v>1609.6139416315009</v>
      </c>
      <c r="H3" s="1">
        <v>38258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2</v>
      </c>
      <c r="AO3" s="1">
        <f>_xlfn.XLOOKUP($AK3,StandingsPivot!$A$4:$A$33,StandingsPivot!E$4:E$33)</f>
        <v>1</v>
      </c>
      <c r="AP3" s="1">
        <f>_xlfn.XLOOKUP($AK3,StandingsPivot!$A$4:$A$33,StandingsPivot!F$4:F$33)</f>
        <v>0</v>
      </c>
      <c r="AQ3" s="1">
        <f>_xlfn.XLOOKUP($AK3,StandingsPivot!$A$4:$A$33,StandingsPivot!G$4:G$33)</f>
        <v>2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2</v>
      </c>
      <c r="AW3" s="1">
        <f t="shared" si="1"/>
        <v>3</v>
      </c>
      <c r="AX3" s="4" cm="1">
        <f t="array" ref="AX3">_xlfn.IFNA(INDEX(Games[PostGmRate], MATCH(1, (Games[Team]=AK3)*(Games[Date]=AY3), 0)),0)</f>
        <v>1469.8173153788766</v>
      </c>
      <c r="AY3" s="1">
        <f>_xlfn.MAXIFS(Games[Date], Games[Team], AK3)</f>
        <v>38263</v>
      </c>
      <c r="AZ3">
        <f t="shared" si="2"/>
        <v>5</v>
      </c>
    </row>
    <row r="4" spans="1:68" x14ac:dyDescent="0.35">
      <c r="A4" t="str">
        <v>SAC</v>
      </c>
      <c r="B4">
        <v>0</v>
      </c>
      <c r="C4" t="str">
        <v>Sacramento Monarchs</v>
      </c>
      <c r="D4" s="1">
        <v>18</v>
      </c>
      <c r="E4" s="1">
        <v>16</v>
      </c>
      <c r="F4" s="3">
        <v>0.52941176470588236</v>
      </c>
      <c r="G4" s="9">
        <v>1580.1929617627434</v>
      </c>
      <c r="H4" s="1">
        <v>38265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0</v>
      </c>
      <c r="AO4" s="1">
        <f>_xlfn.XLOOKUP($AK4,StandingsPivot!$A$4:$A$33,StandingsPivot!E$4:E$33)</f>
        <v>0</v>
      </c>
      <c r="AP4" s="1">
        <f>_xlfn.XLOOKUP($AK4,StandingsPivot!$A$4:$A$33,StandingsPivot!F$4:F$33)</f>
        <v>0</v>
      </c>
      <c r="AQ4" s="1">
        <f>_xlfn.XLOOKUP($AK4,StandingsPivot!$A$4:$A$33,StandingsPivot!G$4:G$33)</f>
        <v>0</v>
      </c>
      <c r="AR4" s="1">
        <f>_xlfn.XLOOKUP($AK4,StandingsPivot!$A$4:$A$33,StandingsPivot!H$4:H$33)</f>
        <v>0</v>
      </c>
      <c r="AS4" s="1">
        <f>_xlfn.XLOOKUP($AK4,StandingsPivot!$A$4:$A$33,StandingsPivot!I$4:I$33)</f>
        <v>0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0</v>
      </c>
      <c r="AW4" s="1">
        <f t="shared" si="1"/>
        <v>0</v>
      </c>
      <c r="AX4" s="4" cm="1">
        <f t="array" ref="AX4">_xlfn.IFNA(INDEX(Games[PostGmRate], MATCH(1, (Games[Team]=AK4)*(Games[Date]=AY4), 0)),0)</f>
        <v>1449.4278846976563</v>
      </c>
      <c r="AY4" s="1">
        <f>_xlfn.MAXIFS(Games[Date], Games[Team], AK4)</f>
        <v>38249</v>
      </c>
      <c r="AZ4">
        <f t="shared" si="2"/>
        <v>0</v>
      </c>
    </row>
    <row r="5" spans="1:68" x14ac:dyDescent="0.35">
      <c r="A5" t="str">
        <v>CON</v>
      </c>
      <c r="B5">
        <v>0</v>
      </c>
      <c r="C5" t="str">
        <v>Connecticut Sun</v>
      </c>
      <c r="D5" s="1">
        <v>18</v>
      </c>
      <c r="E5" s="1">
        <v>16</v>
      </c>
      <c r="F5" s="3">
        <v>0.52941176470588236</v>
      </c>
      <c r="G5" s="9">
        <v>1556.2289108288146</v>
      </c>
      <c r="H5" s="1">
        <v>38272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DET</v>
      </c>
      <c r="B6">
        <v>0</v>
      </c>
      <c r="C6" t="str">
        <v>Detroit Shock</v>
      </c>
      <c r="D6" s="1">
        <v>17</v>
      </c>
      <c r="E6" s="1">
        <v>17</v>
      </c>
      <c r="F6" s="3">
        <v>0.5</v>
      </c>
      <c r="G6" s="9">
        <v>1508.9121562549094</v>
      </c>
      <c r="H6" s="1">
        <v>38258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1504.0038968446224</v>
      </c>
      <c r="AY6" s="1">
        <f>_xlfn.MAXIFS(Games[Date], Games[Team], AK6)</f>
        <v>38249</v>
      </c>
      <c r="AZ6">
        <f>SUM(AV6:AW6)</f>
        <v>0</v>
      </c>
      <c r="BO6" s="4"/>
      <c r="BP6" s="1"/>
    </row>
    <row r="7" spans="1:68" x14ac:dyDescent="0.35">
      <c r="A7" t="str">
        <v>PHX</v>
      </c>
      <c r="B7">
        <v>0</v>
      </c>
      <c r="C7" t="str">
        <v>Phoenix Mercury</v>
      </c>
      <c r="D7" s="1">
        <v>17</v>
      </c>
      <c r="E7" s="1">
        <v>17</v>
      </c>
      <c r="F7" s="3">
        <v>0.5</v>
      </c>
      <c r="G7" s="9">
        <v>1504.0038968446224</v>
      </c>
      <c r="H7" s="1">
        <v>38249</v>
      </c>
      <c r="AK7" t="s">
        <v>70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1</v>
      </c>
      <c r="AO7" s="1">
        <f>_xlfn.XLOOKUP($AK7,StandingsPivot!$A$4:$A$33,StandingsPivot!E$4:E$33)</f>
        <v>2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1</v>
      </c>
      <c r="AW7" s="1">
        <f t="shared" si="3"/>
        <v>2</v>
      </c>
      <c r="AX7" s="4" cm="1">
        <f t="array" ref="AX7">_xlfn.IFNA(INDEX(Games[PostGmRate], MATCH(1, (Games[Team]=AK7)*(Games[Date]=AY7), 0)),0)</f>
        <v>1609.6139416315009</v>
      </c>
      <c r="AY7" s="1">
        <f>_xlfn.MAXIFS(Games[Date], Games[Team], AK7)</f>
        <v>38258</v>
      </c>
      <c r="AZ7">
        <f>SUM(AV7:AW7)</f>
        <v>3</v>
      </c>
      <c r="BO7" s="4"/>
      <c r="BP7" s="1"/>
    </row>
    <row r="8" spans="1:68" x14ac:dyDescent="0.35">
      <c r="A8" t="str">
        <v>MIN</v>
      </c>
      <c r="B8">
        <v>0</v>
      </c>
      <c r="C8" t="str">
        <v>Minnesota Lynx</v>
      </c>
      <c r="D8" s="1">
        <v>18</v>
      </c>
      <c r="E8" s="1">
        <v>16</v>
      </c>
      <c r="F8" s="3">
        <v>0.52941176470588236</v>
      </c>
      <c r="G8" s="9">
        <v>1478.0093139465582</v>
      </c>
      <c r="H8" s="1">
        <v>38257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2</v>
      </c>
      <c r="AO8" s="1">
        <f>_xlfn.XLOOKUP($AK8,StandingsPivot!$A$4:$A$33,StandingsPivot!E$4:E$33)</f>
        <v>1</v>
      </c>
      <c r="AP8" s="1">
        <f>_xlfn.XLOOKUP($AK8,StandingsPivot!$A$4:$A$33,StandingsPivot!F$4:F$33)</f>
        <v>1</v>
      </c>
      <c r="AQ8" s="1">
        <f>_xlfn.XLOOKUP($AK8,StandingsPivot!$A$4:$A$33,StandingsPivot!G$4:G$33)</f>
        <v>2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3</v>
      </c>
      <c r="AW8" s="1">
        <f t="shared" si="3"/>
        <v>3</v>
      </c>
      <c r="AX8" s="4" cm="1">
        <f t="array" ref="AX8">_xlfn.IFNA(INDEX(Games[PostGmRate], MATCH(1, (Games[Team]=AK8)*(Games[Date]=AY8), 0)),0)</f>
        <v>1580.1929617627434</v>
      </c>
      <c r="AY8" s="1">
        <f>_xlfn.MAXIFS(Games[Date], Games[Team], AK8)</f>
        <v>38265</v>
      </c>
      <c r="AZ8">
        <f>SUM(AV8:AW8)</f>
        <v>6</v>
      </c>
      <c r="BO8" s="4"/>
      <c r="BP8" s="1"/>
    </row>
    <row r="9" spans="1:68" x14ac:dyDescent="0.35">
      <c r="A9" t="str">
        <v>NYL</v>
      </c>
      <c r="B9">
        <v>0</v>
      </c>
      <c r="C9" t="str">
        <v>New York Liberty</v>
      </c>
      <c r="D9" s="1">
        <v>18</v>
      </c>
      <c r="E9" s="1">
        <v>16</v>
      </c>
      <c r="F9" s="3">
        <v>0.52941176470588236</v>
      </c>
      <c r="G9" s="9">
        <v>1469.8173153788766</v>
      </c>
      <c r="H9" s="1">
        <v>38263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WAS</v>
      </c>
      <c r="B10">
        <v>0</v>
      </c>
      <c r="C10" t="str">
        <v>Washington Mystics</v>
      </c>
      <c r="D10" s="1">
        <v>17</v>
      </c>
      <c r="E10" s="1">
        <v>17</v>
      </c>
      <c r="F10" s="3">
        <v>0.5</v>
      </c>
      <c r="G10" s="9">
        <v>1468.1261647562219</v>
      </c>
      <c r="H10" s="1">
        <v>38259</v>
      </c>
      <c r="O10" s="3"/>
      <c r="P10" s="4"/>
      <c r="Q10" s="1"/>
      <c r="AX10" s="4"/>
      <c r="BO10" s="4"/>
      <c r="BP10" s="1"/>
    </row>
    <row r="11" spans="1:68" x14ac:dyDescent="0.35">
      <c r="A11" t="str">
        <v>CHA</v>
      </c>
      <c r="B11">
        <v>0</v>
      </c>
      <c r="C11" t="str">
        <v>Charlotte Sting</v>
      </c>
      <c r="D11" s="1">
        <v>16</v>
      </c>
      <c r="E11" s="1">
        <v>18</v>
      </c>
      <c r="F11" s="3">
        <v>0.47058823529411764</v>
      </c>
      <c r="G11" s="9">
        <v>1449.4278846976563</v>
      </c>
      <c r="H11" s="1">
        <v>38249</v>
      </c>
      <c r="O11" s="3"/>
      <c r="P11" s="4"/>
      <c r="Q11" s="1"/>
      <c r="AX11" s="4"/>
      <c r="BO11" s="4"/>
      <c r="BP11" s="1"/>
    </row>
    <row r="12" spans="1:68" x14ac:dyDescent="0.35">
      <c r="A12" t="str">
        <v>IND</v>
      </c>
      <c r="B12">
        <v>0</v>
      </c>
      <c r="C12" t="str">
        <v>Indiana Fever</v>
      </c>
      <c r="D12" s="1">
        <v>15</v>
      </c>
      <c r="E12" s="1">
        <v>19</v>
      </c>
      <c r="F12" s="3">
        <v>0.44117647058823528</v>
      </c>
      <c r="G12" s="9">
        <v>1445.4726390201686</v>
      </c>
      <c r="H12" s="1">
        <v>38249</v>
      </c>
      <c r="O12" s="3"/>
      <c r="P12" s="4"/>
      <c r="Q12" s="1"/>
      <c r="AX12" s="4"/>
      <c r="BO12" s="4"/>
      <c r="BP12" s="1"/>
    </row>
    <row r="13" spans="1:68" x14ac:dyDescent="0.35">
      <c r="A13" t="str">
        <v>HOU</v>
      </c>
      <c r="B13">
        <v>0</v>
      </c>
      <c r="C13" t="str">
        <v>Houston Comets</v>
      </c>
      <c r="D13" s="1">
        <v>13</v>
      </c>
      <c r="E13" s="1">
        <v>21</v>
      </c>
      <c r="F13" s="3">
        <v>0.38235294117647056</v>
      </c>
      <c r="G13" s="9">
        <v>1444.9797026186211</v>
      </c>
      <c r="H13" s="1">
        <v>38249</v>
      </c>
      <c r="AX13" s="4"/>
      <c r="BO13" s="4"/>
      <c r="BP13" s="1"/>
    </row>
    <row r="14" spans="1:68" x14ac:dyDescent="0.35">
      <c r="A14" t="str">
        <v>SAS</v>
      </c>
      <c r="B14">
        <v>0</v>
      </c>
      <c r="C14" t="str">
        <v>San Antonio Silver Stars</v>
      </c>
      <c r="D14" s="1">
        <v>9</v>
      </c>
      <c r="E14" s="1">
        <v>25</v>
      </c>
      <c r="F14" s="3">
        <v>0.26470588235294118</v>
      </c>
      <c r="G14" s="9">
        <v>1372.9188597151965</v>
      </c>
      <c r="H14" s="1">
        <v>38247</v>
      </c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16</v>
      </c>
      <c r="E25" s="1">
        <f>_xlfn.XLOOKUP($A25,StandingsPivot!$A$4:$A$35,StandingsPivot!C$4:C$35)</f>
        <v>18</v>
      </c>
      <c r="F25" s="3">
        <f t="shared" ref="F25:F37" si="4">(D25)/(D25+E25)</f>
        <v>0.47058823529411764</v>
      </c>
      <c r="G25" s="9" cm="1">
        <f t="array" ref="G25">INDEX(Games[PostGmRate], MATCH(1, (Games[Team]=A25)*(Games[Date]=H25), 0))</f>
        <v>1449.4278846976563</v>
      </c>
      <c r="H25" s="1">
        <f>_xlfn.MAXIFS(Games[Date], Games[Team], A25)</f>
        <v>38249</v>
      </c>
      <c r="AR25" s="3"/>
      <c r="AS25" s="4"/>
      <c r="BD25" s="1"/>
      <c r="BG25" s="3"/>
      <c r="BH25" s="4"/>
    </row>
    <row r="26" spans="1:60" x14ac:dyDescent="0.35">
      <c r="A26" t="s">
        <v>86</v>
      </c>
      <c r="B26">
        <f>_xlfn.XLOOKUP(A26,ConfDiv[TeamID],ConfDiv[Logo])</f>
        <v>0</v>
      </c>
      <c r="C26" t="str">
        <f>_xlfn.XLOOKUP(A26,ConfDiv[TeamID],ConfDiv[TeamName])</f>
        <v>Connecticut Sun</v>
      </c>
      <c r="D26" s="1">
        <f>_xlfn.XLOOKUP($A26,StandingsPivot!$A$4:$A$35,StandingsPivot!B$4:B$35)</f>
        <v>18</v>
      </c>
      <c r="E26" s="1">
        <f>_xlfn.XLOOKUP($A26,StandingsPivot!$A$4:$A$35,StandingsPivot!C$4:C$35)</f>
        <v>16</v>
      </c>
      <c r="F26" s="3">
        <f t="shared" si="4"/>
        <v>0.52941176470588236</v>
      </c>
      <c r="G26" s="9" cm="1">
        <f t="array" ref="G26">INDEX(Games[PostGmRate], MATCH(1, (Games[Team]=A26)*(Games[Date]=H26), 0))</f>
        <v>1556.2289108288146</v>
      </c>
      <c r="H26" s="1">
        <f>_xlfn.MAXIFS(Games[Date], Games[Team], A26)</f>
        <v>38272</v>
      </c>
      <c r="AR26" s="3"/>
      <c r="AS26" s="4"/>
      <c r="BD26" s="1"/>
      <c r="BG26" s="3"/>
      <c r="BH26" s="4"/>
    </row>
    <row r="27" spans="1:60" x14ac:dyDescent="0.35">
      <c r="A27" t="s">
        <v>75</v>
      </c>
      <c r="B27">
        <f>_xlfn.XLOOKUP(A27,ConfDiv[TeamID],ConfDiv[Logo])</f>
        <v>0</v>
      </c>
      <c r="C27" t="str">
        <f>_xlfn.XLOOKUP(A27,ConfDiv[TeamID],ConfDiv[TeamName])</f>
        <v>Detroit Shock</v>
      </c>
      <c r="D27" s="1">
        <f>_xlfn.XLOOKUP($A27,StandingsPivot!$A$4:$A$35,StandingsPivot!B$4:B$35)</f>
        <v>17</v>
      </c>
      <c r="E27" s="1">
        <f>_xlfn.XLOOKUP($A27,StandingsPivot!$A$4:$A$35,StandingsPivot!C$4:C$35)</f>
        <v>17</v>
      </c>
      <c r="F27" s="3">
        <f t="shared" si="4"/>
        <v>0.5</v>
      </c>
      <c r="G27" s="9" cm="1">
        <f t="array" ref="G27">INDEX(Games[PostGmRate], MATCH(1, (Games[Team]=A27)*(Games[Date]=H27), 0))</f>
        <v>1508.9121562549094</v>
      </c>
      <c r="H27" s="1">
        <f>_xlfn.MAXIFS(Games[Date], Games[Team], A27)</f>
        <v>38258</v>
      </c>
      <c r="AR27" s="3"/>
      <c r="AS27" s="4"/>
      <c r="BD27" s="1"/>
      <c r="BG27" s="3"/>
      <c r="BH27" s="4"/>
    </row>
    <row r="28" spans="1:60" x14ac:dyDescent="0.35">
      <c r="A28" t="s">
        <v>2</v>
      </c>
      <c r="B28">
        <f>_xlfn.XLOOKUP(A28,ConfDiv[TeamID],ConfDiv[Logo])</f>
        <v>0</v>
      </c>
      <c r="C28" t="str">
        <f>_xlfn.XLOOKUP(A28,ConfDiv[TeamID],ConfDiv[TeamName])</f>
        <v>Houston Comets</v>
      </c>
      <c r="D28" s="1">
        <f>_xlfn.XLOOKUP($A28,StandingsPivot!$A$4:$A$35,StandingsPivot!B$4:B$35)</f>
        <v>13</v>
      </c>
      <c r="E28" s="1">
        <f>_xlfn.XLOOKUP($A28,StandingsPivot!$A$4:$A$35,StandingsPivot!C$4:C$35)</f>
        <v>21</v>
      </c>
      <c r="F28" s="3">
        <f t="shared" si="4"/>
        <v>0.38235294117647056</v>
      </c>
      <c r="G28" s="9" cm="1">
        <f t="array" ref="G28">INDEX(Games[PostGmRate], MATCH(1, (Games[Team]=A28)*(Games[Date]=H28), 0))</f>
        <v>1444.9797026186211</v>
      </c>
      <c r="H28" s="1">
        <f>_xlfn.MAXIFS(Games[Date], Games[Team], A28)</f>
        <v>38249</v>
      </c>
      <c r="AR28" s="3"/>
      <c r="AS28" s="4"/>
      <c r="BD28" s="1"/>
      <c r="BG28" s="3"/>
      <c r="BH28" s="4"/>
    </row>
    <row r="29" spans="1:60" x14ac:dyDescent="0.35">
      <c r="A29" t="s">
        <v>79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15</v>
      </c>
      <c r="E29" s="1">
        <f>_xlfn.XLOOKUP($A29,StandingsPivot!$A$4:$A$35,StandingsPivot!C$4:C$35)</f>
        <v>19</v>
      </c>
      <c r="F29" s="3">
        <f t="shared" si="4"/>
        <v>0.44117647058823528</v>
      </c>
      <c r="G29" s="9" cm="1">
        <f t="array" ref="G29">INDEX(Games[PostGmRate], MATCH(1, (Games[Team]=A29)*(Games[Date]=H29), 0))</f>
        <v>1445.4726390201686</v>
      </c>
      <c r="H29" s="1">
        <f>_xlfn.MAXIFS(Games[Date], Games[Team], A29)</f>
        <v>38249</v>
      </c>
      <c r="AR29" s="3"/>
      <c r="AS29" s="4"/>
      <c r="BD29" s="1"/>
      <c r="BG29" s="3"/>
      <c r="BH29" s="4"/>
    </row>
    <row r="30" spans="1:60" x14ac:dyDescent="0.35">
      <c r="A30" t="s">
        <v>70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25</v>
      </c>
      <c r="E30" s="1">
        <f>_xlfn.XLOOKUP($A30,StandingsPivot!$A$4:$A$35,StandingsPivot!C$4:C$35)</f>
        <v>9</v>
      </c>
      <c r="F30" s="3">
        <f t="shared" si="4"/>
        <v>0.73529411764705888</v>
      </c>
      <c r="G30" s="9" cm="1">
        <f t="array" ref="G30">INDEX(Games[PostGmRate], MATCH(1, (Games[Team]=A30)*(Games[Date]=H30), 0))</f>
        <v>1609.6139416315009</v>
      </c>
      <c r="H30" s="1">
        <f>_xlfn.MAXIFS(Games[Date], Games[Team], A30)</f>
        <v>38258</v>
      </c>
      <c r="AR30" s="3"/>
      <c r="AS30" s="4"/>
      <c r="BD30" s="1"/>
      <c r="BG30" s="3"/>
      <c r="BH30" s="4"/>
    </row>
    <row r="31" spans="1:60" x14ac:dyDescent="0.35">
      <c r="A31" t="s">
        <v>77</v>
      </c>
      <c r="B31">
        <f>_xlfn.XLOOKUP(A31,ConfDiv[TeamID],ConfDiv[Logo])</f>
        <v>0</v>
      </c>
      <c r="C31" t="str">
        <f>_xlfn.XLOOKUP(A31,ConfDiv[TeamID],ConfDiv[TeamName])</f>
        <v>Minnesota Lynx</v>
      </c>
      <c r="D31" s="1">
        <f>_xlfn.XLOOKUP($A31,StandingsPivot!$A$4:$A$35,StandingsPivot!B$4:B$35)</f>
        <v>18</v>
      </c>
      <c r="E31" s="1">
        <f>_xlfn.XLOOKUP($A31,StandingsPivot!$A$4:$A$35,StandingsPivot!C$4:C$35)</f>
        <v>16</v>
      </c>
      <c r="F31" s="3">
        <f t="shared" si="4"/>
        <v>0.52941176470588236</v>
      </c>
      <c r="G31" s="9" cm="1">
        <f t="array" ref="G31">INDEX(Games[PostGmRate], MATCH(1, (Games[Team]=A31)*(Games[Date]=H31), 0))</f>
        <v>1478.0093139465582</v>
      </c>
      <c r="H31" s="1">
        <f>_xlfn.MAXIFS(Games[Date], Games[Team], A31)</f>
        <v>38257</v>
      </c>
      <c r="AR31" s="3"/>
      <c r="AS31" s="4"/>
      <c r="BD31" s="1"/>
      <c r="BG31" s="3"/>
      <c r="BH31" s="4"/>
    </row>
    <row r="32" spans="1:60" x14ac:dyDescent="0.35">
      <c r="A32" t="s">
        <v>66</v>
      </c>
      <c r="B32">
        <f>_xlfn.XLOOKUP(A32,ConfDiv[TeamID],ConfDiv[Logo])</f>
        <v>0</v>
      </c>
      <c r="C32" t="str">
        <f>_xlfn.XLOOKUP(A32,ConfDiv[TeamID],ConfDiv[TeamName])</f>
        <v>New York Liberty</v>
      </c>
      <c r="D32" s="1">
        <f>_xlfn.XLOOKUP($A32,StandingsPivot!$A$4:$A$35,StandingsPivot!B$4:B$35)</f>
        <v>18</v>
      </c>
      <c r="E32" s="1">
        <f>_xlfn.XLOOKUP($A32,StandingsPivot!$A$4:$A$35,StandingsPivot!C$4:C$35)</f>
        <v>16</v>
      </c>
      <c r="F32" s="3">
        <f t="shared" si="4"/>
        <v>0.52941176470588236</v>
      </c>
      <c r="G32" s="9" cm="1">
        <f t="array" ref="G32">INDEX(Games[PostGmRate], MATCH(1, (Games[Team]=A32)*(Games[Date]=H32), 0))</f>
        <v>1469.8173153788766</v>
      </c>
      <c r="H32" s="1">
        <f>_xlfn.MAXIFS(Games[Date], Games[Team], A32)</f>
        <v>38263</v>
      </c>
      <c r="AR32" s="3"/>
      <c r="AS32" s="4"/>
      <c r="BD32" s="1"/>
      <c r="BG32" s="3"/>
      <c r="BH32" s="4"/>
    </row>
    <row r="33" spans="1:60" x14ac:dyDescent="0.35">
      <c r="A33" t="s">
        <v>44</v>
      </c>
      <c r="B33">
        <f>_xlfn.XLOOKUP(A33,ConfDiv[TeamID],ConfDiv[Logo])</f>
        <v>0</v>
      </c>
      <c r="C33" t="str">
        <f>_xlfn.XLOOKUP(A33,ConfDiv[TeamID],ConfDiv[TeamName])</f>
        <v>Phoenix Mercury</v>
      </c>
      <c r="D33" s="1">
        <f>_xlfn.XLOOKUP($A33,StandingsPivot!$A$4:$A$35,StandingsPivot!B$4:B$35)</f>
        <v>17</v>
      </c>
      <c r="E33" s="1">
        <f>_xlfn.XLOOKUP($A33,StandingsPivot!$A$4:$A$35,StandingsPivot!C$4:C$35)</f>
        <v>17</v>
      </c>
      <c r="F33" s="3">
        <f t="shared" si="4"/>
        <v>0.5</v>
      </c>
      <c r="G33" s="9" cm="1">
        <f t="array" ref="G33">INDEX(Games[PostGmRate], MATCH(1, (Games[Team]=A33)*(Games[Date]=H33), 0))</f>
        <v>1504.0038968446224</v>
      </c>
      <c r="H33" s="1">
        <f>_xlfn.MAXIFS(Games[Date], Games[Team], A33)</f>
        <v>38249</v>
      </c>
      <c r="AR33" s="3"/>
      <c r="AS33" s="4"/>
      <c r="BD33" s="1"/>
      <c r="BG33" s="3"/>
      <c r="BH33" s="4"/>
    </row>
    <row r="34" spans="1:60" x14ac:dyDescent="0.35">
      <c r="A34" t="s">
        <v>45</v>
      </c>
      <c r="B34">
        <f>_xlfn.XLOOKUP(A34,ConfDiv[TeamID],ConfDiv[Logo])</f>
        <v>0</v>
      </c>
      <c r="C34" t="str">
        <f>_xlfn.XLOOKUP(A34,ConfDiv[TeamID],ConfDiv[TeamName])</f>
        <v>Sacramento Monarchs</v>
      </c>
      <c r="D34" s="1">
        <f>_xlfn.XLOOKUP($A34,StandingsPivot!$A$4:$A$35,StandingsPivot!B$4:B$35)</f>
        <v>18</v>
      </c>
      <c r="E34" s="1">
        <f>_xlfn.XLOOKUP($A34,StandingsPivot!$A$4:$A$35,StandingsPivot!C$4:C$35)</f>
        <v>16</v>
      </c>
      <c r="F34" s="3">
        <f t="shared" si="4"/>
        <v>0.52941176470588236</v>
      </c>
      <c r="G34" s="9" cm="1">
        <f t="array" ref="G34">INDEX(Games[PostGmRate], MATCH(1, (Games[Team]=A34)*(Games[Date]=H34), 0))</f>
        <v>1580.1929617627434</v>
      </c>
      <c r="H34" s="1">
        <f>_xlfn.MAXIFS(Games[Date], Games[Team], A34)</f>
        <v>38265</v>
      </c>
    </row>
    <row r="35" spans="1:60" x14ac:dyDescent="0.35">
      <c r="A35" t="s">
        <v>84</v>
      </c>
      <c r="B35">
        <f>_xlfn.XLOOKUP(A35,ConfDiv[TeamID],ConfDiv[Logo])</f>
        <v>0</v>
      </c>
      <c r="C35" t="str">
        <f>_xlfn.XLOOKUP(A35,ConfDiv[TeamID],ConfDiv[TeamName])</f>
        <v>San Antonio Silver Stars</v>
      </c>
      <c r="D35" s="1">
        <f>_xlfn.XLOOKUP($A35,StandingsPivot!$A$4:$A$35,StandingsPivot!B$4:B$35)</f>
        <v>9</v>
      </c>
      <c r="E35" s="1">
        <f>_xlfn.XLOOKUP($A35,StandingsPivot!$A$4:$A$35,StandingsPivot!C$4:C$35)</f>
        <v>25</v>
      </c>
      <c r="F35" s="3">
        <f t="shared" si="4"/>
        <v>0.26470588235294118</v>
      </c>
      <c r="G35" s="9" cm="1">
        <f t="array" ref="G35">INDEX(Games[PostGmRate], MATCH(1, (Games[Team]=A35)*(Games[Date]=H35), 0))</f>
        <v>1372.9188597151965</v>
      </c>
      <c r="H35" s="1">
        <f>_xlfn.MAXIFS(Games[Date], Games[Team], A35)</f>
        <v>38247</v>
      </c>
    </row>
    <row r="36" spans="1:60" x14ac:dyDescent="0.35">
      <c r="A36" t="s">
        <v>81</v>
      </c>
      <c r="B36">
        <f>_xlfn.XLOOKUP(A36,ConfDiv[TeamID],ConfDiv[Logo])</f>
        <v>0</v>
      </c>
      <c r="C36" t="str">
        <f>_xlfn.XLOOKUP(A36,ConfDiv[TeamID],ConfDiv[TeamName])</f>
        <v>Seattle Storm</v>
      </c>
      <c r="D36" s="1">
        <f>_xlfn.XLOOKUP($A36,StandingsPivot!$A$4:$A$35,StandingsPivot!B$4:B$35)</f>
        <v>20</v>
      </c>
      <c r="E36" s="1">
        <f>_xlfn.XLOOKUP($A36,StandingsPivot!$A$4:$A$35,StandingsPivot!C$4:C$35)</f>
        <v>14</v>
      </c>
      <c r="F36" s="3">
        <f t="shared" si="4"/>
        <v>0.58823529411764708</v>
      </c>
      <c r="G36" s="9" cm="1">
        <f t="array" ref="G36">INDEX(Games[PostGmRate], MATCH(1, (Games[Team]=A36)*(Games[Date]=H36), 0))</f>
        <v>1631.3206960245427</v>
      </c>
      <c r="H36" s="1">
        <f>_xlfn.MAXIFS(Games[Date], Games[Team], A36)</f>
        <v>38272</v>
      </c>
    </row>
    <row r="37" spans="1:60" x14ac:dyDescent="0.35">
      <c r="A37" t="s">
        <v>73</v>
      </c>
      <c r="B37">
        <f>_xlfn.XLOOKUP(A37,ConfDiv[TeamID],ConfDiv[Logo])</f>
        <v>0</v>
      </c>
      <c r="C37" t="str">
        <f>_xlfn.XLOOKUP(A37,ConfDiv[TeamID],ConfDiv[TeamName])</f>
        <v>Washington Mystics</v>
      </c>
      <c r="D37" s="1">
        <f>_xlfn.XLOOKUP($A37,StandingsPivot!$A$4:$A$35,StandingsPivot!B$4:B$35)</f>
        <v>17</v>
      </c>
      <c r="E37" s="1">
        <f>_xlfn.XLOOKUP($A37,StandingsPivot!$A$4:$A$35,StandingsPivot!C$4:C$35)</f>
        <v>17</v>
      </c>
      <c r="F37" s="3">
        <f t="shared" si="4"/>
        <v>0.5</v>
      </c>
      <c r="G37" s="9" cm="1">
        <f t="array" ref="G37">INDEX(Games[PostGmRate], MATCH(1, (Games[Team]=A37)*(Games[Date]=H37), 0))</f>
        <v>1468.1261647562219</v>
      </c>
      <c r="H37" s="1">
        <f>_xlfn.MAXIFS(Games[Date], Games[Team], A37)</f>
        <v>38259</v>
      </c>
    </row>
  </sheetData>
  <sortState xmlns:xlrd2="http://schemas.microsoft.com/office/spreadsheetml/2017/richdata2" ref="A25:G37">
    <sortCondition ref="A25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16</v>
      </c>
      <c r="C4" s="2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86</v>
      </c>
      <c r="B5" s="2">
        <v>18</v>
      </c>
      <c r="C5" s="2">
        <v>16</v>
      </c>
      <c r="D5" s="2">
        <v>2</v>
      </c>
      <c r="E5" s="2">
        <v>1</v>
      </c>
      <c r="F5" s="2">
        <v>2</v>
      </c>
      <c r="G5" s="2">
        <v>0</v>
      </c>
      <c r="H5" s="2">
        <v>1</v>
      </c>
      <c r="I5" s="2">
        <v>2</v>
      </c>
      <c r="J5" s="2">
        <v>0</v>
      </c>
      <c r="K5" s="2">
        <v>0</v>
      </c>
    </row>
    <row r="6" spans="1:11" x14ac:dyDescent="0.35">
      <c r="A6" s="6" t="s">
        <v>75</v>
      </c>
      <c r="B6" s="2">
        <v>17</v>
      </c>
      <c r="C6" s="2">
        <v>17</v>
      </c>
      <c r="D6" s="2">
        <v>1</v>
      </c>
      <c r="E6" s="2">
        <v>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2</v>
      </c>
      <c r="B7" s="2">
        <v>13</v>
      </c>
      <c r="C7" s="2">
        <v>21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79</v>
      </c>
      <c r="B8" s="2">
        <v>15</v>
      </c>
      <c r="C8" s="2">
        <v>19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70</v>
      </c>
      <c r="B9" s="2">
        <v>25</v>
      </c>
      <c r="C9" s="2">
        <v>9</v>
      </c>
      <c r="D9" s="2">
        <v>1</v>
      </c>
      <c r="E9" s="2">
        <v>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77</v>
      </c>
      <c r="B10" s="2">
        <v>18</v>
      </c>
      <c r="C10" s="2">
        <v>16</v>
      </c>
      <c r="D10" s="2">
        <v>0</v>
      </c>
      <c r="E10" s="2">
        <v>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66</v>
      </c>
      <c r="B11" s="2">
        <v>18</v>
      </c>
      <c r="C11" s="2">
        <v>16</v>
      </c>
      <c r="D11" s="2">
        <v>2</v>
      </c>
      <c r="E11" s="2">
        <v>1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44</v>
      </c>
      <c r="B12" s="2">
        <v>17</v>
      </c>
      <c r="C12" s="2">
        <v>17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45</v>
      </c>
      <c r="B13" s="2">
        <v>18</v>
      </c>
      <c r="C13" s="2">
        <v>16</v>
      </c>
      <c r="D13" s="2">
        <v>2</v>
      </c>
      <c r="E13" s="2">
        <v>1</v>
      </c>
      <c r="F13" s="2">
        <v>1</v>
      </c>
      <c r="G13" s="2">
        <v>2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84</v>
      </c>
      <c r="B14" s="2">
        <v>9</v>
      </c>
      <c r="C14" s="2">
        <v>25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81</v>
      </c>
      <c r="B15" s="2">
        <v>20</v>
      </c>
      <c r="C15" s="2">
        <v>14</v>
      </c>
      <c r="D15" s="2">
        <v>2</v>
      </c>
      <c r="E15" s="2">
        <v>0</v>
      </c>
      <c r="F15" s="2">
        <v>2</v>
      </c>
      <c r="G15" s="2">
        <v>1</v>
      </c>
      <c r="H15" s="2">
        <v>2</v>
      </c>
      <c r="I15" s="2">
        <v>1</v>
      </c>
      <c r="J15" s="2">
        <v>0</v>
      </c>
      <c r="K15" s="2">
        <v>0</v>
      </c>
    </row>
    <row r="16" spans="1:11" x14ac:dyDescent="0.35">
      <c r="A16" s="6" t="s">
        <v>73</v>
      </c>
      <c r="B16" s="2">
        <v>17</v>
      </c>
      <c r="C16" s="2">
        <v>17</v>
      </c>
      <c r="D16" s="2">
        <v>1</v>
      </c>
      <c r="E16" s="2">
        <v>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20</v>
      </c>
      <c r="B17" s="2">
        <v>221</v>
      </c>
      <c r="C17" s="2">
        <v>221</v>
      </c>
      <c r="D17" s="2">
        <v>11</v>
      </c>
      <c r="E17" s="2">
        <v>11</v>
      </c>
      <c r="F17" s="2">
        <v>5</v>
      </c>
      <c r="G17" s="2">
        <v>5</v>
      </c>
      <c r="H17" s="2">
        <v>3</v>
      </c>
      <c r="I17" s="2">
        <v>3</v>
      </c>
      <c r="J17" s="2">
        <v>0</v>
      </c>
      <c r="K17" s="2">
        <v>0</v>
      </c>
    </row>
    <row r="18" spans="1:11" x14ac:dyDescent="0.35">
      <c r="B18"/>
      <c r="C18"/>
      <c r="D18"/>
    </row>
    <row r="19" spans="1:11" x14ac:dyDescent="0.35">
      <c r="B19"/>
      <c r="C19"/>
      <c r="D19"/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6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81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38127</v>
      </c>
      <c r="B2" s="2">
        <v>2004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84</v>
      </c>
      <c r="G2" s="1" t="s">
        <v>2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1453.1960421583422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1538.4291907797272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0.27404726594457773</v>
      </c>
      <c r="R2" s="1">
        <v>64</v>
      </c>
      <c r="S2" s="1">
        <v>55</v>
      </c>
      <c r="T2" s="1">
        <v>0</v>
      </c>
      <c r="U2" s="1">
        <f>Games[[#This Row],[PointsFor]]-Games[[#This Row],[PointsAgainst]]</f>
        <v>9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0.37904860538280821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20.871748522020745</v>
      </c>
      <c r="AB2" s="4">
        <f>Games[[#This Row],[PreGmRate]]+Games[[#This Row],[RatingChange]]</f>
        <v>1474.0677906803628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38127</v>
      </c>
      <c r="B3" s="2">
        <v>2004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2</v>
      </c>
      <c r="G3" s="1" t="s">
        <v>84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1538.4291907797272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1453.1960421583422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0.72595273405542227</v>
      </c>
      <c r="R3" s="1">
        <v>55</v>
      </c>
      <c r="S3" s="1">
        <v>64</v>
      </c>
      <c r="T3" s="1">
        <v>0</v>
      </c>
      <c r="U3" s="1">
        <f>Games[[#This Row],[PointsFor]]-Games[[#This Row],[PointsAgainst]]</f>
        <v>-9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0.37904860538280821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-20.871748522020745</v>
      </c>
      <c r="AB3" s="4">
        <f>Games[[#This Row],[PreGmRate]]+Games[[#This Row],[RatingChange]]</f>
        <v>1517.5574422577065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38127</v>
      </c>
      <c r="B4" s="2">
        <v>2004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45</v>
      </c>
      <c r="G4" s="1" t="s">
        <v>44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1528.4830361110758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1436.7840125492917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0.51107797234498709</v>
      </c>
      <c r="R4" s="1">
        <v>72</v>
      </c>
      <c r="S4" s="1">
        <v>66</v>
      </c>
      <c r="T4" s="1">
        <v>0</v>
      </c>
      <c r="U4" s="1">
        <f>Games[[#This Row],[PointsFor]]-Games[[#This Row],[PointsAgainst]]</f>
        <v>6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0.32634298363625514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12.102343327561702</v>
      </c>
      <c r="AB4" s="4">
        <f>Games[[#This Row],[PreGmRate]]+Games[[#This Row],[RatingChange]]</f>
        <v>1540.5853794386376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38127</v>
      </c>
      <c r="B5" s="2">
        <v>2004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44</v>
      </c>
      <c r="G5" s="1" t="s">
        <v>45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1436.7840125492917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1528.4830361110758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0.48892202765501291</v>
      </c>
      <c r="R5" s="1">
        <v>66</v>
      </c>
      <c r="S5" s="1">
        <v>72</v>
      </c>
      <c r="T5" s="1">
        <v>0</v>
      </c>
      <c r="U5" s="1">
        <f>Games[[#This Row],[PointsFor]]-Games[[#This Row],[PointsAgainst]]</f>
        <v>-6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0.32634298363625514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-12.102343327561702</v>
      </c>
      <c r="AB5" s="4">
        <f>Games[[#This Row],[PreGmRate]]+Games[[#This Row],[RatingChange]]</f>
        <v>1424.6816692217299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38127</v>
      </c>
      <c r="B6" s="2">
        <v>2004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77</v>
      </c>
      <c r="G6" s="1" t="s">
        <v>81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1495.3919996048639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1517.9948189160586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0.35122585885082136</v>
      </c>
      <c r="R6" s="1">
        <v>85</v>
      </c>
      <c r="S6" s="1">
        <v>88</v>
      </c>
      <c r="T6" s="1">
        <v>0</v>
      </c>
      <c r="U6" s="1">
        <f>Games[[#This Row],[PointsFor]]-Games[[#This Row],[PointsAgainst]]</f>
        <v>-3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0.28481876519361726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-7.5877090147555624</v>
      </c>
      <c r="AB6" s="4">
        <f>Games[[#This Row],[PreGmRate]]+Games[[#This Row],[RatingChange]]</f>
        <v>1487.8042905901084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38127</v>
      </c>
      <c r="B7" s="2">
        <v>2004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81</v>
      </c>
      <c r="G7" s="1" t="s">
        <v>77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1517.9948189160586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1495.3919996048639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0.64877414114917864</v>
      </c>
      <c r="R7" s="1">
        <v>88</v>
      </c>
      <c r="S7" s="1">
        <v>85</v>
      </c>
      <c r="T7" s="1">
        <v>0</v>
      </c>
      <c r="U7" s="1">
        <f>Games[[#This Row],[PointsFor]]-Games[[#This Row],[PointsAgainst]]</f>
        <v>3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0.28481876519361726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7.5877090147555624</v>
      </c>
      <c r="AB7" s="4">
        <f>Games[[#This Row],[PreGmRate]]+Games[[#This Row],[RatingChange]]</f>
        <v>1525.5825279308142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38128</v>
      </c>
      <c r="B8" s="2">
        <v>2004</v>
      </c>
      <c r="C8" s="2">
        <f>COUNTIFS(Games[Team],Games[[#This Row],[Team]],Games[Season],Games[[#This Row],[Season]],Games[Date],"&lt;=" &amp; Games[[#This Row],[Date]])</f>
        <v>2</v>
      </c>
      <c r="D8" s="2" t="s">
        <v>23</v>
      </c>
      <c r="E8" s="2" t="s">
        <v>29</v>
      </c>
      <c r="F8" s="1" t="s">
        <v>2</v>
      </c>
      <c r="G8" s="1" t="s">
        <v>64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-1</v>
      </c>
      <c r="L8" s="2">
        <f>Games[[#This Row],[OppDaysOff]]-Games[[#This Row],[DaysOff]]</f>
        <v>1</v>
      </c>
      <c r="M8" s="1">
        <f>MAX(-16, MIN(16, Games[[#This Row],[RestDiff]]*8))</f>
        <v>-8</v>
      </c>
      <c r="N8" s="1">
        <f>MAX(-16, MIN(16, Games[[#This Row],[OppRestDiff]]*8))</f>
        <v>8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1517.5574422577065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1489.8731084772417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0.39740667150667175</v>
      </c>
      <c r="R8" s="1">
        <v>60</v>
      </c>
      <c r="S8" s="1">
        <v>53</v>
      </c>
      <c r="T8" s="1">
        <v>0</v>
      </c>
      <c r="U8" s="1">
        <f>Games[[#This Row],[PointsFor]]-Games[[#This Row],[PointsAgainst]]</f>
        <v>7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0.36176124005505422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75.7</v>
      </c>
      <c r="Z8" s="4">
        <f>Games[[#This Row],[K]]*Games[[#This Row],[POMult]]</f>
        <v>75.7</v>
      </c>
      <c r="AA8" s="4">
        <f>(Games[[#This Row],[Keff]]*Games[[#This Row],[MOVMult]])*(Games[[#This Row],[Result]]-Games[[#This Row],[ExpectedWin%]])</f>
        <v>16.502214669183935</v>
      </c>
      <c r="AB8" s="4">
        <f>Games[[#This Row],[PreGmRate]]+Games[[#This Row],[RatingChange]]</f>
        <v>1534.0596569268905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38128</v>
      </c>
      <c r="B9" s="2">
        <v>2004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64</v>
      </c>
      <c r="G9" s="1" t="s">
        <v>2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1</v>
      </c>
      <c r="L9" s="2">
        <f>Games[[#This Row],[OppDaysOff]]-Games[[#This Row],[DaysOff]]</f>
        <v>-1</v>
      </c>
      <c r="M9" s="1">
        <f>MAX(-16, MIN(16, Games[[#This Row],[RestDiff]]*8))</f>
        <v>8</v>
      </c>
      <c r="N9" s="1">
        <f>MAX(-16, MIN(16, Games[[#This Row],[OppRestDiff]]*8))</f>
        <v>-8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1489.8731084772417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1517.5574422577065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0.60259332849332825</v>
      </c>
      <c r="R9" s="1">
        <v>53</v>
      </c>
      <c r="S9" s="1">
        <v>60</v>
      </c>
      <c r="T9" s="1">
        <v>0</v>
      </c>
      <c r="U9" s="1">
        <f>Games[[#This Row],[PointsFor]]-Games[[#This Row],[PointsAgainst]]</f>
        <v>-7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0.36176124005505422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-16.534913905648629</v>
      </c>
      <c r="AB9" s="4">
        <f>Games[[#This Row],[PreGmRate]]+Games[[#This Row],[RatingChange]]</f>
        <v>1473.338194571593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38128</v>
      </c>
      <c r="B10" s="2">
        <v>2004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66</v>
      </c>
      <c r="G10" s="1" t="s">
        <v>79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1495.5396771696967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1483.0173438706895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0.39856244593855589</v>
      </c>
      <c r="R10" s="1">
        <v>67</v>
      </c>
      <c r="S10" s="1">
        <v>69</v>
      </c>
      <c r="T10" s="1">
        <v>0</v>
      </c>
      <c r="U10" s="1">
        <f>Games[[#This Row],[PointsFor]]-Games[[#This Row],[PointsAgainst]]</f>
        <v>-2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0.26507518760262244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-8.0134777974984512</v>
      </c>
      <c r="AB10" s="4">
        <f>Games[[#This Row],[PreGmRate]]+Games[[#This Row],[RatingChange]]</f>
        <v>1487.5261993721983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38128</v>
      </c>
      <c r="B11" s="2">
        <v>2004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79</v>
      </c>
      <c r="G11" s="1" t="s">
        <v>66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1483.0173438706895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1495.5396771696967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0.60143755406144417</v>
      </c>
      <c r="R11" s="1">
        <v>69</v>
      </c>
      <c r="S11" s="1">
        <v>67</v>
      </c>
      <c r="T11" s="1">
        <v>0</v>
      </c>
      <c r="U11" s="1">
        <f>Games[[#This Row],[PointsFor]]-Games[[#This Row],[PointsAgainst]]</f>
        <v>2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0.26507518760262244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8.0134777974984495</v>
      </c>
      <c r="AB11" s="4">
        <f>Games[[#This Row],[PreGmRate]]+Games[[#This Row],[RatingChange]]</f>
        <v>1491.0308216681879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38129</v>
      </c>
      <c r="B12" s="2">
        <v>2004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44</v>
      </c>
      <c r="G12" s="1" t="s">
        <v>86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" s="2">
        <f>Games[[#This Row],[DaysOff]]-Games[[#This Row],[OppDaysOff]]</f>
        <v>-1</v>
      </c>
      <c r="L12" s="2">
        <f>Games[[#This Row],[OppDaysOff]]-Games[[#This Row],[DaysOff]]</f>
        <v>1</v>
      </c>
      <c r="M12" s="1">
        <f>MAX(-16, MIN(16, Games[[#This Row],[RestDiff]]*8))</f>
        <v>-8</v>
      </c>
      <c r="N12" s="1">
        <f>MAX(-16, MIN(16, Games[[#This Row],[OppRestDiff]]*8))</f>
        <v>8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1424.6816692217299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1509.3362780267839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0.25674470243915309</v>
      </c>
      <c r="R12" s="1">
        <v>65</v>
      </c>
      <c r="S12" s="1">
        <v>58</v>
      </c>
      <c r="T12" s="1">
        <v>0</v>
      </c>
      <c r="U12" s="1">
        <f>Games[[#This Row],[PointsFor]]-Games[[#This Row],[PointsAgainst]]</f>
        <v>7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0.3457182996429668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19.451641695873604</v>
      </c>
      <c r="AB12" s="4">
        <f>Games[[#This Row],[PreGmRate]]+Games[[#This Row],[RatingChange]]</f>
        <v>1444.1333109176035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38129</v>
      </c>
      <c r="B13" s="2">
        <v>2004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86</v>
      </c>
      <c r="G13" s="1" t="s">
        <v>44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1</v>
      </c>
      <c r="L13" s="2">
        <f>Games[[#This Row],[OppDaysOff]]-Games[[#This Row],[DaysOff]]</f>
        <v>-1</v>
      </c>
      <c r="M13" s="1">
        <f>MAX(-16, MIN(16, Games[[#This Row],[RestDiff]]*8))</f>
        <v>8</v>
      </c>
      <c r="N13" s="1">
        <f>MAX(-16, MIN(16, Games[[#This Row],[OppRestDiff]]*8))</f>
        <v>-8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1509.3362780267839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1424.6816692217299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0.74325529756084685</v>
      </c>
      <c r="R13" s="1">
        <v>58</v>
      </c>
      <c r="S13" s="1">
        <v>65</v>
      </c>
      <c r="T13" s="1">
        <v>0</v>
      </c>
      <c r="U13" s="1">
        <f>Games[[#This Row],[PointsFor]]-Games[[#This Row],[PointsAgainst]]</f>
        <v>-7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0.3457182996429668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-19.490185239524607</v>
      </c>
      <c r="AB13" s="4">
        <f>Games[[#This Row],[PreGmRate]]+Games[[#This Row],[RatingChange]]</f>
        <v>1489.8460927872593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38129</v>
      </c>
      <c r="B14" s="2">
        <v>2004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77</v>
      </c>
      <c r="G14" s="1" t="s">
        <v>45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1487.8042905901084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1540.5853794386376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0.31273253385488808</v>
      </c>
      <c r="R14" s="1">
        <v>69</v>
      </c>
      <c r="S14" s="1">
        <v>61</v>
      </c>
      <c r="T14" s="1">
        <v>0</v>
      </c>
      <c r="U14" s="1">
        <f>Games[[#This Row],[PointsFor]]-Games[[#This Row],[PointsAgainst]]</f>
        <v>8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0.37195536087785486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19.35140435209378</v>
      </c>
      <c r="AB14" s="4">
        <f>Games[[#This Row],[PreGmRate]]+Games[[#This Row],[RatingChange]]</f>
        <v>1507.1556949422022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38129</v>
      </c>
      <c r="B15" s="2">
        <v>2004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45</v>
      </c>
      <c r="G15" s="1" t="s">
        <v>77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1540.5853794386376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1487.8042905901084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0.68726746614511192</v>
      </c>
      <c r="R15" s="1">
        <v>61</v>
      </c>
      <c r="S15" s="1">
        <v>69</v>
      </c>
      <c r="T15" s="1">
        <v>0</v>
      </c>
      <c r="U15" s="1">
        <f>Games[[#This Row],[PointsFor]]-Games[[#This Row],[PointsAgainst]]</f>
        <v>-8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0.37195536087785486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-19.35140435209378</v>
      </c>
      <c r="AB15" s="4">
        <f>Games[[#This Row],[PreGmRate]]+Games[[#This Row],[RatingChange]]</f>
        <v>1521.2339750865438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38129</v>
      </c>
      <c r="B16" s="2">
        <v>2004</v>
      </c>
      <c r="C16" s="2">
        <f>COUNTIFS(Games[Team],Games[[#This Row],[Team]],Games[Season],Games[[#This Row],[Season]],Games[Date],"&lt;=" &amp; Games[[#This Row],[Date]])</f>
        <v>1</v>
      </c>
      <c r="D16" s="2" t="s">
        <v>23</v>
      </c>
      <c r="E16" s="2" t="s">
        <v>29</v>
      </c>
      <c r="F16" s="1" t="s">
        <v>75</v>
      </c>
      <c r="G16" s="1" t="s">
        <v>84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1</v>
      </c>
      <c r="L16" s="2">
        <f>Games[[#This Row],[OppDaysOff]]-Games[[#This Row],[DaysOff]]</f>
        <v>-1</v>
      </c>
      <c r="M16" s="1">
        <f>MAX(-16, MIN(16, Games[[#This Row],[RestDiff]]*8))</f>
        <v>8</v>
      </c>
      <c r="N16" s="1">
        <f>MAX(-16, MIN(16, Games[[#This Row],[OppRestDiff]]*8))</f>
        <v>-8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1569.2937466818337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1474.0677906803628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0.53910129660876993</v>
      </c>
      <c r="R16" s="1">
        <v>73</v>
      </c>
      <c r="S16" s="1">
        <v>60</v>
      </c>
      <c r="T16" s="1">
        <v>0</v>
      </c>
      <c r="U16" s="1">
        <f>Games[[#This Row],[PointsFor]]-Games[[#This Row],[PointsAgainst]]</f>
        <v>13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0.43733875479584494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75.849999999999994</v>
      </c>
      <c r="Z16" s="4">
        <f>Games[[#This Row],[K]]*Games[[#This Row],[POMult]]</f>
        <v>75.849999999999994</v>
      </c>
      <c r="AA16" s="4">
        <f>(Games[[#This Row],[Keff]]*Games[[#This Row],[MOVMult]])*(Games[[#This Row],[Result]]-Games[[#This Row],[ExpectedWin%]])</f>
        <v>15.288998412384421</v>
      </c>
      <c r="AB16" s="4">
        <f>Games[[#This Row],[PreGmRate]]+Games[[#This Row],[RatingChange]]</f>
        <v>1584.5827450942181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38129</v>
      </c>
      <c r="B17" s="2">
        <v>2004</v>
      </c>
      <c r="C17" s="2">
        <f>COUNTIFS(Games[Team],Games[[#This Row],[Team]],Games[Season],Games[[#This Row],[Season]],Games[Date],"&lt;=" &amp; Games[[#This Row],[Date]])</f>
        <v>2</v>
      </c>
      <c r="D17" s="2" t="s">
        <v>23</v>
      </c>
      <c r="E17" s="2" t="s">
        <v>29</v>
      </c>
      <c r="F17" s="1" t="s">
        <v>84</v>
      </c>
      <c r="G17" s="1" t="s">
        <v>75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-1</v>
      </c>
      <c r="L17" s="2">
        <f>Games[[#This Row],[OppDaysOff]]-Games[[#This Row],[DaysOff]]</f>
        <v>1</v>
      </c>
      <c r="M17" s="1">
        <f>MAX(-16, MIN(16, Games[[#This Row],[RestDiff]]*8))</f>
        <v>-8</v>
      </c>
      <c r="N17" s="1">
        <f>MAX(-16, MIN(16, Games[[#This Row],[OppRestDiff]]*8))</f>
        <v>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1474.0677906803628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1569.2937466818337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0.46089870339123007</v>
      </c>
      <c r="R17" s="1">
        <v>60</v>
      </c>
      <c r="S17" s="1">
        <v>73</v>
      </c>
      <c r="T17" s="1">
        <v>0</v>
      </c>
      <c r="U17" s="1">
        <f>Games[[#This Row],[PointsFor]]-Games[[#This Row],[PointsAgainst]]</f>
        <v>-13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0.43733875479584494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-15.258763082630203</v>
      </c>
      <c r="AB17" s="4">
        <f>Games[[#This Row],[PreGmRate]]+Games[[#This Row],[RatingChange]]</f>
        <v>1458.8090275977327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38129</v>
      </c>
      <c r="B18" s="2">
        <v>2004</v>
      </c>
      <c r="C18" s="2">
        <f>COUNTIFS(Games[Team],Games[[#This Row],[Team]],Games[Season],Games[[#This Row],[Season]],Games[Date],"&lt;=" &amp; Games[[#This Row],[Date]])</f>
        <v>1</v>
      </c>
      <c r="D18" s="2" t="s">
        <v>23</v>
      </c>
      <c r="E18" s="2" t="s">
        <v>29</v>
      </c>
      <c r="F18" s="1" t="s">
        <v>70</v>
      </c>
      <c r="G18" s="1" t="s">
        <v>81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1</v>
      </c>
      <c r="L18" s="2">
        <f>Games[[#This Row],[OppDaysOff]]-Games[[#This Row],[DaysOff]]</f>
        <v>-1</v>
      </c>
      <c r="M18" s="1">
        <f>MAX(-16, MIN(16, Games[[#This Row],[RestDiff]]*8))</f>
        <v>8</v>
      </c>
      <c r="N18" s="1">
        <f>MAX(-16, MIN(16, Games[[#This Row],[OppRestDiff]]*8))</f>
        <v>-8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1562.3002182281759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1525.5825279308142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0.45510239715741468</v>
      </c>
      <c r="R18" s="1">
        <v>67</v>
      </c>
      <c r="S18" s="1">
        <v>93</v>
      </c>
      <c r="T18" s="1">
        <v>0</v>
      </c>
      <c r="U18" s="1">
        <f>Games[[#This Row],[PointsFor]]-Games[[#This Row],[PointsAgainst]]</f>
        <v>-26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0.63466776838251382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75.849999999999994</v>
      </c>
      <c r="Z18" s="4">
        <f>Games[[#This Row],[K]]*Games[[#This Row],[POMult]]</f>
        <v>75.849999999999994</v>
      </c>
      <c r="AA18" s="4">
        <f>(Games[[#This Row],[Keff]]*Games[[#This Row],[MOVMult]])*(Games[[#This Row],[Result]]-Games[[#This Row],[ExpectedWin%]])</f>
        <v>-21.908424708578181</v>
      </c>
      <c r="AB18" s="4">
        <f>Games[[#This Row],[PreGmRate]]+Games[[#This Row],[RatingChange]]</f>
        <v>1540.3917935195977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38129</v>
      </c>
      <c r="B19" s="2">
        <v>2004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81</v>
      </c>
      <c r="G19" s="1" t="s">
        <v>70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" s="2">
        <f>Games[[#This Row],[DaysOff]]-Games[[#This Row],[OppDaysOff]]</f>
        <v>-1</v>
      </c>
      <c r="L19" s="2">
        <f>Games[[#This Row],[OppDaysOff]]-Games[[#This Row],[DaysOff]]</f>
        <v>1</v>
      </c>
      <c r="M19" s="1">
        <f>MAX(-16, MIN(16, Games[[#This Row],[RestDiff]]*8))</f>
        <v>-8</v>
      </c>
      <c r="N19" s="1">
        <f>MAX(-16, MIN(16, Games[[#This Row],[OppRestDiff]]*8))</f>
        <v>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1525.5825279308142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1562.3002182281759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0.54489760284258537</v>
      </c>
      <c r="R19" s="1">
        <v>93</v>
      </c>
      <c r="S19" s="1">
        <v>67</v>
      </c>
      <c r="T19" s="1">
        <v>0</v>
      </c>
      <c r="U19" s="1">
        <f>Games[[#This Row],[PointsFor]]-Games[[#This Row],[PointsAgainst]]</f>
        <v>26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0.63466776838251382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21.865098885159764</v>
      </c>
      <c r="AB19" s="4">
        <f>Games[[#This Row],[PreGmRate]]+Games[[#This Row],[RatingChange]]</f>
        <v>1547.447626815974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38129</v>
      </c>
      <c r="B20" s="2">
        <v>2004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64</v>
      </c>
      <c r="G20" s="1" t="s">
        <v>73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-2</v>
      </c>
      <c r="L20" s="2">
        <f>Games[[#This Row],[OppDaysOff]]-Games[[#This Row],[DaysOff]]</f>
        <v>2</v>
      </c>
      <c r="M20" s="1">
        <f>MAX(-16, MIN(16, Games[[#This Row],[RestDiff]]*8))</f>
        <v>-16</v>
      </c>
      <c r="N20" s="1">
        <f>MAX(-16, MIN(16, Games[[#This Row],[OppRestDiff]]*8))</f>
        <v>16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1473.338194571593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1439.4468507695824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0.38398793432330774</v>
      </c>
      <c r="R20" s="1">
        <v>71</v>
      </c>
      <c r="S20" s="1">
        <v>68</v>
      </c>
      <c r="T20" s="1">
        <v>0</v>
      </c>
      <c r="U20" s="1">
        <f>Games[[#This Row],[PointsFor]]-Games[[#This Row],[PointsAgainst]]</f>
        <v>3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0.28221303850424356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13.16019040650905</v>
      </c>
      <c r="AB20" s="4">
        <f>Games[[#This Row],[PreGmRate]]+Games[[#This Row],[RatingChange]]</f>
        <v>1486.498384978102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38129</v>
      </c>
      <c r="B21" s="2">
        <v>2004</v>
      </c>
      <c r="C21" s="2">
        <f>COUNTIFS(Games[Team],Games[[#This Row],[Team]],Games[Season],Games[[#This Row],[Season]],Games[Date],"&lt;=" &amp; Games[[#This Row],[Date]])</f>
        <v>1</v>
      </c>
      <c r="D21" s="2" t="s">
        <v>23</v>
      </c>
      <c r="E21" s="2" t="s">
        <v>29</v>
      </c>
      <c r="F21" s="1" t="s">
        <v>73</v>
      </c>
      <c r="G21" s="1" t="s">
        <v>64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" s="2">
        <f>Games[[#This Row],[DaysOff]]-Games[[#This Row],[OppDaysOff]]</f>
        <v>2</v>
      </c>
      <c r="L21" s="2">
        <f>Games[[#This Row],[OppDaysOff]]-Games[[#This Row],[DaysOff]]</f>
        <v>-2</v>
      </c>
      <c r="M21" s="1">
        <f>MAX(-16, MIN(16, Games[[#This Row],[RestDiff]]*8))</f>
        <v>16</v>
      </c>
      <c r="N21" s="1">
        <f>MAX(-16, MIN(16, Games[[#This Row],[OppRestDiff]]*8))</f>
        <v>-16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1439.4468507695824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1473.338194571593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0.61601206567669231</v>
      </c>
      <c r="R21" s="1">
        <v>68</v>
      </c>
      <c r="S21" s="1">
        <v>71</v>
      </c>
      <c r="T21" s="1">
        <v>0</v>
      </c>
      <c r="U21" s="1">
        <f>Games[[#This Row],[PointsFor]]-Games[[#This Row],[PointsAgainst]]</f>
        <v>-3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0.28221303850424356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75.849999999999994</v>
      </c>
      <c r="Z21" s="4">
        <f>Games[[#This Row],[K]]*Games[[#This Row],[POMult]]</f>
        <v>75.849999999999994</v>
      </c>
      <c r="AA21" s="4">
        <f>(Games[[#This Row],[Keff]]*Games[[#This Row],[MOVMult]])*(Games[[#This Row],[Result]]-Games[[#This Row],[ExpectedWin%]])</f>
        <v>-13.186267402030534</v>
      </c>
      <c r="AB21" s="4">
        <f>Games[[#This Row],[PreGmRate]]+Games[[#This Row],[RatingChange]]</f>
        <v>1426.2605833675518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38130</v>
      </c>
      <c r="B22" s="2">
        <v>2004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73</v>
      </c>
      <c r="G22" s="1" t="s">
        <v>79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-1</v>
      </c>
      <c r="L22" s="2">
        <f>Games[[#This Row],[OppDaysOff]]-Games[[#This Row],[DaysOff]]</f>
        <v>1</v>
      </c>
      <c r="M22" s="1">
        <f>MAX(-16, MIN(16, Games[[#This Row],[RestDiff]]*8))</f>
        <v>-8</v>
      </c>
      <c r="N22" s="1">
        <f>MAX(-16, MIN(16, Games[[#This Row],[OppRestDiff]]*8))</f>
        <v>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1426.2605833675518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1491.0308216681879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0.27918784466169999</v>
      </c>
      <c r="R22" s="1">
        <v>68</v>
      </c>
      <c r="S22" s="1">
        <v>67</v>
      </c>
      <c r="T22" s="1">
        <v>0</v>
      </c>
      <c r="U22" s="1">
        <f>Games[[#This Row],[PointsFor]]-Games[[#This Row],[PointsAgainst]]</f>
        <v>1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0.23167496853187519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12.64145589878831</v>
      </c>
      <c r="AB22" s="4">
        <f>Games[[#This Row],[PreGmRate]]+Games[[#This Row],[RatingChange]]</f>
        <v>1438.9020392663401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38130</v>
      </c>
      <c r="B23" s="2">
        <v>2004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79</v>
      </c>
      <c r="G23" s="1" t="s">
        <v>73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" s="2">
        <f>Games[[#This Row],[DaysOff]]-Games[[#This Row],[OppDaysOff]]</f>
        <v>1</v>
      </c>
      <c r="L23" s="2">
        <f>Games[[#This Row],[OppDaysOff]]-Games[[#This Row],[DaysOff]]</f>
        <v>-1</v>
      </c>
      <c r="M23" s="1">
        <f>MAX(-16, MIN(16, Games[[#This Row],[RestDiff]]*8))</f>
        <v>8</v>
      </c>
      <c r="N23" s="1">
        <f>MAX(-16, MIN(16, Games[[#This Row],[OppRestDiff]]*8))</f>
        <v>-8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1491.0308216681879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1426.2605833675518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0.72081215533830001</v>
      </c>
      <c r="R23" s="1">
        <v>67</v>
      </c>
      <c r="S23" s="1">
        <v>68</v>
      </c>
      <c r="T23" s="1">
        <v>0</v>
      </c>
      <c r="U23" s="1">
        <f>Games[[#This Row],[PointsFor]]-Games[[#This Row],[PointsAgainst]]</f>
        <v>-1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0.23167496853187519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-12.64145589878831</v>
      </c>
      <c r="AB23" s="4">
        <f>Games[[#This Row],[PreGmRate]]+Games[[#This Row],[RatingChange]]</f>
        <v>1478.3893657693995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38130</v>
      </c>
      <c r="B24" s="2">
        <v>2004</v>
      </c>
      <c r="C24" s="2">
        <f>COUNTIFS(Games[Team],Games[[#This Row],[Team]],Games[Season],Games[[#This Row],[Season]],Games[Date],"&lt;=" &amp; Games[[#This Row],[Date]])</f>
        <v>3</v>
      </c>
      <c r="D24" s="2" t="s">
        <v>23</v>
      </c>
      <c r="E24" s="2" t="s">
        <v>29</v>
      </c>
      <c r="F24" s="1" t="s">
        <v>2</v>
      </c>
      <c r="G24" s="1" t="s">
        <v>66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1534.0596569268905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1487.5261993721983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0.4462893485437095</v>
      </c>
      <c r="R24" s="1">
        <v>62</v>
      </c>
      <c r="S24" s="1">
        <v>68</v>
      </c>
      <c r="T24" s="1">
        <v>0</v>
      </c>
      <c r="U24" s="1">
        <f>Games[[#This Row],[PointsFor]]-Games[[#This Row],[PointsAgainst]]</f>
        <v>-6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0.33816734781921798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-11.402042668720807</v>
      </c>
      <c r="AB24" s="4">
        <f>Games[[#This Row],[PreGmRate]]+Games[[#This Row],[RatingChange]]</f>
        <v>1522.6576142581698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38130</v>
      </c>
      <c r="B25" s="2">
        <v>2004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66</v>
      </c>
      <c r="G25" s="1" t="s">
        <v>2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1487.5261993721983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1534.0596569268905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0.5537106514562905</v>
      </c>
      <c r="R25" s="1">
        <v>68</v>
      </c>
      <c r="S25" s="1">
        <v>62</v>
      </c>
      <c r="T25" s="1">
        <v>0</v>
      </c>
      <c r="U25" s="1">
        <f>Games[[#This Row],[PointsFor]]-Games[[#This Row],[PointsAgainst]]</f>
        <v>6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0.33816734781921798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11.424680741524357</v>
      </c>
      <c r="AB25" s="4">
        <f>Games[[#This Row],[PreGmRate]]+Games[[#This Row],[RatingChange]]</f>
        <v>1498.9508801137226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38132</v>
      </c>
      <c r="B26" s="2">
        <v>2004</v>
      </c>
      <c r="C26" s="2">
        <f>COUNTIFS(Games[Team],Games[[#This Row],[Team]],Games[Season],Games[[#This Row],[Season]],Games[Date],"&lt;=" &amp; Games[[#This Row],[Date]])</f>
        <v>4</v>
      </c>
      <c r="D26" s="2" t="s">
        <v>23</v>
      </c>
      <c r="E26" s="2" t="s">
        <v>29</v>
      </c>
      <c r="F26" s="1" t="s">
        <v>2</v>
      </c>
      <c r="G26" s="1" t="s">
        <v>86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" s="2">
        <f>Games[[#This Row],[DaysOff]]-Games[[#This Row],[OppDaysOff]]</f>
        <v>-1</v>
      </c>
      <c r="L26" s="2">
        <f>Games[[#This Row],[OppDaysOff]]-Games[[#This Row],[DaysOff]]</f>
        <v>1</v>
      </c>
      <c r="M26" s="1">
        <f>MAX(-16, MIN(16, Games[[#This Row],[RestDiff]]*8))</f>
        <v>-8</v>
      </c>
      <c r="N26" s="1">
        <f>MAX(-16, MIN(16, Games[[#This Row],[OppRestDiff]]*8))</f>
        <v>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1522.6576142581698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1489.8460927872593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0.40449558699235677</v>
      </c>
      <c r="R26" s="1">
        <v>68</v>
      </c>
      <c r="S26" s="1">
        <v>57</v>
      </c>
      <c r="T26" s="1">
        <v>0</v>
      </c>
      <c r="U26" s="1">
        <f>Games[[#This Row],[PointsFor]]-Games[[#This Row],[PointsAgainst]]</f>
        <v>11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0.42812964927470604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75.400000000000006</v>
      </c>
      <c r="Z26" s="4">
        <f>Games[[#This Row],[K]]*Games[[#This Row],[POMult]]</f>
        <v>75.400000000000006</v>
      </c>
      <c r="AA26" s="4">
        <f>(Games[[#This Row],[Keff]]*Games[[#This Row],[MOVMult]])*(Games[[#This Row],[Result]]-Games[[#This Row],[ExpectedWin%]])</f>
        <v>19.223463399380648</v>
      </c>
      <c r="AB26" s="4">
        <f>Games[[#This Row],[PreGmRate]]+Games[[#This Row],[RatingChange]]</f>
        <v>1541.8810776575506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38132</v>
      </c>
      <c r="B27" s="2">
        <v>2004</v>
      </c>
      <c r="C27" s="2">
        <f>COUNTIFS(Games[Team],Games[[#This Row],[Team]],Games[Season],Games[[#This Row],[Season]],Games[Date],"&lt;=" &amp; Games[[#This Row],[Date]])</f>
        <v>2</v>
      </c>
      <c r="D27" s="2" t="s">
        <v>23</v>
      </c>
      <c r="E27" s="2" t="s">
        <v>29</v>
      </c>
      <c r="F27" s="1" t="s">
        <v>86</v>
      </c>
      <c r="G27" s="1" t="s">
        <v>2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1</v>
      </c>
      <c r="L27" s="2">
        <f>Games[[#This Row],[OppDaysOff]]-Games[[#This Row],[DaysOff]]</f>
        <v>-1</v>
      </c>
      <c r="M27" s="1">
        <f>MAX(-16, MIN(16, Games[[#This Row],[RestDiff]]*8))</f>
        <v>8</v>
      </c>
      <c r="N27" s="1">
        <f>MAX(-16, MIN(16, Games[[#This Row],[OppRestDiff]]*8))</f>
        <v>-8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1489.8460927872593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1522.6576142581698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0.59550441300764323</v>
      </c>
      <c r="R27" s="1">
        <v>57</v>
      </c>
      <c r="S27" s="1">
        <v>68</v>
      </c>
      <c r="T27" s="1">
        <v>0</v>
      </c>
      <c r="U27" s="1">
        <f>Games[[#This Row],[PointsFor]]-Games[[#This Row],[PointsAgainst]]</f>
        <v>-11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0.42812964927470604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-19.299949328025402</v>
      </c>
      <c r="AB27" s="4">
        <f>Games[[#This Row],[PreGmRate]]+Games[[#This Row],[RatingChange]]</f>
        <v>1470.5461434592339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38132</v>
      </c>
      <c r="B28" s="2">
        <v>2004</v>
      </c>
      <c r="C28" s="2">
        <f>COUNTIFS(Games[Team],Games[[#This Row],[Team]],Games[Season],Games[[#This Row],[Season]],Games[Date],"&lt;=" &amp; Games[[#This Row],[Date]])</f>
        <v>2</v>
      </c>
      <c r="D28" s="2" t="s">
        <v>23</v>
      </c>
      <c r="E28" s="2" t="s">
        <v>29</v>
      </c>
      <c r="F28" s="1" t="s">
        <v>70</v>
      </c>
      <c r="G28" s="1" t="s">
        <v>73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1</v>
      </c>
      <c r="L28" s="2">
        <f>Games[[#This Row],[OppDaysOff]]-Games[[#This Row],[DaysOff]]</f>
        <v>-1</v>
      </c>
      <c r="M28" s="1">
        <f>MAX(-16, MIN(16, Games[[#This Row],[RestDiff]]*8))</f>
        <v>8</v>
      </c>
      <c r="N28" s="1">
        <f>MAX(-16, MIN(16, Games[[#This Row],[OppRestDiff]]*8))</f>
        <v>-8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1540.3917935195977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1438.9020392663401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0.54804691695155272</v>
      </c>
      <c r="R28" s="1">
        <v>95</v>
      </c>
      <c r="S28" s="1">
        <v>79</v>
      </c>
      <c r="T28" s="1">
        <v>0</v>
      </c>
      <c r="U28" s="1">
        <f>Games[[#This Row],[PointsFor]]-Games[[#This Row],[PointsAgainst]]</f>
        <v>16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0.47740924329640688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16.333530059341349</v>
      </c>
      <c r="AB28" s="4">
        <f>Games[[#This Row],[PreGmRate]]+Games[[#This Row],[RatingChange]]</f>
        <v>1556.7253235789392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38132</v>
      </c>
      <c r="B29" s="2">
        <v>2004</v>
      </c>
      <c r="C29" s="2">
        <f>COUNTIFS(Games[Team],Games[[#This Row],[Team]],Games[Season],Games[[#This Row],[Season]],Games[Date],"&lt;=" &amp; Games[[#This Row],[Date]])</f>
        <v>3</v>
      </c>
      <c r="D29" s="2" t="s">
        <v>23</v>
      </c>
      <c r="E29" s="2" t="s">
        <v>29</v>
      </c>
      <c r="F29" s="1" t="s">
        <v>73</v>
      </c>
      <c r="G29" s="1" t="s">
        <v>70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" s="2">
        <f>Games[[#This Row],[DaysOff]]-Games[[#This Row],[OppDaysOff]]</f>
        <v>-1</v>
      </c>
      <c r="L29" s="2">
        <f>Games[[#This Row],[OppDaysOff]]-Games[[#This Row],[DaysOff]]</f>
        <v>1</v>
      </c>
      <c r="M29" s="1">
        <f>MAX(-16, MIN(16, Games[[#This Row],[RestDiff]]*8))</f>
        <v>-8</v>
      </c>
      <c r="N29" s="1">
        <f>MAX(-16, MIN(16, Games[[#This Row],[OppRestDiff]]*8))</f>
        <v>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1438.9020392663401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1540.3917935195977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0.45195308304844722</v>
      </c>
      <c r="R29" s="1">
        <v>79</v>
      </c>
      <c r="S29" s="1">
        <v>95</v>
      </c>
      <c r="T29" s="1">
        <v>0</v>
      </c>
      <c r="U29" s="1">
        <f>Games[[#This Row],[PointsFor]]-Games[[#This Row],[PointsAgainst]]</f>
        <v>-16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0.47740924329640688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-16.3011650724338</v>
      </c>
      <c r="AB29" s="4">
        <f>Games[[#This Row],[PreGmRate]]+Games[[#This Row],[RatingChange]]</f>
        <v>1422.6008741939063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38133</v>
      </c>
      <c r="B30" s="2">
        <v>2004</v>
      </c>
      <c r="C30" s="2">
        <f>COUNTIFS(Games[Team],Games[[#This Row],[Team]],Games[Season],Games[[#This Row],[Season]],Games[Date],"&lt;=" &amp; Games[[#This Row],[Date]])</f>
        <v>2</v>
      </c>
      <c r="D30" s="2" t="s">
        <v>23</v>
      </c>
      <c r="E30" s="2" t="s">
        <v>29</v>
      </c>
      <c r="F30" s="1" t="s">
        <v>75</v>
      </c>
      <c r="G30" s="1" t="s">
        <v>66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" s="2">
        <f>Games[[#This Row],[DaysOff]]-Games[[#This Row],[OppDaysOff]]</f>
        <v>1</v>
      </c>
      <c r="L30" s="2">
        <f>Games[[#This Row],[OppDaysOff]]-Games[[#This Row],[DaysOff]]</f>
        <v>-1</v>
      </c>
      <c r="M30" s="1">
        <f>MAX(-16, MIN(16, Games[[#This Row],[RestDiff]]*8))</f>
        <v>8</v>
      </c>
      <c r="N30" s="1">
        <f>MAX(-16, MIN(16, Games[[#This Row],[OppRestDiff]]*8))</f>
        <v>-8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1584.5827450942181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1498.9508801137226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0.52535253268668647</v>
      </c>
      <c r="R30" s="1">
        <v>52</v>
      </c>
      <c r="S30" s="1">
        <v>64</v>
      </c>
      <c r="T30" s="1">
        <v>0</v>
      </c>
      <c r="U30" s="1">
        <f>Games[[#This Row],[PointsFor]]-Games[[#This Row],[PointsAgainst]]</f>
        <v>-12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0.42574810612690661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75.7</v>
      </c>
      <c r="Z30" s="4">
        <f>Games[[#This Row],[K]]*Games[[#This Row],[POMult]]</f>
        <v>75.7</v>
      </c>
      <c r="AA30" s="4">
        <f>(Games[[#This Row],[Keff]]*Games[[#This Row],[MOVMult]])*(Games[[#This Row],[Result]]-Games[[#This Row],[ExpectedWin%]])</f>
        <v>-16.931655930113024</v>
      </c>
      <c r="AB30" s="4">
        <f>Games[[#This Row],[PreGmRate]]+Games[[#This Row],[RatingChange]]</f>
        <v>1567.6510891641051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38133</v>
      </c>
      <c r="B31" s="2">
        <v>2004</v>
      </c>
      <c r="C31" s="2">
        <f>COUNTIFS(Games[Team],Games[[#This Row],[Team]],Games[Season],Games[[#This Row],[Season]],Games[Date],"&lt;=" &amp; Games[[#This Row],[Date]])</f>
        <v>3</v>
      </c>
      <c r="D31" s="2" t="s">
        <v>23</v>
      </c>
      <c r="E31" s="2" t="s">
        <v>29</v>
      </c>
      <c r="F31" s="1" t="s">
        <v>66</v>
      </c>
      <c r="G31" s="1" t="s">
        <v>75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" s="2">
        <f>Games[[#This Row],[DaysOff]]-Games[[#This Row],[OppDaysOff]]</f>
        <v>-1</v>
      </c>
      <c r="L31" s="2">
        <f>Games[[#This Row],[OppDaysOff]]-Games[[#This Row],[DaysOff]]</f>
        <v>1</v>
      </c>
      <c r="M31" s="1">
        <f>MAX(-16, MIN(16, Games[[#This Row],[RestDiff]]*8))</f>
        <v>-8</v>
      </c>
      <c r="N31" s="1">
        <f>MAX(-16, MIN(16, Games[[#This Row],[OppRestDiff]]*8))</f>
        <v>8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1498.9508801137226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1584.5827450942181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0.47464746731331348</v>
      </c>
      <c r="R31" s="1">
        <v>64</v>
      </c>
      <c r="S31" s="1">
        <v>52</v>
      </c>
      <c r="T31" s="1">
        <v>0</v>
      </c>
      <c r="U31" s="1">
        <f>Games[[#This Row],[PointsFor]]-Games[[#This Row],[PointsAgainst]]</f>
        <v>12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0.42574810612690661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16.898105753236976</v>
      </c>
      <c r="AB31" s="4">
        <f>Games[[#This Row],[PreGmRate]]+Games[[#This Row],[RatingChange]]</f>
        <v>1515.8489858669595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38133</v>
      </c>
      <c r="B32" s="2">
        <v>2004</v>
      </c>
      <c r="C32" s="2">
        <f>COUNTIFS(Games[Team],Games[[#This Row],[Team]],Games[Season],Games[[#This Row],[Season]],Games[Date],"&lt;=" &amp; Games[[#This Row],[Date]])</f>
        <v>3</v>
      </c>
      <c r="D32" s="2" t="s">
        <v>23</v>
      </c>
      <c r="E32" s="2" t="s">
        <v>29</v>
      </c>
      <c r="F32" s="1" t="s">
        <v>77</v>
      </c>
      <c r="G32" s="1" t="s">
        <v>84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" s="2">
        <f>Games[[#This Row],[DaysOff]]-Games[[#This Row],[OppDaysOff]]</f>
        <v>0</v>
      </c>
      <c r="L32" s="2">
        <f>Games[[#This Row],[OppDaysOff]]-Games[[#This Row],[DaysOff]]</f>
        <v>0</v>
      </c>
      <c r="M32" s="1">
        <f>MAX(-16, MIN(16, Games[[#This Row],[RestDiff]]*8))</f>
        <v>0</v>
      </c>
      <c r="N32" s="1">
        <f>MAX(-16, MIN(16, Games[[#This Row],[OppRestDiff]]*8))</f>
        <v>0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1507.1556949422022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1458.8090275977327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0.44887007959457631</v>
      </c>
      <c r="R32" s="1">
        <v>44</v>
      </c>
      <c r="S32" s="1">
        <v>56</v>
      </c>
      <c r="T32" s="1">
        <v>0</v>
      </c>
      <c r="U32" s="1">
        <f>Games[[#This Row],[PointsFor]]-Games[[#This Row],[PointsAgainst]]</f>
        <v>-12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0.43846420710699208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-14.869257170710542</v>
      </c>
      <c r="AB32" s="4">
        <f>Games[[#This Row],[PreGmRate]]+Games[[#This Row],[RatingChange]]</f>
        <v>1492.2864377714916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38133</v>
      </c>
      <c r="B33" s="2">
        <v>2004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84</v>
      </c>
      <c r="G33" s="1" t="s">
        <v>77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" s="2">
        <f>Games[[#This Row],[DaysOff]]-Games[[#This Row],[OppDaysOff]]</f>
        <v>0</v>
      </c>
      <c r="L33" s="2">
        <f>Games[[#This Row],[OppDaysOff]]-Games[[#This Row],[DaysOff]]</f>
        <v>0</v>
      </c>
      <c r="M33" s="1">
        <f>MAX(-16, MIN(16, Games[[#This Row],[RestDiff]]*8))</f>
        <v>0</v>
      </c>
      <c r="N33" s="1">
        <f>MAX(-16, MIN(16, Games[[#This Row],[OppRestDiff]]*8))</f>
        <v>0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1458.8090275977327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1507.1556949422022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0.55112992040542375</v>
      </c>
      <c r="R33" s="1">
        <v>56</v>
      </c>
      <c r="S33" s="1">
        <v>44</v>
      </c>
      <c r="T33" s="1">
        <v>0</v>
      </c>
      <c r="U33" s="1">
        <f>Games[[#This Row],[PointsFor]]-Games[[#This Row],[PointsAgainst]]</f>
        <v>12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0.43846420710699208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14.86925717071054</v>
      </c>
      <c r="AB33" s="4">
        <f>Games[[#This Row],[PreGmRate]]+Games[[#This Row],[RatingChange]]</f>
        <v>1473.6782847684433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38134</v>
      </c>
      <c r="B34" s="2">
        <v>2004</v>
      </c>
      <c r="C34" s="2">
        <f>COUNTIFS(Games[Team],Games[[#This Row],[Team]],Games[Season],Games[[#This Row],[Season]],Games[Date],"&lt;=" &amp; Games[[#This Row],[Date]])</f>
        <v>3</v>
      </c>
      <c r="D34" s="2" t="s">
        <v>23</v>
      </c>
      <c r="E34" s="2" t="s">
        <v>29</v>
      </c>
      <c r="F34" s="1" t="s">
        <v>70</v>
      </c>
      <c r="G34" s="1" t="s">
        <v>86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1556.7253235789392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1470.5461434592339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0.50313605116232463</v>
      </c>
      <c r="R34" s="1">
        <v>73</v>
      </c>
      <c r="S34" s="1">
        <v>82</v>
      </c>
      <c r="T34" s="1">
        <v>0</v>
      </c>
      <c r="U34" s="1">
        <f>Games[[#This Row],[PointsFor]]-Games[[#This Row],[PointsAgainst]]</f>
        <v>-9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0.37876980136729527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-14.397770670148638</v>
      </c>
      <c r="AB34" s="4">
        <f>Games[[#This Row],[PreGmRate]]+Games[[#This Row],[RatingChange]]</f>
        <v>1542.3275529087905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38134</v>
      </c>
      <c r="B35" s="2">
        <v>2004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86</v>
      </c>
      <c r="G35" s="1" t="s">
        <v>70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1470.5461434592339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1556.7253235789392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0.49686394883767526</v>
      </c>
      <c r="R35" s="1">
        <v>82</v>
      </c>
      <c r="S35" s="1">
        <v>73</v>
      </c>
      <c r="T35" s="1">
        <v>0</v>
      </c>
      <c r="U35" s="1">
        <f>Games[[#This Row],[PointsFor]]-Games[[#This Row],[PointsAgainst]]</f>
        <v>9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0.37876980136729527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14.397770670148642</v>
      </c>
      <c r="AB35" s="4">
        <f>Games[[#This Row],[PreGmRate]]+Games[[#This Row],[RatingChange]]</f>
        <v>1484.9439141293826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38135</v>
      </c>
      <c r="B36" s="2">
        <v>2004</v>
      </c>
      <c r="C36" s="2">
        <f>COUNTIFS(Games[Team],Games[[#This Row],[Team]],Games[Season],Games[[#This Row],[Season]],Games[Date],"&lt;=" &amp; Games[[#This Row],[Date]])</f>
        <v>3</v>
      </c>
      <c r="D36" s="2" t="s">
        <v>23</v>
      </c>
      <c r="E36" s="2" t="s">
        <v>29</v>
      </c>
      <c r="F36" s="1" t="s">
        <v>79</v>
      </c>
      <c r="G36" s="1" t="s">
        <v>64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6" s="2">
        <f>Games[[#This Row],[DaysOff]]-Games[[#This Row],[OppDaysOff]]</f>
        <v>-1</v>
      </c>
      <c r="L36" s="2">
        <f>Games[[#This Row],[OppDaysOff]]-Games[[#This Row],[DaysOff]]</f>
        <v>1</v>
      </c>
      <c r="M36" s="1">
        <f>MAX(-16, MIN(16, Games[[#This Row],[RestDiff]]*8))</f>
        <v>-8</v>
      </c>
      <c r="N36" s="1">
        <f>MAX(-16, MIN(16, Games[[#This Row],[OppRestDiff]]*8))</f>
        <v>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1478.3893657693995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1486.498384978102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0.34925272857483214</v>
      </c>
      <c r="R36" s="1">
        <v>41</v>
      </c>
      <c r="S36" s="1">
        <v>63</v>
      </c>
      <c r="T36" s="1">
        <v>0</v>
      </c>
      <c r="U36" s="1">
        <f>Games[[#This Row],[PointsFor]]-Games[[#This Row],[PointsAgainst]]</f>
        <v>-22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0.59801507487909944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-15.779251865427328</v>
      </c>
      <c r="AB36" s="4">
        <f>Games[[#This Row],[PreGmRate]]+Games[[#This Row],[RatingChange]]</f>
        <v>1462.6101139039722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38135</v>
      </c>
      <c r="B37" s="2">
        <v>2004</v>
      </c>
      <c r="C37" s="2">
        <f>COUNTIFS(Games[Team],Games[[#This Row],[Team]],Games[Season],Games[[#This Row],[Season]],Games[Date],"&lt;=" &amp; Games[[#This Row],[Date]])</f>
        <v>3</v>
      </c>
      <c r="D37" s="2" t="s">
        <v>23</v>
      </c>
      <c r="E37" s="2" t="s">
        <v>29</v>
      </c>
      <c r="F37" s="1" t="s">
        <v>64</v>
      </c>
      <c r="G37" s="1" t="s">
        <v>79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" s="2">
        <f>Games[[#This Row],[DaysOff]]-Games[[#This Row],[OppDaysOff]]</f>
        <v>1</v>
      </c>
      <c r="L37" s="2">
        <f>Games[[#This Row],[OppDaysOff]]-Games[[#This Row],[DaysOff]]</f>
        <v>-1</v>
      </c>
      <c r="M37" s="1">
        <f>MAX(-16, MIN(16, Games[[#This Row],[RestDiff]]*8))</f>
        <v>8</v>
      </c>
      <c r="N37" s="1">
        <f>MAX(-16, MIN(16, Games[[#This Row],[OppRestDiff]]*8))</f>
        <v>-8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1486.498384978102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1478.3893657693995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0.65074727142516786</v>
      </c>
      <c r="R37" s="1">
        <v>63</v>
      </c>
      <c r="S37" s="1">
        <v>41</v>
      </c>
      <c r="T37" s="1">
        <v>0</v>
      </c>
      <c r="U37" s="1">
        <f>Games[[#This Row],[PointsFor]]-Games[[#This Row],[PointsAgainst]]</f>
        <v>22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0.59801507487909944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15.779251865427328</v>
      </c>
      <c r="AB37" s="4">
        <f>Games[[#This Row],[PreGmRate]]+Games[[#This Row],[RatingChange]]</f>
        <v>1502.2776368435293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38135</v>
      </c>
      <c r="B38" s="2">
        <v>2004</v>
      </c>
      <c r="C38" s="2">
        <f>COUNTIFS(Games[Team],Games[[#This Row],[Team]],Games[Season],Games[[#This Row],[Season]],Games[Date],"&lt;=" &amp; Games[[#This Row],[Date]])</f>
        <v>4</v>
      </c>
      <c r="D38" s="2" t="s">
        <v>23</v>
      </c>
      <c r="E38" s="2" t="s">
        <v>29</v>
      </c>
      <c r="F38" s="1" t="s">
        <v>73</v>
      </c>
      <c r="G38" s="1" t="s">
        <v>77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1</v>
      </c>
      <c r="L38" s="2">
        <f>Games[[#This Row],[OppDaysOff]]-Games[[#This Row],[DaysOff]]</f>
        <v>-1</v>
      </c>
      <c r="M38" s="1">
        <f>MAX(-16, MIN(16, Games[[#This Row],[RestDiff]]*8))</f>
        <v>8</v>
      </c>
      <c r="N38" s="1">
        <f>MAX(-16, MIN(16, Games[[#This Row],[OppRestDiff]]*8))</f>
        <v>-8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1422.6008741939063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1492.2864377714916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0.31161457257179076</v>
      </c>
      <c r="R38" s="1">
        <v>62</v>
      </c>
      <c r="S38" s="1">
        <v>73</v>
      </c>
      <c r="T38" s="1">
        <v>0</v>
      </c>
      <c r="U38" s="1">
        <f>Games[[#This Row],[PointsFor]]-Games[[#This Row],[PointsAgainst]]</f>
        <v>-11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0.41569596398494912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-9.7670837783289297</v>
      </c>
      <c r="AB38" s="4">
        <f>Games[[#This Row],[PreGmRate]]+Games[[#This Row],[RatingChange]]</f>
        <v>1412.8337904155774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38135</v>
      </c>
      <c r="B39" s="2">
        <v>2004</v>
      </c>
      <c r="C39" s="2">
        <f>COUNTIFS(Games[Team],Games[[#This Row],[Team]],Games[Season],Games[[#This Row],[Season]],Games[Date],"&lt;=" &amp; Games[[#This Row],[Date]])</f>
        <v>4</v>
      </c>
      <c r="D39" s="2" t="s">
        <v>23</v>
      </c>
      <c r="E39" s="2" t="s">
        <v>29</v>
      </c>
      <c r="F39" s="1" t="s">
        <v>77</v>
      </c>
      <c r="G39" s="1" t="s">
        <v>73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-1</v>
      </c>
      <c r="L39" s="2">
        <f>Games[[#This Row],[OppDaysOff]]-Games[[#This Row],[DaysOff]]</f>
        <v>1</v>
      </c>
      <c r="M39" s="1">
        <f>MAX(-16, MIN(16, Games[[#This Row],[RestDiff]]*8))</f>
        <v>-8</v>
      </c>
      <c r="N39" s="1">
        <f>MAX(-16, MIN(16, Games[[#This Row],[OppRestDiff]]*8))</f>
        <v>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1492.2864377714916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1422.6008741939063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0.6883854274282093</v>
      </c>
      <c r="R39" s="1">
        <v>73</v>
      </c>
      <c r="S39" s="1">
        <v>62</v>
      </c>
      <c r="T39" s="1">
        <v>0</v>
      </c>
      <c r="U39" s="1">
        <f>Games[[#This Row],[PointsFor]]-Games[[#This Row],[PointsAgainst]]</f>
        <v>11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0.41569596398494912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9.7670837783289279</v>
      </c>
      <c r="AB39" s="4">
        <f>Games[[#This Row],[PreGmRate]]+Games[[#This Row],[RatingChange]]</f>
        <v>1502.0535215498205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38135</v>
      </c>
      <c r="B40" s="2">
        <v>2004</v>
      </c>
      <c r="C40" s="2">
        <f>COUNTIFS(Games[Team],Games[[#This Row],[Team]],Games[Season],Games[[#This Row],[Season]],Games[Date],"&lt;=" &amp; Games[[#This Row],[Date]])</f>
        <v>3</v>
      </c>
      <c r="D40" s="2" t="s">
        <v>23</v>
      </c>
      <c r="E40" s="2" t="s">
        <v>29</v>
      </c>
      <c r="F40" s="1" t="s">
        <v>81</v>
      </c>
      <c r="G40" s="1" t="s">
        <v>44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5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1547.447626815974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1444.1333109176035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0.52776693746652437</v>
      </c>
      <c r="R40" s="1">
        <v>76</v>
      </c>
      <c r="S40" s="1">
        <v>84</v>
      </c>
      <c r="T40" s="1">
        <v>0</v>
      </c>
      <c r="U40" s="1">
        <f>Games[[#This Row],[PointsFor]]-Games[[#This Row],[PointsAgainst]]</f>
        <v>-8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0.3575335867329969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-14.255862381723503</v>
      </c>
      <c r="AB40" s="4">
        <f>Games[[#This Row],[PreGmRate]]+Games[[#This Row],[RatingChange]]</f>
        <v>1533.1917644342504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38135</v>
      </c>
      <c r="B41" s="2">
        <v>2004</v>
      </c>
      <c r="C41" s="2">
        <f>COUNTIFS(Games[Team],Games[[#This Row],[Team]],Games[Season],Games[[#This Row],[Season]],Games[Date],"&lt;=" &amp; Games[[#This Row],[Date]])</f>
        <v>3</v>
      </c>
      <c r="D41" s="2" t="s">
        <v>23</v>
      </c>
      <c r="E41" s="2" t="s">
        <v>29</v>
      </c>
      <c r="F41" s="1" t="s">
        <v>44</v>
      </c>
      <c r="G41" s="1" t="s">
        <v>81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1444.1333109176035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1547.447626815974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0.47223306253347558</v>
      </c>
      <c r="R41" s="1">
        <v>84</v>
      </c>
      <c r="S41" s="1">
        <v>76</v>
      </c>
      <c r="T41" s="1">
        <v>0</v>
      </c>
      <c r="U41" s="1">
        <f>Games[[#This Row],[PointsFor]]-Games[[#This Row],[PointsAgainst]]</f>
        <v>8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0.3575335867329969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14.255862381723503</v>
      </c>
      <c r="AB41" s="4">
        <f>Games[[#This Row],[PreGmRate]]+Games[[#This Row],[RatingChange]]</f>
        <v>1458.389173299327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38135</v>
      </c>
      <c r="B42" s="2">
        <v>2004</v>
      </c>
      <c r="C42" s="2">
        <f>COUNTIFS(Games[Team],Games[[#This Row],[Team]],Games[Season],Games[[#This Row],[Season]],Games[Date],"&lt;=" &amp; Games[[#This Row],[Date]])</f>
        <v>3</v>
      </c>
      <c r="D42" s="2" t="s">
        <v>23</v>
      </c>
      <c r="E42" s="2" t="s">
        <v>29</v>
      </c>
      <c r="F42" s="1" t="s">
        <v>45</v>
      </c>
      <c r="G42" s="1" t="s">
        <v>84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5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4</v>
      </c>
      <c r="L42" s="2">
        <f>Games[[#This Row],[OppDaysOff]]-Games[[#This Row],[DaysOff]]</f>
        <v>-4</v>
      </c>
      <c r="M42" s="1">
        <f>MAX(-16, MIN(16, Games[[#This Row],[RestDiff]]*8))</f>
        <v>16</v>
      </c>
      <c r="N42" s="1">
        <f>MAX(-16, MIN(16, Games[[#This Row],[OppRestDiff]]*8))</f>
        <v>-16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1521.2339750865438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1473.6782847684433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0.49360447306335326</v>
      </c>
      <c r="R42" s="1">
        <v>63</v>
      </c>
      <c r="S42" s="1">
        <v>72</v>
      </c>
      <c r="T42" s="1">
        <v>0</v>
      </c>
      <c r="U42" s="1">
        <f>Games[[#This Row],[PointsFor]]-Games[[#This Row],[PointsAgainst]]</f>
        <v>-9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0.39049626109474467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75.55</v>
      </c>
      <c r="Z42" s="4">
        <f>Games[[#This Row],[K]]*Games[[#This Row],[POMult]]</f>
        <v>75.55</v>
      </c>
      <c r="AA42" s="4">
        <f>(Games[[#This Row],[Keff]]*Games[[#This Row],[MOVMult]])*(Games[[#This Row],[Result]]-Games[[#This Row],[ExpectedWin%]])</f>
        <v>-14.562315474971063</v>
      </c>
      <c r="AB42" s="4">
        <f>Games[[#This Row],[PreGmRate]]+Games[[#This Row],[RatingChange]]</f>
        <v>1506.6716596115727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38135</v>
      </c>
      <c r="B43" s="2">
        <v>2004</v>
      </c>
      <c r="C43" s="2">
        <f>COUNTIFS(Games[Team],Games[[#This Row],[Team]],Games[Season],Games[[#This Row],[Season]],Games[Date],"&lt;=" &amp; Games[[#This Row],[Date]])</f>
        <v>4</v>
      </c>
      <c r="D43" s="2" t="s">
        <v>23</v>
      </c>
      <c r="E43" s="2" t="s">
        <v>29</v>
      </c>
      <c r="F43" s="1" t="s">
        <v>84</v>
      </c>
      <c r="G43" s="1" t="s">
        <v>45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3" s="2">
        <f>Games[[#This Row],[DaysOff]]-Games[[#This Row],[OppDaysOff]]</f>
        <v>-4</v>
      </c>
      <c r="L43" s="2">
        <f>Games[[#This Row],[OppDaysOff]]-Games[[#This Row],[DaysOff]]</f>
        <v>4</v>
      </c>
      <c r="M43" s="1">
        <f>MAX(-16, MIN(16, Games[[#This Row],[RestDiff]]*8))</f>
        <v>-16</v>
      </c>
      <c r="N43" s="1">
        <f>MAX(-16, MIN(16, Games[[#This Row],[OppRestDiff]]*8))</f>
        <v>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1473.6782847684433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1521.2339750865438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0.5063955269366468</v>
      </c>
      <c r="R43" s="1">
        <v>72</v>
      </c>
      <c r="S43" s="1">
        <v>63</v>
      </c>
      <c r="T43" s="1">
        <v>0</v>
      </c>
      <c r="U43" s="1">
        <f>Games[[#This Row],[PointsFor]]-Games[[#This Row],[PointsAgainst]]</f>
        <v>9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0.39049626109474467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14.533402869792431</v>
      </c>
      <c r="AB43" s="4">
        <f>Games[[#This Row],[PreGmRate]]+Games[[#This Row],[RatingChange]]</f>
        <v>1488.2116876382356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38136</v>
      </c>
      <c r="B44" s="2">
        <v>2004</v>
      </c>
      <c r="C44" s="2">
        <f>COUNTIFS(Games[Team],Games[[#This Row],[Team]],Games[Season],Games[[#This Row],[Season]],Games[Date],"&lt;=" &amp; Games[[#This Row],[Date]])</f>
        <v>4</v>
      </c>
      <c r="D44" s="2" t="s">
        <v>23</v>
      </c>
      <c r="E44" s="2" t="s">
        <v>29</v>
      </c>
      <c r="F44" s="1" t="s">
        <v>70</v>
      </c>
      <c r="G44" s="1" t="s">
        <v>75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" s="2">
        <f>Games[[#This Row],[DaysOff]]-Games[[#This Row],[OppDaysOff]]</f>
        <v>-1</v>
      </c>
      <c r="L44" s="2">
        <f>Games[[#This Row],[OppDaysOff]]-Games[[#This Row],[DaysOff]]</f>
        <v>1</v>
      </c>
      <c r="M44" s="1">
        <f>MAX(-16, MIN(16, Games[[#This Row],[RestDiff]]*8))</f>
        <v>-8</v>
      </c>
      <c r="N44" s="1">
        <f>MAX(-16, MIN(16, Games[[#This Row],[OppRestDiff]]*8))</f>
        <v>8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1542.3275529087905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1567.6510891641051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0.32708030738992971</v>
      </c>
      <c r="R44" s="1">
        <v>63</v>
      </c>
      <c r="S44" s="1">
        <v>60</v>
      </c>
      <c r="T44" s="1">
        <v>0</v>
      </c>
      <c r="U44" s="1">
        <f>Games[[#This Row],[PointsFor]]-Games[[#This Row],[PointsAgainst]]</f>
        <v>3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0.28418635161668249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14.419088264990199</v>
      </c>
      <c r="AB44" s="4">
        <f>Games[[#This Row],[PreGmRate]]+Games[[#This Row],[RatingChange]]</f>
        <v>1556.7466411737807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38136</v>
      </c>
      <c r="B45" s="2">
        <v>2004</v>
      </c>
      <c r="C45" s="2">
        <f>COUNTIFS(Games[Team],Games[[#This Row],[Team]],Games[Season],Games[[#This Row],[Season]],Games[Date],"&lt;=" &amp; Games[[#This Row],[Date]])</f>
        <v>3</v>
      </c>
      <c r="D45" s="2" t="s">
        <v>23</v>
      </c>
      <c r="E45" s="2" t="s">
        <v>29</v>
      </c>
      <c r="F45" s="1" t="s">
        <v>75</v>
      </c>
      <c r="G45" s="1" t="s">
        <v>70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1</v>
      </c>
      <c r="L45" s="2">
        <f>Games[[#This Row],[OppDaysOff]]-Games[[#This Row],[DaysOff]]</f>
        <v>-1</v>
      </c>
      <c r="M45" s="1">
        <f>MAX(-16, MIN(16, Games[[#This Row],[RestDiff]]*8))</f>
        <v>8</v>
      </c>
      <c r="N45" s="1">
        <f>MAX(-16, MIN(16, Games[[#This Row],[OppRestDiff]]*8))</f>
        <v>-8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1567.6510891641051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1542.3275529087905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0.67291969261007034</v>
      </c>
      <c r="R45" s="1">
        <v>60</v>
      </c>
      <c r="S45" s="1">
        <v>63</v>
      </c>
      <c r="T45" s="1">
        <v>0</v>
      </c>
      <c r="U45" s="1">
        <f>Games[[#This Row],[PointsFor]]-Games[[#This Row],[PointsAgainst]]</f>
        <v>-3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0.28418635161668249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-14.447773453846281</v>
      </c>
      <c r="AB45" s="4">
        <f>Games[[#This Row],[PreGmRate]]+Games[[#This Row],[RatingChange]]</f>
        <v>1553.2033157102587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38137</v>
      </c>
      <c r="B46" s="2">
        <v>2004</v>
      </c>
      <c r="C46" s="2">
        <f>COUNTIFS(Games[Team],Games[[#This Row],[Team]],Games[Season],Games[[#This Row],[Season]],Games[Date],"&lt;=" &amp; Games[[#This Row],[Date]])</f>
        <v>4</v>
      </c>
      <c r="D46" s="2" t="s">
        <v>23</v>
      </c>
      <c r="E46" s="2" t="s">
        <v>29</v>
      </c>
      <c r="F46" s="1" t="s">
        <v>45</v>
      </c>
      <c r="G46" s="1" t="s">
        <v>2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6" s="2">
        <f>Games[[#This Row],[DaysOff]]-Games[[#This Row],[OppDaysOff]]</f>
        <v>-3</v>
      </c>
      <c r="L46" s="2">
        <f>Games[[#This Row],[OppDaysOff]]-Games[[#This Row],[DaysOff]]</f>
        <v>3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1506.6716596115727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1541.8810776575506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0.29516454877093046</v>
      </c>
      <c r="R46" s="1">
        <v>57</v>
      </c>
      <c r="S46" s="1">
        <v>63</v>
      </c>
      <c r="T46" s="1">
        <v>0</v>
      </c>
      <c r="U46" s="1">
        <f>Games[[#This Row],[PointsFor]]-Games[[#This Row],[PointsAgainst]]</f>
        <v>-6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0.34126756738629344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-7.5950486003447226</v>
      </c>
      <c r="AB46" s="4">
        <f>Games[[#This Row],[PreGmRate]]+Games[[#This Row],[RatingChange]]</f>
        <v>1499.0766110112281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38137</v>
      </c>
      <c r="B47" s="2">
        <v>2004</v>
      </c>
      <c r="C47" s="2">
        <f>COUNTIFS(Games[Team],Games[[#This Row],[Team]],Games[Season],Games[[#This Row],[Season]],Games[Date],"&lt;=" &amp; Games[[#This Row],[Date]])</f>
        <v>5</v>
      </c>
      <c r="D47" s="2" t="s">
        <v>23</v>
      </c>
      <c r="E47" s="2" t="s">
        <v>29</v>
      </c>
      <c r="F47" s="1" t="s">
        <v>2</v>
      </c>
      <c r="G47" s="1" t="s">
        <v>45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3</v>
      </c>
      <c r="L47" s="2">
        <f>Games[[#This Row],[OppDaysOff]]-Games[[#This Row],[DaysOff]]</f>
        <v>-3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1541.8810776575506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1506.6716596115727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0.70483545122906954</v>
      </c>
      <c r="R47" s="1">
        <v>63</v>
      </c>
      <c r="S47" s="1">
        <v>57</v>
      </c>
      <c r="T47" s="1">
        <v>0</v>
      </c>
      <c r="U47" s="1">
        <f>Games[[#This Row],[PointsFor]]-Games[[#This Row],[PointsAgainst]]</f>
        <v>6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0.34126756738629344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75.25</v>
      </c>
      <c r="Z47" s="4">
        <f>Games[[#This Row],[K]]*Games[[#This Row],[POMult]]</f>
        <v>75.25</v>
      </c>
      <c r="AA47" s="4">
        <f>(Games[[#This Row],[Keff]]*Games[[#This Row],[MOVMult]])*(Games[[#This Row],[Result]]-Games[[#This Row],[ExpectedWin%]])</f>
        <v>7.5799390872140631</v>
      </c>
      <c r="AB47" s="4">
        <f>Games[[#This Row],[PreGmRate]]+Games[[#This Row],[RatingChange]]</f>
        <v>1549.4610167447647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38137</v>
      </c>
      <c r="B48" s="2">
        <v>2004</v>
      </c>
      <c r="C48" s="2">
        <f>COUNTIFS(Games[Team],Games[[#This Row],[Team]],Games[Season],Games[[#This Row],[Season]],Games[Date],"&lt;=" &amp; Games[[#This Row],[Date]])</f>
        <v>4</v>
      </c>
      <c r="D48" s="2" t="s">
        <v>23</v>
      </c>
      <c r="E48" s="2" t="s">
        <v>29</v>
      </c>
      <c r="F48" s="1" t="s">
        <v>66</v>
      </c>
      <c r="G48" s="1" t="s">
        <v>77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2</v>
      </c>
      <c r="L48" s="2">
        <f>Games[[#This Row],[OppDaysOff]]-Games[[#This Row],[DaysOff]]</f>
        <v>-2</v>
      </c>
      <c r="M48" s="1">
        <f>MAX(-16, MIN(16, Games[[#This Row],[RestDiff]]*8))</f>
        <v>16</v>
      </c>
      <c r="N48" s="1">
        <f>MAX(-16, MIN(16, Games[[#This Row],[OppRestDiff]]*8))</f>
        <v>-16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1515.8489858669595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1502.0535215498205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0.44523978740418169</v>
      </c>
      <c r="R48" s="1">
        <v>68</v>
      </c>
      <c r="S48" s="1">
        <v>64</v>
      </c>
      <c r="T48" s="1">
        <v>0</v>
      </c>
      <c r="U48" s="1">
        <f>Games[[#This Row],[PointsFor]]-Games[[#This Row],[PointsAgainst]]</f>
        <v>4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0.30789312769009514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12.878837015850806</v>
      </c>
      <c r="AB48" s="4">
        <f>Games[[#This Row],[PreGmRate]]+Games[[#This Row],[RatingChange]]</f>
        <v>1528.7278228828104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38137</v>
      </c>
      <c r="B49" s="2">
        <v>2004</v>
      </c>
      <c r="C49" s="2">
        <f>COUNTIFS(Games[Team],Games[[#This Row],[Team]],Games[Season],Games[[#This Row],[Season]],Games[Date],"&lt;=" &amp; Games[[#This Row],[Date]])</f>
        <v>5</v>
      </c>
      <c r="D49" s="2" t="s">
        <v>23</v>
      </c>
      <c r="E49" s="2" t="s">
        <v>29</v>
      </c>
      <c r="F49" s="1" t="s">
        <v>77</v>
      </c>
      <c r="G49" s="1" t="s">
        <v>66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" s="2">
        <f>Games[[#This Row],[DaysOff]]-Games[[#This Row],[OppDaysOff]]</f>
        <v>-2</v>
      </c>
      <c r="L49" s="2">
        <f>Games[[#This Row],[OppDaysOff]]-Games[[#This Row],[DaysOff]]</f>
        <v>2</v>
      </c>
      <c r="M49" s="1">
        <f>MAX(-16, MIN(16, Games[[#This Row],[RestDiff]]*8))</f>
        <v>-16</v>
      </c>
      <c r="N49" s="1">
        <f>MAX(-16, MIN(16, Games[[#This Row],[OppRestDiff]]*8))</f>
        <v>16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1502.0535215498205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1515.8489858669595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0.55476021259581831</v>
      </c>
      <c r="R49" s="1">
        <v>64</v>
      </c>
      <c r="S49" s="1">
        <v>68</v>
      </c>
      <c r="T49" s="1">
        <v>0</v>
      </c>
      <c r="U49" s="1">
        <f>Games[[#This Row],[PointsFor]]-Games[[#This Row],[PointsAgainst]]</f>
        <v>-4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0.30789312769009514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75.25</v>
      </c>
      <c r="Z49" s="4">
        <f>Games[[#This Row],[K]]*Games[[#This Row],[POMult]]</f>
        <v>75.25</v>
      </c>
      <c r="AA49" s="4">
        <f>(Games[[#This Row],[Keff]]*Games[[#This Row],[MOVMult]])*(Games[[#This Row],[Result]]-Games[[#This Row],[ExpectedWin%]])</f>
        <v>-12.853215987304683</v>
      </c>
      <c r="AB49" s="4">
        <f>Games[[#This Row],[PreGmRate]]+Games[[#This Row],[RatingChange]]</f>
        <v>1489.2003055625157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38139</v>
      </c>
      <c r="B50" s="2">
        <v>2004</v>
      </c>
      <c r="C50" s="2">
        <f>COUNTIFS(Games[Team],Games[[#This Row],[Team]],Games[Season],Games[[#This Row],[Season]],Games[Date],"&lt;=" &amp; Games[[#This Row],[Date]])</f>
        <v>5</v>
      </c>
      <c r="D50" s="2" t="s">
        <v>23</v>
      </c>
      <c r="E50" s="2" t="s">
        <v>29</v>
      </c>
      <c r="F50" s="1" t="s">
        <v>66</v>
      </c>
      <c r="G50" s="1" t="s">
        <v>64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" s="2">
        <f>Games[[#This Row],[DaysOff]]-Games[[#This Row],[OppDaysOff]]</f>
        <v>-2</v>
      </c>
      <c r="L50" s="2">
        <f>Games[[#This Row],[OppDaysOff]]-Games[[#This Row],[DaysOff]]</f>
        <v>2</v>
      </c>
      <c r="M50" s="1">
        <f>MAX(-16, MIN(16, Games[[#This Row],[RestDiff]]*8))</f>
        <v>-16</v>
      </c>
      <c r="N50" s="1">
        <f>MAX(-16, MIN(16, Games[[#This Row],[OppRestDiff]]*8))</f>
        <v>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1528.7278228828104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1502.2776368435293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0.37390738678315927</v>
      </c>
      <c r="R50" s="1">
        <v>63</v>
      </c>
      <c r="S50" s="1">
        <v>53</v>
      </c>
      <c r="T50" s="1">
        <v>0</v>
      </c>
      <c r="U50" s="1">
        <f>Games[[#This Row],[PointsFor]]-Games[[#This Row],[PointsAgainst]]</f>
        <v>10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0.41400429057660743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19.505178369799452</v>
      </c>
      <c r="AB50" s="4">
        <f>Games[[#This Row],[PreGmRate]]+Games[[#This Row],[RatingChange]]</f>
        <v>1548.2330012526099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38139</v>
      </c>
      <c r="B51" s="2">
        <v>2004</v>
      </c>
      <c r="C51" s="2">
        <f>COUNTIFS(Games[Team],Games[[#This Row],[Team]],Games[Season],Games[[#This Row],[Season]],Games[Date],"&lt;=" &amp; Games[[#This Row],[Date]])</f>
        <v>4</v>
      </c>
      <c r="D51" s="2" t="s">
        <v>23</v>
      </c>
      <c r="E51" s="2" t="s">
        <v>29</v>
      </c>
      <c r="F51" s="1" t="s">
        <v>64</v>
      </c>
      <c r="G51" s="1" t="s">
        <v>66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2</v>
      </c>
      <c r="L51" s="2">
        <f>Games[[#This Row],[OppDaysOff]]-Games[[#This Row],[DaysOff]]</f>
        <v>-2</v>
      </c>
      <c r="M51" s="1">
        <f>MAX(-16, MIN(16, Games[[#This Row],[RestDiff]]*8))</f>
        <v>16</v>
      </c>
      <c r="N51" s="1">
        <f>MAX(-16, MIN(16, Games[[#This Row],[OppRestDiff]]*8))</f>
        <v>-16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1502.2776368435293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1528.7278228828104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0.62609261321684073</v>
      </c>
      <c r="R51" s="1">
        <v>53</v>
      </c>
      <c r="S51" s="1">
        <v>63</v>
      </c>
      <c r="T51" s="1">
        <v>0</v>
      </c>
      <c r="U51" s="1">
        <f>Games[[#This Row],[PointsFor]]-Games[[#This Row],[PointsAgainst]]</f>
        <v>-10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0.41400429057660743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-19.544059124024969</v>
      </c>
      <c r="AB51" s="4">
        <f>Games[[#This Row],[PreGmRate]]+Games[[#This Row],[RatingChange]]</f>
        <v>1482.7335777195044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38139</v>
      </c>
      <c r="B52" s="2">
        <v>2004</v>
      </c>
      <c r="C52" s="2">
        <f>COUNTIFS(Games[Team],Games[[#This Row],[Team]],Games[Season],Games[[#This Row],[Season]],Games[Date],"&lt;=" &amp; Games[[#This Row],[Date]])</f>
        <v>4</v>
      </c>
      <c r="D52" s="2" t="s">
        <v>23</v>
      </c>
      <c r="E52" s="2" t="s">
        <v>29</v>
      </c>
      <c r="F52" s="1" t="s">
        <v>81</v>
      </c>
      <c r="G52" s="1" t="s">
        <v>70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3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1</v>
      </c>
      <c r="L52" s="2">
        <f>Games[[#This Row],[OppDaysOff]]-Games[[#This Row],[DaysOff]]</f>
        <v>-1</v>
      </c>
      <c r="M52" s="1">
        <f>MAX(-16, MIN(16, Games[[#This Row],[RestDiff]]*8))</f>
        <v>8</v>
      </c>
      <c r="N52" s="1">
        <f>MAX(-16, MIN(16, Games[[#This Row],[OppRestDiff]]*8))</f>
        <v>-8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1533.1917644342504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1556.7466411737807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0.37120933746824192</v>
      </c>
      <c r="R52" s="1">
        <v>70</v>
      </c>
      <c r="S52" s="1">
        <v>73</v>
      </c>
      <c r="T52" s="1">
        <v>0</v>
      </c>
      <c r="U52" s="1">
        <f>Games[[#This Row],[PointsFor]]-Games[[#This Row],[PointsAgainst]]</f>
        <v>-3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0.28459714552923859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-7.965641884929517</v>
      </c>
      <c r="AB52" s="4">
        <f>Games[[#This Row],[PreGmRate]]+Games[[#This Row],[RatingChange]]</f>
        <v>1525.226122549321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38139</v>
      </c>
      <c r="B53" s="2">
        <v>2004</v>
      </c>
      <c r="C53" s="2">
        <f>COUNTIFS(Games[Team],Games[[#This Row],[Team]],Games[Season],Games[[#This Row],[Season]],Games[Date],"&lt;=" &amp; Games[[#This Row],[Date]])</f>
        <v>5</v>
      </c>
      <c r="D53" s="2" t="s">
        <v>23</v>
      </c>
      <c r="E53" s="2" t="s">
        <v>29</v>
      </c>
      <c r="F53" s="1" t="s">
        <v>70</v>
      </c>
      <c r="G53" s="1" t="s">
        <v>81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3" s="2">
        <f>Games[[#This Row],[DaysOff]]-Games[[#This Row],[OppDaysOff]]</f>
        <v>-1</v>
      </c>
      <c r="L53" s="2">
        <f>Games[[#This Row],[OppDaysOff]]-Games[[#This Row],[DaysOff]]</f>
        <v>1</v>
      </c>
      <c r="M53" s="1">
        <f>MAX(-16, MIN(16, Games[[#This Row],[RestDiff]]*8))</f>
        <v>-8</v>
      </c>
      <c r="N53" s="1">
        <f>MAX(-16, MIN(16, Games[[#This Row],[OppRestDiff]]*8))</f>
        <v>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1556.7466411737807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1533.1917644342504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0.62879066253175808</v>
      </c>
      <c r="R53" s="1">
        <v>73</v>
      </c>
      <c r="S53" s="1">
        <v>70</v>
      </c>
      <c r="T53" s="1">
        <v>0</v>
      </c>
      <c r="U53" s="1">
        <f>Games[[#This Row],[PointsFor]]-Games[[#This Row],[PointsAgainst]]</f>
        <v>3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0.28459714552923859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7.9497951172539265</v>
      </c>
      <c r="AB53" s="4">
        <f>Games[[#This Row],[PreGmRate]]+Games[[#This Row],[RatingChange]]</f>
        <v>1564.6964362910346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38139</v>
      </c>
      <c r="B54" s="2">
        <v>2004</v>
      </c>
      <c r="C54" s="2">
        <f>COUNTIFS(Games[Team],Games[[#This Row],[Team]],Games[Season],Games[[#This Row],[Season]],Games[Date],"&lt;=" &amp; Games[[#This Row],[Date]])</f>
        <v>6</v>
      </c>
      <c r="D54" s="2" t="s">
        <v>23</v>
      </c>
      <c r="E54" s="2" t="s">
        <v>29</v>
      </c>
      <c r="F54" s="1" t="s">
        <v>2</v>
      </c>
      <c r="G54" s="1" t="s">
        <v>44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4" s="2">
        <f>Games[[#This Row],[DaysOff]]-Games[[#This Row],[OppDaysOff]]</f>
        <v>-2</v>
      </c>
      <c r="L54" s="2">
        <f>Games[[#This Row],[OppDaysOff]]-Games[[#This Row],[DaysOff]]</f>
        <v>2</v>
      </c>
      <c r="M54" s="1">
        <f>MAX(-16, MIN(16, Games[[#This Row],[RestDiff]]*8))</f>
        <v>-16</v>
      </c>
      <c r="N54" s="1">
        <f>MAX(-16, MIN(16, Games[[#This Row],[OppRestDiff]]*8))</f>
        <v>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1549.4610167447647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1458.389173299327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0.46418693213170509</v>
      </c>
      <c r="R54" s="1">
        <v>63</v>
      </c>
      <c r="S54" s="1">
        <v>73</v>
      </c>
      <c r="T54" s="1">
        <v>0</v>
      </c>
      <c r="U54" s="1">
        <f>Games[[#This Row],[PointsFor]]-Games[[#This Row],[PointsAgainst]]</f>
        <v>-10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0.39328224976521153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75.099999999999994</v>
      </c>
      <c r="Z54" s="4">
        <f>Games[[#This Row],[K]]*Games[[#This Row],[POMult]]</f>
        <v>75.099999999999994</v>
      </c>
      <c r="AA54" s="4">
        <f>(Games[[#This Row],[Keff]]*Games[[#This Row],[MOVMult]])*(Games[[#This Row],[Result]]-Games[[#This Row],[ExpectedWin%]])</f>
        <v>-13.709991721625677</v>
      </c>
      <c r="AB54" s="4">
        <f>Games[[#This Row],[PreGmRate]]+Games[[#This Row],[RatingChange]]</f>
        <v>1535.7510250231389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38139</v>
      </c>
      <c r="B55" s="2">
        <v>2004</v>
      </c>
      <c r="C55" s="2">
        <f>COUNTIFS(Games[Team],Games[[#This Row],[Team]],Games[Season],Games[[#This Row],[Season]],Games[Date],"&lt;=" &amp; Games[[#This Row],[Date]])</f>
        <v>4</v>
      </c>
      <c r="D55" s="2" t="s">
        <v>23</v>
      </c>
      <c r="E55" s="2" t="s">
        <v>29</v>
      </c>
      <c r="F55" s="1" t="s">
        <v>44</v>
      </c>
      <c r="G55" s="1" t="s">
        <v>2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2</v>
      </c>
      <c r="L55" s="2">
        <f>Games[[#This Row],[OppDaysOff]]-Games[[#This Row],[DaysOff]]</f>
        <v>-2</v>
      </c>
      <c r="M55" s="1">
        <f>MAX(-16, MIN(16, Games[[#This Row],[RestDiff]]*8))</f>
        <v>16</v>
      </c>
      <c r="N55" s="1">
        <f>MAX(-16, MIN(16, Games[[#This Row],[OppRestDiff]]*8))</f>
        <v>-16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1458.389173299327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1549.4610167447647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0.53581306786829497</v>
      </c>
      <c r="R55" s="1">
        <v>73</v>
      </c>
      <c r="S55" s="1">
        <v>63</v>
      </c>
      <c r="T55" s="1">
        <v>0</v>
      </c>
      <c r="U55" s="1">
        <f>Games[[#This Row],[PointsFor]]-Games[[#This Row],[PointsAgainst]]</f>
        <v>10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0.39328224976521153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13.764758665919787</v>
      </c>
      <c r="AB55" s="4">
        <f>Games[[#This Row],[PreGmRate]]+Games[[#This Row],[RatingChange]]</f>
        <v>1472.1539319652468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38139</v>
      </c>
      <c r="B56" s="2">
        <v>2004</v>
      </c>
      <c r="C56" s="2">
        <f>COUNTIFS(Games[Team],Games[[#This Row],[Team]],Games[Season],Games[[#This Row],[Season]],Games[Date],"&lt;=" &amp; Games[[#This Row],[Date]])</f>
        <v>4</v>
      </c>
      <c r="D56" s="2" t="s">
        <v>23</v>
      </c>
      <c r="E56" s="2" t="s">
        <v>29</v>
      </c>
      <c r="F56" s="1" t="s">
        <v>79</v>
      </c>
      <c r="G56" s="1" t="s">
        <v>84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3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1462.6101139039722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1488.2116876382356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0.34730255500600382</v>
      </c>
      <c r="R56" s="1">
        <v>79</v>
      </c>
      <c r="S56" s="1">
        <v>60</v>
      </c>
      <c r="T56" s="1">
        <v>0</v>
      </c>
      <c r="U56" s="1">
        <f>Games[[#This Row],[PointsFor]]-Games[[#This Row],[PointsAgainst]]</f>
        <v>19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0.54925932023458546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27.030911683701483</v>
      </c>
      <c r="AB56" s="4">
        <f>Games[[#This Row],[PreGmRate]]+Games[[#This Row],[RatingChange]]</f>
        <v>1489.6410255876738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38139</v>
      </c>
      <c r="B57" s="2">
        <v>2004</v>
      </c>
      <c r="C57" s="2">
        <f>COUNTIFS(Games[Team],Games[[#This Row],[Team]],Games[Season],Games[[#This Row],[Season]],Games[Date],"&lt;=" &amp; Games[[#This Row],[Date]])</f>
        <v>5</v>
      </c>
      <c r="D57" s="2" t="s">
        <v>23</v>
      </c>
      <c r="E57" s="2" t="s">
        <v>29</v>
      </c>
      <c r="F57" s="1" t="s">
        <v>84</v>
      </c>
      <c r="G57" s="1" t="s">
        <v>79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1488.2116876382356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1462.6101139039722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0.65269744499399618</v>
      </c>
      <c r="R57" s="1">
        <v>60</v>
      </c>
      <c r="S57" s="1">
        <v>79</v>
      </c>
      <c r="T57" s="1">
        <v>0</v>
      </c>
      <c r="U57" s="1">
        <f>Games[[#This Row],[PointsFor]]-Games[[#This Row],[PointsAgainst]]</f>
        <v>-19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0.54925932023458546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-26.977136660458044</v>
      </c>
      <c r="AB57" s="4">
        <f>Games[[#This Row],[PreGmRate]]+Games[[#This Row],[RatingChange]]</f>
        <v>1461.2345509777776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38140</v>
      </c>
      <c r="B58" s="2">
        <v>2004</v>
      </c>
      <c r="C58" s="2">
        <f>COUNTIFS(Games[Team],Games[[#This Row],[Team]],Games[Season],Games[[#This Row],[Season]],Games[Date],"&lt;=" &amp; Games[[#This Row],[Date]])</f>
        <v>5</v>
      </c>
      <c r="D58" s="2" t="s">
        <v>23</v>
      </c>
      <c r="E58" s="2" t="s">
        <v>29</v>
      </c>
      <c r="F58" s="1" t="s">
        <v>73</v>
      </c>
      <c r="G58" s="1" t="s">
        <v>75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4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8" s="2">
        <f>Games[[#This Row],[DaysOff]]-Games[[#This Row],[OppDaysOff]]</f>
        <v>1</v>
      </c>
      <c r="L58" s="2">
        <f>Games[[#This Row],[OppDaysOff]]-Games[[#This Row],[DaysOff]]</f>
        <v>-1</v>
      </c>
      <c r="M58" s="1">
        <f>MAX(-16, MIN(16, Games[[#This Row],[RestDiff]]*8))</f>
        <v>8</v>
      </c>
      <c r="N58" s="1">
        <f>MAX(-16, MIN(16, Games[[#This Row],[OppRestDiff]]*8))</f>
        <v>-8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1412.8337904155774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1553.2033157102587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0.2315692636138186</v>
      </c>
      <c r="R58" s="1">
        <v>65</v>
      </c>
      <c r="S58" s="1">
        <v>63</v>
      </c>
      <c r="T58" s="1">
        <v>0</v>
      </c>
      <c r="U58" s="1">
        <f>Games[[#This Row],[PointsFor]]-Games[[#This Row],[PointsAgainst]]</f>
        <v>2</v>
      </c>
      <c r="V58" s="1">
        <f>IF(Games[[#This Row],[MOV]]&gt;0,1,IF(Games[[#This Row],[MOV]]=0,0.5,0))</f>
        <v>1</v>
      </c>
      <c r="W58" s="4">
        <f>((ABS(Games[[#This Row],[MOV]])+5)^0.6)/(12+0.01*(ABS(Games[[#This Row],[PreGmRate]]-Games[[#This Row],[OppPreGmRate]])))*IF(Games[[#This Row],[OT]]=1,0.9,1)</f>
        <v>0.2397917730194154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13.865818496229473</v>
      </c>
      <c r="AB58" s="4">
        <f>Games[[#This Row],[PreGmRate]]+Games[[#This Row],[RatingChange]]</f>
        <v>1426.6996089118068</v>
      </c>
      <c r="AC58" s="2">
        <f>IF(Games[[#This Row],[Type]]="R",IF(Games[[#This Row],[Result]]&gt;0.5,1,0),0)</f>
        <v>1</v>
      </c>
      <c r="AD58" s="2">
        <f>IF(Games[[#This Row],[Type]]="R",IF(Games[[#This Row],[Result]]&lt;0.5,1,0),0)</f>
        <v>0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38140</v>
      </c>
      <c r="B59" s="2">
        <v>2004</v>
      </c>
      <c r="C59" s="2">
        <f>COUNTIFS(Games[Team],Games[[#This Row],[Team]],Games[Season],Games[[#This Row],[Season]],Games[Date],"&lt;=" &amp; Games[[#This Row],[Date]])</f>
        <v>4</v>
      </c>
      <c r="D59" s="2" t="s">
        <v>23</v>
      </c>
      <c r="E59" s="2" t="s">
        <v>29</v>
      </c>
      <c r="F59" s="1" t="s">
        <v>75</v>
      </c>
      <c r="G59" s="1" t="s">
        <v>73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9" s="2">
        <f>Games[[#This Row],[DaysOff]]-Games[[#This Row],[OppDaysOff]]</f>
        <v>-1</v>
      </c>
      <c r="L59" s="2">
        <f>Games[[#This Row],[OppDaysOff]]-Games[[#This Row],[DaysOff]]</f>
        <v>1</v>
      </c>
      <c r="M59" s="1">
        <f>MAX(-16, MIN(16, Games[[#This Row],[RestDiff]]*8))</f>
        <v>-8</v>
      </c>
      <c r="N59" s="1">
        <f>MAX(-16, MIN(16, Games[[#This Row],[OppRestDiff]]*8))</f>
        <v>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1553.2033157102587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1412.8337904155774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0.76843073638618142</v>
      </c>
      <c r="R59" s="1">
        <v>63</v>
      </c>
      <c r="S59" s="1">
        <v>65</v>
      </c>
      <c r="T59" s="1">
        <v>0</v>
      </c>
      <c r="U59" s="1">
        <f>Games[[#This Row],[PointsFor]]-Games[[#This Row],[PointsAgainst]]</f>
        <v>-2</v>
      </c>
      <c r="V59" s="1">
        <f>IF(Games[[#This Row],[MOV]]&gt;0,1,IF(Games[[#This Row],[MOV]]=0,0.5,0))</f>
        <v>0</v>
      </c>
      <c r="W59" s="4">
        <f>((ABS(Games[[#This Row],[MOV]])+5)^0.6)/(12+0.01*(ABS(Games[[#This Row],[PreGmRate]]-Games[[#This Row],[OppPreGmRate]])))*IF(Games[[#This Row],[OT]]=1,0.9,1)</f>
        <v>0.2397917730194154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75.400000000000006</v>
      </c>
      <c r="Z59" s="4">
        <f>Games[[#This Row],[K]]*Games[[#This Row],[POMult]]</f>
        <v>75.400000000000006</v>
      </c>
      <c r="AA59" s="4">
        <f>(Games[[#This Row],[Keff]]*Games[[#This Row],[MOVMult]])*(Games[[#This Row],[Result]]-Games[[#This Row],[ExpectedWin%]])</f>
        <v>-13.893458001537574</v>
      </c>
      <c r="AB59" s="4">
        <f>Games[[#This Row],[PreGmRate]]+Games[[#This Row],[RatingChange]]</f>
        <v>1539.3098577087212</v>
      </c>
      <c r="AC59" s="2">
        <f>IF(Games[[#This Row],[Type]]="R",IF(Games[[#This Row],[Result]]&gt;0.5,1,0),0)</f>
        <v>0</v>
      </c>
      <c r="AD59" s="2">
        <f>IF(Games[[#This Row],[Type]]="R",IF(Games[[#This Row],[Result]]&lt;0.5,1,0),0)</f>
        <v>1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38141</v>
      </c>
      <c r="B60" s="2">
        <v>2004</v>
      </c>
      <c r="C60" s="2">
        <f>COUNTIFS(Games[Team],Games[[#This Row],[Team]],Games[Season],Games[[#This Row],[Season]],Games[Date],"&lt;=" &amp; Games[[#This Row],[Date]])</f>
        <v>5</v>
      </c>
      <c r="D60" s="2" t="s">
        <v>23</v>
      </c>
      <c r="E60" s="2" t="s">
        <v>29</v>
      </c>
      <c r="F60" s="1" t="s">
        <v>64</v>
      </c>
      <c r="G60" s="1" t="s">
        <v>86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0" s="2">
        <f>Games[[#This Row],[DaysOff]]-Games[[#This Row],[OppDaysOff]]</f>
        <v>-5</v>
      </c>
      <c r="L60" s="2">
        <f>Games[[#This Row],[OppDaysOff]]-Games[[#This Row],[DaysOff]]</f>
        <v>5</v>
      </c>
      <c r="M60" s="1">
        <f>MAX(-16, MIN(16, Games[[#This Row],[RestDiff]]*8))</f>
        <v>-16</v>
      </c>
      <c r="N60" s="1">
        <f>MAX(-16, MIN(16, Games[[#This Row],[OppRestDiff]]*8))</f>
        <v>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1482.7335777195044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1484.9439141293826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0.33615565367368411</v>
      </c>
      <c r="R60" s="1">
        <v>62</v>
      </c>
      <c r="S60" s="1">
        <v>71</v>
      </c>
      <c r="T60" s="1">
        <v>0</v>
      </c>
      <c r="U60" s="1">
        <f>Games[[#This Row],[PointsFor]]-Games[[#This Row],[PointsAgainst]]</f>
        <v>-9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0.40522512394253646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75.25</v>
      </c>
      <c r="Z60" s="4">
        <f>Games[[#This Row],[K]]*Games[[#This Row],[POMult]]</f>
        <v>75.25</v>
      </c>
      <c r="AA60" s="4">
        <f>(Games[[#This Row],[Keff]]*Games[[#This Row],[MOVMult]])*(Games[[#This Row],[Result]]-Games[[#This Row],[ExpectedWin%]])</f>
        <v>-10.2504584108987</v>
      </c>
      <c r="AB60" s="4">
        <f>Games[[#This Row],[PreGmRate]]+Games[[#This Row],[RatingChange]]</f>
        <v>1472.4831193086056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38141</v>
      </c>
      <c r="B61" s="2">
        <v>2004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86</v>
      </c>
      <c r="G61" s="1" t="s">
        <v>64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6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5</v>
      </c>
      <c r="L61" s="2">
        <f>Games[[#This Row],[OppDaysOff]]-Games[[#This Row],[DaysOff]]</f>
        <v>-5</v>
      </c>
      <c r="M61" s="1">
        <f>MAX(-16, MIN(16, Games[[#This Row],[RestDiff]]*8))</f>
        <v>16</v>
      </c>
      <c r="N61" s="1">
        <f>MAX(-16, MIN(16, Games[[#This Row],[OppRestDiff]]*8))</f>
        <v>-16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1484.9439141293826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1482.7335777195044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0.66384434632631584</v>
      </c>
      <c r="R61" s="1">
        <v>71</v>
      </c>
      <c r="S61" s="1">
        <v>62</v>
      </c>
      <c r="T61" s="1">
        <v>0</v>
      </c>
      <c r="U61" s="1">
        <f>Games[[#This Row],[PointsFor]]-Games[[#This Row],[PointsAgainst]]</f>
        <v>9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0.40522512394253646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10.270891218362289</v>
      </c>
      <c r="AB61" s="4">
        <f>Games[[#This Row],[PreGmRate]]+Games[[#This Row],[RatingChange]]</f>
        <v>1495.2148053477449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38141</v>
      </c>
      <c r="B62" s="2">
        <v>2004</v>
      </c>
      <c r="C62" s="2">
        <f>COUNTIFS(Games[Team],Games[[#This Row],[Team]],Games[Season],Games[[#This Row],[Season]],Games[Date],"&lt;=" &amp; Games[[#This Row],[Date]])</f>
        <v>6</v>
      </c>
      <c r="D62" s="2" t="s">
        <v>23</v>
      </c>
      <c r="E62" s="2" t="s">
        <v>29</v>
      </c>
      <c r="F62" s="1" t="s">
        <v>66</v>
      </c>
      <c r="G62" s="1" t="s">
        <v>2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1548.2330012526099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1535.7510250231389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0.39850675917192691</v>
      </c>
      <c r="R62" s="1">
        <v>71</v>
      </c>
      <c r="S62" s="1">
        <v>62</v>
      </c>
      <c r="T62" s="1">
        <v>0</v>
      </c>
      <c r="U62" s="1">
        <f>Games[[#This Row],[PointsFor]]-Games[[#This Row],[PointsAgainst]]</f>
        <v>9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0.40179222629903388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18.149815656043543</v>
      </c>
      <c r="AB62" s="4">
        <f>Games[[#This Row],[PreGmRate]]+Games[[#This Row],[RatingChange]]</f>
        <v>1566.3828169086535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38141</v>
      </c>
      <c r="B63" s="2">
        <v>2004</v>
      </c>
      <c r="C63" s="2">
        <f>COUNTIFS(Games[Team],Games[[#This Row],[Team]],Games[Season],Games[[#This Row],[Season]],Games[Date],"&lt;=" &amp; Games[[#This Row],[Date]])</f>
        <v>7</v>
      </c>
      <c r="D63" s="2" t="s">
        <v>23</v>
      </c>
      <c r="E63" s="2" t="s">
        <v>29</v>
      </c>
      <c r="F63" s="1" t="s">
        <v>2</v>
      </c>
      <c r="G63" s="1" t="s">
        <v>66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1535.7510250231389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1548.2330012526099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0.60149324082807309</v>
      </c>
      <c r="R63" s="1">
        <v>62</v>
      </c>
      <c r="S63" s="1">
        <v>71</v>
      </c>
      <c r="T63" s="1">
        <v>0</v>
      </c>
      <c r="U63" s="1">
        <f>Games[[#This Row],[PointsFor]]-Games[[#This Row],[PointsAgainst]]</f>
        <v>-9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0.40179222629903388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74.95</v>
      </c>
      <c r="Z63" s="4">
        <f>Games[[#This Row],[K]]*Games[[#This Row],[POMult]]</f>
        <v>74.95</v>
      </c>
      <c r="AA63" s="4">
        <f>(Games[[#This Row],[Keff]]*Games[[#This Row],[MOVMult]])*(Games[[#This Row],[Result]]-Games[[#This Row],[ExpectedWin%]])</f>
        <v>-18.113564359793127</v>
      </c>
      <c r="AB63" s="4">
        <f>Games[[#This Row],[PreGmRate]]+Games[[#This Row],[RatingChange]]</f>
        <v>1517.6374606633458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38141</v>
      </c>
      <c r="B64" s="2">
        <v>2004</v>
      </c>
      <c r="C64" s="2">
        <f>COUNTIFS(Games[Team],Games[[#This Row],[Team]],Games[Season],Games[[#This Row],[Season]],Games[Date],"&lt;=" &amp; Games[[#This Row],[Date]])</f>
        <v>6</v>
      </c>
      <c r="D64" s="2" t="s">
        <v>23</v>
      </c>
      <c r="E64" s="2" t="s">
        <v>29</v>
      </c>
      <c r="F64" s="1" t="s">
        <v>84</v>
      </c>
      <c r="G64" s="1" t="s">
        <v>77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4" s="2">
        <f>Games[[#This Row],[DaysOff]]-Games[[#This Row],[OppDaysOff]]</f>
        <v>-2</v>
      </c>
      <c r="L64" s="2">
        <f>Games[[#This Row],[OppDaysOff]]-Games[[#This Row],[DaysOff]]</f>
        <v>2</v>
      </c>
      <c r="M64" s="1">
        <f>MAX(-16, MIN(16, Games[[#This Row],[RestDiff]]*8))</f>
        <v>-16</v>
      </c>
      <c r="N64" s="1">
        <f>MAX(-16, MIN(16, Games[[#This Row],[OppRestDiff]]*8))</f>
        <v>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1461.2345509777776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1489.2003055625157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0.30391293130219232</v>
      </c>
      <c r="R64" s="1">
        <v>47</v>
      </c>
      <c r="S64" s="1">
        <v>55</v>
      </c>
      <c r="T64" s="1">
        <v>0</v>
      </c>
      <c r="U64" s="1">
        <f>Games[[#This Row],[PointsFor]]-Games[[#This Row],[PointsAgainst]]</f>
        <v>-8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0.37947201724789703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-8.66101662848323</v>
      </c>
      <c r="AB64" s="4">
        <f>Games[[#This Row],[PreGmRate]]+Games[[#This Row],[RatingChange]]</f>
        <v>1452.5735343492945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38141</v>
      </c>
      <c r="B65" s="2">
        <v>2004</v>
      </c>
      <c r="C65" s="2">
        <f>COUNTIFS(Games[Team],Games[[#This Row],[Team]],Games[Season],Games[[#This Row],[Season]],Games[Date],"&lt;=" &amp; Games[[#This Row],[Date]])</f>
        <v>6</v>
      </c>
      <c r="D65" s="2" t="s">
        <v>23</v>
      </c>
      <c r="E65" s="2" t="s">
        <v>29</v>
      </c>
      <c r="F65" s="1" t="s">
        <v>77</v>
      </c>
      <c r="G65" s="1" t="s">
        <v>84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2</v>
      </c>
      <c r="L65" s="2">
        <f>Games[[#This Row],[OppDaysOff]]-Games[[#This Row],[DaysOff]]</f>
        <v>-2</v>
      </c>
      <c r="M65" s="1">
        <f>MAX(-16, MIN(16, Games[[#This Row],[RestDiff]]*8))</f>
        <v>16</v>
      </c>
      <c r="N65" s="1">
        <f>MAX(-16, MIN(16, Games[[#This Row],[OppRestDiff]]*8))</f>
        <v>-16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1489.2003055625157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1461.2345509777776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0.69608706869780768</v>
      </c>
      <c r="R65" s="1">
        <v>55</v>
      </c>
      <c r="S65" s="1">
        <v>47</v>
      </c>
      <c r="T65" s="1">
        <v>0</v>
      </c>
      <c r="U65" s="1">
        <f>Games[[#This Row],[PointsFor]]-Games[[#This Row],[PointsAgainst]]</f>
        <v>8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0.37947201724789703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75.099999999999994</v>
      </c>
      <c r="Z65" s="4">
        <f>Games[[#This Row],[K]]*Games[[#This Row],[POMult]]</f>
        <v>75.099999999999994</v>
      </c>
      <c r="AA65" s="4">
        <f>(Games[[#This Row],[Keff]]*Games[[#This Row],[MOVMult]])*(Games[[#This Row],[Result]]-Games[[#This Row],[ExpectedWin%]])</f>
        <v>8.66101662848323</v>
      </c>
      <c r="AB65" s="4">
        <f>Games[[#This Row],[PreGmRate]]+Games[[#This Row],[RatingChange]]</f>
        <v>1497.8613221909989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38141</v>
      </c>
      <c r="B66" s="2">
        <v>2004</v>
      </c>
      <c r="C66" s="2">
        <f>COUNTIFS(Games[Team],Games[[#This Row],[Team]],Games[Season],Games[[#This Row],[Season]],Games[Date],"&lt;=" &amp; Games[[#This Row],[Date]])</f>
        <v>6</v>
      </c>
      <c r="D66" s="2" t="s">
        <v>23</v>
      </c>
      <c r="E66" s="2" t="s">
        <v>29</v>
      </c>
      <c r="F66" s="1" t="s">
        <v>70</v>
      </c>
      <c r="G66" s="1" t="s">
        <v>45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6" s="2">
        <f>Games[[#This Row],[DaysOff]]-Games[[#This Row],[OppDaysOff]]</f>
        <v>-2</v>
      </c>
      <c r="L66" s="2">
        <f>Games[[#This Row],[OppDaysOff]]-Games[[#This Row],[DaysOff]]</f>
        <v>2</v>
      </c>
      <c r="M66" s="1">
        <f>MAX(-16, MIN(16, Games[[#This Row],[RestDiff]]*8))</f>
        <v>-16</v>
      </c>
      <c r="N66" s="1">
        <f>MAX(-16, MIN(16, Games[[#This Row],[OppRestDiff]]*8))</f>
        <v>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1564.6964362910346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1499.0766110112281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0.42800102763141257</v>
      </c>
      <c r="R66" s="1">
        <v>51</v>
      </c>
      <c r="S66" s="1">
        <v>68</v>
      </c>
      <c r="T66" s="1">
        <v>0</v>
      </c>
      <c r="U66" s="1">
        <f>Games[[#This Row],[PointsFor]]-Games[[#This Row],[PointsAgainst]]</f>
        <v>-17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0.50483602590307119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-16.226882374177652</v>
      </c>
      <c r="AB66" s="4">
        <f>Games[[#This Row],[PreGmRate]]+Games[[#This Row],[RatingChange]]</f>
        <v>1548.469553916857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38141</v>
      </c>
      <c r="B67" s="2">
        <v>2004</v>
      </c>
      <c r="C67" s="2">
        <f>COUNTIFS(Games[Team],Games[[#This Row],[Team]],Games[Season],Games[[#This Row],[Season]],Games[Date],"&lt;=" &amp; Games[[#This Row],[Date]])</f>
        <v>5</v>
      </c>
      <c r="D67" s="2" t="s">
        <v>23</v>
      </c>
      <c r="E67" s="2" t="s">
        <v>29</v>
      </c>
      <c r="F67" s="1" t="s">
        <v>45</v>
      </c>
      <c r="G67" s="1" t="s">
        <v>70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2</v>
      </c>
      <c r="L67" s="2">
        <f>Games[[#This Row],[OppDaysOff]]-Games[[#This Row],[DaysOff]]</f>
        <v>-2</v>
      </c>
      <c r="M67" s="1">
        <f>MAX(-16, MIN(16, Games[[#This Row],[RestDiff]]*8))</f>
        <v>16</v>
      </c>
      <c r="N67" s="1">
        <f>MAX(-16, MIN(16, Games[[#This Row],[OppRestDiff]]*8))</f>
        <v>-16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1499.0766110112281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1564.6964362910346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0.57199897236858743</v>
      </c>
      <c r="R67" s="1">
        <v>68</v>
      </c>
      <c r="S67" s="1">
        <v>51</v>
      </c>
      <c r="T67" s="1">
        <v>0</v>
      </c>
      <c r="U67" s="1">
        <f>Games[[#This Row],[PointsFor]]-Games[[#This Row],[PointsAgainst]]</f>
        <v>17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0.50483602590307119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16.259292924858435</v>
      </c>
      <c r="AB67" s="4">
        <f>Games[[#This Row],[PreGmRate]]+Games[[#This Row],[RatingChange]]</f>
        <v>1515.3359039360867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38141</v>
      </c>
      <c r="B68" s="2">
        <v>2004</v>
      </c>
      <c r="C68" s="2">
        <f>COUNTIFS(Games[Team],Games[[#This Row],[Team]],Games[Season],Games[[#This Row],[Season]],Games[Date],"&lt;=" &amp; Games[[#This Row],[Date]])</f>
        <v>5</v>
      </c>
      <c r="D68" s="2" t="s">
        <v>23</v>
      </c>
      <c r="E68" s="2" t="s">
        <v>29</v>
      </c>
      <c r="F68" s="1" t="s">
        <v>44</v>
      </c>
      <c r="G68" s="1" t="s">
        <v>81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1472.1539319652468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1525.226122549321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0.31237248372115056</v>
      </c>
      <c r="R68" s="1">
        <v>45</v>
      </c>
      <c r="S68" s="1">
        <v>72</v>
      </c>
      <c r="T68" s="1">
        <v>0</v>
      </c>
      <c r="U68" s="1">
        <f>Games[[#This Row],[PointsFor]]-Games[[#This Row],[PointsAgainst]]</f>
        <v>-27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0.63843089489290217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-15.006975385231454</v>
      </c>
      <c r="AB68" s="4">
        <f>Games[[#This Row],[PreGmRate]]+Games[[#This Row],[RatingChange]]</f>
        <v>1457.1469565800153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38141</v>
      </c>
      <c r="B69" s="2">
        <v>2004</v>
      </c>
      <c r="C69" s="2">
        <f>COUNTIFS(Games[Team],Games[[#This Row],[Team]],Games[Season],Games[[#This Row],[Season]],Games[Date],"&lt;=" &amp; Games[[#This Row],[Date]])</f>
        <v>5</v>
      </c>
      <c r="D69" s="2" t="s">
        <v>23</v>
      </c>
      <c r="E69" s="2" t="s">
        <v>29</v>
      </c>
      <c r="F69" s="1" t="s">
        <v>81</v>
      </c>
      <c r="G69" s="1" t="s">
        <v>44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1525.226122549321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1472.1539319652468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0.68762751627884944</v>
      </c>
      <c r="R69" s="1">
        <v>72</v>
      </c>
      <c r="S69" s="1">
        <v>45</v>
      </c>
      <c r="T69" s="1">
        <v>0</v>
      </c>
      <c r="U69" s="1">
        <f>Games[[#This Row],[PointsFor]]-Games[[#This Row],[PointsAgainst]]</f>
        <v>27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0.63843089489290217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75.25</v>
      </c>
      <c r="Z69" s="4">
        <f>Games[[#This Row],[K]]*Games[[#This Row],[POMult]]</f>
        <v>75.25</v>
      </c>
      <c r="AA69" s="4">
        <f>(Games[[#This Row],[Keff]]*Games[[#This Row],[MOVMult]])*(Games[[#This Row],[Result]]-Games[[#This Row],[ExpectedWin%]])</f>
        <v>15.006975385231454</v>
      </c>
      <c r="AB69" s="4">
        <f>Games[[#This Row],[PreGmRate]]+Games[[#This Row],[RatingChange]]</f>
        <v>1540.2330979345525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38142</v>
      </c>
      <c r="B70" s="2">
        <v>2004</v>
      </c>
      <c r="C70" s="2">
        <f>COUNTIFS(Games[Team],Games[[#This Row],[Team]],Games[Season],Games[[#This Row],[Season]],Games[Date],"&lt;=" &amp; Games[[#This Row],[Date]])</f>
        <v>5</v>
      </c>
      <c r="D70" s="2" t="s">
        <v>23</v>
      </c>
      <c r="E70" s="2" t="s">
        <v>29</v>
      </c>
      <c r="F70" s="1" t="s">
        <v>86</v>
      </c>
      <c r="G70" s="1" t="s">
        <v>73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-1</v>
      </c>
      <c r="L70" s="2">
        <f>Games[[#This Row],[OppDaysOff]]-Games[[#This Row],[DaysOff]]</f>
        <v>1</v>
      </c>
      <c r="M70" s="1">
        <f>MAX(-16, MIN(16, Games[[#This Row],[RestDiff]]*8))</f>
        <v>-8</v>
      </c>
      <c r="N70" s="1">
        <f>MAX(-16, MIN(16, Games[[#This Row],[OppRestDiff]]*8))</f>
        <v>8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1495.2148053477449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1426.6996089118068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0.4548133499335138</v>
      </c>
      <c r="R70" s="1">
        <v>72</v>
      </c>
      <c r="S70" s="1">
        <v>63</v>
      </c>
      <c r="T70" s="1">
        <v>0</v>
      </c>
      <c r="U70" s="1">
        <f>Games[[#This Row],[PointsFor]]-Games[[#This Row],[PointsAgainst]]</f>
        <v>9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0.384044143850581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75.25</v>
      </c>
      <c r="Z70" s="4">
        <f>Games[[#This Row],[K]]*Games[[#This Row],[POMult]]</f>
        <v>75.25</v>
      </c>
      <c r="AA70" s="4">
        <f>(Games[[#This Row],[Keff]]*Games[[#This Row],[MOVMult]])*(Games[[#This Row],[Result]]-Games[[#This Row],[ExpectedWin%]])</f>
        <v>15.755524454832136</v>
      </c>
      <c r="AB70" s="4">
        <f>Games[[#This Row],[PreGmRate]]+Games[[#This Row],[RatingChange]]</f>
        <v>1510.970329802577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38142</v>
      </c>
      <c r="B71" s="2">
        <v>2004</v>
      </c>
      <c r="C71" s="2">
        <f>COUNTIFS(Games[Team],Games[[#This Row],[Team]],Games[Season],Games[[#This Row],[Season]],Games[Date],"&lt;=" &amp; Games[[#This Row],[Date]])</f>
        <v>6</v>
      </c>
      <c r="D71" s="2" t="s">
        <v>23</v>
      </c>
      <c r="E71" s="2" t="s">
        <v>29</v>
      </c>
      <c r="F71" s="1" t="s">
        <v>73</v>
      </c>
      <c r="G71" s="1" t="s">
        <v>86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1" s="2">
        <f>Games[[#This Row],[DaysOff]]-Games[[#This Row],[OppDaysOff]]</f>
        <v>1</v>
      </c>
      <c r="L71" s="2">
        <f>Games[[#This Row],[OppDaysOff]]-Games[[#This Row],[DaysOff]]</f>
        <v>-1</v>
      </c>
      <c r="M71" s="1">
        <f>MAX(-16, MIN(16, Games[[#This Row],[RestDiff]]*8))</f>
        <v>8</v>
      </c>
      <c r="N71" s="1">
        <f>MAX(-16, MIN(16, Games[[#This Row],[OppRestDiff]]*8))</f>
        <v>-8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1426.6996089118068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1495.2148053477449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0.54518665006648614</v>
      </c>
      <c r="R71" s="1">
        <v>63</v>
      </c>
      <c r="S71" s="1">
        <v>72</v>
      </c>
      <c r="T71" s="1">
        <v>0</v>
      </c>
      <c r="U71" s="1">
        <f>Games[[#This Row],[PointsFor]]-Games[[#This Row],[PointsAgainst]]</f>
        <v>-9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0.384044143850581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-15.724118093792601</v>
      </c>
      <c r="AB71" s="4">
        <f>Games[[#This Row],[PreGmRate]]+Games[[#This Row],[RatingChange]]</f>
        <v>1410.9754908180141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38143</v>
      </c>
      <c r="B72" s="2">
        <v>2004</v>
      </c>
      <c r="C72" s="2">
        <f>COUNTIFS(Games[Team],Games[[#This Row],[Team]],Games[Season],Games[[#This Row],[Season]],Games[Date],"&lt;=" &amp; Games[[#This Row],[Date]])</f>
        <v>7</v>
      </c>
      <c r="D72" s="2" t="s">
        <v>23</v>
      </c>
      <c r="E72" s="2" t="s">
        <v>29</v>
      </c>
      <c r="F72" s="1" t="s">
        <v>70</v>
      </c>
      <c r="G72" s="1" t="s">
        <v>2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1548.469553916857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1517.6374606633458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0.42407696457026967</v>
      </c>
      <c r="R72" s="1">
        <v>71</v>
      </c>
      <c r="S72" s="1">
        <v>75</v>
      </c>
      <c r="T72" s="1">
        <v>0</v>
      </c>
      <c r="U72" s="1">
        <f>Games[[#This Row],[PointsFor]]-Games[[#This Row],[PointsAgainst]]</f>
        <v>-4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0.30363140832376823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-9.6507932949609732</v>
      </c>
      <c r="AB72" s="4">
        <f>Games[[#This Row],[PreGmRate]]+Games[[#This Row],[RatingChange]]</f>
        <v>1538.818760621896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38143</v>
      </c>
      <c r="B73" s="2">
        <v>2004</v>
      </c>
      <c r="C73" s="2">
        <f>COUNTIFS(Games[Team],Games[[#This Row],[Team]],Games[Season],Games[[#This Row],[Season]],Games[Date],"&lt;=" &amp; Games[[#This Row],[Date]])</f>
        <v>8</v>
      </c>
      <c r="D73" s="2" t="s">
        <v>23</v>
      </c>
      <c r="E73" s="2" t="s">
        <v>29</v>
      </c>
      <c r="F73" s="1" t="s">
        <v>2</v>
      </c>
      <c r="G73" s="1" t="s">
        <v>70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1517.6374606633458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1548.469553916857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0.57592303542973033</v>
      </c>
      <c r="R73" s="1">
        <v>75</v>
      </c>
      <c r="S73" s="1">
        <v>71</v>
      </c>
      <c r="T73" s="1">
        <v>0</v>
      </c>
      <c r="U73" s="1">
        <f>Games[[#This Row],[PointsFor]]-Games[[#This Row],[PointsAgainst]]</f>
        <v>4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0.30363140832376823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74.8</v>
      </c>
      <c r="Z73" s="4">
        <f>Games[[#This Row],[K]]*Games[[#This Row],[POMult]]</f>
        <v>74.8</v>
      </c>
      <c r="AA73" s="4">
        <f>(Games[[#This Row],[Keff]]*Games[[#This Row],[MOVMult]])*(Games[[#This Row],[Result]]-Games[[#This Row],[ExpectedWin%]])</f>
        <v>9.6314788320624523</v>
      </c>
      <c r="AB73" s="4">
        <f>Games[[#This Row],[PreGmRate]]+Games[[#This Row],[RatingChange]]</f>
        <v>1527.2689394954082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38143</v>
      </c>
      <c r="B74" s="2">
        <v>2004</v>
      </c>
      <c r="C74" s="2">
        <f>COUNTIFS(Games[Team],Games[[#This Row],[Team]],Games[Season],Games[[#This Row],[Season]],Games[Date],"&lt;=" &amp; Games[[#This Row],[Date]])</f>
        <v>6</v>
      </c>
      <c r="D74" s="2" t="s">
        <v>23</v>
      </c>
      <c r="E74" s="2" t="s">
        <v>29</v>
      </c>
      <c r="F74" s="1" t="s">
        <v>64</v>
      </c>
      <c r="G74" s="1" t="s">
        <v>79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4" s="2">
        <f>Games[[#This Row],[DaysOff]]-Games[[#This Row],[OppDaysOff]]</f>
        <v>-2</v>
      </c>
      <c r="L74" s="2">
        <f>Games[[#This Row],[OppDaysOff]]-Games[[#This Row],[DaysOff]]</f>
        <v>2</v>
      </c>
      <c r="M74" s="1">
        <f>MAX(-16, MIN(16, Games[[#This Row],[RestDiff]]*8))</f>
        <v>-16</v>
      </c>
      <c r="N74" s="1">
        <f>MAX(-16, MIN(16, Games[[#This Row],[OppRestDiff]]*8))</f>
        <v>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1472.4831193086056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1489.6410255876738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0.31723269994035275</v>
      </c>
      <c r="R74" s="1">
        <v>57</v>
      </c>
      <c r="S74" s="1">
        <v>70</v>
      </c>
      <c r="T74" s="1">
        <v>0</v>
      </c>
      <c r="U74" s="1">
        <f>Games[[#This Row],[PointsFor]]-Games[[#This Row],[PointsAgainst]]</f>
        <v>-13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0.46538949782499767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-11.08752119561006</v>
      </c>
      <c r="AB74" s="4">
        <f>Games[[#This Row],[PreGmRate]]+Games[[#This Row],[RatingChange]]</f>
        <v>1461.3955981129957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38143</v>
      </c>
      <c r="B75" s="2">
        <v>2004</v>
      </c>
      <c r="C75" s="2">
        <f>COUNTIFS(Games[Team],Games[[#This Row],[Team]],Games[Season],Games[[#This Row],[Season]],Games[Date],"&lt;=" &amp; Games[[#This Row],[Date]])</f>
        <v>5</v>
      </c>
      <c r="D75" s="2" t="s">
        <v>23</v>
      </c>
      <c r="E75" s="2" t="s">
        <v>29</v>
      </c>
      <c r="F75" s="1" t="s">
        <v>79</v>
      </c>
      <c r="G75" s="1" t="s">
        <v>64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2</v>
      </c>
      <c r="L75" s="2">
        <f>Games[[#This Row],[OppDaysOff]]-Games[[#This Row],[DaysOff]]</f>
        <v>-2</v>
      </c>
      <c r="M75" s="1">
        <f>MAX(-16, MIN(16, Games[[#This Row],[RestDiff]]*8))</f>
        <v>16</v>
      </c>
      <c r="N75" s="1">
        <f>MAX(-16, MIN(16, Games[[#This Row],[OppRestDiff]]*8))</f>
        <v>-16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1489.6410255876738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1472.4831193086056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0.68276730005964725</v>
      </c>
      <c r="R75" s="1">
        <v>70</v>
      </c>
      <c r="S75" s="1">
        <v>57</v>
      </c>
      <c r="T75" s="1">
        <v>0</v>
      </c>
      <c r="U75" s="1">
        <f>Games[[#This Row],[PointsFor]]-Games[[#This Row],[PointsAgainst]]</f>
        <v>13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0.46538949782499767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75.25</v>
      </c>
      <c r="Z75" s="4">
        <f>Games[[#This Row],[K]]*Games[[#This Row],[POMult]]</f>
        <v>75.25</v>
      </c>
      <c r="AA75" s="4">
        <f>(Games[[#This Row],[Keff]]*Games[[#This Row],[MOVMult]])*(Games[[#This Row],[Result]]-Games[[#This Row],[ExpectedWin%]])</f>
        <v>11.109666710647897</v>
      </c>
      <c r="AB75" s="4">
        <f>Games[[#This Row],[PreGmRate]]+Games[[#This Row],[RatingChange]]</f>
        <v>1500.7506922983216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38143</v>
      </c>
      <c r="B76" s="2">
        <v>2004</v>
      </c>
      <c r="C76" s="2">
        <f>COUNTIFS(Games[Team],Games[[#This Row],[Team]],Games[Season],Games[[#This Row],[Season]],Games[Date],"&lt;=" &amp; Games[[#This Row],[Date]])</f>
        <v>6</v>
      </c>
      <c r="D76" s="2" t="s">
        <v>23</v>
      </c>
      <c r="E76" s="2" t="s">
        <v>29</v>
      </c>
      <c r="F76" s="1" t="s">
        <v>44</v>
      </c>
      <c r="G76" s="1" t="s">
        <v>77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1457.1469565800153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1497.8613221909989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0.32785258826097929</v>
      </c>
      <c r="R76" s="1">
        <v>68</v>
      </c>
      <c r="S76" s="1">
        <v>76</v>
      </c>
      <c r="T76" s="1">
        <v>0</v>
      </c>
      <c r="U76" s="1">
        <f>Games[[#This Row],[PointsFor]]-Games[[#This Row],[PointsAgainst]]</f>
        <v>-8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0.37557285941002039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-9.24725330626522</v>
      </c>
      <c r="AB76" s="4">
        <f>Games[[#This Row],[PreGmRate]]+Games[[#This Row],[RatingChange]]</f>
        <v>1447.89970327375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38143</v>
      </c>
      <c r="B77" s="2">
        <v>2004</v>
      </c>
      <c r="C77" s="2">
        <f>COUNTIFS(Games[Team],Games[[#This Row],[Team]],Games[Season],Games[[#This Row],[Season]],Games[Date],"&lt;=" &amp; Games[[#This Row],[Date]])</f>
        <v>7</v>
      </c>
      <c r="D77" s="2" t="s">
        <v>23</v>
      </c>
      <c r="E77" s="2" t="s">
        <v>29</v>
      </c>
      <c r="F77" s="1" t="s">
        <v>77</v>
      </c>
      <c r="G77" s="1" t="s">
        <v>44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1497.8613221909989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1457.1469565800153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0.67214741173902071</v>
      </c>
      <c r="R77" s="1">
        <v>76</v>
      </c>
      <c r="S77" s="1">
        <v>68</v>
      </c>
      <c r="T77" s="1">
        <v>0</v>
      </c>
      <c r="U77" s="1">
        <f>Games[[#This Row],[PointsFor]]-Games[[#This Row],[PointsAgainst]]</f>
        <v>8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0.37557285941002039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9.2287834261594988</v>
      </c>
      <c r="AB77" s="4">
        <f>Games[[#This Row],[PreGmRate]]+Games[[#This Row],[RatingChange]]</f>
        <v>1507.0901056171583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38143</v>
      </c>
      <c r="B78" s="2">
        <v>2004</v>
      </c>
      <c r="C78" s="2">
        <f>COUNTIFS(Games[Team],Games[[#This Row],[Team]],Games[Season],Games[[#This Row],[Season]],Games[Date],"&lt;=" &amp; Games[[#This Row],[Date]])</f>
        <v>6</v>
      </c>
      <c r="D78" s="2" t="s">
        <v>23</v>
      </c>
      <c r="E78" s="2" t="s">
        <v>29</v>
      </c>
      <c r="F78" s="1" t="s">
        <v>81</v>
      </c>
      <c r="G78" s="1" t="s">
        <v>45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1540.2330979345525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1515.3359039360867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0.41575528439302556</v>
      </c>
      <c r="R78" s="1">
        <v>65</v>
      </c>
      <c r="S78" s="1">
        <v>63</v>
      </c>
      <c r="T78" s="1">
        <v>0</v>
      </c>
      <c r="U78" s="1">
        <f>Games[[#This Row],[PointsFor]]-Games[[#This Row],[PointsAgainst]]</f>
        <v>2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0.26239719263493261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75.099999999999994</v>
      </c>
      <c r="Z78" s="4">
        <f>Games[[#This Row],[K]]*Games[[#This Row],[POMult]]</f>
        <v>75.099999999999994</v>
      </c>
      <c r="AA78" s="4">
        <f>(Games[[#This Row],[Keff]]*Games[[#This Row],[MOVMult]])*(Games[[#This Row],[Result]]-Games[[#This Row],[ExpectedWin%]])</f>
        <v>11.513143406348556</v>
      </c>
      <c r="AB78" s="4">
        <f>Games[[#This Row],[PreGmRate]]+Games[[#This Row],[RatingChange]]</f>
        <v>1551.746241340901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38143</v>
      </c>
      <c r="B79" s="2">
        <v>2004</v>
      </c>
      <c r="C79" s="2">
        <f>COUNTIFS(Games[Team],Games[[#This Row],[Team]],Games[Season],Games[[#This Row],[Season]],Games[Date],"&lt;=" &amp; Games[[#This Row],[Date]])</f>
        <v>6</v>
      </c>
      <c r="D79" s="2" t="s">
        <v>23</v>
      </c>
      <c r="E79" s="2" t="s">
        <v>29</v>
      </c>
      <c r="F79" s="1" t="s">
        <v>45</v>
      </c>
      <c r="G79" s="1" t="s">
        <v>81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1515.3359039360867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1540.2330979345525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0.58424471560697455</v>
      </c>
      <c r="R79" s="1">
        <v>63</v>
      </c>
      <c r="S79" s="1">
        <v>65</v>
      </c>
      <c r="T79" s="1">
        <v>0</v>
      </c>
      <c r="U79" s="1">
        <f>Games[[#This Row],[PointsFor]]-Games[[#This Row],[PointsAgainst]]</f>
        <v>-2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0.26239719263493261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-11.51314340634856</v>
      </c>
      <c r="AB79" s="4">
        <f>Games[[#This Row],[PreGmRate]]+Games[[#This Row],[RatingChange]]</f>
        <v>1503.8227605297382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38143</v>
      </c>
      <c r="B80" s="2">
        <v>2004</v>
      </c>
      <c r="C80" s="2">
        <f>COUNTIFS(Games[Team],Games[[#This Row],[Team]],Games[Season],Games[[#This Row],[Season]],Games[Date],"&lt;=" &amp; Games[[#This Row],[Date]])</f>
        <v>7</v>
      </c>
      <c r="D80" s="2" t="s">
        <v>23</v>
      </c>
      <c r="E80" s="2" t="s">
        <v>29</v>
      </c>
      <c r="F80" s="1" t="s">
        <v>66</v>
      </c>
      <c r="G80" s="1" t="s">
        <v>84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1566.3828169086535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1452.5735343492945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0.5427940509303435</v>
      </c>
      <c r="R80" s="1">
        <v>62</v>
      </c>
      <c r="S80" s="1">
        <v>57</v>
      </c>
      <c r="T80" s="1">
        <v>0</v>
      </c>
      <c r="U80" s="1">
        <f>Games[[#This Row],[PointsFor]]-Games[[#This Row],[PointsAgainst]]</f>
        <v>5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0.30301747433079995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10.38367732561097</v>
      </c>
      <c r="AB80" s="4">
        <f>Games[[#This Row],[PreGmRate]]+Games[[#This Row],[RatingChange]]</f>
        <v>1576.7664942342644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38143</v>
      </c>
      <c r="B81" s="2">
        <v>2004</v>
      </c>
      <c r="C81" s="2">
        <f>COUNTIFS(Games[Team],Games[[#This Row],[Team]],Games[Season],Games[[#This Row],[Season]],Games[Date],"&lt;=" &amp; Games[[#This Row],[Date]])</f>
        <v>7</v>
      </c>
      <c r="D81" s="2" t="s">
        <v>23</v>
      </c>
      <c r="E81" s="2" t="s">
        <v>29</v>
      </c>
      <c r="F81" s="1" t="s">
        <v>84</v>
      </c>
      <c r="G81" s="1" t="s">
        <v>66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1452.5735343492945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1566.3828169086535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0.45720594906965656</v>
      </c>
      <c r="R81" s="1">
        <v>57</v>
      </c>
      <c r="S81" s="1">
        <v>62</v>
      </c>
      <c r="T81" s="1">
        <v>0</v>
      </c>
      <c r="U81" s="1">
        <f>Games[[#This Row],[PointsFor]]-Games[[#This Row],[PointsAgainst]]</f>
        <v>-5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0.30301747433079995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74.95</v>
      </c>
      <c r="Z81" s="4">
        <f>Games[[#This Row],[K]]*Games[[#This Row],[POMult]]</f>
        <v>74.95</v>
      </c>
      <c r="AA81" s="4">
        <f>(Games[[#This Row],[Keff]]*Games[[#This Row],[MOVMult]])*(Games[[#This Row],[Result]]-Games[[#This Row],[ExpectedWin%]])</f>
        <v>-10.383677325610972</v>
      </c>
      <c r="AB81" s="4">
        <f>Games[[#This Row],[PreGmRate]]+Games[[#This Row],[RatingChange]]</f>
        <v>1442.1898570236835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38144</v>
      </c>
      <c r="B82" s="2">
        <v>2004</v>
      </c>
      <c r="C82" s="2">
        <f>COUNTIFS(Games[Team],Games[[#This Row],[Team]],Games[Season],Games[[#This Row],[Season]],Games[Date],"&lt;=" &amp; Games[[#This Row],[Date]])</f>
        <v>5</v>
      </c>
      <c r="D82" s="2" t="s">
        <v>23</v>
      </c>
      <c r="E82" s="2" t="s">
        <v>29</v>
      </c>
      <c r="F82" s="1" t="s">
        <v>75</v>
      </c>
      <c r="G82" s="1" t="s">
        <v>86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2</v>
      </c>
      <c r="L82" s="2">
        <f>Games[[#This Row],[OppDaysOff]]-Games[[#This Row],[DaysOff]]</f>
        <v>-2</v>
      </c>
      <c r="M82" s="1">
        <f>MAX(-16, MIN(16, Games[[#This Row],[RestDiff]]*8))</f>
        <v>16</v>
      </c>
      <c r="N82" s="1">
        <f>MAX(-16, MIN(16, Games[[#This Row],[OppRestDiff]]*8))</f>
        <v>-16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1539.3098577087212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1510.970329802577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0.46600238367577612</v>
      </c>
      <c r="R82" s="1">
        <v>74</v>
      </c>
      <c r="S82" s="1">
        <v>73</v>
      </c>
      <c r="T82" s="1">
        <v>0</v>
      </c>
      <c r="U82" s="1">
        <f>Games[[#This Row],[PointsFor]]-Games[[#This Row],[PointsAgainst]]</f>
        <v>1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0.23854610105874655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75.25</v>
      </c>
      <c r="Z82" s="4">
        <f>Games[[#This Row],[K]]*Games[[#This Row],[POMult]]</f>
        <v>75.25</v>
      </c>
      <c r="AA82" s="4">
        <f>(Games[[#This Row],[Keff]]*Games[[#This Row],[MOVMult]])*(Games[[#This Row],[Result]]-Games[[#This Row],[ExpectedWin%]])</f>
        <v>9.5855744634978084</v>
      </c>
      <c r="AB82" s="4">
        <f>Games[[#This Row],[PreGmRate]]+Games[[#This Row],[RatingChange]]</f>
        <v>1548.895432172219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38144</v>
      </c>
      <c r="B83" s="2">
        <v>2004</v>
      </c>
      <c r="C83" s="2">
        <f>COUNTIFS(Games[Team],Games[[#This Row],[Team]],Games[Season],Games[[#This Row],[Season]],Games[Date],"&lt;=" &amp; Games[[#This Row],[Date]])</f>
        <v>6</v>
      </c>
      <c r="D83" s="2" t="s">
        <v>23</v>
      </c>
      <c r="E83" s="2" t="s">
        <v>29</v>
      </c>
      <c r="F83" s="1" t="s">
        <v>86</v>
      </c>
      <c r="G83" s="1" t="s">
        <v>75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3" s="2">
        <f>Games[[#This Row],[DaysOff]]-Games[[#This Row],[OppDaysOff]]</f>
        <v>-2</v>
      </c>
      <c r="L83" s="2">
        <f>Games[[#This Row],[OppDaysOff]]-Games[[#This Row],[DaysOff]]</f>
        <v>2</v>
      </c>
      <c r="M83" s="1">
        <f>MAX(-16, MIN(16, Games[[#This Row],[RestDiff]]*8))</f>
        <v>-16</v>
      </c>
      <c r="N83" s="1">
        <f>MAX(-16, MIN(16, Games[[#This Row],[OppRestDiff]]*8))</f>
        <v>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1510.970329802577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1539.3098577087212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0.53399761632422393</v>
      </c>
      <c r="R83" s="1">
        <v>73</v>
      </c>
      <c r="S83" s="1">
        <v>74</v>
      </c>
      <c r="T83" s="1">
        <v>0</v>
      </c>
      <c r="U83" s="1">
        <f>Games[[#This Row],[PointsFor]]-Games[[#This Row],[PointsAgainst]]</f>
        <v>-1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0.23854610105874655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75.099999999999994</v>
      </c>
      <c r="Z83" s="4">
        <f>Games[[#This Row],[K]]*Games[[#This Row],[POMult]]</f>
        <v>75.099999999999994</v>
      </c>
      <c r="AA83" s="4">
        <f>(Games[[#This Row],[Keff]]*Games[[#This Row],[MOVMult]])*(Games[[#This Row],[Result]]-Games[[#This Row],[ExpectedWin%]])</f>
        <v>-9.5664670060954862</v>
      </c>
      <c r="AB83" s="4">
        <f>Games[[#This Row],[PreGmRate]]+Games[[#This Row],[RatingChange]]</f>
        <v>1501.4038627964815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38147</v>
      </c>
      <c r="B84" s="2">
        <v>2004</v>
      </c>
      <c r="C84" s="2">
        <f>COUNTIFS(Games[Team],Games[[#This Row],[Team]],Games[Season],Games[[#This Row],[Season]],Games[Date],"&lt;=" &amp; Games[[#This Row],[Date]])</f>
        <v>8</v>
      </c>
      <c r="D84" s="2" t="s">
        <v>23</v>
      </c>
      <c r="E84" s="2" t="s">
        <v>29</v>
      </c>
      <c r="F84" s="1" t="s">
        <v>84</v>
      </c>
      <c r="G84" s="1" t="s">
        <v>2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1442.1898570236835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1527.2689394954082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0.27422374117381165</v>
      </c>
      <c r="R84" s="1">
        <v>47</v>
      </c>
      <c r="S84" s="1">
        <v>59</v>
      </c>
      <c r="T84" s="1">
        <v>0</v>
      </c>
      <c r="U84" s="1">
        <f>Games[[#This Row],[PointsFor]]-Games[[#This Row],[PointsAgainst]]</f>
        <v>-12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0.42593124357690437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74.8</v>
      </c>
      <c r="Z84" s="4">
        <f>Games[[#This Row],[K]]*Games[[#This Row],[POMult]]</f>
        <v>74.8</v>
      </c>
      <c r="AA84" s="4">
        <f>(Games[[#This Row],[Keff]]*Games[[#This Row],[MOVMult]])*(Games[[#This Row],[Result]]-Games[[#This Row],[ExpectedWin%]])</f>
        <v>-8.7366743404161618</v>
      </c>
      <c r="AB84" s="4">
        <f>Games[[#This Row],[PreGmRate]]+Games[[#This Row],[RatingChange]]</f>
        <v>1433.4531826832674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38147</v>
      </c>
      <c r="B85" s="2">
        <v>2004</v>
      </c>
      <c r="C85" s="2">
        <f>COUNTIFS(Games[Team],Games[[#This Row],[Team]],Games[Season],Games[[#This Row],[Season]],Games[Date],"&lt;=" &amp; Games[[#This Row],[Date]])</f>
        <v>9</v>
      </c>
      <c r="D85" s="2" t="s">
        <v>23</v>
      </c>
      <c r="E85" s="2" t="s">
        <v>29</v>
      </c>
      <c r="F85" s="1" t="s">
        <v>2</v>
      </c>
      <c r="G85" s="1" t="s">
        <v>84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1527.2689394954082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1442.1898570236835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0.72577625882618835</v>
      </c>
      <c r="R85" s="1">
        <v>59</v>
      </c>
      <c r="S85" s="1">
        <v>47</v>
      </c>
      <c r="T85" s="1">
        <v>0</v>
      </c>
      <c r="U85" s="1">
        <f>Games[[#This Row],[PointsFor]]-Games[[#This Row],[PointsAgainst]]</f>
        <v>12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0.42593124357690437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74.650000000000006</v>
      </c>
      <c r="Z85" s="4">
        <f>Games[[#This Row],[K]]*Games[[#This Row],[POMult]]</f>
        <v>74.650000000000006</v>
      </c>
      <c r="AA85" s="4">
        <f>(Games[[#This Row],[Keff]]*Games[[#This Row],[MOVMult]])*(Games[[#This Row],[Result]]-Games[[#This Row],[ExpectedWin%]])</f>
        <v>8.719154271551691</v>
      </c>
      <c r="AB85" s="4">
        <f>Games[[#This Row],[PreGmRate]]+Games[[#This Row],[RatingChange]]</f>
        <v>1535.9880937669598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38147</v>
      </c>
      <c r="B86" s="2">
        <v>2004</v>
      </c>
      <c r="C86" s="2">
        <f>COUNTIFS(Games[Team],Games[[#This Row],[Team]],Games[Season],Games[[#This Row],[Season]],Games[Date],"&lt;=" &amp; Games[[#This Row],[Date]])</f>
        <v>6</v>
      </c>
      <c r="D86" s="2" t="s">
        <v>23</v>
      </c>
      <c r="E86" s="2" t="s">
        <v>29</v>
      </c>
      <c r="F86" s="1" t="s">
        <v>75</v>
      </c>
      <c r="G86" s="1" t="s">
        <v>79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6" s="2">
        <f>Games[[#This Row],[DaysOff]]-Games[[#This Row],[OppDaysOff]]</f>
        <v>-1</v>
      </c>
      <c r="L86" s="2">
        <f>Games[[#This Row],[OppDaysOff]]-Games[[#This Row],[DaysOff]]</f>
        <v>1</v>
      </c>
      <c r="M86" s="1">
        <f>MAX(-16, MIN(16, Games[[#This Row],[RestDiff]]*8))</f>
        <v>-8</v>
      </c>
      <c r="N86" s="1">
        <f>MAX(-16, MIN(16, Games[[#This Row],[OppRestDiff]]*8))</f>
        <v>8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1548.895432172219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1500.7506922983216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0.42592350919922273</v>
      </c>
      <c r="R86" s="1">
        <v>83</v>
      </c>
      <c r="S86" s="1">
        <v>79</v>
      </c>
      <c r="T86" s="1">
        <v>0</v>
      </c>
      <c r="U86" s="1">
        <f>Games[[#This Row],[PointsFor]]-Games[[#This Row],[PointsAgainst]]</f>
        <v>4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0.29941982684028523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75.099999999999994</v>
      </c>
      <c r="Z86" s="4">
        <f>Games[[#This Row],[K]]*Games[[#This Row],[POMult]]</f>
        <v>75.099999999999994</v>
      </c>
      <c r="AA86" s="4">
        <f>(Games[[#This Row],[Keff]]*Games[[#This Row],[MOVMult]])*(Games[[#This Row],[Result]]-Games[[#This Row],[ExpectedWin%]])</f>
        <v>12.908930248495414</v>
      </c>
      <c r="AB86" s="4">
        <f>Games[[#This Row],[PreGmRate]]+Games[[#This Row],[RatingChange]]</f>
        <v>1561.8043624207144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38147</v>
      </c>
      <c r="B87" s="2">
        <v>2004</v>
      </c>
      <c r="C87" s="2">
        <f>COUNTIFS(Games[Team],Games[[#This Row],[Team]],Games[Season],Games[[#This Row],[Season]],Games[Date],"&lt;=" &amp; Games[[#This Row],[Date]])</f>
        <v>6</v>
      </c>
      <c r="D87" s="2" t="s">
        <v>23</v>
      </c>
      <c r="E87" s="2" t="s">
        <v>29</v>
      </c>
      <c r="F87" s="1" t="s">
        <v>79</v>
      </c>
      <c r="G87" s="1" t="s">
        <v>75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1</v>
      </c>
      <c r="L87" s="2">
        <f>Games[[#This Row],[OppDaysOff]]-Games[[#This Row],[DaysOff]]</f>
        <v>-1</v>
      </c>
      <c r="M87" s="1">
        <f>MAX(-16, MIN(16, Games[[#This Row],[RestDiff]]*8))</f>
        <v>8</v>
      </c>
      <c r="N87" s="1">
        <f>MAX(-16, MIN(16, Games[[#This Row],[OppRestDiff]]*8))</f>
        <v>-8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1500.7506922983216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1548.895432172219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0.57407649080077727</v>
      </c>
      <c r="R87" s="1">
        <v>79</v>
      </c>
      <c r="S87" s="1">
        <v>83</v>
      </c>
      <c r="T87" s="1">
        <v>0</v>
      </c>
      <c r="U87" s="1">
        <f>Games[[#This Row],[PointsFor]]-Games[[#This Row],[PointsAgainst]]</f>
        <v>-4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0.29941982684028523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75.099999999999994</v>
      </c>
      <c r="Z87" s="4">
        <f>Games[[#This Row],[K]]*Games[[#This Row],[POMult]]</f>
        <v>75.099999999999994</v>
      </c>
      <c r="AA87" s="4">
        <f>(Games[[#This Row],[Keff]]*Games[[#This Row],[MOVMult]])*(Games[[#This Row],[Result]]-Games[[#This Row],[ExpectedWin%]])</f>
        <v>-12.908930248495414</v>
      </c>
      <c r="AB87" s="4">
        <f>Games[[#This Row],[PreGmRate]]+Games[[#This Row],[RatingChange]]</f>
        <v>1487.8417620498262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38147</v>
      </c>
      <c r="B88" s="2">
        <v>2004</v>
      </c>
      <c r="C88" s="2">
        <f>COUNTIFS(Games[Team],Games[[#This Row],[Team]],Games[Season],Games[[#This Row],[Season]],Games[Date],"&lt;=" &amp; Games[[#This Row],[Date]])</f>
        <v>7</v>
      </c>
      <c r="D88" s="2" t="s">
        <v>23</v>
      </c>
      <c r="E88" s="2" t="s">
        <v>29</v>
      </c>
      <c r="F88" s="1" t="s">
        <v>64</v>
      </c>
      <c r="G88" s="1" t="s">
        <v>70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3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1461.3955981129957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1538.818760621896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0.28308168364339736</v>
      </c>
      <c r="R88" s="1">
        <v>68</v>
      </c>
      <c r="S88" s="1">
        <v>82</v>
      </c>
      <c r="T88" s="1">
        <v>0</v>
      </c>
      <c r="U88" s="1">
        <f>Games[[#This Row],[PointsFor]]-Games[[#This Row],[PointsAgainst]]</f>
        <v>-14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0.45805473191178703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-9.7185345080455061</v>
      </c>
      <c r="AB88" s="4">
        <f>Games[[#This Row],[PreGmRate]]+Games[[#This Row],[RatingChange]]</f>
        <v>1451.6770636049503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38147</v>
      </c>
      <c r="B89" s="2">
        <v>2004</v>
      </c>
      <c r="C89" s="2">
        <f>COUNTIFS(Games[Team],Games[[#This Row],[Team]],Games[Season],Games[[#This Row],[Season]],Games[Date],"&lt;=" &amp; Games[[#This Row],[Date]])</f>
        <v>8</v>
      </c>
      <c r="D89" s="2" t="s">
        <v>23</v>
      </c>
      <c r="E89" s="2" t="s">
        <v>29</v>
      </c>
      <c r="F89" s="1" t="s">
        <v>70</v>
      </c>
      <c r="G89" s="1" t="s">
        <v>64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1538.818760621896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1461.3955981129957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0.71691831635660264</v>
      </c>
      <c r="R89" s="1">
        <v>82</v>
      </c>
      <c r="S89" s="1">
        <v>68</v>
      </c>
      <c r="T89" s="1">
        <v>0</v>
      </c>
      <c r="U89" s="1">
        <f>Games[[#This Row],[PointsFor]]-Games[[#This Row],[PointsAgainst]]</f>
        <v>14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0.45805473191178703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9.6990844723389422</v>
      </c>
      <c r="AB89" s="4">
        <f>Games[[#This Row],[PreGmRate]]+Games[[#This Row],[RatingChange]]</f>
        <v>1548.5178450942349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38147</v>
      </c>
      <c r="B90" s="2">
        <v>2004</v>
      </c>
      <c r="C90" s="2">
        <f>COUNTIFS(Games[Team],Games[[#This Row],[Team]],Games[Season],Games[[#This Row],[Season]],Games[Date],"&lt;=" &amp; Games[[#This Row],[Date]])</f>
        <v>7</v>
      </c>
      <c r="D90" s="2" t="s">
        <v>23</v>
      </c>
      <c r="E90" s="2" t="s">
        <v>29</v>
      </c>
      <c r="F90" s="1" t="s">
        <v>86</v>
      </c>
      <c r="G90" s="1" t="s">
        <v>44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1501.4038627964815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1447.89970327375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0.43348372104798583</v>
      </c>
      <c r="R90" s="1">
        <v>59</v>
      </c>
      <c r="S90" s="1">
        <v>75</v>
      </c>
      <c r="T90" s="1">
        <v>0</v>
      </c>
      <c r="U90" s="1">
        <f>Games[[#This Row],[PointsFor]]-Games[[#This Row],[PointsAgainst]]</f>
        <v>-16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0.49568502347263782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-16.10461056377866</v>
      </c>
      <c r="AB90" s="4">
        <f>Games[[#This Row],[PreGmRate]]+Games[[#This Row],[RatingChange]]</f>
        <v>1485.2992522327029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38147</v>
      </c>
      <c r="B91" s="2">
        <v>2004</v>
      </c>
      <c r="C91" s="2">
        <f>COUNTIFS(Games[Team],Games[[#This Row],[Team]],Games[Season],Games[[#This Row],[Season]],Games[Date],"&lt;=" &amp; Games[[#This Row],[Date]])</f>
        <v>7</v>
      </c>
      <c r="D91" s="2" t="s">
        <v>23</v>
      </c>
      <c r="E91" s="2" t="s">
        <v>29</v>
      </c>
      <c r="F91" s="1" t="s">
        <v>44</v>
      </c>
      <c r="G91" s="1" t="s">
        <v>86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1447.89970327375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1501.4038627964815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0.56651627895201417</v>
      </c>
      <c r="R91" s="1">
        <v>75</v>
      </c>
      <c r="S91" s="1">
        <v>59</v>
      </c>
      <c r="T91" s="1">
        <v>0</v>
      </c>
      <c r="U91" s="1">
        <f>Games[[#This Row],[PointsFor]]-Games[[#This Row],[PointsAgainst]]</f>
        <v>16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0.49568502347263782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74.95</v>
      </c>
      <c r="Z91" s="4">
        <f>Games[[#This Row],[K]]*Games[[#This Row],[POMult]]</f>
        <v>74.95</v>
      </c>
      <c r="AA91" s="4">
        <f>(Games[[#This Row],[Keff]]*Games[[#This Row],[MOVMult]])*(Games[[#This Row],[Result]]-Games[[#This Row],[ExpectedWin%]])</f>
        <v>16.10461056377866</v>
      </c>
      <c r="AB91" s="4">
        <f>Games[[#This Row],[PreGmRate]]+Games[[#This Row],[RatingChange]]</f>
        <v>1464.0043138375286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38149</v>
      </c>
      <c r="B92" s="2">
        <v>2004</v>
      </c>
      <c r="C92" s="2">
        <f>COUNTIFS(Games[Team],Games[[#This Row],[Team]],Games[Season],Games[[#This Row],[Season]],Games[Date],"&lt;=" &amp; Games[[#This Row],[Date]])</f>
        <v>8</v>
      </c>
      <c r="D92" s="2" t="s">
        <v>23</v>
      </c>
      <c r="E92" s="2" t="s">
        <v>29</v>
      </c>
      <c r="F92" s="1" t="s">
        <v>77</v>
      </c>
      <c r="G92" s="1" t="s">
        <v>70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5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4</v>
      </c>
      <c r="L92" s="2">
        <f>Games[[#This Row],[OppDaysOff]]-Games[[#This Row],[DaysOff]]</f>
        <v>-4</v>
      </c>
      <c r="M92" s="1">
        <f>MAX(-16, MIN(16, Games[[#This Row],[RestDiff]]*8))</f>
        <v>16</v>
      </c>
      <c r="N92" s="1">
        <f>MAX(-16, MIN(16, Games[[#This Row],[OppRestDiff]]*8))</f>
        <v>-16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1507.0901056171583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1548.5178450942349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0.36869641076260329</v>
      </c>
      <c r="R92" s="1">
        <v>55</v>
      </c>
      <c r="S92" s="1">
        <v>69</v>
      </c>
      <c r="T92" s="1">
        <v>0</v>
      </c>
      <c r="U92" s="1">
        <f>Games[[#This Row],[PointsFor]]-Games[[#This Row],[PointsAgainst]]</f>
        <v>-14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0.47133611215051002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-12.998738974389427</v>
      </c>
      <c r="AB92" s="4">
        <f>Games[[#This Row],[PreGmRate]]+Games[[#This Row],[RatingChange]]</f>
        <v>1494.0913666427689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38149</v>
      </c>
      <c r="B93" s="2">
        <v>2004</v>
      </c>
      <c r="C93" s="2">
        <f>COUNTIFS(Games[Team],Games[[#This Row],[Team]],Games[Season],Games[[#This Row],[Season]],Games[Date],"&lt;=" &amp; Games[[#This Row],[Date]])</f>
        <v>9</v>
      </c>
      <c r="D93" s="2" t="s">
        <v>23</v>
      </c>
      <c r="E93" s="2" t="s">
        <v>29</v>
      </c>
      <c r="F93" s="1" t="s">
        <v>70</v>
      </c>
      <c r="G93" s="1" t="s">
        <v>77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3" s="2">
        <f>Games[[#This Row],[DaysOff]]-Games[[#This Row],[OppDaysOff]]</f>
        <v>-4</v>
      </c>
      <c r="L93" s="2">
        <f>Games[[#This Row],[OppDaysOff]]-Games[[#This Row],[DaysOff]]</f>
        <v>4</v>
      </c>
      <c r="M93" s="1">
        <f>MAX(-16, MIN(16, Games[[#This Row],[RestDiff]]*8))</f>
        <v>-16</v>
      </c>
      <c r="N93" s="1">
        <f>MAX(-16, MIN(16, Games[[#This Row],[OppRestDiff]]*8))</f>
        <v>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1548.5178450942349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1507.0901056171583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0.63130358923739671</v>
      </c>
      <c r="R93" s="1">
        <v>69</v>
      </c>
      <c r="S93" s="1">
        <v>55</v>
      </c>
      <c r="T93" s="1">
        <v>0</v>
      </c>
      <c r="U93" s="1">
        <f>Games[[#This Row],[PointsFor]]-Games[[#This Row],[PointsAgainst]]</f>
        <v>14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0.47133611215051002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74.650000000000006</v>
      </c>
      <c r="Z93" s="4">
        <f>Games[[#This Row],[K]]*Games[[#This Row],[POMult]]</f>
        <v>74.650000000000006</v>
      </c>
      <c r="AA93" s="4">
        <f>(Games[[#This Row],[Keff]]*Games[[#This Row],[MOVMult]])*(Games[[#This Row],[Result]]-Games[[#This Row],[ExpectedWin%]])</f>
        <v>12.972671984467526</v>
      </c>
      <c r="AB93" s="4">
        <f>Games[[#This Row],[PreGmRate]]+Games[[#This Row],[RatingChange]]</f>
        <v>1561.4905170787024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38149</v>
      </c>
      <c r="B94" s="2">
        <v>2004</v>
      </c>
      <c r="C94" s="2">
        <f>COUNTIFS(Games[Team],Games[[#This Row],[Team]],Games[Season],Games[[#This Row],[Season]],Games[Date],"&lt;=" &amp; Games[[#This Row],[Date]])</f>
        <v>7</v>
      </c>
      <c r="D94" s="2" t="s">
        <v>23</v>
      </c>
      <c r="E94" s="2" t="s">
        <v>29</v>
      </c>
      <c r="F94" s="1" t="s">
        <v>79</v>
      </c>
      <c r="G94" s="1" t="s">
        <v>66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4" s="2">
        <f>Games[[#This Row],[DaysOff]]-Games[[#This Row],[OppDaysOff]]</f>
        <v>-4</v>
      </c>
      <c r="L94" s="2">
        <f>Games[[#This Row],[OppDaysOff]]-Games[[#This Row],[DaysOff]]</f>
        <v>4</v>
      </c>
      <c r="M94" s="1">
        <f>MAX(-16, MIN(16, Games[[#This Row],[RestDiff]]*8))</f>
        <v>-16</v>
      </c>
      <c r="N94" s="1">
        <f>MAX(-16, MIN(16, Games[[#This Row],[OppRestDiff]]*8))</f>
        <v>16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1487.8417620498262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1576.7664942342644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0.23511664654529407</v>
      </c>
      <c r="R94" s="1">
        <v>72</v>
      </c>
      <c r="S94" s="1">
        <v>68</v>
      </c>
      <c r="T94" s="1">
        <v>0</v>
      </c>
      <c r="U94" s="1">
        <f>Games[[#This Row],[PointsFor]]-Games[[#This Row],[PointsAgainst]]</f>
        <v>4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0.28994655200019703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74.95</v>
      </c>
      <c r="Z94" s="4">
        <f>Games[[#This Row],[K]]*Games[[#This Row],[POMult]]</f>
        <v>74.95</v>
      </c>
      <c r="AA94" s="4">
        <f>(Games[[#This Row],[Keff]]*Games[[#This Row],[MOVMult]])*(Games[[#This Row],[Result]]-Games[[#This Row],[ExpectedWin%]])</f>
        <v>16.622058061689671</v>
      </c>
      <c r="AB94" s="4">
        <f>Games[[#This Row],[PreGmRate]]+Games[[#This Row],[RatingChange]]</f>
        <v>1504.4638201115158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38149</v>
      </c>
      <c r="B95" s="2">
        <v>2004</v>
      </c>
      <c r="C95" s="2">
        <f>COUNTIFS(Games[Team],Games[[#This Row],[Team]],Games[Season],Games[[#This Row],[Season]],Games[Date],"&lt;=" &amp; Games[[#This Row],[Date]])</f>
        <v>8</v>
      </c>
      <c r="D95" s="2" t="s">
        <v>23</v>
      </c>
      <c r="E95" s="2" t="s">
        <v>29</v>
      </c>
      <c r="F95" s="1" t="s">
        <v>66</v>
      </c>
      <c r="G95" s="1" t="s">
        <v>79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5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4</v>
      </c>
      <c r="L95" s="2">
        <f>Games[[#This Row],[OppDaysOff]]-Games[[#This Row],[DaysOff]]</f>
        <v>-4</v>
      </c>
      <c r="M95" s="1">
        <f>MAX(-16, MIN(16, Games[[#This Row],[RestDiff]]*8))</f>
        <v>16</v>
      </c>
      <c r="N95" s="1">
        <f>MAX(-16, MIN(16, Games[[#This Row],[OppRestDiff]]*8))</f>
        <v>-16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1576.7664942342644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1487.8417620498262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0.76488335345470604</v>
      </c>
      <c r="R95" s="1">
        <v>68</v>
      </c>
      <c r="S95" s="1">
        <v>72</v>
      </c>
      <c r="T95" s="1">
        <v>0</v>
      </c>
      <c r="U95" s="1">
        <f>Games[[#This Row],[PointsFor]]-Games[[#This Row],[PointsAgainst]]</f>
        <v>-4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0.28994655200019703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-16.588791768037193</v>
      </c>
      <c r="AB95" s="4">
        <f>Games[[#This Row],[PreGmRate]]+Games[[#This Row],[RatingChange]]</f>
        <v>1560.1777024662272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38149</v>
      </c>
      <c r="B96" s="2">
        <v>2004</v>
      </c>
      <c r="C96" s="2">
        <f>COUNTIFS(Games[Team],Games[[#This Row],[Team]],Games[Season],Games[[#This Row],[Season]],Games[Date],"&lt;=" &amp; Games[[#This Row],[Date]])</f>
        <v>8</v>
      </c>
      <c r="D96" s="2" t="s">
        <v>23</v>
      </c>
      <c r="E96" s="2" t="s">
        <v>29</v>
      </c>
      <c r="F96" s="1" t="s">
        <v>64</v>
      </c>
      <c r="G96" s="1" t="s">
        <v>44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1451.6770636049503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1464.0043138375286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0.36482002686768961</v>
      </c>
      <c r="R96" s="1">
        <v>59</v>
      </c>
      <c r="S96" s="1">
        <v>51</v>
      </c>
      <c r="T96" s="1">
        <v>0</v>
      </c>
      <c r="U96" s="1">
        <f>Games[[#This Row],[PointsFor]]-Games[[#This Row],[PointsAgainst]]</f>
        <v>8</v>
      </c>
      <c r="V96" s="1">
        <f>IF(Games[[#This Row],[MOV]]&gt;0,1,IF(Games[[#This Row],[MOV]]=0,0.5,0))</f>
        <v>1</v>
      </c>
      <c r="W96" s="4">
        <f>((ABS(Games[[#This Row],[MOV]])+5)^0.6)/(12+0.01*(ABS(Games[[#This Row],[PreGmRate]]-Games[[#This Row],[OppPreGmRate]])))*IF(Games[[#This Row],[OT]]=1,0.9,1)</f>
        <v>0.38436704438856023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18.261840219789811</v>
      </c>
      <c r="AB96" s="4">
        <f>Games[[#This Row],[PreGmRate]]+Games[[#This Row],[RatingChange]]</f>
        <v>1469.93890382474</v>
      </c>
      <c r="AC96" s="2">
        <f>IF(Games[[#This Row],[Type]]="R",IF(Games[[#This Row],[Result]]&gt;0.5,1,0),0)</f>
        <v>1</v>
      </c>
      <c r="AD96" s="2">
        <f>IF(Games[[#This Row],[Type]]="R",IF(Games[[#This Row],[Result]]&lt;0.5,1,0),0)</f>
        <v>0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38149</v>
      </c>
      <c r="B97" s="2">
        <v>2004</v>
      </c>
      <c r="C97" s="2">
        <f>COUNTIFS(Games[Team],Games[[#This Row],[Team]],Games[Season],Games[[#This Row],[Season]],Games[Date],"&lt;=" &amp; Games[[#This Row],[Date]])</f>
        <v>8</v>
      </c>
      <c r="D97" s="2" t="s">
        <v>23</v>
      </c>
      <c r="E97" s="2" t="s">
        <v>29</v>
      </c>
      <c r="F97" s="1" t="s">
        <v>44</v>
      </c>
      <c r="G97" s="1" t="s">
        <v>64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1464.0043138375286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1451.6770636049503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0.63517997313231034</v>
      </c>
      <c r="R97" s="1">
        <v>51</v>
      </c>
      <c r="S97" s="1">
        <v>59</v>
      </c>
      <c r="T97" s="1">
        <v>0</v>
      </c>
      <c r="U97" s="1">
        <f>Games[[#This Row],[PointsFor]]-Games[[#This Row],[PointsAgainst]]</f>
        <v>-8</v>
      </c>
      <c r="V97" s="1">
        <f>IF(Games[[#This Row],[MOV]]&gt;0,1,IF(Games[[#This Row],[MOV]]=0,0.5,0))</f>
        <v>0</v>
      </c>
      <c r="W97" s="4">
        <f>((ABS(Games[[#This Row],[MOV]])+5)^0.6)/(12+0.01*(ABS(Games[[#This Row],[PreGmRate]]-Games[[#This Row],[OppPreGmRate]])))*IF(Games[[#This Row],[OT]]=1,0.9,1)</f>
        <v>0.38436704438856023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-18.261840219789807</v>
      </c>
      <c r="AB97" s="4">
        <f>Games[[#This Row],[PreGmRate]]+Games[[#This Row],[RatingChange]]</f>
        <v>1445.7424736177388</v>
      </c>
      <c r="AC97" s="2">
        <f>IF(Games[[#This Row],[Type]]="R",IF(Games[[#This Row],[Result]]&gt;0.5,1,0),0)</f>
        <v>0</v>
      </c>
      <c r="AD97" s="2">
        <f>IF(Games[[#This Row],[Type]]="R",IF(Games[[#This Row],[Result]]&lt;0.5,1,0),0)</f>
        <v>1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38149</v>
      </c>
      <c r="B98" s="2">
        <v>2004</v>
      </c>
      <c r="C98" s="2">
        <f>COUNTIFS(Games[Team],Games[[#This Row],[Team]],Games[Season],Games[[#This Row],[Season]],Games[Date],"&lt;=" &amp; Games[[#This Row],[Date]])</f>
        <v>8</v>
      </c>
      <c r="D98" s="2" t="s">
        <v>23</v>
      </c>
      <c r="E98" s="2" t="s">
        <v>29</v>
      </c>
      <c r="F98" s="1" t="s">
        <v>86</v>
      </c>
      <c r="G98" s="1" t="s">
        <v>81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8" s="2">
        <f>Games[[#This Row],[DaysOff]]-Games[[#This Row],[OppDaysOff]]</f>
        <v>-4</v>
      </c>
      <c r="L98" s="2">
        <f>Games[[#This Row],[OppDaysOff]]-Games[[#This Row],[DaysOff]]</f>
        <v>4</v>
      </c>
      <c r="M98" s="1">
        <f>MAX(-16, MIN(16, Games[[#This Row],[RestDiff]]*8))</f>
        <v>-16</v>
      </c>
      <c r="N98" s="1">
        <f>MAX(-16, MIN(16, Games[[#This Row],[OppRestDiff]]*8))</f>
        <v>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1485.2992522327029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1551.746241340901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0.25917723250528663</v>
      </c>
      <c r="R98" s="1">
        <v>63</v>
      </c>
      <c r="S98" s="1">
        <v>68</v>
      </c>
      <c r="T98" s="1">
        <v>0</v>
      </c>
      <c r="U98" s="1">
        <f>Games[[#This Row],[PointsFor]]-Games[[#This Row],[PointsAgainst]]</f>
        <v>-5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0.3143496521981034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-6.0941260125986467</v>
      </c>
      <c r="AB98" s="4">
        <f>Games[[#This Row],[PreGmRate]]+Games[[#This Row],[RatingChange]]</f>
        <v>1479.2051262201041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38149</v>
      </c>
      <c r="B99" s="2">
        <v>2004</v>
      </c>
      <c r="C99" s="2">
        <f>COUNTIFS(Games[Team],Games[[#This Row],[Team]],Games[Season],Games[[#This Row],[Season]],Games[Date],"&lt;=" &amp; Games[[#This Row],[Date]])</f>
        <v>7</v>
      </c>
      <c r="D99" s="2" t="s">
        <v>23</v>
      </c>
      <c r="E99" s="2" t="s">
        <v>29</v>
      </c>
      <c r="F99" s="1" t="s">
        <v>81</v>
      </c>
      <c r="G99" s="1" t="s">
        <v>86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5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4</v>
      </c>
      <c r="L99" s="2">
        <f>Games[[#This Row],[OppDaysOff]]-Games[[#This Row],[DaysOff]]</f>
        <v>-4</v>
      </c>
      <c r="M99" s="1">
        <f>MAX(-16, MIN(16, Games[[#This Row],[RestDiff]]*8))</f>
        <v>16</v>
      </c>
      <c r="N99" s="1">
        <f>MAX(-16, MIN(16, Games[[#This Row],[OppRestDiff]]*8))</f>
        <v>-16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1551.746241340901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1485.2992522327029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0.74082276749471343</v>
      </c>
      <c r="R99" s="1">
        <v>68</v>
      </c>
      <c r="S99" s="1">
        <v>63</v>
      </c>
      <c r="T99" s="1">
        <v>0</v>
      </c>
      <c r="U99" s="1">
        <f>Games[[#This Row],[PointsFor]]-Games[[#This Row],[PointsAgainst]]</f>
        <v>5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0.3143496521981034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74.95</v>
      </c>
      <c r="Z99" s="4">
        <f>Games[[#This Row],[K]]*Games[[#This Row],[POMult]]</f>
        <v>74.95</v>
      </c>
      <c r="AA99" s="4">
        <f>(Games[[#This Row],[Keff]]*Games[[#This Row],[MOVMult]])*(Games[[#This Row],[Result]]-Games[[#This Row],[ExpectedWin%]])</f>
        <v>6.106346853533001</v>
      </c>
      <c r="AB99" s="4">
        <f>Games[[#This Row],[PreGmRate]]+Games[[#This Row],[RatingChange]]</f>
        <v>1557.852588194434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38149</v>
      </c>
      <c r="B100" s="2">
        <v>2004</v>
      </c>
      <c r="C100" s="2">
        <f>COUNTIFS(Games[Team],Games[[#This Row],[Team]],Games[Season],Games[[#This Row],[Season]],Games[Date],"&lt;=" &amp; Games[[#This Row],[Date]])</f>
        <v>7</v>
      </c>
      <c r="D100" s="2" t="s">
        <v>23</v>
      </c>
      <c r="E100" s="2" t="s">
        <v>29</v>
      </c>
      <c r="F100" s="1" t="s">
        <v>75</v>
      </c>
      <c r="G100" s="1" t="s">
        <v>73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0" s="2">
        <f>Games[[#This Row],[DaysOff]]-Games[[#This Row],[OppDaysOff]]</f>
        <v>-5</v>
      </c>
      <c r="L100" s="2">
        <f>Games[[#This Row],[OppDaysOff]]-Games[[#This Row],[DaysOff]]</f>
        <v>5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1561.8043624207144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1410.9754908180141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0.5499555500694645</v>
      </c>
      <c r="R100" s="1">
        <v>74</v>
      </c>
      <c r="S100" s="1">
        <v>60</v>
      </c>
      <c r="T100" s="1">
        <v>0</v>
      </c>
      <c r="U100" s="1">
        <f>Games[[#This Row],[PointsFor]]-Games[[#This Row],[PointsAgainst]]</f>
        <v>14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0.43316347210338368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74.95</v>
      </c>
      <c r="Z100" s="4">
        <f>Games[[#This Row],[K]]*Games[[#This Row],[POMult]]</f>
        <v>74.95</v>
      </c>
      <c r="AA100" s="4">
        <f>(Games[[#This Row],[Keff]]*Games[[#This Row],[MOVMult]])*(Games[[#This Row],[Result]]-Games[[#This Row],[ExpectedWin%]])</f>
        <v>14.610964099130973</v>
      </c>
      <c r="AB100" s="4">
        <f>Games[[#This Row],[PreGmRate]]+Games[[#This Row],[RatingChange]]</f>
        <v>1576.4153265198454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38149</v>
      </c>
      <c r="B101" s="2">
        <v>2004</v>
      </c>
      <c r="C101" s="2">
        <f>COUNTIFS(Games[Team],Games[[#This Row],[Team]],Games[Season],Games[[#This Row],[Season]],Games[Date],"&lt;=" &amp; Games[[#This Row],[Date]])</f>
        <v>7</v>
      </c>
      <c r="D101" s="2" t="s">
        <v>23</v>
      </c>
      <c r="E101" s="2" t="s">
        <v>29</v>
      </c>
      <c r="F101" s="1" t="s">
        <v>73</v>
      </c>
      <c r="G101" s="1" t="s">
        <v>75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5</v>
      </c>
      <c r="L101" s="2">
        <f>Games[[#This Row],[OppDaysOff]]-Games[[#This Row],[DaysOff]]</f>
        <v>-5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1410.9754908180141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1561.8043624207144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0.45004444993053555</v>
      </c>
      <c r="R101" s="1">
        <v>60</v>
      </c>
      <c r="S101" s="1">
        <v>74</v>
      </c>
      <c r="T101" s="1">
        <v>0</v>
      </c>
      <c r="U101" s="1">
        <f>Games[[#This Row],[PointsFor]]-Games[[#This Row],[PointsAgainst]]</f>
        <v>-14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0.43316347210338368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74.95</v>
      </c>
      <c r="Z101" s="4">
        <f>Games[[#This Row],[K]]*Games[[#This Row],[POMult]]</f>
        <v>74.95</v>
      </c>
      <c r="AA101" s="4">
        <f>(Games[[#This Row],[Keff]]*Games[[#This Row],[MOVMult]])*(Games[[#This Row],[Result]]-Games[[#This Row],[ExpectedWin%]])</f>
        <v>-14.610964099130975</v>
      </c>
      <c r="AB101" s="4">
        <f>Games[[#This Row],[PreGmRate]]+Games[[#This Row],[RatingChange]]</f>
        <v>1396.3645267188831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38150</v>
      </c>
      <c r="B102" s="2">
        <v>2004</v>
      </c>
      <c r="C102" s="2">
        <f>COUNTIFS(Games[Team],Games[[#This Row],[Team]],Games[Season],Games[[#This Row],[Season]],Games[Date],"&lt;=" &amp; Games[[#This Row],[Date]])</f>
        <v>8</v>
      </c>
      <c r="D102" s="2" t="s">
        <v>23</v>
      </c>
      <c r="E102" s="2" t="s">
        <v>29</v>
      </c>
      <c r="F102" s="1" t="s">
        <v>79</v>
      </c>
      <c r="G102" s="1" t="s">
        <v>75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1504.4638201115158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1576.4153265198454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0.28951740491473094</v>
      </c>
      <c r="R102" s="1">
        <v>68</v>
      </c>
      <c r="S102" s="1">
        <v>72</v>
      </c>
      <c r="T102" s="1">
        <v>0</v>
      </c>
      <c r="U102" s="1">
        <f>Games[[#This Row],[PointsFor]]-Games[[#This Row],[PointsAgainst]]</f>
        <v>-4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0.29381566828749961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-6.3628432854801442</v>
      </c>
      <c r="AB102" s="4">
        <f>Games[[#This Row],[PreGmRate]]+Games[[#This Row],[RatingChange]]</f>
        <v>1498.1009768260358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38150</v>
      </c>
      <c r="B103" s="2">
        <v>2004</v>
      </c>
      <c r="C103" s="2">
        <f>COUNTIFS(Games[Team],Games[[#This Row],[Team]],Games[Season],Games[[#This Row],[Season]],Games[Date],"&lt;=" &amp; Games[[#This Row],[Date]])</f>
        <v>8</v>
      </c>
      <c r="D103" s="2" t="s">
        <v>23</v>
      </c>
      <c r="E103" s="2" t="s">
        <v>29</v>
      </c>
      <c r="F103" s="1" t="s">
        <v>75</v>
      </c>
      <c r="G103" s="1" t="s">
        <v>79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1576.4153265198454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1504.4638201115158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0.71048259508526912</v>
      </c>
      <c r="R103" s="1">
        <v>72</v>
      </c>
      <c r="S103" s="1">
        <v>68</v>
      </c>
      <c r="T103" s="1">
        <v>0</v>
      </c>
      <c r="U103" s="1">
        <f>Games[[#This Row],[PointsFor]]-Games[[#This Row],[PointsAgainst]]</f>
        <v>4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0.29381566828749961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74.8</v>
      </c>
      <c r="Z103" s="4">
        <f>Games[[#This Row],[K]]*Games[[#This Row],[POMult]]</f>
        <v>74.8</v>
      </c>
      <c r="AA103" s="4">
        <f>(Games[[#This Row],[Keff]]*Games[[#This Row],[MOVMult]])*(Games[[#This Row],[Result]]-Games[[#This Row],[ExpectedWin%]])</f>
        <v>6.3628432854801433</v>
      </c>
      <c r="AB103" s="4">
        <f>Games[[#This Row],[PreGmRate]]+Games[[#This Row],[RatingChange]]</f>
        <v>1582.7781698053254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38150</v>
      </c>
      <c r="B104" s="2">
        <v>2004</v>
      </c>
      <c r="C104" s="2">
        <f>COUNTIFS(Games[Team],Games[[#This Row],[Team]],Games[Season],Games[[#This Row],[Season]],Games[Date],"&lt;=" &amp; Games[[#This Row],[Date]])</f>
        <v>9</v>
      </c>
      <c r="D104" s="2" t="s">
        <v>23</v>
      </c>
      <c r="E104" s="2" t="s">
        <v>29</v>
      </c>
      <c r="F104" s="1" t="s">
        <v>86</v>
      </c>
      <c r="G104" s="1" t="s">
        <v>45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4" s="2">
        <f>Games[[#This Row],[DaysOff]]-Games[[#This Row],[OppDaysOff]]</f>
        <v>-6</v>
      </c>
      <c r="L104" s="2">
        <f>Games[[#This Row],[OppDaysOff]]-Games[[#This Row],[DaysOff]]</f>
        <v>6</v>
      </c>
      <c r="M104" s="1">
        <f>MAX(-16, MIN(16, Games[[#This Row],[RestDiff]]*8))</f>
        <v>-16</v>
      </c>
      <c r="N104" s="1">
        <f>MAX(-16, MIN(16, Games[[#This Row],[OppRestDiff]]*8))</f>
        <v>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1479.2051262201041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1503.8227605297382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0.30800554182165979</v>
      </c>
      <c r="R104" s="1">
        <v>83</v>
      </c>
      <c r="S104" s="1">
        <v>76</v>
      </c>
      <c r="T104" s="1">
        <v>0</v>
      </c>
      <c r="U104" s="1">
        <f>Games[[#This Row],[PointsFor]]-Games[[#This Row],[PointsAgainst]]</f>
        <v>7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0.36266716609462923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18.734437898369276</v>
      </c>
      <c r="AB104" s="4">
        <f>Games[[#This Row],[PreGmRate]]+Games[[#This Row],[RatingChange]]</f>
        <v>1497.9395641184735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38150</v>
      </c>
      <c r="B105" s="2">
        <v>2004</v>
      </c>
      <c r="C105" s="2">
        <f>COUNTIFS(Games[Team],Games[[#This Row],[Team]],Games[Season],Games[[#This Row],[Season]],Games[Date],"&lt;=" &amp; Games[[#This Row],[Date]])</f>
        <v>7</v>
      </c>
      <c r="D105" s="2" t="s">
        <v>23</v>
      </c>
      <c r="E105" s="2" t="s">
        <v>29</v>
      </c>
      <c r="F105" s="1" t="s">
        <v>45</v>
      </c>
      <c r="G105" s="1" t="s">
        <v>86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5" s="2">
        <f>Games[[#This Row],[DaysOff]]-Games[[#This Row],[OppDaysOff]]</f>
        <v>6</v>
      </c>
      <c r="L105" s="2">
        <f>Games[[#This Row],[OppDaysOff]]-Games[[#This Row],[DaysOff]]</f>
        <v>-6</v>
      </c>
      <c r="M105" s="1">
        <f>MAX(-16, MIN(16, Games[[#This Row],[RestDiff]]*8))</f>
        <v>16</v>
      </c>
      <c r="N105" s="1">
        <f>MAX(-16, MIN(16, Games[[#This Row],[OppRestDiff]]*8))</f>
        <v>-16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1503.8227605297382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1479.2051262201041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0.69199445817834015</v>
      </c>
      <c r="R105" s="1">
        <v>76</v>
      </c>
      <c r="S105" s="1">
        <v>83</v>
      </c>
      <c r="T105" s="1">
        <v>0</v>
      </c>
      <c r="U105" s="1">
        <f>Games[[#This Row],[PointsFor]]-Games[[#This Row],[PointsAgainst]]</f>
        <v>-7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0.36266716609462923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74.95</v>
      </c>
      <c r="Z105" s="4">
        <f>Games[[#This Row],[K]]*Games[[#This Row],[POMult]]</f>
        <v>74.95</v>
      </c>
      <c r="AA105" s="4">
        <f>(Games[[#This Row],[Keff]]*Games[[#This Row],[MOVMult]])*(Games[[#This Row],[Result]]-Games[[#This Row],[ExpectedWin%]])</f>
        <v>-18.809726999099492</v>
      </c>
      <c r="AB105" s="4">
        <f>Games[[#This Row],[PreGmRate]]+Games[[#This Row],[RatingChange]]</f>
        <v>1485.0130335306387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38150</v>
      </c>
      <c r="B106" s="2">
        <v>2004</v>
      </c>
      <c r="C106" s="2">
        <f>COUNTIFS(Games[Team],Games[[#This Row],[Team]],Games[Season],Games[[#This Row],[Season]],Games[Date],"&lt;=" &amp; Games[[#This Row],[Date]])</f>
        <v>10</v>
      </c>
      <c r="D106" s="2" t="s">
        <v>23</v>
      </c>
      <c r="E106" s="2" t="s">
        <v>29</v>
      </c>
      <c r="F106" s="1" t="s">
        <v>2</v>
      </c>
      <c r="G106" s="1" t="s">
        <v>84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1535.9880937669598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1433.4531826832674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0.52664860552152526</v>
      </c>
      <c r="R106" s="1">
        <v>69</v>
      </c>
      <c r="S106" s="1">
        <v>66</v>
      </c>
      <c r="T106" s="1">
        <v>1</v>
      </c>
      <c r="U106" s="1">
        <f>Games[[#This Row],[PointsFor]]-Games[[#This Row],[PointsAgainst]]</f>
        <v>3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0.24060637463134202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74.5</v>
      </c>
      <c r="Z106" s="4">
        <f>Games[[#This Row],[K]]*Games[[#This Row],[POMult]]</f>
        <v>74.5</v>
      </c>
      <c r="AA106" s="4">
        <f>(Games[[#This Row],[Keff]]*Games[[#This Row],[MOVMult]])*(Games[[#This Row],[Result]]-Games[[#This Row],[ExpectedWin%]])</f>
        <v>8.4849065399356256</v>
      </c>
      <c r="AB106" s="4">
        <f>Games[[#This Row],[PreGmRate]]+Games[[#This Row],[RatingChange]]</f>
        <v>1544.4730003068953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38150</v>
      </c>
      <c r="B107" s="2">
        <v>2004</v>
      </c>
      <c r="C107" s="2">
        <f>COUNTIFS(Games[Team],Games[[#This Row],[Team]],Games[Season],Games[[#This Row],[Season]],Games[Date],"&lt;=" &amp; Games[[#This Row],[Date]])</f>
        <v>9</v>
      </c>
      <c r="D107" s="2" t="s">
        <v>23</v>
      </c>
      <c r="E107" s="2" t="s">
        <v>29</v>
      </c>
      <c r="F107" s="1" t="s">
        <v>84</v>
      </c>
      <c r="G107" s="1" t="s">
        <v>2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1433.4531826832674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1535.9880937669598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0.47335139447847469</v>
      </c>
      <c r="R107" s="1">
        <v>66</v>
      </c>
      <c r="S107" s="1">
        <v>69</v>
      </c>
      <c r="T107" s="1">
        <v>1</v>
      </c>
      <c r="U107" s="1">
        <f>Games[[#This Row],[PointsFor]]-Games[[#This Row],[PointsAgainst]]</f>
        <v>-3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0.24060637463134202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74.650000000000006</v>
      </c>
      <c r="Z107" s="4">
        <f>Games[[#This Row],[K]]*Games[[#This Row],[POMult]]</f>
        <v>74.650000000000006</v>
      </c>
      <c r="AA107" s="4">
        <f>(Games[[#This Row],[Keff]]*Games[[#This Row],[MOVMult]])*(Games[[#This Row],[Result]]-Games[[#This Row],[ExpectedWin%]])</f>
        <v>-8.5019902443784492</v>
      </c>
      <c r="AB107" s="4">
        <f>Games[[#This Row],[PreGmRate]]+Games[[#This Row],[RatingChange]]</f>
        <v>1424.9511924388889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38151</v>
      </c>
      <c r="B108" s="2">
        <v>2004</v>
      </c>
      <c r="C108" s="2">
        <f>COUNTIFS(Games[Team],Games[[#This Row],[Team]],Games[Season],Games[[#This Row],[Season]],Games[Date],"&lt;=" &amp; Games[[#This Row],[Date]])</f>
        <v>9</v>
      </c>
      <c r="D108" s="2" t="s">
        <v>23</v>
      </c>
      <c r="E108" s="2" t="s">
        <v>29</v>
      </c>
      <c r="F108" s="1" t="s">
        <v>66</v>
      </c>
      <c r="G108" s="1" t="s">
        <v>73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1560.1777024662272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1396.3645267188831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0.61288169307897111</v>
      </c>
      <c r="R108" s="1">
        <v>60</v>
      </c>
      <c r="S108" s="1">
        <v>62</v>
      </c>
      <c r="T108" s="1">
        <v>0</v>
      </c>
      <c r="U108" s="1">
        <f>Games[[#This Row],[PointsFor]]-Games[[#This Row],[PointsAgainst]]</f>
        <v>-2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0.23566980484367103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-10.782274976863425</v>
      </c>
      <c r="AB108" s="4">
        <f>Games[[#This Row],[PreGmRate]]+Games[[#This Row],[RatingChange]]</f>
        <v>1549.3954274893638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38151</v>
      </c>
      <c r="B109" s="2">
        <v>2004</v>
      </c>
      <c r="C109" s="2">
        <f>COUNTIFS(Games[Team],Games[[#This Row],[Team]],Games[Season],Games[[#This Row],[Season]],Games[Date],"&lt;=" &amp; Games[[#This Row],[Date]])</f>
        <v>8</v>
      </c>
      <c r="D109" s="2" t="s">
        <v>23</v>
      </c>
      <c r="E109" s="2" t="s">
        <v>29</v>
      </c>
      <c r="F109" s="1" t="s">
        <v>73</v>
      </c>
      <c r="G109" s="1" t="s">
        <v>66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1396.3645267188831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1560.1777024662272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0.38711830692102883</v>
      </c>
      <c r="R109" s="1">
        <v>62</v>
      </c>
      <c r="S109" s="1">
        <v>60</v>
      </c>
      <c r="T109" s="1">
        <v>0</v>
      </c>
      <c r="U109" s="1">
        <f>Games[[#This Row],[PointsFor]]-Games[[#This Row],[PointsAgainst]]</f>
        <v>2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0.23566980484367103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74.8</v>
      </c>
      <c r="Z109" s="4">
        <f>Games[[#This Row],[K]]*Games[[#This Row],[POMult]]</f>
        <v>74.8</v>
      </c>
      <c r="AA109" s="4">
        <f>(Games[[#This Row],[Keff]]*Games[[#This Row],[MOVMult]])*(Games[[#This Row],[Result]]-Games[[#This Row],[ExpectedWin%]])</f>
        <v>10.80394063321345</v>
      </c>
      <c r="AB109" s="4">
        <f>Games[[#This Row],[PreGmRate]]+Games[[#This Row],[RatingChange]]</f>
        <v>1407.1684673520965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38152</v>
      </c>
      <c r="B110" s="2">
        <v>2004</v>
      </c>
      <c r="C110" s="2">
        <f>COUNTIFS(Games[Team],Games[[#This Row],[Team]],Games[Season],Games[[#This Row],[Season]],Games[Date],"&lt;=" &amp; Games[[#This Row],[Date]])</f>
        <v>10</v>
      </c>
      <c r="D110" s="2" t="s">
        <v>23</v>
      </c>
      <c r="E110" s="2" t="s">
        <v>29</v>
      </c>
      <c r="F110" s="1" t="s">
        <v>86</v>
      </c>
      <c r="G110" s="1" t="s">
        <v>70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-1</v>
      </c>
      <c r="L110" s="2">
        <f>Games[[#This Row],[OppDaysOff]]-Games[[#This Row],[DaysOff]]</f>
        <v>1</v>
      </c>
      <c r="M110" s="1">
        <f>MAX(-16, MIN(16, Games[[#This Row],[RestDiff]]*8))</f>
        <v>-8</v>
      </c>
      <c r="N110" s="1">
        <f>MAX(-16, MIN(16, Games[[#This Row],[OppRestDiff]]*8))</f>
        <v>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1497.9395641184735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1561.4905170787024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0.28060250271528053</v>
      </c>
      <c r="R110" s="1">
        <v>74</v>
      </c>
      <c r="S110" s="1">
        <v>76</v>
      </c>
      <c r="T110" s="1">
        <v>1</v>
      </c>
      <c r="U110" s="1">
        <f>Games[[#This Row],[PointsFor]]-Games[[#This Row],[PointsAgainst]]</f>
        <v>-2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0.22893309193170969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74.5</v>
      </c>
      <c r="Z110" s="4">
        <f>Games[[#This Row],[K]]*Games[[#This Row],[POMult]]</f>
        <v>74.5</v>
      </c>
      <c r="AA110" s="4">
        <f>(Games[[#This Row],[Keff]]*Games[[#This Row],[MOVMult]])*(Games[[#This Row],[Result]]-Games[[#This Row],[ExpectedWin%]])</f>
        <v>-4.7858202920036925</v>
      </c>
      <c r="AB110" s="4">
        <f>Games[[#This Row],[PreGmRate]]+Games[[#This Row],[RatingChange]]</f>
        <v>1493.1537438264697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38152</v>
      </c>
      <c r="B111" s="2">
        <v>2004</v>
      </c>
      <c r="C111" s="2">
        <f>COUNTIFS(Games[Team],Games[[#This Row],[Team]],Games[Season],Games[[#This Row],[Season]],Games[Date],"&lt;=" &amp; Games[[#This Row],[Date]])</f>
        <v>10</v>
      </c>
      <c r="D111" s="2" t="s">
        <v>23</v>
      </c>
      <c r="E111" s="2" t="s">
        <v>29</v>
      </c>
      <c r="F111" s="1" t="s">
        <v>70</v>
      </c>
      <c r="G111" s="1" t="s">
        <v>86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1</v>
      </c>
      <c r="L111" s="2">
        <f>Games[[#This Row],[OppDaysOff]]-Games[[#This Row],[DaysOff]]</f>
        <v>-1</v>
      </c>
      <c r="M111" s="1">
        <f>MAX(-16, MIN(16, Games[[#This Row],[RestDiff]]*8))</f>
        <v>8</v>
      </c>
      <c r="N111" s="1">
        <f>MAX(-16, MIN(16, Games[[#This Row],[OppRestDiff]]*8))</f>
        <v>-8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1561.4905170787024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1497.9395641184735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0.71939749728471947</v>
      </c>
      <c r="R111" s="1">
        <v>76</v>
      </c>
      <c r="S111" s="1">
        <v>74</v>
      </c>
      <c r="T111" s="1">
        <v>1</v>
      </c>
      <c r="U111" s="1">
        <f>Games[[#This Row],[PointsFor]]-Games[[#This Row],[PointsAgainst]]</f>
        <v>2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0.22893309193170969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4.7858202920036925</v>
      </c>
      <c r="AB111" s="4">
        <f>Games[[#This Row],[PreGmRate]]+Games[[#This Row],[RatingChange]]</f>
        <v>1566.2763373707062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38153</v>
      </c>
      <c r="B112" s="2">
        <v>2004</v>
      </c>
      <c r="C112" s="2">
        <f>COUNTIFS(Games[Team],Games[[#This Row],[Team]],Games[Season],Games[[#This Row],[Season]],Games[Date],"&lt;=" &amp; Games[[#This Row],[Date]])</f>
        <v>10</v>
      </c>
      <c r="D112" s="2" t="s">
        <v>23</v>
      </c>
      <c r="E112" s="2" t="s">
        <v>29</v>
      </c>
      <c r="F112" s="1" t="s">
        <v>84</v>
      </c>
      <c r="G112" s="1" t="s">
        <v>64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2" s="2">
        <f>Games[[#This Row],[DaysOff]]-Games[[#This Row],[OppDaysOff]]</f>
        <v>-1</v>
      </c>
      <c r="L112" s="2">
        <f>Games[[#This Row],[OppDaysOff]]-Games[[#This Row],[DaysOff]]</f>
        <v>1</v>
      </c>
      <c r="M112" s="1">
        <f>MAX(-16, MIN(16, Games[[#This Row],[RestDiff]]*8))</f>
        <v>-8</v>
      </c>
      <c r="N112" s="1">
        <f>MAX(-16, MIN(16, Games[[#This Row],[OppRestDiff]]*8))</f>
        <v>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1424.9511924388889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1469.93890382474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0.30266985142186298</v>
      </c>
      <c r="R112" s="1">
        <v>57</v>
      </c>
      <c r="S112" s="1">
        <v>59</v>
      </c>
      <c r="T112" s="1">
        <v>0</v>
      </c>
      <c r="U112" s="1">
        <f>Games[[#This Row],[PointsFor]]-Games[[#This Row],[PointsAgainst]]</f>
        <v>-2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0.25816285737778771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-5.8212894695458068</v>
      </c>
      <c r="AB112" s="4">
        <f>Games[[#This Row],[PreGmRate]]+Games[[#This Row],[RatingChange]]</f>
        <v>1419.1299029693432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38153</v>
      </c>
      <c r="B113" s="2">
        <v>2004</v>
      </c>
      <c r="C113" s="2">
        <f>COUNTIFS(Games[Team],Games[[#This Row],[Team]],Games[Season],Games[[#This Row],[Season]],Games[Date],"&lt;=" &amp; Games[[#This Row],[Date]])</f>
        <v>9</v>
      </c>
      <c r="D113" s="2" t="s">
        <v>23</v>
      </c>
      <c r="E113" s="2" t="s">
        <v>29</v>
      </c>
      <c r="F113" s="1" t="s">
        <v>64</v>
      </c>
      <c r="G113" s="1" t="s">
        <v>84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3" s="2">
        <f>Games[[#This Row],[DaysOff]]-Games[[#This Row],[OppDaysOff]]</f>
        <v>1</v>
      </c>
      <c r="L113" s="2">
        <f>Games[[#This Row],[OppDaysOff]]-Games[[#This Row],[DaysOff]]</f>
        <v>-1</v>
      </c>
      <c r="M113" s="1">
        <f>MAX(-16, MIN(16, Games[[#This Row],[RestDiff]]*8))</f>
        <v>8</v>
      </c>
      <c r="N113" s="1">
        <f>MAX(-16, MIN(16, Games[[#This Row],[OppRestDiff]]*8))</f>
        <v>-8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1469.93890382474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1424.9511924388889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0.69733014857813702</v>
      </c>
      <c r="R113" s="1">
        <v>59</v>
      </c>
      <c r="S113" s="1">
        <v>57</v>
      </c>
      <c r="T113" s="1">
        <v>0</v>
      </c>
      <c r="U113" s="1">
        <f>Games[[#This Row],[PointsFor]]-Games[[#This Row],[PointsAgainst]]</f>
        <v>2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0.25816285737778771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74.650000000000006</v>
      </c>
      <c r="Z113" s="4">
        <f>Games[[#This Row],[K]]*Games[[#This Row],[POMult]]</f>
        <v>74.650000000000006</v>
      </c>
      <c r="AA113" s="4">
        <f>(Games[[#This Row],[Keff]]*Games[[#This Row],[MOVMult]])*(Games[[#This Row],[Result]]-Games[[#This Row],[ExpectedWin%]])</f>
        <v>5.8330101865985835</v>
      </c>
      <c r="AB113" s="4">
        <f>Games[[#This Row],[PreGmRate]]+Games[[#This Row],[RatingChange]]</f>
        <v>1475.7719140113386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38153</v>
      </c>
      <c r="B114" s="2">
        <v>2004</v>
      </c>
      <c r="C114" s="2">
        <f>COUNTIFS(Games[Team],Games[[#This Row],[Team]],Games[Season],Games[[#This Row],[Season]],Games[Date],"&lt;=" &amp; Games[[#This Row],[Date]])</f>
        <v>8</v>
      </c>
      <c r="D114" s="2" t="s">
        <v>23</v>
      </c>
      <c r="E114" s="2" t="s">
        <v>29</v>
      </c>
      <c r="F114" s="1" t="s">
        <v>81</v>
      </c>
      <c r="G114" s="1" t="s">
        <v>66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2</v>
      </c>
      <c r="L114" s="2">
        <f>Games[[#This Row],[OppDaysOff]]-Games[[#This Row],[DaysOff]]</f>
        <v>-2</v>
      </c>
      <c r="M114" s="1">
        <f>MAX(-16, MIN(16, Games[[#This Row],[RestDiff]]*8))</f>
        <v>16</v>
      </c>
      <c r="N114" s="1">
        <f>MAX(-16, MIN(16, Games[[#This Row],[OppRestDiff]]*8))</f>
        <v>-16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1557.852588194434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1549.3954274893638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0.43766284612959788</v>
      </c>
      <c r="R114" s="1">
        <v>86</v>
      </c>
      <c r="S114" s="1">
        <v>62</v>
      </c>
      <c r="T114" s="1">
        <v>0</v>
      </c>
      <c r="U114" s="1">
        <f>Games[[#This Row],[PointsFor]]-Games[[#This Row],[PointsAgainst]]</f>
        <v>24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0.62403297515137157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74.8</v>
      </c>
      <c r="Z114" s="4">
        <f>Games[[#This Row],[K]]*Games[[#This Row],[POMult]]</f>
        <v>74.8</v>
      </c>
      <c r="AA114" s="4">
        <f>(Games[[#This Row],[Keff]]*Games[[#This Row],[MOVMult]])*(Games[[#This Row],[Result]]-Games[[#This Row],[ExpectedWin%]])</f>
        <v>26.248586152159042</v>
      </c>
      <c r="AB114" s="4">
        <f>Games[[#This Row],[PreGmRate]]+Games[[#This Row],[RatingChange]]</f>
        <v>1584.1011743465931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38153</v>
      </c>
      <c r="B115" s="2">
        <v>2004</v>
      </c>
      <c r="C115" s="2">
        <f>COUNTIFS(Games[Team],Games[[#This Row],[Team]],Games[Season],Games[[#This Row],[Season]],Games[Date],"&lt;=" &amp; Games[[#This Row],[Date]])</f>
        <v>10</v>
      </c>
      <c r="D115" s="2" t="s">
        <v>23</v>
      </c>
      <c r="E115" s="2" t="s">
        <v>29</v>
      </c>
      <c r="F115" s="1" t="s">
        <v>66</v>
      </c>
      <c r="G115" s="1" t="s">
        <v>81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5" s="2">
        <f>Games[[#This Row],[DaysOff]]-Games[[#This Row],[OppDaysOff]]</f>
        <v>-2</v>
      </c>
      <c r="L115" s="2">
        <f>Games[[#This Row],[OppDaysOff]]-Games[[#This Row],[DaysOff]]</f>
        <v>2</v>
      </c>
      <c r="M115" s="1">
        <f>MAX(-16, MIN(16, Games[[#This Row],[RestDiff]]*8))</f>
        <v>-16</v>
      </c>
      <c r="N115" s="1">
        <f>MAX(-16, MIN(16, Games[[#This Row],[OppRestDiff]]*8))</f>
        <v>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1549.3954274893638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1557.852588194434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0.56233715387040206</v>
      </c>
      <c r="R115" s="1">
        <v>62</v>
      </c>
      <c r="S115" s="1">
        <v>86</v>
      </c>
      <c r="T115" s="1">
        <v>0</v>
      </c>
      <c r="U115" s="1">
        <f>Games[[#This Row],[PointsFor]]-Games[[#This Row],[PointsAgainst]]</f>
        <v>-24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0.62403297515137157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-26.143311074008672</v>
      </c>
      <c r="AB115" s="4">
        <f>Games[[#This Row],[PreGmRate]]+Games[[#This Row],[RatingChange]]</f>
        <v>1523.2521164153552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38154</v>
      </c>
      <c r="B116" s="2">
        <v>2004</v>
      </c>
      <c r="C116" s="2">
        <f>COUNTIFS(Games[Team],Games[[#This Row],[Team]],Games[Season],Games[[#This Row],[Season]],Games[Date],"&lt;=" &amp; Games[[#This Row],[Date]])</f>
        <v>8</v>
      </c>
      <c r="D116" s="2" t="s">
        <v>23</v>
      </c>
      <c r="E116" s="2" t="s">
        <v>29</v>
      </c>
      <c r="F116" s="1" t="s">
        <v>45</v>
      </c>
      <c r="G116" s="1" t="s">
        <v>79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1485.0130335306387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1498.1009768260358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0.36380592186071203</v>
      </c>
      <c r="R116" s="1">
        <v>50</v>
      </c>
      <c r="S116" s="1">
        <v>63</v>
      </c>
      <c r="T116" s="1">
        <v>0</v>
      </c>
      <c r="U116" s="1">
        <f>Games[[#This Row],[PointsFor]]-Games[[#This Row],[PointsAgainst]]</f>
        <v>-13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0.46695089989778688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74.8</v>
      </c>
      <c r="Z116" s="4">
        <f>Games[[#This Row],[K]]*Games[[#This Row],[POMult]]</f>
        <v>74.8</v>
      </c>
      <c r="AA116" s="4">
        <f>(Games[[#This Row],[Keff]]*Games[[#This Row],[MOVMult]])*(Games[[#This Row],[Result]]-Games[[#This Row],[ExpectedWin%]])</f>
        <v>-12.706986794555055</v>
      </c>
      <c r="AB116" s="4">
        <f>Games[[#This Row],[PreGmRate]]+Games[[#This Row],[RatingChange]]</f>
        <v>1472.3060467360838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38154</v>
      </c>
      <c r="B117" s="2">
        <v>2004</v>
      </c>
      <c r="C117" s="2">
        <f>COUNTIFS(Games[Team],Games[[#This Row],[Team]],Games[Season],Games[[#This Row],[Season]],Games[Date],"&lt;=" &amp; Games[[#This Row],[Date]])</f>
        <v>9</v>
      </c>
      <c r="D117" s="2" t="s">
        <v>23</v>
      </c>
      <c r="E117" s="2" t="s">
        <v>29</v>
      </c>
      <c r="F117" s="1" t="s">
        <v>79</v>
      </c>
      <c r="G117" s="1" t="s">
        <v>45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1498.1009768260358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1485.0130335306387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0.63619407813928808</v>
      </c>
      <c r="R117" s="1">
        <v>63</v>
      </c>
      <c r="S117" s="1">
        <v>50</v>
      </c>
      <c r="T117" s="1">
        <v>0</v>
      </c>
      <c r="U117" s="1">
        <f>Games[[#This Row],[PointsFor]]-Games[[#This Row],[PointsAgainst]]</f>
        <v>13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0.46695089989778688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74.650000000000006</v>
      </c>
      <c r="Z117" s="4">
        <f>Games[[#This Row],[K]]*Games[[#This Row],[POMult]]</f>
        <v>74.650000000000006</v>
      </c>
      <c r="AA117" s="4">
        <f>(Games[[#This Row],[Keff]]*Games[[#This Row],[MOVMult]])*(Games[[#This Row],[Result]]-Games[[#This Row],[ExpectedWin%]])</f>
        <v>12.681504869164904</v>
      </c>
      <c r="AB117" s="4">
        <f>Games[[#This Row],[PreGmRate]]+Games[[#This Row],[RatingChange]]</f>
        <v>1510.7824816952007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38155</v>
      </c>
      <c r="B118" s="2">
        <v>2004</v>
      </c>
      <c r="C118" s="2">
        <f>COUNTIFS(Games[Team],Games[[#This Row],[Team]],Games[Season],Games[[#This Row],[Season]],Games[Date],"&lt;=" &amp; Games[[#This Row],[Date]])</f>
        <v>9</v>
      </c>
      <c r="D118" s="2" t="s">
        <v>23</v>
      </c>
      <c r="E118" s="2" t="s">
        <v>29</v>
      </c>
      <c r="F118" s="1" t="s">
        <v>45</v>
      </c>
      <c r="G118" s="1" t="s">
        <v>77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18" s="2">
        <f>Games[[#This Row],[DaysOff]]-Games[[#This Row],[OppDaysOff]]</f>
        <v>-5</v>
      </c>
      <c r="L118" s="2">
        <f>Games[[#This Row],[OppDaysOff]]-Games[[#This Row],[DaysOff]]</f>
        <v>5</v>
      </c>
      <c r="M118" s="1">
        <f>MAX(-16, MIN(16, Games[[#This Row],[RestDiff]]*8))</f>
        <v>-16</v>
      </c>
      <c r="N118" s="1">
        <f>MAX(-16, MIN(16, Games[[#This Row],[OppRestDiff]]*8))</f>
        <v>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1472.3060467360838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1494.0913666427689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0.31149140437227507</v>
      </c>
      <c r="R118" s="1">
        <v>60</v>
      </c>
      <c r="S118" s="1">
        <v>50</v>
      </c>
      <c r="T118" s="1">
        <v>0</v>
      </c>
      <c r="U118" s="1">
        <f>Games[[#This Row],[PointsFor]]-Games[[#This Row],[PointsAgainst]]</f>
        <v>10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0.41558498938055743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21.359890962086965</v>
      </c>
      <c r="AB118" s="4">
        <f>Games[[#This Row],[PreGmRate]]+Games[[#This Row],[RatingChange]]</f>
        <v>1493.6659376981706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38155</v>
      </c>
      <c r="B119" s="2">
        <v>2004</v>
      </c>
      <c r="C119" s="2">
        <f>COUNTIFS(Games[Team],Games[[#This Row],[Team]],Games[Season],Games[[#This Row],[Season]],Games[Date],"&lt;=" &amp; Games[[#This Row],[Date]])</f>
        <v>9</v>
      </c>
      <c r="D119" s="2" t="s">
        <v>23</v>
      </c>
      <c r="E119" s="2" t="s">
        <v>29</v>
      </c>
      <c r="F119" s="1" t="s">
        <v>77</v>
      </c>
      <c r="G119" s="1" t="s">
        <v>45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9" s="2">
        <f>Games[[#This Row],[DaysOff]]-Games[[#This Row],[OppDaysOff]]</f>
        <v>5</v>
      </c>
      <c r="L119" s="2">
        <f>Games[[#This Row],[OppDaysOff]]-Games[[#This Row],[DaysOff]]</f>
        <v>-5</v>
      </c>
      <c r="M119" s="1">
        <f>MAX(-16, MIN(16, Games[[#This Row],[RestDiff]]*8))</f>
        <v>16</v>
      </c>
      <c r="N119" s="1">
        <f>MAX(-16, MIN(16, Games[[#This Row],[OppRestDiff]]*8))</f>
        <v>-16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1494.0913666427689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1472.3060467360838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0.68850859562772493</v>
      </c>
      <c r="R119" s="1">
        <v>50</v>
      </c>
      <c r="S119" s="1">
        <v>60</v>
      </c>
      <c r="T119" s="1">
        <v>0</v>
      </c>
      <c r="U119" s="1">
        <f>Games[[#This Row],[PointsFor]]-Games[[#This Row],[PointsAgainst]]</f>
        <v>-10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0.41558498938055743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74.650000000000006</v>
      </c>
      <c r="Z119" s="4">
        <f>Games[[#This Row],[K]]*Games[[#This Row],[POMult]]</f>
        <v>74.650000000000006</v>
      </c>
      <c r="AA119" s="4">
        <f>(Games[[#This Row],[Keff]]*Games[[#This Row],[MOVMult]])*(Games[[#This Row],[Result]]-Games[[#This Row],[ExpectedWin%]])</f>
        <v>-21.359890962086965</v>
      </c>
      <c r="AB119" s="4">
        <f>Games[[#This Row],[PreGmRate]]+Games[[#This Row],[RatingChange]]</f>
        <v>1472.731475680682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38155</v>
      </c>
      <c r="B120" s="2">
        <v>2004</v>
      </c>
      <c r="C120" s="2">
        <f>COUNTIFS(Games[Team],Games[[#This Row],[Team]],Games[Season],Games[[#This Row],[Season]],Games[Date],"&lt;=" &amp; Games[[#This Row],[Date]])</f>
        <v>11</v>
      </c>
      <c r="D120" s="2" t="s">
        <v>23</v>
      </c>
      <c r="E120" s="2" t="s">
        <v>29</v>
      </c>
      <c r="F120" s="1" t="s">
        <v>84</v>
      </c>
      <c r="G120" s="1" t="s">
        <v>73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0" s="2">
        <f>Games[[#This Row],[DaysOff]]-Games[[#This Row],[OppDaysOff]]</f>
        <v>-2</v>
      </c>
      <c r="L120" s="2">
        <f>Games[[#This Row],[OppDaysOff]]-Games[[#This Row],[DaysOff]]</f>
        <v>2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1419.1299029693432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1407.1684673520965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0.3545967427429037</v>
      </c>
      <c r="R120" s="1">
        <v>60</v>
      </c>
      <c r="S120" s="1">
        <v>76</v>
      </c>
      <c r="T120" s="1">
        <v>0</v>
      </c>
      <c r="U120" s="1">
        <f>Games[[#This Row],[PointsFor]]-Games[[#This Row],[PointsAgainst]]</f>
        <v>-16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0.5126757506270212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-13.516320795854964</v>
      </c>
      <c r="AB120" s="4">
        <f>Games[[#This Row],[PreGmRate]]+Games[[#This Row],[RatingChange]]</f>
        <v>1405.6135821734883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38155</v>
      </c>
      <c r="B121" s="2">
        <v>2004</v>
      </c>
      <c r="C121" s="2">
        <f>COUNTIFS(Games[Team],Games[[#This Row],[Team]],Games[Season],Games[[#This Row],[Season]],Games[Date],"&lt;=" &amp; Games[[#This Row],[Date]])</f>
        <v>9</v>
      </c>
      <c r="D121" s="2" t="s">
        <v>23</v>
      </c>
      <c r="E121" s="2" t="s">
        <v>29</v>
      </c>
      <c r="F121" s="1" t="s">
        <v>73</v>
      </c>
      <c r="G121" s="1" t="s">
        <v>84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2</v>
      </c>
      <c r="L121" s="2">
        <f>Games[[#This Row],[OppDaysOff]]-Games[[#This Row],[DaysOff]]</f>
        <v>-2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1407.1684673520965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1419.1299029693432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0.64540325725709635</v>
      </c>
      <c r="R121" s="1">
        <v>76</v>
      </c>
      <c r="S121" s="1">
        <v>60</v>
      </c>
      <c r="T121" s="1">
        <v>0</v>
      </c>
      <c r="U121" s="1">
        <f>Games[[#This Row],[PointsFor]]-Games[[#This Row],[PointsAgainst]]</f>
        <v>16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0.5126757506270212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74.650000000000006</v>
      </c>
      <c r="Z121" s="4">
        <f>Games[[#This Row],[K]]*Games[[#This Row],[POMult]]</f>
        <v>74.650000000000006</v>
      </c>
      <c r="AA121" s="4">
        <f>(Games[[#This Row],[Keff]]*Games[[#This Row],[MOVMult]])*(Games[[#This Row],[Result]]-Games[[#This Row],[ExpectedWin%]])</f>
        <v>13.57085874123165</v>
      </c>
      <c r="AB121" s="4">
        <f>Games[[#This Row],[PreGmRate]]+Games[[#This Row],[RatingChange]]</f>
        <v>1420.7393260933281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38156</v>
      </c>
      <c r="B122" s="2">
        <v>2004</v>
      </c>
      <c r="C122" s="2">
        <f>COUNTIFS(Games[Team],Games[[#This Row],[Team]],Games[Season],Games[[#This Row],[Season]],Games[Date],"&lt;=" &amp; Games[[#This Row],[Date]])</f>
        <v>10</v>
      </c>
      <c r="D122" s="2" t="s">
        <v>23</v>
      </c>
      <c r="E122" s="2" t="s">
        <v>29</v>
      </c>
      <c r="F122" s="1" t="s">
        <v>64</v>
      </c>
      <c r="G122" s="1" t="s">
        <v>86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2" s="2">
        <f>Games[[#This Row],[DaysOff]]-Games[[#This Row],[OppDaysOff]]</f>
        <v>-1</v>
      </c>
      <c r="L122" s="2">
        <f>Games[[#This Row],[OppDaysOff]]-Games[[#This Row],[DaysOff]]</f>
        <v>1</v>
      </c>
      <c r="M122" s="1">
        <f>MAX(-16, MIN(16, Games[[#This Row],[RestDiff]]*8))</f>
        <v>-8</v>
      </c>
      <c r="N122" s="1">
        <f>MAX(-16, MIN(16, Games[[#This Row],[OppRestDiff]]*8))</f>
        <v>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1475.7719140113386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1493.1537438264697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0.33722076995160161</v>
      </c>
      <c r="R122" s="1">
        <v>63</v>
      </c>
      <c r="S122" s="1">
        <v>58</v>
      </c>
      <c r="T122" s="1">
        <v>1</v>
      </c>
      <c r="U122" s="1">
        <f>Games[[#This Row],[PointsFor]]-Games[[#This Row],[PointsAgainst]]</f>
        <v>5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0.29431723451347858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14.532517581020883</v>
      </c>
      <c r="AB122" s="4">
        <f>Games[[#This Row],[PreGmRate]]+Games[[#This Row],[RatingChange]]</f>
        <v>1490.3044315923594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38156</v>
      </c>
      <c r="B123" s="2">
        <v>2004</v>
      </c>
      <c r="C123" s="2">
        <f>COUNTIFS(Games[Team],Games[[#This Row],[Team]],Games[Season],Games[[#This Row],[Season]],Games[Date],"&lt;=" &amp; Games[[#This Row],[Date]])</f>
        <v>11</v>
      </c>
      <c r="D123" s="2" t="s">
        <v>23</v>
      </c>
      <c r="E123" s="2" t="s">
        <v>29</v>
      </c>
      <c r="F123" s="1" t="s">
        <v>86</v>
      </c>
      <c r="G123" s="1" t="s">
        <v>64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1</v>
      </c>
      <c r="L123" s="2">
        <f>Games[[#This Row],[OppDaysOff]]-Games[[#This Row],[DaysOff]]</f>
        <v>-1</v>
      </c>
      <c r="M123" s="1">
        <f>MAX(-16, MIN(16, Games[[#This Row],[RestDiff]]*8))</f>
        <v>8</v>
      </c>
      <c r="N123" s="1">
        <f>MAX(-16, MIN(16, Games[[#This Row],[OppRestDiff]]*8))</f>
        <v>-8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1493.1537438264697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1475.7719140113386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0.66277923004839834</v>
      </c>
      <c r="R123" s="1">
        <v>58</v>
      </c>
      <c r="S123" s="1">
        <v>63</v>
      </c>
      <c r="T123" s="1">
        <v>1</v>
      </c>
      <c r="U123" s="1">
        <f>Games[[#This Row],[PointsFor]]-Games[[#This Row],[PointsAgainst]]</f>
        <v>-5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0.29431723451347858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-14.503257478508759</v>
      </c>
      <c r="AB123" s="4">
        <f>Games[[#This Row],[PreGmRate]]+Games[[#This Row],[RatingChange]]</f>
        <v>1478.6504863479611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38156</v>
      </c>
      <c r="B124" s="2">
        <v>2004</v>
      </c>
      <c r="C124" s="2">
        <f>COUNTIFS(Games[Team],Games[[#This Row],[Team]],Games[Season],Games[[#This Row],[Season]],Games[Date],"&lt;=" &amp; Games[[#This Row],[Date]])</f>
        <v>9</v>
      </c>
      <c r="D124" s="2" t="s">
        <v>23</v>
      </c>
      <c r="E124" s="2" t="s">
        <v>29</v>
      </c>
      <c r="F124" s="1" t="s">
        <v>81</v>
      </c>
      <c r="G124" s="1" t="s">
        <v>2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4" s="2">
        <f>Games[[#This Row],[DaysOff]]-Games[[#This Row],[OppDaysOff]]</f>
        <v>-3</v>
      </c>
      <c r="L124" s="2">
        <f>Games[[#This Row],[OppDaysOff]]-Games[[#This Row],[DaysOff]]</f>
        <v>3</v>
      </c>
      <c r="M124" s="1">
        <f>MAX(-16, MIN(16, Games[[#This Row],[RestDiff]]*8))</f>
        <v>-16</v>
      </c>
      <c r="N124" s="1">
        <f>MAX(-16, MIN(16, Games[[#This Row],[OppRestDiff]]*8))</f>
        <v>16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1584.1011743465931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1544.4730003068953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0.39182876225941993</v>
      </c>
      <c r="R124" s="1">
        <v>69</v>
      </c>
      <c r="S124" s="1">
        <v>63</v>
      </c>
      <c r="T124" s="1">
        <v>0</v>
      </c>
      <c r="U124" s="1">
        <f>Games[[#This Row],[PointsFor]]-Games[[#This Row],[PointsAgainst]]</f>
        <v>6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0.34005109123608118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74.650000000000006</v>
      </c>
      <c r="Z124" s="4">
        <f>Games[[#This Row],[K]]*Games[[#This Row],[POMult]]</f>
        <v>74.650000000000006</v>
      </c>
      <c r="AA124" s="4">
        <f>(Games[[#This Row],[Keff]]*Games[[#This Row],[MOVMult]])*(Games[[#This Row],[Result]]-Games[[#This Row],[ExpectedWin%]])</f>
        <v>15.438313726337956</v>
      </c>
      <c r="AB124" s="4">
        <f>Games[[#This Row],[PreGmRate]]+Games[[#This Row],[RatingChange]]</f>
        <v>1599.5394880729311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38156</v>
      </c>
      <c r="B125" s="2">
        <v>2004</v>
      </c>
      <c r="C125" s="2">
        <f>COUNTIFS(Games[Team],Games[[#This Row],[Team]],Games[Season],Games[[#This Row],[Season]],Games[Date],"&lt;=" &amp; Games[[#This Row],[Date]])</f>
        <v>11</v>
      </c>
      <c r="D125" s="2" t="s">
        <v>23</v>
      </c>
      <c r="E125" s="2" t="s">
        <v>29</v>
      </c>
      <c r="F125" s="1" t="s">
        <v>2</v>
      </c>
      <c r="G125" s="1" t="s">
        <v>81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3</v>
      </c>
      <c r="L125" s="2">
        <f>Games[[#This Row],[OppDaysOff]]-Games[[#This Row],[DaysOff]]</f>
        <v>-3</v>
      </c>
      <c r="M125" s="1">
        <f>MAX(-16, MIN(16, Games[[#This Row],[RestDiff]]*8))</f>
        <v>16</v>
      </c>
      <c r="N125" s="1">
        <f>MAX(-16, MIN(16, Games[[#This Row],[OppRestDiff]]*8))</f>
        <v>-16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1544.4730003068953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1584.1011743465931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0.60817123774058002</v>
      </c>
      <c r="R125" s="1">
        <v>63</v>
      </c>
      <c r="S125" s="1">
        <v>69</v>
      </c>
      <c r="T125" s="1">
        <v>0</v>
      </c>
      <c r="U125" s="1">
        <f>Games[[#This Row],[PointsFor]]-Games[[#This Row],[PointsAgainst]]</f>
        <v>-6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0.34005109123608118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74.349999999999994</v>
      </c>
      <c r="Z125" s="4">
        <f>Games[[#This Row],[K]]*Games[[#This Row],[POMult]]</f>
        <v>74.349999999999994</v>
      </c>
      <c r="AA125" s="4">
        <f>(Games[[#This Row],[Keff]]*Games[[#This Row],[MOVMult]])*(Games[[#This Row],[Result]]-Games[[#This Row],[ExpectedWin%]])</f>
        <v>-15.376270938422325</v>
      </c>
      <c r="AB125" s="4">
        <f>Games[[#This Row],[PreGmRate]]+Games[[#This Row],[RatingChange]]</f>
        <v>1529.096729368473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38156</v>
      </c>
      <c r="B126" s="2">
        <v>2004</v>
      </c>
      <c r="C126" s="2">
        <f>COUNTIFS(Games[Team],Games[[#This Row],[Team]],Games[Season],Games[[#This Row],[Season]],Games[Date],"&lt;=" &amp; Games[[#This Row],[Date]])</f>
        <v>11</v>
      </c>
      <c r="D126" s="2" t="s">
        <v>23</v>
      </c>
      <c r="E126" s="2" t="s">
        <v>29</v>
      </c>
      <c r="F126" s="1" t="s">
        <v>70</v>
      </c>
      <c r="G126" s="1" t="s">
        <v>44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26" s="2">
        <f>Games[[#This Row],[DaysOff]]-Games[[#This Row],[OppDaysOff]]</f>
        <v>-3</v>
      </c>
      <c r="L126" s="2">
        <f>Games[[#This Row],[OppDaysOff]]-Games[[#This Row],[DaysOff]]</f>
        <v>3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1566.2763373707062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1445.7424736177388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0.50652438409113831</v>
      </c>
      <c r="R126" s="1">
        <v>76</v>
      </c>
      <c r="S126" s="1">
        <v>74</v>
      </c>
      <c r="T126" s="1">
        <v>0</v>
      </c>
      <c r="U126" s="1">
        <f>Games[[#This Row],[PointsFor]]-Games[[#This Row],[PointsAgainst]]</f>
        <v>2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0.24339367114611912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74.349999999999994</v>
      </c>
      <c r="Z126" s="4">
        <f>Games[[#This Row],[K]]*Games[[#This Row],[POMult]]</f>
        <v>74.349999999999994</v>
      </c>
      <c r="AA126" s="4">
        <f>(Games[[#This Row],[Keff]]*Games[[#This Row],[MOVMult]])*(Games[[#This Row],[Result]]-Games[[#This Row],[ExpectedWin%]])</f>
        <v>8.9300923861311077</v>
      </c>
      <c r="AB126" s="4">
        <f>Games[[#This Row],[PreGmRate]]+Games[[#This Row],[RatingChange]]</f>
        <v>1575.2064297568372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38156</v>
      </c>
      <c r="B127" s="2">
        <v>2004</v>
      </c>
      <c r="C127" s="2">
        <f>COUNTIFS(Games[Team],Games[[#This Row],[Team]],Games[Season],Games[[#This Row],[Season]],Games[Date],"&lt;=" &amp; Games[[#This Row],[Date]])</f>
        <v>9</v>
      </c>
      <c r="D127" s="2" t="s">
        <v>23</v>
      </c>
      <c r="E127" s="2" t="s">
        <v>29</v>
      </c>
      <c r="F127" s="1" t="s">
        <v>44</v>
      </c>
      <c r="G127" s="1" t="s">
        <v>70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7" s="2">
        <f>Games[[#This Row],[DaysOff]]-Games[[#This Row],[OppDaysOff]]</f>
        <v>3</v>
      </c>
      <c r="L127" s="2">
        <f>Games[[#This Row],[OppDaysOff]]-Games[[#This Row],[DaysOff]]</f>
        <v>-3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1445.7424736177388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1566.2763373707062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0.49347561590886174</v>
      </c>
      <c r="R127" s="1">
        <v>74</v>
      </c>
      <c r="S127" s="1">
        <v>76</v>
      </c>
      <c r="T127" s="1">
        <v>0</v>
      </c>
      <c r="U127" s="1">
        <f>Games[[#This Row],[PointsFor]]-Games[[#This Row],[PointsAgainst]]</f>
        <v>-2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0.24339367114611912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74.650000000000006</v>
      </c>
      <c r="Z127" s="4">
        <f>Games[[#This Row],[K]]*Games[[#This Row],[POMult]]</f>
        <v>74.650000000000006</v>
      </c>
      <c r="AA127" s="4">
        <f>(Games[[#This Row],[Keff]]*Games[[#This Row],[MOVMult]])*(Games[[#This Row],[Result]]-Games[[#This Row],[ExpectedWin%]])</f>
        <v>-8.9661250386642539</v>
      </c>
      <c r="AB127" s="4">
        <f>Games[[#This Row],[PreGmRate]]+Games[[#This Row],[RatingChange]]</f>
        <v>1436.7763485790745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38157</v>
      </c>
      <c r="B128" s="2">
        <v>2004</v>
      </c>
      <c r="C128" s="2">
        <f>COUNTIFS(Games[Team],Games[[#This Row],[Team]],Games[Season],Games[[#This Row],[Season]],Games[Date],"&lt;=" &amp; Games[[#This Row],[Date]])</f>
        <v>11</v>
      </c>
      <c r="D128" s="2" t="s">
        <v>23</v>
      </c>
      <c r="E128" s="2" t="s">
        <v>29</v>
      </c>
      <c r="F128" s="1" t="s">
        <v>66</v>
      </c>
      <c r="G128" s="1" t="s">
        <v>79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8" s="2">
        <f>Games[[#This Row],[DaysOff]]-Games[[#This Row],[OppDaysOff]]</f>
        <v>1</v>
      </c>
      <c r="L128" s="2">
        <f>Games[[#This Row],[OppDaysOff]]-Games[[#This Row],[DaysOff]]</f>
        <v>-1</v>
      </c>
      <c r="M128" s="1">
        <f>MAX(-16, MIN(16, Games[[#This Row],[RestDiff]]*8))</f>
        <v>8</v>
      </c>
      <c r="N128" s="1">
        <f>MAX(-16, MIN(16, Games[[#This Row],[OppRestDiff]]*8))</f>
        <v>-8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1523.2521164153552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1510.7824816952007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0.4207589815717368</v>
      </c>
      <c r="R128" s="1">
        <v>65</v>
      </c>
      <c r="S128" s="1">
        <v>70</v>
      </c>
      <c r="T128" s="1">
        <v>0</v>
      </c>
      <c r="U128" s="1">
        <f>Games[[#This Row],[PointsFor]]-Games[[#This Row],[PointsAgainst]]</f>
        <v>-5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0.3283440336593525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74.349999999999994</v>
      </c>
      <c r="Z128" s="4">
        <f>Games[[#This Row],[K]]*Games[[#This Row],[POMult]]</f>
        <v>74.349999999999994</v>
      </c>
      <c r="AA128" s="4">
        <f>(Games[[#This Row],[Keff]]*Games[[#This Row],[MOVMult]])*(Games[[#This Row],[Result]]-Games[[#This Row],[ExpectedWin%]])</f>
        <v>-10.271727684789909</v>
      </c>
      <c r="AB128" s="4">
        <f>Games[[#This Row],[PreGmRate]]+Games[[#This Row],[RatingChange]]</f>
        <v>1512.9803887305652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38157</v>
      </c>
      <c r="B129" s="2">
        <v>2004</v>
      </c>
      <c r="C129" s="2">
        <f>COUNTIFS(Games[Team],Games[[#This Row],[Team]],Games[Season],Games[[#This Row],[Season]],Games[Date],"&lt;=" &amp; Games[[#This Row],[Date]])</f>
        <v>10</v>
      </c>
      <c r="D129" s="2" t="s">
        <v>23</v>
      </c>
      <c r="E129" s="2" t="s">
        <v>29</v>
      </c>
      <c r="F129" s="1" t="s">
        <v>79</v>
      </c>
      <c r="G129" s="1" t="s">
        <v>66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9" s="2">
        <f>Games[[#This Row],[DaysOff]]-Games[[#This Row],[OppDaysOff]]</f>
        <v>-1</v>
      </c>
      <c r="L129" s="2">
        <f>Games[[#This Row],[OppDaysOff]]-Games[[#This Row],[DaysOff]]</f>
        <v>1</v>
      </c>
      <c r="M129" s="1">
        <f>MAX(-16, MIN(16, Games[[#This Row],[RestDiff]]*8))</f>
        <v>-8</v>
      </c>
      <c r="N129" s="1">
        <f>MAX(-16, MIN(16, Games[[#This Row],[OppRestDiff]]*8))</f>
        <v>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1510.7824816952007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1523.2521164153552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0.57924101842826325</v>
      </c>
      <c r="R129" s="1">
        <v>70</v>
      </c>
      <c r="S129" s="1">
        <v>65</v>
      </c>
      <c r="T129" s="1">
        <v>0</v>
      </c>
      <c r="U129" s="1">
        <f>Games[[#This Row],[PointsFor]]-Games[[#This Row],[PointsAgainst]]</f>
        <v>5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0.3283440336593525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10.292450739971057</v>
      </c>
      <c r="AB129" s="4">
        <f>Games[[#This Row],[PreGmRate]]+Games[[#This Row],[RatingChange]]</f>
        <v>1521.0749324351716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38157</v>
      </c>
      <c r="B130" s="2">
        <v>2004</v>
      </c>
      <c r="C130" s="2">
        <f>COUNTIFS(Games[Team],Games[[#This Row],[Team]],Games[Season],Games[[#This Row],[Season]],Games[Date],"&lt;=" &amp; Games[[#This Row],[Date]])</f>
        <v>12</v>
      </c>
      <c r="D130" s="2" t="s">
        <v>23</v>
      </c>
      <c r="E130" s="2" t="s">
        <v>29</v>
      </c>
      <c r="F130" s="1" t="s">
        <v>2</v>
      </c>
      <c r="G130" s="1" t="s">
        <v>77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-1</v>
      </c>
      <c r="L130" s="2">
        <f>Games[[#This Row],[OppDaysOff]]-Games[[#This Row],[DaysOff]]</f>
        <v>1</v>
      </c>
      <c r="M130" s="1">
        <f>MAX(-16, MIN(16, Games[[#This Row],[RestDiff]]*8))</f>
        <v>-8</v>
      </c>
      <c r="N130" s="1">
        <f>MAX(-16, MIN(16, Games[[#This Row],[OppRestDiff]]*8))</f>
        <v>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1529.096729368473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1472.731475680682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0.43753264147942594</v>
      </c>
      <c r="R130" s="1">
        <v>58</v>
      </c>
      <c r="S130" s="1">
        <v>66</v>
      </c>
      <c r="T130" s="1">
        <v>0</v>
      </c>
      <c r="U130" s="1">
        <f>Games[[#This Row],[PointsFor]]-Games[[#This Row],[PointsAgainst]]</f>
        <v>-8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0.37089424483511152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74.2</v>
      </c>
      <c r="Z130" s="4">
        <f>Games[[#This Row],[K]]*Games[[#This Row],[POMult]]</f>
        <v>74.2</v>
      </c>
      <c r="AA130" s="4">
        <f>(Games[[#This Row],[Keff]]*Games[[#This Row],[MOVMult]])*(Games[[#This Row],[Result]]-Games[[#This Row],[ExpectedWin%]])</f>
        <v>-12.041052727994968</v>
      </c>
      <c r="AB130" s="4">
        <f>Games[[#This Row],[PreGmRate]]+Games[[#This Row],[RatingChange]]</f>
        <v>1517.0556766404779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38157</v>
      </c>
      <c r="B131" s="2">
        <v>2004</v>
      </c>
      <c r="C131" s="2">
        <f>COUNTIFS(Games[Team],Games[[#This Row],[Team]],Games[Season],Games[[#This Row],[Season]],Games[Date],"&lt;=" &amp; Games[[#This Row],[Date]])</f>
        <v>10</v>
      </c>
      <c r="D131" s="2" t="s">
        <v>23</v>
      </c>
      <c r="E131" s="2" t="s">
        <v>29</v>
      </c>
      <c r="F131" s="1" t="s">
        <v>77</v>
      </c>
      <c r="G131" s="1" t="s">
        <v>2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1" s="2">
        <f>Games[[#This Row],[DaysOff]]-Games[[#This Row],[OppDaysOff]]</f>
        <v>1</v>
      </c>
      <c r="L131" s="2">
        <f>Games[[#This Row],[OppDaysOff]]-Games[[#This Row],[DaysOff]]</f>
        <v>-1</v>
      </c>
      <c r="M131" s="1">
        <f>MAX(-16, MIN(16, Games[[#This Row],[RestDiff]]*8))</f>
        <v>8</v>
      </c>
      <c r="N131" s="1">
        <f>MAX(-16, MIN(16, Games[[#This Row],[OppRestDiff]]*8))</f>
        <v>-8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1472.731475680682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1529.096729368473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0.56246735852057406</v>
      </c>
      <c r="R131" s="1">
        <v>66</v>
      </c>
      <c r="S131" s="1">
        <v>58</v>
      </c>
      <c r="T131" s="1">
        <v>0</v>
      </c>
      <c r="U131" s="1">
        <f>Games[[#This Row],[PointsFor]]-Games[[#This Row],[PointsAgainst]]</f>
        <v>8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0.37089424483511152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74.5</v>
      </c>
      <c r="Z131" s="4">
        <f>Games[[#This Row],[K]]*Games[[#This Row],[POMult]]</f>
        <v>74.5</v>
      </c>
      <c r="AA131" s="4">
        <f>(Games[[#This Row],[Keff]]*Games[[#This Row],[MOVMult]])*(Games[[#This Row],[Result]]-Games[[#This Row],[ExpectedWin%]])</f>
        <v>12.089736229590633</v>
      </c>
      <c r="AB131" s="4">
        <f>Games[[#This Row],[PreGmRate]]+Games[[#This Row],[RatingChange]]</f>
        <v>1484.8212119102727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38157</v>
      </c>
      <c r="B132" s="2">
        <v>2004</v>
      </c>
      <c r="C132" s="2">
        <f>COUNTIFS(Games[Team],Games[[#This Row],[Team]],Games[Season],Games[[#This Row],[Season]],Games[Date],"&lt;=" &amp; Games[[#This Row],[Date]])</f>
        <v>9</v>
      </c>
      <c r="D132" s="2" t="s">
        <v>23</v>
      </c>
      <c r="E132" s="2" t="s">
        <v>29</v>
      </c>
      <c r="F132" s="1" t="s">
        <v>75</v>
      </c>
      <c r="G132" s="1" t="s">
        <v>45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5</v>
      </c>
      <c r="L132" s="2">
        <f>Games[[#This Row],[OppDaysOff]]-Games[[#This Row],[DaysOff]]</f>
        <v>-5</v>
      </c>
      <c r="M132" s="1">
        <f>MAX(-16, MIN(16, Games[[#This Row],[RestDiff]]*8))</f>
        <v>16</v>
      </c>
      <c r="N132" s="1">
        <f>MAX(-16, MIN(16, Games[[#This Row],[OppRestDiff]]*8))</f>
        <v>-16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1582.7781698053254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1493.6659376981706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0.55320658668131062</v>
      </c>
      <c r="R132" s="1">
        <v>84</v>
      </c>
      <c r="S132" s="1">
        <v>74</v>
      </c>
      <c r="T132" s="1">
        <v>0</v>
      </c>
      <c r="U132" s="1">
        <f>Games[[#This Row],[PointsFor]]-Games[[#This Row],[PointsAgainst]]</f>
        <v>10</v>
      </c>
      <c r="V132" s="1">
        <f>IF(Games[[#This Row],[MOV]]&gt;0,1,IF(Games[[#This Row],[MOV]]=0,0.5,0))</f>
        <v>1</v>
      </c>
      <c r="W132" s="4">
        <f>((ABS(Games[[#This Row],[MOV]])+5)^0.6)/(12+0.01*(ABS(Games[[#This Row],[PreGmRate]]-Games[[#This Row],[OppPreGmRate]])))*IF(Games[[#This Row],[OT]]=1,0.9,1)</f>
        <v>0.393880087825072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74.650000000000006</v>
      </c>
      <c r="Z132" s="4">
        <f>Games[[#This Row],[K]]*Games[[#This Row],[POMult]]</f>
        <v>74.650000000000006</v>
      </c>
      <c r="AA132" s="4">
        <f>(Games[[#This Row],[Keff]]*Games[[#This Row],[MOVMult]])*(Games[[#This Row],[Result]]-Games[[#This Row],[ExpectedWin%]])</f>
        <v>13.13713310571501</v>
      </c>
      <c r="AB132" s="4">
        <f>Games[[#This Row],[PreGmRate]]+Games[[#This Row],[RatingChange]]</f>
        <v>1595.9153029110405</v>
      </c>
      <c r="AC132" s="2">
        <f>IF(Games[[#This Row],[Type]]="R",IF(Games[[#This Row],[Result]]&gt;0.5,1,0),0)</f>
        <v>1</v>
      </c>
      <c r="AD132" s="2">
        <f>IF(Games[[#This Row],[Type]]="R",IF(Games[[#This Row],[Result]]&lt;0.5,1,0),0)</f>
        <v>0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38157</v>
      </c>
      <c r="B133" s="2">
        <v>2004</v>
      </c>
      <c r="C133" s="2">
        <f>COUNTIFS(Games[Team],Games[[#This Row],[Team]],Games[Season],Games[[#This Row],[Season]],Games[Date],"&lt;=" &amp; Games[[#This Row],[Date]])</f>
        <v>10</v>
      </c>
      <c r="D133" s="2" t="s">
        <v>23</v>
      </c>
      <c r="E133" s="2" t="s">
        <v>29</v>
      </c>
      <c r="F133" s="1" t="s">
        <v>45</v>
      </c>
      <c r="G133" s="1" t="s">
        <v>75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3" s="2">
        <f>Games[[#This Row],[DaysOff]]-Games[[#This Row],[OppDaysOff]]</f>
        <v>-5</v>
      </c>
      <c r="L133" s="2">
        <f>Games[[#This Row],[OppDaysOff]]-Games[[#This Row],[DaysOff]]</f>
        <v>5</v>
      </c>
      <c r="M133" s="1">
        <f>MAX(-16, MIN(16, Games[[#This Row],[RestDiff]]*8))</f>
        <v>-16</v>
      </c>
      <c r="N133" s="1">
        <f>MAX(-16, MIN(16, Games[[#This Row],[OppRestDiff]]*8))</f>
        <v>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1493.6659376981706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1582.7781698053254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0.44679341331868938</v>
      </c>
      <c r="R133" s="1">
        <v>74</v>
      </c>
      <c r="S133" s="1">
        <v>84</v>
      </c>
      <c r="T133" s="1">
        <v>0</v>
      </c>
      <c r="U133" s="1">
        <f>Games[[#This Row],[PointsFor]]-Games[[#This Row],[PointsAgainst]]</f>
        <v>-10</v>
      </c>
      <c r="V133" s="1">
        <f>IF(Games[[#This Row],[MOV]]&gt;0,1,IF(Games[[#This Row],[MOV]]=0,0.5,0))</f>
        <v>0</v>
      </c>
      <c r="W133" s="4">
        <f>((ABS(Games[[#This Row],[MOV]])+5)^0.6)/(12+0.01*(ABS(Games[[#This Row],[PreGmRate]]-Games[[#This Row],[OppPreGmRate]])))*IF(Games[[#This Row],[OT]]=1,0.9,1)</f>
        <v>0.393880087825072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74.5</v>
      </c>
      <c r="Z133" s="4">
        <f>Games[[#This Row],[K]]*Games[[#This Row],[POMult]]</f>
        <v>74.5</v>
      </c>
      <c r="AA133" s="4">
        <f>(Games[[#This Row],[Keff]]*Games[[#This Row],[MOVMult]])*(Games[[#This Row],[Result]]-Games[[#This Row],[ExpectedWin%]])</f>
        <v>-13.110735651383365</v>
      </c>
      <c r="AB133" s="4">
        <f>Games[[#This Row],[PreGmRate]]+Games[[#This Row],[RatingChange]]</f>
        <v>1480.5552020467874</v>
      </c>
      <c r="AC133" s="2">
        <f>IF(Games[[#This Row],[Type]]="R",IF(Games[[#This Row],[Result]]&gt;0.5,1,0),0)</f>
        <v>0</v>
      </c>
      <c r="AD133" s="2">
        <f>IF(Games[[#This Row],[Type]]="R",IF(Games[[#This Row],[Result]]&lt;0.5,1,0),0)</f>
        <v>1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38157</v>
      </c>
      <c r="B134" s="2">
        <v>2004</v>
      </c>
      <c r="C134" s="2">
        <f>COUNTIFS(Games[Team],Games[[#This Row],[Team]],Games[Season],Games[[#This Row],[Season]],Games[Date],"&lt;=" &amp; Games[[#This Row],[Date]])</f>
        <v>10</v>
      </c>
      <c r="D134" s="2" t="s">
        <v>23</v>
      </c>
      <c r="E134" s="2" t="s">
        <v>29</v>
      </c>
      <c r="F134" s="1" t="s">
        <v>81</v>
      </c>
      <c r="G134" s="1" t="s">
        <v>84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1599.5394880729311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1405.6135821734883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0.6319708161004558</v>
      </c>
      <c r="R134" s="1">
        <v>74</v>
      </c>
      <c r="S134" s="1">
        <v>61</v>
      </c>
      <c r="T134" s="1">
        <v>0</v>
      </c>
      <c r="U134" s="1">
        <f>Games[[#This Row],[PointsFor]]-Games[[#This Row],[PointsAgainst]]</f>
        <v>13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0.40637203482593476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74.5</v>
      </c>
      <c r="Z134" s="4">
        <f>Games[[#This Row],[K]]*Games[[#This Row],[POMult]]</f>
        <v>74.5</v>
      </c>
      <c r="AA134" s="4">
        <f>(Games[[#This Row],[Keff]]*Games[[#This Row],[MOVMult]])*(Games[[#This Row],[Result]]-Games[[#This Row],[ExpectedWin%]])</f>
        <v>11.141979241075651</v>
      </c>
      <c r="AB134" s="4">
        <f>Games[[#This Row],[PreGmRate]]+Games[[#This Row],[RatingChange]]</f>
        <v>1610.6814673140068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38157</v>
      </c>
      <c r="B135" s="2">
        <v>2004</v>
      </c>
      <c r="C135" s="2">
        <f>COUNTIFS(Games[Team],Games[[#This Row],[Team]],Games[Season],Games[[#This Row],[Season]],Games[Date],"&lt;=" &amp; Games[[#This Row],[Date]])</f>
        <v>12</v>
      </c>
      <c r="D135" s="2" t="s">
        <v>23</v>
      </c>
      <c r="E135" s="2" t="s">
        <v>29</v>
      </c>
      <c r="F135" s="1" t="s">
        <v>84</v>
      </c>
      <c r="G135" s="1" t="s">
        <v>81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1405.6135821734883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1599.5394880729311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0.3680291838995442</v>
      </c>
      <c r="R135" s="1">
        <v>61</v>
      </c>
      <c r="S135" s="1">
        <v>74</v>
      </c>
      <c r="T135" s="1">
        <v>0</v>
      </c>
      <c r="U135" s="1">
        <f>Games[[#This Row],[PointsFor]]-Games[[#This Row],[PointsAgainst]]</f>
        <v>-13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0.40637203482593476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74.2</v>
      </c>
      <c r="Z135" s="4">
        <f>Games[[#This Row],[K]]*Games[[#This Row],[POMult]]</f>
        <v>74.2</v>
      </c>
      <c r="AA135" s="4">
        <f>(Games[[#This Row],[Keff]]*Games[[#This Row],[MOVMult]])*(Games[[#This Row],[Result]]-Games[[#This Row],[ExpectedWin%]])</f>
        <v>-11.097112210574675</v>
      </c>
      <c r="AB135" s="4">
        <f>Games[[#This Row],[PreGmRate]]+Games[[#This Row],[RatingChange]]</f>
        <v>1394.5164699629136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38158</v>
      </c>
      <c r="B136" s="2">
        <v>2004</v>
      </c>
      <c r="C136" s="2">
        <f>COUNTIFS(Games[Team],Games[[#This Row],[Team]],Games[Season],Games[[#This Row],[Season]],Games[Date],"&lt;=" &amp; Games[[#This Row],[Date]])</f>
        <v>12</v>
      </c>
      <c r="D136" s="2" t="s">
        <v>23</v>
      </c>
      <c r="E136" s="2" t="s">
        <v>29</v>
      </c>
      <c r="F136" s="1" t="s">
        <v>70</v>
      </c>
      <c r="G136" s="1" t="s">
        <v>64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1575.2064297568372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1490.3044315923594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0.5012980767882832</v>
      </c>
      <c r="R136" s="1">
        <v>63</v>
      </c>
      <c r="S136" s="1">
        <v>68</v>
      </c>
      <c r="T136" s="1">
        <v>1</v>
      </c>
      <c r="U136" s="1">
        <f>Games[[#This Row],[PointsFor]]-Games[[#This Row],[PointsAgainst]]</f>
        <v>-5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0.27885119177181228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-10.372237407983503</v>
      </c>
      <c r="AB136" s="4">
        <f>Games[[#This Row],[PreGmRate]]+Games[[#This Row],[RatingChange]]</f>
        <v>1564.8341923488538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38158</v>
      </c>
      <c r="B137" s="2">
        <v>2004</v>
      </c>
      <c r="C137" s="2">
        <f>COUNTIFS(Games[Team],Games[[#This Row],[Team]],Games[Season],Games[[#This Row],[Season]],Games[Date],"&lt;=" &amp; Games[[#This Row],[Date]])</f>
        <v>11</v>
      </c>
      <c r="D137" s="2" t="s">
        <v>23</v>
      </c>
      <c r="E137" s="2" t="s">
        <v>29</v>
      </c>
      <c r="F137" s="1" t="s">
        <v>64</v>
      </c>
      <c r="G137" s="1" t="s">
        <v>70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1490.3044315923594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1575.2064297568372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0.4987019232117168</v>
      </c>
      <c r="R137" s="1">
        <v>68</v>
      </c>
      <c r="S137" s="1">
        <v>63</v>
      </c>
      <c r="T137" s="1">
        <v>1</v>
      </c>
      <c r="U137" s="1">
        <f>Games[[#This Row],[PointsFor]]-Games[[#This Row],[PointsAgainst]]</f>
        <v>5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0.27885119177181228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10.393205542905301</v>
      </c>
      <c r="AB137" s="4">
        <f>Games[[#This Row],[PreGmRate]]+Games[[#This Row],[RatingChange]]</f>
        <v>1500.6976371352646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38158</v>
      </c>
      <c r="B138" s="2">
        <v>2004</v>
      </c>
      <c r="C138" s="2">
        <f>COUNTIFS(Games[Team],Games[[#This Row],[Team]],Games[Season],Games[[#This Row],[Season]],Games[Date],"&lt;=" &amp; Games[[#This Row],[Date]])</f>
        <v>10</v>
      </c>
      <c r="D138" s="2" t="s">
        <v>23</v>
      </c>
      <c r="E138" s="2" t="s">
        <v>29</v>
      </c>
      <c r="F138" s="1" t="s">
        <v>73</v>
      </c>
      <c r="G138" s="1" t="s">
        <v>86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1</v>
      </c>
      <c r="L138" s="2">
        <f>Games[[#This Row],[OppDaysOff]]-Games[[#This Row],[DaysOff]]</f>
        <v>-1</v>
      </c>
      <c r="M138" s="1">
        <f>MAX(-16, MIN(16, Games[[#This Row],[RestDiff]]*8))</f>
        <v>8</v>
      </c>
      <c r="N138" s="1">
        <f>MAX(-16, MIN(16, Games[[#This Row],[OppRestDiff]]*8))</f>
        <v>-8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1420.7393260933281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1478.6504863479611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0.32633622934871098</v>
      </c>
      <c r="R138" s="1">
        <v>65</v>
      </c>
      <c r="S138" s="1">
        <v>75</v>
      </c>
      <c r="T138" s="1">
        <v>0</v>
      </c>
      <c r="U138" s="1">
        <f>Games[[#This Row],[PointsFor]]-Games[[#This Row],[PointsAgainst]]</f>
        <v>-10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0.40364984049903668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74.5</v>
      </c>
      <c r="Z138" s="4">
        <f>Games[[#This Row],[K]]*Games[[#This Row],[POMult]]</f>
        <v>74.5</v>
      </c>
      <c r="AA138" s="4">
        <f>(Games[[#This Row],[Keff]]*Games[[#This Row],[MOVMult]])*(Games[[#This Row],[Result]]-Games[[#This Row],[ExpectedWin%]])</f>
        <v>-9.8135547359619864</v>
      </c>
      <c r="AB138" s="4">
        <f>Games[[#This Row],[PreGmRate]]+Games[[#This Row],[RatingChange]]</f>
        <v>1410.9257713573661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38158</v>
      </c>
      <c r="B139" s="2">
        <v>2004</v>
      </c>
      <c r="C139" s="2">
        <f>COUNTIFS(Games[Team],Games[[#This Row],[Team]],Games[Season],Games[[#This Row],[Season]],Games[Date],"&lt;=" &amp; Games[[#This Row],[Date]])</f>
        <v>12</v>
      </c>
      <c r="D139" s="2" t="s">
        <v>23</v>
      </c>
      <c r="E139" s="2" t="s">
        <v>29</v>
      </c>
      <c r="F139" s="1" t="s">
        <v>86</v>
      </c>
      <c r="G139" s="1" t="s">
        <v>73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9" s="2">
        <f>Games[[#This Row],[DaysOff]]-Games[[#This Row],[OppDaysOff]]</f>
        <v>-1</v>
      </c>
      <c r="L139" s="2">
        <f>Games[[#This Row],[OppDaysOff]]-Games[[#This Row],[DaysOff]]</f>
        <v>1</v>
      </c>
      <c r="M139" s="1">
        <f>MAX(-16, MIN(16, Games[[#This Row],[RestDiff]]*8))</f>
        <v>-8</v>
      </c>
      <c r="N139" s="1">
        <f>MAX(-16, MIN(16, Games[[#This Row],[OppRestDiff]]*8))</f>
        <v>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1478.6504863479611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1420.7393260933281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0.67366377065128913</v>
      </c>
      <c r="R139" s="1">
        <v>75</v>
      </c>
      <c r="S139" s="1">
        <v>65</v>
      </c>
      <c r="T139" s="1">
        <v>0</v>
      </c>
      <c r="U139" s="1">
        <f>Games[[#This Row],[PointsFor]]-Games[[#This Row],[PointsAgainst]]</f>
        <v>10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0.40364984049903668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9.7740370658842828</v>
      </c>
      <c r="AB139" s="4">
        <f>Games[[#This Row],[PreGmRate]]+Games[[#This Row],[RatingChange]]</f>
        <v>1488.4245234138455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38160</v>
      </c>
      <c r="B140" s="2">
        <v>2004</v>
      </c>
      <c r="C140" s="2">
        <f>COUNTIFS(Games[Team],Games[[#This Row],[Team]],Games[Season],Games[[#This Row],[Season]],Games[Date],"&lt;=" &amp; Games[[#This Row],[Date]])</f>
        <v>11</v>
      </c>
      <c r="D140" s="2" t="s">
        <v>23</v>
      </c>
      <c r="E140" s="2" t="s">
        <v>29</v>
      </c>
      <c r="F140" s="1" t="s">
        <v>73</v>
      </c>
      <c r="G140" s="1" t="s">
        <v>75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0" s="2">
        <f>Games[[#This Row],[DaysOff]]-Games[[#This Row],[OppDaysOff]]</f>
        <v>-1</v>
      </c>
      <c r="L140" s="2">
        <f>Games[[#This Row],[OppDaysOff]]-Games[[#This Row],[DaysOff]]</f>
        <v>1</v>
      </c>
      <c r="M140" s="1">
        <f>MAX(-16, MIN(16, Games[[#This Row],[RestDiff]]*8))</f>
        <v>-8</v>
      </c>
      <c r="N140" s="1">
        <f>MAX(-16, MIN(16, Games[[#This Row],[OppRestDiff]]*8))</f>
        <v>8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1410.9257713573661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1595.9153029110405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0.1623927382737009</v>
      </c>
      <c r="R140" s="1">
        <v>78</v>
      </c>
      <c r="S140" s="1">
        <v>72</v>
      </c>
      <c r="T140" s="1">
        <v>0</v>
      </c>
      <c r="U140" s="1">
        <f>Games[[#This Row],[PointsFor]]-Games[[#This Row],[PointsAgainst]]</f>
        <v>6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0.30436108266920403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74.349999999999994</v>
      </c>
      <c r="Z140" s="4">
        <f>Games[[#This Row],[K]]*Games[[#This Row],[POMult]]</f>
        <v>74.349999999999994</v>
      </c>
      <c r="AA140" s="4">
        <f>(Games[[#This Row],[Keff]]*Games[[#This Row],[MOVMult]])*(Games[[#This Row],[Result]]-Games[[#This Row],[ExpectedWin%]])</f>
        <v>18.954421192825386</v>
      </c>
      <c r="AB140" s="4">
        <f>Games[[#This Row],[PreGmRate]]+Games[[#This Row],[RatingChange]]</f>
        <v>1429.8801925501914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38160</v>
      </c>
      <c r="B141" s="2">
        <v>2004</v>
      </c>
      <c r="C141" s="2">
        <f>COUNTIFS(Games[Team],Games[[#This Row],[Team]],Games[Season],Games[[#This Row],[Season]],Games[Date],"&lt;=" &amp; Games[[#This Row],[Date]])</f>
        <v>10</v>
      </c>
      <c r="D141" s="2" t="s">
        <v>23</v>
      </c>
      <c r="E141" s="2" t="s">
        <v>29</v>
      </c>
      <c r="F141" s="1" t="s">
        <v>75</v>
      </c>
      <c r="G141" s="1" t="s">
        <v>73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1</v>
      </c>
      <c r="L141" s="2">
        <f>Games[[#This Row],[OppDaysOff]]-Games[[#This Row],[DaysOff]]</f>
        <v>-1</v>
      </c>
      <c r="M141" s="1">
        <f>MAX(-16, MIN(16, Games[[#This Row],[RestDiff]]*8))</f>
        <v>8</v>
      </c>
      <c r="N141" s="1">
        <f>MAX(-16, MIN(16, Games[[#This Row],[OppRestDiff]]*8))</f>
        <v>-8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1595.9153029110405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1410.9257713573661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0.83760726172629907</v>
      </c>
      <c r="R141" s="1">
        <v>72</v>
      </c>
      <c r="S141" s="1">
        <v>78</v>
      </c>
      <c r="T141" s="1">
        <v>0</v>
      </c>
      <c r="U141" s="1">
        <f>Games[[#This Row],[PointsFor]]-Games[[#This Row],[PointsAgainst]]</f>
        <v>-6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0.30436108266920403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74.5</v>
      </c>
      <c r="Z141" s="4">
        <f>Games[[#This Row],[K]]*Games[[#This Row],[POMult]]</f>
        <v>74.5</v>
      </c>
      <c r="AA141" s="4">
        <f>(Games[[#This Row],[Keff]]*Games[[#This Row],[MOVMult]])*(Games[[#This Row],[Result]]-Games[[#This Row],[ExpectedWin%]])</f>
        <v>-18.99266145077998</v>
      </c>
      <c r="AB141" s="4">
        <f>Games[[#This Row],[PreGmRate]]+Games[[#This Row],[RatingChange]]</f>
        <v>1576.9226414602606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38160</v>
      </c>
      <c r="B142" s="2">
        <v>2004</v>
      </c>
      <c r="C142" s="2">
        <f>COUNTIFS(Games[Team],Games[[#This Row],[Team]],Games[Season],Games[[#This Row],[Season]],Games[Date],"&lt;=" &amp; Games[[#This Row],[Date]])</f>
        <v>13</v>
      </c>
      <c r="D142" s="2" t="s">
        <v>23</v>
      </c>
      <c r="E142" s="2" t="s">
        <v>29</v>
      </c>
      <c r="F142" s="1" t="s">
        <v>86</v>
      </c>
      <c r="G142" s="1" t="s">
        <v>79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2" s="2">
        <f>Games[[#This Row],[DaysOff]]-Games[[#This Row],[OppDaysOff]]</f>
        <v>-1</v>
      </c>
      <c r="L142" s="2">
        <f>Games[[#This Row],[OppDaysOff]]-Games[[#This Row],[DaysOff]]</f>
        <v>1</v>
      </c>
      <c r="M142" s="1">
        <f>MAX(-16, MIN(16, Games[[#This Row],[RestDiff]]*8))</f>
        <v>-8</v>
      </c>
      <c r="N142" s="1">
        <f>MAX(-16, MIN(16, Games[[#This Row],[OppRestDiff]]*8))</f>
        <v>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1488.4245234138455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1521.0749324351716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0.31786579903948736</v>
      </c>
      <c r="R142" s="1">
        <v>63</v>
      </c>
      <c r="S142" s="1">
        <v>58</v>
      </c>
      <c r="T142" s="1">
        <v>0</v>
      </c>
      <c r="U142" s="1">
        <f>Games[[#This Row],[PointsFor]]-Games[[#This Row],[PointsAgainst]]</f>
        <v>5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0.32296843260659608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74.05</v>
      </c>
      <c r="Z142" s="4">
        <f>Games[[#This Row],[K]]*Games[[#This Row],[POMult]]</f>
        <v>74.05</v>
      </c>
      <c r="AA142" s="4">
        <f>(Games[[#This Row],[Keff]]*Games[[#This Row],[MOVMult]])*(Games[[#This Row],[Result]]-Games[[#This Row],[ExpectedWin%]])</f>
        <v>16.313793605341729</v>
      </c>
      <c r="AB142" s="4">
        <f>Games[[#This Row],[PreGmRate]]+Games[[#This Row],[RatingChange]]</f>
        <v>1504.7383170191872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38160</v>
      </c>
      <c r="B143" s="2">
        <v>2004</v>
      </c>
      <c r="C143" s="2">
        <f>COUNTIFS(Games[Team],Games[[#This Row],[Team]],Games[Season],Games[[#This Row],[Season]],Games[Date],"&lt;=" &amp; Games[[#This Row],[Date]])</f>
        <v>11</v>
      </c>
      <c r="D143" s="2" t="s">
        <v>23</v>
      </c>
      <c r="E143" s="2" t="s">
        <v>29</v>
      </c>
      <c r="F143" s="1" t="s">
        <v>79</v>
      </c>
      <c r="G143" s="1" t="s">
        <v>86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1</v>
      </c>
      <c r="L143" s="2">
        <f>Games[[#This Row],[OppDaysOff]]-Games[[#This Row],[DaysOff]]</f>
        <v>-1</v>
      </c>
      <c r="M143" s="1">
        <f>MAX(-16, MIN(16, Games[[#This Row],[RestDiff]]*8))</f>
        <v>8</v>
      </c>
      <c r="N143" s="1">
        <f>MAX(-16, MIN(16, Games[[#This Row],[OppRestDiff]]*8))</f>
        <v>-8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1521.0749324351716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1488.4245234138455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0.68213420096051258</v>
      </c>
      <c r="R143" s="1">
        <v>58</v>
      </c>
      <c r="S143" s="1">
        <v>63</v>
      </c>
      <c r="T143" s="1">
        <v>0</v>
      </c>
      <c r="U143" s="1">
        <f>Games[[#This Row],[PointsFor]]-Games[[#This Row],[PointsAgainst]]</f>
        <v>-5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0.32296843260659608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74.349999999999994</v>
      </c>
      <c r="Z143" s="4">
        <f>Games[[#This Row],[K]]*Games[[#This Row],[POMult]]</f>
        <v>74.349999999999994</v>
      </c>
      <c r="AA143" s="4">
        <f>(Games[[#This Row],[Keff]]*Games[[#This Row],[MOVMult]])*(Games[[#This Row],[Result]]-Games[[#This Row],[ExpectedWin%]])</f>
        <v>-16.379885949455197</v>
      </c>
      <c r="AB143" s="4">
        <f>Games[[#This Row],[PreGmRate]]+Games[[#This Row],[RatingChange]]</f>
        <v>1504.6950464857164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38160</v>
      </c>
      <c r="B144" s="2">
        <v>2004</v>
      </c>
      <c r="C144" s="2">
        <f>COUNTIFS(Games[Team],Games[[#This Row],[Team]],Games[Season],Games[[#This Row],[Season]],Games[Date],"&lt;=" &amp; Games[[#This Row],[Date]])</f>
        <v>13</v>
      </c>
      <c r="D144" s="2" t="s">
        <v>23</v>
      </c>
      <c r="E144" s="2" t="s">
        <v>29</v>
      </c>
      <c r="F144" s="1" t="s">
        <v>70</v>
      </c>
      <c r="G144" s="1" t="s">
        <v>66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-1</v>
      </c>
      <c r="L144" s="2">
        <f>Games[[#This Row],[OppDaysOff]]-Games[[#This Row],[DaysOff]]</f>
        <v>1</v>
      </c>
      <c r="M144" s="1">
        <f>MAX(-16, MIN(16, Games[[#This Row],[RestDiff]]*8))</f>
        <v>-8</v>
      </c>
      <c r="N144" s="1">
        <f>MAX(-16, MIN(16, Games[[#This Row],[OppRestDiff]]*8))</f>
        <v>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1564.8341923488538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1512.9803887305652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0.43115219174119612</v>
      </c>
      <c r="R144" s="1">
        <v>65</v>
      </c>
      <c r="S144" s="1">
        <v>49</v>
      </c>
      <c r="T144" s="1">
        <v>0</v>
      </c>
      <c r="U144" s="1">
        <f>Games[[#This Row],[PointsFor]]-Games[[#This Row],[PointsAgainst]]</f>
        <v>16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0.49633849970354232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74.05</v>
      </c>
      <c r="Z144" s="4">
        <f>Games[[#This Row],[K]]*Games[[#This Row],[POMult]]</f>
        <v>74.05</v>
      </c>
      <c r="AA144" s="4">
        <f>(Games[[#This Row],[Keff]]*Games[[#This Row],[MOVMult]])*(Games[[#This Row],[Result]]-Games[[#This Row],[ExpectedWin%]])</f>
        <v>20.907356063986445</v>
      </c>
      <c r="AB144" s="4">
        <f>Games[[#This Row],[PreGmRate]]+Games[[#This Row],[RatingChange]]</f>
        <v>1585.7415484128403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38160</v>
      </c>
      <c r="B145" s="2">
        <v>2004</v>
      </c>
      <c r="C145" s="2">
        <f>COUNTIFS(Games[Team],Games[[#This Row],[Team]],Games[Season],Games[[#This Row],[Season]],Games[Date],"&lt;=" &amp; Games[[#This Row],[Date]])</f>
        <v>12</v>
      </c>
      <c r="D145" s="2" t="s">
        <v>23</v>
      </c>
      <c r="E145" s="2" t="s">
        <v>29</v>
      </c>
      <c r="F145" s="1" t="s">
        <v>66</v>
      </c>
      <c r="G145" s="1" t="s">
        <v>70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1</v>
      </c>
      <c r="L145" s="2">
        <f>Games[[#This Row],[OppDaysOff]]-Games[[#This Row],[DaysOff]]</f>
        <v>-1</v>
      </c>
      <c r="M145" s="1">
        <f>MAX(-16, MIN(16, Games[[#This Row],[RestDiff]]*8))</f>
        <v>8</v>
      </c>
      <c r="N145" s="1">
        <f>MAX(-16, MIN(16, Games[[#This Row],[OppRestDiff]]*8))</f>
        <v>-8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1512.9803887305652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1564.8341923488538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0.56884780825880377</v>
      </c>
      <c r="R145" s="1">
        <v>49</v>
      </c>
      <c r="S145" s="1">
        <v>65</v>
      </c>
      <c r="T145" s="1">
        <v>0</v>
      </c>
      <c r="U145" s="1">
        <f>Games[[#This Row],[PointsFor]]-Games[[#This Row],[PointsAgainst]]</f>
        <v>-16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0.49633849970354232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74.2</v>
      </c>
      <c r="Z145" s="4">
        <f>Games[[#This Row],[K]]*Games[[#This Row],[POMult]]</f>
        <v>74.2</v>
      </c>
      <c r="AA145" s="4">
        <f>(Games[[#This Row],[Keff]]*Games[[#This Row],[MOVMult]])*(Games[[#This Row],[Result]]-Games[[#This Row],[ExpectedWin%]])</f>
        <v>-20.949707224143065</v>
      </c>
      <c r="AB145" s="4">
        <f>Games[[#This Row],[PreGmRate]]+Games[[#This Row],[RatingChange]]</f>
        <v>1492.0306815064221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38160</v>
      </c>
      <c r="B146" s="2">
        <v>2004</v>
      </c>
      <c r="C146" s="2">
        <f>COUNTIFS(Games[Team],Games[[#This Row],[Team]],Games[Season],Games[[#This Row],[Season]],Games[Date],"&lt;=" &amp; Games[[#This Row],[Date]])</f>
        <v>11</v>
      </c>
      <c r="D146" s="2" t="s">
        <v>23</v>
      </c>
      <c r="E146" s="2" t="s">
        <v>29</v>
      </c>
      <c r="F146" s="1" t="s">
        <v>77</v>
      </c>
      <c r="G146" s="1" t="s">
        <v>44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6" s="2">
        <f>Games[[#This Row],[DaysOff]]-Games[[#This Row],[OppDaysOff]]</f>
        <v>-1</v>
      </c>
      <c r="L146" s="2">
        <f>Games[[#This Row],[OppDaysOff]]-Games[[#This Row],[DaysOff]]</f>
        <v>1</v>
      </c>
      <c r="M146" s="1">
        <f>MAX(-16, MIN(16, Games[[#This Row],[RestDiff]]*8))</f>
        <v>-8</v>
      </c>
      <c r="N146" s="1">
        <f>MAX(-16, MIN(16, Games[[#This Row],[OppRestDiff]]*8))</f>
        <v>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1484.8212119102727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1436.7763485790745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0.42578293615034102</v>
      </c>
      <c r="R146" s="1">
        <v>46</v>
      </c>
      <c r="S146" s="1">
        <v>69</v>
      </c>
      <c r="T146" s="1">
        <v>0</v>
      </c>
      <c r="U146" s="1">
        <f>Games[[#This Row],[PointsFor]]-Games[[#This Row],[PointsAgainst]]</f>
        <v>-23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0.59164966322077539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74.349999999999994</v>
      </c>
      <c r="Z146" s="4">
        <f>Games[[#This Row],[K]]*Games[[#This Row],[POMult]]</f>
        <v>74.349999999999994</v>
      </c>
      <c r="AA146" s="4">
        <f>(Games[[#This Row],[Keff]]*Games[[#This Row],[MOVMult]])*(Games[[#This Row],[Result]]-Games[[#This Row],[ExpectedWin%]])</f>
        <v>-18.729830493381634</v>
      </c>
      <c r="AB146" s="4">
        <f>Games[[#This Row],[PreGmRate]]+Games[[#This Row],[RatingChange]]</f>
        <v>1466.0913814168912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38160</v>
      </c>
      <c r="B147" s="2">
        <v>2004</v>
      </c>
      <c r="C147" s="2">
        <f>COUNTIFS(Games[Team],Games[[#This Row],[Team]],Games[Season],Games[[#This Row],[Season]],Games[Date],"&lt;=" &amp; Games[[#This Row],[Date]])</f>
        <v>10</v>
      </c>
      <c r="D147" s="2" t="s">
        <v>23</v>
      </c>
      <c r="E147" s="2" t="s">
        <v>29</v>
      </c>
      <c r="F147" s="1" t="s">
        <v>44</v>
      </c>
      <c r="G147" s="1" t="s">
        <v>77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7" s="2">
        <f>Games[[#This Row],[DaysOff]]-Games[[#This Row],[OppDaysOff]]</f>
        <v>1</v>
      </c>
      <c r="L147" s="2">
        <f>Games[[#This Row],[OppDaysOff]]-Games[[#This Row],[DaysOff]]</f>
        <v>-1</v>
      </c>
      <c r="M147" s="1">
        <f>MAX(-16, MIN(16, Games[[#This Row],[RestDiff]]*8))</f>
        <v>8</v>
      </c>
      <c r="N147" s="1">
        <f>MAX(-16, MIN(16, Games[[#This Row],[OppRestDiff]]*8))</f>
        <v>-8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1436.7763485790745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1484.8212119102727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0.57421706384965898</v>
      </c>
      <c r="R147" s="1">
        <v>69</v>
      </c>
      <c r="S147" s="1">
        <v>46</v>
      </c>
      <c r="T147" s="1">
        <v>0</v>
      </c>
      <c r="U147" s="1">
        <f>Games[[#This Row],[PointsFor]]-Games[[#This Row],[PointsAgainst]]</f>
        <v>23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0.59164966322077539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74.5</v>
      </c>
      <c r="Z147" s="4">
        <f>Games[[#This Row],[K]]*Games[[#This Row],[POMult]]</f>
        <v>74.5</v>
      </c>
      <c r="AA147" s="4">
        <f>(Games[[#This Row],[Keff]]*Games[[#This Row],[MOVMult]])*(Games[[#This Row],[Result]]-Games[[#This Row],[ExpectedWin%]])</f>
        <v>18.767617642998413</v>
      </c>
      <c r="AB147" s="4">
        <f>Games[[#This Row],[PreGmRate]]+Games[[#This Row],[RatingChange]]</f>
        <v>1455.5439662220729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38160</v>
      </c>
      <c r="B148" s="2">
        <v>2004</v>
      </c>
      <c r="C148" s="2">
        <f>COUNTIFS(Games[Team],Games[[#This Row],[Team]],Games[Season],Games[[#This Row],[Season]],Games[Date],"&lt;=" &amp; Games[[#This Row],[Date]])</f>
        <v>13</v>
      </c>
      <c r="D148" s="2" t="s">
        <v>23</v>
      </c>
      <c r="E148" s="2" t="s">
        <v>29</v>
      </c>
      <c r="F148" s="1" t="s">
        <v>2</v>
      </c>
      <c r="G148" s="1" t="s">
        <v>81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1517.0556766404779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1610.6814673140068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0.2645414476842079</v>
      </c>
      <c r="R148" s="1">
        <v>63</v>
      </c>
      <c r="S148" s="1">
        <v>57</v>
      </c>
      <c r="T148" s="1">
        <v>0</v>
      </c>
      <c r="U148" s="1">
        <f>Games[[#This Row],[PointsFor]]-Games[[#This Row],[PointsAgainst]]</f>
        <v>6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0.325856918088898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74.05</v>
      </c>
      <c r="Z148" s="4">
        <f>Games[[#This Row],[K]]*Games[[#This Row],[POMult]]</f>
        <v>74.05</v>
      </c>
      <c r="AA148" s="4">
        <f>(Games[[#This Row],[Keff]]*Games[[#This Row],[MOVMult]])*(Games[[#This Row],[Result]]-Games[[#This Row],[ExpectedWin%]])</f>
        <v>17.746397748603236</v>
      </c>
      <c r="AB148" s="4">
        <f>Games[[#This Row],[PreGmRate]]+Games[[#This Row],[RatingChange]]</f>
        <v>1534.8020743890811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38160</v>
      </c>
      <c r="B149" s="2">
        <v>2004</v>
      </c>
      <c r="C149" s="2">
        <f>COUNTIFS(Games[Team],Games[[#This Row],[Team]],Games[Season],Games[[#This Row],[Season]],Games[Date],"&lt;=" &amp; Games[[#This Row],[Date]])</f>
        <v>11</v>
      </c>
      <c r="D149" s="2" t="s">
        <v>23</v>
      </c>
      <c r="E149" s="2" t="s">
        <v>29</v>
      </c>
      <c r="F149" s="1" t="s">
        <v>81</v>
      </c>
      <c r="G149" s="1" t="s">
        <v>2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1610.6814673140068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1517.0556766404779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0.73545855231579216</v>
      </c>
      <c r="R149" s="1">
        <v>57</v>
      </c>
      <c r="S149" s="1">
        <v>63</v>
      </c>
      <c r="T149" s="1">
        <v>0</v>
      </c>
      <c r="U149" s="1">
        <f>Games[[#This Row],[PointsFor]]-Games[[#This Row],[PointsAgainst]]</f>
        <v>-6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0.325856918088898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74.349999999999994</v>
      </c>
      <c r="Z149" s="4">
        <f>Games[[#This Row],[K]]*Games[[#This Row],[POMult]]</f>
        <v>74.349999999999994</v>
      </c>
      <c r="AA149" s="4">
        <f>(Games[[#This Row],[Keff]]*Games[[#This Row],[MOVMult]])*(Games[[#This Row],[Result]]-Games[[#This Row],[ExpectedWin%]])</f>
        <v>-17.818294025775156</v>
      </c>
      <c r="AB149" s="4">
        <f>Games[[#This Row],[PreGmRate]]+Games[[#This Row],[RatingChange]]</f>
        <v>1592.8631732882316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38161</v>
      </c>
      <c r="B150" s="2">
        <v>2004</v>
      </c>
      <c r="C150" s="2">
        <f>COUNTIFS(Games[Team],Games[[#This Row],[Team]],Games[Season],Games[[#This Row],[Season]],Games[Date],"&lt;=" &amp; Games[[#This Row],[Date]])</f>
        <v>11</v>
      </c>
      <c r="D150" s="2" t="s">
        <v>23</v>
      </c>
      <c r="E150" s="2" t="s">
        <v>29</v>
      </c>
      <c r="F150" s="1" t="s">
        <v>75</v>
      </c>
      <c r="G150" s="1" t="s">
        <v>64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-2</v>
      </c>
      <c r="L150" s="2">
        <f>Games[[#This Row],[OppDaysOff]]-Games[[#This Row],[DaysOff]]</f>
        <v>2</v>
      </c>
      <c r="M150" s="1">
        <f>MAX(-16, MIN(16, Games[[#This Row],[RestDiff]]*8))</f>
        <v>-16</v>
      </c>
      <c r="N150" s="1">
        <f>MAX(-16, MIN(16, Games[[#This Row],[OppRestDiff]]*8))</f>
        <v>16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1576.9226414602606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1500.6976371352646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0.44300794282913908</v>
      </c>
      <c r="R150" s="1">
        <v>65</v>
      </c>
      <c r="S150" s="1">
        <v>60</v>
      </c>
      <c r="T150" s="1">
        <v>0</v>
      </c>
      <c r="U150" s="1">
        <f>Games[[#This Row],[PointsFor]]-Games[[#This Row],[PointsAgainst]]</f>
        <v>5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0.31194120880279952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74.349999999999994</v>
      </c>
      <c r="Z150" s="4">
        <f>Games[[#This Row],[K]]*Games[[#This Row],[POMult]]</f>
        <v>74.349999999999994</v>
      </c>
      <c r="AA150" s="4">
        <f>(Games[[#This Row],[Keff]]*Games[[#This Row],[MOVMult]])*(Games[[#This Row],[Result]]-Games[[#This Row],[ExpectedWin%]])</f>
        <v>12.918221466412893</v>
      </c>
      <c r="AB150" s="4">
        <f>Games[[#This Row],[PreGmRate]]+Games[[#This Row],[RatingChange]]</f>
        <v>1589.8408629266735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38161</v>
      </c>
      <c r="B151" s="2">
        <v>2004</v>
      </c>
      <c r="C151" s="2">
        <f>COUNTIFS(Games[Team],Games[[#This Row],[Team]],Games[Season],Games[[#This Row],[Season]],Games[Date],"&lt;=" &amp; Games[[#This Row],[Date]])</f>
        <v>12</v>
      </c>
      <c r="D151" s="2" t="s">
        <v>23</v>
      </c>
      <c r="E151" s="2" t="s">
        <v>29</v>
      </c>
      <c r="F151" s="1" t="s">
        <v>64</v>
      </c>
      <c r="G151" s="1" t="s">
        <v>75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1" s="2">
        <f>Games[[#This Row],[DaysOff]]-Games[[#This Row],[OppDaysOff]]</f>
        <v>2</v>
      </c>
      <c r="L151" s="2">
        <f>Games[[#This Row],[OppDaysOff]]-Games[[#This Row],[DaysOff]]</f>
        <v>-2</v>
      </c>
      <c r="M151" s="1">
        <f>MAX(-16, MIN(16, Games[[#This Row],[RestDiff]]*8))</f>
        <v>16</v>
      </c>
      <c r="N151" s="1">
        <f>MAX(-16, MIN(16, Games[[#This Row],[OppRestDiff]]*8))</f>
        <v>-16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1500.6976371352646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1576.9226414602606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0.55699205717086098</v>
      </c>
      <c r="R151" s="1">
        <v>60</v>
      </c>
      <c r="S151" s="1">
        <v>65</v>
      </c>
      <c r="T151" s="1">
        <v>0</v>
      </c>
      <c r="U151" s="1">
        <f>Games[[#This Row],[PointsFor]]-Games[[#This Row],[PointsAgainst]]</f>
        <v>-5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0.31194120880279952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74.2</v>
      </c>
      <c r="Z151" s="4">
        <f>Games[[#This Row],[K]]*Games[[#This Row],[POMult]]</f>
        <v>74.2</v>
      </c>
      <c r="AA151" s="4">
        <f>(Games[[#This Row],[Keff]]*Games[[#This Row],[MOVMult]])*(Games[[#This Row],[Result]]-Games[[#This Row],[ExpectedWin%]])</f>
        <v>-12.89215915007178</v>
      </c>
      <c r="AB151" s="4">
        <f>Games[[#This Row],[PreGmRate]]+Games[[#This Row],[RatingChange]]</f>
        <v>1487.8054779851927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38162</v>
      </c>
      <c r="B152" s="2">
        <v>2004</v>
      </c>
      <c r="C152" s="2">
        <f>COUNTIFS(Games[Team],Games[[#This Row],[Team]],Games[Season],Games[[#This Row],[Season]],Games[Date],"&lt;=" &amp; Games[[#This Row],[Date]])</f>
        <v>13</v>
      </c>
      <c r="D152" s="2" t="s">
        <v>23</v>
      </c>
      <c r="E152" s="2" t="s">
        <v>29</v>
      </c>
      <c r="F152" s="1" t="s">
        <v>66</v>
      </c>
      <c r="G152" s="1" t="s">
        <v>44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1492.0306815064221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1455.5439662220729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0.43204597857952365</v>
      </c>
      <c r="R152" s="1">
        <v>60</v>
      </c>
      <c r="S152" s="1">
        <v>72</v>
      </c>
      <c r="T152" s="1">
        <v>0</v>
      </c>
      <c r="U152" s="1">
        <f>Games[[#This Row],[PointsFor]]-Games[[#This Row],[PointsAgainst]]</f>
        <v>-12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0.44266980382880705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74.05</v>
      </c>
      <c r="Z152" s="4">
        <f>Games[[#This Row],[K]]*Games[[#This Row],[POMult]]</f>
        <v>74.05</v>
      </c>
      <c r="AA152" s="4">
        <f>(Games[[#This Row],[Keff]]*Games[[#This Row],[MOVMult]])*(Games[[#This Row],[Result]]-Games[[#This Row],[ExpectedWin%]])</f>
        <v>-14.162337120558021</v>
      </c>
      <c r="AB152" s="4">
        <f>Games[[#This Row],[PreGmRate]]+Games[[#This Row],[RatingChange]]</f>
        <v>1477.868344385864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38162</v>
      </c>
      <c r="B153" s="2">
        <v>2004</v>
      </c>
      <c r="C153" s="2">
        <f>COUNTIFS(Games[Team],Games[[#This Row],[Team]],Games[Season],Games[[#This Row],[Season]],Games[Date],"&lt;=" &amp; Games[[#This Row],[Date]])</f>
        <v>11</v>
      </c>
      <c r="D153" s="2" t="s">
        <v>23</v>
      </c>
      <c r="E153" s="2" t="s">
        <v>29</v>
      </c>
      <c r="F153" s="1" t="s">
        <v>44</v>
      </c>
      <c r="G153" s="1" t="s">
        <v>66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1455.5439662220729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1492.0306815064221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0.56795402142047635</v>
      </c>
      <c r="R153" s="1">
        <v>72</v>
      </c>
      <c r="S153" s="1">
        <v>60</v>
      </c>
      <c r="T153" s="1">
        <v>0</v>
      </c>
      <c r="U153" s="1">
        <f>Games[[#This Row],[PointsFor]]-Games[[#This Row],[PointsAgainst]]</f>
        <v>12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0.44266980382880705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74.349999999999994</v>
      </c>
      <c r="Z153" s="4">
        <f>Games[[#This Row],[K]]*Games[[#This Row],[POMult]]</f>
        <v>74.349999999999994</v>
      </c>
      <c r="AA153" s="4">
        <f>(Games[[#This Row],[Keff]]*Games[[#This Row],[MOVMult]])*(Games[[#This Row],[Result]]-Games[[#This Row],[ExpectedWin%]])</f>
        <v>14.219713233132866</v>
      </c>
      <c r="AB153" s="4">
        <f>Games[[#This Row],[PreGmRate]]+Games[[#This Row],[RatingChange]]</f>
        <v>1469.7636794552056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38162</v>
      </c>
      <c r="B154" s="2">
        <v>2004</v>
      </c>
      <c r="C154" s="2">
        <f>COUNTIFS(Games[Team],Games[[#This Row],[Team]],Games[Season],Games[[#This Row],[Season]],Games[Date],"&lt;=" &amp; Games[[#This Row],[Date]])</f>
        <v>12</v>
      </c>
      <c r="D154" s="2" t="s">
        <v>23</v>
      </c>
      <c r="E154" s="2" t="s">
        <v>29</v>
      </c>
      <c r="F154" s="1" t="s">
        <v>77</v>
      </c>
      <c r="G154" s="1" t="s">
        <v>84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4" s="2">
        <f>Games[[#This Row],[DaysOff]]-Games[[#This Row],[OppDaysOff]]</f>
        <v>-3</v>
      </c>
      <c r="L154" s="2">
        <f>Games[[#This Row],[OppDaysOff]]-Games[[#This Row],[DaysOff]]</f>
        <v>3</v>
      </c>
      <c r="M154" s="1">
        <f>MAX(-16, MIN(16, Games[[#This Row],[RestDiff]]*8))</f>
        <v>-16</v>
      </c>
      <c r="N154" s="1">
        <f>MAX(-16, MIN(16, Games[[#This Row],[OppRestDiff]]*8))</f>
        <v>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1466.0913814168912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1394.5164699629136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0.4364133208387892</v>
      </c>
      <c r="R154" s="1">
        <v>57</v>
      </c>
      <c r="S154" s="1">
        <v>70</v>
      </c>
      <c r="T154" s="1">
        <v>0</v>
      </c>
      <c r="U154" s="1">
        <f>Games[[#This Row],[PointsFor]]-Games[[#This Row],[PointsAgainst]]</f>
        <v>-13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0.44547317006218146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74.2</v>
      </c>
      <c r="Z154" s="4">
        <f>Games[[#This Row],[K]]*Games[[#This Row],[POMult]]</f>
        <v>74.2</v>
      </c>
      <c r="AA154" s="4">
        <f>(Games[[#This Row],[Keff]]*Games[[#This Row],[MOVMult]])*(Games[[#This Row],[Result]]-Games[[#This Row],[ExpectedWin%]])</f>
        <v>-14.425253571463314</v>
      </c>
      <c r="AB154" s="4">
        <f>Games[[#This Row],[PreGmRate]]+Games[[#This Row],[RatingChange]]</f>
        <v>1451.6661278454278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38162</v>
      </c>
      <c r="B155" s="2">
        <v>2004</v>
      </c>
      <c r="C155" s="2">
        <f>COUNTIFS(Games[Team],Games[[#This Row],[Team]],Games[Season],Games[[#This Row],[Season]],Games[Date],"&lt;=" &amp; Games[[#This Row],[Date]])</f>
        <v>13</v>
      </c>
      <c r="D155" s="2" t="s">
        <v>23</v>
      </c>
      <c r="E155" s="2" t="s">
        <v>29</v>
      </c>
      <c r="F155" s="1" t="s">
        <v>84</v>
      </c>
      <c r="G155" s="1" t="s">
        <v>77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3</v>
      </c>
      <c r="L155" s="2">
        <f>Games[[#This Row],[OppDaysOff]]-Games[[#This Row],[DaysOff]]</f>
        <v>-3</v>
      </c>
      <c r="M155" s="1">
        <f>MAX(-16, MIN(16, Games[[#This Row],[RestDiff]]*8))</f>
        <v>16</v>
      </c>
      <c r="N155" s="1">
        <f>MAX(-16, MIN(16, Games[[#This Row],[OppRestDiff]]*8))</f>
        <v>-16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1394.5164699629136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1466.0913814168912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0.56358667916121075</v>
      </c>
      <c r="R155" s="1">
        <v>70</v>
      </c>
      <c r="S155" s="1">
        <v>57</v>
      </c>
      <c r="T155" s="1">
        <v>0</v>
      </c>
      <c r="U155" s="1">
        <f>Games[[#This Row],[PointsFor]]-Games[[#This Row],[PointsAgainst]]</f>
        <v>13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0.44547317006218146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74.05</v>
      </c>
      <c r="Z155" s="4">
        <f>Games[[#This Row],[K]]*Games[[#This Row],[POMult]]</f>
        <v>74.05</v>
      </c>
      <c r="AA155" s="4">
        <f>(Games[[#This Row],[Keff]]*Games[[#This Row],[MOVMult]])*(Games[[#This Row],[Result]]-Games[[#This Row],[ExpectedWin%]])</f>
        <v>14.3960920076396</v>
      </c>
      <c r="AB155" s="4">
        <f>Games[[#This Row],[PreGmRate]]+Games[[#This Row],[RatingChange]]</f>
        <v>1408.9125619705533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38163</v>
      </c>
      <c r="B156" s="2">
        <v>2004</v>
      </c>
      <c r="C156" s="2">
        <f>COUNTIFS(Games[Team],Games[[#This Row],[Team]],Games[Season],Games[[#This Row],[Season]],Games[Date],"&lt;=" &amp; Games[[#This Row],[Date]])</f>
        <v>12</v>
      </c>
      <c r="D156" s="2" t="s">
        <v>23</v>
      </c>
      <c r="E156" s="2" t="s">
        <v>29</v>
      </c>
      <c r="F156" s="1" t="s">
        <v>75</v>
      </c>
      <c r="G156" s="1" t="s">
        <v>86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6" s="2">
        <f>Games[[#This Row],[DaysOff]]-Games[[#This Row],[OppDaysOff]]</f>
        <v>-1</v>
      </c>
      <c r="L156" s="2">
        <f>Games[[#This Row],[OppDaysOff]]-Games[[#This Row],[DaysOff]]</f>
        <v>1</v>
      </c>
      <c r="M156" s="1">
        <f>MAX(-16, MIN(16, Games[[#This Row],[RestDiff]]*8))</f>
        <v>-8</v>
      </c>
      <c r="N156" s="1">
        <f>MAX(-16, MIN(16, Games[[#This Row],[OppRestDiff]]*8))</f>
        <v>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1589.8408629266735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1504.7383170191872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0.47857396951260178</v>
      </c>
      <c r="R156" s="1">
        <v>67</v>
      </c>
      <c r="S156" s="1">
        <v>71</v>
      </c>
      <c r="T156" s="1">
        <v>1</v>
      </c>
      <c r="U156" s="1">
        <f>Games[[#This Row],[PointsFor]]-Games[[#This Row],[PointsAgainst]]</f>
        <v>-4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0.26172802689350766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74.2</v>
      </c>
      <c r="Z156" s="4">
        <f>Games[[#This Row],[K]]*Games[[#This Row],[POMult]]</f>
        <v>74.2</v>
      </c>
      <c r="AA156" s="4">
        <f>(Games[[#This Row],[Keff]]*Games[[#This Row],[MOVMult]])*(Games[[#This Row],[Result]]-Games[[#This Row],[ExpectedWin%]])</f>
        <v>-9.2940115806240211</v>
      </c>
      <c r="AB156" s="4">
        <f>Games[[#This Row],[PreGmRate]]+Games[[#This Row],[RatingChange]]</f>
        <v>1580.5468513460494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38163</v>
      </c>
      <c r="B157" s="2">
        <v>2004</v>
      </c>
      <c r="C157" s="2">
        <f>COUNTIFS(Games[Team],Games[[#This Row],[Team]],Games[Season],Games[[#This Row],[Season]],Games[Date],"&lt;=" &amp; Games[[#This Row],[Date]])</f>
        <v>14</v>
      </c>
      <c r="D157" s="2" t="s">
        <v>23</v>
      </c>
      <c r="E157" s="2" t="s">
        <v>29</v>
      </c>
      <c r="F157" s="1" t="s">
        <v>86</v>
      </c>
      <c r="G157" s="1" t="s">
        <v>75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1</v>
      </c>
      <c r="L157" s="2">
        <f>Games[[#This Row],[OppDaysOff]]-Games[[#This Row],[DaysOff]]</f>
        <v>-1</v>
      </c>
      <c r="M157" s="1">
        <f>MAX(-16, MIN(16, Games[[#This Row],[RestDiff]]*8))</f>
        <v>8</v>
      </c>
      <c r="N157" s="1">
        <f>MAX(-16, MIN(16, Games[[#This Row],[OppRestDiff]]*8))</f>
        <v>-8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1504.7383170191872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1589.8408629266735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0.52142603048739822</v>
      </c>
      <c r="R157" s="1">
        <v>71</v>
      </c>
      <c r="S157" s="1">
        <v>67</v>
      </c>
      <c r="T157" s="1">
        <v>1</v>
      </c>
      <c r="U157" s="1">
        <f>Games[[#This Row],[PointsFor]]-Games[[#This Row],[PointsAgainst]]</f>
        <v>4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0.26172802689350766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9.2564347143950823</v>
      </c>
      <c r="AB157" s="4">
        <f>Games[[#This Row],[PreGmRate]]+Games[[#This Row],[RatingChange]]</f>
        <v>1513.9947517335822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38163</v>
      </c>
      <c r="B158" s="2">
        <v>2004</v>
      </c>
      <c r="C158" s="2">
        <f>COUNTIFS(Games[Team],Games[[#This Row],[Team]],Games[Season],Games[[#This Row],[Season]],Games[Date],"&lt;=" &amp; Games[[#This Row],[Date]])</f>
        <v>14</v>
      </c>
      <c r="D158" s="2" t="s">
        <v>23</v>
      </c>
      <c r="E158" s="2" t="s">
        <v>29</v>
      </c>
      <c r="F158" s="1" t="s">
        <v>70</v>
      </c>
      <c r="G158" s="1" t="s">
        <v>79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1585.7415484128403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1504.6950464857164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0.49574967698520078</v>
      </c>
      <c r="R158" s="1">
        <v>67</v>
      </c>
      <c r="S158" s="1">
        <v>71</v>
      </c>
      <c r="T158" s="1">
        <v>0</v>
      </c>
      <c r="U158" s="1">
        <f>Games[[#This Row],[PointsFor]]-Games[[#This Row],[PointsAgainst]]</f>
        <v>-4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0.29172967673106009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-10.687779593174445</v>
      </c>
      <c r="AB158" s="4">
        <f>Games[[#This Row],[PreGmRate]]+Games[[#This Row],[RatingChange]]</f>
        <v>1575.0537688196659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38163</v>
      </c>
      <c r="B159" s="2">
        <v>2004</v>
      </c>
      <c r="C159" s="2">
        <f>COUNTIFS(Games[Team],Games[[#This Row],[Team]],Games[Season],Games[[#This Row],[Season]],Games[Date],"&lt;=" &amp; Games[[#This Row],[Date]])</f>
        <v>12</v>
      </c>
      <c r="D159" s="2" t="s">
        <v>23</v>
      </c>
      <c r="E159" s="2" t="s">
        <v>29</v>
      </c>
      <c r="F159" s="1" t="s">
        <v>79</v>
      </c>
      <c r="G159" s="1" t="s">
        <v>70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1504.6950464857164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1585.7415484128403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0.50425032301479922</v>
      </c>
      <c r="R159" s="1">
        <v>71</v>
      </c>
      <c r="S159" s="1">
        <v>67</v>
      </c>
      <c r="T159" s="1">
        <v>0</v>
      </c>
      <c r="U159" s="1">
        <f>Games[[#This Row],[PointsFor]]-Games[[#This Row],[PointsAgainst]]</f>
        <v>4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0.29172967673106009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74.2</v>
      </c>
      <c r="Z159" s="4">
        <f>Games[[#This Row],[K]]*Games[[#This Row],[POMult]]</f>
        <v>74.2</v>
      </c>
      <c r="AA159" s="4">
        <f>(Games[[#This Row],[Keff]]*Games[[#This Row],[MOVMult]])*(Games[[#This Row],[Result]]-Games[[#This Row],[ExpectedWin%]])</f>
        <v>10.73116706107637</v>
      </c>
      <c r="AB159" s="4">
        <f>Games[[#This Row],[PreGmRate]]+Games[[#This Row],[RatingChange]]</f>
        <v>1515.4262135467927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38163</v>
      </c>
      <c r="B160" s="2">
        <v>2004</v>
      </c>
      <c r="C160" s="2">
        <f>COUNTIFS(Games[Team],Games[[#This Row],[Team]],Games[Season],Games[[#This Row],[Season]],Games[Date],"&lt;=" &amp; Games[[#This Row],[Date]])</f>
        <v>14</v>
      </c>
      <c r="D160" s="2" t="s">
        <v>23</v>
      </c>
      <c r="E160" s="2" t="s">
        <v>29</v>
      </c>
      <c r="F160" s="1" t="s">
        <v>2</v>
      </c>
      <c r="G160" s="1" t="s">
        <v>45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60" s="2">
        <f>Games[[#This Row],[DaysOff]]-Games[[#This Row],[OppDaysOff]]</f>
        <v>-3</v>
      </c>
      <c r="L160" s="2">
        <f>Games[[#This Row],[OppDaysOff]]-Games[[#This Row],[DaysOff]]</f>
        <v>3</v>
      </c>
      <c r="M160" s="1">
        <f>MAX(-16, MIN(16, Games[[#This Row],[RestDiff]]*8))</f>
        <v>-16</v>
      </c>
      <c r="N160" s="1">
        <f>MAX(-16, MIN(16, Games[[#This Row],[OppRestDiff]]*8))</f>
        <v>16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1534.8020743890811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1480.5552020467874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0.41205427139763046</v>
      </c>
      <c r="R160" s="1">
        <v>55</v>
      </c>
      <c r="S160" s="1">
        <v>61</v>
      </c>
      <c r="T160" s="1">
        <v>0</v>
      </c>
      <c r="U160" s="1">
        <f>Games[[#This Row],[PointsFor]]-Games[[#This Row],[PointsAgainst]]</f>
        <v>-6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0.33608767349124335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73.900000000000006</v>
      </c>
      <c r="Z160" s="4">
        <f>Games[[#This Row],[K]]*Games[[#This Row],[POMult]]</f>
        <v>73.900000000000006</v>
      </c>
      <c r="AA160" s="4">
        <f>(Games[[#This Row],[Keff]]*Games[[#This Row],[MOVMult]])*(Games[[#This Row],[Result]]-Games[[#This Row],[ExpectedWin%]])</f>
        <v>-10.234142109393151</v>
      </c>
      <c r="AB160" s="4">
        <f>Games[[#This Row],[PreGmRate]]+Games[[#This Row],[RatingChange]]</f>
        <v>1524.567932279688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38163</v>
      </c>
      <c r="B161" s="2">
        <v>2004</v>
      </c>
      <c r="C161" s="2">
        <f>COUNTIFS(Games[Team],Games[[#This Row],[Team]],Games[Season],Games[[#This Row],[Season]],Games[Date],"&lt;=" &amp; Games[[#This Row],[Date]])</f>
        <v>11</v>
      </c>
      <c r="D161" s="2" t="s">
        <v>23</v>
      </c>
      <c r="E161" s="2" t="s">
        <v>29</v>
      </c>
      <c r="F161" s="1" t="s">
        <v>45</v>
      </c>
      <c r="G161" s="1" t="s">
        <v>2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1" s="2">
        <f>Games[[#This Row],[DaysOff]]-Games[[#This Row],[OppDaysOff]]</f>
        <v>3</v>
      </c>
      <c r="L161" s="2">
        <f>Games[[#This Row],[OppDaysOff]]-Games[[#This Row],[DaysOff]]</f>
        <v>-3</v>
      </c>
      <c r="M161" s="1">
        <f>MAX(-16, MIN(16, Games[[#This Row],[RestDiff]]*8))</f>
        <v>16</v>
      </c>
      <c r="N161" s="1">
        <f>MAX(-16, MIN(16, Games[[#This Row],[OppRestDiff]]*8))</f>
        <v>-16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1480.5552020467874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1534.8020743890811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0.58794572860236949</v>
      </c>
      <c r="R161" s="1">
        <v>61</v>
      </c>
      <c r="S161" s="1">
        <v>55</v>
      </c>
      <c r="T161" s="1">
        <v>0</v>
      </c>
      <c r="U161" s="1">
        <f>Games[[#This Row],[PointsFor]]-Games[[#This Row],[PointsAgainst]]</f>
        <v>6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0.33608767349124335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74.349999999999994</v>
      </c>
      <c r="Z161" s="4">
        <f>Games[[#This Row],[K]]*Games[[#This Row],[POMult]]</f>
        <v>74.349999999999994</v>
      </c>
      <c r="AA161" s="4">
        <f>(Games[[#This Row],[Keff]]*Games[[#This Row],[MOVMult]])*(Games[[#This Row],[Result]]-Games[[#This Row],[ExpectedWin%]])</f>
        <v>10.296460972034922</v>
      </c>
      <c r="AB161" s="4">
        <f>Games[[#This Row],[PreGmRate]]+Games[[#This Row],[RatingChange]]</f>
        <v>1490.8516630188224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38164</v>
      </c>
      <c r="B162" s="2">
        <v>2004</v>
      </c>
      <c r="C162" s="2">
        <f>COUNTIFS(Games[Team],Games[[#This Row],[Team]],Games[Season],Games[[#This Row],[Season]],Games[Date],"&lt;=" &amp; Games[[#This Row],[Date]])</f>
        <v>13</v>
      </c>
      <c r="D162" s="2" t="s">
        <v>23</v>
      </c>
      <c r="E162" s="2" t="s">
        <v>29</v>
      </c>
      <c r="F162" s="1" t="s">
        <v>79</v>
      </c>
      <c r="G162" s="1" t="s">
        <v>64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2" s="2">
        <f>Games[[#This Row],[DaysOff]]-Games[[#This Row],[OppDaysOff]]</f>
        <v>-2</v>
      </c>
      <c r="L162" s="2">
        <f>Games[[#This Row],[OppDaysOff]]-Games[[#This Row],[DaysOff]]</f>
        <v>2</v>
      </c>
      <c r="M162" s="1">
        <f>MAX(-16, MIN(16, Games[[#This Row],[RestDiff]]*8))</f>
        <v>-16</v>
      </c>
      <c r="N162" s="1">
        <f>MAX(-16, MIN(16, Games[[#This Row],[OppRestDiff]]*8))</f>
        <v>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1515.4262135467927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1487.8054779851927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0.37548614498841898</v>
      </c>
      <c r="R162" s="1">
        <v>37</v>
      </c>
      <c r="S162" s="1">
        <v>46</v>
      </c>
      <c r="T162" s="1">
        <v>0</v>
      </c>
      <c r="U162" s="1">
        <f>Games[[#This Row],[PointsFor]]-Games[[#This Row],[PointsAgainst]]</f>
        <v>-9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0.3968374095227607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-11.033964580032446</v>
      </c>
      <c r="AB162" s="4">
        <f>Games[[#This Row],[PreGmRate]]+Games[[#This Row],[RatingChange]]</f>
        <v>1504.3922489667602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38164</v>
      </c>
      <c r="B163" s="2">
        <v>2004</v>
      </c>
      <c r="C163" s="2">
        <f>COUNTIFS(Games[Team],Games[[#This Row],[Team]],Games[Season],Games[[#This Row],[Season]],Games[Date],"&lt;=" &amp; Games[[#This Row],[Date]])</f>
        <v>13</v>
      </c>
      <c r="D163" s="2" t="s">
        <v>23</v>
      </c>
      <c r="E163" s="2" t="s">
        <v>29</v>
      </c>
      <c r="F163" s="1" t="s">
        <v>64</v>
      </c>
      <c r="G163" s="1" t="s">
        <v>79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3" s="2">
        <f>Games[[#This Row],[DaysOff]]-Games[[#This Row],[OppDaysOff]]</f>
        <v>2</v>
      </c>
      <c r="L163" s="2">
        <f>Games[[#This Row],[OppDaysOff]]-Games[[#This Row],[DaysOff]]</f>
        <v>-2</v>
      </c>
      <c r="M163" s="1">
        <f>MAX(-16, MIN(16, Games[[#This Row],[RestDiff]]*8))</f>
        <v>16</v>
      </c>
      <c r="N163" s="1">
        <f>MAX(-16, MIN(16, Games[[#This Row],[OppRestDiff]]*8))</f>
        <v>-16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1487.8054779851927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1515.4262135467927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0.62451385501158097</v>
      </c>
      <c r="R163" s="1">
        <v>46</v>
      </c>
      <c r="S163" s="1">
        <v>37</v>
      </c>
      <c r="T163" s="1">
        <v>0</v>
      </c>
      <c r="U163" s="1">
        <f>Games[[#This Row],[PointsFor]]-Games[[#This Row],[PointsAgainst]]</f>
        <v>9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0.3968374095227607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11.033964580032448</v>
      </c>
      <c r="AB163" s="4">
        <f>Games[[#This Row],[PreGmRate]]+Games[[#This Row],[RatingChange]]</f>
        <v>1498.8394425652252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38164</v>
      </c>
      <c r="B164" s="2">
        <v>2004</v>
      </c>
      <c r="C164" s="2">
        <f>COUNTIFS(Games[Team],Games[[#This Row],[Team]],Games[Season],Games[[#This Row],[Season]],Games[Date],"&lt;=" &amp; Games[[#This Row],[Date]])</f>
        <v>14</v>
      </c>
      <c r="D164" s="2" t="s">
        <v>23</v>
      </c>
      <c r="E164" s="2" t="s">
        <v>29</v>
      </c>
      <c r="F164" s="1" t="s">
        <v>84</v>
      </c>
      <c r="G164" s="1" t="s">
        <v>44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1408.9125619705533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1469.7636794552056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0.3028358337989423</v>
      </c>
      <c r="R164" s="1">
        <v>80</v>
      </c>
      <c r="S164" s="1">
        <v>72</v>
      </c>
      <c r="T164" s="1">
        <v>1</v>
      </c>
      <c r="U164" s="1">
        <f>Games[[#This Row],[PointsFor]]-Games[[#This Row],[PointsAgainst]]</f>
        <v>8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0.33261720752557516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17.136582183188324</v>
      </c>
      <c r="AB164" s="4">
        <f>Games[[#This Row],[PreGmRate]]+Games[[#This Row],[RatingChange]]</f>
        <v>1426.0491441537415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38164</v>
      </c>
      <c r="B165" s="2">
        <v>2004</v>
      </c>
      <c r="C165" s="2">
        <f>COUNTIFS(Games[Team],Games[[#This Row],[Team]],Games[Season],Games[[#This Row],[Season]],Games[Date],"&lt;=" &amp; Games[[#This Row],[Date]])</f>
        <v>12</v>
      </c>
      <c r="D165" s="2" t="s">
        <v>23</v>
      </c>
      <c r="E165" s="2" t="s">
        <v>29</v>
      </c>
      <c r="F165" s="1" t="s">
        <v>44</v>
      </c>
      <c r="G165" s="1" t="s">
        <v>84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1469.7636794552056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1408.9125619705533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0.6971641662010577</v>
      </c>
      <c r="R165" s="1">
        <v>72</v>
      </c>
      <c r="S165" s="1">
        <v>80</v>
      </c>
      <c r="T165" s="1">
        <v>1</v>
      </c>
      <c r="U165" s="1">
        <f>Games[[#This Row],[PointsFor]]-Games[[#This Row],[PointsAgainst]]</f>
        <v>-8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0.33261720752557516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74.2</v>
      </c>
      <c r="Z165" s="4">
        <f>Games[[#This Row],[K]]*Games[[#This Row],[POMult]]</f>
        <v>74.2</v>
      </c>
      <c r="AA165" s="4">
        <f>(Games[[#This Row],[Keff]]*Games[[#This Row],[MOVMult]])*(Games[[#This Row],[Result]]-Games[[#This Row],[ExpectedWin%]])</f>
        <v>-17.20614882263293</v>
      </c>
      <c r="AB165" s="4">
        <f>Games[[#This Row],[PreGmRate]]+Games[[#This Row],[RatingChange]]</f>
        <v>1452.5575306325727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38164</v>
      </c>
      <c r="B166" s="2">
        <v>2004</v>
      </c>
      <c r="C166" s="2">
        <f>COUNTIFS(Games[Team],Games[[#This Row],[Team]],Games[Season],Games[[#This Row],[Season]],Games[Date],"&lt;=" &amp; Games[[#This Row],[Date]])</f>
        <v>14</v>
      </c>
      <c r="D166" s="2" t="s">
        <v>23</v>
      </c>
      <c r="E166" s="2" t="s">
        <v>29</v>
      </c>
      <c r="F166" s="1" t="s">
        <v>66</v>
      </c>
      <c r="G166" s="1" t="s">
        <v>81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6" s="2">
        <f>Games[[#This Row],[DaysOff]]-Games[[#This Row],[OppDaysOff]]</f>
        <v>-2</v>
      </c>
      <c r="L166" s="2">
        <f>Games[[#This Row],[OppDaysOff]]-Games[[#This Row],[DaysOff]]</f>
        <v>2</v>
      </c>
      <c r="M166" s="1">
        <f>MAX(-16, MIN(16, Games[[#This Row],[RestDiff]]*8))</f>
        <v>-16</v>
      </c>
      <c r="N166" s="1">
        <f>MAX(-16, MIN(16, Games[[#This Row],[OppRestDiff]]*8))</f>
        <v>16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1477.868344385864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1592.8631732882316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0.20920682183078063</v>
      </c>
      <c r="R166" s="1">
        <v>67</v>
      </c>
      <c r="S166" s="1">
        <v>62</v>
      </c>
      <c r="T166" s="1">
        <v>0</v>
      </c>
      <c r="U166" s="1">
        <f>Games[[#This Row],[PointsFor]]-Games[[#This Row],[PointsAgainst]]</f>
        <v>5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0.30274428598764846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73.900000000000006</v>
      </c>
      <c r="Z166" s="4">
        <f>Games[[#This Row],[K]]*Games[[#This Row],[POMult]]</f>
        <v>73.900000000000006</v>
      </c>
      <c r="AA166" s="4">
        <f>(Games[[#This Row],[Keff]]*Games[[#This Row],[MOVMult]])*(Games[[#This Row],[Result]]-Games[[#This Row],[ExpectedWin%]])</f>
        <v>17.692259778958153</v>
      </c>
      <c r="AB166" s="4">
        <f>Games[[#This Row],[PreGmRate]]+Games[[#This Row],[RatingChange]]</f>
        <v>1495.5606041648223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38164</v>
      </c>
      <c r="B167" s="2">
        <v>2004</v>
      </c>
      <c r="C167" s="2">
        <f>COUNTIFS(Games[Team],Games[[#This Row],[Team]],Games[Season],Games[[#This Row],[Season]],Games[Date],"&lt;=" &amp; Games[[#This Row],[Date]])</f>
        <v>12</v>
      </c>
      <c r="D167" s="2" t="s">
        <v>23</v>
      </c>
      <c r="E167" s="2" t="s">
        <v>29</v>
      </c>
      <c r="F167" s="1" t="s">
        <v>81</v>
      </c>
      <c r="G167" s="1" t="s">
        <v>66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2</v>
      </c>
      <c r="L167" s="2">
        <f>Games[[#This Row],[OppDaysOff]]-Games[[#This Row],[DaysOff]]</f>
        <v>-2</v>
      </c>
      <c r="M167" s="1">
        <f>MAX(-16, MIN(16, Games[[#This Row],[RestDiff]]*8))</f>
        <v>16</v>
      </c>
      <c r="N167" s="1">
        <f>MAX(-16, MIN(16, Games[[#This Row],[OppRestDiff]]*8))</f>
        <v>-16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1592.8631732882316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1477.868344385864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0.79079317816921935</v>
      </c>
      <c r="R167" s="1">
        <v>62</v>
      </c>
      <c r="S167" s="1">
        <v>67</v>
      </c>
      <c r="T167" s="1">
        <v>0</v>
      </c>
      <c r="U167" s="1">
        <f>Games[[#This Row],[PointsFor]]-Games[[#This Row],[PointsAgainst]]</f>
        <v>-5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0.30274428598764846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74.2</v>
      </c>
      <c r="Z167" s="4">
        <f>Games[[#This Row],[K]]*Games[[#This Row],[POMult]]</f>
        <v>74.2</v>
      </c>
      <c r="AA167" s="4">
        <f>(Games[[#This Row],[Keff]]*Games[[#This Row],[MOVMult]])*(Games[[#This Row],[Result]]-Games[[#This Row],[ExpectedWin%]])</f>
        <v>-17.764082213784775</v>
      </c>
      <c r="AB167" s="4">
        <f>Games[[#This Row],[PreGmRate]]+Games[[#This Row],[RatingChange]]</f>
        <v>1575.0990910744467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38165</v>
      </c>
      <c r="B168" s="2">
        <v>2004</v>
      </c>
      <c r="C168" s="2">
        <f>COUNTIFS(Games[Team],Games[[#This Row],[Team]],Games[Season],Games[[#This Row],[Season]],Games[Date],"&lt;=" &amp; Games[[#This Row],[Date]])</f>
        <v>15</v>
      </c>
      <c r="D168" s="2" t="s">
        <v>23</v>
      </c>
      <c r="E168" s="2" t="s">
        <v>29</v>
      </c>
      <c r="F168" s="1" t="s">
        <v>86</v>
      </c>
      <c r="G168" s="1" t="s">
        <v>75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1513.9947517335822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1580.5468513460494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0.29595235545381166</v>
      </c>
      <c r="R168" s="1">
        <v>74</v>
      </c>
      <c r="S168" s="1">
        <v>72</v>
      </c>
      <c r="T168" s="1">
        <v>0</v>
      </c>
      <c r="U168" s="1">
        <f>Games[[#This Row],[PointsFor]]-Games[[#This Row],[PointsAgainst]]</f>
        <v>2</v>
      </c>
      <c r="V168" s="1">
        <f>IF(Games[[#This Row],[MOV]]&gt;0,1,IF(Games[[#This Row],[MOV]]=0,0.5,0))</f>
        <v>1</v>
      </c>
      <c r="W168" s="4">
        <f>((ABS(Games[[#This Row],[MOV]])+5)^0.6)/(12+0.01*(ABS(Games[[#This Row],[PreGmRate]]-Games[[#This Row],[OppPreGmRate]])))*IF(Games[[#This Row],[OT]]=1,0.9,1)</f>
        <v>0.25376736185581866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73.75</v>
      </c>
      <c r="Z168" s="4">
        <f>Games[[#This Row],[K]]*Games[[#This Row],[POMult]]</f>
        <v>73.75</v>
      </c>
      <c r="AA168" s="4">
        <f>(Games[[#This Row],[Keff]]*Games[[#This Row],[MOVMult]])*(Games[[#This Row],[Result]]-Games[[#This Row],[ExpectedWin%]])</f>
        <v>13.176493111575091</v>
      </c>
      <c r="AB168" s="4">
        <f>Games[[#This Row],[PreGmRate]]+Games[[#This Row],[RatingChange]]</f>
        <v>1527.1712448451574</v>
      </c>
      <c r="AC168" s="2">
        <f>IF(Games[[#This Row],[Type]]="R",IF(Games[[#This Row],[Result]]&gt;0.5,1,0),0)</f>
        <v>1</v>
      </c>
      <c r="AD168" s="2">
        <f>IF(Games[[#This Row],[Type]]="R",IF(Games[[#This Row],[Result]]&lt;0.5,1,0),0)</f>
        <v>0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38165</v>
      </c>
      <c r="B169" s="2">
        <v>2004</v>
      </c>
      <c r="C169" s="2">
        <f>COUNTIFS(Games[Team],Games[[#This Row],[Team]],Games[Season],Games[[#This Row],[Season]],Games[Date],"&lt;=" &amp; Games[[#This Row],[Date]])</f>
        <v>13</v>
      </c>
      <c r="D169" s="2" t="s">
        <v>23</v>
      </c>
      <c r="E169" s="2" t="s">
        <v>29</v>
      </c>
      <c r="F169" s="1" t="s">
        <v>75</v>
      </c>
      <c r="G169" s="1" t="s">
        <v>86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1580.5468513460494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1513.9947517335822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0.70404764454618829</v>
      </c>
      <c r="R169" s="1">
        <v>72</v>
      </c>
      <c r="S169" s="1">
        <v>74</v>
      </c>
      <c r="T169" s="1">
        <v>0</v>
      </c>
      <c r="U169" s="1">
        <f>Games[[#This Row],[PointsFor]]-Games[[#This Row],[PointsAgainst]]</f>
        <v>-2</v>
      </c>
      <c r="V169" s="1">
        <f>IF(Games[[#This Row],[MOV]]&gt;0,1,IF(Games[[#This Row],[MOV]]=0,0.5,0))</f>
        <v>0</v>
      </c>
      <c r="W169" s="4">
        <f>((ABS(Games[[#This Row],[MOV]])+5)^0.6)/(12+0.01*(ABS(Games[[#This Row],[PreGmRate]]-Games[[#This Row],[OppPreGmRate]])))*IF(Games[[#This Row],[OT]]=1,0.9,1)</f>
        <v>0.25376736185581866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74.05</v>
      </c>
      <c r="Z169" s="4">
        <f>Games[[#This Row],[K]]*Games[[#This Row],[POMult]]</f>
        <v>74.05</v>
      </c>
      <c r="AA169" s="4">
        <f>(Games[[#This Row],[Keff]]*Games[[#This Row],[MOVMult]])*(Games[[#This Row],[Result]]-Games[[#This Row],[ExpectedWin%]])</f>
        <v>-13.230092405588277</v>
      </c>
      <c r="AB169" s="4">
        <f>Games[[#This Row],[PreGmRate]]+Games[[#This Row],[RatingChange]]</f>
        <v>1567.3167589404611</v>
      </c>
      <c r="AC169" s="2">
        <f>IF(Games[[#This Row],[Type]]="R",IF(Games[[#This Row],[Result]]&gt;0.5,1,0),0)</f>
        <v>0</v>
      </c>
      <c r="AD169" s="2">
        <f>IF(Games[[#This Row],[Type]]="R",IF(Games[[#This Row],[Result]]&lt;0.5,1,0),0)</f>
        <v>1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38165</v>
      </c>
      <c r="B170" s="2">
        <v>2004</v>
      </c>
      <c r="C170" s="2">
        <f>COUNTIFS(Games[Team],Games[[#This Row],[Team]],Games[Season],Games[[#This Row],[Season]],Games[Date],"&lt;=" &amp; Games[[#This Row],[Date]])</f>
        <v>12</v>
      </c>
      <c r="D170" s="2" t="s">
        <v>23</v>
      </c>
      <c r="E170" s="2" t="s">
        <v>29</v>
      </c>
      <c r="F170" s="1" t="s">
        <v>73</v>
      </c>
      <c r="G170" s="1" t="s">
        <v>2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3</v>
      </c>
      <c r="L170" s="2">
        <f>Games[[#This Row],[OppDaysOff]]-Games[[#This Row],[DaysOff]]</f>
        <v>-3</v>
      </c>
      <c r="M170" s="1">
        <f>MAX(-16, MIN(16, Games[[#This Row],[RestDiff]]*8))</f>
        <v>16</v>
      </c>
      <c r="N170" s="1">
        <f>MAX(-16, MIN(16, Games[[#This Row],[OppRestDiff]]*8))</f>
        <v>-16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1429.8801925501914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1524.567932279688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0.30060837606532231</v>
      </c>
      <c r="R170" s="1">
        <v>67</v>
      </c>
      <c r="S170" s="1">
        <v>72</v>
      </c>
      <c r="T170" s="1">
        <v>0</v>
      </c>
      <c r="U170" s="1">
        <f>Games[[#This Row],[PointsFor]]-Games[[#This Row],[PointsAgainst]]</f>
        <v>-5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0.30749280953002239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74.2</v>
      </c>
      <c r="Z170" s="4">
        <f>Games[[#This Row],[K]]*Games[[#This Row],[POMult]]</f>
        <v>74.2</v>
      </c>
      <c r="AA170" s="4">
        <f>(Games[[#This Row],[Keff]]*Games[[#This Row],[MOVMult]])*(Games[[#This Row],[Result]]-Games[[#This Row],[ExpectedWin%]])</f>
        <v>-6.8586706280440959</v>
      </c>
      <c r="AB170" s="4">
        <f>Games[[#This Row],[PreGmRate]]+Games[[#This Row],[RatingChange]]</f>
        <v>1423.0215219221473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38165</v>
      </c>
      <c r="B171" s="2">
        <v>2004</v>
      </c>
      <c r="C171" s="2">
        <f>COUNTIFS(Games[Team],Games[[#This Row],[Team]],Games[Season],Games[[#This Row],[Season]],Games[Date],"&lt;=" &amp; Games[[#This Row],[Date]])</f>
        <v>15</v>
      </c>
      <c r="D171" s="2" t="s">
        <v>23</v>
      </c>
      <c r="E171" s="2" t="s">
        <v>29</v>
      </c>
      <c r="F171" s="1" t="s">
        <v>2</v>
      </c>
      <c r="G171" s="1" t="s">
        <v>73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1" s="2">
        <f>Games[[#This Row],[DaysOff]]-Games[[#This Row],[OppDaysOff]]</f>
        <v>-3</v>
      </c>
      <c r="L171" s="2">
        <f>Games[[#This Row],[OppDaysOff]]-Games[[#This Row],[DaysOff]]</f>
        <v>3</v>
      </c>
      <c r="M171" s="1">
        <f>MAX(-16, MIN(16, Games[[#This Row],[RestDiff]]*8))</f>
        <v>-16</v>
      </c>
      <c r="N171" s="1">
        <f>MAX(-16, MIN(16, Games[[#This Row],[OppRestDiff]]*8))</f>
        <v>16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1524.567932279688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1429.8801925501914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0.69939162393467769</v>
      </c>
      <c r="R171" s="1">
        <v>72</v>
      </c>
      <c r="S171" s="1">
        <v>67</v>
      </c>
      <c r="T171" s="1">
        <v>0</v>
      </c>
      <c r="U171" s="1">
        <f>Games[[#This Row],[PointsFor]]-Games[[#This Row],[PointsAgainst]]</f>
        <v>5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0.30749280953002239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73.75</v>
      </c>
      <c r="Z171" s="4">
        <f>Games[[#This Row],[K]]*Games[[#This Row],[POMult]]</f>
        <v>73.75</v>
      </c>
      <c r="AA171" s="4">
        <f>(Games[[#This Row],[Keff]]*Games[[#This Row],[MOVMult]])*(Games[[#This Row],[Result]]-Games[[#This Row],[ExpectedWin%]])</f>
        <v>6.8170749166880329</v>
      </c>
      <c r="AB171" s="4">
        <f>Games[[#This Row],[PreGmRate]]+Games[[#This Row],[RatingChange]]</f>
        <v>1531.3850071963759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38165</v>
      </c>
      <c r="B172" s="2">
        <v>2004</v>
      </c>
      <c r="C172" s="2">
        <f>COUNTIFS(Games[Team],Games[[#This Row],[Team]],Games[Season],Games[[#This Row],[Season]],Games[Date],"&lt;=" &amp; Games[[#This Row],[Date]])</f>
        <v>15</v>
      </c>
      <c r="D172" s="2" t="s">
        <v>23</v>
      </c>
      <c r="E172" s="2" t="s">
        <v>29</v>
      </c>
      <c r="F172" s="1" t="s">
        <v>70</v>
      </c>
      <c r="G172" s="1" t="s">
        <v>77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2" s="2">
        <f>Games[[#This Row],[DaysOff]]-Games[[#This Row],[OppDaysOff]]</f>
        <v>-1</v>
      </c>
      <c r="L172" s="2">
        <f>Games[[#This Row],[OppDaysOff]]-Games[[#This Row],[DaysOff]]</f>
        <v>1</v>
      </c>
      <c r="M172" s="1">
        <f>MAX(-16, MIN(16, Games[[#This Row],[RestDiff]]*8))</f>
        <v>-8</v>
      </c>
      <c r="N172" s="1">
        <f>MAX(-16, MIN(16, Games[[#This Row],[OppRestDiff]]*8))</f>
        <v>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1575.0537688196659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1451.6661278454278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0.5336067752848308</v>
      </c>
      <c r="R172" s="1">
        <v>83</v>
      </c>
      <c r="S172" s="1">
        <v>67</v>
      </c>
      <c r="T172" s="1">
        <v>0</v>
      </c>
      <c r="U172" s="1">
        <f>Games[[#This Row],[PointsFor]]-Games[[#This Row],[PointsAgainst]]</f>
        <v>16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0.46950962779028227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73.75</v>
      </c>
      <c r="Z172" s="4">
        <f>Games[[#This Row],[K]]*Games[[#This Row],[POMult]]</f>
        <v>73.75</v>
      </c>
      <c r="AA172" s="4">
        <f>(Games[[#This Row],[Keff]]*Games[[#This Row],[MOVMult]])*(Games[[#This Row],[Result]]-Games[[#This Row],[ExpectedWin%]])</f>
        <v>16.149488063819732</v>
      </c>
      <c r="AB172" s="4">
        <f>Games[[#This Row],[PreGmRate]]+Games[[#This Row],[RatingChange]]</f>
        <v>1591.2032568834857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38165</v>
      </c>
      <c r="B173" s="2">
        <v>2004</v>
      </c>
      <c r="C173" s="2">
        <f>COUNTIFS(Games[Team],Games[[#This Row],[Team]],Games[Season],Games[[#This Row],[Season]],Games[Date],"&lt;=" &amp; Games[[#This Row],[Date]])</f>
        <v>13</v>
      </c>
      <c r="D173" s="2" t="s">
        <v>23</v>
      </c>
      <c r="E173" s="2" t="s">
        <v>29</v>
      </c>
      <c r="F173" s="1" t="s">
        <v>77</v>
      </c>
      <c r="G173" s="1" t="s">
        <v>70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1</v>
      </c>
      <c r="L173" s="2">
        <f>Games[[#This Row],[OppDaysOff]]-Games[[#This Row],[DaysOff]]</f>
        <v>-1</v>
      </c>
      <c r="M173" s="1">
        <f>MAX(-16, MIN(16, Games[[#This Row],[RestDiff]]*8))</f>
        <v>8</v>
      </c>
      <c r="N173" s="1">
        <f>MAX(-16, MIN(16, Games[[#This Row],[OppRestDiff]]*8))</f>
        <v>-8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1451.6661278454278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1575.0537688196659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0.46639322471516909</v>
      </c>
      <c r="R173" s="1">
        <v>67</v>
      </c>
      <c r="S173" s="1">
        <v>83</v>
      </c>
      <c r="T173" s="1">
        <v>0</v>
      </c>
      <c r="U173" s="1">
        <f>Games[[#This Row],[PointsFor]]-Games[[#This Row],[PointsAgainst]]</f>
        <v>-16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0.46950962779028227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74.05</v>
      </c>
      <c r="Z173" s="4">
        <f>Games[[#This Row],[K]]*Games[[#This Row],[POMult]]</f>
        <v>74.05</v>
      </c>
      <c r="AA173" s="4">
        <f>(Games[[#This Row],[Keff]]*Games[[#This Row],[MOVMult]])*(Games[[#This Row],[Result]]-Games[[#This Row],[ExpectedWin%]])</f>
        <v>-16.215180896621707</v>
      </c>
      <c r="AB173" s="4">
        <f>Games[[#This Row],[PreGmRate]]+Games[[#This Row],[RatingChange]]</f>
        <v>1435.4509469488062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38165</v>
      </c>
      <c r="B174" s="2">
        <v>2004</v>
      </c>
      <c r="C174" s="2">
        <f>COUNTIFS(Games[Team],Games[[#This Row],[Team]],Games[Season],Games[[#This Row],[Season]],Games[Date],"&lt;=" &amp; Games[[#This Row],[Date]])</f>
        <v>13</v>
      </c>
      <c r="D174" s="2" t="s">
        <v>23</v>
      </c>
      <c r="E174" s="2" t="s">
        <v>29</v>
      </c>
      <c r="F174" s="1" t="s">
        <v>44</v>
      </c>
      <c r="G174" s="1" t="s">
        <v>45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-1</v>
      </c>
      <c r="L174" s="2">
        <f>Games[[#This Row],[OppDaysOff]]-Games[[#This Row],[DaysOff]]</f>
        <v>1</v>
      </c>
      <c r="M174" s="1">
        <f>MAX(-16, MIN(16, Games[[#This Row],[RestDiff]]*8))</f>
        <v>-8</v>
      </c>
      <c r="N174" s="1">
        <f>MAX(-16, MIN(16, Games[[#This Row],[OppRestDiff]]*8))</f>
        <v>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1452.5575306325727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1490.8516630188224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0.31086359347116571</v>
      </c>
      <c r="R174" s="1">
        <v>57</v>
      </c>
      <c r="S174" s="1">
        <v>63</v>
      </c>
      <c r="T174" s="1">
        <v>0</v>
      </c>
      <c r="U174" s="1">
        <f>Games[[#This Row],[PointsFor]]-Games[[#This Row],[PointsAgainst]]</f>
        <v>-6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0.34041743579683209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74.05</v>
      </c>
      <c r="Z174" s="4">
        <f>Games[[#This Row],[K]]*Games[[#This Row],[POMult]]</f>
        <v>74.05</v>
      </c>
      <c r="AA174" s="4">
        <f>(Games[[#This Row],[Keff]]*Games[[#This Row],[MOVMult]])*(Games[[#This Row],[Result]]-Games[[#This Row],[ExpectedWin%]])</f>
        <v>-7.8362218348997885</v>
      </c>
      <c r="AB174" s="4">
        <f>Games[[#This Row],[PreGmRate]]+Games[[#This Row],[RatingChange]]</f>
        <v>1444.7213087976729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38165</v>
      </c>
      <c r="B175" s="2">
        <v>2004</v>
      </c>
      <c r="C175" s="2">
        <f>COUNTIFS(Games[Team],Games[[#This Row],[Team]],Games[Season],Games[[#This Row],[Season]],Games[Date],"&lt;=" &amp; Games[[#This Row],[Date]])</f>
        <v>12</v>
      </c>
      <c r="D175" s="2" t="s">
        <v>23</v>
      </c>
      <c r="E175" s="2" t="s">
        <v>29</v>
      </c>
      <c r="F175" s="1" t="s">
        <v>45</v>
      </c>
      <c r="G175" s="1" t="s">
        <v>44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5" s="2">
        <f>Games[[#This Row],[DaysOff]]-Games[[#This Row],[OppDaysOff]]</f>
        <v>1</v>
      </c>
      <c r="L175" s="2">
        <f>Games[[#This Row],[OppDaysOff]]-Games[[#This Row],[DaysOff]]</f>
        <v>-1</v>
      </c>
      <c r="M175" s="1">
        <f>MAX(-16, MIN(16, Games[[#This Row],[RestDiff]]*8))</f>
        <v>8</v>
      </c>
      <c r="N175" s="1">
        <f>MAX(-16, MIN(16, Games[[#This Row],[OppRestDiff]]*8))</f>
        <v>-8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1490.8516630188224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1452.5575306325727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0.68913640652883434</v>
      </c>
      <c r="R175" s="1">
        <v>63</v>
      </c>
      <c r="S175" s="1">
        <v>57</v>
      </c>
      <c r="T175" s="1">
        <v>0</v>
      </c>
      <c r="U175" s="1">
        <f>Games[[#This Row],[PointsFor]]-Games[[#This Row],[PointsAgainst]]</f>
        <v>6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0.34041743579683209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74.2</v>
      </c>
      <c r="Z175" s="4">
        <f>Games[[#This Row],[K]]*Games[[#This Row],[POMult]]</f>
        <v>74.2</v>
      </c>
      <c r="AA175" s="4">
        <f>(Games[[#This Row],[Keff]]*Games[[#This Row],[MOVMult]])*(Games[[#This Row],[Result]]-Games[[#This Row],[ExpectedWin%]])</f>
        <v>7.8520953430055949</v>
      </c>
      <c r="AB175" s="4">
        <f>Games[[#This Row],[PreGmRate]]+Games[[#This Row],[RatingChange]]</f>
        <v>1498.703758361828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38167</v>
      </c>
      <c r="B176" s="2">
        <v>2004</v>
      </c>
      <c r="C176" s="2">
        <f>COUNTIFS(Games[Team],Games[[#This Row],[Team]],Games[Season],Games[[#This Row],[Season]],Games[Date],"&lt;=" &amp; Games[[#This Row],[Date]])</f>
        <v>14</v>
      </c>
      <c r="D176" s="2" t="s">
        <v>23</v>
      </c>
      <c r="E176" s="2" t="s">
        <v>29</v>
      </c>
      <c r="F176" s="1" t="s">
        <v>79</v>
      </c>
      <c r="G176" s="1" t="s">
        <v>75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1</v>
      </c>
      <c r="L176" s="2">
        <f>Games[[#This Row],[OppDaysOff]]-Games[[#This Row],[DaysOff]]</f>
        <v>-1</v>
      </c>
      <c r="M176" s="1">
        <f>MAX(-16, MIN(16, Games[[#This Row],[RestDiff]]*8))</f>
        <v>8</v>
      </c>
      <c r="N176" s="1">
        <f>MAX(-16, MIN(16, Games[[#This Row],[OppRestDiff]]*8))</f>
        <v>-8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1504.3922489667602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1567.3167589404611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0.32002387988347153</v>
      </c>
      <c r="R176" s="1">
        <v>69</v>
      </c>
      <c r="S176" s="1">
        <v>68</v>
      </c>
      <c r="T176" s="1">
        <v>0</v>
      </c>
      <c r="U176" s="1">
        <f>Games[[#This Row],[PointsFor]]-Games[[#This Row],[PointsAgainst]]</f>
        <v>1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0.2320135549229731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73.900000000000006</v>
      </c>
      <c r="Z176" s="4">
        <f>Games[[#This Row],[K]]*Games[[#This Row],[POMult]]</f>
        <v>73.900000000000006</v>
      </c>
      <c r="AA176" s="4">
        <f>(Games[[#This Row],[Keff]]*Games[[#This Row],[MOVMult]])*(Games[[#This Row],[Result]]-Games[[#This Row],[ExpectedWin%]])</f>
        <v>11.658735722242412</v>
      </c>
      <c r="AB176" s="4">
        <f>Games[[#This Row],[PreGmRate]]+Games[[#This Row],[RatingChange]]</f>
        <v>1516.0509846890027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38167</v>
      </c>
      <c r="B177" s="2">
        <v>2004</v>
      </c>
      <c r="C177" s="2">
        <f>COUNTIFS(Games[Team],Games[[#This Row],[Team]],Games[Season],Games[[#This Row],[Season]],Games[Date],"&lt;=" &amp; Games[[#This Row],[Date]])</f>
        <v>14</v>
      </c>
      <c r="D177" s="2" t="s">
        <v>23</v>
      </c>
      <c r="E177" s="2" t="s">
        <v>29</v>
      </c>
      <c r="F177" s="1" t="s">
        <v>75</v>
      </c>
      <c r="G177" s="1" t="s">
        <v>79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7" s="2">
        <f>Games[[#This Row],[DaysOff]]-Games[[#This Row],[OppDaysOff]]</f>
        <v>-1</v>
      </c>
      <c r="L177" s="2">
        <f>Games[[#This Row],[OppDaysOff]]-Games[[#This Row],[DaysOff]]</f>
        <v>1</v>
      </c>
      <c r="M177" s="1">
        <f>MAX(-16, MIN(16, Games[[#This Row],[RestDiff]]*8))</f>
        <v>-8</v>
      </c>
      <c r="N177" s="1">
        <f>MAX(-16, MIN(16, Games[[#This Row],[OppRestDiff]]*8))</f>
        <v>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1567.3167589404611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1504.3922489667602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0.67997612011652853</v>
      </c>
      <c r="R177" s="1">
        <v>68</v>
      </c>
      <c r="S177" s="1">
        <v>69</v>
      </c>
      <c r="T177" s="1">
        <v>0</v>
      </c>
      <c r="U177" s="1">
        <f>Games[[#This Row],[PointsFor]]-Games[[#This Row],[PointsAgainst]]</f>
        <v>-1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0.2320135549229731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73.900000000000006</v>
      </c>
      <c r="Z177" s="4">
        <f>Games[[#This Row],[K]]*Games[[#This Row],[POMult]]</f>
        <v>73.900000000000006</v>
      </c>
      <c r="AA177" s="4">
        <f>(Games[[#This Row],[Keff]]*Games[[#This Row],[MOVMult]])*(Games[[#This Row],[Result]]-Games[[#This Row],[ExpectedWin%]])</f>
        <v>-11.658735722242414</v>
      </c>
      <c r="AB177" s="4">
        <f>Games[[#This Row],[PreGmRate]]+Games[[#This Row],[RatingChange]]</f>
        <v>1555.6580232182187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38167</v>
      </c>
      <c r="B178" s="2">
        <v>2004</v>
      </c>
      <c r="C178" s="2">
        <f>COUNTIFS(Games[Team],Games[[#This Row],[Team]],Games[Season],Games[[#This Row],[Season]],Games[Date],"&lt;=" &amp; Games[[#This Row],[Date]])</f>
        <v>15</v>
      </c>
      <c r="D178" s="2" t="s">
        <v>23</v>
      </c>
      <c r="E178" s="2" t="s">
        <v>29</v>
      </c>
      <c r="F178" s="1" t="s">
        <v>66</v>
      </c>
      <c r="G178" s="1" t="s">
        <v>70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1</v>
      </c>
      <c r="L178" s="2">
        <f>Games[[#This Row],[OppDaysOff]]-Games[[#This Row],[DaysOff]]</f>
        <v>-1</v>
      </c>
      <c r="M178" s="1">
        <f>MAX(-16, MIN(16, Games[[#This Row],[RestDiff]]*8))</f>
        <v>8</v>
      </c>
      <c r="N178" s="1">
        <f>MAX(-16, MIN(16, Games[[#This Row],[OppRestDiff]]*8))</f>
        <v>-8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1495.5606041648223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1591.2032568834857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0.28049595747628914</v>
      </c>
      <c r="R178" s="1">
        <v>65</v>
      </c>
      <c r="S178" s="1">
        <v>69</v>
      </c>
      <c r="T178" s="1">
        <v>1</v>
      </c>
      <c r="U178" s="1">
        <f>Games[[#This Row],[PointsFor]]-Games[[#This Row],[PointsAgainst]]</f>
        <v>-4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0.25959885852046299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-5.3702117405581129</v>
      </c>
      <c r="AB178" s="4">
        <f>Games[[#This Row],[PreGmRate]]+Games[[#This Row],[RatingChange]]</f>
        <v>1490.1903924242642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38167</v>
      </c>
      <c r="B179" s="2">
        <v>2004</v>
      </c>
      <c r="C179" s="2">
        <f>COUNTIFS(Games[Team],Games[[#This Row],[Team]],Games[Season],Games[[#This Row],[Season]],Games[Date],"&lt;=" &amp; Games[[#This Row],[Date]])</f>
        <v>16</v>
      </c>
      <c r="D179" s="2" t="s">
        <v>23</v>
      </c>
      <c r="E179" s="2" t="s">
        <v>29</v>
      </c>
      <c r="F179" s="1" t="s">
        <v>70</v>
      </c>
      <c r="G179" s="1" t="s">
        <v>66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9" s="2">
        <f>Games[[#This Row],[DaysOff]]-Games[[#This Row],[OppDaysOff]]</f>
        <v>-1</v>
      </c>
      <c r="L179" s="2">
        <f>Games[[#This Row],[OppDaysOff]]-Games[[#This Row],[DaysOff]]</f>
        <v>1</v>
      </c>
      <c r="M179" s="1">
        <f>MAX(-16, MIN(16, Games[[#This Row],[RestDiff]]*8))</f>
        <v>-8</v>
      </c>
      <c r="N179" s="1">
        <f>MAX(-16, MIN(16, Games[[#This Row],[OppRestDiff]]*8))</f>
        <v>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1591.2032568834857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1495.5606041648223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0.71950404252371081</v>
      </c>
      <c r="R179" s="1">
        <v>69</v>
      </c>
      <c r="S179" s="1">
        <v>65</v>
      </c>
      <c r="T179" s="1">
        <v>1</v>
      </c>
      <c r="U179" s="1">
        <f>Games[[#This Row],[PointsFor]]-Games[[#This Row],[PointsAgainst]]</f>
        <v>4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0.25959885852046299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73.599999999999994</v>
      </c>
      <c r="Z179" s="4">
        <f>Games[[#This Row],[K]]*Games[[#This Row],[POMult]]</f>
        <v>73.599999999999994</v>
      </c>
      <c r="AA179" s="4">
        <f>(Games[[#This Row],[Keff]]*Games[[#This Row],[MOVMult]])*(Games[[#This Row],[Result]]-Games[[#This Row],[ExpectedWin%]])</f>
        <v>5.3592892760010464</v>
      </c>
      <c r="AB179" s="4">
        <f>Games[[#This Row],[PreGmRate]]+Games[[#This Row],[RatingChange]]</f>
        <v>1596.5625461594866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38167</v>
      </c>
      <c r="B180" s="2">
        <v>2004</v>
      </c>
      <c r="C180" s="2">
        <f>COUNTIFS(Games[Team],Games[[#This Row],[Team]],Games[Season],Games[[#This Row],[Season]],Games[Date],"&lt;=" &amp; Games[[#This Row],[Date]])</f>
        <v>14</v>
      </c>
      <c r="D180" s="2" t="s">
        <v>23</v>
      </c>
      <c r="E180" s="2" t="s">
        <v>29</v>
      </c>
      <c r="F180" s="1" t="s">
        <v>44</v>
      </c>
      <c r="G180" s="1" t="s">
        <v>84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0" s="2">
        <f>Games[[#This Row],[DaysOff]]-Games[[#This Row],[OppDaysOff]]</f>
        <v>-1</v>
      </c>
      <c r="L180" s="2">
        <f>Games[[#This Row],[OppDaysOff]]-Games[[#This Row],[DaysOff]]</f>
        <v>1</v>
      </c>
      <c r="M180" s="1">
        <f>MAX(-16, MIN(16, Games[[#This Row],[RestDiff]]*8))</f>
        <v>-8</v>
      </c>
      <c r="N180" s="1">
        <f>MAX(-16, MIN(16, Games[[#This Row],[OppRestDiff]]*8))</f>
        <v>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1444.7213087976729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1426.0491441537415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0.38505168458630062</v>
      </c>
      <c r="R180" s="1">
        <v>77</v>
      </c>
      <c r="S180" s="1">
        <v>65</v>
      </c>
      <c r="T180" s="1">
        <v>0</v>
      </c>
      <c r="U180" s="1">
        <f>Games[[#This Row],[PointsFor]]-Games[[#This Row],[PointsAgainst]]</f>
        <v>12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0.44914075136176901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73.900000000000006</v>
      </c>
      <c r="Z180" s="4">
        <f>Games[[#This Row],[K]]*Games[[#This Row],[POMult]]</f>
        <v>73.900000000000006</v>
      </c>
      <c r="AA180" s="4">
        <f>(Games[[#This Row],[Keff]]*Games[[#This Row],[MOVMult]])*(Games[[#This Row],[Result]]-Games[[#This Row],[ExpectedWin%]])</f>
        <v>20.411057949240316</v>
      </c>
      <c r="AB180" s="4">
        <f>Games[[#This Row],[PreGmRate]]+Games[[#This Row],[RatingChange]]</f>
        <v>1465.1323667469132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38167</v>
      </c>
      <c r="B181" s="2">
        <v>2004</v>
      </c>
      <c r="C181" s="2">
        <f>COUNTIFS(Games[Team],Games[[#This Row],[Team]],Games[Season],Games[[#This Row],[Season]],Games[Date],"&lt;=" &amp; Games[[#This Row],[Date]])</f>
        <v>15</v>
      </c>
      <c r="D181" s="2" t="s">
        <v>23</v>
      </c>
      <c r="E181" s="2" t="s">
        <v>29</v>
      </c>
      <c r="F181" s="1" t="s">
        <v>84</v>
      </c>
      <c r="G181" s="1" t="s">
        <v>44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1</v>
      </c>
      <c r="L181" s="2">
        <f>Games[[#This Row],[OppDaysOff]]-Games[[#This Row],[DaysOff]]</f>
        <v>-1</v>
      </c>
      <c r="M181" s="1">
        <f>MAX(-16, MIN(16, Games[[#This Row],[RestDiff]]*8))</f>
        <v>8</v>
      </c>
      <c r="N181" s="1">
        <f>MAX(-16, MIN(16, Games[[#This Row],[OppRestDiff]]*8))</f>
        <v>-8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1426.0491441537415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1444.7213087976729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0.61494831541369932</v>
      </c>
      <c r="R181" s="1">
        <v>65</v>
      </c>
      <c r="S181" s="1">
        <v>77</v>
      </c>
      <c r="T181" s="1">
        <v>0</v>
      </c>
      <c r="U181" s="1">
        <f>Games[[#This Row],[PointsFor]]-Games[[#This Row],[PointsAgainst]]</f>
        <v>-12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0.44914075136176901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73.75</v>
      </c>
      <c r="Z181" s="4">
        <f>Games[[#This Row],[K]]*Games[[#This Row],[POMult]]</f>
        <v>73.75</v>
      </c>
      <c r="AA181" s="4">
        <f>(Games[[#This Row],[Keff]]*Games[[#This Row],[MOVMult]])*(Games[[#This Row],[Result]]-Games[[#This Row],[ExpectedWin%]])</f>
        <v>-20.369628196975274</v>
      </c>
      <c r="AB181" s="4">
        <f>Games[[#This Row],[PreGmRate]]+Games[[#This Row],[RatingChange]]</f>
        <v>1405.6795159567662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38168</v>
      </c>
      <c r="B182" s="2">
        <v>2004</v>
      </c>
      <c r="C182" s="2">
        <f>COUNTIFS(Games[Team],Games[[#This Row],[Team]],Games[Season],Games[[#This Row],[Season]],Games[Date],"&lt;=" &amp; Games[[#This Row],[Date]])</f>
        <v>13</v>
      </c>
      <c r="D182" s="2" t="s">
        <v>23</v>
      </c>
      <c r="E182" s="2" t="s">
        <v>29</v>
      </c>
      <c r="F182" s="1" t="s">
        <v>73</v>
      </c>
      <c r="G182" s="1" t="s">
        <v>86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1423.0215219221473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1527.1712448451574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0.25292418966689428</v>
      </c>
      <c r="R182" s="1">
        <v>69</v>
      </c>
      <c r="S182" s="1">
        <v>78</v>
      </c>
      <c r="T182" s="1">
        <v>0</v>
      </c>
      <c r="U182" s="1">
        <f>Games[[#This Row],[PointsFor]]-Games[[#This Row],[PointsAgainst]]</f>
        <v>-9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0.37355053949235167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74.05</v>
      </c>
      <c r="Z182" s="4">
        <f>Games[[#This Row],[K]]*Games[[#This Row],[POMult]]</f>
        <v>74.05</v>
      </c>
      <c r="AA182" s="4">
        <f>(Games[[#This Row],[Keff]]*Games[[#This Row],[MOVMult]])*(Games[[#This Row],[Result]]-Games[[#This Row],[ExpectedWin%]])</f>
        <v>-6.9962415934293709</v>
      </c>
      <c r="AB182" s="4">
        <f>Games[[#This Row],[PreGmRate]]+Games[[#This Row],[RatingChange]]</f>
        <v>1416.0252803287178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38168</v>
      </c>
      <c r="B183" s="2">
        <v>2004</v>
      </c>
      <c r="C183" s="2">
        <f>COUNTIFS(Games[Team],Games[[#This Row],[Team]],Games[Season],Games[[#This Row],[Season]],Games[Date],"&lt;=" &amp; Games[[#This Row],[Date]])</f>
        <v>16</v>
      </c>
      <c r="D183" s="2" t="s">
        <v>23</v>
      </c>
      <c r="E183" s="2" t="s">
        <v>29</v>
      </c>
      <c r="F183" s="1" t="s">
        <v>86</v>
      </c>
      <c r="G183" s="1" t="s">
        <v>73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1527.1712448451574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1423.0215219221473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0.74707581033310566</v>
      </c>
      <c r="R183" s="1">
        <v>78</v>
      </c>
      <c r="S183" s="1">
        <v>69</v>
      </c>
      <c r="T183" s="1">
        <v>0</v>
      </c>
      <c r="U183" s="1">
        <f>Games[[#This Row],[PointsFor]]-Games[[#This Row],[PointsAgainst]]</f>
        <v>9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0.37355053949235167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6.9537256080540413</v>
      </c>
      <c r="AB183" s="4">
        <f>Games[[#This Row],[PreGmRate]]+Games[[#This Row],[RatingChange]]</f>
        <v>1534.1249704532115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38168</v>
      </c>
      <c r="B184" s="2">
        <v>2004</v>
      </c>
      <c r="C184" s="2">
        <f>COUNTIFS(Games[Team],Games[[#This Row],[Team]],Games[Season],Games[[#This Row],[Season]],Games[Date],"&lt;=" &amp; Games[[#This Row],[Date]])</f>
        <v>16</v>
      </c>
      <c r="D184" s="2" t="s">
        <v>23</v>
      </c>
      <c r="E184" s="2" t="s">
        <v>29</v>
      </c>
      <c r="F184" s="1" t="s">
        <v>2</v>
      </c>
      <c r="G184" s="1" t="s">
        <v>77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1531.3850071963759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1435.4509469488062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0.51716774199335425</v>
      </c>
      <c r="R184" s="1">
        <v>50</v>
      </c>
      <c r="S184" s="1">
        <v>58</v>
      </c>
      <c r="T184" s="1">
        <v>1</v>
      </c>
      <c r="U184" s="1">
        <f>Games[[#This Row],[PointsFor]]-Games[[#This Row],[PointsAgainst]]</f>
        <v>-8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0.32361274440393151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73.599999999999994</v>
      </c>
      <c r="Z184" s="4">
        <f>Games[[#This Row],[K]]*Games[[#This Row],[POMult]]</f>
        <v>73.599999999999994</v>
      </c>
      <c r="AA184" s="4">
        <f>(Games[[#This Row],[Keff]]*Games[[#This Row],[MOVMult]])*(Games[[#This Row],[Result]]-Games[[#This Row],[ExpectedWin%]])</f>
        <v>-12.317848521548914</v>
      </c>
      <c r="AB184" s="4">
        <f>Games[[#This Row],[PreGmRate]]+Games[[#This Row],[RatingChange]]</f>
        <v>1519.0671586748269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38168</v>
      </c>
      <c r="B185" s="2">
        <v>2004</v>
      </c>
      <c r="C185" s="2">
        <f>COUNTIFS(Games[Team],Games[[#This Row],[Team]],Games[Season],Games[[#This Row],[Season]],Games[Date],"&lt;=" &amp; Games[[#This Row],[Date]])</f>
        <v>14</v>
      </c>
      <c r="D185" s="2" t="s">
        <v>23</v>
      </c>
      <c r="E185" s="2" t="s">
        <v>29</v>
      </c>
      <c r="F185" s="1" t="s">
        <v>77</v>
      </c>
      <c r="G185" s="1" t="s">
        <v>2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1435.4509469488062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1531.3850071963759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0.48283225800664564</v>
      </c>
      <c r="R185" s="1">
        <v>58</v>
      </c>
      <c r="S185" s="1">
        <v>50</v>
      </c>
      <c r="T185" s="1">
        <v>1</v>
      </c>
      <c r="U185" s="1">
        <f>Games[[#This Row],[PointsFor]]-Games[[#This Row],[PointsAgainst]]</f>
        <v>8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0.32361274440393151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73.900000000000006</v>
      </c>
      <c r="Z185" s="4">
        <f>Games[[#This Row],[K]]*Games[[#This Row],[POMult]]</f>
        <v>73.900000000000006</v>
      </c>
      <c r="AA185" s="4">
        <f>(Games[[#This Row],[Keff]]*Games[[#This Row],[MOVMult]])*(Games[[#This Row],[Result]]-Games[[#This Row],[ExpectedWin%]])</f>
        <v>12.368057143240016</v>
      </c>
      <c r="AB185" s="4">
        <f>Games[[#This Row],[PreGmRate]]+Games[[#This Row],[RatingChange]]</f>
        <v>1447.8190040920463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38169</v>
      </c>
      <c r="B186" s="2">
        <v>2004</v>
      </c>
      <c r="C186" s="2">
        <f>COUNTIFS(Games[Team],Games[[#This Row],[Team]],Games[Season],Games[[#This Row],[Season]],Games[Date],"&lt;=" &amp; Games[[#This Row],[Date]])</f>
        <v>15</v>
      </c>
      <c r="D186" s="2" t="s">
        <v>23</v>
      </c>
      <c r="E186" s="2" t="s">
        <v>29</v>
      </c>
      <c r="F186" s="1" t="s">
        <v>44</v>
      </c>
      <c r="G186" s="1" t="s">
        <v>64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6" s="2">
        <f>Games[[#This Row],[DaysOff]]-Games[[#This Row],[OppDaysOff]]</f>
        <v>-3</v>
      </c>
      <c r="L186" s="2">
        <f>Games[[#This Row],[OppDaysOff]]-Games[[#This Row],[DaysOff]]</f>
        <v>3</v>
      </c>
      <c r="M186" s="1">
        <f>MAX(-16, MIN(16, Games[[#This Row],[RestDiff]]*8))</f>
        <v>-16</v>
      </c>
      <c r="N186" s="1">
        <f>MAX(-16, MIN(16, Games[[#This Row],[OppRestDiff]]*8))</f>
        <v>16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1465.1323667469132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1498.8394425652252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0.29696691818668952</v>
      </c>
      <c r="R186" s="1">
        <v>71</v>
      </c>
      <c r="S186" s="1">
        <v>59</v>
      </c>
      <c r="T186" s="1">
        <v>0</v>
      </c>
      <c r="U186" s="1">
        <f>Games[[#This Row],[PointsFor]]-Games[[#This Row],[PointsAgainst]]</f>
        <v>12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0.44366717385388316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73.75</v>
      </c>
      <c r="Z186" s="4">
        <f>Games[[#This Row],[K]]*Games[[#This Row],[POMult]]</f>
        <v>73.75</v>
      </c>
      <c r="AA186" s="4">
        <f>(Games[[#This Row],[Keff]]*Games[[#This Row],[MOVMult]])*(Games[[#This Row],[Result]]-Games[[#This Row],[ExpectedWin%]])</f>
        <v>23.003561664374928</v>
      </c>
      <c r="AB186" s="4">
        <f>Games[[#This Row],[PreGmRate]]+Games[[#This Row],[RatingChange]]</f>
        <v>1488.1359284112882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38169</v>
      </c>
      <c r="B187" s="2">
        <v>2004</v>
      </c>
      <c r="C187" s="2">
        <f>COUNTIFS(Games[Team],Games[[#This Row],[Team]],Games[Season],Games[[#This Row],[Season]],Games[Date],"&lt;=" &amp; Games[[#This Row],[Date]])</f>
        <v>14</v>
      </c>
      <c r="D187" s="2" t="s">
        <v>23</v>
      </c>
      <c r="E187" s="2" t="s">
        <v>29</v>
      </c>
      <c r="F187" s="1" t="s">
        <v>64</v>
      </c>
      <c r="G187" s="1" t="s">
        <v>44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3</v>
      </c>
      <c r="L187" s="2">
        <f>Games[[#This Row],[OppDaysOff]]-Games[[#This Row],[DaysOff]]</f>
        <v>-3</v>
      </c>
      <c r="M187" s="1">
        <f>MAX(-16, MIN(16, Games[[#This Row],[RestDiff]]*8))</f>
        <v>16</v>
      </c>
      <c r="N187" s="1">
        <f>MAX(-16, MIN(16, Games[[#This Row],[OppRestDiff]]*8))</f>
        <v>-16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1498.8394425652252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1465.1323667469132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0.70303308181331048</v>
      </c>
      <c r="R187" s="1">
        <v>59</v>
      </c>
      <c r="S187" s="1">
        <v>71</v>
      </c>
      <c r="T187" s="1">
        <v>0</v>
      </c>
      <c r="U187" s="1">
        <f>Games[[#This Row],[PointsFor]]-Games[[#This Row],[PointsAgainst]]</f>
        <v>-12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0.44366717385388316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73.900000000000006</v>
      </c>
      <c r="Z187" s="4">
        <f>Games[[#This Row],[K]]*Games[[#This Row],[POMult]]</f>
        <v>73.900000000000006</v>
      </c>
      <c r="AA187" s="4">
        <f>(Games[[#This Row],[Keff]]*Games[[#This Row],[MOVMult]])*(Games[[#This Row],[Result]]-Games[[#This Row],[ExpectedWin%]])</f>
        <v>-23.050348569455011</v>
      </c>
      <c r="AB187" s="4">
        <f>Games[[#This Row],[PreGmRate]]+Games[[#This Row],[RatingChange]]</f>
        <v>1475.7890939957701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38169</v>
      </c>
      <c r="B188" s="2">
        <v>2004</v>
      </c>
      <c r="C188" s="2">
        <f>COUNTIFS(Games[Team],Games[[#This Row],[Team]],Games[Season],Games[[#This Row],[Season]],Games[Date],"&lt;=" &amp; Games[[#This Row],[Date]])</f>
        <v>16</v>
      </c>
      <c r="D188" s="2" t="s">
        <v>23</v>
      </c>
      <c r="E188" s="2" t="s">
        <v>29</v>
      </c>
      <c r="F188" s="1" t="s">
        <v>66</v>
      </c>
      <c r="G188" s="1" t="s">
        <v>45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8" s="2">
        <f>Games[[#This Row],[DaysOff]]-Games[[#This Row],[OppDaysOff]]</f>
        <v>-2</v>
      </c>
      <c r="L188" s="2">
        <f>Games[[#This Row],[OppDaysOff]]-Games[[#This Row],[DaysOff]]</f>
        <v>2</v>
      </c>
      <c r="M188" s="1">
        <f>MAX(-16, MIN(16, Games[[#This Row],[RestDiff]]*8))</f>
        <v>-16</v>
      </c>
      <c r="N188" s="1">
        <f>MAX(-16, MIN(16, Games[[#This Row],[OppRestDiff]]*8))</f>
        <v>16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1490.1903924242642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1498.703758361828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0.32810761203030669</v>
      </c>
      <c r="R188" s="1">
        <v>47</v>
      </c>
      <c r="S188" s="1">
        <v>73</v>
      </c>
      <c r="T188" s="1">
        <v>0</v>
      </c>
      <c r="U188" s="1">
        <f>Games[[#This Row],[PointsFor]]-Games[[#This Row],[PointsAgainst]]</f>
        <v>-26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0.64947966546590474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-15.684102746431968</v>
      </c>
      <c r="AB188" s="4">
        <f>Games[[#This Row],[PreGmRate]]+Games[[#This Row],[RatingChange]]</f>
        <v>1474.5062896778322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38169</v>
      </c>
      <c r="B189" s="2">
        <v>2004</v>
      </c>
      <c r="C189" s="2">
        <f>COUNTIFS(Games[Team],Games[[#This Row],[Team]],Games[Season],Games[[#This Row],[Season]],Games[Date],"&lt;=" &amp; Games[[#This Row],[Date]])</f>
        <v>13</v>
      </c>
      <c r="D189" s="2" t="s">
        <v>23</v>
      </c>
      <c r="E189" s="2" t="s">
        <v>29</v>
      </c>
      <c r="F189" s="1" t="s">
        <v>45</v>
      </c>
      <c r="G189" s="1" t="s">
        <v>66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2</v>
      </c>
      <c r="L189" s="2">
        <f>Games[[#This Row],[OppDaysOff]]-Games[[#This Row],[DaysOff]]</f>
        <v>-2</v>
      </c>
      <c r="M189" s="1">
        <f>MAX(-16, MIN(16, Games[[#This Row],[RestDiff]]*8))</f>
        <v>16</v>
      </c>
      <c r="N189" s="1">
        <f>MAX(-16, MIN(16, Games[[#This Row],[OppRestDiff]]*8))</f>
        <v>-16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1498.703758361828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1490.1903924242642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0.67189238796969319</v>
      </c>
      <c r="R189" s="1">
        <v>73</v>
      </c>
      <c r="S189" s="1">
        <v>47</v>
      </c>
      <c r="T189" s="1">
        <v>0</v>
      </c>
      <c r="U189" s="1">
        <f>Games[[#This Row],[PointsFor]]-Games[[#This Row],[PointsAgainst]]</f>
        <v>26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0.64947966546590474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74.05</v>
      </c>
      <c r="Z189" s="4">
        <f>Games[[#This Row],[K]]*Games[[#This Row],[POMult]]</f>
        <v>74.05</v>
      </c>
      <c r="AA189" s="4">
        <f>(Games[[#This Row],[Keff]]*Games[[#This Row],[MOVMult]])*(Games[[#This Row],[Result]]-Games[[#This Row],[ExpectedWin%]])</f>
        <v>15.77999739637619</v>
      </c>
      <c r="AB189" s="4">
        <f>Games[[#This Row],[PreGmRate]]+Games[[#This Row],[RatingChange]]</f>
        <v>1514.4837557582043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38169</v>
      </c>
      <c r="B190" s="2">
        <v>2004</v>
      </c>
      <c r="C190" s="2">
        <f>COUNTIFS(Games[Team],Games[[#This Row],[Team]],Games[Season],Games[[#This Row],[Season]],Games[Date],"&lt;=" &amp; Games[[#This Row],[Date]])</f>
        <v>16</v>
      </c>
      <c r="D190" s="2" t="s">
        <v>23</v>
      </c>
      <c r="E190" s="2" t="s">
        <v>29</v>
      </c>
      <c r="F190" s="1" t="s">
        <v>84</v>
      </c>
      <c r="G190" s="1" t="s">
        <v>81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90" s="2">
        <f>Games[[#This Row],[DaysOff]]-Games[[#This Row],[OppDaysOff]]</f>
        <v>-3</v>
      </c>
      <c r="L190" s="2">
        <f>Games[[#This Row],[OppDaysOff]]-Games[[#This Row],[DaysOff]]</f>
        <v>3</v>
      </c>
      <c r="M190" s="1">
        <f>MAX(-16, MIN(16, Games[[#This Row],[RestDiff]]*8))</f>
        <v>-16</v>
      </c>
      <c r="N190" s="1">
        <f>MAX(-16, MIN(16, Games[[#This Row],[OppRestDiff]]*8))</f>
        <v>16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1405.6795159567662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1575.0990910744467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0.16205629476458072</v>
      </c>
      <c r="R190" s="1">
        <v>52</v>
      </c>
      <c r="S190" s="1">
        <v>76</v>
      </c>
      <c r="T190" s="1">
        <v>0</v>
      </c>
      <c r="U190" s="1">
        <f>Games[[#This Row],[PointsFor]]-Games[[#This Row],[PointsAgainst]]</f>
        <v>-24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0.55068375758609944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-6.5681942235299724</v>
      </c>
      <c r="AB190" s="4">
        <f>Games[[#This Row],[PreGmRate]]+Games[[#This Row],[RatingChange]]</f>
        <v>1399.1113217332363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38169</v>
      </c>
      <c r="B191" s="2">
        <v>2004</v>
      </c>
      <c r="C191" s="2">
        <f>COUNTIFS(Games[Team],Games[[#This Row],[Team]],Games[Season],Games[[#This Row],[Season]],Games[Date],"&lt;=" &amp; Games[[#This Row],[Date]])</f>
        <v>13</v>
      </c>
      <c r="D191" s="2" t="s">
        <v>23</v>
      </c>
      <c r="E191" s="2" t="s">
        <v>29</v>
      </c>
      <c r="F191" s="1" t="s">
        <v>81</v>
      </c>
      <c r="G191" s="1" t="s">
        <v>84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3</v>
      </c>
      <c r="L191" s="2">
        <f>Games[[#This Row],[OppDaysOff]]-Games[[#This Row],[DaysOff]]</f>
        <v>-3</v>
      </c>
      <c r="M191" s="1">
        <f>MAX(-16, MIN(16, Games[[#This Row],[RestDiff]]*8))</f>
        <v>16</v>
      </c>
      <c r="N191" s="1">
        <f>MAX(-16, MIN(16, Games[[#This Row],[OppRestDiff]]*8))</f>
        <v>-16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1575.0990910744467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1405.6795159567662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0.83794370523541928</v>
      </c>
      <c r="R191" s="1">
        <v>76</v>
      </c>
      <c r="S191" s="1">
        <v>52</v>
      </c>
      <c r="T191" s="1">
        <v>0</v>
      </c>
      <c r="U191" s="1">
        <f>Games[[#This Row],[PointsFor]]-Games[[#This Row],[PointsAgainst]]</f>
        <v>24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0.55068375758609944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74.05</v>
      </c>
      <c r="Z191" s="4">
        <f>Games[[#This Row],[K]]*Games[[#This Row],[POMult]]</f>
        <v>74.05</v>
      </c>
      <c r="AA191" s="4">
        <f>(Games[[#This Row],[Keff]]*Games[[#This Row],[MOVMult]])*(Games[[#This Row],[Result]]-Games[[#This Row],[ExpectedWin%]])</f>
        <v>6.6083530197336202</v>
      </c>
      <c r="AB191" s="4">
        <f>Games[[#This Row],[PreGmRate]]+Games[[#This Row],[RatingChange]]</f>
        <v>1581.7074440941803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38169</v>
      </c>
      <c r="B192" s="2">
        <v>2004</v>
      </c>
      <c r="C192" s="2">
        <f>COUNTIFS(Games[Team],Games[[#This Row],[Team]],Games[Season],Games[[#This Row],[Season]],Games[Date],"&lt;=" &amp; Games[[#This Row],[Date]])</f>
        <v>15</v>
      </c>
      <c r="D192" s="2" t="s">
        <v>23</v>
      </c>
      <c r="E192" s="2" t="s">
        <v>29</v>
      </c>
      <c r="F192" s="1" t="s">
        <v>79</v>
      </c>
      <c r="G192" s="1" t="s">
        <v>73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2" s="2">
        <f>Games[[#This Row],[DaysOff]]-Games[[#This Row],[OppDaysOff]]</f>
        <v>1</v>
      </c>
      <c r="L192" s="2">
        <f>Games[[#This Row],[OppDaysOff]]-Games[[#This Row],[DaysOff]]</f>
        <v>-1</v>
      </c>
      <c r="M192" s="1">
        <f>MAX(-16, MIN(16, Games[[#This Row],[RestDiff]]*8))</f>
        <v>8</v>
      </c>
      <c r="N192" s="1">
        <f>MAX(-16, MIN(16, Games[[#This Row],[OppRestDiff]]*8))</f>
        <v>-8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1516.0509846890027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1416.0252803287178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0.54595860204468794</v>
      </c>
      <c r="R192" s="1">
        <v>64</v>
      </c>
      <c r="S192" s="1">
        <v>69</v>
      </c>
      <c r="T192" s="1">
        <v>0</v>
      </c>
      <c r="U192" s="1">
        <f>Games[[#This Row],[PointsFor]]-Games[[#This Row],[PointsAgainst]]</f>
        <v>-5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0.30623023007794864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73.75</v>
      </c>
      <c r="Z192" s="4">
        <f>Games[[#This Row],[K]]*Games[[#This Row],[POMult]]</f>
        <v>73.75</v>
      </c>
      <c r="AA192" s="4">
        <f>(Games[[#This Row],[Keff]]*Games[[#This Row],[MOVMult]])*(Games[[#This Row],[Result]]-Games[[#This Row],[ExpectedWin%]])</f>
        <v>-12.330190838392024</v>
      </c>
      <c r="AB192" s="4">
        <f>Games[[#This Row],[PreGmRate]]+Games[[#This Row],[RatingChange]]</f>
        <v>1503.7207938506106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38169</v>
      </c>
      <c r="B193" s="2">
        <v>2004</v>
      </c>
      <c r="C193" s="2">
        <f>COUNTIFS(Games[Team],Games[[#This Row],[Team]],Games[Season],Games[[#This Row],[Season]],Games[Date],"&lt;=" &amp; Games[[#This Row],[Date]])</f>
        <v>14</v>
      </c>
      <c r="D193" s="2" t="s">
        <v>23</v>
      </c>
      <c r="E193" s="2" t="s">
        <v>29</v>
      </c>
      <c r="F193" s="1" t="s">
        <v>73</v>
      </c>
      <c r="G193" s="1" t="s">
        <v>79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-1</v>
      </c>
      <c r="L193" s="2">
        <f>Games[[#This Row],[OppDaysOff]]-Games[[#This Row],[DaysOff]]</f>
        <v>1</v>
      </c>
      <c r="M193" s="1">
        <f>MAX(-16, MIN(16, Games[[#This Row],[RestDiff]]*8))</f>
        <v>-8</v>
      </c>
      <c r="N193" s="1">
        <f>MAX(-16, MIN(16, Games[[#This Row],[OppRestDiff]]*8))</f>
        <v>8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1416.0252803287178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1516.0509846890027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0.45404139795531212</v>
      </c>
      <c r="R193" s="1">
        <v>69</v>
      </c>
      <c r="S193" s="1">
        <v>64</v>
      </c>
      <c r="T193" s="1">
        <v>0</v>
      </c>
      <c r="U193" s="1">
        <f>Games[[#This Row],[PointsFor]]-Games[[#This Row],[PointsAgainst]]</f>
        <v>5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0.30623023007794864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73.900000000000006</v>
      </c>
      <c r="Z193" s="4">
        <f>Games[[#This Row],[K]]*Games[[#This Row],[POMult]]</f>
        <v>73.900000000000006</v>
      </c>
      <c r="AA193" s="4">
        <f>(Games[[#This Row],[Keff]]*Games[[#This Row],[MOVMult]])*(Games[[#This Row],[Result]]-Games[[#This Row],[ExpectedWin%]])</f>
        <v>12.3552691926396</v>
      </c>
      <c r="AB193" s="4">
        <f>Games[[#This Row],[PreGmRate]]+Games[[#This Row],[RatingChange]]</f>
        <v>1428.3805495213574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38170</v>
      </c>
      <c r="B194" s="2">
        <v>2004</v>
      </c>
      <c r="C194" s="2">
        <f>COUNTIFS(Games[Team],Games[[#This Row],[Team]],Games[Season],Games[[#This Row],[Season]],Games[Date],"&lt;=" &amp; Games[[#This Row],[Date]])</f>
        <v>17</v>
      </c>
      <c r="D194" s="2" t="s">
        <v>23</v>
      </c>
      <c r="E194" s="2" t="s">
        <v>29</v>
      </c>
      <c r="F194" s="1" t="s">
        <v>84</v>
      </c>
      <c r="G194" s="1" t="s">
        <v>70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-2</v>
      </c>
      <c r="L194" s="2">
        <f>Games[[#This Row],[OppDaysOff]]-Games[[#This Row],[DaysOff]]</f>
        <v>2</v>
      </c>
      <c r="M194" s="1">
        <f>MAX(-16, MIN(16, Games[[#This Row],[RestDiff]]*8))</f>
        <v>-16</v>
      </c>
      <c r="N194" s="1">
        <f>MAX(-16, MIN(16, Games[[#This Row],[OppRestDiff]]*8))</f>
        <v>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1399.1113217332363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1596.5625461594866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0.14131990438133854</v>
      </c>
      <c r="R194" s="1">
        <v>80</v>
      </c>
      <c r="S194" s="1">
        <v>87</v>
      </c>
      <c r="T194" s="1">
        <v>1</v>
      </c>
      <c r="U194" s="1">
        <f>Games[[#This Row],[PointsFor]]-Games[[#This Row],[PointsAgainst]]</f>
        <v>-7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0.28603198401449492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73.45</v>
      </c>
      <c r="Z194" s="4">
        <f>Games[[#This Row],[K]]*Games[[#This Row],[POMult]]</f>
        <v>73.45</v>
      </c>
      <c r="AA194" s="4">
        <f>(Games[[#This Row],[Keff]]*Games[[#This Row],[MOVMult]])*(Games[[#This Row],[Result]]-Games[[#This Row],[ExpectedWin%]])</f>
        <v>-2.9689968277420276</v>
      </c>
      <c r="AB194" s="4">
        <f>Games[[#This Row],[PreGmRate]]+Games[[#This Row],[RatingChange]]</f>
        <v>1396.1423249054942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38170</v>
      </c>
      <c r="B195" s="2">
        <v>2004</v>
      </c>
      <c r="C195" s="2">
        <f>COUNTIFS(Games[Team],Games[[#This Row],[Team]],Games[Season],Games[[#This Row],[Season]],Games[Date],"&lt;=" &amp; Games[[#This Row],[Date]])</f>
        <v>17</v>
      </c>
      <c r="D195" s="2" t="s">
        <v>23</v>
      </c>
      <c r="E195" s="2" t="s">
        <v>29</v>
      </c>
      <c r="F195" s="1" t="s">
        <v>70</v>
      </c>
      <c r="G195" s="1" t="s">
        <v>84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5" s="2">
        <f>Games[[#This Row],[DaysOff]]-Games[[#This Row],[OppDaysOff]]</f>
        <v>2</v>
      </c>
      <c r="L195" s="2">
        <f>Games[[#This Row],[OppDaysOff]]-Games[[#This Row],[DaysOff]]</f>
        <v>-2</v>
      </c>
      <c r="M195" s="1">
        <f>MAX(-16, MIN(16, Games[[#This Row],[RestDiff]]*8))</f>
        <v>16</v>
      </c>
      <c r="N195" s="1">
        <f>MAX(-16, MIN(16, Games[[#This Row],[OppRestDiff]]*8))</f>
        <v>-16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1596.5625461594866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1399.1113217332363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0.85868009561866143</v>
      </c>
      <c r="R195" s="1">
        <v>87</v>
      </c>
      <c r="S195" s="1">
        <v>80</v>
      </c>
      <c r="T195" s="1">
        <v>1</v>
      </c>
      <c r="U195" s="1">
        <f>Games[[#This Row],[PointsFor]]-Games[[#This Row],[PointsAgainst]]</f>
        <v>7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0.28603198401449492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73.45</v>
      </c>
      <c r="Z195" s="4">
        <f>Games[[#This Row],[K]]*Games[[#This Row],[POMult]]</f>
        <v>73.45</v>
      </c>
      <c r="AA195" s="4">
        <f>(Games[[#This Row],[Keff]]*Games[[#This Row],[MOVMult]])*(Games[[#This Row],[Result]]-Games[[#This Row],[ExpectedWin%]])</f>
        <v>2.968996827742028</v>
      </c>
      <c r="AB195" s="4">
        <f>Games[[#This Row],[PreGmRate]]+Games[[#This Row],[RatingChange]]</f>
        <v>1599.5315429872287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38171</v>
      </c>
      <c r="B196" s="2">
        <v>2004</v>
      </c>
      <c r="C196" s="2">
        <f>COUNTIFS(Games[Team],Games[[#This Row],[Team]],Games[Season],Games[[#This Row],[Season]],Games[Date],"&lt;=" &amp; Games[[#This Row],[Date]])</f>
        <v>15</v>
      </c>
      <c r="D196" s="2" t="s">
        <v>23</v>
      </c>
      <c r="E196" s="2" t="s">
        <v>29</v>
      </c>
      <c r="F196" s="1" t="s">
        <v>64</v>
      </c>
      <c r="G196" s="1" t="s">
        <v>2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6" s="2">
        <f>Games[[#This Row],[DaysOff]]-Games[[#This Row],[OppDaysOff]]</f>
        <v>-1</v>
      </c>
      <c r="L196" s="2">
        <f>Games[[#This Row],[OppDaysOff]]-Games[[#This Row],[DaysOff]]</f>
        <v>1</v>
      </c>
      <c r="M196" s="1">
        <f>MAX(-16, MIN(16, Games[[#This Row],[RestDiff]]*8))</f>
        <v>-8</v>
      </c>
      <c r="N196" s="1">
        <f>MAX(-16, MIN(16, Games[[#This Row],[OppRestDiff]]*8))</f>
        <v>8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1475.7890939957701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1519.0671586748269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0.30475103503182743</v>
      </c>
      <c r="R196" s="1">
        <v>62</v>
      </c>
      <c r="S196" s="1">
        <v>55</v>
      </c>
      <c r="T196" s="1">
        <v>0</v>
      </c>
      <c r="U196" s="1">
        <f>Games[[#This Row],[PointsFor]]-Games[[#This Row],[PointsAgainst]]</f>
        <v>7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0.35722387420969465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73.75</v>
      </c>
      <c r="Z196" s="4">
        <f>Games[[#This Row],[K]]*Games[[#This Row],[POMult]]</f>
        <v>73.75</v>
      </c>
      <c r="AA196" s="4">
        <f>(Games[[#This Row],[Keff]]*Games[[#This Row],[MOVMult]])*(Games[[#This Row],[Result]]-Games[[#This Row],[ExpectedWin%]])</f>
        <v>18.316515249458053</v>
      </c>
      <c r="AB196" s="4">
        <f>Games[[#This Row],[PreGmRate]]+Games[[#This Row],[RatingChange]]</f>
        <v>1494.1056092452282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38171</v>
      </c>
      <c r="B197" s="2">
        <v>2004</v>
      </c>
      <c r="C197" s="2">
        <f>COUNTIFS(Games[Team],Games[[#This Row],[Team]],Games[Season],Games[[#This Row],[Season]],Games[Date],"&lt;=" &amp; Games[[#This Row],[Date]])</f>
        <v>17</v>
      </c>
      <c r="D197" s="2" t="s">
        <v>23</v>
      </c>
      <c r="E197" s="2" t="s">
        <v>29</v>
      </c>
      <c r="F197" s="1" t="s">
        <v>2</v>
      </c>
      <c r="G197" s="1" t="s">
        <v>64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1</v>
      </c>
      <c r="L197" s="2">
        <f>Games[[#This Row],[OppDaysOff]]-Games[[#This Row],[DaysOff]]</f>
        <v>-1</v>
      </c>
      <c r="M197" s="1">
        <f>MAX(-16, MIN(16, Games[[#This Row],[RestDiff]]*8))</f>
        <v>8</v>
      </c>
      <c r="N197" s="1">
        <f>MAX(-16, MIN(16, Games[[#This Row],[OppRestDiff]]*8))</f>
        <v>-8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1519.0671586748269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1475.7890939957701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0.69524896496817257</v>
      </c>
      <c r="R197" s="1">
        <v>55</v>
      </c>
      <c r="S197" s="1">
        <v>62</v>
      </c>
      <c r="T197" s="1">
        <v>0</v>
      </c>
      <c r="U197" s="1">
        <f>Games[[#This Row],[PointsFor]]-Games[[#This Row],[PointsAgainst]]</f>
        <v>-7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0.35722387420969465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-18.242007390816191</v>
      </c>
      <c r="AB197" s="4">
        <f>Games[[#This Row],[PreGmRate]]+Games[[#This Row],[RatingChange]]</f>
        <v>1500.8251512840106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38171</v>
      </c>
      <c r="B198" s="2">
        <v>2004</v>
      </c>
      <c r="C198" s="2">
        <f>COUNTIFS(Games[Team],Games[[#This Row],[Team]],Games[Season],Games[[#This Row],[Season]],Games[Date],"&lt;=" &amp; Games[[#This Row],[Date]])</f>
        <v>16</v>
      </c>
      <c r="D198" s="2" t="s">
        <v>23</v>
      </c>
      <c r="E198" s="2" t="s">
        <v>29</v>
      </c>
      <c r="F198" s="1" t="s">
        <v>44</v>
      </c>
      <c r="G198" s="1" t="s">
        <v>79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1488.1359284112882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1503.7207938506106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0.36048572917622201</v>
      </c>
      <c r="R198" s="1">
        <v>60</v>
      </c>
      <c r="S198" s="1">
        <v>61</v>
      </c>
      <c r="T198" s="1">
        <v>0</v>
      </c>
      <c r="U198" s="1">
        <f>Games[[#This Row],[PointsFor]]-Games[[#This Row],[PointsAgainst]]</f>
        <v>-1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0.24104907315743346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73.599999999999994</v>
      </c>
      <c r="Z198" s="4">
        <f>Games[[#This Row],[K]]*Games[[#This Row],[POMult]]</f>
        <v>73.599999999999994</v>
      </c>
      <c r="AA198" s="4">
        <f>(Games[[#This Row],[Keff]]*Games[[#This Row],[MOVMult]])*(Games[[#This Row],[Result]]-Games[[#This Row],[ExpectedWin%]])</f>
        <v>-6.3954536665645669</v>
      </c>
      <c r="AB198" s="4">
        <f>Games[[#This Row],[PreGmRate]]+Games[[#This Row],[RatingChange]]</f>
        <v>1481.7404747447235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38171</v>
      </c>
      <c r="B199" s="2">
        <v>2004</v>
      </c>
      <c r="C199" s="2">
        <f>COUNTIFS(Games[Team],Games[[#This Row],[Team]],Games[Season],Games[[#This Row],[Season]],Games[Date],"&lt;=" &amp; Games[[#This Row],[Date]])</f>
        <v>16</v>
      </c>
      <c r="D199" s="2" t="s">
        <v>23</v>
      </c>
      <c r="E199" s="2" t="s">
        <v>29</v>
      </c>
      <c r="F199" s="1" t="s">
        <v>79</v>
      </c>
      <c r="G199" s="1" t="s">
        <v>44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1503.7207938506106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1488.1359284112882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0.63951427082377799</v>
      </c>
      <c r="R199" s="1">
        <v>61</v>
      </c>
      <c r="S199" s="1">
        <v>60</v>
      </c>
      <c r="T199" s="1">
        <v>0</v>
      </c>
      <c r="U199" s="1">
        <f>Games[[#This Row],[PointsFor]]-Games[[#This Row],[PointsAgainst]]</f>
        <v>1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0.24104907315743346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6.3954536665645669</v>
      </c>
      <c r="AB199" s="4">
        <f>Games[[#This Row],[PreGmRate]]+Games[[#This Row],[RatingChange]]</f>
        <v>1510.1162475171752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38171</v>
      </c>
      <c r="B200" s="2">
        <v>2004</v>
      </c>
      <c r="C200" s="2">
        <f>COUNTIFS(Games[Team],Games[[#This Row],[Team]],Games[Season],Games[[#This Row],[Season]],Games[Date],"&lt;=" &amp; Games[[#This Row],[Date]])</f>
        <v>15</v>
      </c>
      <c r="D200" s="2" t="s">
        <v>23</v>
      </c>
      <c r="E200" s="2" t="s">
        <v>29</v>
      </c>
      <c r="F200" s="1" t="s">
        <v>75</v>
      </c>
      <c r="G200" s="1" t="s">
        <v>77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0" s="2">
        <f>Games[[#This Row],[DaysOff]]-Games[[#This Row],[OppDaysOff]]</f>
        <v>1</v>
      </c>
      <c r="L200" s="2">
        <f>Games[[#This Row],[OppDaysOff]]-Games[[#This Row],[DaysOff]]</f>
        <v>-1</v>
      </c>
      <c r="M200" s="1">
        <f>MAX(-16, MIN(16, Games[[#This Row],[RestDiff]]*8))</f>
        <v>8</v>
      </c>
      <c r="N200" s="1">
        <f>MAX(-16, MIN(16, Games[[#This Row],[OppRestDiff]]*8))</f>
        <v>-8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1555.6580232182187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1447.8190040920463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0.5570829953316544</v>
      </c>
      <c r="R200" s="1">
        <v>70</v>
      </c>
      <c r="S200" s="1">
        <v>78</v>
      </c>
      <c r="T200" s="1">
        <v>0</v>
      </c>
      <c r="U200" s="1">
        <f>Games[[#This Row],[PointsFor]]-Games[[#This Row],[PointsAgainst]]</f>
        <v>-8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0.35629663528080729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73.75</v>
      </c>
      <c r="Z200" s="4">
        <f>Games[[#This Row],[K]]*Games[[#This Row],[POMult]]</f>
        <v>73.75</v>
      </c>
      <c r="AA200" s="4">
        <f>(Games[[#This Row],[Keff]]*Games[[#This Row],[MOVMult]])*(Games[[#This Row],[Result]]-Games[[#This Row],[ExpectedWin%]])</f>
        <v>-14.638401264650634</v>
      </c>
      <c r="AB200" s="4">
        <f>Games[[#This Row],[PreGmRate]]+Games[[#This Row],[RatingChange]]</f>
        <v>1541.019621953568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38171</v>
      </c>
      <c r="B201" s="2">
        <v>2004</v>
      </c>
      <c r="C201" s="2">
        <f>COUNTIFS(Games[Team],Games[[#This Row],[Team]],Games[Season],Games[[#This Row],[Season]],Games[Date],"&lt;=" &amp; Games[[#This Row],[Date]])</f>
        <v>15</v>
      </c>
      <c r="D201" s="2" t="s">
        <v>23</v>
      </c>
      <c r="E201" s="2" t="s">
        <v>29</v>
      </c>
      <c r="F201" s="1" t="s">
        <v>77</v>
      </c>
      <c r="G201" s="1" t="s">
        <v>75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1" s="2">
        <f>Games[[#This Row],[DaysOff]]-Games[[#This Row],[OppDaysOff]]</f>
        <v>-1</v>
      </c>
      <c r="L201" s="2">
        <f>Games[[#This Row],[OppDaysOff]]-Games[[#This Row],[DaysOff]]</f>
        <v>1</v>
      </c>
      <c r="M201" s="1">
        <f>MAX(-16, MIN(16, Games[[#This Row],[RestDiff]]*8))</f>
        <v>-8</v>
      </c>
      <c r="N201" s="1">
        <f>MAX(-16, MIN(16, Games[[#This Row],[OppRestDiff]]*8))</f>
        <v>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1447.8190040920463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1555.6580232182187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0.44291700466834572</v>
      </c>
      <c r="R201" s="1">
        <v>78</v>
      </c>
      <c r="S201" s="1">
        <v>70</v>
      </c>
      <c r="T201" s="1">
        <v>0</v>
      </c>
      <c r="U201" s="1">
        <f>Games[[#This Row],[PointsFor]]-Games[[#This Row],[PointsAgainst]]</f>
        <v>8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0.35629663528080729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73.75</v>
      </c>
      <c r="Z201" s="4">
        <f>Games[[#This Row],[K]]*Games[[#This Row],[POMult]]</f>
        <v>73.75</v>
      </c>
      <c r="AA201" s="4">
        <f>(Games[[#This Row],[Keff]]*Games[[#This Row],[MOVMult]])*(Games[[#This Row],[Result]]-Games[[#This Row],[ExpectedWin%]])</f>
        <v>14.63840126465063</v>
      </c>
      <c r="AB201" s="4">
        <f>Games[[#This Row],[PreGmRate]]+Games[[#This Row],[RatingChange]]</f>
        <v>1462.4574053566969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38171</v>
      </c>
      <c r="B202" s="2">
        <v>2004</v>
      </c>
      <c r="C202" s="2">
        <f>COUNTIFS(Games[Team],Games[[#This Row],[Team]],Games[Season],Games[[#This Row],[Season]],Games[Date],"&lt;=" &amp; Games[[#This Row],[Date]])</f>
        <v>14</v>
      </c>
      <c r="D202" s="2" t="s">
        <v>23</v>
      </c>
      <c r="E202" s="2" t="s">
        <v>29</v>
      </c>
      <c r="F202" s="1" t="s">
        <v>45</v>
      </c>
      <c r="G202" s="1" t="s">
        <v>81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1514.4837557582043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1581.7074440941803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0.29514745912272522</v>
      </c>
      <c r="R202" s="1">
        <v>61</v>
      </c>
      <c r="S202" s="1">
        <v>75</v>
      </c>
      <c r="T202" s="1">
        <v>0</v>
      </c>
      <c r="U202" s="1">
        <f>Games[[#This Row],[PointsFor]]-Games[[#This Row],[PointsAgainst]]</f>
        <v>-14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0.4617414665040474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73.900000000000006</v>
      </c>
      <c r="Z202" s="4">
        <f>Games[[#This Row],[K]]*Games[[#This Row],[POMult]]</f>
        <v>73.900000000000006</v>
      </c>
      <c r="AA202" s="4">
        <f>(Games[[#This Row],[Keff]]*Games[[#This Row],[MOVMult]])*(Games[[#This Row],[Result]]-Games[[#This Row],[ExpectedWin%]])</f>
        <v>-10.071226543098993</v>
      </c>
      <c r="AB202" s="4">
        <f>Games[[#This Row],[PreGmRate]]+Games[[#This Row],[RatingChange]]</f>
        <v>1504.4125292151052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38171</v>
      </c>
      <c r="B203" s="2">
        <v>2004</v>
      </c>
      <c r="C203" s="2">
        <f>COUNTIFS(Games[Team],Games[[#This Row],[Team]],Games[Season],Games[[#This Row],[Season]],Games[Date],"&lt;=" &amp; Games[[#This Row],[Date]])</f>
        <v>14</v>
      </c>
      <c r="D203" s="2" t="s">
        <v>23</v>
      </c>
      <c r="E203" s="2" t="s">
        <v>29</v>
      </c>
      <c r="F203" s="1" t="s">
        <v>81</v>
      </c>
      <c r="G203" s="1" t="s">
        <v>45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1581.7074440941803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1514.4837557582043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0.70485254087727478</v>
      </c>
      <c r="R203" s="1">
        <v>75</v>
      </c>
      <c r="S203" s="1">
        <v>61</v>
      </c>
      <c r="T203" s="1">
        <v>0</v>
      </c>
      <c r="U203" s="1">
        <f>Games[[#This Row],[PointsFor]]-Games[[#This Row],[PointsAgainst]]</f>
        <v>14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0.4617414665040474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73.900000000000006</v>
      </c>
      <c r="Z203" s="4">
        <f>Games[[#This Row],[K]]*Games[[#This Row],[POMult]]</f>
        <v>73.900000000000006</v>
      </c>
      <c r="AA203" s="4">
        <f>(Games[[#This Row],[Keff]]*Games[[#This Row],[MOVMult]])*(Games[[#This Row],[Result]]-Games[[#This Row],[ExpectedWin%]])</f>
        <v>10.071226543098993</v>
      </c>
      <c r="AB203" s="4">
        <f>Games[[#This Row],[PreGmRate]]+Games[[#This Row],[RatingChange]]</f>
        <v>1591.7786706372794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38174</v>
      </c>
      <c r="B204" s="2">
        <v>2004</v>
      </c>
      <c r="C204" s="2">
        <f>COUNTIFS(Games[Team],Games[[#This Row],[Team]],Games[Season],Games[[#This Row],[Season]],Games[Date],"&lt;=" &amp; Games[[#This Row],[Date]])</f>
        <v>17</v>
      </c>
      <c r="D204" s="2" t="s">
        <v>23</v>
      </c>
      <c r="E204" s="2" t="s">
        <v>29</v>
      </c>
      <c r="F204" s="1" t="s">
        <v>79</v>
      </c>
      <c r="G204" s="1" t="s">
        <v>86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04" s="2">
        <f>Games[[#This Row],[DaysOff]]-Games[[#This Row],[OppDaysOff]]</f>
        <v>-3</v>
      </c>
      <c r="L204" s="2">
        <f>Games[[#This Row],[OppDaysOff]]-Games[[#This Row],[DaysOff]]</f>
        <v>3</v>
      </c>
      <c r="M204" s="1">
        <f>MAX(-16, MIN(16, Games[[#This Row],[RestDiff]]*8))</f>
        <v>-16</v>
      </c>
      <c r="N204" s="1">
        <f>MAX(-16, MIN(16, Games[[#This Row],[OppRestDiff]]*8))</f>
        <v>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1510.1162475171752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1534.1249704532115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0.30875313073644511</v>
      </c>
      <c r="R204" s="1">
        <v>77</v>
      </c>
      <c r="S204" s="1">
        <v>79</v>
      </c>
      <c r="T204" s="1">
        <v>1</v>
      </c>
      <c r="U204" s="1">
        <f>Games[[#This Row],[PointsFor]]-Games[[#This Row],[PointsAgainst]]</f>
        <v>-2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0.23632889296783216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-5.3594471263869226</v>
      </c>
      <c r="AB204" s="4">
        <f>Games[[#This Row],[PreGmRate]]+Games[[#This Row],[RatingChange]]</f>
        <v>1504.7568003907884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38174</v>
      </c>
      <c r="B205" s="2">
        <v>2004</v>
      </c>
      <c r="C205" s="2">
        <f>COUNTIFS(Games[Team],Games[[#This Row],[Team]],Games[Season],Games[[#This Row],[Season]],Games[Date],"&lt;=" &amp; Games[[#This Row],[Date]])</f>
        <v>17</v>
      </c>
      <c r="D205" s="2" t="s">
        <v>23</v>
      </c>
      <c r="E205" s="2" t="s">
        <v>29</v>
      </c>
      <c r="F205" s="1" t="s">
        <v>86</v>
      </c>
      <c r="G205" s="1" t="s">
        <v>79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5" s="2">
        <f>Games[[#This Row],[DaysOff]]-Games[[#This Row],[OppDaysOff]]</f>
        <v>3</v>
      </c>
      <c r="L205" s="2">
        <f>Games[[#This Row],[OppDaysOff]]-Games[[#This Row],[DaysOff]]</f>
        <v>-3</v>
      </c>
      <c r="M205" s="1">
        <f>MAX(-16, MIN(16, Games[[#This Row],[RestDiff]]*8))</f>
        <v>16</v>
      </c>
      <c r="N205" s="1">
        <f>MAX(-16, MIN(16, Games[[#This Row],[OppRestDiff]]*8))</f>
        <v>-16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1534.1249704532115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1510.1162475171752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0.69124686926355494</v>
      </c>
      <c r="R205" s="1">
        <v>79</v>
      </c>
      <c r="S205" s="1">
        <v>77</v>
      </c>
      <c r="T205" s="1">
        <v>1</v>
      </c>
      <c r="U205" s="1">
        <f>Games[[#This Row],[PointsFor]]-Games[[#This Row],[PointsAgainst]]</f>
        <v>2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0.23632889296783216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73.45</v>
      </c>
      <c r="Z205" s="4">
        <f>Games[[#This Row],[K]]*Games[[#This Row],[POMult]]</f>
        <v>73.45</v>
      </c>
      <c r="AA205" s="4">
        <f>(Games[[#This Row],[Keff]]*Games[[#This Row],[MOVMult]])*(Games[[#This Row],[Result]]-Games[[#This Row],[ExpectedWin%]])</f>
        <v>5.3594471263869217</v>
      </c>
      <c r="AB205" s="4">
        <f>Games[[#This Row],[PreGmRate]]+Games[[#This Row],[RatingChange]]</f>
        <v>1539.4844175795984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38174</v>
      </c>
      <c r="B206" s="2">
        <v>2004</v>
      </c>
      <c r="C206" s="2">
        <f>COUNTIFS(Games[Team],Games[[#This Row],[Team]],Games[Season],Games[[#This Row],[Season]],Games[Date],"&lt;=" &amp; Games[[#This Row],[Date]])</f>
        <v>18</v>
      </c>
      <c r="D206" s="2" t="s">
        <v>23</v>
      </c>
      <c r="E206" s="2" t="s">
        <v>29</v>
      </c>
      <c r="F206" s="1" t="s">
        <v>2</v>
      </c>
      <c r="G206" s="1" t="s">
        <v>75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1500.8251512840106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1541.019621953568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0.32851242716226886</v>
      </c>
      <c r="R206" s="1">
        <v>63</v>
      </c>
      <c r="S206" s="1">
        <v>82</v>
      </c>
      <c r="T206" s="1">
        <v>0</v>
      </c>
      <c r="U206" s="1">
        <f>Games[[#This Row],[PointsFor]]-Games[[#This Row],[PointsAgainst]]</f>
        <v>-19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0.54279639458825069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73.3</v>
      </c>
      <c r="Z206" s="4">
        <f>Games[[#This Row],[K]]*Games[[#This Row],[POMult]]</f>
        <v>73.3</v>
      </c>
      <c r="AA206" s="4">
        <f>(Games[[#This Row],[Keff]]*Games[[#This Row],[MOVMult]])*(Games[[#This Row],[Result]]-Games[[#This Row],[ExpectedWin%]])</f>
        <v>-13.070515964313719</v>
      </c>
      <c r="AB206" s="4">
        <f>Games[[#This Row],[PreGmRate]]+Games[[#This Row],[RatingChange]]</f>
        <v>1487.7546353196969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38174</v>
      </c>
      <c r="B207" s="2">
        <v>2004</v>
      </c>
      <c r="C207" s="2">
        <f>COUNTIFS(Games[Team],Games[[#This Row],[Team]],Games[Season],Games[[#This Row],[Season]],Games[Date],"&lt;=" &amp; Games[[#This Row],[Date]])</f>
        <v>16</v>
      </c>
      <c r="D207" s="2" t="s">
        <v>23</v>
      </c>
      <c r="E207" s="2" t="s">
        <v>29</v>
      </c>
      <c r="F207" s="1" t="s">
        <v>75</v>
      </c>
      <c r="G207" s="1" t="s">
        <v>2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1541.019621953568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1500.8251512840106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0.67148757283773108</v>
      </c>
      <c r="R207" s="1">
        <v>82</v>
      </c>
      <c r="S207" s="1">
        <v>63</v>
      </c>
      <c r="T207" s="1">
        <v>0</v>
      </c>
      <c r="U207" s="1">
        <f>Games[[#This Row],[PointsFor]]-Games[[#This Row],[PointsAgainst]]</f>
        <v>19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0.54279639458825069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73.599999999999994</v>
      </c>
      <c r="Z207" s="4">
        <f>Games[[#This Row],[K]]*Games[[#This Row],[POMult]]</f>
        <v>73.599999999999994</v>
      </c>
      <c r="AA207" s="4">
        <f>(Games[[#This Row],[Keff]]*Games[[#This Row],[MOVMult]])*(Games[[#This Row],[Result]]-Games[[#This Row],[ExpectedWin%]])</f>
        <v>13.124010572626055</v>
      </c>
      <c r="AB207" s="4">
        <f>Games[[#This Row],[PreGmRate]]+Games[[#This Row],[RatingChange]]</f>
        <v>1554.1436325261941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38174</v>
      </c>
      <c r="B208" s="2">
        <v>2004</v>
      </c>
      <c r="C208" s="2">
        <f>COUNTIFS(Games[Team],Games[[#This Row],[Team]],Games[Season],Games[[#This Row],[Season]],Games[Date],"&lt;=" &amp; Games[[#This Row],[Date]])</f>
        <v>15</v>
      </c>
      <c r="D208" s="2" t="s">
        <v>23</v>
      </c>
      <c r="E208" s="2" t="s">
        <v>29</v>
      </c>
      <c r="F208" s="1" t="s">
        <v>45</v>
      </c>
      <c r="G208" s="1" t="s">
        <v>66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8" s="2">
        <f>Games[[#This Row],[DaysOff]]-Games[[#This Row],[OppDaysOff]]</f>
        <v>-2</v>
      </c>
      <c r="L208" s="2">
        <f>Games[[#This Row],[OppDaysOff]]-Games[[#This Row],[DaysOff]]</f>
        <v>2</v>
      </c>
      <c r="M208" s="1">
        <f>MAX(-16, MIN(16, Games[[#This Row],[RestDiff]]*8))</f>
        <v>-16</v>
      </c>
      <c r="N208" s="1">
        <f>MAX(-16, MIN(16, Games[[#This Row],[OppRestDiff]]*8))</f>
        <v>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1504.4125292151052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1474.5062896778322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0.37857629401186904</v>
      </c>
      <c r="R208" s="1">
        <v>66</v>
      </c>
      <c r="S208" s="1">
        <v>73</v>
      </c>
      <c r="T208" s="1">
        <v>0</v>
      </c>
      <c r="U208" s="1">
        <f>Games[[#This Row],[PointsFor]]-Games[[#This Row],[PointsAgainst]]</f>
        <v>-7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0.36110769480418142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73.75</v>
      </c>
      <c r="Z208" s="4">
        <f>Games[[#This Row],[K]]*Games[[#This Row],[POMult]]</f>
        <v>73.75</v>
      </c>
      <c r="AA208" s="4">
        <f>(Games[[#This Row],[Keff]]*Games[[#This Row],[MOVMult]])*(Games[[#This Row],[Result]]-Games[[#This Row],[ExpectedWin%]])</f>
        <v>-10.082127446812535</v>
      </c>
      <c r="AB208" s="4">
        <f>Games[[#This Row],[PreGmRate]]+Games[[#This Row],[RatingChange]]</f>
        <v>1494.3304017682926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38174</v>
      </c>
      <c r="B209" s="2">
        <v>2004</v>
      </c>
      <c r="C209" s="2">
        <f>COUNTIFS(Games[Team],Games[[#This Row],[Team]],Games[Season],Games[[#This Row],[Season]],Games[Date],"&lt;=" &amp; Games[[#This Row],[Date]])</f>
        <v>17</v>
      </c>
      <c r="D209" s="2" t="s">
        <v>23</v>
      </c>
      <c r="E209" s="2" t="s">
        <v>29</v>
      </c>
      <c r="F209" s="1" t="s">
        <v>66</v>
      </c>
      <c r="G209" s="1" t="s">
        <v>45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9" s="2">
        <f>Games[[#This Row],[DaysOff]]-Games[[#This Row],[OppDaysOff]]</f>
        <v>2</v>
      </c>
      <c r="L209" s="2">
        <f>Games[[#This Row],[OppDaysOff]]-Games[[#This Row],[DaysOff]]</f>
        <v>-2</v>
      </c>
      <c r="M209" s="1">
        <f>MAX(-16, MIN(16, Games[[#This Row],[RestDiff]]*8))</f>
        <v>16</v>
      </c>
      <c r="N209" s="1">
        <f>MAX(-16, MIN(16, Games[[#This Row],[OppRestDiff]]*8))</f>
        <v>-16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1474.5062896778322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1504.4125292151052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0.62142370598813101</v>
      </c>
      <c r="R209" s="1">
        <v>73</v>
      </c>
      <c r="S209" s="1">
        <v>66</v>
      </c>
      <c r="T209" s="1">
        <v>0</v>
      </c>
      <c r="U209" s="1">
        <f>Games[[#This Row],[PointsFor]]-Games[[#This Row],[PointsAgainst]]</f>
        <v>7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0.36110769480418142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10.041115402961093</v>
      </c>
      <c r="AB209" s="4">
        <f>Games[[#This Row],[PreGmRate]]+Games[[#This Row],[RatingChange]]</f>
        <v>1484.5474050807934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38175</v>
      </c>
      <c r="B210" s="2">
        <v>2004</v>
      </c>
      <c r="C210" s="2">
        <f>COUNTIFS(Games[Team],Games[[#This Row],[Team]],Games[Season],Games[[#This Row],[Season]],Games[Date],"&lt;=" &amp; Games[[#This Row],[Date]])</f>
        <v>17</v>
      </c>
      <c r="D210" s="2" t="s">
        <v>23</v>
      </c>
      <c r="E210" s="2" t="s">
        <v>29</v>
      </c>
      <c r="F210" s="1" t="s">
        <v>44</v>
      </c>
      <c r="G210" s="1" t="s">
        <v>70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0" s="2">
        <f>Games[[#This Row],[DaysOff]]-Games[[#This Row],[OppDaysOff]]</f>
        <v>-1</v>
      </c>
      <c r="L210" s="2">
        <f>Games[[#This Row],[OppDaysOff]]-Games[[#This Row],[DaysOff]]</f>
        <v>1</v>
      </c>
      <c r="M210" s="1">
        <f>MAX(-16, MIN(16, Games[[#This Row],[RestDiff]]*8))</f>
        <v>-8</v>
      </c>
      <c r="N210" s="1">
        <f>MAX(-16, MIN(16, Games[[#This Row],[OppRestDiff]]*8))</f>
        <v>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1481.7404747447235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1599.5315429872287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0.22205924283178377</v>
      </c>
      <c r="R210" s="1">
        <v>71</v>
      </c>
      <c r="S210" s="1">
        <v>73</v>
      </c>
      <c r="T210" s="1">
        <v>0</v>
      </c>
      <c r="U210" s="1">
        <f>Games[[#This Row],[PointsFor]]-Games[[#This Row],[PointsAgainst]]</f>
        <v>-2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0.24390026060827477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73.45</v>
      </c>
      <c r="Z210" s="4">
        <f>Games[[#This Row],[K]]*Games[[#This Row],[POMult]]</f>
        <v>73.45</v>
      </c>
      <c r="AA210" s="4">
        <f>(Games[[#This Row],[Keff]]*Games[[#This Row],[MOVMult]])*(Games[[#This Row],[Result]]-Games[[#This Row],[ExpectedWin%]])</f>
        <v>-3.9780745636305377</v>
      </c>
      <c r="AB210" s="4">
        <f>Games[[#This Row],[PreGmRate]]+Games[[#This Row],[RatingChange]]</f>
        <v>1477.762400181093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38175</v>
      </c>
      <c r="B211" s="2">
        <v>2004</v>
      </c>
      <c r="C211" s="2">
        <f>COUNTIFS(Games[Team],Games[[#This Row],[Team]],Games[Season],Games[[#This Row],[Season]],Games[Date],"&lt;=" &amp; Games[[#This Row],[Date]])</f>
        <v>18</v>
      </c>
      <c r="D211" s="2" t="s">
        <v>23</v>
      </c>
      <c r="E211" s="2" t="s">
        <v>29</v>
      </c>
      <c r="F211" s="1" t="s">
        <v>70</v>
      </c>
      <c r="G211" s="1" t="s">
        <v>44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1" s="2">
        <f>Games[[#This Row],[DaysOff]]-Games[[#This Row],[OppDaysOff]]</f>
        <v>1</v>
      </c>
      <c r="L211" s="2">
        <f>Games[[#This Row],[OppDaysOff]]-Games[[#This Row],[DaysOff]]</f>
        <v>-1</v>
      </c>
      <c r="M211" s="1">
        <f>MAX(-16, MIN(16, Games[[#This Row],[RestDiff]]*8))</f>
        <v>8</v>
      </c>
      <c r="N211" s="1">
        <f>MAX(-16, MIN(16, Games[[#This Row],[OppRestDiff]]*8))</f>
        <v>-8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1599.5315429872287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1481.7404747447235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0.7779407571682162</v>
      </c>
      <c r="R211" s="1">
        <v>73</v>
      </c>
      <c r="S211" s="1">
        <v>71</v>
      </c>
      <c r="T211" s="1">
        <v>0</v>
      </c>
      <c r="U211" s="1">
        <f>Games[[#This Row],[PointsFor]]-Games[[#This Row],[PointsAgainst]]</f>
        <v>2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0.24390026060827477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73.3</v>
      </c>
      <c r="Z211" s="4">
        <f>Games[[#This Row],[K]]*Games[[#This Row],[POMult]]</f>
        <v>73.3</v>
      </c>
      <c r="AA211" s="4">
        <f>(Games[[#This Row],[Keff]]*Games[[#This Row],[MOVMult]])*(Games[[#This Row],[Result]]-Games[[#This Row],[ExpectedWin%]])</f>
        <v>3.969950517550966</v>
      </c>
      <c r="AB211" s="4">
        <f>Games[[#This Row],[PreGmRate]]+Games[[#This Row],[RatingChange]]</f>
        <v>1603.5014935047798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38175</v>
      </c>
      <c r="B212" s="2">
        <v>2004</v>
      </c>
      <c r="C212" s="2">
        <f>COUNTIFS(Games[Team],Games[[#This Row],[Team]],Games[Season],Games[[#This Row],[Season]],Games[Date],"&lt;=" &amp; Games[[#This Row],[Date]])</f>
        <v>15</v>
      </c>
      <c r="D212" s="2" t="s">
        <v>23</v>
      </c>
      <c r="E212" s="2" t="s">
        <v>29</v>
      </c>
      <c r="F212" s="1" t="s">
        <v>81</v>
      </c>
      <c r="G212" s="1" t="s">
        <v>73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2" s="2">
        <f>Games[[#This Row],[DaysOff]]-Games[[#This Row],[OppDaysOff]]</f>
        <v>-2</v>
      </c>
      <c r="L212" s="2">
        <f>Games[[#This Row],[OppDaysOff]]-Games[[#This Row],[DaysOff]]</f>
        <v>2</v>
      </c>
      <c r="M212" s="1">
        <f>MAX(-16, MIN(16, Games[[#This Row],[RestDiff]]*8))</f>
        <v>-16</v>
      </c>
      <c r="N212" s="1">
        <f>MAX(-16, MIN(16, Games[[#This Row],[OppRestDiff]]*8))</f>
        <v>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1591.7786706372794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1428.3805495213574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0.56779134162267464</v>
      </c>
      <c r="R212" s="1">
        <v>69</v>
      </c>
      <c r="S212" s="1">
        <v>72</v>
      </c>
      <c r="T212" s="1">
        <v>0</v>
      </c>
      <c r="U212" s="1">
        <f>Games[[#This Row],[PointsFor]]-Games[[#This Row],[PointsAgainst]]</f>
        <v>-3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0.25540612087204312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73.75</v>
      </c>
      <c r="Z212" s="4">
        <f>Games[[#This Row],[K]]*Games[[#This Row],[POMult]]</f>
        <v>73.75</v>
      </c>
      <c r="AA212" s="4">
        <f>(Games[[#This Row],[Keff]]*Games[[#This Row],[MOVMult]])*(Games[[#This Row],[Result]]-Games[[#This Row],[ExpectedWin%]])</f>
        <v>-10.695032072107802</v>
      </c>
      <c r="AB212" s="4">
        <f>Games[[#This Row],[PreGmRate]]+Games[[#This Row],[RatingChange]]</f>
        <v>1581.0836385651717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38175</v>
      </c>
      <c r="B213" s="2">
        <v>2004</v>
      </c>
      <c r="C213" s="2">
        <f>COUNTIFS(Games[Team],Games[[#This Row],[Team]],Games[Season],Games[[#This Row],[Season]],Games[Date],"&lt;=" &amp; Games[[#This Row],[Date]])</f>
        <v>15</v>
      </c>
      <c r="D213" s="2" t="s">
        <v>23</v>
      </c>
      <c r="E213" s="2" t="s">
        <v>29</v>
      </c>
      <c r="F213" s="1" t="s">
        <v>73</v>
      </c>
      <c r="G213" s="1" t="s">
        <v>81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3" s="2">
        <f>Games[[#This Row],[DaysOff]]-Games[[#This Row],[OppDaysOff]]</f>
        <v>2</v>
      </c>
      <c r="L213" s="2">
        <f>Games[[#This Row],[OppDaysOff]]-Games[[#This Row],[DaysOff]]</f>
        <v>-2</v>
      </c>
      <c r="M213" s="1">
        <f>MAX(-16, MIN(16, Games[[#This Row],[RestDiff]]*8))</f>
        <v>16</v>
      </c>
      <c r="N213" s="1">
        <f>MAX(-16, MIN(16, Games[[#This Row],[OppRestDiff]]*8))</f>
        <v>-16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1428.3805495213574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1591.7786706372794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0.43220865837732542</v>
      </c>
      <c r="R213" s="1">
        <v>72</v>
      </c>
      <c r="S213" s="1">
        <v>69</v>
      </c>
      <c r="T213" s="1">
        <v>0</v>
      </c>
      <c r="U213" s="1">
        <f>Games[[#This Row],[PointsFor]]-Games[[#This Row],[PointsAgainst]]</f>
        <v>3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0.25540612087204312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73.75</v>
      </c>
      <c r="Z213" s="4">
        <f>Games[[#This Row],[K]]*Games[[#This Row],[POMult]]</f>
        <v>73.75</v>
      </c>
      <c r="AA213" s="4">
        <f>(Games[[#This Row],[Keff]]*Games[[#This Row],[MOVMult]])*(Games[[#This Row],[Result]]-Games[[#This Row],[ExpectedWin%]])</f>
        <v>10.6950320721078</v>
      </c>
      <c r="AB213" s="4">
        <f>Games[[#This Row],[PreGmRate]]+Games[[#This Row],[RatingChange]]</f>
        <v>1439.0755815934651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38176</v>
      </c>
      <c r="B214" s="2">
        <v>2004</v>
      </c>
      <c r="C214" s="2">
        <f>COUNTIFS(Games[Team],Games[[#This Row],[Team]],Games[Season],Games[[#This Row],[Season]],Games[Date],"&lt;=" &amp; Games[[#This Row],[Date]])</f>
        <v>16</v>
      </c>
      <c r="D214" s="2" t="s">
        <v>23</v>
      </c>
      <c r="E214" s="2" t="s">
        <v>29</v>
      </c>
      <c r="F214" s="1" t="s">
        <v>81</v>
      </c>
      <c r="G214" s="1" t="s">
        <v>64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4" s="2">
        <f>Games[[#This Row],[DaysOff]]-Games[[#This Row],[OppDaysOff]]</f>
        <v>-4</v>
      </c>
      <c r="L214" s="2">
        <f>Games[[#This Row],[OppDaysOff]]-Games[[#This Row],[DaysOff]]</f>
        <v>4</v>
      </c>
      <c r="M214" s="1">
        <f>MAX(-16, MIN(16, Games[[#This Row],[RestDiff]]*8))</f>
        <v>-16</v>
      </c>
      <c r="N214" s="1">
        <f>MAX(-16, MIN(16, Games[[#This Row],[OppRestDiff]]*8))</f>
        <v>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1581.0836385651717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1494.1056092452282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0.45833089836710761</v>
      </c>
      <c r="R214" s="1">
        <v>67</v>
      </c>
      <c r="S214" s="1">
        <v>70</v>
      </c>
      <c r="T214" s="1">
        <v>0</v>
      </c>
      <c r="U214" s="1">
        <f>Games[[#This Row],[PointsFor]]-Games[[#This Row],[PointsAgainst]]</f>
        <v>-3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0.27057200463822517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73.599999999999994</v>
      </c>
      <c r="Z214" s="4">
        <f>Games[[#This Row],[K]]*Games[[#This Row],[POMult]]</f>
        <v>73.599999999999994</v>
      </c>
      <c r="AA214" s="4">
        <f>(Games[[#This Row],[Keff]]*Games[[#This Row],[MOVMult]])*(Games[[#This Row],[Result]]-Games[[#This Row],[ExpectedWin%]])</f>
        <v>-9.1272471329696625</v>
      </c>
      <c r="AB214" s="4">
        <f>Games[[#This Row],[PreGmRate]]+Games[[#This Row],[RatingChange]]</f>
        <v>1571.9563914322021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38176</v>
      </c>
      <c r="B215" s="2">
        <v>2004</v>
      </c>
      <c r="C215" s="2">
        <f>COUNTIFS(Games[Team],Games[[#This Row],[Team]],Games[Season],Games[[#This Row],[Season]],Games[Date],"&lt;=" &amp; Games[[#This Row],[Date]])</f>
        <v>16</v>
      </c>
      <c r="D215" s="2" t="s">
        <v>23</v>
      </c>
      <c r="E215" s="2" t="s">
        <v>29</v>
      </c>
      <c r="F215" s="1" t="s">
        <v>64</v>
      </c>
      <c r="G215" s="1" t="s">
        <v>81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5" s="2">
        <f>Games[[#This Row],[DaysOff]]-Games[[#This Row],[OppDaysOff]]</f>
        <v>4</v>
      </c>
      <c r="L215" s="2">
        <f>Games[[#This Row],[OppDaysOff]]-Games[[#This Row],[DaysOff]]</f>
        <v>-4</v>
      </c>
      <c r="M215" s="1">
        <f>MAX(-16, MIN(16, Games[[#This Row],[RestDiff]]*8))</f>
        <v>16</v>
      </c>
      <c r="N215" s="1">
        <f>MAX(-16, MIN(16, Games[[#This Row],[OppRestDiff]]*8))</f>
        <v>-16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1494.1056092452282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1581.0836385651717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0.54166910163289239</v>
      </c>
      <c r="R215" s="1">
        <v>70</v>
      </c>
      <c r="S215" s="1">
        <v>67</v>
      </c>
      <c r="T215" s="1">
        <v>0</v>
      </c>
      <c r="U215" s="1">
        <f>Games[[#This Row],[PointsFor]]-Games[[#This Row],[PointsAgainst]]</f>
        <v>3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0.27057200463822517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73.599999999999994</v>
      </c>
      <c r="Z215" s="4">
        <f>Games[[#This Row],[K]]*Games[[#This Row],[POMult]]</f>
        <v>73.599999999999994</v>
      </c>
      <c r="AA215" s="4">
        <f>(Games[[#This Row],[Keff]]*Games[[#This Row],[MOVMult]])*(Games[[#This Row],[Result]]-Games[[#This Row],[ExpectedWin%]])</f>
        <v>9.1272471329696625</v>
      </c>
      <c r="AB215" s="4">
        <f>Games[[#This Row],[PreGmRate]]+Games[[#This Row],[RatingChange]]</f>
        <v>1503.2328563781978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38176</v>
      </c>
      <c r="B216" s="2">
        <v>2004</v>
      </c>
      <c r="C216" s="2">
        <f>COUNTIFS(Games[Team],Games[[#This Row],[Team]],Games[Season],Games[[#This Row],[Season]],Games[Date],"&lt;=" &amp; Games[[#This Row],[Date]])</f>
        <v>16</v>
      </c>
      <c r="D216" s="2" t="s">
        <v>23</v>
      </c>
      <c r="E216" s="2" t="s">
        <v>29</v>
      </c>
      <c r="F216" s="1" t="s">
        <v>77</v>
      </c>
      <c r="G216" s="1" t="s">
        <v>79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3</v>
      </c>
      <c r="L216" s="2">
        <f>Games[[#This Row],[OppDaysOff]]-Games[[#This Row],[DaysOff]]</f>
        <v>-3</v>
      </c>
      <c r="M216" s="1">
        <f>MAX(-16, MIN(16, Games[[#This Row],[RestDiff]]*8))</f>
        <v>16</v>
      </c>
      <c r="N216" s="1">
        <f>MAX(-16, MIN(16, Games[[#This Row],[OppRestDiff]]*8))</f>
        <v>-16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1462.4574053566969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1504.7568003907884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0.36752927648576789</v>
      </c>
      <c r="R216" s="1">
        <v>56</v>
      </c>
      <c r="S216" s="1">
        <v>58</v>
      </c>
      <c r="T216" s="1">
        <v>0</v>
      </c>
      <c r="U216" s="1">
        <f>Games[[#This Row],[PointsFor]]-Games[[#This Row],[PointsAgainst]]</f>
        <v>-2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0.25872151774072433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73.599999999999994</v>
      </c>
      <c r="Z216" s="4">
        <f>Games[[#This Row],[K]]*Games[[#This Row],[POMult]]</f>
        <v>73.599999999999994</v>
      </c>
      <c r="AA216" s="4">
        <f>(Games[[#This Row],[Keff]]*Games[[#This Row],[MOVMult]])*(Games[[#This Row],[Result]]-Games[[#This Row],[ExpectedWin%]])</f>
        <v>-6.998457091873945</v>
      </c>
      <c r="AB216" s="4">
        <f>Games[[#This Row],[PreGmRate]]+Games[[#This Row],[RatingChange]]</f>
        <v>1455.458948264823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38176</v>
      </c>
      <c r="B217" s="2">
        <v>2004</v>
      </c>
      <c r="C217" s="2">
        <f>COUNTIFS(Games[Team],Games[[#This Row],[Team]],Games[Season],Games[[#This Row],[Season]],Games[Date],"&lt;=" &amp; Games[[#This Row],[Date]])</f>
        <v>18</v>
      </c>
      <c r="D217" s="2" t="s">
        <v>23</v>
      </c>
      <c r="E217" s="2" t="s">
        <v>29</v>
      </c>
      <c r="F217" s="1" t="s">
        <v>79</v>
      </c>
      <c r="G217" s="1" t="s">
        <v>77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7" s="2">
        <f>Games[[#This Row],[DaysOff]]-Games[[#This Row],[OppDaysOff]]</f>
        <v>-3</v>
      </c>
      <c r="L217" s="2">
        <f>Games[[#This Row],[OppDaysOff]]-Games[[#This Row],[DaysOff]]</f>
        <v>3</v>
      </c>
      <c r="M217" s="1">
        <f>MAX(-16, MIN(16, Games[[#This Row],[RestDiff]]*8))</f>
        <v>-16</v>
      </c>
      <c r="N217" s="1">
        <f>MAX(-16, MIN(16, Games[[#This Row],[OppRestDiff]]*8))</f>
        <v>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1504.7568003907884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1462.4574053566969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0.63247072351423217</v>
      </c>
      <c r="R217" s="1">
        <v>58</v>
      </c>
      <c r="S217" s="1">
        <v>56</v>
      </c>
      <c r="T217" s="1">
        <v>0</v>
      </c>
      <c r="U217" s="1">
        <f>Games[[#This Row],[PointsFor]]-Games[[#This Row],[PointsAgainst]]</f>
        <v>2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0.25872151774072433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73.3</v>
      </c>
      <c r="Z217" s="4">
        <f>Games[[#This Row],[K]]*Games[[#This Row],[POMult]]</f>
        <v>73.3</v>
      </c>
      <c r="AA217" s="4">
        <f>(Games[[#This Row],[Keff]]*Games[[#This Row],[MOVMult]])*(Games[[#This Row],[Result]]-Games[[#This Row],[ExpectedWin%]])</f>
        <v>6.9699307722059798</v>
      </c>
      <c r="AB217" s="4">
        <f>Games[[#This Row],[PreGmRate]]+Games[[#This Row],[RatingChange]]</f>
        <v>1511.7267311629944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38176</v>
      </c>
      <c r="B218" s="2">
        <v>2004</v>
      </c>
      <c r="C218" s="2">
        <f>COUNTIFS(Games[Team],Games[[#This Row],[Team]],Games[Season],Games[[#This Row],[Season]],Games[Date],"&lt;=" &amp; Games[[#This Row],[Date]])</f>
        <v>16</v>
      </c>
      <c r="D218" s="2" t="s">
        <v>23</v>
      </c>
      <c r="E218" s="2" t="s">
        <v>29</v>
      </c>
      <c r="F218" s="1" t="s">
        <v>73</v>
      </c>
      <c r="G218" s="1" t="s">
        <v>66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-1</v>
      </c>
      <c r="L218" s="2">
        <f>Games[[#This Row],[OppDaysOff]]-Games[[#This Row],[DaysOff]]</f>
        <v>1</v>
      </c>
      <c r="M218" s="1">
        <f>MAX(-16, MIN(16, Games[[#This Row],[RestDiff]]*8))</f>
        <v>-8</v>
      </c>
      <c r="N218" s="1">
        <f>MAX(-16, MIN(16, Games[[#This Row],[OppRestDiff]]*8))</f>
        <v>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1439.0755815934651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1484.5474050807934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0.30208199644159811</v>
      </c>
      <c r="R218" s="1">
        <v>71</v>
      </c>
      <c r="S218" s="1">
        <v>54</v>
      </c>
      <c r="T218" s="1">
        <v>0</v>
      </c>
      <c r="U218" s="1">
        <f>Games[[#This Row],[PointsFor]]-Games[[#This Row],[PointsAgainst]]</f>
        <v>17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0.51300275995757794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73.599999999999994</v>
      </c>
      <c r="Z218" s="4">
        <f>Games[[#This Row],[K]]*Games[[#This Row],[POMult]]</f>
        <v>73.599999999999994</v>
      </c>
      <c r="AA218" s="4">
        <f>(Games[[#This Row],[Keff]]*Games[[#This Row],[MOVMult]])*(Games[[#This Row],[Result]]-Games[[#This Row],[ExpectedWin%]])</f>
        <v>26.351292246846352</v>
      </c>
      <c r="AB218" s="4">
        <f>Games[[#This Row],[PreGmRate]]+Games[[#This Row],[RatingChange]]</f>
        <v>1465.4268738403114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38176</v>
      </c>
      <c r="B219" s="2">
        <v>2004</v>
      </c>
      <c r="C219" s="2">
        <f>COUNTIFS(Games[Team],Games[[#This Row],[Team]],Games[Season],Games[[#This Row],[Season]],Games[Date],"&lt;=" &amp; Games[[#This Row],[Date]])</f>
        <v>18</v>
      </c>
      <c r="D219" s="2" t="s">
        <v>23</v>
      </c>
      <c r="E219" s="2" t="s">
        <v>29</v>
      </c>
      <c r="F219" s="1" t="s">
        <v>66</v>
      </c>
      <c r="G219" s="1" t="s">
        <v>73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9" s="2">
        <f>Games[[#This Row],[DaysOff]]-Games[[#This Row],[OppDaysOff]]</f>
        <v>1</v>
      </c>
      <c r="L219" s="2">
        <f>Games[[#This Row],[OppDaysOff]]-Games[[#This Row],[DaysOff]]</f>
        <v>-1</v>
      </c>
      <c r="M219" s="1">
        <f>MAX(-16, MIN(16, Games[[#This Row],[RestDiff]]*8))</f>
        <v>8</v>
      </c>
      <c r="N219" s="1">
        <f>MAX(-16, MIN(16, Games[[#This Row],[OppRestDiff]]*8))</f>
        <v>-8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1484.5474050807934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1439.0755815934651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0.69791800355840183</v>
      </c>
      <c r="R219" s="1">
        <v>54</v>
      </c>
      <c r="S219" s="1">
        <v>71</v>
      </c>
      <c r="T219" s="1">
        <v>0</v>
      </c>
      <c r="U219" s="1">
        <f>Games[[#This Row],[PointsFor]]-Games[[#This Row],[PointsAgainst]]</f>
        <v>-17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0.51300275995757794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-26.243882088231491</v>
      </c>
      <c r="AB219" s="4">
        <f>Games[[#This Row],[PreGmRate]]+Games[[#This Row],[RatingChange]]</f>
        <v>1458.303522992562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38177</v>
      </c>
      <c r="B220" s="2">
        <v>2004</v>
      </c>
      <c r="C220" s="2">
        <f>COUNTIFS(Games[Team],Games[[#This Row],[Team]],Games[Season],Games[[#This Row],[Season]],Games[Date],"&lt;=" &amp; Games[[#This Row],[Date]])</f>
        <v>16</v>
      </c>
      <c r="D220" s="2" t="s">
        <v>23</v>
      </c>
      <c r="E220" s="2" t="s">
        <v>29</v>
      </c>
      <c r="F220" s="1" t="s">
        <v>45</v>
      </c>
      <c r="G220" s="1" t="s">
        <v>86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1494.3304017682926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1539.4844175795984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0.32224575592424626</v>
      </c>
      <c r="R220" s="1">
        <v>85</v>
      </c>
      <c r="S220" s="1">
        <v>70</v>
      </c>
      <c r="T220" s="1">
        <v>0</v>
      </c>
      <c r="U220" s="1">
        <f>Games[[#This Row],[PointsFor]]-Games[[#This Row],[PointsAgainst]]</f>
        <v>15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0.48461284788239395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73.599999999999994</v>
      </c>
      <c r="Z220" s="4">
        <f>Games[[#This Row],[K]]*Games[[#This Row],[POMult]]</f>
        <v>73.599999999999994</v>
      </c>
      <c r="AA220" s="4">
        <f>(Games[[#This Row],[Keff]]*Games[[#This Row],[MOVMult]])*(Games[[#This Row],[Result]]-Games[[#This Row],[ExpectedWin%]])</f>
        <v>24.173803298804458</v>
      </c>
      <c r="AB220" s="4">
        <f>Games[[#This Row],[PreGmRate]]+Games[[#This Row],[RatingChange]]</f>
        <v>1518.504205067097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38177</v>
      </c>
      <c r="B221" s="2">
        <v>2004</v>
      </c>
      <c r="C221" s="2">
        <f>COUNTIFS(Games[Team],Games[[#This Row],[Team]],Games[Season],Games[[#This Row],[Season]],Games[Date],"&lt;=" &amp; Games[[#This Row],[Date]])</f>
        <v>18</v>
      </c>
      <c r="D221" s="2" t="s">
        <v>23</v>
      </c>
      <c r="E221" s="2" t="s">
        <v>29</v>
      </c>
      <c r="F221" s="1" t="s">
        <v>86</v>
      </c>
      <c r="G221" s="1" t="s">
        <v>45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1539.4844175795984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1494.3304017682926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0.6777542440757538</v>
      </c>
      <c r="R221" s="1">
        <v>70</v>
      </c>
      <c r="S221" s="1">
        <v>85</v>
      </c>
      <c r="T221" s="1">
        <v>0</v>
      </c>
      <c r="U221" s="1">
        <f>Games[[#This Row],[PointsFor]]-Games[[#This Row],[PointsAgainst]]</f>
        <v>-15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0.48461284788239395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-24.075268774488681</v>
      </c>
      <c r="AB221" s="4">
        <f>Games[[#This Row],[PreGmRate]]+Games[[#This Row],[RatingChange]]</f>
        <v>1515.4091488051097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38177</v>
      </c>
      <c r="B222" s="2">
        <v>2004</v>
      </c>
      <c r="C222" s="2">
        <f>COUNTIFS(Games[Team],Games[[#This Row],[Team]],Games[Season],Games[[#This Row],[Season]],Games[Date],"&lt;=" &amp; Games[[#This Row],[Date]])</f>
        <v>18</v>
      </c>
      <c r="D222" s="2" t="s">
        <v>23</v>
      </c>
      <c r="E222" s="2" t="s">
        <v>29</v>
      </c>
      <c r="F222" s="1" t="s">
        <v>44</v>
      </c>
      <c r="G222" s="1" t="s">
        <v>77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2" s="2">
        <f>Games[[#This Row],[DaysOff]]-Games[[#This Row],[OppDaysOff]]</f>
        <v>1</v>
      </c>
      <c r="L222" s="2">
        <f>Games[[#This Row],[OppDaysOff]]-Games[[#This Row],[DaysOff]]</f>
        <v>-1</v>
      </c>
      <c r="M222" s="1">
        <f>MAX(-16, MIN(16, Games[[#This Row],[RestDiff]]*8))</f>
        <v>8</v>
      </c>
      <c r="N222" s="1">
        <f>MAX(-16, MIN(16, Games[[#This Row],[OppRestDiff]]*8))</f>
        <v>-8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1477.762400181093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1455.458948264823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0.43461398202316787</v>
      </c>
      <c r="R222" s="1">
        <v>59</v>
      </c>
      <c r="S222" s="1">
        <v>61</v>
      </c>
      <c r="T222" s="1">
        <v>0</v>
      </c>
      <c r="U222" s="1">
        <f>Games[[#This Row],[PointsFor]]-Games[[#This Row],[PointsAgainst]]</f>
        <v>-2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0.26295400251689788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-8.3769795328011742</v>
      </c>
      <c r="AB222" s="4">
        <f>Games[[#This Row],[PreGmRate]]+Games[[#This Row],[RatingChange]]</f>
        <v>1469.3854206482918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38177</v>
      </c>
      <c r="B223" s="2">
        <v>2004</v>
      </c>
      <c r="C223" s="2">
        <f>COUNTIFS(Games[Team],Games[[#This Row],[Team]],Games[Season],Games[[#This Row],[Season]],Games[Date],"&lt;=" &amp; Games[[#This Row],[Date]])</f>
        <v>17</v>
      </c>
      <c r="D223" s="2" t="s">
        <v>23</v>
      </c>
      <c r="E223" s="2" t="s">
        <v>29</v>
      </c>
      <c r="F223" s="1" t="s">
        <v>77</v>
      </c>
      <c r="G223" s="1" t="s">
        <v>44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-1</v>
      </c>
      <c r="L223" s="2">
        <f>Games[[#This Row],[OppDaysOff]]-Games[[#This Row],[DaysOff]]</f>
        <v>1</v>
      </c>
      <c r="M223" s="1">
        <f>MAX(-16, MIN(16, Games[[#This Row],[RestDiff]]*8))</f>
        <v>-8</v>
      </c>
      <c r="N223" s="1">
        <f>MAX(-16, MIN(16, Games[[#This Row],[OppRestDiff]]*8))</f>
        <v>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1455.458948264823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1477.762400181093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0.56538601797683219</v>
      </c>
      <c r="R223" s="1">
        <v>61</v>
      </c>
      <c r="S223" s="1">
        <v>59</v>
      </c>
      <c r="T223" s="1">
        <v>0</v>
      </c>
      <c r="U223" s="1">
        <f>Games[[#This Row],[PointsFor]]-Games[[#This Row],[PointsAgainst]]</f>
        <v>2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0.26295400251689788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73.45</v>
      </c>
      <c r="Z223" s="4">
        <f>Games[[#This Row],[K]]*Games[[#This Row],[POMult]]</f>
        <v>73.45</v>
      </c>
      <c r="AA223" s="4">
        <f>(Games[[#This Row],[Keff]]*Games[[#This Row],[MOVMult]])*(Games[[#This Row],[Result]]-Games[[#This Row],[ExpectedWin%]])</f>
        <v>8.3941220557195937</v>
      </c>
      <c r="AB223" s="4">
        <f>Games[[#This Row],[PreGmRate]]+Games[[#This Row],[RatingChange]]</f>
        <v>1463.8530703205427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38177</v>
      </c>
      <c r="B224" s="2">
        <v>2004</v>
      </c>
      <c r="C224" s="2">
        <f>COUNTIFS(Games[Team],Games[[#This Row],[Team]],Games[Season],Games[[#This Row],[Season]],Games[Date],"&lt;=" &amp; Games[[#This Row],[Date]])</f>
        <v>19</v>
      </c>
      <c r="D224" s="2" t="s">
        <v>23</v>
      </c>
      <c r="E224" s="2" t="s">
        <v>29</v>
      </c>
      <c r="F224" s="1" t="s">
        <v>70</v>
      </c>
      <c r="G224" s="1" t="s">
        <v>84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24" s="2">
        <f>Games[[#This Row],[DaysOff]]-Games[[#This Row],[OppDaysOff]]</f>
        <v>-5</v>
      </c>
      <c r="L224" s="2">
        <f>Games[[#This Row],[OppDaysOff]]-Games[[#This Row],[DaysOff]]</f>
        <v>5</v>
      </c>
      <c r="M224" s="1">
        <f>MAX(-16, MIN(16, Games[[#This Row],[RestDiff]]*8))</f>
        <v>-16</v>
      </c>
      <c r="N224" s="1">
        <f>MAX(-16, MIN(16, Games[[#This Row],[OppRestDiff]]*8))</f>
        <v>16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1603.5014935047798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1396.1423249054942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0.62852766447758768</v>
      </c>
      <c r="R224" s="1">
        <v>66</v>
      </c>
      <c r="S224" s="1">
        <v>61</v>
      </c>
      <c r="T224" s="1">
        <v>0</v>
      </c>
      <c r="U224" s="1">
        <f>Games[[#This Row],[PointsFor]]-Games[[#This Row],[PointsAgainst]]</f>
        <v>5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0.28287531671799515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7.6866279362743617</v>
      </c>
      <c r="AB224" s="4">
        <f>Games[[#This Row],[PreGmRate]]+Games[[#This Row],[RatingChange]]</f>
        <v>1611.1881214410541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38177</v>
      </c>
      <c r="B225" s="2">
        <v>2004</v>
      </c>
      <c r="C225" s="2">
        <f>COUNTIFS(Games[Team],Games[[#This Row],[Team]],Games[Season],Games[[#This Row],[Season]],Games[Date],"&lt;=" &amp; Games[[#This Row],[Date]])</f>
        <v>18</v>
      </c>
      <c r="D225" s="2" t="s">
        <v>23</v>
      </c>
      <c r="E225" s="2" t="s">
        <v>29</v>
      </c>
      <c r="F225" s="1" t="s">
        <v>84</v>
      </c>
      <c r="G225" s="1" t="s">
        <v>70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6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5</v>
      </c>
      <c r="L225" s="2">
        <f>Games[[#This Row],[OppDaysOff]]-Games[[#This Row],[DaysOff]]</f>
        <v>-5</v>
      </c>
      <c r="M225" s="1">
        <f>MAX(-16, MIN(16, Games[[#This Row],[RestDiff]]*8))</f>
        <v>16</v>
      </c>
      <c r="N225" s="1">
        <f>MAX(-16, MIN(16, Games[[#This Row],[OppRestDiff]]*8))</f>
        <v>-16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1396.1423249054942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1603.5014935047798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0.37147233552241232</v>
      </c>
      <c r="R225" s="1">
        <v>61</v>
      </c>
      <c r="S225" s="1">
        <v>66</v>
      </c>
      <c r="T225" s="1">
        <v>0</v>
      </c>
      <c r="U225" s="1">
        <f>Games[[#This Row],[PointsFor]]-Games[[#This Row],[PointsAgainst]]</f>
        <v>-5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0.28287531671799515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73.3</v>
      </c>
      <c r="Z225" s="4">
        <f>Games[[#This Row],[K]]*Games[[#This Row],[POMult]]</f>
        <v>73.3</v>
      </c>
      <c r="AA225" s="4">
        <f>(Games[[#This Row],[Keff]]*Games[[#This Row],[MOVMult]])*(Games[[#This Row],[Result]]-Games[[#This Row],[ExpectedWin%]])</f>
        <v>-7.7023899894587915</v>
      </c>
      <c r="AB225" s="4">
        <f>Games[[#This Row],[PreGmRate]]+Games[[#This Row],[RatingChange]]</f>
        <v>1388.4399349160353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38178</v>
      </c>
      <c r="B226" s="2">
        <v>2004</v>
      </c>
      <c r="C226" s="2">
        <f>COUNTIFS(Games[Team],Games[[#This Row],[Team]],Games[Season],Games[[#This Row],[Season]],Games[Date],"&lt;=" &amp; Games[[#This Row],[Date]])</f>
        <v>17</v>
      </c>
      <c r="D226" s="2" t="s">
        <v>23</v>
      </c>
      <c r="E226" s="2" t="s">
        <v>29</v>
      </c>
      <c r="F226" s="1" t="s">
        <v>73</v>
      </c>
      <c r="G226" s="1" t="s">
        <v>64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1465.4268738403114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1503.2328563781978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0.33155252043968975</v>
      </c>
      <c r="R226" s="1">
        <v>65</v>
      </c>
      <c r="S226" s="1">
        <v>67</v>
      </c>
      <c r="T226" s="1">
        <v>0</v>
      </c>
      <c r="U226" s="1">
        <f>Games[[#This Row],[PointsFor]]-Games[[#This Row],[PointsAgainst]]</f>
        <v>-2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0.259660713799924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73.45</v>
      </c>
      <c r="Z226" s="4">
        <f>Games[[#This Row],[K]]*Games[[#This Row],[POMult]]</f>
        <v>73.45</v>
      </c>
      <c r="AA226" s="4">
        <f>(Games[[#This Row],[Keff]]*Games[[#This Row],[MOVMult]])*(Games[[#This Row],[Result]]-Games[[#This Row],[ExpectedWin%]])</f>
        <v>-6.3233960045797524</v>
      </c>
      <c r="AB226" s="4">
        <f>Games[[#This Row],[PreGmRate]]+Games[[#This Row],[RatingChange]]</f>
        <v>1459.1034778357316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38178</v>
      </c>
      <c r="B227" s="2">
        <v>2004</v>
      </c>
      <c r="C227" s="2">
        <f>COUNTIFS(Games[Team],Games[[#This Row],[Team]],Games[Season],Games[[#This Row],[Season]],Games[Date],"&lt;=" &amp; Games[[#This Row],[Date]])</f>
        <v>17</v>
      </c>
      <c r="D227" s="2" t="s">
        <v>23</v>
      </c>
      <c r="E227" s="2" t="s">
        <v>29</v>
      </c>
      <c r="F227" s="1" t="s">
        <v>64</v>
      </c>
      <c r="G227" s="1" t="s">
        <v>73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1503.2328563781978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1465.4268738403114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0.66844747956031025</v>
      </c>
      <c r="R227" s="1">
        <v>67</v>
      </c>
      <c r="S227" s="1">
        <v>65</v>
      </c>
      <c r="T227" s="1">
        <v>0</v>
      </c>
      <c r="U227" s="1">
        <f>Games[[#This Row],[PointsFor]]-Games[[#This Row],[PointsAgainst]]</f>
        <v>2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0.259660713799924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73.45</v>
      </c>
      <c r="Z227" s="4">
        <f>Games[[#This Row],[K]]*Games[[#This Row],[POMult]]</f>
        <v>73.45</v>
      </c>
      <c r="AA227" s="4">
        <f>(Games[[#This Row],[Keff]]*Games[[#This Row],[MOVMult]])*(Games[[#This Row],[Result]]-Games[[#This Row],[ExpectedWin%]])</f>
        <v>6.3233960045797524</v>
      </c>
      <c r="AB227" s="4">
        <f>Games[[#This Row],[PreGmRate]]+Games[[#This Row],[RatingChange]]</f>
        <v>1509.5562523827775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38178</v>
      </c>
      <c r="B228" s="2">
        <v>2004</v>
      </c>
      <c r="C228" s="2">
        <f>COUNTIFS(Games[Team],Games[[#This Row],[Team]],Games[Season],Games[[#This Row],[Season]],Games[Date],"&lt;=" &amp; Games[[#This Row],[Date]])</f>
        <v>17</v>
      </c>
      <c r="D228" s="2" t="s">
        <v>23</v>
      </c>
      <c r="E228" s="2" t="s">
        <v>29</v>
      </c>
      <c r="F228" s="1" t="s">
        <v>81</v>
      </c>
      <c r="G228" s="1" t="s">
        <v>75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8" s="2">
        <f>Games[[#This Row],[DaysOff]]-Games[[#This Row],[OppDaysOff]]</f>
        <v>-2</v>
      </c>
      <c r="L228" s="2">
        <f>Games[[#This Row],[OppDaysOff]]-Games[[#This Row],[DaysOff]]</f>
        <v>2</v>
      </c>
      <c r="M228" s="1">
        <f>MAX(-16, MIN(16, Games[[#This Row],[RestDiff]]*8))</f>
        <v>-16</v>
      </c>
      <c r="N228" s="1">
        <f>MAX(-16, MIN(16, Games[[#This Row],[OppRestDiff]]*8))</f>
        <v>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1571.9563914322021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1554.1436325261941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0.36234254945816363</v>
      </c>
      <c r="R228" s="1">
        <v>65</v>
      </c>
      <c r="S228" s="1">
        <v>70</v>
      </c>
      <c r="T228" s="1">
        <v>0</v>
      </c>
      <c r="U228" s="1">
        <f>Games[[#This Row],[PointsFor]]-Games[[#This Row],[PointsAgainst]]</f>
        <v>-5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0.32690343210981548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73.45</v>
      </c>
      <c r="Z228" s="4">
        <f>Games[[#This Row],[K]]*Games[[#This Row],[POMult]]</f>
        <v>73.45</v>
      </c>
      <c r="AA228" s="4">
        <f>(Games[[#This Row],[Keff]]*Games[[#This Row],[MOVMult]])*(Games[[#This Row],[Result]]-Games[[#This Row],[ExpectedWin%]])</f>
        <v>-8.7002276406202625</v>
      </c>
      <c r="AB228" s="4">
        <f>Games[[#This Row],[PreGmRate]]+Games[[#This Row],[RatingChange]]</f>
        <v>1563.2561637915817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38178</v>
      </c>
      <c r="B229" s="2">
        <v>2004</v>
      </c>
      <c r="C229" s="2">
        <f>COUNTIFS(Games[Team],Games[[#This Row],[Team]],Games[Season],Games[[#This Row],[Season]],Games[Date],"&lt;=" &amp; Games[[#This Row],[Date]])</f>
        <v>17</v>
      </c>
      <c r="D229" s="2" t="s">
        <v>23</v>
      </c>
      <c r="E229" s="2" t="s">
        <v>29</v>
      </c>
      <c r="F229" s="1" t="s">
        <v>75</v>
      </c>
      <c r="G229" s="1" t="s">
        <v>81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2</v>
      </c>
      <c r="L229" s="2">
        <f>Games[[#This Row],[OppDaysOff]]-Games[[#This Row],[DaysOff]]</f>
        <v>-2</v>
      </c>
      <c r="M229" s="1">
        <f>MAX(-16, MIN(16, Games[[#This Row],[RestDiff]]*8))</f>
        <v>16</v>
      </c>
      <c r="N229" s="1">
        <f>MAX(-16, MIN(16, Games[[#This Row],[OppRestDiff]]*8))</f>
        <v>-16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1554.1436325261941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1571.9563914322021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0.63765745054183642</v>
      </c>
      <c r="R229" s="1">
        <v>70</v>
      </c>
      <c r="S229" s="1">
        <v>65</v>
      </c>
      <c r="T229" s="1">
        <v>0</v>
      </c>
      <c r="U229" s="1">
        <f>Games[[#This Row],[PointsFor]]-Games[[#This Row],[PointsAgainst]]</f>
        <v>5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0.32690343210981548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73.45</v>
      </c>
      <c r="Z229" s="4">
        <f>Games[[#This Row],[K]]*Games[[#This Row],[POMult]]</f>
        <v>73.45</v>
      </c>
      <c r="AA229" s="4">
        <f>(Games[[#This Row],[Keff]]*Games[[#This Row],[MOVMult]])*(Games[[#This Row],[Result]]-Games[[#This Row],[ExpectedWin%]])</f>
        <v>8.7002276406202608</v>
      </c>
      <c r="AB229" s="4">
        <f>Games[[#This Row],[PreGmRate]]+Games[[#This Row],[RatingChange]]</f>
        <v>1562.8438601668145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38178</v>
      </c>
      <c r="B230" s="2">
        <v>2004</v>
      </c>
      <c r="C230" s="2">
        <f>COUNTIFS(Games[Team],Games[[#This Row],[Team]],Games[Season],Games[[#This Row],[Season]],Games[Date],"&lt;=" &amp; Games[[#This Row],[Date]])</f>
        <v>20</v>
      </c>
      <c r="D230" s="2" t="s">
        <v>23</v>
      </c>
      <c r="E230" s="2" t="s">
        <v>29</v>
      </c>
      <c r="F230" s="1" t="s">
        <v>70</v>
      </c>
      <c r="G230" s="1" t="s">
        <v>2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0" s="2">
        <f>Games[[#This Row],[DaysOff]]-Games[[#This Row],[OppDaysOff]]</f>
        <v>-3</v>
      </c>
      <c r="L230" s="2">
        <f>Games[[#This Row],[OppDaysOff]]-Games[[#This Row],[DaysOff]]</f>
        <v>3</v>
      </c>
      <c r="M230" s="1">
        <f>MAX(-16, MIN(16, Games[[#This Row],[RestDiff]]*8))</f>
        <v>-16</v>
      </c>
      <c r="N230" s="1">
        <f>MAX(-16, MIN(16, Games[[#This Row],[OppRestDiff]]*8))</f>
        <v>16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1611.1881214410541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1487.7546353196969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0.51069601444326085</v>
      </c>
      <c r="R230" s="1">
        <v>59</v>
      </c>
      <c r="S230" s="1">
        <v>56</v>
      </c>
      <c r="T230" s="1">
        <v>0</v>
      </c>
      <c r="U230" s="1">
        <f>Games[[#This Row],[PointsFor]]-Games[[#This Row],[PointsAgainst]]</f>
        <v>3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0.26311879589732423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</v>
      </c>
      <c r="Z230" s="4">
        <f>Games[[#This Row],[K]]*Games[[#This Row],[POMult]]</f>
        <v>73</v>
      </c>
      <c r="AA230" s="4">
        <f>(Games[[#This Row],[Keff]]*Games[[#This Row],[MOVMult]])*(Games[[#This Row],[Result]]-Games[[#This Row],[ExpectedWin%]])</f>
        <v>9.3983905120439193</v>
      </c>
      <c r="AB230" s="4">
        <f>Games[[#This Row],[PreGmRate]]+Games[[#This Row],[RatingChange]]</f>
        <v>1620.5865119530981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38178</v>
      </c>
      <c r="B231" s="2">
        <v>2004</v>
      </c>
      <c r="C231" s="2">
        <f>COUNTIFS(Games[Team],Games[[#This Row],[Team]],Games[Season],Games[[#This Row],[Season]],Games[Date],"&lt;=" &amp; Games[[#This Row],[Date]])</f>
        <v>19</v>
      </c>
      <c r="D231" s="2" t="s">
        <v>23</v>
      </c>
      <c r="E231" s="2" t="s">
        <v>29</v>
      </c>
      <c r="F231" s="1" t="s">
        <v>2</v>
      </c>
      <c r="G231" s="1" t="s">
        <v>70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3</v>
      </c>
      <c r="L231" s="2">
        <f>Games[[#This Row],[OppDaysOff]]-Games[[#This Row],[DaysOff]]</f>
        <v>-3</v>
      </c>
      <c r="M231" s="1">
        <f>MAX(-16, MIN(16, Games[[#This Row],[RestDiff]]*8))</f>
        <v>16</v>
      </c>
      <c r="N231" s="1">
        <f>MAX(-16, MIN(16, Games[[#This Row],[OppRestDiff]]*8))</f>
        <v>-16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1487.7546353196969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1611.1881214410541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0.48930398555673915</v>
      </c>
      <c r="R231" s="1">
        <v>56</v>
      </c>
      <c r="S231" s="1">
        <v>59</v>
      </c>
      <c r="T231" s="1">
        <v>0</v>
      </c>
      <c r="U231" s="1">
        <f>Games[[#This Row],[PointsFor]]-Games[[#This Row],[PointsAgainst]]</f>
        <v>-3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0.26311879589732423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-9.4177022733700362</v>
      </c>
      <c r="AB231" s="4">
        <f>Games[[#This Row],[PreGmRate]]+Games[[#This Row],[RatingChange]]</f>
        <v>1478.336933046327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38179</v>
      </c>
      <c r="B232" s="2">
        <v>2004</v>
      </c>
      <c r="C232" s="2">
        <f>COUNTIFS(Games[Team],Games[[#This Row],[Team]],Games[Season],Games[[#This Row],[Season]],Games[Date],"&lt;=" &amp; Games[[#This Row],[Date]])</f>
        <v>19</v>
      </c>
      <c r="D232" s="2" t="s">
        <v>23</v>
      </c>
      <c r="E232" s="2" t="s">
        <v>29</v>
      </c>
      <c r="F232" s="1" t="s">
        <v>86</v>
      </c>
      <c r="G232" s="1" t="s">
        <v>79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-1</v>
      </c>
      <c r="L232" s="2">
        <f>Games[[#This Row],[OppDaysOff]]-Games[[#This Row],[DaysOff]]</f>
        <v>1</v>
      </c>
      <c r="M232" s="1">
        <f>MAX(-16, MIN(16, Games[[#This Row],[RestDiff]]*8))</f>
        <v>-8</v>
      </c>
      <c r="N232" s="1">
        <f>MAX(-16, MIN(16, Games[[#This Row],[OppRestDiff]]*8))</f>
        <v>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1515.4091488051097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1511.7267311629944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0.36483292317712013</v>
      </c>
      <c r="R232" s="1">
        <v>65</v>
      </c>
      <c r="S232" s="1">
        <v>61</v>
      </c>
      <c r="T232" s="1">
        <v>0</v>
      </c>
      <c r="U232" s="1">
        <f>Games[[#This Row],[PointsFor]]-Games[[#This Row],[PointsAgainst]]</f>
        <v>4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0.31047997080220813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73.150000000000006</v>
      </c>
      <c r="Z232" s="4">
        <f>Games[[#This Row],[K]]*Games[[#This Row],[POMult]]</f>
        <v>73.150000000000006</v>
      </c>
      <c r="AA232" s="4">
        <f>(Games[[#This Row],[Keff]]*Games[[#This Row],[MOVMult]])*(Games[[#This Row],[Result]]-Games[[#This Row],[ExpectedWin%]])</f>
        <v>14.425666847373863</v>
      </c>
      <c r="AB232" s="4">
        <f>Games[[#This Row],[PreGmRate]]+Games[[#This Row],[RatingChange]]</f>
        <v>1529.8348156524835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38179</v>
      </c>
      <c r="B233" s="2">
        <v>2004</v>
      </c>
      <c r="C233" s="2">
        <f>COUNTIFS(Games[Team],Games[[#This Row],[Team]],Games[Season],Games[[#This Row],[Season]],Games[Date],"&lt;=" &amp; Games[[#This Row],[Date]])</f>
        <v>19</v>
      </c>
      <c r="D233" s="2" t="s">
        <v>23</v>
      </c>
      <c r="E233" s="2" t="s">
        <v>29</v>
      </c>
      <c r="F233" s="1" t="s">
        <v>79</v>
      </c>
      <c r="G233" s="1" t="s">
        <v>86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1</v>
      </c>
      <c r="L233" s="2">
        <f>Games[[#This Row],[OppDaysOff]]-Games[[#This Row],[DaysOff]]</f>
        <v>-1</v>
      </c>
      <c r="M233" s="1">
        <f>MAX(-16, MIN(16, Games[[#This Row],[RestDiff]]*8))</f>
        <v>8</v>
      </c>
      <c r="N233" s="1">
        <f>MAX(-16, MIN(16, Games[[#This Row],[OppRestDiff]]*8))</f>
        <v>-8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1511.7267311629944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1515.4091488051097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0.63516707682287987</v>
      </c>
      <c r="R233" s="1">
        <v>61</v>
      </c>
      <c r="S233" s="1">
        <v>65</v>
      </c>
      <c r="T233" s="1">
        <v>0</v>
      </c>
      <c r="U233" s="1">
        <f>Games[[#This Row],[PointsFor]]-Games[[#This Row],[PointsAgainst]]</f>
        <v>-4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0.31047997080220813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-14.425666847373863</v>
      </c>
      <c r="AB233" s="4">
        <f>Games[[#This Row],[PreGmRate]]+Games[[#This Row],[RatingChange]]</f>
        <v>1497.3010643156206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38179</v>
      </c>
      <c r="B234" s="2">
        <v>2004</v>
      </c>
      <c r="C234" s="2">
        <f>COUNTIFS(Games[Team],Games[[#This Row],[Team]],Games[Season],Games[[#This Row],[Season]],Games[Date],"&lt;=" &amp; Games[[#This Row],[Date]])</f>
        <v>17</v>
      </c>
      <c r="D234" s="2" t="s">
        <v>23</v>
      </c>
      <c r="E234" s="2" t="s">
        <v>29</v>
      </c>
      <c r="F234" s="1" t="s">
        <v>45</v>
      </c>
      <c r="G234" s="1" t="s">
        <v>77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1518.504205067097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1463.8530703205427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0.45786376334632151</v>
      </c>
      <c r="R234" s="1">
        <v>73</v>
      </c>
      <c r="S234" s="1">
        <v>83</v>
      </c>
      <c r="T234" s="1">
        <v>1</v>
      </c>
      <c r="U234" s="1">
        <f>Games[[#This Row],[PointsFor]]-Games[[#This Row],[PointsAgainst]]</f>
        <v>-10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0.36422879844697137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73.45</v>
      </c>
      <c r="Z234" s="4">
        <f>Games[[#This Row],[K]]*Games[[#This Row],[POMult]]</f>
        <v>73.45</v>
      </c>
      <c r="AA234" s="4">
        <f>(Games[[#This Row],[Keff]]*Games[[#This Row],[MOVMult]])*(Games[[#This Row],[Result]]-Games[[#This Row],[ExpectedWin%]])</f>
        <v>-12.249048517220075</v>
      </c>
      <c r="AB234" s="4">
        <f>Games[[#This Row],[PreGmRate]]+Games[[#This Row],[RatingChange]]</f>
        <v>1506.255156549877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38179</v>
      </c>
      <c r="B235" s="2">
        <v>2004</v>
      </c>
      <c r="C235" s="2">
        <f>COUNTIFS(Games[Team],Games[[#This Row],[Team]],Games[Season],Games[[#This Row],[Season]],Games[Date],"&lt;=" &amp; Games[[#This Row],[Date]])</f>
        <v>18</v>
      </c>
      <c r="D235" s="2" t="s">
        <v>23</v>
      </c>
      <c r="E235" s="2" t="s">
        <v>29</v>
      </c>
      <c r="F235" s="1" t="s">
        <v>77</v>
      </c>
      <c r="G235" s="1" t="s">
        <v>45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1463.8530703205427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1518.504205067097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0.54213623665367849</v>
      </c>
      <c r="R235" s="1">
        <v>83</v>
      </c>
      <c r="S235" s="1">
        <v>73</v>
      </c>
      <c r="T235" s="1">
        <v>1</v>
      </c>
      <c r="U235" s="1">
        <f>Games[[#This Row],[PointsFor]]-Games[[#This Row],[PointsAgainst]]</f>
        <v>10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0.36422879844697137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73.3</v>
      </c>
      <c r="Z235" s="4">
        <f>Games[[#This Row],[K]]*Games[[#This Row],[POMult]]</f>
        <v>73.3</v>
      </c>
      <c r="AA235" s="4">
        <f>(Games[[#This Row],[Keff]]*Games[[#This Row],[MOVMult]])*(Games[[#This Row],[Result]]-Games[[#This Row],[ExpectedWin%]])</f>
        <v>12.22403344196367</v>
      </c>
      <c r="AB235" s="4">
        <f>Games[[#This Row],[PreGmRate]]+Games[[#This Row],[RatingChange]]</f>
        <v>1476.0771037625063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38179</v>
      </c>
      <c r="B236" s="2">
        <v>2004</v>
      </c>
      <c r="C236" s="2">
        <f>COUNTIFS(Games[Team],Games[[#This Row],[Team]],Games[Season],Games[[#This Row],[Season]],Games[Date],"&lt;=" &amp; Games[[#This Row],[Date]])</f>
        <v>19</v>
      </c>
      <c r="D236" s="2" t="s">
        <v>23</v>
      </c>
      <c r="E236" s="2" t="s">
        <v>29</v>
      </c>
      <c r="F236" s="1" t="s">
        <v>44</v>
      </c>
      <c r="G236" s="1" t="s">
        <v>66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6" s="2">
        <f>Games[[#This Row],[DaysOff]]-Games[[#This Row],[OppDaysOff]]</f>
        <v>-1</v>
      </c>
      <c r="L236" s="2">
        <f>Games[[#This Row],[OppDaysOff]]-Games[[#This Row],[DaysOff]]</f>
        <v>1</v>
      </c>
      <c r="M236" s="1">
        <f>MAX(-16, MIN(16, Games[[#This Row],[RestDiff]]*8))</f>
        <v>-8</v>
      </c>
      <c r="N236" s="1">
        <f>MAX(-16, MIN(16, Games[[#This Row],[OppRestDiff]]*8))</f>
        <v>8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1469.3854206482918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1458.303522992562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0.37475906568280093</v>
      </c>
      <c r="R236" s="1">
        <v>69</v>
      </c>
      <c r="S236" s="1">
        <v>77</v>
      </c>
      <c r="T236" s="1">
        <v>0</v>
      </c>
      <c r="U236" s="1">
        <f>Games[[#This Row],[PointsFor]]-Games[[#This Row],[PointsAgainst]]</f>
        <v>-8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0.3847622880876953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73.150000000000006</v>
      </c>
      <c r="Z236" s="4">
        <f>Games[[#This Row],[K]]*Games[[#This Row],[POMult]]</f>
        <v>73.150000000000006</v>
      </c>
      <c r="AA236" s="4">
        <f>(Games[[#This Row],[Keff]]*Games[[#This Row],[MOVMult]])*(Games[[#This Row],[Result]]-Games[[#This Row],[ExpectedWin%]])</f>
        <v>-10.547729331680721</v>
      </c>
      <c r="AB236" s="4">
        <f>Games[[#This Row],[PreGmRate]]+Games[[#This Row],[RatingChange]]</f>
        <v>1458.837691316611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38179</v>
      </c>
      <c r="B237" s="2">
        <v>2004</v>
      </c>
      <c r="C237" s="2">
        <f>COUNTIFS(Games[Team],Games[[#This Row],[Team]],Games[Season],Games[[#This Row],[Season]],Games[Date],"&lt;=" &amp; Games[[#This Row],[Date]])</f>
        <v>19</v>
      </c>
      <c r="D237" s="2" t="s">
        <v>23</v>
      </c>
      <c r="E237" s="2" t="s">
        <v>29</v>
      </c>
      <c r="F237" s="1" t="s">
        <v>66</v>
      </c>
      <c r="G237" s="1" t="s">
        <v>44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1</v>
      </c>
      <c r="L237" s="2">
        <f>Games[[#This Row],[OppDaysOff]]-Games[[#This Row],[DaysOff]]</f>
        <v>-1</v>
      </c>
      <c r="M237" s="1">
        <f>MAX(-16, MIN(16, Games[[#This Row],[RestDiff]]*8))</f>
        <v>8</v>
      </c>
      <c r="N237" s="1">
        <f>MAX(-16, MIN(16, Games[[#This Row],[OppRestDiff]]*8))</f>
        <v>-8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1458.303522992562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1469.3854206482918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0.62524093431719907</v>
      </c>
      <c r="R237" s="1">
        <v>77</v>
      </c>
      <c r="S237" s="1">
        <v>69</v>
      </c>
      <c r="T237" s="1">
        <v>0</v>
      </c>
      <c r="U237" s="1">
        <f>Games[[#This Row],[PointsFor]]-Games[[#This Row],[PointsAgainst]]</f>
        <v>8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0.3847622880876953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10.547729331680721</v>
      </c>
      <c r="AB237" s="4">
        <f>Games[[#This Row],[PreGmRate]]+Games[[#This Row],[RatingChange]]</f>
        <v>1468.8512523242428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38180</v>
      </c>
      <c r="B238" s="2">
        <v>2004</v>
      </c>
      <c r="C238" s="2">
        <f>COUNTIFS(Games[Team],Games[[#This Row],[Team]],Games[Season],Games[[#This Row],[Season]],Games[Date],"&lt;=" &amp; Games[[#This Row],[Date]])</f>
        <v>18</v>
      </c>
      <c r="D238" s="2" t="s">
        <v>23</v>
      </c>
      <c r="E238" s="2" t="s">
        <v>29</v>
      </c>
      <c r="F238" s="1" t="s">
        <v>45</v>
      </c>
      <c r="G238" s="1" t="s">
        <v>75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-1</v>
      </c>
      <c r="L238" s="2">
        <f>Games[[#This Row],[OppDaysOff]]-Games[[#This Row],[DaysOff]]</f>
        <v>1</v>
      </c>
      <c r="M238" s="1">
        <f>MAX(-16, MIN(16, Games[[#This Row],[RestDiff]]*8))</f>
        <v>-8</v>
      </c>
      <c r="N238" s="1">
        <f>MAX(-16, MIN(16, Games[[#This Row],[OppRestDiff]]*8))</f>
        <v>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1506.255156549877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1562.8438601668145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0.28876349053277173</v>
      </c>
      <c r="R238" s="1">
        <v>67</v>
      </c>
      <c r="S238" s="1">
        <v>51</v>
      </c>
      <c r="T238" s="1">
        <v>0</v>
      </c>
      <c r="U238" s="1">
        <f>Games[[#This Row],[PointsFor]]-Games[[#This Row],[PointsAgainst]]</f>
        <v>16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0.49446826710093245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73.3</v>
      </c>
      <c r="Z238" s="4">
        <f>Games[[#This Row],[K]]*Games[[#This Row],[POMult]]</f>
        <v>73.3</v>
      </c>
      <c r="AA238" s="4">
        <f>(Games[[#This Row],[Keff]]*Games[[#This Row],[MOVMult]])*(Games[[#This Row],[Result]]-Games[[#This Row],[ExpectedWin%]])</f>
        <v>25.778428721768424</v>
      </c>
      <c r="AB238" s="4">
        <f>Games[[#This Row],[PreGmRate]]+Games[[#This Row],[RatingChange]]</f>
        <v>1532.0335852716455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38180</v>
      </c>
      <c r="B239" s="2">
        <v>2004</v>
      </c>
      <c r="C239" s="2">
        <f>COUNTIFS(Games[Team],Games[[#This Row],[Team]],Games[Season],Games[[#This Row],[Season]],Games[Date],"&lt;=" &amp; Games[[#This Row],[Date]])</f>
        <v>18</v>
      </c>
      <c r="D239" s="2" t="s">
        <v>23</v>
      </c>
      <c r="E239" s="2" t="s">
        <v>29</v>
      </c>
      <c r="F239" s="1" t="s">
        <v>75</v>
      </c>
      <c r="G239" s="1" t="s">
        <v>45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9" s="2">
        <f>Games[[#This Row],[DaysOff]]-Games[[#This Row],[OppDaysOff]]</f>
        <v>1</v>
      </c>
      <c r="L239" s="2">
        <f>Games[[#This Row],[OppDaysOff]]-Games[[#This Row],[DaysOff]]</f>
        <v>-1</v>
      </c>
      <c r="M239" s="1">
        <f>MAX(-16, MIN(16, Games[[#This Row],[RestDiff]]*8))</f>
        <v>8</v>
      </c>
      <c r="N239" s="1">
        <f>MAX(-16, MIN(16, Games[[#This Row],[OppRestDiff]]*8))</f>
        <v>-8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1562.8438601668145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1506.255156549877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0.71123650946722827</v>
      </c>
      <c r="R239" s="1">
        <v>51</v>
      </c>
      <c r="S239" s="1">
        <v>67</v>
      </c>
      <c r="T239" s="1">
        <v>0</v>
      </c>
      <c r="U239" s="1">
        <f>Games[[#This Row],[PointsFor]]-Games[[#This Row],[PointsAgainst]]</f>
        <v>-16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0.49446826710093245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73.3</v>
      </c>
      <c r="Z239" s="4">
        <f>Games[[#This Row],[K]]*Games[[#This Row],[POMult]]</f>
        <v>73.3</v>
      </c>
      <c r="AA239" s="4">
        <f>(Games[[#This Row],[Keff]]*Games[[#This Row],[MOVMult]])*(Games[[#This Row],[Result]]-Games[[#This Row],[ExpectedWin%]])</f>
        <v>-25.778428721768424</v>
      </c>
      <c r="AB239" s="4">
        <f>Games[[#This Row],[PreGmRate]]+Games[[#This Row],[RatingChange]]</f>
        <v>1537.065431445046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38180</v>
      </c>
      <c r="B240" s="2">
        <v>2004</v>
      </c>
      <c r="C240" s="2">
        <f>COUNTIFS(Games[Team],Games[[#This Row],[Team]],Games[Season],Games[[#This Row],[Season]],Games[Date],"&lt;=" &amp; Games[[#This Row],[Date]])</f>
        <v>19</v>
      </c>
      <c r="D240" s="2" t="s">
        <v>23</v>
      </c>
      <c r="E240" s="2" t="s">
        <v>29</v>
      </c>
      <c r="F240" s="1" t="s">
        <v>84</v>
      </c>
      <c r="G240" s="1" t="s">
        <v>81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1</v>
      </c>
      <c r="L240" s="2">
        <f>Games[[#This Row],[OppDaysOff]]-Games[[#This Row],[DaysOff]]</f>
        <v>-1</v>
      </c>
      <c r="M240" s="1">
        <f>MAX(-16, MIN(16, Games[[#This Row],[RestDiff]]*8))</f>
        <v>8</v>
      </c>
      <c r="N240" s="1">
        <f>MAX(-16, MIN(16, Games[[#This Row],[OppRestDiff]]*8))</f>
        <v>-8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1388.4399349160353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1563.2561637915817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0.19817139748224377</v>
      </c>
      <c r="R240" s="1">
        <v>59</v>
      </c>
      <c r="S240" s="1">
        <v>75</v>
      </c>
      <c r="T240" s="1">
        <v>0</v>
      </c>
      <c r="U240" s="1">
        <f>Games[[#This Row],[PointsFor]]-Games[[#This Row],[PointsAgainst]]</f>
        <v>-16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0.45194639522423086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73.150000000000006</v>
      </c>
      <c r="Z240" s="4">
        <f>Games[[#This Row],[K]]*Games[[#This Row],[POMult]]</f>
        <v>73.150000000000006</v>
      </c>
      <c r="AA240" s="4">
        <f>(Games[[#This Row],[Keff]]*Games[[#This Row],[MOVMult]])*(Games[[#This Row],[Result]]-Games[[#This Row],[ExpectedWin%]])</f>
        <v>-6.5515223845006236</v>
      </c>
      <c r="AB240" s="4">
        <f>Games[[#This Row],[PreGmRate]]+Games[[#This Row],[RatingChange]]</f>
        <v>1381.8884125315346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38180</v>
      </c>
      <c r="B241" s="2">
        <v>2004</v>
      </c>
      <c r="C241" s="2">
        <f>COUNTIFS(Games[Team],Games[[#This Row],[Team]],Games[Season],Games[[#This Row],[Season]],Games[Date],"&lt;=" &amp; Games[[#This Row],[Date]])</f>
        <v>18</v>
      </c>
      <c r="D241" s="2" t="s">
        <v>23</v>
      </c>
      <c r="E241" s="2" t="s">
        <v>29</v>
      </c>
      <c r="F241" s="1" t="s">
        <v>81</v>
      </c>
      <c r="G241" s="1" t="s">
        <v>84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1" s="2">
        <f>Games[[#This Row],[DaysOff]]-Games[[#This Row],[OppDaysOff]]</f>
        <v>-1</v>
      </c>
      <c r="L241" s="2">
        <f>Games[[#This Row],[OppDaysOff]]-Games[[#This Row],[DaysOff]]</f>
        <v>1</v>
      </c>
      <c r="M241" s="1">
        <f>MAX(-16, MIN(16, Games[[#This Row],[RestDiff]]*8))</f>
        <v>-8</v>
      </c>
      <c r="N241" s="1">
        <f>MAX(-16, MIN(16, Games[[#This Row],[OppRestDiff]]*8))</f>
        <v>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1563.2561637915817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1388.4399349160353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0.80182860251775623</v>
      </c>
      <c r="R241" s="1">
        <v>75</v>
      </c>
      <c r="S241" s="1">
        <v>59</v>
      </c>
      <c r="T241" s="1">
        <v>0</v>
      </c>
      <c r="U241" s="1">
        <f>Games[[#This Row],[PointsFor]]-Games[[#This Row],[PointsAgainst]]</f>
        <v>16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0.45194639522423086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73.3</v>
      </c>
      <c r="Z241" s="4">
        <f>Games[[#This Row],[K]]*Games[[#This Row],[POMult]]</f>
        <v>73.3</v>
      </c>
      <c r="AA241" s="4">
        <f>(Games[[#This Row],[Keff]]*Games[[#This Row],[MOVMult]])*(Games[[#This Row],[Result]]-Games[[#This Row],[ExpectedWin%]])</f>
        <v>6.5649568118099202</v>
      </c>
      <c r="AB241" s="4">
        <f>Games[[#This Row],[PreGmRate]]+Games[[#This Row],[RatingChange]]</f>
        <v>1569.8211206033916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38182</v>
      </c>
      <c r="B242" s="2">
        <v>2004</v>
      </c>
      <c r="C242" s="2">
        <f>COUNTIFS(Games[Team],Games[[#This Row],[Team]],Games[Season],Games[[#This Row],[Season]],Games[Date],"&lt;=" &amp; Games[[#This Row],[Date]])</f>
        <v>20</v>
      </c>
      <c r="D242" s="2" t="s">
        <v>23</v>
      </c>
      <c r="E242" s="2" t="s">
        <v>29</v>
      </c>
      <c r="F242" s="1" t="s">
        <v>2</v>
      </c>
      <c r="G242" s="1" t="s">
        <v>79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1</v>
      </c>
      <c r="L242" s="2">
        <f>Games[[#This Row],[OppDaysOff]]-Games[[#This Row],[DaysOff]]</f>
        <v>-1</v>
      </c>
      <c r="M242" s="1">
        <f>MAX(-16, MIN(16, Games[[#This Row],[RestDiff]]*8))</f>
        <v>8</v>
      </c>
      <c r="N242" s="1">
        <f>MAX(-16, MIN(16, Games[[#This Row],[OppRestDiff]]*8))</f>
        <v>-8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1478.336933046327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1497.3010643156206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0.37739831864581269</v>
      </c>
      <c r="R242" s="1">
        <v>62</v>
      </c>
      <c r="S242" s="1">
        <v>70</v>
      </c>
      <c r="T242" s="1">
        <v>0</v>
      </c>
      <c r="U242" s="1">
        <f>Games[[#This Row],[PointsFor]]-Games[[#This Row],[PointsAgainst]]</f>
        <v>-8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0.38227428523133677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-10.531686093072052</v>
      </c>
      <c r="AB242" s="4">
        <f>Games[[#This Row],[PreGmRate]]+Games[[#This Row],[RatingChange]]</f>
        <v>1467.8052469532549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38182</v>
      </c>
      <c r="B243" s="2">
        <v>2004</v>
      </c>
      <c r="C243" s="2">
        <f>COUNTIFS(Games[Team],Games[[#This Row],[Team]],Games[Season],Games[[#This Row],[Season]],Games[Date],"&lt;=" &amp; Games[[#This Row],[Date]])</f>
        <v>20</v>
      </c>
      <c r="D243" s="2" t="s">
        <v>23</v>
      </c>
      <c r="E243" s="2" t="s">
        <v>29</v>
      </c>
      <c r="F243" s="1" t="s">
        <v>79</v>
      </c>
      <c r="G243" s="1" t="s">
        <v>2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3" s="2">
        <f>Games[[#This Row],[DaysOff]]-Games[[#This Row],[OppDaysOff]]</f>
        <v>-1</v>
      </c>
      <c r="L243" s="2">
        <f>Games[[#This Row],[OppDaysOff]]-Games[[#This Row],[DaysOff]]</f>
        <v>1</v>
      </c>
      <c r="M243" s="1">
        <f>MAX(-16, MIN(16, Games[[#This Row],[RestDiff]]*8))</f>
        <v>-8</v>
      </c>
      <c r="N243" s="1">
        <f>MAX(-16, MIN(16, Games[[#This Row],[OppRestDiff]]*8))</f>
        <v>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1497.3010643156206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1478.336933046327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0.62260168135418736</v>
      </c>
      <c r="R243" s="1">
        <v>70</v>
      </c>
      <c r="S243" s="1">
        <v>62</v>
      </c>
      <c r="T243" s="1">
        <v>0</v>
      </c>
      <c r="U243" s="1">
        <f>Games[[#This Row],[PointsFor]]-Games[[#This Row],[PointsAgainst]]</f>
        <v>8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0.38227428523133677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</v>
      </c>
      <c r="Z243" s="4">
        <f>Games[[#This Row],[K]]*Games[[#This Row],[POMult]]</f>
        <v>73</v>
      </c>
      <c r="AA243" s="4">
        <f>(Games[[#This Row],[Keff]]*Games[[#This Row],[MOVMult]])*(Games[[#This Row],[Result]]-Games[[#This Row],[ExpectedWin%]])</f>
        <v>10.53168609307205</v>
      </c>
      <c r="AB243" s="4">
        <f>Games[[#This Row],[PreGmRate]]+Games[[#This Row],[RatingChange]]</f>
        <v>1507.8327504086926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38182</v>
      </c>
      <c r="B244" s="2">
        <v>2004</v>
      </c>
      <c r="C244" s="2">
        <f>COUNTIFS(Games[Team],Games[[#This Row],[Team]],Games[Season],Games[[#This Row],[Season]],Games[Date],"&lt;=" &amp; Games[[#This Row],[Date]])</f>
        <v>20</v>
      </c>
      <c r="D244" s="2" t="s">
        <v>23</v>
      </c>
      <c r="E244" s="2" t="s">
        <v>29</v>
      </c>
      <c r="F244" s="1" t="s">
        <v>86</v>
      </c>
      <c r="G244" s="1" t="s">
        <v>77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1529.8348156524835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1476.0771037625063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0.45658743502555577</v>
      </c>
      <c r="R244" s="1">
        <v>63</v>
      </c>
      <c r="S244" s="1">
        <v>66</v>
      </c>
      <c r="T244" s="1">
        <v>0</v>
      </c>
      <c r="U244" s="1">
        <f>Games[[#This Row],[PointsFor]]-Games[[#This Row],[PointsAgainst]]</f>
        <v>-3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0.2777412429978397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</v>
      </c>
      <c r="Z244" s="4">
        <f>Games[[#This Row],[K]]*Games[[#This Row],[POMult]]</f>
        <v>73</v>
      </c>
      <c r="AA244" s="4">
        <f>(Games[[#This Row],[Keff]]*Games[[#This Row],[MOVMult]])*(Games[[#This Row],[Result]]-Games[[#This Row],[ExpectedWin%]])</f>
        <v>-9.257360807107105</v>
      </c>
      <c r="AB244" s="4">
        <f>Games[[#This Row],[PreGmRate]]+Games[[#This Row],[RatingChange]]</f>
        <v>1520.5774548453765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38182</v>
      </c>
      <c r="B245" s="2">
        <v>2004</v>
      </c>
      <c r="C245" s="2">
        <f>COUNTIFS(Games[Team],Games[[#This Row],[Team]],Games[Season],Games[[#This Row],[Season]],Games[Date],"&lt;=" &amp; Games[[#This Row],[Date]])</f>
        <v>19</v>
      </c>
      <c r="D245" s="2" t="s">
        <v>23</v>
      </c>
      <c r="E245" s="2" t="s">
        <v>29</v>
      </c>
      <c r="F245" s="1" t="s">
        <v>77</v>
      </c>
      <c r="G245" s="1" t="s">
        <v>86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1476.0771037625063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1529.8348156524835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0.54341256497444423</v>
      </c>
      <c r="R245" s="1">
        <v>66</v>
      </c>
      <c r="S245" s="1">
        <v>63</v>
      </c>
      <c r="T245" s="1">
        <v>0</v>
      </c>
      <c r="U245" s="1">
        <f>Games[[#This Row],[PointsFor]]-Games[[#This Row],[PointsAgainst]]</f>
        <v>3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0.2777412429978397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73.150000000000006</v>
      </c>
      <c r="Z245" s="4">
        <f>Games[[#This Row],[K]]*Games[[#This Row],[POMult]]</f>
        <v>73.150000000000006</v>
      </c>
      <c r="AA245" s="4">
        <f>(Games[[#This Row],[Keff]]*Games[[#This Row],[MOVMult]])*(Games[[#This Row],[Result]]-Games[[#This Row],[ExpectedWin%]])</f>
        <v>9.2763827813682838</v>
      </c>
      <c r="AB245" s="4">
        <f>Games[[#This Row],[PreGmRate]]+Games[[#This Row],[RatingChange]]</f>
        <v>1485.3534865438746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38183</v>
      </c>
      <c r="B246" s="2">
        <v>2004</v>
      </c>
      <c r="C246" s="2">
        <f>COUNTIFS(Games[Team],Games[[#This Row],[Team]],Games[Season],Games[[#This Row],[Season]],Games[Date],"&lt;=" &amp; Games[[#This Row],[Date]])</f>
        <v>19</v>
      </c>
      <c r="D246" s="2" t="s">
        <v>23</v>
      </c>
      <c r="E246" s="2" t="s">
        <v>29</v>
      </c>
      <c r="F246" s="1" t="s">
        <v>75</v>
      </c>
      <c r="G246" s="1" t="s">
        <v>2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6" s="2">
        <f>Games[[#This Row],[DaysOff]]-Games[[#This Row],[OppDaysOff]]</f>
        <v>2</v>
      </c>
      <c r="L246" s="2">
        <f>Games[[#This Row],[OppDaysOff]]-Games[[#This Row],[DaysOff]]</f>
        <v>-2</v>
      </c>
      <c r="M246" s="1">
        <f>MAX(-16, MIN(16, Games[[#This Row],[RestDiff]]*8))</f>
        <v>16</v>
      </c>
      <c r="N246" s="1">
        <f>MAX(-16, MIN(16, Games[[#This Row],[OppRestDiff]]*8))</f>
        <v>-16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1537.065431445046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1467.8052469532549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0.5248189879358246</v>
      </c>
      <c r="R246" s="1">
        <v>61</v>
      </c>
      <c r="S246" s="1">
        <v>97</v>
      </c>
      <c r="T246" s="1">
        <v>0</v>
      </c>
      <c r="U246" s="1">
        <f>Games[[#This Row],[PointsFor]]-Games[[#This Row],[PointsAgainst]]</f>
        <v>-36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0.7313405552907517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73.150000000000006</v>
      </c>
      <c r="Z246" s="4">
        <f>Games[[#This Row],[K]]*Games[[#This Row],[POMult]]</f>
        <v>73.150000000000006</v>
      </c>
      <c r="AA246" s="4">
        <f>(Games[[#This Row],[Keff]]*Games[[#This Row],[MOVMult]])*(Games[[#This Row],[Result]]-Games[[#This Row],[ExpectedWin%]])</f>
        <v>-28.076536146190108</v>
      </c>
      <c r="AB246" s="4">
        <f>Games[[#This Row],[PreGmRate]]+Games[[#This Row],[RatingChange]]</f>
        <v>1508.9888952988558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38183</v>
      </c>
      <c r="B247" s="2">
        <v>2004</v>
      </c>
      <c r="C247" s="2">
        <f>COUNTIFS(Games[Team],Games[[#This Row],[Team]],Games[Season],Games[[#This Row],[Season]],Games[Date],"&lt;=" &amp; Games[[#This Row],[Date]])</f>
        <v>21</v>
      </c>
      <c r="D247" s="2" t="s">
        <v>23</v>
      </c>
      <c r="E247" s="2" t="s">
        <v>29</v>
      </c>
      <c r="F247" s="1" t="s">
        <v>2</v>
      </c>
      <c r="G247" s="1" t="s">
        <v>75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7" s="2">
        <f>Games[[#This Row],[DaysOff]]-Games[[#This Row],[OppDaysOff]]</f>
        <v>-2</v>
      </c>
      <c r="L247" s="2">
        <f>Games[[#This Row],[OppDaysOff]]-Games[[#This Row],[DaysOff]]</f>
        <v>2</v>
      </c>
      <c r="M247" s="1">
        <f>MAX(-16, MIN(16, Games[[#This Row],[RestDiff]]*8))</f>
        <v>-16</v>
      </c>
      <c r="N247" s="1">
        <f>MAX(-16, MIN(16, Games[[#This Row],[OppRestDiff]]*8))</f>
        <v>16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1467.8052469532549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1537.065431445046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0.4751810120641754</v>
      </c>
      <c r="R247" s="1">
        <v>97</v>
      </c>
      <c r="S247" s="1">
        <v>61</v>
      </c>
      <c r="T247" s="1">
        <v>0</v>
      </c>
      <c r="U247" s="1">
        <f>Games[[#This Row],[PointsFor]]-Games[[#This Row],[PointsAgainst]]</f>
        <v>36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0.7313405552907517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72.849999999999994</v>
      </c>
      <c r="Z247" s="4">
        <f>Games[[#This Row],[K]]*Games[[#This Row],[POMult]]</f>
        <v>72.849999999999994</v>
      </c>
      <c r="AA247" s="4">
        <f>(Games[[#This Row],[Keff]]*Games[[#This Row],[MOVMult]])*(Games[[#This Row],[Result]]-Games[[#This Row],[ExpectedWin%]])</f>
        <v>27.961389723170868</v>
      </c>
      <c r="AB247" s="4">
        <f>Games[[#This Row],[PreGmRate]]+Games[[#This Row],[RatingChange]]</f>
        <v>1495.7666366764258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38183</v>
      </c>
      <c r="B248" s="2">
        <v>2004</v>
      </c>
      <c r="C248" s="2">
        <f>COUNTIFS(Games[Team],Games[[#This Row],[Team]],Games[Season],Games[[#This Row],[Season]],Games[Date],"&lt;=" &amp; Games[[#This Row],[Date]])</f>
        <v>20</v>
      </c>
      <c r="D248" s="2" t="s">
        <v>23</v>
      </c>
      <c r="E248" s="2" t="s">
        <v>29</v>
      </c>
      <c r="F248" s="1" t="s">
        <v>77</v>
      </c>
      <c r="G248" s="1" t="s">
        <v>66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8" s="2">
        <f>Games[[#This Row],[DaysOff]]-Games[[#This Row],[OppDaysOff]]</f>
        <v>-3</v>
      </c>
      <c r="L248" s="2">
        <f>Games[[#This Row],[OppDaysOff]]-Games[[#This Row],[DaysOff]]</f>
        <v>3</v>
      </c>
      <c r="M248" s="1">
        <f>MAX(-16, MIN(16, Games[[#This Row],[RestDiff]]*8))</f>
        <v>-16</v>
      </c>
      <c r="N248" s="1">
        <f>MAX(-16, MIN(16, Games[[#This Row],[OppRestDiff]]*8))</f>
        <v>16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1485.3534865438746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1468.8512523242428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0.36060132465280226</v>
      </c>
      <c r="R248" s="1">
        <v>69</v>
      </c>
      <c r="S248" s="1">
        <v>66</v>
      </c>
      <c r="T248" s="1">
        <v>0</v>
      </c>
      <c r="U248" s="1">
        <f>Games[[#This Row],[PointsFor]]-Games[[#This Row],[PointsAgainst]]</f>
        <v>3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0.28624709065316906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</v>
      </c>
      <c r="Z248" s="4">
        <f>Games[[#This Row],[K]]*Games[[#This Row],[POMult]]</f>
        <v>73</v>
      </c>
      <c r="AA248" s="4">
        <f>(Games[[#This Row],[Keff]]*Games[[#This Row],[MOVMult]])*(Games[[#This Row],[Result]]-Games[[#This Row],[ExpectedWin%]])</f>
        <v>13.360898772750662</v>
      </c>
      <c r="AB248" s="4">
        <f>Games[[#This Row],[PreGmRate]]+Games[[#This Row],[RatingChange]]</f>
        <v>1498.7143853166253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38183</v>
      </c>
      <c r="B249" s="2">
        <v>2004</v>
      </c>
      <c r="C249" s="2">
        <f>COUNTIFS(Games[Team],Games[[#This Row],[Team]],Games[Season],Games[[#This Row],[Season]],Games[Date],"&lt;=" &amp; Games[[#This Row],[Date]])</f>
        <v>20</v>
      </c>
      <c r="D249" s="2" t="s">
        <v>23</v>
      </c>
      <c r="E249" s="2" t="s">
        <v>29</v>
      </c>
      <c r="F249" s="1" t="s">
        <v>66</v>
      </c>
      <c r="G249" s="1" t="s">
        <v>77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9" s="2">
        <f>Games[[#This Row],[DaysOff]]-Games[[#This Row],[OppDaysOff]]</f>
        <v>3</v>
      </c>
      <c r="L249" s="2">
        <f>Games[[#This Row],[OppDaysOff]]-Games[[#This Row],[DaysOff]]</f>
        <v>-3</v>
      </c>
      <c r="M249" s="1">
        <f>MAX(-16, MIN(16, Games[[#This Row],[RestDiff]]*8))</f>
        <v>16</v>
      </c>
      <c r="N249" s="1">
        <f>MAX(-16, MIN(16, Games[[#This Row],[OppRestDiff]]*8))</f>
        <v>-16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1468.8512523242428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1485.3534865438746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0.63939867534719774</v>
      </c>
      <c r="R249" s="1">
        <v>66</v>
      </c>
      <c r="S249" s="1">
        <v>69</v>
      </c>
      <c r="T249" s="1">
        <v>0</v>
      </c>
      <c r="U249" s="1">
        <f>Games[[#This Row],[PointsFor]]-Games[[#This Row],[PointsAgainst]]</f>
        <v>-3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0.28624709065316906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</v>
      </c>
      <c r="Z249" s="4">
        <f>Games[[#This Row],[K]]*Games[[#This Row],[POMult]]</f>
        <v>73</v>
      </c>
      <c r="AA249" s="4">
        <f>(Games[[#This Row],[Keff]]*Games[[#This Row],[MOVMult]])*(Games[[#This Row],[Result]]-Games[[#This Row],[ExpectedWin%]])</f>
        <v>-13.360898772750662</v>
      </c>
      <c r="AB249" s="4">
        <f>Games[[#This Row],[PreGmRate]]+Games[[#This Row],[RatingChange]]</f>
        <v>1455.490353551492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38183</v>
      </c>
      <c r="B250" s="2">
        <v>2004</v>
      </c>
      <c r="C250" s="2">
        <f>COUNTIFS(Games[Team],Games[[#This Row],[Team]],Games[Season],Games[[#This Row],[Season]],Games[Date],"&lt;=" &amp; Games[[#This Row],[Date]])</f>
        <v>19</v>
      </c>
      <c r="D250" s="2" t="s">
        <v>23</v>
      </c>
      <c r="E250" s="2" t="s">
        <v>29</v>
      </c>
      <c r="F250" s="1" t="s">
        <v>81</v>
      </c>
      <c r="G250" s="1" t="s">
        <v>45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1569.8211206033916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1532.0335852716455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0.43388435770743744</v>
      </c>
      <c r="R250" s="1">
        <v>66</v>
      </c>
      <c r="S250" s="1">
        <v>63</v>
      </c>
      <c r="T250" s="1">
        <v>0</v>
      </c>
      <c r="U250" s="1">
        <f>Games[[#This Row],[PointsFor]]-Games[[#This Row],[PointsAgainst]]</f>
        <v>3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0.28132471476627152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73.150000000000006</v>
      </c>
      <c r="Z250" s="4">
        <f>Games[[#This Row],[K]]*Games[[#This Row],[POMult]]</f>
        <v>73.150000000000006</v>
      </c>
      <c r="AA250" s="4">
        <f>(Games[[#This Row],[Keff]]*Games[[#This Row],[MOVMult]])*(Games[[#This Row],[Result]]-Games[[#This Row],[ExpectedWin%]])</f>
        <v>11.650038824504527</v>
      </c>
      <c r="AB250" s="4">
        <f>Games[[#This Row],[PreGmRate]]+Games[[#This Row],[RatingChange]]</f>
        <v>1581.4711594278961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38183</v>
      </c>
      <c r="B251" s="2">
        <v>2004</v>
      </c>
      <c r="C251" s="2">
        <f>COUNTIFS(Games[Team],Games[[#This Row],[Team]],Games[Season],Games[[#This Row],[Season]],Games[Date],"&lt;=" &amp; Games[[#This Row],[Date]])</f>
        <v>19</v>
      </c>
      <c r="D251" s="2" t="s">
        <v>23</v>
      </c>
      <c r="E251" s="2" t="s">
        <v>29</v>
      </c>
      <c r="F251" s="1" t="s">
        <v>45</v>
      </c>
      <c r="G251" s="1" t="s">
        <v>81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1532.0335852716455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1569.8211206033916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0.5661156422925625</v>
      </c>
      <c r="R251" s="1">
        <v>63</v>
      </c>
      <c r="S251" s="1">
        <v>66</v>
      </c>
      <c r="T251" s="1">
        <v>0</v>
      </c>
      <c r="U251" s="1">
        <f>Games[[#This Row],[PointsFor]]-Games[[#This Row],[PointsAgainst]]</f>
        <v>-3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0.28132471476627152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73.150000000000006</v>
      </c>
      <c r="Z251" s="4">
        <f>Games[[#This Row],[K]]*Games[[#This Row],[POMult]]</f>
        <v>73.150000000000006</v>
      </c>
      <c r="AA251" s="4">
        <f>(Games[[#This Row],[Keff]]*Games[[#This Row],[MOVMult]])*(Games[[#This Row],[Result]]-Games[[#This Row],[ExpectedWin%]])</f>
        <v>-11.650038824504525</v>
      </c>
      <c r="AB251" s="4">
        <f>Games[[#This Row],[PreGmRate]]+Games[[#This Row],[RatingChange]]</f>
        <v>1520.383546447141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38183</v>
      </c>
      <c r="B252" s="2">
        <v>2004</v>
      </c>
      <c r="C252" s="2">
        <f>COUNTIFS(Games[Team],Games[[#This Row],[Team]],Games[Season],Games[[#This Row],[Season]],Games[Date],"&lt;=" &amp; Games[[#This Row],[Date]])</f>
        <v>21</v>
      </c>
      <c r="D252" s="2" t="s">
        <v>23</v>
      </c>
      <c r="E252" s="2" t="s">
        <v>29</v>
      </c>
      <c r="F252" s="1" t="s">
        <v>86</v>
      </c>
      <c r="G252" s="1" t="s">
        <v>84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-2</v>
      </c>
      <c r="L252" s="2">
        <f>Games[[#This Row],[OppDaysOff]]-Games[[#This Row],[DaysOff]]</f>
        <v>2</v>
      </c>
      <c r="M252" s="1">
        <f>MAX(-16, MIN(16, Games[[#This Row],[RestDiff]]*8))</f>
        <v>-16</v>
      </c>
      <c r="N252" s="1">
        <f>MAX(-16, MIN(16, Games[[#This Row],[OppRestDiff]]*8))</f>
        <v>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1520.5774548453765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1381.8884125315346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0.53260581896337855</v>
      </c>
      <c r="R252" s="1">
        <v>67</v>
      </c>
      <c r="S252" s="1">
        <v>78</v>
      </c>
      <c r="T252" s="1">
        <v>0</v>
      </c>
      <c r="U252" s="1">
        <f>Games[[#This Row],[PointsFor]]-Games[[#This Row],[PointsAgainst]]</f>
        <v>-11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0.39426868199121307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72.849999999999994</v>
      </c>
      <c r="Z252" s="4">
        <f>Games[[#This Row],[K]]*Games[[#This Row],[POMult]]</f>
        <v>72.849999999999994</v>
      </c>
      <c r="AA252" s="4">
        <f>(Games[[#This Row],[Keff]]*Games[[#This Row],[MOVMult]])*(Games[[#This Row],[Result]]-Games[[#This Row],[ExpectedWin%]])</f>
        <v>-15.297756512099026</v>
      </c>
      <c r="AB252" s="4">
        <f>Games[[#This Row],[PreGmRate]]+Games[[#This Row],[RatingChange]]</f>
        <v>1505.2796983332773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38183</v>
      </c>
      <c r="B253" s="2">
        <v>2004</v>
      </c>
      <c r="C253" s="2">
        <f>COUNTIFS(Games[Team],Games[[#This Row],[Team]],Games[Season],Games[[#This Row],[Season]],Games[Date],"&lt;=" &amp; Games[[#This Row],[Date]])</f>
        <v>20</v>
      </c>
      <c r="D253" s="2" t="s">
        <v>23</v>
      </c>
      <c r="E253" s="2" t="s">
        <v>29</v>
      </c>
      <c r="F253" s="1" t="s">
        <v>84</v>
      </c>
      <c r="G253" s="1" t="s">
        <v>86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3" s="2">
        <f>Games[[#This Row],[DaysOff]]-Games[[#This Row],[OppDaysOff]]</f>
        <v>2</v>
      </c>
      <c r="L253" s="2">
        <f>Games[[#This Row],[OppDaysOff]]-Games[[#This Row],[DaysOff]]</f>
        <v>-2</v>
      </c>
      <c r="M253" s="1">
        <f>MAX(-16, MIN(16, Games[[#This Row],[RestDiff]]*8))</f>
        <v>16</v>
      </c>
      <c r="N253" s="1">
        <f>MAX(-16, MIN(16, Games[[#This Row],[OppRestDiff]]*8))</f>
        <v>-16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1381.8884125315346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1520.5774548453765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0.46739418103662139</v>
      </c>
      <c r="R253" s="1">
        <v>78</v>
      </c>
      <c r="S253" s="1">
        <v>67</v>
      </c>
      <c r="T253" s="1">
        <v>0</v>
      </c>
      <c r="U253" s="1">
        <f>Games[[#This Row],[PointsFor]]-Games[[#This Row],[PointsAgainst]]</f>
        <v>11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0.39426868199121307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</v>
      </c>
      <c r="Z253" s="4">
        <f>Games[[#This Row],[K]]*Games[[#This Row],[POMult]]</f>
        <v>73</v>
      </c>
      <c r="AA253" s="4">
        <f>(Games[[#This Row],[Keff]]*Games[[#This Row],[MOVMult]])*(Games[[#This Row],[Result]]-Games[[#This Row],[ExpectedWin%]])</f>
        <v>15.329254981238563</v>
      </c>
      <c r="AB253" s="4">
        <f>Games[[#This Row],[PreGmRate]]+Games[[#This Row],[RatingChange]]</f>
        <v>1397.2176675127732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38183</v>
      </c>
      <c r="B254" s="2">
        <v>2004</v>
      </c>
      <c r="C254" s="2">
        <f>COUNTIFS(Games[Team],Games[[#This Row],[Team]],Games[Season],Games[[#This Row],[Season]],Games[Date],"&lt;=" &amp; Games[[#This Row],[Date]])</f>
        <v>18</v>
      </c>
      <c r="D254" s="2" t="s">
        <v>23</v>
      </c>
      <c r="E254" s="2" t="s">
        <v>29</v>
      </c>
      <c r="F254" s="1" t="s">
        <v>64</v>
      </c>
      <c r="G254" s="1" t="s">
        <v>73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1509.5562523827775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1459.1034778357316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0.45187114037190224</v>
      </c>
      <c r="R254" s="1">
        <v>54</v>
      </c>
      <c r="S254" s="1">
        <v>68</v>
      </c>
      <c r="T254" s="1">
        <v>0</v>
      </c>
      <c r="U254" s="1">
        <f>Games[[#This Row],[PointsFor]]-Games[[#This Row],[PointsAgainst]]</f>
        <v>-14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0.46793428440580193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73.3</v>
      </c>
      <c r="Z254" s="4">
        <f>Games[[#This Row],[K]]*Games[[#This Row],[POMult]]</f>
        <v>73.3</v>
      </c>
      <c r="AA254" s="4">
        <f>(Games[[#This Row],[Keff]]*Games[[#This Row],[MOVMult]])*(Games[[#This Row],[Result]]-Games[[#This Row],[ExpectedWin%]])</f>
        <v>-15.498991705703929</v>
      </c>
      <c r="AB254" s="4">
        <f>Games[[#This Row],[PreGmRate]]+Games[[#This Row],[RatingChange]]</f>
        <v>1494.0572606770736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38183</v>
      </c>
      <c r="B255" s="2">
        <v>2004</v>
      </c>
      <c r="C255" s="2">
        <f>COUNTIFS(Games[Team],Games[[#This Row],[Team]],Games[Season],Games[[#This Row],[Season]],Games[Date],"&lt;=" &amp; Games[[#This Row],[Date]])</f>
        <v>18</v>
      </c>
      <c r="D255" s="2" t="s">
        <v>23</v>
      </c>
      <c r="E255" s="2" t="s">
        <v>29</v>
      </c>
      <c r="F255" s="1" t="s">
        <v>73</v>
      </c>
      <c r="G255" s="1" t="s">
        <v>64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1459.1034778357316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1509.5562523827775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0.54812885962809776</v>
      </c>
      <c r="R255" s="1">
        <v>68</v>
      </c>
      <c r="S255" s="1">
        <v>54</v>
      </c>
      <c r="T255" s="1">
        <v>0</v>
      </c>
      <c r="U255" s="1">
        <f>Games[[#This Row],[PointsFor]]-Games[[#This Row],[PointsAgainst]]</f>
        <v>14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0.46793428440580193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73.3</v>
      </c>
      <c r="Z255" s="4">
        <f>Games[[#This Row],[K]]*Games[[#This Row],[POMult]]</f>
        <v>73.3</v>
      </c>
      <c r="AA255" s="4">
        <f>(Games[[#This Row],[Keff]]*Games[[#This Row],[MOVMult]])*(Games[[#This Row],[Result]]-Games[[#This Row],[ExpectedWin%]])</f>
        <v>15.498991705703929</v>
      </c>
      <c r="AB255" s="4">
        <f>Games[[#This Row],[PreGmRate]]+Games[[#This Row],[RatingChange]]</f>
        <v>1474.6024695414355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38184</v>
      </c>
      <c r="B256" s="2">
        <v>2004</v>
      </c>
      <c r="C256" s="2">
        <f>COUNTIFS(Games[Team],Games[[#This Row],[Team]],Games[Season],Games[[#This Row],[Season]],Games[Date],"&lt;=" &amp; Games[[#This Row],[Date]])</f>
        <v>20</v>
      </c>
      <c r="D256" s="2" t="s">
        <v>23</v>
      </c>
      <c r="E256" s="2" t="s">
        <v>29</v>
      </c>
      <c r="F256" s="1" t="s">
        <v>75</v>
      </c>
      <c r="G256" s="1" t="s">
        <v>79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-1</v>
      </c>
      <c r="L256" s="2">
        <f>Games[[#This Row],[OppDaysOff]]-Games[[#This Row],[DaysOff]]</f>
        <v>1</v>
      </c>
      <c r="M256" s="1">
        <f>MAX(-16, MIN(16, Games[[#This Row],[RestDiff]]*8))</f>
        <v>-8</v>
      </c>
      <c r="N256" s="1">
        <f>MAX(-16, MIN(16, Games[[#This Row],[OppRestDiff]]*8))</f>
        <v>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1508.9888952988558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1507.8327504086926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0.3614696862404721</v>
      </c>
      <c r="R256" s="1">
        <v>73</v>
      </c>
      <c r="S256" s="1">
        <v>85</v>
      </c>
      <c r="T256" s="1">
        <v>0</v>
      </c>
      <c r="U256" s="1">
        <f>Games[[#This Row],[PointsFor]]-Games[[#This Row],[PointsAgainst]]</f>
        <v>-12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0.45569040629759289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</v>
      </c>
      <c r="Z256" s="4">
        <f>Games[[#This Row],[K]]*Games[[#This Row],[POMult]]</f>
        <v>73</v>
      </c>
      <c r="AA256" s="4">
        <f>(Games[[#This Row],[Keff]]*Games[[#This Row],[MOVMult]])*(Games[[#This Row],[Result]]-Games[[#This Row],[ExpectedWin%]])</f>
        <v>-12.024433577664443</v>
      </c>
      <c r="AB256" s="4">
        <f>Games[[#This Row],[PreGmRate]]+Games[[#This Row],[RatingChange]]</f>
        <v>1496.9644617211914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38184</v>
      </c>
      <c r="B257" s="2">
        <v>2004</v>
      </c>
      <c r="C257" s="2">
        <f>COUNTIFS(Games[Team],Games[[#This Row],[Team]],Games[Season],Games[[#This Row],[Season]],Games[Date],"&lt;=" &amp; Games[[#This Row],[Date]])</f>
        <v>21</v>
      </c>
      <c r="D257" s="2" t="s">
        <v>23</v>
      </c>
      <c r="E257" s="2" t="s">
        <v>29</v>
      </c>
      <c r="F257" s="1" t="s">
        <v>79</v>
      </c>
      <c r="G257" s="1" t="s">
        <v>75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7" s="2">
        <f>Games[[#This Row],[DaysOff]]-Games[[#This Row],[OppDaysOff]]</f>
        <v>1</v>
      </c>
      <c r="L257" s="2">
        <f>Games[[#This Row],[OppDaysOff]]-Games[[#This Row],[DaysOff]]</f>
        <v>-1</v>
      </c>
      <c r="M257" s="1">
        <f>MAX(-16, MIN(16, Games[[#This Row],[RestDiff]]*8))</f>
        <v>8</v>
      </c>
      <c r="N257" s="1">
        <f>MAX(-16, MIN(16, Games[[#This Row],[OppRestDiff]]*8))</f>
        <v>-8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1507.8327504086926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1508.9888952988558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0.63853031375952796</v>
      </c>
      <c r="R257" s="1">
        <v>85</v>
      </c>
      <c r="S257" s="1">
        <v>73</v>
      </c>
      <c r="T257" s="1">
        <v>0</v>
      </c>
      <c r="U257" s="1">
        <f>Games[[#This Row],[PointsFor]]-Games[[#This Row],[PointsAgainst]]</f>
        <v>12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0.45569040629759289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72.849999999999994</v>
      </c>
      <c r="Z257" s="4">
        <f>Games[[#This Row],[K]]*Games[[#This Row],[POMult]]</f>
        <v>72.849999999999994</v>
      </c>
      <c r="AA257" s="4">
        <f>(Games[[#This Row],[Keff]]*Games[[#This Row],[MOVMult]])*(Games[[#This Row],[Result]]-Games[[#This Row],[ExpectedWin%]])</f>
        <v>11.999725837436362</v>
      </c>
      <c r="AB257" s="4">
        <f>Games[[#This Row],[PreGmRate]]+Games[[#This Row],[RatingChange]]</f>
        <v>1519.8324762461291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38185</v>
      </c>
      <c r="B258" s="2">
        <v>2004</v>
      </c>
      <c r="C258" s="2">
        <f>COUNTIFS(Games[Team],Games[[#This Row],[Team]],Games[Season],Games[[#This Row],[Season]],Games[Date],"&lt;=" &amp; Games[[#This Row],[Date]])</f>
        <v>22</v>
      </c>
      <c r="D258" s="2" t="s">
        <v>23</v>
      </c>
      <c r="E258" s="2" t="s">
        <v>29</v>
      </c>
      <c r="F258" s="1" t="s">
        <v>86</v>
      </c>
      <c r="G258" s="1" t="s">
        <v>2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1505.2796983332773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1495.7666366764258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0.39441738706438956</v>
      </c>
      <c r="R258" s="1">
        <v>56</v>
      </c>
      <c r="S258" s="1">
        <v>72</v>
      </c>
      <c r="T258" s="1">
        <v>0</v>
      </c>
      <c r="U258" s="1">
        <f>Games[[#This Row],[PointsFor]]-Games[[#This Row],[PointsAgainst]]</f>
        <v>-16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0.51371354178261397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72.7</v>
      </c>
      <c r="Z258" s="4">
        <f>Games[[#This Row],[K]]*Games[[#This Row],[POMult]]</f>
        <v>72.7</v>
      </c>
      <c r="AA258" s="4">
        <f>(Games[[#This Row],[Keff]]*Games[[#This Row],[MOVMult]])*(Games[[#This Row],[Result]]-Games[[#This Row],[ExpectedWin%]])</f>
        <v>-14.730296092158047</v>
      </c>
      <c r="AB258" s="4">
        <f>Games[[#This Row],[PreGmRate]]+Games[[#This Row],[RatingChange]]</f>
        <v>1490.5494022411192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38185</v>
      </c>
      <c r="B259" s="2">
        <v>2004</v>
      </c>
      <c r="C259" s="2">
        <f>COUNTIFS(Games[Team],Games[[#This Row],[Team]],Games[Season],Games[[#This Row],[Season]],Games[Date],"&lt;=" &amp; Games[[#This Row],[Date]])</f>
        <v>22</v>
      </c>
      <c r="D259" s="2" t="s">
        <v>23</v>
      </c>
      <c r="E259" s="2" t="s">
        <v>29</v>
      </c>
      <c r="F259" s="1" t="s">
        <v>2</v>
      </c>
      <c r="G259" s="1" t="s">
        <v>86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1495.7666366764258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1505.2796983332773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0.60558261293561044</v>
      </c>
      <c r="R259" s="1">
        <v>72</v>
      </c>
      <c r="S259" s="1">
        <v>56</v>
      </c>
      <c r="T259" s="1">
        <v>0</v>
      </c>
      <c r="U259" s="1">
        <f>Games[[#This Row],[PointsFor]]-Games[[#This Row],[PointsAgainst]]</f>
        <v>16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0.51371354178261397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14.730296092158047</v>
      </c>
      <c r="AB259" s="4">
        <f>Games[[#This Row],[PreGmRate]]+Games[[#This Row],[RatingChange]]</f>
        <v>1510.496932768584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38185</v>
      </c>
      <c r="B260" s="2">
        <v>2004</v>
      </c>
      <c r="C260" s="2">
        <f>COUNTIFS(Games[Team],Games[[#This Row],[Team]],Games[Season],Games[[#This Row],[Season]],Games[Date],"&lt;=" &amp; Games[[#This Row],[Date]])</f>
        <v>20</v>
      </c>
      <c r="D260" s="2" t="s">
        <v>23</v>
      </c>
      <c r="E260" s="2" t="s">
        <v>29</v>
      </c>
      <c r="F260" s="1" t="s">
        <v>45</v>
      </c>
      <c r="G260" s="1" t="s">
        <v>70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60" s="2">
        <f>Games[[#This Row],[DaysOff]]-Games[[#This Row],[OppDaysOff]]</f>
        <v>-5</v>
      </c>
      <c r="L260" s="2">
        <f>Games[[#This Row],[OppDaysOff]]-Games[[#This Row],[DaysOff]]</f>
        <v>5</v>
      </c>
      <c r="M260" s="1">
        <f>MAX(-16, MIN(16, Games[[#This Row],[RestDiff]]*8))</f>
        <v>-16</v>
      </c>
      <c r="N260" s="1">
        <f>MAX(-16, MIN(16, Games[[#This Row],[OppRestDiff]]*8))</f>
        <v>16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1520.383546447141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1620.5865119530981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0.22364250027918312</v>
      </c>
      <c r="R260" s="1">
        <v>79</v>
      </c>
      <c r="S260" s="1">
        <v>70</v>
      </c>
      <c r="T260" s="1">
        <v>0</v>
      </c>
      <c r="U260" s="1">
        <f>Games[[#This Row],[PointsFor]]-Games[[#This Row],[PointsAgainst]]</f>
        <v>9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0.37468444965983994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</v>
      </c>
      <c r="Z260" s="4">
        <f>Games[[#This Row],[K]]*Games[[#This Row],[POMult]]</f>
        <v>73</v>
      </c>
      <c r="AA260" s="4">
        <f>(Games[[#This Row],[Keff]]*Games[[#This Row],[MOVMult]])*(Games[[#This Row],[Result]]-Games[[#This Row],[ExpectedWin%]])</f>
        <v>21.234903024119404</v>
      </c>
      <c r="AB260" s="4">
        <f>Games[[#This Row],[PreGmRate]]+Games[[#This Row],[RatingChange]]</f>
        <v>1541.6184494712604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38185</v>
      </c>
      <c r="B261" s="2">
        <v>2004</v>
      </c>
      <c r="C261" s="2">
        <f>COUNTIFS(Games[Team],Games[[#This Row],[Team]],Games[Season],Games[[#This Row],[Season]],Games[Date],"&lt;=" &amp; Games[[#This Row],[Date]])</f>
        <v>21</v>
      </c>
      <c r="D261" s="2" t="s">
        <v>23</v>
      </c>
      <c r="E261" s="2" t="s">
        <v>29</v>
      </c>
      <c r="F261" s="1" t="s">
        <v>70</v>
      </c>
      <c r="G261" s="1" t="s">
        <v>45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6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5</v>
      </c>
      <c r="L261" s="2">
        <f>Games[[#This Row],[OppDaysOff]]-Games[[#This Row],[DaysOff]]</f>
        <v>-5</v>
      </c>
      <c r="M261" s="1">
        <f>MAX(-16, MIN(16, Games[[#This Row],[RestDiff]]*8))</f>
        <v>16</v>
      </c>
      <c r="N261" s="1">
        <f>MAX(-16, MIN(16, Games[[#This Row],[OppRestDiff]]*8))</f>
        <v>-16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1620.5865119530981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1520.383546447141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0.7763574997208168</v>
      </c>
      <c r="R261" s="1">
        <v>70</v>
      </c>
      <c r="S261" s="1">
        <v>79</v>
      </c>
      <c r="T261" s="1">
        <v>0</v>
      </c>
      <c r="U261" s="1">
        <f>Games[[#This Row],[PointsFor]]-Games[[#This Row],[PointsAgainst]]</f>
        <v>-9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0.37468444965983994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-21.191269661741071</v>
      </c>
      <c r="AB261" s="4">
        <f>Games[[#This Row],[PreGmRate]]+Games[[#This Row],[RatingChange]]</f>
        <v>1599.3952422913571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38185</v>
      </c>
      <c r="B262" s="2">
        <v>2004</v>
      </c>
      <c r="C262" s="2">
        <f>COUNTIFS(Games[Team],Games[[#This Row],[Team]],Games[Season],Games[[#This Row],[Season]],Games[Date],"&lt;=" &amp; Games[[#This Row],[Date]])</f>
        <v>19</v>
      </c>
      <c r="D262" s="2" t="s">
        <v>23</v>
      </c>
      <c r="E262" s="2" t="s">
        <v>29</v>
      </c>
      <c r="F262" s="1" t="s">
        <v>73</v>
      </c>
      <c r="G262" s="1" t="s">
        <v>81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1474.6024695414355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1581.4711594278961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0.24997821098401557</v>
      </c>
      <c r="R262" s="1">
        <v>83</v>
      </c>
      <c r="S262" s="1">
        <v>85</v>
      </c>
      <c r="T262" s="1">
        <v>1</v>
      </c>
      <c r="U262" s="1">
        <f>Games[[#This Row],[PointsFor]]-Games[[#This Row],[PointsAgainst]]</f>
        <v>-2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0.22134482883630399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73.150000000000006</v>
      </c>
      <c r="Z262" s="4">
        <f>Games[[#This Row],[K]]*Games[[#This Row],[POMult]]</f>
        <v>73.150000000000006</v>
      </c>
      <c r="AA262" s="4">
        <f>(Games[[#This Row],[Keff]]*Games[[#This Row],[MOVMult]])*(Games[[#This Row],[Result]]-Games[[#This Row],[ExpectedWin%]])</f>
        <v>-4.0474907632320161</v>
      </c>
      <c r="AB262" s="4">
        <f>Games[[#This Row],[PreGmRate]]+Games[[#This Row],[RatingChange]]</f>
        <v>1470.5549787782036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38185</v>
      </c>
      <c r="B263" s="2">
        <v>2004</v>
      </c>
      <c r="C263" s="2">
        <f>COUNTIFS(Games[Team],Games[[#This Row],[Team]],Games[Season],Games[[#This Row],[Season]],Games[Date],"&lt;=" &amp; Games[[#This Row],[Date]])</f>
        <v>20</v>
      </c>
      <c r="D263" s="2" t="s">
        <v>23</v>
      </c>
      <c r="E263" s="2" t="s">
        <v>29</v>
      </c>
      <c r="F263" s="1" t="s">
        <v>81</v>
      </c>
      <c r="G263" s="1" t="s">
        <v>73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1581.4711594278961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1474.6024695414355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0.75002178901598449</v>
      </c>
      <c r="R263" s="1">
        <v>85</v>
      </c>
      <c r="S263" s="1">
        <v>83</v>
      </c>
      <c r="T263" s="1">
        <v>1</v>
      </c>
      <c r="U263" s="1">
        <f>Games[[#This Row],[PointsFor]]-Games[[#This Row],[PointsAgainst]]</f>
        <v>2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0.22134482883630399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</v>
      </c>
      <c r="Z263" s="4">
        <f>Games[[#This Row],[K]]*Games[[#This Row],[POMult]]</f>
        <v>73</v>
      </c>
      <c r="AA263" s="4">
        <f>(Games[[#This Row],[Keff]]*Games[[#This Row],[MOVMult]])*(Games[[#This Row],[Result]]-Games[[#This Row],[ExpectedWin%]])</f>
        <v>4.0391910555835553</v>
      </c>
      <c r="AB263" s="4">
        <f>Games[[#This Row],[PreGmRate]]+Games[[#This Row],[RatingChange]]</f>
        <v>1585.5103504834797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38186</v>
      </c>
      <c r="B264" s="2">
        <v>2004</v>
      </c>
      <c r="C264" s="2">
        <f>COUNTIFS(Games[Team],Games[[#This Row],[Team]],Games[Season],Games[[#This Row],[Season]],Games[Date],"&lt;=" &amp; Games[[#This Row],[Date]])</f>
        <v>21</v>
      </c>
      <c r="D264" s="2" t="s">
        <v>23</v>
      </c>
      <c r="E264" s="2" t="s">
        <v>29</v>
      </c>
      <c r="F264" s="1" t="s">
        <v>84</v>
      </c>
      <c r="G264" s="1" t="s">
        <v>75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1</v>
      </c>
      <c r="L264" s="2">
        <f>Games[[#This Row],[OppDaysOff]]-Games[[#This Row],[DaysOff]]</f>
        <v>-1</v>
      </c>
      <c r="M264" s="1">
        <f>MAX(-16, MIN(16, Games[[#This Row],[RestDiff]]*8))</f>
        <v>8</v>
      </c>
      <c r="N264" s="1">
        <f>MAX(-16, MIN(16, Games[[#This Row],[OppRestDiff]]*8))</f>
        <v>-8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1397.2176675127732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1496.9644617211914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0.27575275786288655</v>
      </c>
      <c r="R264" s="1">
        <v>71</v>
      </c>
      <c r="S264" s="1">
        <v>77</v>
      </c>
      <c r="T264" s="1">
        <v>0</v>
      </c>
      <c r="U264" s="1">
        <f>Games[[#This Row],[PointsFor]]-Games[[#This Row],[PointsAgainst]]</f>
        <v>-6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0.32432233354029366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72.849999999999994</v>
      </c>
      <c r="Z264" s="4">
        <f>Games[[#This Row],[K]]*Games[[#This Row],[POMult]]</f>
        <v>72.849999999999994</v>
      </c>
      <c r="AA264" s="4">
        <f>(Games[[#This Row],[Keff]]*Games[[#This Row],[MOVMult]])*(Games[[#This Row],[Result]]-Games[[#This Row],[ExpectedWin%]])</f>
        <v>-6.5151778707626535</v>
      </c>
      <c r="AB264" s="4">
        <f>Games[[#This Row],[PreGmRate]]+Games[[#This Row],[RatingChange]]</f>
        <v>1390.7024896420105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38186</v>
      </c>
      <c r="B265" s="2">
        <v>2004</v>
      </c>
      <c r="C265" s="2">
        <f>COUNTIFS(Games[Team],Games[[#This Row],[Team]],Games[Season],Games[[#This Row],[Season]],Games[Date],"&lt;=" &amp; Games[[#This Row],[Date]])</f>
        <v>21</v>
      </c>
      <c r="D265" s="2" t="s">
        <v>23</v>
      </c>
      <c r="E265" s="2" t="s">
        <v>29</v>
      </c>
      <c r="F265" s="1" t="s">
        <v>75</v>
      </c>
      <c r="G265" s="1" t="s">
        <v>84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-1</v>
      </c>
      <c r="L265" s="2">
        <f>Games[[#This Row],[OppDaysOff]]-Games[[#This Row],[DaysOff]]</f>
        <v>1</v>
      </c>
      <c r="M265" s="1">
        <f>MAX(-16, MIN(16, Games[[#This Row],[RestDiff]]*8))</f>
        <v>-8</v>
      </c>
      <c r="N265" s="1">
        <f>MAX(-16, MIN(16, Games[[#This Row],[OppRestDiff]]*8))</f>
        <v>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1496.9644617211914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1397.2176675127732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0.72424724213711333</v>
      </c>
      <c r="R265" s="1">
        <v>77</v>
      </c>
      <c r="S265" s="1">
        <v>71</v>
      </c>
      <c r="T265" s="1">
        <v>0</v>
      </c>
      <c r="U265" s="1">
        <f>Games[[#This Row],[PointsFor]]-Games[[#This Row],[PointsAgainst]]</f>
        <v>6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0.32432233354029366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72.849999999999994</v>
      </c>
      <c r="Z265" s="4">
        <f>Games[[#This Row],[K]]*Games[[#This Row],[POMult]]</f>
        <v>72.849999999999994</v>
      </c>
      <c r="AA265" s="4">
        <f>(Games[[#This Row],[Keff]]*Games[[#This Row],[MOVMult]])*(Games[[#This Row],[Result]]-Games[[#This Row],[ExpectedWin%]])</f>
        <v>6.5151778707626562</v>
      </c>
      <c r="AB265" s="4">
        <f>Games[[#This Row],[PreGmRate]]+Games[[#This Row],[RatingChange]]</f>
        <v>1503.4796395919541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38186</v>
      </c>
      <c r="B266" s="2">
        <v>2004</v>
      </c>
      <c r="C266" s="2">
        <f>COUNTIFS(Games[Team],Games[[#This Row],[Team]],Games[Season],Games[[#This Row],[Season]],Games[Date],"&lt;=" &amp; Games[[#This Row],[Date]])</f>
        <v>19</v>
      </c>
      <c r="D266" s="2" t="s">
        <v>23</v>
      </c>
      <c r="E266" s="2" t="s">
        <v>29</v>
      </c>
      <c r="F266" s="1" t="s">
        <v>64</v>
      </c>
      <c r="G266" s="1" t="s">
        <v>66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1494.0572606770736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1455.490353551492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0.43498667759300919</v>
      </c>
      <c r="R266" s="1">
        <v>58</v>
      </c>
      <c r="S266" s="1">
        <v>75</v>
      </c>
      <c r="T266" s="1">
        <v>0</v>
      </c>
      <c r="U266" s="1">
        <f>Games[[#This Row],[PointsFor]]-Games[[#This Row],[PointsAgainst]]</f>
        <v>-17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0.51586271135017003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73.150000000000006</v>
      </c>
      <c r="Z266" s="4">
        <f>Games[[#This Row],[K]]*Games[[#This Row],[POMult]]</f>
        <v>73.150000000000006</v>
      </c>
      <c r="AA266" s="4">
        <f>(Games[[#This Row],[Keff]]*Games[[#This Row],[MOVMult]])*(Games[[#This Row],[Result]]-Games[[#This Row],[ExpectedWin%]])</f>
        <v>-16.414377715051888</v>
      </c>
      <c r="AB266" s="4">
        <f>Games[[#This Row],[PreGmRate]]+Games[[#This Row],[RatingChange]]</f>
        <v>1477.6428829620218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38186</v>
      </c>
      <c r="B267" s="2">
        <v>2004</v>
      </c>
      <c r="C267" s="2">
        <f>COUNTIFS(Games[Team],Games[[#This Row],[Team]],Games[Season],Games[[#This Row],[Season]],Games[Date],"&lt;=" &amp; Games[[#This Row],[Date]])</f>
        <v>21</v>
      </c>
      <c r="D267" s="2" t="s">
        <v>23</v>
      </c>
      <c r="E267" s="2" t="s">
        <v>29</v>
      </c>
      <c r="F267" s="1" t="s">
        <v>66</v>
      </c>
      <c r="G267" s="1" t="s">
        <v>64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1455.490353551492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1494.0572606770736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0.56501332240699087</v>
      </c>
      <c r="R267" s="1">
        <v>75</v>
      </c>
      <c r="S267" s="1">
        <v>58</v>
      </c>
      <c r="T267" s="1">
        <v>0</v>
      </c>
      <c r="U267" s="1">
        <f>Games[[#This Row],[PointsFor]]-Games[[#This Row],[PointsAgainst]]</f>
        <v>17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0.51586271135017003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72.849999999999994</v>
      </c>
      <c r="Z267" s="4">
        <f>Games[[#This Row],[K]]*Games[[#This Row],[POMult]]</f>
        <v>72.849999999999994</v>
      </c>
      <c r="AA267" s="4">
        <f>(Games[[#This Row],[Keff]]*Games[[#This Row],[MOVMult]])*(Games[[#This Row],[Result]]-Games[[#This Row],[ExpectedWin%]])</f>
        <v>16.347059692980579</v>
      </c>
      <c r="AB267" s="4">
        <f>Games[[#This Row],[PreGmRate]]+Games[[#This Row],[RatingChange]]</f>
        <v>1471.8374132444726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38186</v>
      </c>
      <c r="B268" s="2">
        <v>2004</v>
      </c>
      <c r="C268" s="2">
        <f>COUNTIFS(Games[Team],Games[[#This Row],[Team]],Games[Season],Games[[#This Row],[Season]],Games[Date],"&lt;=" &amp; Games[[#This Row],[Date]])</f>
        <v>21</v>
      </c>
      <c r="D268" s="2" t="s">
        <v>23</v>
      </c>
      <c r="E268" s="2" t="s">
        <v>29</v>
      </c>
      <c r="F268" s="1" t="s">
        <v>77</v>
      </c>
      <c r="G268" s="1" t="s">
        <v>44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68" s="2">
        <f>Games[[#This Row],[DaysOff]]-Games[[#This Row],[OppDaysOff]]</f>
        <v>-4</v>
      </c>
      <c r="L268" s="2">
        <f>Games[[#This Row],[OppDaysOff]]-Games[[#This Row],[DaysOff]]</f>
        <v>4</v>
      </c>
      <c r="M268" s="1">
        <f>MAX(-16, MIN(16, Games[[#This Row],[RestDiff]]*8))</f>
        <v>-16</v>
      </c>
      <c r="N268" s="1">
        <f>MAX(-16, MIN(16, Games[[#This Row],[OppRestDiff]]*8))</f>
        <v>16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1498.7143853166253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1458.837691316611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0.39216972451104704</v>
      </c>
      <c r="R268" s="1">
        <v>63</v>
      </c>
      <c r="S268" s="1">
        <v>60</v>
      </c>
      <c r="T268" s="1">
        <v>0</v>
      </c>
      <c r="U268" s="1">
        <f>Games[[#This Row],[PointsFor]]-Games[[#This Row],[PointsAgainst]]</f>
        <v>3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0.2808506902368193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72.849999999999994</v>
      </c>
      <c r="Z268" s="4">
        <f>Games[[#This Row],[K]]*Games[[#This Row],[POMult]]</f>
        <v>72.849999999999994</v>
      </c>
      <c r="AA268" s="4">
        <f>(Games[[#This Row],[Keff]]*Games[[#This Row],[MOVMult]])*(Games[[#This Row],[Result]]-Games[[#This Row],[ExpectedWin%]])</f>
        <v>12.436190893644632</v>
      </c>
      <c r="AB268" s="4">
        <f>Games[[#This Row],[PreGmRate]]+Games[[#This Row],[RatingChange]]</f>
        <v>1511.1505762102699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38186</v>
      </c>
      <c r="B269" s="2">
        <v>2004</v>
      </c>
      <c r="C269" s="2">
        <f>COUNTIFS(Games[Team],Games[[#This Row],[Team]],Games[Season],Games[[#This Row],[Season]],Games[Date],"&lt;=" &amp; Games[[#This Row],[Date]])</f>
        <v>20</v>
      </c>
      <c r="D269" s="2" t="s">
        <v>23</v>
      </c>
      <c r="E269" s="2" t="s">
        <v>29</v>
      </c>
      <c r="F269" s="1" t="s">
        <v>44</v>
      </c>
      <c r="G269" s="1" t="s">
        <v>77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6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9" s="2">
        <f>Games[[#This Row],[DaysOff]]-Games[[#This Row],[OppDaysOff]]</f>
        <v>4</v>
      </c>
      <c r="L269" s="2">
        <f>Games[[#This Row],[OppDaysOff]]-Games[[#This Row],[DaysOff]]</f>
        <v>-4</v>
      </c>
      <c r="M269" s="1">
        <f>MAX(-16, MIN(16, Games[[#This Row],[RestDiff]]*8))</f>
        <v>16</v>
      </c>
      <c r="N269" s="1">
        <f>MAX(-16, MIN(16, Games[[#This Row],[OppRestDiff]]*8))</f>
        <v>-16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1458.837691316611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1498.7143853166253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0.60783027548895296</v>
      </c>
      <c r="R269" s="1">
        <v>60</v>
      </c>
      <c r="S269" s="1">
        <v>63</v>
      </c>
      <c r="T269" s="1">
        <v>0</v>
      </c>
      <c r="U269" s="1">
        <f>Games[[#This Row],[PointsFor]]-Games[[#This Row],[PointsAgainst]]</f>
        <v>-3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0.2808506902368193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73</v>
      </c>
      <c r="Z269" s="4">
        <f>Games[[#This Row],[K]]*Games[[#This Row],[POMult]]</f>
        <v>73</v>
      </c>
      <c r="AA269" s="4">
        <f>(Games[[#This Row],[Keff]]*Games[[#This Row],[MOVMult]])*(Games[[#This Row],[Result]]-Games[[#This Row],[ExpectedWin%]])</f>
        <v>-12.461797326507318</v>
      </c>
      <c r="AB269" s="4">
        <f>Games[[#This Row],[PreGmRate]]+Games[[#This Row],[RatingChange]]</f>
        <v>1446.3758939901036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38186</v>
      </c>
      <c r="B270" s="2">
        <v>2004</v>
      </c>
      <c r="C270" s="2">
        <f>COUNTIFS(Games[Team],Games[[#This Row],[Team]],Games[Season],Games[[#This Row],[Season]],Games[Date],"&lt;=" &amp; Games[[#This Row],[Date]])</f>
        <v>20</v>
      </c>
      <c r="D270" s="2" t="s">
        <v>23</v>
      </c>
      <c r="E270" s="2" t="s">
        <v>29</v>
      </c>
      <c r="F270" s="1" t="s">
        <v>73</v>
      </c>
      <c r="G270" s="1" t="s">
        <v>45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1470.5549787782036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1541.6184494712604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0.29057004728196612</v>
      </c>
      <c r="R270" s="1">
        <v>71</v>
      </c>
      <c r="S270" s="1">
        <v>81</v>
      </c>
      <c r="T270" s="1">
        <v>0</v>
      </c>
      <c r="U270" s="1">
        <f>Games[[#This Row],[PointsFor]]-Games[[#This Row],[PointsAgainst]]</f>
        <v>-10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0.39947307975256596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</v>
      </c>
      <c r="Z270" s="4">
        <f>Games[[#This Row],[K]]*Games[[#This Row],[POMult]]</f>
        <v>73</v>
      </c>
      <c r="AA270" s="4">
        <f>(Games[[#This Row],[Keff]]*Games[[#This Row],[MOVMult]])*(Games[[#This Row],[Result]]-Games[[#This Row],[ExpectedWin%]])</f>
        <v>-8.473468552025027</v>
      </c>
      <c r="AB270" s="4">
        <f>Games[[#This Row],[PreGmRate]]+Games[[#This Row],[RatingChange]]</f>
        <v>1462.0815102261786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38186</v>
      </c>
      <c r="B271" s="2">
        <v>2004</v>
      </c>
      <c r="C271" s="2">
        <f>COUNTIFS(Games[Team],Games[[#This Row],[Team]],Games[Season],Games[[#This Row],[Season]],Games[Date],"&lt;=" &amp; Games[[#This Row],[Date]])</f>
        <v>21</v>
      </c>
      <c r="D271" s="2" t="s">
        <v>23</v>
      </c>
      <c r="E271" s="2" t="s">
        <v>29</v>
      </c>
      <c r="F271" s="1" t="s">
        <v>45</v>
      </c>
      <c r="G271" s="1" t="s">
        <v>73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1541.6184494712604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1470.5549787782036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0.70942995271803388</v>
      </c>
      <c r="R271" s="1">
        <v>81</v>
      </c>
      <c r="S271" s="1">
        <v>71</v>
      </c>
      <c r="T271" s="1">
        <v>0</v>
      </c>
      <c r="U271" s="1">
        <f>Games[[#This Row],[PointsFor]]-Games[[#This Row],[PointsAgainst]]</f>
        <v>10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0.39947307975256596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72.849999999999994</v>
      </c>
      <c r="Z271" s="4">
        <f>Games[[#This Row],[K]]*Games[[#This Row],[POMult]]</f>
        <v>72.849999999999994</v>
      </c>
      <c r="AA271" s="4">
        <f>(Games[[#This Row],[Keff]]*Games[[#This Row],[MOVMult]])*(Games[[#This Row],[Result]]-Games[[#This Row],[ExpectedWin%]])</f>
        <v>8.4560573152742897</v>
      </c>
      <c r="AB271" s="4">
        <f>Games[[#This Row],[PreGmRate]]+Games[[#This Row],[RatingChange]]</f>
        <v>1550.0745067865348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38187</v>
      </c>
      <c r="B272" s="2">
        <v>2004</v>
      </c>
      <c r="C272" s="2">
        <f>COUNTIFS(Games[Team],Games[[#This Row],[Team]],Games[Season],Games[[#This Row],[Season]],Games[Date],"&lt;=" &amp; Games[[#This Row],[Date]])</f>
        <v>22</v>
      </c>
      <c r="D272" s="2" t="s">
        <v>23</v>
      </c>
      <c r="E272" s="2" t="s">
        <v>29</v>
      </c>
      <c r="F272" s="1" t="s">
        <v>79</v>
      </c>
      <c r="G272" s="1" t="s">
        <v>70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2" s="2">
        <f>Games[[#This Row],[DaysOff]]-Games[[#This Row],[OppDaysOff]]</f>
        <v>1</v>
      </c>
      <c r="L272" s="2">
        <f>Games[[#This Row],[OppDaysOff]]-Games[[#This Row],[DaysOff]]</f>
        <v>-1</v>
      </c>
      <c r="M272" s="1">
        <f>MAX(-16, MIN(16, Games[[#This Row],[RestDiff]]*8))</f>
        <v>8</v>
      </c>
      <c r="N272" s="1">
        <f>MAX(-16, MIN(16, Games[[#This Row],[OppRestDiff]]*8))</f>
        <v>-8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1519.8324762461291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1599.3952422913571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0.29955043509728718</v>
      </c>
      <c r="R272" s="1">
        <v>51</v>
      </c>
      <c r="S272" s="1">
        <v>82</v>
      </c>
      <c r="T272" s="1">
        <v>0</v>
      </c>
      <c r="U272" s="1">
        <f>Games[[#This Row],[PointsFor]]-Games[[#This Row],[PointsAgainst]]</f>
        <v>-31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0.67099596162585218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72.7</v>
      </c>
      <c r="Z272" s="4">
        <f>Games[[#This Row],[K]]*Games[[#This Row],[POMult]]</f>
        <v>72.7</v>
      </c>
      <c r="AA272" s="4">
        <f>(Games[[#This Row],[Keff]]*Games[[#This Row],[MOVMult]])*(Games[[#This Row],[Result]]-Games[[#This Row],[ExpectedWin%]])</f>
        <v>-14.61249151483284</v>
      </c>
      <c r="AB272" s="4">
        <f>Games[[#This Row],[PreGmRate]]+Games[[#This Row],[RatingChange]]</f>
        <v>1505.2199847312963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38187</v>
      </c>
      <c r="B273" s="2">
        <v>2004</v>
      </c>
      <c r="C273" s="2">
        <f>COUNTIFS(Games[Team],Games[[#This Row],[Team]],Games[Season],Games[[#This Row],[Season]],Games[Date],"&lt;=" &amp; Games[[#This Row],[Date]])</f>
        <v>22</v>
      </c>
      <c r="D273" s="2" t="s">
        <v>23</v>
      </c>
      <c r="E273" s="2" t="s">
        <v>29</v>
      </c>
      <c r="F273" s="1" t="s">
        <v>70</v>
      </c>
      <c r="G273" s="1" t="s">
        <v>79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3" s="2">
        <f>Games[[#This Row],[DaysOff]]-Games[[#This Row],[OppDaysOff]]</f>
        <v>-1</v>
      </c>
      <c r="L273" s="2">
        <f>Games[[#This Row],[OppDaysOff]]-Games[[#This Row],[DaysOff]]</f>
        <v>1</v>
      </c>
      <c r="M273" s="1">
        <f>MAX(-16, MIN(16, Games[[#This Row],[RestDiff]]*8))</f>
        <v>-8</v>
      </c>
      <c r="N273" s="1">
        <f>MAX(-16, MIN(16, Games[[#This Row],[OppRestDiff]]*8))</f>
        <v>8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1599.3952422913571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1519.8324762461291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0.70044956490271282</v>
      </c>
      <c r="R273" s="1">
        <v>82</v>
      </c>
      <c r="S273" s="1">
        <v>51</v>
      </c>
      <c r="T273" s="1">
        <v>0</v>
      </c>
      <c r="U273" s="1">
        <f>Games[[#This Row],[PointsFor]]-Games[[#This Row],[PointsAgainst]]</f>
        <v>31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0.67099596162585218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72.7</v>
      </c>
      <c r="Z273" s="4">
        <f>Games[[#This Row],[K]]*Games[[#This Row],[POMult]]</f>
        <v>72.7</v>
      </c>
      <c r="AA273" s="4">
        <f>(Games[[#This Row],[Keff]]*Games[[#This Row],[MOVMult]])*(Games[[#This Row],[Result]]-Games[[#This Row],[ExpectedWin%]])</f>
        <v>14.61249151483284</v>
      </c>
      <c r="AB273" s="4">
        <f>Games[[#This Row],[PreGmRate]]+Games[[#This Row],[RatingChange]]</f>
        <v>1614.0077338061899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38188</v>
      </c>
      <c r="B274" s="2">
        <v>2004</v>
      </c>
      <c r="C274" s="2">
        <f>COUNTIFS(Games[Team],Games[[#This Row],[Team]],Games[Season],Games[[#This Row],[Season]],Games[Date],"&lt;=" &amp; Games[[#This Row],[Date]])</f>
        <v>22</v>
      </c>
      <c r="D274" s="2" t="s">
        <v>23</v>
      </c>
      <c r="E274" s="2" t="s">
        <v>29</v>
      </c>
      <c r="F274" s="1" t="s">
        <v>66</v>
      </c>
      <c r="G274" s="1" t="s">
        <v>64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1471.8374132444726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1477.6428829620218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0.37356293119306694</v>
      </c>
      <c r="R274" s="1">
        <v>80</v>
      </c>
      <c r="S274" s="1">
        <v>74</v>
      </c>
      <c r="T274" s="1">
        <v>1</v>
      </c>
      <c r="U274" s="1">
        <f>Games[[#This Row],[PointsFor]]-Games[[#This Row],[PointsAgainst]]</f>
        <v>6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0.31463053660482954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72.7</v>
      </c>
      <c r="Z274" s="4">
        <f>Games[[#This Row],[K]]*Games[[#This Row],[POMult]]</f>
        <v>72.7</v>
      </c>
      <c r="AA274" s="4">
        <f>(Games[[#This Row],[Keff]]*Games[[#This Row],[MOVMult]])*(Games[[#This Row],[Result]]-Games[[#This Row],[ExpectedWin%]])</f>
        <v>14.328896001543013</v>
      </c>
      <c r="AB274" s="4">
        <f>Games[[#This Row],[PreGmRate]]+Games[[#This Row],[RatingChange]]</f>
        <v>1486.1663092460155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38188</v>
      </c>
      <c r="B275" s="2">
        <v>2004</v>
      </c>
      <c r="C275" s="2">
        <f>COUNTIFS(Games[Team],Games[[#This Row],[Team]],Games[Season],Games[[#This Row],[Season]],Games[Date],"&lt;=" &amp; Games[[#This Row],[Date]])</f>
        <v>20</v>
      </c>
      <c r="D275" s="2" t="s">
        <v>23</v>
      </c>
      <c r="E275" s="2" t="s">
        <v>29</v>
      </c>
      <c r="F275" s="1" t="s">
        <v>64</v>
      </c>
      <c r="G275" s="1" t="s">
        <v>66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1477.6428829620218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1471.8374132444726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0.62643706880693306</v>
      </c>
      <c r="R275" s="1">
        <v>74</v>
      </c>
      <c r="S275" s="1">
        <v>80</v>
      </c>
      <c r="T275" s="1">
        <v>1</v>
      </c>
      <c r="U275" s="1">
        <f>Games[[#This Row],[PointsFor]]-Games[[#This Row],[PointsAgainst]]</f>
        <v>-6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0.31463053660482954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73</v>
      </c>
      <c r="Z275" s="4">
        <f>Games[[#This Row],[K]]*Games[[#This Row],[POMult]]</f>
        <v>73</v>
      </c>
      <c r="AA275" s="4">
        <f>(Games[[#This Row],[Keff]]*Games[[#This Row],[MOVMult]])*(Games[[#This Row],[Result]]-Games[[#This Row],[ExpectedWin%]])</f>
        <v>-14.388024870875375</v>
      </c>
      <c r="AB275" s="4">
        <f>Games[[#This Row],[PreGmRate]]+Games[[#This Row],[RatingChange]]</f>
        <v>1463.2548580911464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38189</v>
      </c>
      <c r="B276" s="2">
        <v>2004</v>
      </c>
      <c r="C276" s="2">
        <f>COUNTIFS(Games[Team],Games[[#This Row],[Team]],Games[Season],Games[[#This Row],[Season]],Games[Date],"&lt;=" &amp; Games[[#This Row],[Date]])</f>
        <v>23</v>
      </c>
      <c r="D276" s="2" t="s">
        <v>23</v>
      </c>
      <c r="E276" s="2" t="s">
        <v>29</v>
      </c>
      <c r="F276" s="1" t="s">
        <v>86</v>
      </c>
      <c r="G276" s="1" t="s">
        <v>75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6" s="2">
        <f>Games[[#This Row],[DaysOff]]-Games[[#This Row],[OppDaysOff]]</f>
        <v>1</v>
      </c>
      <c r="L276" s="2">
        <f>Games[[#This Row],[OppDaysOff]]-Games[[#This Row],[DaysOff]]</f>
        <v>-1</v>
      </c>
      <c r="M276" s="1">
        <f>MAX(-16, MIN(16, Games[[#This Row],[RestDiff]]*8))</f>
        <v>8</v>
      </c>
      <c r="N276" s="1">
        <f>MAX(-16, MIN(16, Games[[#This Row],[OppRestDiff]]*8))</f>
        <v>-8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1490.5494022411192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1503.4796395919541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0.38559377486802537</v>
      </c>
      <c r="R276" s="1">
        <v>78</v>
      </c>
      <c r="S276" s="1">
        <v>68</v>
      </c>
      <c r="T276" s="1">
        <v>0</v>
      </c>
      <c r="U276" s="1">
        <f>Games[[#This Row],[PointsFor]]-Games[[#This Row],[PointsAgainst]]</f>
        <v>10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0.41861899684167458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18.66001363318788</v>
      </c>
      <c r="AB276" s="4">
        <f>Games[[#This Row],[PreGmRate]]+Games[[#This Row],[RatingChange]]</f>
        <v>1509.2094158743071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38189</v>
      </c>
      <c r="B277" s="2">
        <v>2004</v>
      </c>
      <c r="C277" s="2">
        <f>COUNTIFS(Games[Team],Games[[#This Row],[Team]],Games[Season],Games[[#This Row],[Season]],Games[Date],"&lt;=" &amp; Games[[#This Row],[Date]])</f>
        <v>22</v>
      </c>
      <c r="D277" s="2" t="s">
        <v>23</v>
      </c>
      <c r="E277" s="2" t="s">
        <v>29</v>
      </c>
      <c r="F277" s="1" t="s">
        <v>75</v>
      </c>
      <c r="G277" s="1" t="s">
        <v>86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7" s="2">
        <f>Games[[#This Row],[DaysOff]]-Games[[#This Row],[OppDaysOff]]</f>
        <v>-1</v>
      </c>
      <c r="L277" s="2">
        <f>Games[[#This Row],[OppDaysOff]]-Games[[#This Row],[DaysOff]]</f>
        <v>1</v>
      </c>
      <c r="M277" s="1">
        <f>MAX(-16, MIN(16, Games[[#This Row],[RestDiff]]*8))</f>
        <v>-8</v>
      </c>
      <c r="N277" s="1">
        <f>MAX(-16, MIN(16, Games[[#This Row],[OppRestDiff]]*8))</f>
        <v>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1503.4796395919541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1490.5494022411192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0.61440622513197463</v>
      </c>
      <c r="R277" s="1">
        <v>68</v>
      </c>
      <c r="S277" s="1">
        <v>78</v>
      </c>
      <c r="T277" s="1">
        <v>0</v>
      </c>
      <c r="U277" s="1">
        <f>Games[[#This Row],[PointsFor]]-Games[[#This Row],[PointsAgainst]]</f>
        <v>-10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0.41861899684167458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72.7</v>
      </c>
      <c r="Z277" s="4">
        <f>Games[[#This Row],[K]]*Games[[#This Row],[POMult]]</f>
        <v>72.7</v>
      </c>
      <c r="AA277" s="4">
        <f>(Games[[#This Row],[Keff]]*Games[[#This Row],[MOVMult]])*(Games[[#This Row],[Result]]-Games[[#This Row],[ExpectedWin%]])</f>
        <v>-18.698593950830585</v>
      </c>
      <c r="AB277" s="4">
        <f>Games[[#This Row],[PreGmRate]]+Games[[#This Row],[RatingChange]]</f>
        <v>1484.7810456411235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38189</v>
      </c>
      <c r="B278" s="2">
        <v>2004</v>
      </c>
      <c r="C278" s="2">
        <f>COUNTIFS(Games[Team],Games[[#This Row],[Team]],Games[Season],Games[[#This Row],[Season]],Games[Date],"&lt;=" &amp; Games[[#This Row],[Date]])</f>
        <v>21</v>
      </c>
      <c r="D278" s="2" t="s">
        <v>23</v>
      </c>
      <c r="E278" s="2" t="s">
        <v>29</v>
      </c>
      <c r="F278" s="1" t="s">
        <v>73</v>
      </c>
      <c r="G278" s="1" t="s">
        <v>70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1</v>
      </c>
      <c r="L278" s="2">
        <f>Games[[#This Row],[OppDaysOff]]-Games[[#This Row],[DaysOff]]</f>
        <v>-1</v>
      </c>
      <c r="M278" s="1">
        <f>MAX(-16, MIN(16, Games[[#This Row],[RestDiff]]*8))</f>
        <v>8</v>
      </c>
      <c r="N278" s="1">
        <f>MAX(-16, MIN(16, Games[[#This Row],[OppRestDiff]]*8))</f>
        <v>-8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1462.0815102261786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1614.0077338061899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0.21994325085472535</v>
      </c>
      <c r="R278" s="1">
        <v>76</v>
      </c>
      <c r="S278" s="1">
        <v>96</v>
      </c>
      <c r="T278" s="1">
        <v>0</v>
      </c>
      <c r="U278" s="1">
        <f>Games[[#This Row],[PointsFor]]-Games[[#This Row],[PointsAgainst]]</f>
        <v>-20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0.51028289761536594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72.849999999999994</v>
      </c>
      <c r="Z278" s="4">
        <f>Games[[#This Row],[K]]*Games[[#This Row],[POMult]]</f>
        <v>72.849999999999994</v>
      </c>
      <c r="AA278" s="4">
        <f>(Games[[#This Row],[Keff]]*Games[[#This Row],[MOVMult]])*(Games[[#This Row],[Result]]-Games[[#This Row],[ExpectedWin%]])</f>
        <v>-8.1761944011641923</v>
      </c>
      <c r="AB278" s="4">
        <f>Games[[#This Row],[PreGmRate]]+Games[[#This Row],[RatingChange]]</f>
        <v>1453.9053158250144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38189</v>
      </c>
      <c r="B279" s="2">
        <v>2004</v>
      </c>
      <c r="C279" s="2">
        <f>COUNTIFS(Games[Team],Games[[#This Row],[Team]],Games[Season],Games[[#This Row],[Season]],Games[Date],"&lt;=" &amp; Games[[#This Row],[Date]])</f>
        <v>23</v>
      </c>
      <c r="D279" s="2" t="s">
        <v>23</v>
      </c>
      <c r="E279" s="2" t="s">
        <v>29</v>
      </c>
      <c r="F279" s="1" t="s">
        <v>70</v>
      </c>
      <c r="G279" s="1" t="s">
        <v>73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9" s="2">
        <f>Games[[#This Row],[DaysOff]]-Games[[#This Row],[OppDaysOff]]</f>
        <v>-1</v>
      </c>
      <c r="L279" s="2">
        <f>Games[[#This Row],[OppDaysOff]]-Games[[#This Row],[DaysOff]]</f>
        <v>1</v>
      </c>
      <c r="M279" s="1">
        <f>MAX(-16, MIN(16, Games[[#This Row],[RestDiff]]*8))</f>
        <v>-8</v>
      </c>
      <c r="N279" s="1">
        <f>MAX(-16, MIN(16, Games[[#This Row],[OppRestDiff]]*8))</f>
        <v>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1614.0077338061899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1462.0815102261786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0.78005674914527467</v>
      </c>
      <c r="R279" s="1">
        <v>96</v>
      </c>
      <c r="S279" s="1">
        <v>76</v>
      </c>
      <c r="T279" s="1">
        <v>0</v>
      </c>
      <c r="U279" s="1">
        <f>Games[[#This Row],[PointsFor]]-Games[[#This Row],[PointsAgainst]]</f>
        <v>20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0.51028289761536594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8.1425244173570643</v>
      </c>
      <c r="AB279" s="4">
        <f>Games[[#This Row],[PreGmRate]]+Games[[#This Row],[RatingChange]]</f>
        <v>1622.1502582235469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38189</v>
      </c>
      <c r="B280" s="2">
        <v>2004</v>
      </c>
      <c r="C280" s="2">
        <f>COUNTIFS(Games[Team],Games[[#This Row],[Team]],Games[Season],Games[[#This Row],[Season]],Games[Date],"&lt;=" &amp; Games[[#This Row],[Date]])</f>
        <v>22</v>
      </c>
      <c r="D280" s="2" t="s">
        <v>23</v>
      </c>
      <c r="E280" s="2" t="s">
        <v>29</v>
      </c>
      <c r="F280" s="1" t="s">
        <v>84</v>
      </c>
      <c r="G280" s="1" t="s">
        <v>44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1390.7024896420105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1446.3758939901036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0.30916524542097623</v>
      </c>
      <c r="R280" s="1">
        <v>55</v>
      </c>
      <c r="S280" s="1">
        <v>87</v>
      </c>
      <c r="T280" s="1">
        <v>0</v>
      </c>
      <c r="U280" s="1">
        <f>Games[[#This Row],[PointsFor]]-Games[[#This Row],[PointsAgainst]]</f>
        <v>-32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0.69509527863318121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72.7</v>
      </c>
      <c r="Z280" s="4">
        <f>Games[[#This Row],[K]]*Games[[#This Row],[POMult]]</f>
        <v>72.7</v>
      </c>
      <c r="AA280" s="4">
        <f>(Games[[#This Row],[Keff]]*Games[[#This Row],[MOVMult]])*(Games[[#This Row],[Result]]-Games[[#This Row],[ExpectedWin%]])</f>
        <v>-15.623179285177144</v>
      </c>
      <c r="AB280" s="4">
        <f>Games[[#This Row],[PreGmRate]]+Games[[#This Row],[RatingChange]]</f>
        <v>1375.0793103568333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38189</v>
      </c>
      <c r="B281" s="2">
        <v>2004</v>
      </c>
      <c r="C281" s="2">
        <f>COUNTIFS(Games[Team],Games[[#This Row],[Team]],Games[Season],Games[[#This Row],[Season]],Games[Date],"&lt;=" &amp; Games[[#This Row],[Date]])</f>
        <v>21</v>
      </c>
      <c r="D281" s="2" t="s">
        <v>23</v>
      </c>
      <c r="E281" s="2" t="s">
        <v>29</v>
      </c>
      <c r="F281" s="1" t="s">
        <v>44</v>
      </c>
      <c r="G281" s="1" t="s">
        <v>84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1446.3758939901036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1390.7024896420105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0.69083475457902377</v>
      </c>
      <c r="R281" s="1">
        <v>87</v>
      </c>
      <c r="S281" s="1">
        <v>55</v>
      </c>
      <c r="T281" s="1">
        <v>0</v>
      </c>
      <c r="U281" s="1">
        <f>Games[[#This Row],[PointsFor]]-Games[[#This Row],[PointsAgainst]]</f>
        <v>32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0.69509527863318121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72.849999999999994</v>
      </c>
      <c r="Z281" s="4">
        <f>Games[[#This Row],[K]]*Games[[#This Row],[POMult]]</f>
        <v>72.849999999999994</v>
      </c>
      <c r="AA281" s="4">
        <f>(Games[[#This Row],[Keff]]*Games[[#This Row],[MOVMult]])*(Games[[#This Row],[Result]]-Games[[#This Row],[ExpectedWin%]])</f>
        <v>15.655414180538582</v>
      </c>
      <c r="AB281" s="4">
        <f>Games[[#This Row],[PreGmRate]]+Games[[#This Row],[RatingChange]]</f>
        <v>1462.0313081706422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38190</v>
      </c>
      <c r="B282" s="2">
        <v>2004</v>
      </c>
      <c r="C282" s="2">
        <f>COUNTIFS(Games[Team],Games[[#This Row],[Team]],Games[Season],Games[[#This Row],[Season]],Games[Date],"&lt;=" &amp; Games[[#This Row],[Date]])</f>
        <v>22</v>
      </c>
      <c r="D282" s="2" t="s">
        <v>23</v>
      </c>
      <c r="E282" s="2" t="s">
        <v>29</v>
      </c>
      <c r="F282" s="1" t="s">
        <v>77</v>
      </c>
      <c r="G282" s="1" t="s">
        <v>86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2" s="2">
        <f>Games[[#This Row],[DaysOff]]-Games[[#This Row],[OppDaysOff]]</f>
        <v>3</v>
      </c>
      <c r="L282" s="2">
        <f>Games[[#This Row],[OppDaysOff]]-Games[[#This Row],[DaysOff]]</f>
        <v>-3</v>
      </c>
      <c r="M282" s="1">
        <f>MAX(-16, MIN(16, Games[[#This Row],[RestDiff]]*8))</f>
        <v>16</v>
      </c>
      <c r="N282" s="1">
        <f>MAX(-16, MIN(16, Games[[#This Row],[OppRestDiff]]*8))</f>
        <v>-16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1511.1505762102699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1509.2094158743071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0.42845393729252801</v>
      </c>
      <c r="R282" s="1">
        <v>68</v>
      </c>
      <c r="S282" s="1">
        <v>52</v>
      </c>
      <c r="T282" s="1">
        <v>0</v>
      </c>
      <c r="U282" s="1">
        <f>Games[[#This Row],[PointsFor]]-Games[[#This Row],[PointsAgainst]]</f>
        <v>16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0.5169497969121869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72.7</v>
      </c>
      <c r="Z282" s="4">
        <f>Games[[#This Row],[K]]*Games[[#This Row],[POMult]]</f>
        <v>72.7</v>
      </c>
      <c r="AA282" s="4">
        <f>(Games[[#This Row],[Keff]]*Games[[#This Row],[MOVMult]])*(Games[[#This Row],[Result]]-Games[[#This Row],[ExpectedWin%]])</f>
        <v>21.479987149796123</v>
      </c>
      <c r="AB282" s="4">
        <f>Games[[#This Row],[PreGmRate]]+Games[[#This Row],[RatingChange]]</f>
        <v>1532.6305633600662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38190</v>
      </c>
      <c r="B283" s="2">
        <v>2004</v>
      </c>
      <c r="C283" s="2">
        <f>COUNTIFS(Games[Team],Games[[#This Row],[Team]],Games[Season],Games[[#This Row],[Season]],Games[Date],"&lt;=" &amp; Games[[#This Row],[Date]])</f>
        <v>24</v>
      </c>
      <c r="D283" s="2" t="s">
        <v>23</v>
      </c>
      <c r="E283" s="2" t="s">
        <v>29</v>
      </c>
      <c r="F283" s="1" t="s">
        <v>86</v>
      </c>
      <c r="G283" s="1" t="s">
        <v>77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3" s="2">
        <f>Games[[#This Row],[DaysOff]]-Games[[#This Row],[OppDaysOff]]</f>
        <v>-3</v>
      </c>
      <c r="L283" s="2">
        <f>Games[[#This Row],[OppDaysOff]]-Games[[#This Row],[DaysOff]]</f>
        <v>3</v>
      </c>
      <c r="M283" s="1">
        <f>MAX(-16, MIN(16, Games[[#This Row],[RestDiff]]*8))</f>
        <v>-16</v>
      </c>
      <c r="N283" s="1">
        <f>MAX(-16, MIN(16, Games[[#This Row],[OppRestDiff]]*8))</f>
        <v>16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1509.2094158743071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1511.1505762102699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0.57154606270747199</v>
      </c>
      <c r="R283" s="1">
        <v>52</v>
      </c>
      <c r="S283" s="1">
        <v>68</v>
      </c>
      <c r="T283" s="1">
        <v>0</v>
      </c>
      <c r="U283" s="1">
        <f>Games[[#This Row],[PointsFor]]-Games[[#This Row],[PointsAgainst]]</f>
        <v>-16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0.5169497969121869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72.400000000000006</v>
      </c>
      <c r="Z283" s="4">
        <f>Games[[#This Row],[K]]*Games[[#This Row],[POMult]]</f>
        <v>72.400000000000006</v>
      </c>
      <c r="AA283" s="4">
        <f>(Games[[#This Row],[Keff]]*Games[[#This Row],[MOVMult]])*(Games[[#This Row],[Result]]-Games[[#This Row],[ExpectedWin%]])</f>
        <v>-21.391348963483349</v>
      </c>
      <c r="AB283" s="4">
        <f>Games[[#This Row],[PreGmRate]]+Games[[#This Row],[RatingChange]]</f>
        <v>1487.8180669108237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38190</v>
      </c>
      <c r="B284" s="2">
        <v>2004</v>
      </c>
      <c r="C284" s="2">
        <f>COUNTIFS(Games[Team],Games[[#This Row],[Team]],Games[Season],Games[[#This Row],[Season]],Games[Date],"&lt;=" &amp; Games[[#This Row],[Date]])</f>
        <v>22</v>
      </c>
      <c r="D284" s="2" t="s">
        <v>23</v>
      </c>
      <c r="E284" s="2" t="s">
        <v>29</v>
      </c>
      <c r="F284" s="1" t="s">
        <v>44</v>
      </c>
      <c r="G284" s="1" t="s">
        <v>45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4" s="2">
        <f>Games[[#This Row],[DaysOff]]-Games[[#This Row],[OppDaysOff]]</f>
        <v>-3</v>
      </c>
      <c r="L284" s="2">
        <f>Games[[#This Row],[OppDaysOff]]-Games[[#This Row],[DaysOff]]</f>
        <v>3</v>
      </c>
      <c r="M284" s="1">
        <f>MAX(-16, MIN(16, Games[[#This Row],[RestDiff]]*8))</f>
        <v>-16</v>
      </c>
      <c r="N284" s="1">
        <f>MAX(-16, MIN(16, Games[[#This Row],[OppRestDiff]]*8))</f>
        <v>16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1462.0313081706422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1550.0745067865348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0.23603045749691309</v>
      </c>
      <c r="R284" s="1">
        <v>71</v>
      </c>
      <c r="S284" s="1">
        <v>69</v>
      </c>
      <c r="T284" s="1">
        <v>0</v>
      </c>
      <c r="U284" s="1">
        <f>Games[[#This Row],[PointsFor]]-Games[[#This Row],[PointsAgainst]]</f>
        <v>2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0.24953323406931119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72.7</v>
      </c>
      <c r="Z284" s="4">
        <f>Games[[#This Row],[K]]*Games[[#This Row],[POMult]]</f>
        <v>72.7</v>
      </c>
      <c r="AA284" s="4">
        <f>(Games[[#This Row],[Keff]]*Games[[#This Row],[MOVMult]])*(Games[[#This Row],[Result]]-Games[[#This Row],[ExpectedWin%]])</f>
        <v>13.859221981799685</v>
      </c>
      <c r="AB284" s="4">
        <f>Games[[#This Row],[PreGmRate]]+Games[[#This Row],[RatingChange]]</f>
        <v>1475.8905301524419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38190</v>
      </c>
      <c r="B285" s="2">
        <v>2004</v>
      </c>
      <c r="C285" s="2">
        <f>COUNTIFS(Games[Team],Games[[#This Row],[Team]],Games[Season],Games[[#This Row],[Season]],Games[Date],"&lt;=" &amp; Games[[#This Row],[Date]])</f>
        <v>22</v>
      </c>
      <c r="D285" s="2" t="s">
        <v>23</v>
      </c>
      <c r="E285" s="2" t="s">
        <v>29</v>
      </c>
      <c r="F285" s="1" t="s">
        <v>45</v>
      </c>
      <c r="G285" s="1" t="s">
        <v>44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5" s="2">
        <f>Games[[#This Row],[DaysOff]]-Games[[#This Row],[OppDaysOff]]</f>
        <v>3</v>
      </c>
      <c r="L285" s="2">
        <f>Games[[#This Row],[OppDaysOff]]-Games[[#This Row],[DaysOff]]</f>
        <v>-3</v>
      </c>
      <c r="M285" s="1">
        <f>MAX(-16, MIN(16, Games[[#This Row],[RestDiff]]*8))</f>
        <v>16</v>
      </c>
      <c r="N285" s="1">
        <f>MAX(-16, MIN(16, Games[[#This Row],[OppRestDiff]]*8))</f>
        <v>-16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1550.0745067865348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1462.0313081706422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0.7639695425030868</v>
      </c>
      <c r="R285" s="1">
        <v>69</v>
      </c>
      <c r="S285" s="1">
        <v>71</v>
      </c>
      <c r="T285" s="1">
        <v>0</v>
      </c>
      <c r="U285" s="1">
        <f>Games[[#This Row],[PointsFor]]-Games[[#This Row],[PointsAgainst]]</f>
        <v>-2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0.24953323406931119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72.7</v>
      </c>
      <c r="Z285" s="4">
        <f>Games[[#This Row],[K]]*Games[[#This Row],[POMult]]</f>
        <v>72.7</v>
      </c>
      <c r="AA285" s="4">
        <f>(Games[[#This Row],[Keff]]*Games[[#This Row],[MOVMult]])*(Games[[#This Row],[Result]]-Games[[#This Row],[ExpectedWin%]])</f>
        <v>-13.859221981799683</v>
      </c>
      <c r="AB285" s="4">
        <f>Games[[#This Row],[PreGmRate]]+Games[[#This Row],[RatingChange]]</f>
        <v>1536.2152848047351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38190</v>
      </c>
      <c r="B286" s="2">
        <v>2004</v>
      </c>
      <c r="C286" s="2">
        <f>COUNTIFS(Games[Team],Games[[#This Row],[Team]],Games[Season],Games[[#This Row],[Season]],Games[Date],"&lt;=" &amp; Games[[#This Row],[Date]])</f>
        <v>23</v>
      </c>
      <c r="D286" s="2" t="s">
        <v>23</v>
      </c>
      <c r="E286" s="2" t="s">
        <v>29</v>
      </c>
      <c r="F286" s="1" t="s">
        <v>79</v>
      </c>
      <c r="G286" s="1" t="s">
        <v>81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6" s="2">
        <f>Games[[#This Row],[DaysOff]]-Games[[#This Row],[OppDaysOff]]</f>
        <v>-2</v>
      </c>
      <c r="L286" s="2">
        <f>Games[[#This Row],[OppDaysOff]]-Games[[#This Row],[DaysOff]]</f>
        <v>2</v>
      </c>
      <c r="M286" s="1">
        <f>MAX(-16, MIN(16, Games[[#This Row],[RestDiff]]*8))</f>
        <v>-16</v>
      </c>
      <c r="N286" s="1">
        <f>MAX(-16, MIN(16, Games[[#This Row],[OppRestDiff]]*8))</f>
        <v>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1505.2199847312963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1585.5103504834797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0.24417251063381862</v>
      </c>
      <c r="R286" s="1">
        <v>54</v>
      </c>
      <c r="S286" s="1">
        <v>59</v>
      </c>
      <c r="T286" s="1">
        <v>0</v>
      </c>
      <c r="U286" s="1">
        <f>Games[[#This Row],[PointsFor]]-Games[[#This Row],[PointsAgainst]]</f>
        <v>-5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0.31095068837732398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72.55</v>
      </c>
      <c r="Z286" s="4">
        <f>Games[[#This Row],[K]]*Games[[#This Row],[POMult]]</f>
        <v>72.55</v>
      </c>
      <c r="AA286" s="4">
        <f>(Games[[#This Row],[Keff]]*Games[[#This Row],[MOVMult]])*(Games[[#This Row],[Result]]-Games[[#This Row],[ExpectedWin%]])</f>
        <v>-5.5084030246826083</v>
      </c>
      <c r="AB286" s="4">
        <f>Games[[#This Row],[PreGmRate]]+Games[[#This Row],[RatingChange]]</f>
        <v>1499.7115817066137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38190</v>
      </c>
      <c r="B287" s="2">
        <v>2004</v>
      </c>
      <c r="C287" s="2">
        <f>COUNTIFS(Games[Team],Games[[#This Row],[Team]],Games[Season],Games[[#This Row],[Season]],Games[Date],"&lt;=" &amp; Games[[#This Row],[Date]])</f>
        <v>21</v>
      </c>
      <c r="D287" s="2" t="s">
        <v>23</v>
      </c>
      <c r="E287" s="2" t="s">
        <v>29</v>
      </c>
      <c r="F287" s="1" t="s">
        <v>81</v>
      </c>
      <c r="G287" s="1" t="s">
        <v>79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2</v>
      </c>
      <c r="L287" s="2">
        <f>Games[[#This Row],[OppDaysOff]]-Games[[#This Row],[DaysOff]]</f>
        <v>-2</v>
      </c>
      <c r="M287" s="1">
        <f>MAX(-16, MIN(16, Games[[#This Row],[RestDiff]]*8))</f>
        <v>16</v>
      </c>
      <c r="N287" s="1">
        <f>MAX(-16, MIN(16, Games[[#This Row],[OppRestDiff]]*8))</f>
        <v>-16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1585.5103504834797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1505.2199847312963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0.75582748936618138</v>
      </c>
      <c r="R287" s="1">
        <v>59</v>
      </c>
      <c r="S287" s="1">
        <v>54</v>
      </c>
      <c r="T287" s="1">
        <v>0</v>
      </c>
      <c r="U287" s="1">
        <f>Games[[#This Row],[PointsFor]]-Games[[#This Row],[PointsAgainst]]</f>
        <v>5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0.31095068837732398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72.849999999999994</v>
      </c>
      <c r="Z287" s="4">
        <f>Games[[#This Row],[K]]*Games[[#This Row],[POMult]]</f>
        <v>72.849999999999994</v>
      </c>
      <c r="AA287" s="4">
        <f>(Games[[#This Row],[Keff]]*Games[[#This Row],[MOVMult]])*(Games[[#This Row],[Result]]-Games[[#This Row],[ExpectedWin%]])</f>
        <v>5.5311807077619308</v>
      </c>
      <c r="AB287" s="4">
        <f>Games[[#This Row],[PreGmRate]]+Games[[#This Row],[RatingChange]]</f>
        <v>1591.0415311912416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38191</v>
      </c>
      <c r="B288" s="2">
        <v>2004</v>
      </c>
      <c r="C288" s="2">
        <f>COUNTIFS(Games[Team],Games[[#This Row],[Team]],Games[Season],Games[[#This Row],[Season]],Games[Date],"&lt;=" &amp; Games[[#This Row],[Date]])</f>
        <v>21</v>
      </c>
      <c r="D288" s="2" t="s">
        <v>23</v>
      </c>
      <c r="E288" s="2" t="s">
        <v>29</v>
      </c>
      <c r="F288" s="1" t="s">
        <v>64</v>
      </c>
      <c r="G288" s="1" t="s">
        <v>75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1</v>
      </c>
      <c r="L288" s="2">
        <f>Games[[#This Row],[OppDaysOff]]-Games[[#This Row],[DaysOff]]</f>
        <v>-1</v>
      </c>
      <c r="M288" s="1">
        <f>MAX(-16, MIN(16, Games[[#This Row],[RestDiff]]*8))</f>
        <v>8</v>
      </c>
      <c r="N288" s="1">
        <f>MAX(-16, MIN(16, Games[[#This Row],[OppRestDiff]]*8))</f>
        <v>-8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1463.2548580911464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1484.7810456411235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0.37393922608376678</v>
      </c>
      <c r="R288" s="1">
        <v>53</v>
      </c>
      <c r="S288" s="1">
        <v>63</v>
      </c>
      <c r="T288" s="1">
        <v>0</v>
      </c>
      <c r="U288" s="1">
        <f>Games[[#This Row],[PointsFor]]-Games[[#This Row],[PointsAgainst]]</f>
        <v>-10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0.41567315082875916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72.849999999999994</v>
      </c>
      <c r="Z288" s="4">
        <f>Games[[#This Row],[K]]*Games[[#This Row],[POMult]]</f>
        <v>72.849999999999994</v>
      </c>
      <c r="AA288" s="4">
        <f>(Games[[#This Row],[Keff]]*Games[[#This Row],[MOVMult]])*(Games[[#This Row],[Result]]-Games[[#This Row],[ExpectedWin%]])</f>
        <v>-11.323548757254908</v>
      </c>
      <c r="AB288" s="4">
        <f>Games[[#This Row],[PreGmRate]]+Games[[#This Row],[RatingChange]]</f>
        <v>1451.9313093338915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38191</v>
      </c>
      <c r="B289" s="2">
        <v>2004</v>
      </c>
      <c r="C289" s="2">
        <f>COUNTIFS(Games[Team],Games[[#This Row],[Team]],Games[Season],Games[[#This Row],[Season]],Games[Date],"&lt;=" &amp; Games[[#This Row],[Date]])</f>
        <v>23</v>
      </c>
      <c r="D289" s="2" t="s">
        <v>23</v>
      </c>
      <c r="E289" s="2" t="s">
        <v>29</v>
      </c>
      <c r="F289" s="1" t="s">
        <v>75</v>
      </c>
      <c r="G289" s="1" t="s">
        <v>64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9" s="2">
        <f>Games[[#This Row],[DaysOff]]-Games[[#This Row],[OppDaysOff]]</f>
        <v>-1</v>
      </c>
      <c r="L289" s="2">
        <f>Games[[#This Row],[OppDaysOff]]-Games[[#This Row],[DaysOff]]</f>
        <v>1</v>
      </c>
      <c r="M289" s="1">
        <f>MAX(-16, MIN(16, Games[[#This Row],[RestDiff]]*8))</f>
        <v>-8</v>
      </c>
      <c r="N289" s="1">
        <f>MAX(-16, MIN(16, Games[[#This Row],[OppRestDiff]]*8))</f>
        <v>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1484.7810456411235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1463.2548580911464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0.62606077391623327</v>
      </c>
      <c r="R289" s="1">
        <v>63</v>
      </c>
      <c r="S289" s="1">
        <v>53</v>
      </c>
      <c r="T289" s="1">
        <v>0</v>
      </c>
      <c r="U289" s="1">
        <f>Games[[#This Row],[PointsFor]]-Games[[#This Row],[PointsAgainst]]</f>
        <v>10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0.41567315082875916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72.55</v>
      </c>
      <c r="Z289" s="4">
        <f>Games[[#This Row],[K]]*Games[[#This Row],[POMult]]</f>
        <v>72.55</v>
      </c>
      <c r="AA289" s="4">
        <f>(Games[[#This Row],[Keff]]*Games[[#This Row],[MOVMult]])*(Games[[#This Row],[Result]]-Games[[#This Row],[ExpectedWin%]])</f>
        <v>11.276917808357496</v>
      </c>
      <c r="AB289" s="4">
        <f>Games[[#This Row],[PreGmRate]]+Games[[#This Row],[RatingChange]]</f>
        <v>1496.0579634494809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38191</v>
      </c>
      <c r="B290" s="2">
        <v>2004</v>
      </c>
      <c r="C290" s="2">
        <f>COUNTIFS(Games[Team],Games[[#This Row],[Team]],Games[Season],Games[[#This Row],[Season]],Games[Date],"&lt;=" &amp; Games[[#This Row],[Date]])</f>
        <v>23</v>
      </c>
      <c r="D290" s="2" t="s">
        <v>23</v>
      </c>
      <c r="E290" s="2" t="s">
        <v>29</v>
      </c>
      <c r="F290" s="1" t="s">
        <v>2</v>
      </c>
      <c r="G290" s="1" t="s">
        <v>70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4</v>
      </c>
      <c r="L290" s="2">
        <f>Games[[#This Row],[OppDaysOff]]-Games[[#This Row],[DaysOff]]</f>
        <v>-4</v>
      </c>
      <c r="M290" s="1">
        <f>MAX(-16, MIN(16, Games[[#This Row],[RestDiff]]*8))</f>
        <v>16</v>
      </c>
      <c r="N290" s="1">
        <f>MAX(-16, MIN(16, Games[[#This Row],[OppRestDiff]]*8))</f>
        <v>-16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1510.496932768584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1622.1502582235469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0.28048355851042062</v>
      </c>
      <c r="R290" s="1">
        <v>67</v>
      </c>
      <c r="S290" s="1">
        <v>70</v>
      </c>
      <c r="T290" s="1">
        <v>0</v>
      </c>
      <c r="U290" s="1">
        <f>Games[[#This Row],[PointsFor]]-Games[[#This Row],[PointsAgainst]]</f>
        <v>-3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0.26548190635484054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72.55</v>
      </c>
      <c r="Z290" s="4">
        <f>Games[[#This Row],[K]]*Games[[#This Row],[POMult]]</f>
        <v>72.55</v>
      </c>
      <c r="AA290" s="4">
        <f>(Games[[#This Row],[Keff]]*Games[[#This Row],[MOVMult]])*(Games[[#This Row],[Result]]-Games[[#This Row],[ExpectedWin%]])</f>
        <v>-5.4023131270445806</v>
      </c>
      <c r="AB290" s="4">
        <f>Games[[#This Row],[PreGmRate]]+Games[[#This Row],[RatingChange]]</f>
        <v>1505.0946196415393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38191</v>
      </c>
      <c r="B291" s="2">
        <v>2004</v>
      </c>
      <c r="C291" s="2">
        <f>COUNTIFS(Games[Team],Games[[#This Row],[Team]],Games[Season],Games[[#This Row],[Season]],Games[Date],"&lt;=" &amp; Games[[#This Row],[Date]])</f>
        <v>24</v>
      </c>
      <c r="D291" s="2" t="s">
        <v>23</v>
      </c>
      <c r="E291" s="2" t="s">
        <v>29</v>
      </c>
      <c r="F291" s="1" t="s">
        <v>70</v>
      </c>
      <c r="G291" s="1" t="s">
        <v>2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1" s="2">
        <f>Games[[#This Row],[DaysOff]]-Games[[#This Row],[OppDaysOff]]</f>
        <v>-4</v>
      </c>
      <c r="L291" s="2">
        <f>Games[[#This Row],[OppDaysOff]]-Games[[#This Row],[DaysOff]]</f>
        <v>4</v>
      </c>
      <c r="M291" s="1">
        <f>MAX(-16, MIN(16, Games[[#This Row],[RestDiff]]*8))</f>
        <v>-16</v>
      </c>
      <c r="N291" s="1">
        <f>MAX(-16, MIN(16, Games[[#This Row],[OppRestDiff]]*8))</f>
        <v>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1622.1502582235469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1510.496932768584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0.71951644148957938</v>
      </c>
      <c r="R291" s="1">
        <v>70</v>
      </c>
      <c r="S291" s="1">
        <v>67</v>
      </c>
      <c r="T291" s="1">
        <v>0</v>
      </c>
      <c r="U291" s="1">
        <f>Games[[#This Row],[PointsFor]]-Games[[#This Row],[PointsAgainst]]</f>
        <v>3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0.26548190635484054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72.400000000000006</v>
      </c>
      <c r="Z291" s="4">
        <f>Games[[#This Row],[K]]*Games[[#This Row],[POMult]]</f>
        <v>72.400000000000006</v>
      </c>
      <c r="AA291" s="4">
        <f>(Games[[#This Row],[Keff]]*Games[[#This Row],[MOVMult]])*(Games[[#This Row],[Result]]-Games[[#This Row],[ExpectedWin%]])</f>
        <v>5.3911436305724019</v>
      </c>
      <c r="AB291" s="4">
        <f>Games[[#This Row],[PreGmRate]]+Games[[#This Row],[RatingChange]]</f>
        <v>1627.5414018541194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38191</v>
      </c>
      <c r="B292" s="2">
        <v>2004</v>
      </c>
      <c r="C292" s="2">
        <f>COUNTIFS(Games[Team],Games[[#This Row],[Team]],Games[Season],Games[[#This Row],[Season]],Games[Date],"&lt;=" &amp; Games[[#This Row],[Date]])</f>
        <v>23</v>
      </c>
      <c r="D292" s="2" t="s">
        <v>23</v>
      </c>
      <c r="E292" s="2" t="s">
        <v>29</v>
      </c>
      <c r="F292" s="1" t="s">
        <v>77</v>
      </c>
      <c r="G292" s="1" t="s">
        <v>73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-1</v>
      </c>
      <c r="L292" s="2">
        <f>Games[[#This Row],[OppDaysOff]]-Games[[#This Row],[DaysOff]]</f>
        <v>1</v>
      </c>
      <c r="M292" s="1">
        <f>MAX(-16, MIN(16, Games[[#This Row],[RestDiff]]*8))</f>
        <v>-8</v>
      </c>
      <c r="N292" s="1">
        <f>MAX(-16, MIN(16, Games[[#This Row],[OppRestDiff]]*8))</f>
        <v>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1532.6305633600662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1453.9053158250144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0.46942137932517974</v>
      </c>
      <c r="R292" s="1">
        <v>61</v>
      </c>
      <c r="S292" s="1">
        <v>65</v>
      </c>
      <c r="T292" s="1">
        <v>0</v>
      </c>
      <c r="U292" s="1">
        <f>Games[[#This Row],[PointsFor]]-Games[[#This Row],[PointsAgainst]]</f>
        <v>-4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0.29225925006568781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72.55</v>
      </c>
      <c r="Z292" s="4">
        <f>Games[[#This Row],[K]]*Games[[#This Row],[POMult]]</f>
        <v>72.55</v>
      </c>
      <c r="AA292" s="4">
        <f>(Games[[#This Row],[Keff]]*Games[[#This Row],[MOVMult]])*(Games[[#This Row],[Result]]-Games[[#This Row],[ExpectedWin%]])</f>
        <v>-9.9533333077767097</v>
      </c>
      <c r="AB292" s="4">
        <f>Games[[#This Row],[PreGmRate]]+Games[[#This Row],[RatingChange]]</f>
        <v>1522.6772300522894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38191</v>
      </c>
      <c r="B293" s="2">
        <v>2004</v>
      </c>
      <c r="C293" s="2">
        <f>COUNTIFS(Games[Team],Games[[#This Row],[Team]],Games[Season],Games[[#This Row],[Season]],Games[Date],"&lt;=" &amp; Games[[#This Row],[Date]])</f>
        <v>22</v>
      </c>
      <c r="D293" s="2" t="s">
        <v>23</v>
      </c>
      <c r="E293" s="2" t="s">
        <v>29</v>
      </c>
      <c r="F293" s="1" t="s">
        <v>73</v>
      </c>
      <c r="G293" s="1" t="s">
        <v>77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3" s="2">
        <f>Games[[#This Row],[DaysOff]]-Games[[#This Row],[OppDaysOff]]</f>
        <v>1</v>
      </c>
      <c r="L293" s="2">
        <f>Games[[#This Row],[OppDaysOff]]-Games[[#This Row],[DaysOff]]</f>
        <v>-1</v>
      </c>
      <c r="M293" s="1">
        <f>MAX(-16, MIN(16, Games[[#This Row],[RestDiff]]*8))</f>
        <v>8</v>
      </c>
      <c r="N293" s="1">
        <f>MAX(-16, MIN(16, Games[[#This Row],[OppRestDiff]]*8))</f>
        <v>-8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1453.9053158250144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1532.6305633600662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0.5305786206748202</v>
      </c>
      <c r="R293" s="1">
        <v>65</v>
      </c>
      <c r="S293" s="1">
        <v>61</v>
      </c>
      <c r="T293" s="1">
        <v>0</v>
      </c>
      <c r="U293" s="1">
        <f>Games[[#This Row],[PointsFor]]-Games[[#This Row],[PointsAgainst]]</f>
        <v>4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0.29225925006568781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72.7</v>
      </c>
      <c r="Z293" s="4">
        <f>Games[[#This Row],[K]]*Games[[#This Row],[POMult]]</f>
        <v>72.7</v>
      </c>
      <c r="AA293" s="4">
        <f>(Games[[#This Row],[Keff]]*Games[[#This Row],[MOVMult]])*(Games[[#This Row],[Result]]-Games[[#This Row],[ExpectedWin%]])</f>
        <v>9.9739122188196685</v>
      </c>
      <c r="AB293" s="4">
        <f>Games[[#This Row],[PreGmRate]]+Games[[#This Row],[RatingChange]]</f>
        <v>1463.879228043834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38192</v>
      </c>
      <c r="B294" s="2">
        <v>2004</v>
      </c>
      <c r="C294" s="2">
        <f>COUNTIFS(Games[Team],Games[[#This Row],[Team]],Games[Season],Games[[#This Row],[Season]],Games[Date],"&lt;=" &amp; Games[[#This Row],[Date]])</f>
        <v>23</v>
      </c>
      <c r="D294" s="2" t="s">
        <v>23</v>
      </c>
      <c r="E294" s="2" t="s">
        <v>29</v>
      </c>
      <c r="F294" s="1" t="s">
        <v>73</v>
      </c>
      <c r="G294" s="1" t="s">
        <v>64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1463.879228043834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1451.9313093338915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0.3977700868615065</v>
      </c>
      <c r="R294" s="1">
        <v>41</v>
      </c>
      <c r="S294" s="1">
        <v>70</v>
      </c>
      <c r="T294" s="1">
        <v>0</v>
      </c>
      <c r="U294" s="1">
        <f>Games[[#This Row],[PointsFor]]-Games[[#This Row],[PointsAgainst]]</f>
        <v>-29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0.68454719151317522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72.55</v>
      </c>
      <c r="Z294" s="4">
        <f>Games[[#This Row],[K]]*Games[[#This Row],[POMult]]</f>
        <v>72.55</v>
      </c>
      <c r="AA294" s="4">
        <f>(Games[[#This Row],[Keff]]*Games[[#This Row],[MOVMult]])*(Games[[#This Row],[Result]]-Games[[#This Row],[ExpectedWin%]])</f>
        <v>-19.754813317393658</v>
      </c>
      <c r="AB294" s="4">
        <f>Games[[#This Row],[PreGmRate]]+Games[[#This Row],[RatingChange]]</f>
        <v>1444.1244147264404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38192</v>
      </c>
      <c r="B295" s="2">
        <v>2004</v>
      </c>
      <c r="C295" s="2">
        <f>COUNTIFS(Games[Team],Games[[#This Row],[Team]],Games[Season],Games[[#This Row],[Season]],Games[Date],"&lt;=" &amp; Games[[#This Row],[Date]])</f>
        <v>22</v>
      </c>
      <c r="D295" s="2" t="s">
        <v>23</v>
      </c>
      <c r="E295" s="2" t="s">
        <v>29</v>
      </c>
      <c r="F295" s="1" t="s">
        <v>64</v>
      </c>
      <c r="G295" s="1" t="s">
        <v>73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1451.9313093338915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1463.879228043834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0.6022299131384935</v>
      </c>
      <c r="R295" s="1">
        <v>70</v>
      </c>
      <c r="S295" s="1">
        <v>41</v>
      </c>
      <c r="T295" s="1">
        <v>0</v>
      </c>
      <c r="U295" s="1">
        <f>Games[[#This Row],[PointsFor]]-Games[[#This Row],[PointsAgainst]]</f>
        <v>29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0.68454719151317522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72.7</v>
      </c>
      <c r="Z295" s="4">
        <f>Games[[#This Row],[K]]*Games[[#This Row],[POMult]]</f>
        <v>72.7</v>
      </c>
      <c r="AA295" s="4">
        <f>(Games[[#This Row],[Keff]]*Games[[#This Row],[MOVMult]])*(Games[[#This Row],[Result]]-Games[[#This Row],[ExpectedWin%]])</f>
        <v>19.795657176768014</v>
      </c>
      <c r="AB295" s="4">
        <f>Games[[#This Row],[PreGmRate]]+Games[[#This Row],[RatingChange]]</f>
        <v>1471.7269665106594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38192</v>
      </c>
      <c r="B296" s="2">
        <v>2004</v>
      </c>
      <c r="C296" s="2">
        <f>COUNTIFS(Games[Team],Games[[#This Row],[Team]],Games[Season],Games[[#This Row],[Season]],Games[Date],"&lt;=" &amp; Games[[#This Row],[Date]])</f>
        <v>23</v>
      </c>
      <c r="D296" s="2" t="s">
        <v>23</v>
      </c>
      <c r="E296" s="2" t="s">
        <v>29</v>
      </c>
      <c r="F296" s="1" t="s">
        <v>84</v>
      </c>
      <c r="G296" s="1" t="s">
        <v>86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1</v>
      </c>
      <c r="L296" s="2">
        <f>Games[[#This Row],[OppDaysOff]]-Games[[#This Row],[DaysOff]]</f>
        <v>-1</v>
      </c>
      <c r="M296" s="1">
        <f>MAX(-16, MIN(16, Games[[#This Row],[RestDiff]]*8))</f>
        <v>8</v>
      </c>
      <c r="N296" s="1">
        <f>MAX(-16, MIN(16, Games[[#This Row],[OppRestDiff]]*8))</f>
        <v>-8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1375.0793103568333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1487.8180669108237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0.26106975053484521</v>
      </c>
      <c r="R296" s="1">
        <v>55</v>
      </c>
      <c r="S296" s="1">
        <v>69</v>
      </c>
      <c r="T296" s="1">
        <v>0</v>
      </c>
      <c r="U296" s="1">
        <f>Games[[#This Row],[PointsFor]]-Games[[#This Row],[PointsAgainst]]</f>
        <v>-14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0.44573204022475754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72.55</v>
      </c>
      <c r="Z296" s="4">
        <f>Games[[#This Row],[K]]*Games[[#This Row],[POMult]]</f>
        <v>72.55</v>
      </c>
      <c r="AA296" s="4">
        <f>(Games[[#This Row],[Keff]]*Games[[#This Row],[MOVMult]])*(Games[[#This Row],[Result]]-Games[[#This Row],[ExpectedWin%]])</f>
        <v>-8.4424369172750584</v>
      </c>
      <c r="AB296" s="4">
        <f>Games[[#This Row],[PreGmRate]]+Games[[#This Row],[RatingChange]]</f>
        <v>1366.6368734395583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38192</v>
      </c>
      <c r="B297" s="2">
        <v>2004</v>
      </c>
      <c r="C297" s="2">
        <f>COUNTIFS(Games[Team],Games[[#This Row],[Team]],Games[Season],Games[[#This Row],[Season]],Games[Date],"&lt;=" &amp; Games[[#This Row],[Date]])</f>
        <v>25</v>
      </c>
      <c r="D297" s="2" t="s">
        <v>23</v>
      </c>
      <c r="E297" s="2" t="s">
        <v>29</v>
      </c>
      <c r="F297" s="1" t="s">
        <v>86</v>
      </c>
      <c r="G297" s="1" t="s">
        <v>84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7" s="2">
        <f>Games[[#This Row],[DaysOff]]-Games[[#This Row],[OppDaysOff]]</f>
        <v>-1</v>
      </c>
      <c r="L297" s="2">
        <f>Games[[#This Row],[OppDaysOff]]-Games[[#This Row],[DaysOff]]</f>
        <v>1</v>
      </c>
      <c r="M297" s="1">
        <f>MAX(-16, MIN(16, Games[[#This Row],[RestDiff]]*8))</f>
        <v>-8</v>
      </c>
      <c r="N297" s="1">
        <f>MAX(-16, MIN(16, Games[[#This Row],[OppRestDiff]]*8))</f>
        <v>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1487.8180669108237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1375.0793103568333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0.73893024946515484</v>
      </c>
      <c r="R297" s="1">
        <v>69</v>
      </c>
      <c r="S297" s="1">
        <v>55</v>
      </c>
      <c r="T297" s="1">
        <v>0</v>
      </c>
      <c r="U297" s="1">
        <f>Games[[#This Row],[PointsFor]]-Games[[#This Row],[PointsAgainst]]</f>
        <v>14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0.44573204022475754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72.25</v>
      </c>
      <c r="Z297" s="4">
        <f>Games[[#This Row],[K]]*Games[[#This Row],[POMult]]</f>
        <v>72.25</v>
      </c>
      <c r="AA297" s="4">
        <f>(Games[[#This Row],[Keff]]*Games[[#This Row],[MOVMult]])*(Games[[#This Row],[Result]]-Games[[#This Row],[ExpectedWin%]])</f>
        <v>8.4075267715109963</v>
      </c>
      <c r="AB297" s="4">
        <f>Games[[#This Row],[PreGmRate]]+Games[[#This Row],[RatingChange]]</f>
        <v>1496.2255936823346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38192</v>
      </c>
      <c r="B298" s="2">
        <v>2004</v>
      </c>
      <c r="C298" s="2">
        <f>COUNTIFS(Games[Team],Games[[#This Row],[Team]],Games[Season],Games[[#This Row],[Season]],Games[Date],"&lt;=" &amp; Games[[#This Row],[Date]])</f>
        <v>24</v>
      </c>
      <c r="D298" s="2" t="s">
        <v>23</v>
      </c>
      <c r="E298" s="2" t="s">
        <v>29</v>
      </c>
      <c r="F298" s="1" t="s">
        <v>75</v>
      </c>
      <c r="G298" s="1" t="s">
        <v>66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8" s="2">
        <f>Games[[#This Row],[DaysOff]]-Games[[#This Row],[OppDaysOff]]</f>
        <v>-3</v>
      </c>
      <c r="L298" s="2">
        <f>Games[[#This Row],[OppDaysOff]]-Games[[#This Row],[DaysOff]]</f>
        <v>3</v>
      </c>
      <c r="M298" s="1">
        <f>MAX(-16, MIN(16, Games[[#This Row],[RestDiff]]*8))</f>
        <v>-16</v>
      </c>
      <c r="N298" s="1">
        <f>MAX(-16, MIN(16, Games[[#This Row],[OppRestDiff]]*8))</f>
        <v>16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1496.0579634494809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1486.1663092460155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0.35187473588640461</v>
      </c>
      <c r="R298" s="1">
        <v>69</v>
      </c>
      <c r="S298" s="1">
        <v>78</v>
      </c>
      <c r="T298" s="1">
        <v>0</v>
      </c>
      <c r="U298" s="1">
        <f>Games[[#This Row],[PointsFor]]-Games[[#This Row],[PointsAgainst]]</f>
        <v>-9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0.40265244485665791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72.400000000000006</v>
      </c>
      <c r="Z298" s="4">
        <f>Games[[#This Row],[K]]*Games[[#This Row],[POMult]]</f>
        <v>72.400000000000006</v>
      </c>
      <c r="AA298" s="4">
        <f>(Games[[#This Row],[Keff]]*Games[[#This Row],[MOVMult]])*(Games[[#This Row],[Result]]-Games[[#This Row],[ExpectedWin%]])</f>
        <v>-10.257865322607696</v>
      </c>
      <c r="AB298" s="4">
        <f>Games[[#This Row],[PreGmRate]]+Games[[#This Row],[RatingChange]]</f>
        <v>1485.8000981268733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38192</v>
      </c>
      <c r="B299" s="2">
        <v>2004</v>
      </c>
      <c r="C299" s="2">
        <f>COUNTIFS(Games[Team],Games[[#This Row],[Team]],Games[Season],Games[[#This Row],[Season]],Games[Date],"&lt;=" &amp; Games[[#This Row],[Date]])</f>
        <v>23</v>
      </c>
      <c r="D299" s="2" t="s">
        <v>23</v>
      </c>
      <c r="E299" s="2" t="s">
        <v>29</v>
      </c>
      <c r="F299" s="1" t="s">
        <v>66</v>
      </c>
      <c r="G299" s="1" t="s">
        <v>75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9" s="2">
        <f>Games[[#This Row],[DaysOff]]-Games[[#This Row],[OppDaysOff]]</f>
        <v>3</v>
      </c>
      <c r="L299" s="2">
        <f>Games[[#This Row],[OppDaysOff]]-Games[[#This Row],[DaysOff]]</f>
        <v>-3</v>
      </c>
      <c r="M299" s="1">
        <f>MAX(-16, MIN(16, Games[[#This Row],[RestDiff]]*8))</f>
        <v>16</v>
      </c>
      <c r="N299" s="1">
        <f>MAX(-16, MIN(16, Games[[#This Row],[OppRestDiff]]*8))</f>
        <v>-16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1486.1663092460155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1496.0579634494809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0.64812526411359539</v>
      </c>
      <c r="R299" s="1">
        <v>78</v>
      </c>
      <c r="S299" s="1">
        <v>69</v>
      </c>
      <c r="T299" s="1">
        <v>0</v>
      </c>
      <c r="U299" s="1">
        <f>Games[[#This Row],[PointsFor]]-Games[[#This Row],[PointsAgainst]]</f>
        <v>9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0.40265244485665791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72.55</v>
      </c>
      <c r="Z299" s="4">
        <f>Games[[#This Row],[K]]*Games[[#This Row],[POMult]]</f>
        <v>72.55</v>
      </c>
      <c r="AA299" s="4">
        <f>(Games[[#This Row],[Keff]]*Games[[#This Row],[MOVMult]])*(Games[[#This Row],[Result]]-Games[[#This Row],[ExpectedWin%]])</f>
        <v>10.279117806010889</v>
      </c>
      <c r="AB299" s="4">
        <f>Games[[#This Row],[PreGmRate]]+Games[[#This Row],[RatingChange]]</f>
        <v>1496.4454270520264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38192</v>
      </c>
      <c r="B300" s="2">
        <v>2004</v>
      </c>
      <c r="C300" s="2">
        <f>COUNTIFS(Games[Team],Games[[#This Row],[Team]],Games[Season],Games[[#This Row],[Season]],Games[Date],"&lt;=" &amp; Games[[#This Row],[Date]])</f>
        <v>24</v>
      </c>
      <c r="D300" s="2" t="s">
        <v>23</v>
      </c>
      <c r="E300" s="2" t="s">
        <v>29</v>
      </c>
      <c r="F300" s="1" t="s">
        <v>79</v>
      </c>
      <c r="G300" s="1" t="s">
        <v>44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1499.7115817066137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1475.8905301524419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0.41425134598083807</v>
      </c>
      <c r="R300" s="1">
        <v>56</v>
      </c>
      <c r="S300" s="1">
        <v>71</v>
      </c>
      <c r="T300" s="1">
        <v>0</v>
      </c>
      <c r="U300" s="1">
        <f>Games[[#This Row],[PointsFor]]-Games[[#This Row],[PointsAgainst]]</f>
        <v>-15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0.49306034806985521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72.400000000000006</v>
      </c>
      <c r="Z300" s="4">
        <f>Games[[#This Row],[K]]*Games[[#This Row],[POMult]]</f>
        <v>72.400000000000006</v>
      </c>
      <c r="AA300" s="4">
        <f>(Games[[#This Row],[Keff]]*Games[[#This Row],[MOVMult]])*(Games[[#This Row],[Result]]-Games[[#This Row],[ExpectedWin%]])</f>
        <v>-14.787766089450786</v>
      </c>
      <c r="AB300" s="4">
        <f>Games[[#This Row],[PreGmRate]]+Games[[#This Row],[RatingChange]]</f>
        <v>1484.923815617163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38192</v>
      </c>
      <c r="B301" s="2">
        <v>2004</v>
      </c>
      <c r="C301" s="2">
        <f>COUNTIFS(Games[Team],Games[[#This Row],[Team]],Games[Season],Games[[#This Row],[Season]],Games[Date],"&lt;=" &amp; Games[[#This Row],[Date]])</f>
        <v>23</v>
      </c>
      <c r="D301" s="2" t="s">
        <v>23</v>
      </c>
      <c r="E301" s="2" t="s">
        <v>29</v>
      </c>
      <c r="F301" s="1" t="s">
        <v>44</v>
      </c>
      <c r="G301" s="1" t="s">
        <v>79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1475.8905301524419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1499.7115817066137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0.58574865401916187</v>
      </c>
      <c r="R301" s="1">
        <v>71</v>
      </c>
      <c r="S301" s="1">
        <v>56</v>
      </c>
      <c r="T301" s="1">
        <v>0</v>
      </c>
      <c r="U301" s="1">
        <f>Games[[#This Row],[PointsFor]]-Games[[#This Row],[PointsAgainst]]</f>
        <v>15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0.49306034806985521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72.55</v>
      </c>
      <c r="Z301" s="4">
        <f>Games[[#This Row],[K]]*Games[[#This Row],[POMult]]</f>
        <v>72.55</v>
      </c>
      <c r="AA301" s="4">
        <f>(Games[[#This Row],[Keff]]*Games[[#This Row],[MOVMult]])*(Games[[#This Row],[Result]]-Games[[#This Row],[ExpectedWin%]])</f>
        <v>14.818403726376445</v>
      </c>
      <c r="AB301" s="4">
        <f>Games[[#This Row],[PreGmRate]]+Games[[#This Row],[RatingChange]]</f>
        <v>1490.7089338788182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38192</v>
      </c>
      <c r="B302" s="2">
        <v>2004</v>
      </c>
      <c r="C302" s="2">
        <f>COUNTIFS(Games[Team],Games[[#This Row],[Team]],Games[Season],Games[[#This Row],[Season]],Games[Date],"&lt;=" &amp; Games[[#This Row],[Date]])</f>
        <v>24</v>
      </c>
      <c r="D302" s="2" t="s">
        <v>23</v>
      </c>
      <c r="E302" s="2" t="s">
        <v>29</v>
      </c>
      <c r="F302" s="1" t="s">
        <v>2</v>
      </c>
      <c r="G302" s="1" t="s">
        <v>81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-1</v>
      </c>
      <c r="L302" s="2">
        <f>Games[[#This Row],[OppDaysOff]]-Games[[#This Row],[DaysOff]]</f>
        <v>1</v>
      </c>
      <c r="M302" s="1">
        <f>MAX(-16, MIN(16, Games[[#This Row],[RestDiff]]*8))</f>
        <v>-8</v>
      </c>
      <c r="N302" s="1">
        <f>MAX(-16, MIN(16, Games[[#This Row],[OppRestDiff]]*8))</f>
        <v>8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1505.0946196415393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1591.0415311912416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0.25532769450811621</v>
      </c>
      <c r="R302" s="1">
        <v>63</v>
      </c>
      <c r="S302" s="1">
        <v>67</v>
      </c>
      <c r="T302" s="1">
        <v>0</v>
      </c>
      <c r="U302" s="1">
        <f>Games[[#This Row],[PointsFor]]-Games[[#This Row],[PointsAgainst]]</f>
        <v>-4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0.2906179707172234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72.400000000000006</v>
      </c>
      <c r="Z302" s="4">
        <f>Games[[#This Row],[K]]*Games[[#This Row],[POMult]]</f>
        <v>72.400000000000006</v>
      </c>
      <c r="AA302" s="4">
        <f>(Games[[#This Row],[Keff]]*Games[[#This Row],[MOVMult]])*(Games[[#This Row],[Result]]-Games[[#This Row],[ExpectedWin%]])</f>
        <v>-5.3722839106799656</v>
      </c>
      <c r="AB302" s="4">
        <f>Games[[#This Row],[PreGmRate]]+Games[[#This Row],[RatingChange]]</f>
        <v>1499.7223357308594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38192</v>
      </c>
      <c r="B303" s="2">
        <v>2004</v>
      </c>
      <c r="C303" s="2">
        <f>COUNTIFS(Games[Team],Games[[#This Row],[Team]],Games[Season],Games[[#This Row],[Season]],Games[Date],"&lt;=" &amp; Games[[#This Row],[Date]])</f>
        <v>22</v>
      </c>
      <c r="D303" s="2" t="s">
        <v>23</v>
      </c>
      <c r="E303" s="2" t="s">
        <v>29</v>
      </c>
      <c r="F303" s="1" t="s">
        <v>81</v>
      </c>
      <c r="G303" s="1" t="s">
        <v>2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3" s="2">
        <f>Games[[#This Row],[DaysOff]]-Games[[#This Row],[OppDaysOff]]</f>
        <v>1</v>
      </c>
      <c r="L303" s="2">
        <f>Games[[#This Row],[OppDaysOff]]-Games[[#This Row],[DaysOff]]</f>
        <v>-1</v>
      </c>
      <c r="M303" s="1">
        <f>MAX(-16, MIN(16, Games[[#This Row],[RestDiff]]*8))</f>
        <v>8</v>
      </c>
      <c r="N303" s="1">
        <f>MAX(-16, MIN(16, Games[[#This Row],[OppRestDiff]]*8))</f>
        <v>-8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1591.0415311912416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1505.0946196415393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0.7446723054918839</v>
      </c>
      <c r="R303" s="1">
        <v>67</v>
      </c>
      <c r="S303" s="1">
        <v>63</v>
      </c>
      <c r="T303" s="1">
        <v>0</v>
      </c>
      <c r="U303" s="1">
        <f>Games[[#This Row],[PointsFor]]-Games[[#This Row],[PointsAgainst]]</f>
        <v>4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0.2906179707172234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72.7</v>
      </c>
      <c r="Z303" s="4">
        <f>Games[[#This Row],[K]]*Games[[#This Row],[POMult]]</f>
        <v>72.7</v>
      </c>
      <c r="AA303" s="4">
        <f>(Games[[#This Row],[Keff]]*Games[[#This Row],[MOVMult]])*(Games[[#This Row],[Result]]-Games[[#This Row],[ExpectedWin%]])</f>
        <v>5.3945447556137207</v>
      </c>
      <c r="AB303" s="4">
        <f>Games[[#This Row],[PreGmRate]]+Games[[#This Row],[RatingChange]]</f>
        <v>1596.4360759468552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38193</v>
      </c>
      <c r="B304" s="2">
        <v>2004</v>
      </c>
      <c r="C304" s="2">
        <f>COUNTIFS(Games[Team],Games[[#This Row],[Team]],Games[Season],Games[[#This Row],[Season]],Games[Date],"&lt;=" &amp; Games[[#This Row],[Date]])</f>
        <v>25</v>
      </c>
      <c r="D304" s="2" t="s">
        <v>23</v>
      </c>
      <c r="E304" s="2" t="s">
        <v>29</v>
      </c>
      <c r="F304" s="1" t="s">
        <v>79</v>
      </c>
      <c r="G304" s="1" t="s">
        <v>45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4" s="2">
        <f>Games[[#This Row],[DaysOff]]-Games[[#This Row],[OppDaysOff]]</f>
        <v>-2</v>
      </c>
      <c r="L304" s="2">
        <f>Games[[#This Row],[OppDaysOff]]-Games[[#This Row],[DaysOff]]</f>
        <v>2</v>
      </c>
      <c r="M304" s="1">
        <f>MAX(-16, MIN(16, Games[[#This Row],[RestDiff]]*8))</f>
        <v>-16</v>
      </c>
      <c r="N304" s="1">
        <f>MAX(-16, MIN(16, Games[[#This Row],[OppRestDiff]]*8))</f>
        <v>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1484.923815617163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1536.2152848047351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0.2762765259311733</v>
      </c>
      <c r="R304" s="1">
        <v>62</v>
      </c>
      <c r="S304" s="1">
        <v>71</v>
      </c>
      <c r="T304" s="1">
        <v>0</v>
      </c>
      <c r="U304" s="1">
        <f>Games[[#This Row],[PointsFor]]-Games[[#This Row],[PointsAgainst]]</f>
        <v>-9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0.38933041946893021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72.25</v>
      </c>
      <c r="Z304" s="4">
        <f>Games[[#This Row],[K]]*Games[[#This Row],[POMult]]</f>
        <v>72.25</v>
      </c>
      <c r="AA304" s="4">
        <f>(Games[[#This Row],[Keff]]*Games[[#This Row],[MOVMult]])*(Games[[#This Row],[Result]]-Games[[#This Row],[ExpectedWin%]])</f>
        <v>-7.7714163265071283</v>
      </c>
      <c r="AB304" s="4">
        <f>Games[[#This Row],[PreGmRate]]+Games[[#This Row],[RatingChange]]</f>
        <v>1477.1523992906559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38193</v>
      </c>
      <c r="B305" s="2">
        <v>2004</v>
      </c>
      <c r="C305" s="2">
        <f>COUNTIFS(Games[Team],Games[[#This Row],[Team]],Games[Season],Games[[#This Row],[Season]],Games[Date],"&lt;=" &amp; Games[[#This Row],[Date]])</f>
        <v>23</v>
      </c>
      <c r="D305" s="2" t="s">
        <v>23</v>
      </c>
      <c r="E305" s="2" t="s">
        <v>29</v>
      </c>
      <c r="F305" s="1" t="s">
        <v>45</v>
      </c>
      <c r="G305" s="1" t="s">
        <v>79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5" s="2">
        <f>Games[[#This Row],[DaysOff]]-Games[[#This Row],[OppDaysOff]]</f>
        <v>2</v>
      </c>
      <c r="L305" s="2">
        <f>Games[[#This Row],[OppDaysOff]]-Games[[#This Row],[DaysOff]]</f>
        <v>-2</v>
      </c>
      <c r="M305" s="1">
        <f>MAX(-16, MIN(16, Games[[#This Row],[RestDiff]]*8))</f>
        <v>16</v>
      </c>
      <c r="N305" s="1">
        <f>MAX(-16, MIN(16, Games[[#This Row],[OppRestDiff]]*8))</f>
        <v>-16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1536.2152848047351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1484.923815617163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0.72372347406882664</v>
      </c>
      <c r="R305" s="1">
        <v>71</v>
      </c>
      <c r="S305" s="1">
        <v>62</v>
      </c>
      <c r="T305" s="1">
        <v>0</v>
      </c>
      <c r="U305" s="1">
        <f>Games[[#This Row],[PointsFor]]-Games[[#This Row],[PointsAgainst]]</f>
        <v>9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0.38933041946893021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72.55</v>
      </c>
      <c r="Z305" s="4">
        <f>Games[[#This Row],[K]]*Games[[#This Row],[POMult]]</f>
        <v>72.55</v>
      </c>
      <c r="AA305" s="4">
        <f>(Games[[#This Row],[Keff]]*Games[[#This Row],[MOVMult]])*(Games[[#This Row],[Result]]-Games[[#This Row],[ExpectedWin%]])</f>
        <v>7.8036851832261904</v>
      </c>
      <c r="AB305" s="4">
        <f>Games[[#This Row],[PreGmRate]]+Games[[#This Row],[RatingChange]]</f>
        <v>1544.0189699879613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38195</v>
      </c>
      <c r="B306" s="2">
        <v>2004</v>
      </c>
      <c r="C306" s="2">
        <f>COUNTIFS(Games[Team],Games[[#This Row],[Team]],Games[Season],Games[[#This Row],[Season]],Games[Date],"&lt;=" &amp; Games[[#This Row],[Date]])</f>
        <v>23</v>
      </c>
      <c r="D306" s="2" t="s">
        <v>23</v>
      </c>
      <c r="E306" s="2" t="s">
        <v>29</v>
      </c>
      <c r="F306" s="1" t="s">
        <v>81</v>
      </c>
      <c r="G306" s="1" t="s">
        <v>2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1596.4360759468552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1499.7223357308594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0.51828838062192284</v>
      </c>
      <c r="R306" s="1">
        <v>55</v>
      </c>
      <c r="S306" s="1">
        <v>80</v>
      </c>
      <c r="T306" s="1">
        <v>0</v>
      </c>
      <c r="U306" s="1">
        <f>Games[[#This Row],[PointsFor]]-Games[[#This Row],[PointsAgainst]]</f>
        <v>-25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0.59351081908364145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72.55</v>
      </c>
      <c r="Z306" s="4">
        <f>Games[[#This Row],[K]]*Games[[#This Row],[POMult]]</f>
        <v>72.55</v>
      </c>
      <c r="AA306" s="4">
        <f>(Games[[#This Row],[Keff]]*Games[[#This Row],[MOVMult]])*(Games[[#This Row],[Result]]-Games[[#This Row],[ExpectedWin%]])</f>
        <v>-22.31708818263796</v>
      </c>
      <c r="AB306" s="4">
        <f>Games[[#This Row],[PreGmRate]]+Games[[#This Row],[RatingChange]]</f>
        <v>1574.1189877642173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38195</v>
      </c>
      <c r="B307" s="2">
        <v>2004</v>
      </c>
      <c r="C307" s="2">
        <f>COUNTIFS(Games[Team],Games[[#This Row],[Team]],Games[Season],Games[[#This Row],[Season]],Games[Date],"&lt;=" &amp; Games[[#This Row],[Date]])</f>
        <v>25</v>
      </c>
      <c r="D307" s="2" t="s">
        <v>23</v>
      </c>
      <c r="E307" s="2" t="s">
        <v>29</v>
      </c>
      <c r="F307" s="1" t="s">
        <v>2</v>
      </c>
      <c r="G307" s="1" t="s">
        <v>81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1499.7223357308594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1596.4360759468552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0.48171161937807722</v>
      </c>
      <c r="R307" s="1">
        <v>80</v>
      </c>
      <c r="S307" s="1">
        <v>55</v>
      </c>
      <c r="T307" s="1">
        <v>0</v>
      </c>
      <c r="U307" s="1">
        <f>Games[[#This Row],[PointsFor]]-Games[[#This Row],[PointsAgainst]]</f>
        <v>25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0.59351081908364145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72.25</v>
      </c>
      <c r="Z307" s="4">
        <f>Games[[#This Row],[K]]*Games[[#This Row],[POMult]]</f>
        <v>72.25</v>
      </c>
      <c r="AA307" s="4">
        <f>(Games[[#This Row],[Keff]]*Games[[#This Row],[MOVMult]])*(Games[[#This Row],[Result]]-Games[[#This Row],[ExpectedWin%]])</f>
        <v>22.224805254246622</v>
      </c>
      <c r="AB307" s="4">
        <f>Games[[#This Row],[PreGmRate]]+Games[[#This Row],[RatingChange]]</f>
        <v>1521.947140985106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38196</v>
      </c>
      <c r="B308" s="2">
        <v>2004</v>
      </c>
      <c r="C308" s="2">
        <f>COUNTIFS(Games[Team],Games[[#This Row],[Team]],Games[Season],Games[[#This Row],[Season]],Games[Date],"&lt;=" &amp; Games[[#This Row],[Date]])</f>
        <v>23</v>
      </c>
      <c r="D308" s="2" t="s">
        <v>23</v>
      </c>
      <c r="E308" s="2" t="s">
        <v>29</v>
      </c>
      <c r="F308" s="1" t="s">
        <v>64</v>
      </c>
      <c r="G308" s="1" t="s">
        <v>79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8" s="2">
        <f>Games[[#This Row],[DaysOff]]-Games[[#This Row],[OppDaysOff]]</f>
        <v>1</v>
      </c>
      <c r="L308" s="2">
        <f>Games[[#This Row],[OppDaysOff]]-Games[[#This Row],[DaysOff]]</f>
        <v>-1</v>
      </c>
      <c r="M308" s="1">
        <f>MAX(-16, MIN(16, Games[[#This Row],[RestDiff]]*8))</f>
        <v>8</v>
      </c>
      <c r="N308" s="1">
        <f>MAX(-16, MIN(16, Games[[#This Row],[OppRestDiff]]*8))</f>
        <v>-8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1471.7269665106594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1477.1523992906559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0.39587783591300407</v>
      </c>
      <c r="R308" s="1">
        <v>63</v>
      </c>
      <c r="S308" s="1">
        <v>53</v>
      </c>
      <c r="T308" s="1">
        <v>0</v>
      </c>
      <c r="U308" s="1">
        <f>Games[[#This Row],[PointsFor]]-Games[[#This Row],[PointsAgainst]]</f>
        <v>10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0.42122525822915152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72.55</v>
      </c>
      <c r="Z308" s="4">
        <f>Games[[#This Row],[K]]*Games[[#This Row],[POMult]]</f>
        <v>72.55</v>
      </c>
      <c r="AA308" s="4">
        <f>(Games[[#This Row],[Keff]]*Games[[#This Row],[MOVMult]])*(Games[[#This Row],[Result]]-Games[[#This Row],[ExpectedWin%]])</f>
        <v>18.461908382017128</v>
      </c>
      <c r="AB308" s="4">
        <f>Games[[#This Row],[PreGmRate]]+Games[[#This Row],[RatingChange]]</f>
        <v>1490.1888748926765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38196</v>
      </c>
      <c r="B309" s="2">
        <v>2004</v>
      </c>
      <c r="C309" s="2">
        <f>COUNTIFS(Games[Team],Games[[#This Row],[Team]],Games[Season],Games[[#This Row],[Season]],Games[Date],"&lt;=" &amp; Games[[#This Row],[Date]])</f>
        <v>26</v>
      </c>
      <c r="D309" s="2" t="s">
        <v>23</v>
      </c>
      <c r="E309" s="2" t="s">
        <v>29</v>
      </c>
      <c r="F309" s="1" t="s">
        <v>79</v>
      </c>
      <c r="G309" s="1" t="s">
        <v>64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9" s="2">
        <f>Games[[#This Row],[DaysOff]]-Games[[#This Row],[OppDaysOff]]</f>
        <v>-1</v>
      </c>
      <c r="L309" s="2">
        <f>Games[[#This Row],[OppDaysOff]]-Games[[#This Row],[DaysOff]]</f>
        <v>1</v>
      </c>
      <c r="M309" s="1">
        <f>MAX(-16, MIN(16, Games[[#This Row],[RestDiff]]*8))</f>
        <v>-8</v>
      </c>
      <c r="N309" s="1">
        <f>MAX(-16, MIN(16, Games[[#This Row],[OppRestDiff]]*8))</f>
        <v>8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1477.1523992906559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1471.7269665106594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0.60412216408699593</v>
      </c>
      <c r="R309" s="1">
        <v>53</v>
      </c>
      <c r="S309" s="1">
        <v>63</v>
      </c>
      <c r="T309" s="1">
        <v>0</v>
      </c>
      <c r="U309" s="1">
        <f>Games[[#This Row],[PointsFor]]-Games[[#This Row],[PointsAgainst]]</f>
        <v>-10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0.42122525822915152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72.099999999999994</v>
      </c>
      <c r="Z309" s="4">
        <f>Games[[#This Row],[K]]*Games[[#This Row],[POMult]]</f>
        <v>72.099999999999994</v>
      </c>
      <c r="AA309" s="4">
        <f>(Games[[#This Row],[Keff]]*Games[[#This Row],[MOVMult]])*(Games[[#This Row],[Result]]-Games[[#This Row],[ExpectedWin%]])</f>
        <v>-18.347396200460853</v>
      </c>
      <c r="AB309" s="4">
        <f>Games[[#This Row],[PreGmRate]]+Games[[#This Row],[RatingChange]]</f>
        <v>1458.805003090195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38196</v>
      </c>
      <c r="B310" s="2">
        <v>2004</v>
      </c>
      <c r="C310" s="2">
        <f>COUNTIFS(Games[Team],Games[[#This Row],[Team]],Games[Season],Games[[#This Row],[Season]],Games[Date],"&lt;=" &amp; Games[[#This Row],[Date]])</f>
        <v>24</v>
      </c>
      <c r="D310" s="2" t="s">
        <v>23</v>
      </c>
      <c r="E310" s="2" t="s">
        <v>29</v>
      </c>
      <c r="F310" s="1" t="s">
        <v>84</v>
      </c>
      <c r="G310" s="1" t="s">
        <v>77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0" s="2">
        <f>Games[[#This Row],[DaysOff]]-Games[[#This Row],[OppDaysOff]]</f>
        <v>-1</v>
      </c>
      <c r="L310" s="2">
        <f>Games[[#This Row],[OppDaysOff]]-Games[[#This Row],[DaysOff]]</f>
        <v>1</v>
      </c>
      <c r="M310" s="1">
        <f>MAX(-16, MIN(16, Games[[#This Row],[RestDiff]]*8))</f>
        <v>-8</v>
      </c>
      <c r="N310" s="1">
        <f>MAX(-16, MIN(16, Games[[#This Row],[OppRestDiff]]*8))</f>
        <v>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1366.6368734395583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1522.6772300522894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0.18635256265508635</v>
      </c>
      <c r="R310" s="1">
        <v>53</v>
      </c>
      <c r="S310" s="1">
        <v>66</v>
      </c>
      <c r="T310" s="1">
        <v>0</v>
      </c>
      <c r="U310" s="1">
        <f>Games[[#This Row],[PointsFor]]-Games[[#This Row],[PointsAgainst]]</f>
        <v>-13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0.41772540471574854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72.400000000000006</v>
      </c>
      <c r="Z310" s="4">
        <f>Games[[#This Row],[K]]*Games[[#This Row],[POMult]]</f>
        <v>72.400000000000006</v>
      </c>
      <c r="AA310" s="4">
        <f>(Games[[#This Row],[Keff]]*Games[[#This Row],[MOVMult]])*(Games[[#This Row],[Result]]-Games[[#This Row],[ExpectedWin%]])</f>
        <v>-5.6359200550156894</v>
      </c>
      <c r="AB310" s="4">
        <f>Games[[#This Row],[PreGmRate]]+Games[[#This Row],[RatingChange]]</f>
        <v>1361.0009533845425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38196</v>
      </c>
      <c r="B311" s="2">
        <v>2004</v>
      </c>
      <c r="C311" s="2">
        <f>COUNTIFS(Games[Team],Games[[#This Row],[Team]],Games[Season],Games[[#This Row],[Season]],Games[Date],"&lt;=" &amp; Games[[#This Row],[Date]])</f>
        <v>24</v>
      </c>
      <c r="D311" s="2" t="s">
        <v>23</v>
      </c>
      <c r="E311" s="2" t="s">
        <v>29</v>
      </c>
      <c r="F311" s="1" t="s">
        <v>77</v>
      </c>
      <c r="G311" s="1" t="s">
        <v>84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1" s="2">
        <f>Games[[#This Row],[DaysOff]]-Games[[#This Row],[OppDaysOff]]</f>
        <v>1</v>
      </c>
      <c r="L311" s="2">
        <f>Games[[#This Row],[OppDaysOff]]-Games[[#This Row],[DaysOff]]</f>
        <v>-1</v>
      </c>
      <c r="M311" s="1">
        <f>MAX(-16, MIN(16, Games[[#This Row],[RestDiff]]*8))</f>
        <v>8</v>
      </c>
      <c r="N311" s="1">
        <f>MAX(-16, MIN(16, Games[[#This Row],[OppRestDiff]]*8))</f>
        <v>-8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1522.6772300522894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1366.6368734395583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0.81364743734491363</v>
      </c>
      <c r="R311" s="1">
        <v>66</v>
      </c>
      <c r="S311" s="1">
        <v>53</v>
      </c>
      <c r="T311" s="1">
        <v>0</v>
      </c>
      <c r="U311" s="1">
        <f>Games[[#This Row],[PointsFor]]-Games[[#This Row],[PointsAgainst]]</f>
        <v>13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0.41772540471574854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72.400000000000006</v>
      </c>
      <c r="Z311" s="4">
        <f>Games[[#This Row],[K]]*Games[[#This Row],[POMult]]</f>
        <v>72.400000000000006</v>
      </c>
      <c r="AA311" s="4">
        <f>(Games[[#This Row],[Keff]]*Games[[#This Row],[MOVMult]])*(Games[[#This Row],[Result]]-Games[[#This Row],[ExpectedWin%]])</f>
        <v>5.6359200550156903</v>
      </c>
      <c r="AB311" s="4">
        <f>Games[[#This Row],[PreGmRate]]+Games[[#This Row],[RatingChange]]</f>
        <v>1528.3131501073051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38196</v>
      </c>
      <c r="B312" s="2">
        <v>2004</v>
      </c>
      <c r="C312" s="2">
        <f>COUNTIFS(Games[Team],Games[[#This Row],[Team]],Games[Season],Games[[#This Row],[Season]],Games[Date],"&lt;=" &amp; Games[[#This Row],[Date]])</f>
        <v>25</v>
      </c>
      <c r="D312" s="2" t="s">
        <v>23</v>
      </c>
      <c r="E312" s="2" t="s">
        <v>29</v>
      </c>
      <c r="F312" s="1" t="s">
        <v>75</v>
      </c>
      <c r="G312" s="1" t="s">
        <v>73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1485.8000981268733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1444.1244147264404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0.43938993202233412</v>
      </c>
      <c r="R312" s="1">
        <v>73</v>
      </c>
      <c r="S312" s="1">
        <v>65</v>
      </c>
      <c r="T312" s="1">
        <v>0</v>
      </c>
      <c r="U312" s="1">
        <f>Games[[#This Row],[PointsFor]]-Games[[#This Row],[PointsAgainst]]</f>
        <v>8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0.3752820871288105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72.25</v>
      </c>
      <c r="Z312" s="4">
        <f>Games[[#This Row],[K]]*Games[[#This Row],[POMult]]</f>
        <v>72.25</v>
      </c>
      <c r="AA312" s="4">
        <f>(Games[[#This Row],[Keff]]*Games[[#This Row],[MOVMult]])*(Games[[#This Row],[Result]]-Games[[#This Row],[ExpectedWin%]])</f>
        <v>15.200454708171982</v>
      </c>
      <c r="AB312" s="4">
        <f>Games[[#This Row],[PreGmRate]]+Games[[#This Row],[RatingChange]]</f>
        <v>1501.0005528350453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38196</v>
      </c>
      <c r="B313" s="2">
        <v>2004</v>
      </c>
      <c r="C313" s="2">
        <f>COUNTIFS(Games[Team],Games[[#This Row],[Team]],Games[Season],Games[[#This Row],[Season]],Games[Date],"&lt;=" &amp; Games[[#This Row],[Date]])</f>
        <v>24</v>
      </c>
      <c r="D313" s="2" t="s">
        <v>23</v>
      </c>
      <c r="E313" s="2" t="s">
        <v>29</v>
      </c>
      <c r="F313" s="1" t="s">
        <v>73</v>
      </c>
      <c r="G313" s="1" t="s">
        <v>75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1444.1244147264404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1485.8000981268733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0.56061006797766588</v>
      </c>
      <c r="R313" s="1">
        <v>65</v>
      </c>
      <c r="S313" s="1">
        <v>73</v>
      </c>
      <c r="T313" s="1">
        <v>0</v>
      </c>
      <c r="U313" s="1">
        <f>Games[[#This Row],[PointsFor]]-Games[[#This Row],[PointsAgainst]]</f>
        <v>-8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0.3752820871288105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72.400000000000006</v>
      </c>
      <c r="Z313" s="4">
        <f>Games[[#This Row],[K]]*Games[[#This Row],[POMult]]</f>
        <v>72.400000000000006</v>
      </c>
      <c r="AA313" s="4">
        <f>(Games[[#This Row],[Keff]]*Games[[#This Row],[MOVMult]])*(Games[[#This Row],[Result]]-Games[[#This Row],[ExpectedWin%]])</f>
        <v>-15.232012745628394</v>
      </c>
      <c r="AB313" s="4">
        <f>Games[[#This Row],[PreGmRate]]+Games[[#This Row],[RatingChange]]</f>
        <v>1428.8924019808119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38197</v>
      </c>
      <c r="B314" s="2">
        <v>2004</v>
      </c>
      <c r="C314" s="2">
        <f>COUNTIFS(Games[Team],Games[[#This Row],[Team]],Games[Season],Games[[#This Row],[Season]],Games[Date],"&lt;=" &amp; Games[[#This Row],[Date]])</f>
        <v>25</v>
      </c>
      <c r="D314" s="2" t="s">
        <v>23</v>
      </c>
      <c r="E314" s="2" t="s">
        <v>29</v>
      </c>
      <c r="F314" s="1" t="s">
        <v>70</v>
      </c>
      <c r="G314" s="1" t="s">
        <v>45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5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4" s="2">
        <f>Games[[#This Row],[DaysOff]]-Games[[#This Row],[OppDaysOff]]</f>
        <v>2</v>
      </c>
      <c r="L314" s="2">
        <f>Games[[#This Row],[OppDaysOff]]-Games[[#This Row],[DaysOff]]</f>
        <v>-2</v>
      </c>
      <c r="M314" s="1">
        <f>MAX(-16, MIN(16, Games[[#This Row],[RestDiff]]*8))</f>
        <v>16</v>
      </c>
      <c r="N314" s="1">
        <f>MAX(-16, MIN(16, Games[[#This Row],[OppRestDiff]]*8))</f>
        <v>-16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1627.5414018541194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1544.0189699879613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0.54524035874708043</v>
      </c>
      <c r="R314" s="1">
        <v>85</v>
      </c>
      <c r="S314" s="1">
        <v>80</v>
      </c>
      <c r="T314" s="1">
        <v>1</v>
      </c>
      <c r="U314" s="1">
        <f>Games[[#This Row],[PointsFor]]-Games[[#This Row],[PointsAgainst]]</f>
        <v>5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0.27915090893830957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72.25</v>
      </c>
      <c r="Z314" s="4">
        <f>Games[[#This Row],[K]]*Games[[#This Row],[POMult]]</f>
        <v>72.25</v>
      </c>
      <c r="AA314" s="4">
        <f>(Games[[#This Row],[Keff]]*Games[[#This Row],[MOVMult]])*(Games[[#This Row],[Result]]-Games[[#This Row],[ExpectedWin%]])</f>
        <v>9.1718894805043227</v>
      </c>
      <c r="AB314" s="4">
        <f>Games[[#This Row],[PreGmRate]]+Games[[#This Row],[RatingChange]]</f>
        <v>1636.7132913346238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38197</v>
      </c>
      <c r="B315" s="2">
        <v>2004</v>
      </c>
      <c r="C315" s="2">
        <f>COUNTIFS(Games[Team],Games[[#This Row],[Team]],Games[Season],Games[[#This Row],[Season]],Games[Date],"&lt;=" &amp; Games[[#This Row],[Date]])</f>
        <v>24</v>
      </c>
      <c r="D315" s="2" t="s">
        <v>23</v>
      </c>
      <c r="E315" s="2" t="s">
        <v>29</v>
      </c>
      <c r="F315" s="1" t="s">
        <v>45</v>
      </c>
      <c r="G315" s="1" t="s">
        <v>70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15" s="2">
        <f>Games[[#This Row],[DaysOff]]-Games[[#This Row],[OppDaysOff]]</f>
        <v>-2</v>
      </c>
      <c r="L315" s="2">
        <f>Games[[#This Row],[OppDaysOff]]-Games[[#This Row],[DaysOff]]</f>
        <v>2</v>
      </c>
      <c r="M315" s="1">
        <f>MAX(-16, MIN(16, Games[[#This Row],[RestDiff]]*8))</f>
        <v>-16</v>
      </c>
      <c r="N315" s="1">
        <f>MAX(-16, MIN(16, Games[[#This Row],[OppRestDiff]]*8))</f>
        <v>16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1544.0189699879613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1627.5414018541194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0.45475964125291951</v>
      </c>
      <c r="R315" s="1">
        <v>80</v>
      </c>
      <c r="S315" s="1">
        <v>85</v>
      </c>
      <c r="T315" s="1">
        <v>1</v>
      </c>
      <c r="U315" s="1">
        <f>Games[[#This Row],[PointsFor]]-Games[[#This Row],[PointsAgainst]]</f>
        <v>-5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0.27915090893830957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72.400000000000006</v>
      </c>
      <c r="Z315" s="4">
        <f>Games[[#This Row],[K]]*Games[[#This Row],[POMult]]</f>
        <v>72.400000000000006</v>
      </c>
      <c r="AA315" s="4">
        <f>(Games[[#This Row],[Keff]]*Games[[#This Row],[MOVMult]])*(Games[[#This Row],[Result]]-Games[[#This Row],[ExpectedWin%]])</f>
        <v>-9.1909314655849546</v>
      </c>
      <c r="AB315" s="4">
        <f>Games[[#This Row],[PreGmRate]]+Games[[#This Row],[RatingChange]]</f>
        <v>1534.8280385223763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38198</v>
      </c>
      <c r="B316" s="2">
        <v>2004</v>
      </c>
      <c r="C316" s="2">
        <f>COUNTIFS(Games[Team],Games[[#This Row],[Team]],Games[Season],Games[[#This Row],[Season]],Games[Date],"&lt;=" &amp; Games[[#This Row],[Date]])</f>
        <v>24</v>
      </c>
      <c r="D316" s="2" t="s">
        <v>23</v>
      </c>
      <c r="E316" s="2" t="s">
        <v>29</v>
      </c>
      <c r="F316" s="1" t="s">
        <v>66</v>
      </c>
      <c r="G316" s="1" t="s">
        <v>75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5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4</v>
      </c>
      <c r="L316" s="2">
        <f>Games[[#This Row],[OppDaysOff]]-Games[[#This Row],[DaysOff]]</f>
        <v>-4</v>
      </c>
      <c r="M316" s="1">
        <f>MAX(-16, MIN(16, Games[[#This Row],[RestDiff]]*8))</f>
        <v>16</v>
      </c>
      <c r="N316" s="1">
        <f>MAX(-16, MIN(16, Games[[#This Row],[OppRestDiff]]*8))</f>
        <v>-16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1496.4454270520264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1501.0005528350453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0.41932194917088583</v>
      </c>
      <c r="R316" s="1">
        <v>79</v>
      </c>
      <c r="S316" s="1">
        <v>88</v>
      </c>
      <c r="T316" s="1">
        <v>0</v>
      </c>
      <c r="U316" s="1">
        <f>Games[[#This Row],[PointsFor]]-Games[[#This Row],[PointsAgainst]]</f>
        <v>-9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0.40443631192056079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72.400000000000006</v>
      </c>
      <c r="Z316" s="4">
        <f>Games[[#This Row],[K]]*Games[[#This Row],[POMult]]</f>
        <v>72.400000000000006</v>
      </c>
      <c r="AA316" s="4">
        <f>(Games[[#This Row],[Keff]]*Games[[#This Row],[MOVMult]])*(Games[[#This Row],[Result]]-Games[[#This Row],[ExpectedWin%]])</f>
        <v>-12.278245238413009</v>
      </c>
      <c r="AB316" s="4">
        <f>Games[[#This Row],[PreGmRate]]+Games[[#This Row],[RatingChange]]</f>
        <v>1484.1671818136133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38198</v>
      </c>
      <c r="B317" s="2">
        <v>2004</v>
      </c>
      <c r="C317" s="2">
        <f>COUNTIFS(Games[Team],Games[[#This Row],[Team]],Games[Season],Games[[#This Row],[Season]],Games[Date],"&lt;=" &amp; Games[[#This Row],[Date]])</f>
        <v>26</v>
      </c>
      <c r="D317" s="2" t="s">
        <v>23</v>
      </c>
      <c r="E317" s="2" t="s">
        <v>29</v>
      </c>
      <c r="F317" s="1" t="s">
        <v>75</v>
      </c>
      <c r="G317" s="1" t="s">
        <v>66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17" s="2">
        <f>Games[[#This Row],[DaysOff]]-Games[[#This Row],[OppDaysOff]]</f>
        <v>-4</v>
      </c>
      <c r="L317" s="2">
        <f>Games[[#This Row],[OppDaysOff]]-Games[[#This Row],[DaysOff]]</f>
        <v>4</v>
      </c>
      <c r="M317" s="1">
        <f>MAX(-16, MIN(16, Games[[#This Row],[RestDiff]]*8))</f>
        <v>-16</v>
      </c>
      <c r="N317" s="1">
        <f>MAX(-16, MIN(16, Games[[#This Row],[OppRestDiff]]*8))</f>
        <v>16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1501.0005528350453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1496.4454270520264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0.58067805082911417</v>
      </c>
      <c r="R317" s="1">
        <v>88</v>
      </c>
      <c r="S317" s="1">
        <v>79</v>
      </c>
      <c r="T317" s="1">
        <v>0</v>
      </c>
      <c r="U317" s="1">
        <f>Games[[#This Row],[PointsFor]]-Games[[#This Row],[PointsAgainst]]</f>
        <v>9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0.40443631192056079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72.099999999999994</v>
      </c>
      <c r="Z317" s="4">
        <f>Games[[#This Row],[K]]*Games[[#This Row],[POMult]]</f>
        <v>72.099999999999994</v>
      </c>
      <c r="AA317" s="4">
        <f>(Games[[#This Row],[Keff]]*Games[[#This Row],[MOVMult]])*(Games[[#This Row],[Result]]-Games[[#This Row],[ExpectedWin%]])</f>
        <v>12.227368531624002</v>
      </c>
      <c r="AB317" s="4">
        <f>Games[[#This Row],[PreGmRate]]+Games[[#This Row],[RatingChange]]</f>
        <v>1513.2279213666693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38198</v>
      </c>
      <c r="B318" s="2">
        <v>2004</v>
      </c>
      <c r="C318" s="2">
        <f>COUNTIFS(Games[Team],Games[[#This Row],[Team]],Games[Season],Games[[#This Row],[Season]],Games[Date],"&lt;=" &amp; Games[[#This Row],[Date]])</f>
        <v>24</v>
      </c>
      <c r="D318" s="2" t="s">
        <v>23</v>
      </c>
      <c r="E318" s="2" t="s">
        <v>29</v>
      </c>
      <c r="F318" s="1" t="s">
        <v>81</v>
      </c>
      <c r="G318" s="1" t="s">
        <v>77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1</v>
      </c>
      <c r="L318" s="2">
        <f>Games[[#This Row],[OppDaysOff]]-Games[[#This Row],[DaysOff]]</f>
        <v>-1</v>
      </c>
      <c r="M318" s="1">
        <f>MAX(-16, MIN(16, Games[[#This Row],[RestDiff]]*8))</f>
        <v>8</v>
      </c>
      <c r="N318" s="1">
        <f>MAX(-16, MIN(16, Games[[#This Row],[OppRestDiff]]*8))</f>
        <v>-8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1574.1189877642173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1528.3131501073051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0.4681034073343428</v>
      </c>
      <c r="R318" s="1">
        <v>70</v>
      </c>
      <c r="S318" s="1">
        <v>55</v>
      </c>
      <c r="T318" s="1">
        <v>0</v>
      </c>
      <c r="U318" s="1">
        <f>Games[[#This Row],[PointsFor]]-Games[[#This Row],[PointsAgainst]]</f>
        <v>15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0.48435929212646212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72.400000000000006</v>
      </c>
      <c r="Z318" s="4">
        <f>Games[[#This Row],[K]]*Games[[#This Row],[POMult]]</f>
        <v>72.400000000000006</v>
      </c>
      <c r="AA318" s="4">
        <f>(Games[[#This Row],[Keff]]*Games[[#This Row],[MOVMult]])*(Games[[#This Row],[Result]]-Games[[#This Row],[ExpectedWin%]])</f>
        <v>18.652343734620278</v>
      </c>
      <c r="AB318" s="4">
        <f>Games[[#This Row],[PreGmRate]]+Games[[#This Row],[RatingChange]]</f>
        <v>1592.7713314988375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38198</v>
      </c>
      <c r="B319" s="2">
        <v>2004</v>
      </c>
      <c r="C319" s="2">
        <f>COUNTIFS(Games[Team],Games[[#This Row],[Team]],Games[Season],Games[[#This Row],[Season]],Games[Date],"&lt;=" &amp; Games[[#This Row],[Date]])</f>
        <v>25</v>
      </c>
      <c r="D319" s="2" t="s">
        <v>23</v>
      </c>
      <c r="E319" s="2" t="s">
        <v>29</v>
      </c>
      <c r="F319" s="1" t="s">
        <v>77</v>
      </c>
      <c r="G319" s="1" t="s">
        <v>81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9" s="2">
        <f>Games[[#This Row],[DaysOff]]-Games[[#This Row],[OppDaysOff]]</f>
        <v>-1</v>
      </c>
      <c r="L319" s="2">
        <f>Games[[#This Row],[OppDaysOff]]-Games[[#This Row],[DaysOff]]</f>
        <v>1</v>
      </c>
      <c r="M319" s="1">
        <f>MAX(-16, MIN(16, Games[[#This Row],[RestDiff]]*8))</f>
        <v>-8</v>
      </c>
      <c r="N319" s="1">
        <f>MAX(-16, MIN(16, Games[[#This Row],[OppRestDiff]]*8))</f>
        <v>8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1528.3131501073051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1574.1189877642173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0.53189659266565714</v>
      </c>
      <c r="R319" s="1">
        <v>55</v>
      </c>
      <c r="S319" s="1">
        <v>70</v>
      </c>
      <c r="T319" s="1">
        <v>0</v>
      </c>
      <c r="U319" s="1">
        <f>Games[[#This Row],[PointsFor]]-Games[[#This Row],[PointsAgainst]]</f>
        <v>-15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0.48435929212646212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72.25</v>
      </c>
      <c r="Z319" s="4">
        <f>Games[[#This Row],[K]]*Games[[#This Row],[POMult]]</f>
        <v>72.25</v>
      </c>
      <c r="AA319" s="4">
        <f>(Games[[#This Row],[Keff]]*Games[[#This Row],[MOVMult]])*(Games[[#This Row],[Result]]-Games[[#This Row],[ExpectedWin%]])</f>
        <v>-18.613699376054075</v>
      </c>
      <c r="AB319" s="4">
        <f>Games[[#This Row],[PreGmRate]]+Games[[#This Row],[RatingChange]]</f>
        <v>1509.6994507312511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38198</v>
      </c>
      <c r="B320" s="2">
        <v>2004</v>
      </c>
      <c r="C320" s="2">
        <f>COUNTIFS(Games[Team],Games[[#This Row],[Team]],Games[Season],Games[[#This Row],[Season]],Games[Date],"&lt;=" &amp; Games[[#This Row],[Date]])</f>
        <v>24</v>
      </c>
      <c r="D320" s="2" t="s">
        <v>23</v>
      </c>
      <c r="E320" s="2" t="s">
        <v>29</v>
      </c>
      <c r="F320" s="1" t="s">
        <v>44</v>
      </c>
      <c r="G320" s="1" t="s">
        <v>84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4</v>
      </c>
      <c r="L320" s="2">
        <f>Games[[#This Row],[OppDaysOff]]-Games[[#This Row],[DaysOff]]</f>
        <v>-4</v>
      </c>
      <c r="M320" s="1">
        <f>MAX(-16, MIN(16, Games[[#This Row],[RestDiff]]*8))</f>
        <v>16</v>
      </c>
      <c r="N320" s="1">
        <f>MAX(-16, MIN(16, Games[[#This Row],[OppRestDiff]]*8))</f>
        <v>-16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1490.7089338788182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1361.0009533845425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0.61000258732315449</v>
      </c>
      <c r="R320" s="1">
        <v>68</v>
      </c>
      <c r="S320" s="1">
        <v>59</v>
      </c>
      <c r="T320" s="1">
        <v>0</v>
      </c>
      <c r="U320" s="1">
        <f>Games[[#This Row],[PointsFor]]-Games[[#This Row],[PointsAgainst]]</f>
        <v>9</v>
      </c>
      <c r="V320" s="1">
        <f>IF(Games[[#This Row],[MOV]]&gt;0,1,IF(Games[[#This Row],[MOV]]=0,0.5,0))</f>
        <v>1</v>
      </c>
      <c r="W320" s="4">
        <f>((ABS(Games[[#This Row],[MOV]])+5)^0.6)/(12+0.01*(ABS(Games[[#This Row],[PreGmRate]]-Games[[#This Row],[OppPreGmRate]])))*IF(Games[[#This Row],[OT]]=1,0.9,1)</f>
        <v>0.36637054129403906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72.400000000000006</v>
      </c>
      <c r="Z320" s="4">
        <f>Games[[#This Row],[K]]*Games[[#This Row],[POMult]]</f>
        <v>72.400000000000006</v>
      </c>
      <c r="AA320" s="4">
        <f>(Games[[#This Row],[Keff]]*Games[[#This Row],[MOVMult]])*(Games[[#This Row],[Result]]-Games[[#This Row],[ExpectedWin%]])</f>
        <v>10.344769974644002</v>
      </c>
      <c r="AB320" s="4">
        <f>Games[[#This Row],[PreGmRate]]+Games[[#This Row],[RatingChange]]</f>
        <v>1501.0537038534621</v>
      </c>
      <c r="AC320" s="2">
        <f>IF(Games[[#This Row],[Type]]="R",IF(Games[[#This Row],[Result]]&gt;0.5,1,0),0)</f>
        <v>1</v>
      </c>
      <c r="AD320" s="2">
        <f>IF(Games[[#This Row],[Type]]="R",IF(Games[[#This Row],[Result]]&lt;0.5,1,0),0)</f>
        <v>0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38198</v>
      </c>
      <c r="B321" s="2">
        <v>2004</v>
      </c>
      <c r="C321" s="2">
        <f>COUNTIFS(Games[Team],Games[[#This Row],[Team]],Games[Season],Games[[#This Row],[Season]],Games[Date],"&lt;=" &amp; Games[[#This Row],[Date]])</f>
        <v>25</v>
      </c>
      <c r="D321" s="2" t="s">
        <v>23</v>
      </c>
      <c r="E321" s="2" t="s">
        <v>29</v>
      </c>
      <c r="F321" s="1" t="s">
        <v>84</v>
      </c>
      <c r="G321" s="1" t="s">
        <v>44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1" s="2">
        <f>Games[[#This Row],[DaysOff]]-Games[[#This Row],[OppDaysOff]]</f>
        <v>-4</v>
      </c>
      <c r="L321" s="2">
        <f>Games[[#This Row],[OppDaysOff]]-Games[[#This Row],[DaysOff]]</f>
        <v>4</v>
      </c>
      <c r="M321" s="1">
        <f>MAX(-16, MIN(16, Games[[#This Row],[RestDiff]]*8))</f>
        <v>-16</v>
      </c>
      <c r="N321" s="1">
        <f>MAX(-16, MIN(16, Games[[#This Row],[OppRestDiff]]*8))</f>
        <v>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1361.0009533845425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1490.7089338788182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0.38999741267684551</v>
      </c>
      <c r="R321" s="1">
        <v>59</v>
      </c>
      <c r="S321" s="1">
        <v>68</v>
      </c>
      <c r="T321" s="1">
        <v>0</v>
      </c>
      <c r="U321" s="1">
        <f>Games[[#This Row],[PointsFor]]-Games[[#This Row],[PointsAgainst]]</f>
        <v>-9</v>
      </c>
      <c r="V321" s="1">
        <f>IF(Games[[#This Row],[MOV]]&gt;0,1,IF(Games[[#This Row],[MOV]]=0,0.5,0))</f>
        <v>0</v>
      </c>
      <c r="W321" s="4">
        <f>((ABS(Games[[#This Row],[MOV]])+5)^0.6)/(12+0.01*(ABS(Games[[#This Row],[PreGmRate]]-Games[[#This Row],[OppPreGmRate]])))*IF(Games[[#This Row],[OT]]=1,0.9,1)</f>
        <v>0.36637054129403906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72.25</v>
      </c>
      <c r="Z321" s="4">
        <f>Games[[#This Row],[K]]*Games[[#This Row],[POMult]]</f>
        <v>72.25</v>
      </c>
      <c r="AA321" s="4">
        <f>(Games[[#This Row],[Keff]]*Games[[#This Row],[MOVMult]])*(Games[[#This Row],[Result]]-Games[[#This Row],[ExpectedWin%]])</f>
        <v>-10.323337440166148</v>
      </c>
      <c r="AB321" s="4">
        <f>Games[[#This Row],[PreGmRate]]+Games[[#This Row],[RatingChange]]</f>
        <v>1350.6776159443764</v>
      </c>
      <c r="AC321" s="2">
        <f>IF(Games[[#This Row],[Type]]="R",IF(Games[[#This Row],[Result]]&gt;0.5,1,0),0)</f>
        <v>0</v>
      </c>
      <c r="AD321" s="2">
        <f>IF(Games[[#This Row],[Type]]="R",IF(Games[[#This Row],[Result]]&lt;0.5,1,0),0)</f>
        <v>1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38198</v>
      </c>
      <c r="B322" s="2">
        <v>2004</v>
      </c>
      <c r="C322" s="2">
        <f>COUNTIFS(Games[Team],Games[[#This Row],[Team]],Games[Season],Games[[#This Row],[Season]],Games[Date],"&lt;=" &amp; Games[[#This Row],[Date]])</f>
        <v>26</v>
      </c>
      <c r="D322" s="2" t="s">
        <v>23</v>
      </c>
      <c r="E322" s="2" t="s">
        <v>29</v>
      </c>
      <c r="F322" s="1" t="s">
        <v>86</v>
      </c>
      <c r="G322" s="1" t="s">
        <v>73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4</v>
      </c>
      <c r="L322" s="2">
        <f>Games[[#This Row],[OppDaysOff]]-Games[[#This Row],[DaysOff]]</f>
        <v>-4</v>
      </c>
      <c r="M322" s="1">
        <f>MAX(-16, MIN(16, Games[[#This Row],[RestDiff]]*8))</f>
        <v>16</v>
      </c>
      <c r="N322" s="1">
        <f>MAX(-16, MIN(16, Games[[#This Row],[OppRestDiff]]*8))</f>
        <v>-16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1496.2255936823346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1428.8924019808119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0.52205192184813987</v>
      </c>
      <c r="R322" s="1">
        <v>68</v>
      </c>
      <c r="S322" s="1">
        <v>69</v>
      </c>
      <c r="T322" s="1">
        <v>0</v>
      </c>
      <c r="U322" s="1">
        <f>Games[[#This Row],[PointsFor]]-Games[[#This Row],[PointsAgainst]]</f>
        <v>-1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0.23120644758380318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72.099999999999994</v>
      </c>
      <c r="Z322" s="4">
        <f>Games[[#This Row],[K]]*Games[[#This Row],[POMult]]</f>
        <v>72.099999999999994</v>
      </c>
      <c r="AA322" s="4">
        <f>(Games[[#This Row],[Keff]]*Games[[#This Row],[MOVMult]])*(Games[[#This Row],[Result]]-Games[[#This Row],[ExpectedWin%]])</f>
        <v>-8.7025976389764885</v>
      </c>
      <c r="AB322" s="4">
        <f>Games[[#This Row],[PreGmRate]]+Games[[#This Row],[RatingChange]]</f>
        <v>1487.5229960433583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38198</v>
      </c>
      <c r="B323" s="2">
        <v>2004</v>
      </c>
      <c r="C323" s="2">
        <f>COUNTIFS(Games[Team],Games[[#This Row],[Team]],Games[Season],Games[[#This Row],[Season]],Games[Date],"&lt;=" &amp; Games[[#This Row],[Date]])</f>
        <v>25</v>
      </c>
      <c r="D323" s="2" t="s">
        <v>23</v>
      </c>
      <c r="E323" s="2" t="s">
        <v>29</v>
      </c>
      <c r="F323" s="1" t="s">
        <v>73</v>
      </c>
      <c r="G323" s="1" t="s">
        <v>86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3" s="2">
        <f>Games[[#This Row],[DaysOff]]-Games[[#This Row],[OppDaysOff]]</f>
        <v>-4</v>
      </c>
      <c r="L323" s="2">
        <f>Games[[#This Row],[OppDaysOff]]-Games[[#This Row],[DaysOff]]</f>
        <v>4</v>
      </c>
      <c r="M323" s="1">
        <f>MAX(-16, MIN(16, Games[[#This Row],[RestDiff]]*8))</f>
        <v>-16</v>
      </c>
      <c r="N323" s="1">
        <f>MAX(-16, MIN(16, Games[[#This Row],[OppRestDiff]]*8))</f>
        <v>16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1428.8924019808119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1496.2255936823346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0.47794807815186019</v>
      </c>
      <c r="R323" s="1">
        <v>69</v>
      </c>
      <c r="S323" s="1">
        <v>68</v>
      </c>
      <c r="T323" s="1">
        <v>0</v>
      </c>
      <c r="U323" s="1">
        <f>Games[[#This Row],[PointsFor]]-Games[[#This Row],[PointsAgainst]]</f>
        <v>1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0.23120644758380318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72.25</v>
      </c>
      <c r="Z323" s="4">
        <f>Games[[#This Row],[K]]*Games[[#This Row],[POMult]]</f>
        <v>72.25</v>
      </c>
      <c r="AA323" s="4">
        <f>(Games[[#This Row],[Keff]]*Games[[#This Row],[MOVMult]])*(Games[[#This Row],[Result]]-Games[[#This Row],[ExpectedWin%]])</f>
        <v>8.7207029045222093</v>
      </c>
      <c r="AB323" s="4">
        <f>Games[[#This Row],[PreGmRate]]+Games[[#This Row],[RatingChange]]</f>
        <v>1437.613104885334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38199</v>
      </c>
      <c r="B324" s="2">
        <v>2004</v>
      </c>
      <c r="C324" s="2">
        <f>COUNTIFS(Games[Team],Games[[#This Row],[Team]],Games[Season],Games[[#This Row],[Season]],Games[Date],"&lt;=" &amp; Games[[#This Row],[Date]])</f>
        <v>27</v>
      </c>
      <c r="D324" s="2" t="s">
        <v>23</v>
      </c>
      <c r="E324" s="2" t="s">
        <v>29</v>
      </c>
      <c r="F324" s="1" t="s">
        <v>79</v>
      </c>
      <c r="G324" s="1" t="s">
        <v>2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4" s="2">
        <f>Games[[#This Row],[DaysOff]]-Games[[#This Row],[OppDaysOff]]</f>
        <v>-1</v>
      </c>
      <c r="L324" s="2">
        <f>Games[[#This Row],[OppDaysOff]]-Games[[#This Row],[DaysOff]]</f>
        <v>1</v>
      </c>
      <c r="M324" s="1">
        <f>MAX(-16, MIN(16, Games[[#This Row],[RestDiff]]*8))</f>
        <v>-8</v>
      </c>
      <c r="N324" s="1">
        <f>MAX(-16, MIN(16, Games[[#This Row],[OppRestDiff]]*8))</f>
        <v>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1458.805003090195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1521.947140985106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0.28107780197925264</v>
      </c>
      <c r="R324" s="1">
        <v>54</v>
      </c>
      <c r="S324" s="1">
        <v>62</v>
      </c>
      <c r="T324" s="1">
        <v>0</v>
      </c>
      <c r="U324" s="1">
        <f>Games[[#This Row],[PointsFor]]-Games[[#This Row],[PointsAgainst]]</f>
        <v>-8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0.36890436002727539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-7.4605549779732687</v>
      </c>
      <c r="AB324" s="4">
        <f>Games[[#This Row],[PreGmRate]]+Games[[#This Row],[RatingChange]]</f>
        <v>1451.3444481122217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38199</v>
      </c>
      <c r="B325" s="2">
        <v>2004</v>
      </c>
      <c r="C325" s="2">
        <f>COUNTIFS(Games[Team],Games[[#This Row],[Team]],Games[Season],Games[[#This Row],[Season]],Games[Date],"&lt;=" &amp; Games[[#This Row],[Date]])</f>
        <v>26</v>
      </c>
      <c r="D325" s="2" t="s">
        <v>23</v>
      </c>
      <c r="E325" s="2" t="s">
        <v>29</v>
      </c>
      <c r="F325" s="1" t="s">
        <v>2</v>
      </c>
      <c r="G325" s="1" t="s">
        <v>79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5" s="2">
        <f>Games[[#This Row],[DaysOff]]-Games[[#This Row],[OppDaysOff]]</f>
        <v>1</v>
      </c>
      <c r="L325" s="2">
        <f>Games[[#This Row],[OppDaysOff]]-Games[[#This Row],[DaysOff]]</f>
        <v>-1</v>
      </c>
      <c r="M325" s="1">
        <f>MAX(-16, MIN(16, Games[[#This Row],[RestDiff]]*8))</f>
        <v>8</v>
      </c>
      <c r="N325" s="1">
        <f>MAX(-16, MIN(16, Games[[#This Row],[OppRestDiff]]*8))</f>
        <v>-8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1521.947140985106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1458.805003090195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0.71892219802074731</v>
      </c>
      <c r="R325" s="1">
        <v>62</v>
      </c>
      <c r="S325" s="1">
        <v>54</v>
      </c>
      <c r="T325" s="1">
        <v>0</v>
      </c>
      <c r="U325" s="1">
        <f>Games[[#This Row],[PointsFor]]-Games[[#This Row],[PointsAgainst]]</f>
        <v>8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0.36890436002727539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72.099999999999994</v>
      </c>
      <c r="Z325" s="4">
        <f>Games[[#This Row],[K]]*Games[[#This Row],[POMult]]</f>
        <v>72.099999999999994</v>
      </c>
      <c r="AA325" s="4">
        <f>(Games[[#This Row],[Keff]]*Games[[#This Row],[MOVMult]])*(Games[[#This Row],[Result]]-Games[[#This Row],[ExpectedWin%]])</f>
        <v>7.4761086019718226</v>
      </c>
      <c r="AB325" s="4">
        <f>Games[[#This Row],[PreGmRate]]+Games[[#This Row],[RatingChange]]</f>
        <v>1529.4232495870779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38199</v>
      </c>
      <c r="B326" s="2">
        <v>2004</v>
      </c>
      <c r="C326" s="2">
        <f>COUNTIFS(Games[Team],Games[[#This Row],[Team]],Games[Season],Games[[#This Row],[Season]],Games[Date],"&lt;=" &amp; Games[[#This Row],[Date]])</f>
        <v>27</v>
      </c>
      <c r="D326" s="2" t="s">
        <v>23</v>
      </c>
      <c r="E326" s="2" t="s">
        <v>29</v>
      </c>
      <c r="F326" s="1" t="s">
        <v>86</v>
      </c>
      <c r="G326" s="1" t="s">
        <v>66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1487.5229960433583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1484.1671818136133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0.38598395701594457</v>
      </c>
      <c r="R326" s="1">
        <v>66</v>
      </c>
      <c r="S326" s="1">
        <v>80</v>
      </c>
      <c r="T326" s="1">
        <v>0</v>
      </c>
      <c r="U326" s="1">
        <f>Games[[#This Row],[PointsFor]]-Games[[#This Row],[PointsAgainst]]</f>
        <v>-14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0.48624830438489774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-13.503867010320954</v>
      </c>
      <c r="AB326" s="4">
        <f>Games[[#This Row],[PreGmRate]]+Games[[#This Row],[RatingChange]]</f>
        <v>1474.0191290330374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38199</v>
      </c>
      <c r="B327" s="2">
        <v>2004</v>
      </c>
      <c r="C327" s="2">
        <f>COUNTIFS(Games[Team],Games[[#This Row],[Team]],Games[Season],Games[[#This Row],[Season]],Games[Date],"&lt;=" &amp; Games[[#This Row],[Date]])</f>
        <v>25</v>
      </c>
      <c r="D327" s="2" t="s">
        <v>23</v>
      </c>
      <c r="E327" s="2" t="s">
        <v>29</v>
      </c>
      <c r="F327" s="1" t="s">
        <v>66</v>
      </c>
      <c r="G327" s="1" t="s">
        <v>86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1484.1671818136133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1487.5229960433583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0.61401604298405543</v>
      </c>
      <c r="R327" s="1">
        <v>80</v>
      </c>
      <c r="S327" s="1">
        <v>66</v>
      </c>
      <c r="T327" s="1">
        <v>0</v>
      </c>
      <c r="U327" s="1">
        <f>Games[[#This Row],[PointsFor]]-Games[[#This Row],[PointsAgainst]]</f>
        <v>14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0.48624830438489774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72.25</v>
      </c>
      <c r="Z327" s="4">
        <f>Games[[#This Row],[K]]*Games[[#This Row],[POMult]]</f>
        <v>72.25</v>
      </c>
      <c r="AA327" s="4">
        <f>(Games[[#This Row],[Keff]]*Games[[#This Row],[MOVMult]])*(Games[[#This Row],[Result]]-Games[[#This Row],[ExpectedWin%]])</f>
        <v>13.560172223706587</v>
      </c>
      <c r="AB327" s="4">
        <f>Games[[#This Row],[PreGmRate]]+Games[[#This Row],[RatingChange]]</f>
        <v>1497.7273540373199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38199</v>
      </c>
      <c r="B328" s="2">
        <v>2004</v>
      </c>
      <c r="C328" s="2">
        <f>COUNTIFS(Games[Team],Games[[#This Row],[Team]],Games[Season],Games[[#This Row],[Season]],Games[Date],"&lt;=" &amp; Games[[#This Row],[Date]])</f>
        <v>24</v>
      </c>
      <c r="D328" s="2" t="s">
        <v>23</v>
      </c>
      <c r="E328" s="2" t="s">
        <v>29</v>
      </c>
      <c r="F328" s="1" t="s">
        <v>64</v>
      </c>
      <c r="G328" s="1" t="s">
        <v>45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1</v>
      </c>
      <c r="L328" s="2">
        <f>Games[[#This Row],[OppDaysOff]]-Games[[#This Row],[DaysOff]]</f>
        <v>-1</v>
      </c>
      <c r="M328" s="1">
        <f>MAX(-16, MIN(16, Games[[#This Row],[RestDiff]]*8))</f>
        <v>8</v>
      </c>
      <c r="N328" s="1">
        <f>MAX(-16, MIN(16, Games[[#This Row],[OppRestDiff]]*8))</f>
        <v>-8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1490.1888748926765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1534.8280385223763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0.3433494745214235</v>
      </c>
      <c r="R328" s="1">
        <v>61</v>
      </c>
      <c r="S328" s="1">
        <v>62</v>
      </c>
      <c r="T328" s="1">
        <v>0</v>
      </c>
      <c r="U328" s="1">
        <f>Games[[#This Row],[PointsFor]]-Games[[#This Row],[PointsAgainst]]</f>
        <v>-1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0.23542213174767893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72.400000000000006</v>
      </c>
      <c r="Z328" s="4">
        <f>Games[[#This Row],[K]]*Games[[#This Row],[POMult]]</f>
        <v>72.400000000000006</v>
      </c>
      <c r="AA328" s="4">
        <f>(Games[[#This Row],[Keff]]*Games[[#This Row],[MOVMult]])*(Games[[#This Row],[Result]]-Games[[#This Row],[ExpectedWin%]])</f>
        <v>-5.8522415223825925</v>
      </c>
      <c r="AB328" s="4">
        <f>Games[[#This Row],[PreGmRate]]+Games[[#This Row],[RatingChange]]</f>
        <v>1484.3366333702938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38199</v>
      </c>
      <c r="B329" s="2">
        <v>2004</v>
      </c>
      <c r="C329" s="2">
        <f>COUNTIFS(Games[Team],Games[[#This Row],[Team]],Games[Season],Games[[#This Row],[Season]],Games[Date],"&lt;=" &amp; Games[[#This Row],[Date]])</f>
        <v>25</v>
      </c>
      <c r="D329" s="2" t="s">
        <v>23</v>
      </c>
      <c r="E329" s="2" t="s">
        <v>29</v>
      </c>
      <c r="F329" s="1" t="s">
        <v>45</v>
      </c>
      <c r="G329" s="1" t="s">
        <v>64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9" s="2">
        <f>Games[[#This Row],[DaysOff]]-Games[[#This Row],[OppDaysOff]]</f>
        <v>-1</v>
      </c>
      <c r="L329" s="2">
        <f>Games[[#This Row],[OppDaysOff]]-Games[[#This Row],[DaysOff]]</f>
        <v>1</v>
      </c>
      <c r="M329" s="1">
        <f>MAX(-16, MIN(16, Games[[#This Row],[RestDiff]]*8))</f>
        <v>-8</v>
      </c>
      <c r="N329" s="1">
        <f>MAX(-16, MIN(16, Games[[#This Row],[OppRestDiff]]*8))</f>
        <v>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1534.8280385223763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1490.1888748926765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0.6566505254785765</v>
      </c>
      <c r="R329" s="1">
        <v>62</v>
      </c>
      <c r="S329" s="1">
        <v>61</v>
      </c>
      <c r="T329" s="1">
        <v>0</v>
      </c>
      <c r="U329" s="1">
        <f>Games[[#This Row],[PointsFor]]-Games[[#This Row],[PointsAgainst]]</f>
        <v>1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0.23542213174767893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72.25</v>
      </c>
      <c r="Z329" s="4">
        <f>Games[[#This Row],[K]]*Games[[#This Row],[POMult]]</f>
        <v>72.25</v>
      </c>
      <c r="AA329" s="4">
        <f>(Games[[#This Row],[Keff]]*Games[[#This Row],[MOVMult]])*(Games[[#This Row],[Result]]-Games[[#This Row],[ExpectedWin%]])</f>
        <v>5.8401167125986504</v>
      </c>
      <c r="AB329" s="4">
        <f>Games[[#This Row],[PreGmRate]]+Games[[#This Row],[RatingChange]]</f>
        <v>1540.6681552349751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38199</v>
      </c>
      <c r="B330" s="2">
        <v>2004</v>
      </c>
      <c r="C330" s="2">
        <f>COUNTIFS(Games[Team],Games[[#This Row],[Team]],Games[Season],Games[[#This Row],[Season]],Games[Date],"&lt;=" &amp; Games[[#This Row],[Date]])</f>
        <v>26</v>
      </c>
      <c r="D330" s="2" t="s">
        <v>23</v>
      </c>
      <c r="E330" s="2" t="s">
        <v>29</v>
      </c>
      <c r="F330" s="1" t="s">
        <v>70</v>
      </c>
      <c r="G330" s="1" t="s">
        <v>84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0" s="2">
        <f>Games[[#This Row],[DaysOff]]-Games[[#This Row],[OppDaysOff]]</f>
        <v>1</v>
      </c>
      <c r="L330" s="2">
        <f>Games[[#This Row],[OppDaysOff]]-Games[[#This Row],[DaysOff]]</f>
        <v>-1</v>
      </c>
      <c r="M330" s="1">
        <f>MAX(-16, MIN(16, Games[[#This Row],[RestDiff]]*8))</f>
        <v>8</v>
      </c>
      <c r="N330" s="1">
        <f>MAX(-16, MIN(16, Games[[#This Row],[OppRestDiff]]*8))</f>
        <v>-8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1636.7132913346238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1350.6776159443764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0.77818390489664224</v>
      </c>
      <c r="R330" s="1">
        <v>79</v>
      </c>
      <c r="S330" s="1">
        <v>67</v>
      </c>
      <c r="T330" s="1">
        <v>0</v>
      </c>
      <c r="U330" s="1">
        <f>Games[[#This Row],[PointsFor]]-Games[[#This Row],[PointsAgainst]]</f>
        <v>12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0.36833256479398319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72.099999999999994</v>
      </c>
      <c r="Z330" s="4">
        <f>Games[[#This Row],[K]]*Games[[#This Row],[POMult]]</f>
        <v>72.099999999999994</v>
      </c>
      <c r="AA330" s="4">
        <f>(Games[[#This Row],[Keff]]*Games[[#This Row],[MOVMult]])*(Games[[#This Row],[Result]]-Games[[#This Row],[ExpectedWin%]])</f>
        <v>5.8907207771066226</v>
      </c>
      <c r="AB330" s="4">
        <f>Games[[#This Row],[PreGmRate]]+Games[[#This Row],[RatingChange]]</f>
        <v>1642.6040121117305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38199</v>
      </c>
      <c r="B331" s="2">
        <v>2004</v>
      </c>
      <c r="C331" s="2">
        <f>COUNTIFS(Games[Team],Games[[#This Row],[Team]],Games[Season],Games[[#This Row],[Season]],Games[Date],"&lt;=" &amp; Games[[#This Row],[Date]])</f>
        <v>26</v>
      </c>
      <c r="D331" s="2" t="s">
        <v>23</v>
      </c>
      <c r="E331" s="2" t="s">
        <v>29</v>
      </c>
      <c r="F331" s="1" t="s">
        <v>84</v>
      </c>
      <c r="G331" s="1" t="s">
        <v>70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-1</v>
      </c>
      <c r="L331" s="2">
        <f>Games[[#This Row],[OppDaysOff]]-Games[[#This Row],[DaysOff]]</f>
        <v>1</v>
      </c>
      <c r="M331" s="1">
        <f>MAX(-16, MIN(16, Games[[#This Row],[RestDiff]]*8))</f>
        <v>-8</v>
      </c>
      <c r="N331" s="1">
        <f>MAX(-16, MIN(16, Games[[#This Row],[OppRestDiff]]*8))</f>
        <v>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1350.6776159443764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1636.7132913346238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0.22181609510335779</v>
      </c>
      <c r="R331" s="1">
        <v>67</v>
      </c>
      <c r="S331" s="1">
        <v>79</v>
      </c>
      <c r="T331" s="1">
        <v>0</v>
      </c>
      <c r="U331" s="1">
        <f>Games[[#This Row],[PointsFor]]-Games[[#This Row],[PointsAgainst]]</f>
        <v>-12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0.36833256479398319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72.099999999999994</v>
      </c>
      <c r="Z331" s="4">
        <f>Games[[#This Row],[K]]*Games[[#This Row],[POMult]]</f>
        <v>72.099999999999994</v>
      </c>
      <c r="AA331" s="4">
        <f>(Games[[#This Row],[Keff]]*Games[[#This Row],[MOVMult]])*(Games[[#This Row],[Result]]-Games[[#This Row],[ExpectedWin%]])</f>
        <v>-5.8907207771066226</v>
      </c>
      <c r="AB331" s="4">
        <f>Games[[#This Row],[PreGmRate]]+Games[[#This Row],[RatingChange]]</f>
        <v>1344.7868951672697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38200</v>
      </c>
      <c r="B332" s="2">
        <v>2004</v>
      </c>
      <c r="C332" s="2">
        <f>COUNTIFS(Games[Team],Games[[#This Row],[Team]],Games[Season],Games[[#This Row],[Season]],Games[Date],"&lt;=" &amp; Games[[#This Row],[Date]])</f>
        <v>26</v>
      </c>
      <c r="D332" s="2" t="s">
        <v>23</v>
      </c>
      <c r="E332" s="2" t="s">
        <v>29</v>
      </c>
      <c r="F332" s="1" t="s">
        <v>77</v>
      </c>
      <c r="G332" s="1" t="s">
        <v>75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1509.6994507312511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1513.2279213666693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0.37663530382491128</v>
      </c>
      <c r="R332" s="1">
        <v>59</v>
      </c>
      <c r="S332" s="1">
        <v>58</v>
      </c>
      <c r="T332" s="1">
        <v>0</v>
      </c>
      <c r="U332" s="1">
        <f>Games[[#This Row],[PointsFor]]-Games[[#This Row],[PointsAgainst]]</f>
        <v>1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0.24346379193144535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72.099999999999994</v>
      </c>
      <c r="Z332" s="4">
        <f>Games[[#This Row],[K]]*Games[[#This Row],[POMult]]</f>
        <v>72.099999999999994</v>
      </c>
      <c r="AA332" s="4">
        <f>(Games[[#This Row],[Keff]]*Games[[#This Row],[MOVMult]])*(Games[[#This Row],[Result]]-Games[[#This Row],[ExpectedWin%]])</f>
        <v>10.942381426731288</v>
      </c>
      <c r="AB332" s="4">
        <f>Games[[#This Row],[PreGmRate]]+Games[[#This Row],[RatingChange]]</f>
        <v>1520.6418321579824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38200</v>
      </c>
      <c r="B333" s="2">
        <v>2004</v>
      </c>
      <c r="C333" s="2">
        <f>COUNTIFS(Games[Team],Games[[#This Row],[Team]],Games[Season],Games[[#This Row],[Season]],Games[Date],"&lt;=" &amp; Games[[#This Row],[Date]])</f>
        <v>27</v>
      </c>
      <c r="D333" s="2" t="s">
        <v>23</v>
      </c>
      <c r="E333" s="2" t="s">
        <v>29</v>
      </c>
      <c r="F333" s="1" t="s">
        <v>75</v>
      </c>
      <c r="G333" s="1" t="s">
        <v>77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1513.2279213666693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1509.6994507312511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0.62336469617508883</v>
      </c>
      <c r="R333" s="1">
        <v>58</v>
      </c>
      <c r="S333" s="1">
        <v>59</v>
      </c>
      <c r="T333" s="1">
        <v>0</v>
      </c>
      <c r="U333" s="1">
        <f>Games[[#This Row],[PointsFor]]-Games[[#This Row],[PointsAgainst]]</f>
        <v>-1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0.24346379193144535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71.95</v>
      </c>
      <c r="Z333" s="4">
        <f>Games[[#This Row],[K]]*Games[[#This Row],[POMult]]</f>
        <v>71.95</v>
      </c>
      <c r="AA333" s="4">
        <f>(Games[[#This Row],[Keff]]*Games[[#This Row],[MOVMult]])*(Games[[#This Row],[Result]]-Games[[#This Row],[ExpectedWin%]])</f>
        <v>-10.919616416828244</v>
      </c>
      <c r="AB333" s="4">
        <f>Games[[#This Row],[PreGmRate]]+Games[[#This Row],[RatingChange]]</f>
        <v>1502.3083049498412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38200</v>
      </c>
      <c r="B334" s="2">
        <v>2004</v>
      </c>
      <c r="C334" s="2">
        <f>COUNTIFS(Games[Team],Games[[#This Row],[Team]],Games[Season],Games[[#This Row],[Season]],Games[Date],"&lt;=" &amp; Games[[#This Row],[Date]])</f>
        <v>25</v>
      </c>
      <c r="D334" s="2" t="s">
        <v>23</v>
      </c>
      <c r="E334" s="2" t="s">
        <v>29</v>
      </c>
      <c r="F334" s="1" t="s">
        <v>64</v>
      </c>
      <c r="G334" s="1" t="s">
        <v>81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-1</v>
      </c>
      <c r="L334" s="2">
        <f>Games[[#This Row],[OppDaysOff]]-Games[[#This Row],[DaysOff]]</f>
        <v>1</v>
      </c>
      <c r="M334" s="1">
        <f>MAX(-16, MIN(16, Games[[#This Row],[RestDiff]]*8))</f>
        <v>-8</v>
      </c>
      <c r="N334" s="1">
        <f>MAX(-16, MIN(16, Games[[#This Row],[OppRestDiff]]*8))</f>
        <v>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1484.3366333702938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1592.7713314988375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0.23150251162549276</v>
      </c>
      <c r="R334" s="1">
        <v>55</v>
      </c>
      <c r="S334" s="1">
        <v>87</v>
      </c>
      <c r="T334" s="1">
        <v>0</v>
      </c>
      <c r="U334" s="1">
        <f>Games[[#This Row],[PointsFor]]-Games[[#This Row],[PointsAgainst]]</f>
        <v>-32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0.66706627095413962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72.25</v>
      </c>
      <c r="Z334" s="4">
        <f>Games[[#This Row],[K]]*Games[[#This Row],[POMult]]</f>
        <v>72.25</v>
      </c>
      <c r="AA334" s="4">
        <f>(Games[[#This Row],[Keff]]*Games[[#This Row],[MOVMult]])*(Games[[#This Row],[Result]]-Games[[#This Row],[ExpectedWin%]])</f>
        <v>-11.15738811383714</v>
      </c>
      <c r="AB334" s="4">
        <f>Games[[#This Row],[PreGmRate]]+Games[[#This Row],[RatingChange]]</f>
        <v>1473.1792452564566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38200</v>
      </c>
      <c r="B335" s="2">
        <v>2004</v>
      </c>
      <c r="C335" s="2">
        <f>COUNTIFS(Games[Team],Games[[#This Row],[Team]],Games[Season],Games[[#This Row],[Season]],Games[Date],"&lt;=" &amp; Games[[#This Row],[Date]])</f>
        <v>25</v>
      </c>
      <c r="D335" s="2" t="s">
        <v>23</v>
      </c>
      <c r="E335" s="2" t="s">
        <v>29</v>
      </c>
      <c r="F335" s="1" t="s">
        <v>81</v>
      </c>
      <c r="G335" s="1" t="s">
        <v>64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5" s="2">
        <f>Games[[#This Row],[DaysOff]]-Games[[#This Row],[OppDaysOff]]</f>
        <v>1</v>
      </c>
      <c r="L335" s="2">
        <f>Games[[#This Row],[OppDaysOff]]-Games[[#This Row],[DaysOff]]</f>
        <v>-1</v>
      </c>
      <c r="M335" s="1">
        <f>MAX(-16, MIN(16, Games[[#This Row],[RestDiff]]*8))</f>
        <v>8</v>
      </c>
      <c r="N335" s="1">
        <f>MAX(-16, MIN(16, Games[[#This Row],[OppRestDiff]]*8))</f>
        <v>-8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1592.7713314988375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1484.3366333702938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0.76849748837450726</v>
      </c>
      <c r="R335" s="1">
        <v>87</v>
      </c>
      <c r="S335" s="1">
        <v>55</v>
      </c>
      <c r="T335" s="1">
        <v>0</v>
      </c>
      <c r="U335" s="1">
        <f>Games[[#This Row],[PointsFor]]-Games[[#This Row],[PointsAgainst]]</f>
        <v>32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0.66706627095413962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72.25</v>
      </c>
      <c r="Z335" s="4">
        <f>Games[[#This Row],[K]]*Games[[#This Row],[POMult]]</f>
        <v>72.25</v>
      </c>
      <c r="AA335" s="4">
        <f>(Games[[#This Row],[Keff]]*Games[[#This Row],[MOVMult]])*(Games[[#This Row],[Result]]-Games[[#This Row],[ExpectedWin%]])</f>
        <v>11.157388113837138</v>
      </c>
      <c r="AB335" s="4">
        <f>Games[[#This Row],[PreGmRate]]+Games[[#This Row],[RatingChange]]</f>
        <v>1603.9287196126747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38200</v>
      </c>
      <c r="B336" s="2">
        <v>2004</v>
      </c>
      <c r="C336" s="2">
        <f>COUNTIFS(Games[Team],Games[[#This Row],[Team]],Games[Season],Games[[#This Row],[Season]],Games[Date],"&lt;=" &amp; Games[[#This Row],[Date]])</f>
        <v>25</v>
      </c>
      <c r="D336" s="2" t="s">
        <v>23</v>
      </c>
      <c r="E336" s="2" t="s">
        <v>29</v>
      </c>
      <c r="F336" s="1" t="s">
        <v>44</v>
      </c>
      <c r="G336" s="1" t="s">
        <v>73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1501.0537038534621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1437.613104885334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0.47044713005895367</v>
      </c>
      <c r="R336" s="1">
        <v>62</v>
      </c>
      <c r="S336" s="1">
        <v>82</v>
      </c>
      <c r="T336" s="1">
        <v>0</v>
      </c>
      <c r="U336" s="1">
        <f>Games[[#This Row],[PointsFor]]-Games[[#This Row],[PointsAgainst]]</f>
        <v>-20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0.54602078743870563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72.25</v>
      </c>
      <c r="Z336" s="4">
        <f>Games[[#This Row],[K]]*Games[[#This Row],[POMult]]</f>
        <v>72.25</v>
      </c>
      <c r="AA336" s="4">
        <f>(Games[[#This Row],[Keff]]*Games[[#This Row],[MOVMult]])*(Games[[#This Row],[Result]]-Games[[#This Row],[ExpectedWin%]])</f>
        <v>-18.559140171121737</v>
      </c>
      <c r="AB336" s="4">
        <f>Games[[#This Row],[PreGmRate]]+Games[[#This Row],[RatingChange]]</f>
        <v>1482.4945636823404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38200</v>
      </c>
      <c r="B337" s="2">
        <v>2004</v>
      </c>
      <c r="C337" s="2">
        <f>COUNTIFS(Games[Team],Games[[#This Row],[Team]],Games[Season],Games[[#This Row],[Season]],Games[Date],"&lt;=" &amp; Games[[#This Row],[Date]])</f>
        <v>26</v>
      </c>
      <c r="D337" s="2" t="s">
        <v>23</v>
      </c>
      <c r="E337" s="2" t="s">
        <v>29</v>
      </c>
      <c r="F337" s="1" t="s">
        <v>73</v>
      </c>
      <c r="G337" s="1" t="s">
        <v>44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1437.613104885334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1501.0537038534621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0.52955286994104622</v>
      </c>
      <c r="R337" s="1">
        <v>82</v>
      </c>
      <c r="S337" s="1">
        <v>62</v>
      </c>
      <c r="T337" s="1">
        <v>0</v>
      </c>
      <c r="U337" s="1">
        <f>Games[[#This Row],[PointsFor]]-Games[[#This Row],[PointsAgainst]]</f>
        <v>20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0.54602078743870563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72.099999999999994</v>
      </c>
      <c r="Z337" s="4">
        <f>Games[[#This Row],[K]]*Games[[#This Row],[POMult]]</f>
        <v>72.099999999999994</v>
      </c>
      <c r="AA337" s="4">
        <f>(Games[[#This Row],[Keff]]*Games[[#This Row],[MOVMult]])*(Games[[#This Row],[Result]]-Games[[#This Row],[ExpectedWin%]])</f>
        <v>18.520609084261281</v>
      </c>
      <c r="AB337" s="4">
        <f>Games[[#This Row],[PreGmRate]]+Games[[#This Row],[RatingChange]]</f>
        <v>1456.1337139695952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38231</v>
      </c>
      <c r="B338" s="2">
        <v>2004</v>
      </c>
      <c r="C338" s="2">
        <f>COUNTIFS(Games[Team],Games[[#This Row],[Team]],Games[Season],Games[[#This Row],[Season]],Games[Date],"&lt;=" &amp; Games[[#This Row],[Date]])</f>
        <v>28</v>
      </c>
      <c r="D338" s="2" t="s">
        <v>23</v>
      </c>
      <c r="E338" s="2" t="s">
        <v>29</v>
      </c>
      <c r="F338" s="1" t="s">
        <v>86</v>
      </c>
      <c r="G338" s="1" t="s">
        <v>64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30</v>
      </c>
      <c r="K338" s="2">
        <f>Games[[#This Row],[DaysOff]]-Games[[#This Row],[OppDaysOff]]</f>
        <v>1</v>
      </c>
      <c r="L338" s="2">
        <f>Games[[#This Row],[OppDaysOff]]-Games[[#This Row],[DaysOff]]</f>
        <v>-1</v>
      </c>
      <c r="M338" s="1">
        <f>MAX(-16, MIN(16, Games[[#This Row],[RestDiff]]*8))</f>
        <v>8</v>
      </c>
      <c r="N338" s="1">
        <f>MAX(-16, MIN(16, Games[[#This Row],[OppRestDiff]]*8))</f>
        <v>-8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1474.0191290330374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1473.1792452564566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0.40453491507497741</v>
      </c>
      <c r="R338" s="1">
        <v>55</v>
      </c>
      <c r="S338" s="1">
        <v>62</v>
      </c>
      <c r="T338" s="1">
        <v>0</v>
      </c>
      <c r="U338" s="1">
        <f>Games[[#This Row],[PointsFor]]-Games[[#This Row],[PointsAgainst]]</f>
        <v>-7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0.36984831448787492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71.8</v>
      </c>
      <c r="Z338" s="4">
        <f>Games[[#This Row],[K]]*Games[[#This Row],[POMult]]</f>
        <v>71.8</v>
      </c>
      <c r="AA338" s="4">
        <f>(Games[[#This Row],[Keff]]*Games[[#This Row],[MOVMult]])*(Games[[#This Row],[Result]]-Games[[#This Row],[ExpectedWin%]])</f>
        <v>-10.742468756123877</v>
      </c>
      <c r="AB338" s="4">
        <f>Games[[#This Row],[PreGmRate]]+Games[[#This Row],[RatingChange]]</f>
        <v>1463.2766602769136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38231</v>
      </c>
      <c r="B339" s="2">
        <v>2004</v>
      </c>
      <c r="C339" s="2">
        <f>COUNTIFS(Games[Team],Games[[#This Row],[Team]],Games[Season],Games[[#This Row],[Season]],Games[Date],"&lt;=" &amp; Games[[#This Row],[Date]])</f>
        <v>26</v>
      </c>
      <c r="D339" s="2" t="s">
        <v>23</v>
      </c>
      <c r="E339" s="2" t="s">
        <v>29</v>
      </c>
      <c r="F339" s="1" t="s">
        <v>64</v>
      </c>
      <c r="G339" s="1" t="s">
        <v>86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30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39" s="2">
        <f>Games[[#This Row],[DaysOff]]-Games[[#This Row],[OppDaysOff]]</f>
        <v>-1</v>
      </c>
      <c r="L339" s="2">
        <f>Games[[#This Row],[OppDaysOff]]-Games[[#This Row],[DaysOff]]</f>
        <v>1</v>
      </c>
      <c r="M339" s="1">
        <f>MAX(-16, MIN(16, Games[[#This Row],[RestDiff]]*8))</f>
        <v>-8</v>
      </c>
      <c r="N339" s="1">
        <f>MAX(-16, MIN(16, Games[[#This Row],[OppRestDiff]]*8))</f>
        <v>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1473.1792452564566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1474.0191290330374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0.59546508492502259</v>
      </c>
      <c r="R339" s="1">
        <v>62</v>
      </c>
      <c r="S339" s="1">
        <v>55</v>
      </c>
      <c r="T339" s="1">
        <v>0</v>
      </c>
      <c r="U339" s="1">
        <f>Games[[#This Row],[PointsFor]]-Games[[#This Row],[PointsAgainst]]</f>
        <v>7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0.36984831448787492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72.099999999999994</v>
      </c>
      <c r="Z339" s="4">
        <f>Games[[#This Row],[K]]*Games[[#This Row],[POMult]]</f>
        <v>72.099999999999994</v>
      </c>
      <c r="AA339" s="4">
        <f>(Games[[#This Row],[Keff]]*Games[[#This Row],[MOVMult]])*(Games[[#This Row],[Result]]-Games[[#This Row],[ExpectedWin%]])</f>
        <v>10.787353723071469</v>
      </c>
      <c r="AB339" s="4">
        <f>Games[[#This Row],[PreGmRate]]+Games[[#This Row],[RatingChange]]</f>
        <v>1483.966598979528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38231</v>
      </c>
      <c r="B340" s="2">
        <v>2004</v>
      </c>
      <c r="C340" s="2">
        <f>COUNTIFS(Games[Team],Games[[#This Row],[Team]],Games[Season],Games[[#This Row],[Season]],Games[Date],"&lt;=" &amp; Games[[#This Row],[Date]])</f>
        <v>26</v>
      </c>
      <c r="D340" s="2" t="s">
        <v>23</v>
      </c>
      <c r="E340" s="2" t="s">
        <v>29</v>
      </c>
      <c r="F340" s="1" t="s">
        <v>44</v>
      </c>
      <c r="G340" s="1" t="s">
        <v>75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30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30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1482.4945636823404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1502.3083049498412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0.35489298310208089</v>
      </c>
      <c r="R340" s="1">
        <v>63</v>
      </c>
      <c r="S340" s="1">
        <v>58</v>
      </c>
      <c r="T340" s="1">
        <v>0</v>
      </c>
      <c r="U340" s="1">
        <f>Games[[#This Row],[PointsFor]]-Games[[#This Row],[PointsAgainst]]</f>
        <v>5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0.32636717974649687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72.099999999999994</v>
      </c>
      <c r="Z340" s="4">
        <f>Games[[#This Row],[K]]*Games[[#This Row],[POMult]]</f>
        <v>72.099999999999994</v>
      </c>
      <c r="AA340" s="4">
        <f>(Games[[#This Row],[Keff]]*Games[[#This Row],[MOVMult]])*(Games[[#This Row],[Result]]-Games[[#This Row],[ExpectedWin%]])</f>
        <v>15.180060733028734</v>
      </c>
      <c r="AB340" s="4">
        <f>Games[[#This Row],[PreGmRate]]+Games[[#This Row],[RatingChange]]</f>
        <v>1497.6746244153692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38231</v>
      </c>
      <c r="B341" s="2">
        <v>2004</v>
      </c>
      <c r="C341" s="2">
        <f>COUNTIFS(Games[Team],Games[[#This Row],[Team]],Games[Season],Games[[#This Row],[Season]],Games[Date],"&lt;=" &amp; Games[[#This Row],[Date]])</f>
        <v>28</v>
      </c>
      <c r="D341" s="2" t="s">
        <v>23</v>
      </c>
      <c r="E341" s="2" t="s">
        <v>29</v>
      </c>
      <c r="F341" s="1" t="s">
        <v>75</v>
      </c>
      <c r="G341" s="1" t="s">
        <v>44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30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30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1502.3083049498412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1482.4945636823404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0.64510701689791916</v>
      </c>
      <c r="R341" s="1">
        <v>58</v>
      </c>
      <c r="S341" s="1">
        <v>63</v>
      </c>
      <c r="T341" s="1">
        <v>0</v>
      </c>
      <c r="U341" s="1">
        <f>Games[[#This Row],[PointsFor]]-Games[[#This Row],[PointsAgainst]]</f>
        <v>-5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0.32636717974649687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71.8</v>
      </c>
      <c r="Z341" s="4">
        <f>Games[[#This Row],[K]]*Games[[#This Row],[POMult]]</f>
        <v>71.8</v>
      </c>
      <c r="AA341" s="4">
        <f>(Games[[#This Row],[Keff]]*Games[[#This Row],[MOVMult]])*(Games[[#This Row],[Result]]-Games[[#This Row],[ExpectedWin%]])</f>
        <v>-15.116898205706839</v>
      </c>
      <c r="AB341" s="4">
        <f>Games[[#This Row],[PreGmRate]]+Games[[#This Row],[RatingChange]]</f>
        <v>1487.1914067441344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38231</v>
      </c>
      <c r="B342" s="2">
        <v>2004</v>
      </c>
      <c r="C342" s="2">
        <f>COUNTIFS(Games[Team],Games[[#This Row],[Team]],Games[Season],Games[[#This Row],[Season]],Games[Date],"&lt;=" &amp; Games[[#This Row],[Date]])</f>
        <v>27</v>
      </c>
      <c r="D342" s="2" t="s">
        <v>23</v>
      </c>
      <c r="E342" s="2" t="s">
        <v>29</v>
      </c>
      <c r="F342" s="1" t="s">
        <v>77</v>
      </c>
      <c r="G342" s="1" t="s">
        <v>2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30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42" s="2">
        <f>Games[[#This Row],[DaysOff]]-Games[[#This Row],[OppDaysOff]]</f>
        <v>-1</v>
      </c>
      <c r="L342" s="2">
        <f>Games[[#This Row],[OppDaysOff]]-Games[[#This Row],[DaysOff]]</f>
        <v>1</v>
      </c>
      <c r="M342" s="1">
        <f>MAX(-16, MIN(16, Games[[#This Row],[RestDiff]]*8))</f>
        <v>-8</v>
      </c>
      <c r="N342" s="1">
        <f>MAX(-16, MIN(16, Games[[#This Row],[OppRestDiff]]*8))</f>
        <v>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1520.6418321579824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1529.4232495870779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0.34837354302232565</v>
      </c>
      <c r="R342" s="1">
        <v>72</v>
      </c>
      <c r="S342" s="1">
        <v>64</v>
      </c>
      <c r="T342" s="1">
        <v>0</v>
      </c>
      <c r="U342" s="1">
        <f>Games[[#This Row],[PointsFor]]-Games[[#This Row],[PointsAgainst]]</f>
        <v>8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0.38549454457587234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71.95</v>
      </c>
      <c r="Z342" s="4">
        <f>Games[[#This Row],[K]]*Games[[#This Row],[POMult]]</f>
        <v>71.95</v>
      </c>
      <c r="AA342" s="4">
        <f>(Games[[#This Row],[Keff]]*Games[[#This Row],[MOVMult]])*(Games[[#This Row],[Result]]-Games[[#This Row],[ExpectedWin%]])</f>
        <v>18.073728064952938</v>
      </c>
      <c r="AB342" s="4">
        <f>Games[[#This Row],[PreGmRate]]+Games[[#This Row],[RatingChange]]</f>
        <v>1538.7155602229354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38231</v>
      </c>
      <c r="B343" s="2">
        <v>2004</v>
      </c>
      <c r="C343" s="2">
        <f>COUNTIFS(Games[Team],Games[[#This Row],[Team]],Games[Season],Games[[#This Row],[Season]],Games[Date],"&lt;=" &amp; Games[[#This Row],[Date]])</f>
        <v>27</v>
      </c>
      <c r="D343" s="2" t="s">
        <v>23</v>
      </c>
      <c r="E343" s="2" t="s">
        <v>29</v>
      </c>
      <c r="F343" s="1" t="s">
        <v>2</v>
      </c>
      <c r="G343" s="1" t="s">
        <v>77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30</v>
      </c>
      <c r="K343" s="2">
        <f>Games[[#This Row],[DaysOff]]-Games[[#This Row],[OppDaysOff]]</f>
        <v>1</v>
      </c>
      <c r="L343" s="2">
        <f>Games[[#This Row],[OppDaysOff]]-Games[[#This Row],[DaysOff]]</f>
        <v>-1</v>
      </c>
      <c r="M343" s="1">
        <f>MAX(-16, MIN(16, Games[[#This Row],[RestDiff]]*8))</f>
        <v>8</v>
      </c>
      <c r="N343" s="1">
        <f>MAX(-16, MIN(16, Games[[#This Row],[OppRestDiff]]*8))</f>
        <v>-8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1529.4232495870779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1520.6418321579824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0.6516264569776743</v>
      </c>
      <c r="R343" s="1">
        <v>64</v>
      </c>
      <c r="S343" s="1">
        <v>72</v>
      </c>
      <c r="T343" s="1">
        <v>0</v>
      </c>
      <c r="U343" s="1">
        <f>Games[[#This Row],[PointsFor]]-Games[[#This Row],[PointsAgainst]]</f>
        <v>-8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0.38549454457587234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71.95</v>
      </c>
      <c r="Z343" s="4">
        <f>Games[[#This Row],[K]]*Games[[#This Row],[POMult]]</f>
        <v>71.95</v>
      </c>
      <c r="AA343" s="4">
        <f>(Games[[#This Row],[Keff]]*Games[[#This Row],[MOVMult]])*(Games[[#This Row],[Result]]-Games[[#This Row],[ExpectedWin%]])</f>
        <v>-18.073728064952935</v>
      </c>
      <c r="AB343" s="4">
        <f>Games[[#This Row],[PreGmRate]]+Games[[#This Row],[RatingChange]]</f>
        <v>1511.3495215221249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38231</v>
      </c>
      <c r="B344" s="2">
        <v>2004</v>
      </c>
      <c r="C344" s="2">
        <f>COUNTIFS(Games[Team],Games[[#This Row],[Team]],Games[Season],Games[[#This Row],[Season]],Games[Date],"&lt;=" &amp; Games[[#This Row],[Date]])</f>
        <v>27</v>
      </c>
      <c r="D344" s="2" t="s">
        <v>23</v>
      </c>
      <c r="E344" s="2" t="s">
        <v>29</v>
      </c>
      <c r="F344" s="1" t="s">
        <v>84</v>
      </c>
      <c r="G344" s="1" t="s">
        <v>70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1344.7868951672697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1642.6040121117305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9.993778878013157E-2</v>
      </c>
      <c r="R344" s="1">
        <v>69</v>
      </c>
      <c r="S344" s="1">
        <v>77</v>
      </c>
      <c r="T344" s="1">
        <v>0</v>
      </c>
      <c r="U344" s="1">
        <f>Games[[#This Row],[PointsFor]]-Games[[#This Row],[PointsAgainst]]</f>
        <v>-8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0.31110516546519418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71.95</v>
      </c>
      <c r="Z344" s="4">
        <f>Games[[#This Row],[K]]*Games[[#This Row],[POMult]]</f>
        <v>71.95</v>
      </c>
      <c r="AA344" s="4">
        <f>(Games[[#This Row],[Keff]]*Games[[#This Row],[MOVMult]])*(Games[[#This Row],[Result]]-Games[[#This Row],[ExpectedWin%]])</f>
        <v>-2.2370091285403957</v>
      </c>
      <c r="AB344" s="4">
        <f>Games[[#This Row],[PreGmRate]]+Games[[#This Row],[RatingChange]]</f>
        <v>1342.5498860387293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38231</v>
      </c>
      <c r="B345" s="2">
        <v>2004</v>
      </c>
      <c r="C345" s="2">
        <f>COUNTIFS(Games[Team],Games[[#This Row],[Team]],Games[Season],Games[[#This Row],[Season]],Games[Date],"&lt;=" &amp; Games[[#This Row],[Date]])</f>
        <v>27</v>
      </c>
      <c r="D345" s="2" t="s">
        <v>23</v>
      </c>
      <c r="E345" s="2" t="s">
        <v>29</v>
      </c>
      <c r="F345" s="1" t="s">
        <v>70</v>
      </c>
      <c r="G345" s="1" t="s">
        <v>84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1642.6040121117305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1344.7868951672697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0.90006221121986851</v>
      </c>
      <c r="R345" s="1">
        <v>77</v>
      </c>
      <c r="S345" s="1">
        <v>69</v>
      </c>
      <c r="T345" s="1">
        <v>0</v>
      </c>
      <c r="U345" s="1">
        <f>Games[[#This Row],[PointsFor]]-Games[[#This Row],[PointsAgainst]]</f>
        <v>8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0.31110516546519418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71.95</v>
      </c>
      <c r="Z345" s="4">
        <f>Games[[#This Row],[K]]*Games[[#This Row],[POMult]]</f>
        <v>71.95</v>
      </c>
      <c r="AA345" s="4">
        <f>(Games[[#This Row],[Keff]]*Games[[#This Row],[MOVMult]])*(Games[[#This Row],[Result]]-Games[[#This Row],[ExpectedWin%]])</f>
        <v>2.2370091285403939</v>
      </c>
      <c r="AB345" s="4">
        <f>Games[[#This Row],[PreGmRate]]+Games[[#This Row],[RatingChange]]</f>
        <v>1644.8410212402709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38231</v>
      </c>
      <c r="B346" s="2">
        <v>2004</v>
      </c>
      <c r="C346" s="2">
        <f>COUNTIFS(Games[Team],Games[[#This Row],[Team]],Games[Season],Games[[#This Row],[Season]],Games[Date],"&lt;=" &amp; Games[[#This Row],[Date]])</f>
        <v>26</v>
      </c>
      <c r="D346" s="2" t="s">
        <v>23</v>
      </c>
      <c r="E346" s="2" t="s">
        <v>29</v>
      </c>
      <c r="F346" s="1" t="s">
        <v>45</v>
      </c>
      <c r="G346" s="1" t="s">
        <v>81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30</v>
      </c>
      <c r="K346" s="2">
        <f>Games[[#This Row],[DaysOff]]-Games[[#This Row],[OppDaysOff]]</f>
        <v>1</v>
      </c>
      <c r="L346" s="2">
        <f>Games[[#This Row],[OppDaysOff]]-Games[[#This Row],[DaysOff]]</f>
        <v>-1</v>
      </c>
      <c r="M346" s="1">
        <f>MAX(-16, MIN(16, Games[[#This Row],[RestDiff]]*8))</f>
        <v>8</v>
      </c>
      <c r="N346" s="1">
        <f>MAX(-16, MIN(16, Games[[#This Row],[OppRestDiff]]*8))</f>
        <v>-8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1540.6681552349751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1603.9287196126747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0.31960306603606875</v>
      </c>
      <c r="R346" s="1">
        <v>73</v>
      </c>
      <c r="S346" s="1">
        <v>65</v>
      </c>
      <c r="T346" s="1">
        <v>0</v>
      </c>
      <c r="U346" s="1">
        <f>Games[[#This Row],[PointsFor]]-Games[[#This Row],[PointsAgainst]]</f>
        <v>8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0.36886977646860558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72.099999999999994</v>
      </c>
      <c r="Z346" s="4">
        <f>Games[[#This Row],[K]]*Games[[#This Row],[POMult]]</f>
        <v>72.099999999999994</v>
      </c>
      <c r="AA346" s="4">
        <f>(Games[[#This Row],[Keff]]*Games[[#This Row],[MOVMult]])*(Games[[#This Row],[Result]]-Games[[#This Row],[ExpectedWin%]])</f>
        <v>18.095504062260513</v>
      </c>
      <c r="AB346" s="4">
        <f>Games[[#This Row],[PreGmRate]]+Games[[#This Row],[RatingChange]]</f>
        <v>1558.7636592972356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38231</v>
      </c>
      <c r="B347" s="2">
        <v>2004</v>
      </c>
      <c r="C347" s="2">
        <f>COUNTIFS(Games[Team],Games[[#This Row],[Team]],Games[Season],Games[[#This Row],[Season]],Games[Date],"&lt;=" &amp; Games[[#This Row],[Date]])</f>
        <v>26</v>
      </c>
      <c r="D347" s="2" t="s">
        <v>23</v>
      </c>
      <c r="E347" s="2" t="s">
        <v>29</v>
      </c>
      <c r="F347" s="1" t="s">
        <v>81</v>
      </c>
      <c r="G347" s="1" t="s">
        <v>45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30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47" s="2">
        <f>Games[[#This Row],[DaysOff]]-Games[[#This Row],[OppDaysOff]]</f>
        <v>-1</v>
      </c>
      <c r="L347" s="2">
        <f>Games[[#This Row],[OppDaysOff]]-Games[[#This Row],[DaysOff]]</f>
        <v>1</v>
      </c>
      <c r="M347" s="1">
        <f>MAX(-16, MIN(16, Games[[#This Row],[RestDiff]]*8))</f>
        <v>-8</v>
      </c>
      <c r="N347" s="1">
        <f>MAX(-16, MIN(16, Games[[#This Row],[OppRestDiff]]*8))</f>
        <v>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1603.9287196126747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1540.6681552349751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0.68039693396393119</v>
      </c>
      <c r="R347" s="1">
        <v>65</v>
      </c>
      <c r="S347" s="1">
        <v>73</v>
      </c>
      <c r="T347" s="1">
        <v>0</v>
      </c>
      <c r="U347" s="1">
        <f>Games[[#This Row],[PointsFor]]-Games[[#This Row],[PointsAgainst]]</f>
        <v>-8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0.36886977646860558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72.099999999999994</v>
      </c>
      <c r="Z347" s="4">
        <f>Games[[#This Row],[K]]*Games[[#This Row],[POMult]]</f>
        <v>72.099999999999994</v>
      </c>
      <c r="AA347" s="4">
        <f>(Games[[#This Row],[Keff]]*Games[[#This Row],[MOVMult]])*(Games[[#This Row],[Result]]-Games[[#This Row],[ExpectedWin%]])</f>
        <v>-18.09550406226051</v>
      </c>
      <c r="AB347" s="4">
        <f>Games[[#This Row],[PreGmRate]]+Games[[#This Row],[RatingChange]]</f>
        <v>1585.8332155504143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38231</v>
      </c>
      <c r="B348" s="2">
        <v>2004</v>
      </c>
      <c r="C348" s="2">
        <f>COUNTIFS(Games[Team],Games[[#This Row],[Team]],Games[Season],Games[[#This Row],[Season]],Games[Date],"&lt;=" &amp; Games[[#This Row],[Date]])</f>
        <v>28</v>
      </c>
      <c r="D348" s="2" t="s">
        <v>23</v>
      </c>
      <c r="E348" s="2" t="s">
        <v>29</v>
      </c>
      <c r="F348" s="1" t="s">
        <v>79</v>
      </c>
      <c r="G348" s="1" t="s">
        <v>73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30</v>
      </c>
      <c r="K348" s="2">
        <f>Games[[#This Row],[DaysOff]]-Games[[#This Row],[OppDaysOff]]</f>
        <v>1</v>
      </c>
      <c r="L348" s="2">
        <f>Games[[#This Row],[OppDaysOff]]-Games[[#This Row],[DaysOff]]</f>
        <v>-1</v>
      </c>
      <c r="M348" s="1">
        <f>MAX(-16, MIN(16, Games[[#This Row],[RestDiff]]*8))</f>
        <v>8</v>
      </c>
      <c r="N348" s="1">
        <f>MAX(-16, MIN(16, Games[[#This Row],[OppRestDiff]]*8))</f>
        <v>-8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1451.3444481122217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1456.1337139695952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0.39675398473700157</v>
      </c>
      <c r="R348" s="1">
        <v>75</v>
      </c>
      <c r="S348" s="1">
        <v>58</v>
      </c>
      <c r="T348" s="1">
        <v>0</v>
      </c>
      <c r="U348" s="1">
        <f>Games[[#This Row],[PointsFor]]-Games[[#This Row],[PointsAgainst]]</f>
        <v>17</v>
      </c>
      <c r="V348" s="1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0.53032551086327095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71.8</v>
      </c>
      <c r="Z348" s="4">
        <f>Games[[#This Row],[K]]*Games[[#This Row],[POMult]]</f>
        <v>71.8</v>
      </c>
      <c r="AA348" s="4">
        <f>(Games[[#This Row],[Keff]]*Games[[#This Row],[MOVMult]])*(Games[[#This Row],[Result]]-Games[[#This Row],[ExpectedWin%]])</f>
        <v>22.970022737637798</v>
      </c>
      <c r="AB348" s="4">
        <f>Games[[#This Row],[PreGmRate]]+Games[[#This Row],[RatingChange]]</f>
        <v>1474.3144708498594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38231</v>
      </c>
      <c r="B349" s="2">
        <v>2004</v>
      </c>
      <c r="C349" s="2">
        <f>COUNTIFS(Games[Team],Games[[#This Row],[Team]],Games[Season],Games[[#This Row],[Season]],Games[Date],"&lt;=" &amp; Games[[#This Row],[Date]])</f>
        <v>27</v>
      </c>
      <c r="D349" s="2" t="s">
        <v>23</v>
      </c>
      <c r="E349" s="2" t="s">
        <v>29</v>
      </c>
      <c r="F349" s="1" t="s">
        <v>73</v>
      </c>
      <c r="G349" s="1" t="s">
        <v>79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30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49" s="2">
        <f>Games[[#This Row],[DaysOff]]-Games[[#This Row],[OppDaysOff]]</f>
        <v>-1</v>
      </c>
      <c r="L349" s="2">
        <f>Games[[#This Row],[OppDaysOff]]-Games[[#This Row],[DaysOff]]</f>
        <v>1</v>
      </c>
      <c r="M349" s="1">
        <f>MAX(-16, MIN(16, Games[[#This Row],[RestDiff]]*8))</f>
        <v>-8</v>
      </c>
      <c r="N349" s="1">
        <f>MAX(-16, MIN(16, Games[[#This Row],[OppRestDiff]]*8))</f>
        <v>8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1456.1337139695952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1451.3444481122217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0.60324601526299848</v>
      </c>
      <c r="R349" s="1">
        <v>58</v>
      </c>
      <c r="S349" s="1">
        <v>75</v>
      </c>
      <c r="T349" s="1">
        <v>0</v>
      </c>
      <c r="U349" s="1">
        <f>Games[[#This Row],[PointsFor]]-Games[[#This Row],[PointsAgainst]]</f>
        <v>-17</v>
      </c>
      <c r="V349" s="1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0.53032551086327095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71.95</v>
      </c>
      <c r="Z349" s="4">
        <f>Games[[#This Row],[K]]*Games[[#This Row],[POMult]]</f>
        <v>71.95</v>
      </c>
      <c r="AA349" s="4">
        <f>(Games[[#This Row],[Keff]]*Games[[#This Row],[MOVMult]])*(Games[[#This Row],[Result]]-Games[[#This Row],[ExpectedWin%]])</f>
        <v>-23.018010250320891</v>
      </c>
      <c r="AB349" s="4">
        <f>Games[[#This Row],[PreGmRate]]+Games[[#This Row],[RatingChange]]</f>
        <v>1433.1157037192743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38232</v>
      </c>
      <c r="B350" s="2">
        <v>2004</v>
      </c>
      <c r="C350" s="2">
        <f>COUNTIFS(Games[Team],Games[[#This Row],[Team]],Games[Season],Games[[#This Row],[Season]],Games[Date],"&lt;=" &amp; Games[[#This Row],[Date]])</f>
        <v>27</v>
      </c>
      <c r="D350" s="2" t="s">
        <v>23</v>
      </c>
      <c r="E350" s="2" t="s">
        <v>29</v>
      </c>
      <c r="F350" s="1" t="s">
        <v>64</v>
      </c>
      <c r="G350" s="1" t="s">
        <v>66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32</v>
      </c>
      <c r="K350" s="2">
        <f>Games[[#This Row],[DaysOff]]-Games[[#This Row],[OppDaysOff]]</f>
        <v>-32</v>
      </c>
      <c r="L350" s="2">
        <f>Games[[#This Row],[OppDaysOff]]-Games[[#This Row],[DaysOff]]</f>
        <v>32</v>
      </c>
      <c r="M350" s="1">
        <f>MAX(-16, MIN(16, Games[[#This Row],[RestDiff]]*8))</f>
        <v>-16</v>
      </c>
      <c r="N350" s="1">
        <f>MAX(-16, MIN(16, Games[[#This Row],[OppRestDiff]]*8))</f>
        <v>16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1483.966598979528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1497.7273540373199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0.32148341847693807</v>
      </c>
      <c r="R350" s="1">
        <v>52</v>
      </c>
      <c r="S350" s="1">
        <v>56</v>
      </c>
      <c r="T350" s="1">
        <v>0</v>
      </c>
      <c r="U350" s="1">
        <f>Games[[#This Row],[PointsFor]]-Games[[#This Row],[PointsAgainst]]</f>
        <v>-4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0.30790193234321617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71.95</v>
      </c>
      <c r="Z350" s="4">
        <f>Games[[#This Row],[K]]*Games[[#This Row],[POMult]]</f>
        <v>71.95</v>
      </c>
      <c r="AA350" s="4">
        <f>(Games[[#This Row],[Keff]]*Games[[#This Row],[MOVMult]])*(Games[[#This Row],[Result]]-Games[[#This Row],[ExpectedWin%]])</f>
        <v>-7.1219970668170793</v>
      </c>
      <c r="AB350" s="4">
        <f>Games[[#This Row],[PreGmRate]]+Games[[#This Row],[RatingChange]]</f>
        <v>1476.8446019127109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38232</v>
      </c>
      <c r="B351" s="2">
        <v>2004</v>
      </c>
      <c r="C351" s="2">
        <f>COUNTIFS(Games[Team],Games[[#This Row],[Team]],Games[Season],Games[[#This Row],[Season]],Games[Date],"&lt;=" &amp; Games[[#This Row],[Date]])</f>
        <v>26</v>
      </c>
      <c r="D351" s="2" t="s">
        <v>23</v>
      </c>
      <c r="E351" s="2" t="s">
        <v>29</v>
      </c>
      <c r="F351" s="1" t="s">
        <v>66</v>
      </c>
      <c r="G351" s="1" t="s">
        <v>64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32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1" s="2">
        <f>Games[[#This Row],[DaysOff]]-Games[[#This Row],[OppDaysOff]]</f>
        <v>32</v>
      </c>
      <c r="L351" s="2">
        <f>Games[[#This Row],[OppDaysOff]]-Games[[#This Row],[DaysOff]]</f>
        <v>-32</v>
      </c>
      <c r="M351" s="1">
        <f>MAX(-16, MIN(16, Games[[#This Row],[RestDiff]]*8))</f>
        <v>16</v>
      </c>
      <c r="N351" s="1">
        <f>MAX(-16, MIN(16, Games[[#This Row],[OppRestDiff]]*8))</f>
        <v>-16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1497.7273540373199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1483.966598979528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0.67851658152306193</v>
      </c>
      <c r="R351" s="1">
        <v>56</v>
      </c>
      <c r="S351" s="1">
        <v>52</v>
      </c>
      <c r="T351" s="1">
        <v>0</v>
      </c>
      <c r="U351" s="1">
        <f>Games[[#This Row],[PointsFor]]-Games[[#This Row],[PointsAgainst]]</f>
        <v>4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0.30790193234321617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72.099999999999994</v>
      </c>
      <c r="Z351" s="4">
        <f>Games[[#This Row],[K]]*Games[[#This Row],[POMult]]</f>
        <v>72.099999999999994</v>
      </c>
      <c r="AA351" s="4">
        <f>(Games[[#This Row],[Keff]]*Games[[#This Row],[MOVMult]])*(Games[[#This Row],[Result]]-Games[[#This Row],[ExpectedWin%]])</f>
        <v>7.1368448716818813</v>
      </c>
      <c r="AB351" s="4">
        <f>Games[[#This Row],[PreGmRate]]+Games[[#This Row],[RatingChange]]</f>
        <v>1504.8641989090017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38232</v>
      </c>
      <c r="B352" s="2">
        <v>2004</v>
      </c>
      <c r="C352" s="2">
        <f>COUNTIFS(Games[Team],Games[[#This Row],[Team]],Games[Season],Games[[#This Row],[Season]],Games[Date],"&lt;=" &amp; Games[[#This Row],[Date]])</f>
        <v>28</v>
      </c>
      <c r="D352" s="2" t="s">
        <v>23</v>
      </c>
      <c r="E352" s="2" t="s">
        <v>29</v>
      </c>
      <c r="F352" s="1" t="s">
        <v>84</v>
      </c>
      <c r="G352" s="1" t="s">
        <v>45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1342.5498860387293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1558.7636592972356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0.15082188366837165</v>
      </c>
      <c r="R352" s="1">
        <v>64</v>
      </c>
      <c r="S352" s="1">
        <v>66</v>
      </c>
      <c r="T352" s="1">
        <v>0</v>
      </c>
      <c r="U352" s="1">
        <f>Games[[#This Row],[PointsFor]]-Games[[#This Row],[PointsAgainst]]</f>
        <v>-2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0.22694990759204817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71.8</v>
      </c>
      <c r="Z352" s="4">
        <f>Games[[#This Row],[K]]*Games[[#This Row],[POMult]]</f>
        <v>71.8</v>
      </c>
      <c r="AA352" s="4">
        <f>(Games[[#This Row],[Keff]]*Games[[#This Row],[MOVMult]])*(Games[[#This Row],[Result]]-Games[[#This Row],[ExpectedWin%]])</f>
        <v>-2.4576431019082028</v>
      </c>
      <c r="AB352" s="4">
        <f>Games[[#This Row],[PreGmRate]]+Games[[#This Row],[RatingChange]]</f>
        <v>1340.0922429368211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38232</v>
      </c>
      <c r="B353" s="2">
        <v>2004</v>
      </c>
      <c r="C353" s="2">
        <f>COUNTIFS(Games[Team],Games[[#This Row],[Team]],Games[Season],Games[[#This Row],[Season]],Games[Date],"&lt;=" &amp; Games[[#This Row],[Date]])</f>
        <v>27</v>
      </c>
      <c r="D353" s="2" t="s">
        <v>23</v>
      </c>
      <c r="E353" s="2" t="s">
        <v>29</v>
      </c>
      <c r="F353" s="1" t="s">
        <v>45</v>
      </c>
      <c r="G353" s="1" t="s">
        <v>84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1558.7636592972356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1342.5498860387293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0.84917811633162832</v>
      </c>
      <c r="R353" s="1">
        <v>66</v>
      </c>
      <c r="S353" s="1">
        <v>64</v>
      </c>
      <c r="T353" s="1">
        <v>0</v>
      </c>
      <c r="U353" s="1">
        <f>Games[[#This Row],[PointsFor]]-Games[[#This Row],[PointsAgainst]]</f>
        <v>2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0.22694990759204817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71.95</v>
      </c>
      <c r="Z353" s="4">
        <f>Games[[#This Row],[K]]*Games[[#This Row],[POMult]]</f>
        <v>71.95</v>
      </c>
      <c r="AA353" s="4">
        <f>(Games[[#This Row],[Keff]]*Games[[#This Row],[MOVMult]])*(Games[[#This Row],[Result]]-Games[[#This Row],[ExpectedWin%]])</f>
        <v>2.462777453792413</v>
      </c>
      <c r="AB353" s="4">
        <f>Games[[#This Row],[PreGmRate]]+Games[[#This Row],[RatingChange]]</f>
        <v>1561.2264367510279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38233</v>
      </c>
      <c r="B354" s="2">
        <v>2004</v>
      </c>
      <c r="C354" s="2">
        <f>COUNTIFS(Games[Team],Games[[#This Row],[Team]],Games[Season],Games[[#This Row],[Season]],Games[Date],"&lt;=" &amp; Games[[#This Row],[Date]])</f>
        <v>27</v>
      </c>
      <c r="D354" s="2" t="s">
        <v>23</v>
      </c>
      <c r="E354" s="2" t="s">
        <v>29</v>
      </c>
      <c r="F354" s="1" t="s">
        <v>66</v>
      </c>
      <c r="G354" s="1" t="s">
        <v>86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">
        <f>MAX(-16, MIN(16, Games[[#This Row],[RestDiff]]*8))</f>
        <v>-8</v>
      </c>
      <c r="N354" s="1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1504.8641989090017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1463.2766602769136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0.41672088842125288</v>
      </c>
      <c r="R354" s="1">
        <v>43</v>
      </c>
      <c r="S354" s="1">
        <v>61</v>
      </c>
      <c r="T354" s="1">
        <v>0</v>
      </c>
      <c r="U354" s="1">
        <f>Games[[#This Row],[PointsFor]]-Games[[#This Row],[PointsAgainst]]</f>
        <v>-18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0.5285174811552561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71.95</v>
      </c>
      <c r="Z354" s="4">
        <f>Games[[#This Row],[K]]*Games[[#This Row],[POMult]]</f>
        <v>71.95</v>
      </c>
      <c r="AA354" s="4">
        <f>(Games[[#This Row],[Keff]]*Games[[#This Row],[MOVMult]])*(Games[[#This Row],[Result]]-Games[[#This Row],[ExpectedWin%]])</f>
        <v>-15.846575535394381</v>
      </c>
      <c r="AB354" s="4">
        <f>Games[[#This Row],[PreGmRate]]+Games[[#This Row],[RatingChange]]</f>
        <v>1489.0176233736074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38233</v>
      </c>
      <c r="B355" s="2">
        <v>2004</v>
      </c>
      <c r="C355" s="2">
        <f>COUNTIFS(Games[Team],Games[[#This Row],[Team]],Games[Season],Games[[#This Row],[Season]],Games[Date],"&lt;=" &amp; Games[[#This Row],[Date]])</f>
        <v>29</v>
      </c>
      <c r="D355" s="2" t="s">
        <v>23</v>
      </c>
      <c r="E355" s="2" t="s">
        <v>29</v>
      </c>
      <c r="F355" s="1" t="s">
        <v>86</v>
      </c>
      <c r="G355" s="1" t="s">
        <v>66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">
        <f>MAX(-16, MIN(16, Games[[#This Row],[RestDiff]]*8))</f>
        <v>8</v>
      </c>
      <c r="N355" s="1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1463.2766602769136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1504.8641989090017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0.58327911157874712</v>
      </c>
      <c r="R355" s="1">
        <v>61</v>
      </c>
      <c r="S355" s="1">
        <v>43</v>
      </c>
      <c r="T355" s="1">
        <v>0</v>
      </c>
      <c r="U355" s="1">
        <f>Games[[#This Row],[PointsFor]]-Games[[#This Row],[PointsAgainst]]</f>
        <v>18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0.5285174811552561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71.650000000000006</v>
      </c>
      <c r="Z355" s="4">
        <f>Games[[#This Row],[K]]*Games[[#This Row],[POMult]]</f>
        <v>71.650000000000006</v>
      </c>
      <c r="AA355" s="4">
        <f>(Games[[#This Row],[Keff]]*Games[[#This Row],[MOVMult]])*(Games[[#This Row],[Result]]-Games[[#This Row],[ExpectedWin%]])</f>
        <v>15.780502253106427</v>
      </c>
      <c r="AB355" s="4">
        <f>Games[[#This Row],[PreGmRate]]+Games[[#This Row],[RatingChange]]</f>
        <v>1479.0571625300202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38233</v>
      </c>
      <c r="B356" s="2">
        <v>2004</v>
      </c>
      <c r="C356" s="2">
        <f>COUNTIFS(Games[Team],Games[[#This Row],[Team]],Games[Season],Games[[#This Row],[Season]],Games[Date],"&lt;=" &amp; Games[[#This Row],[Date]])</f>
        <v>27</v>
      </c>
      <c r="D356" s="2" t="s">
        <v>23</v>
      </c>
      <c r="E356" s="2" t="s">
        <v>29</v>
      </c>
      <c r="F356" s="1" t="s">
        <v>44</v>
      </c>
      <c r="G356" s="1" t="s">
        <v>2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1497.6746244153692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1511.3495215221249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0.36302426022952056</v>
      </c>
      <c r="R356" s="1">
        <v>70</v>
      </c>
      <c r="S356" s="1">
        <v>60</v>
      </c>
      <c r="T356" s="1">
        <v>0</v>
      </c>
      <c r="U356" s="1">
        <f>Games[[#This Row],[PointsFor]]-Games[[#This Row],[PointsAgainst]]</f>
        <v>10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0.41836214987157161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71.95</v>
      </c>
      <c r="Z356" s="4">
        <f>Games[[#This Row],[K]]*Games[[#This Row],[POMult]]</f>
        <v>71.95</v>
      </c>
      <c r="AA356" s="4">
        <f>(Games[[#This Row],[Keff]]*Games[[#This Row],[MOVMult]])*(Games[[#This Row],[Result]]-Games[[#This Row],[ExpectedWin%]])</f>
        <v>19.173706546266381</v>
      </c>
      <c r="AB356" s="4">
        <f>Games[[#This Row],[PreGmRate]]+Games[[#This Row],[RatingChange]]</f>
        <v>1516.8483309616356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38233</v>
      </c>
      <c r="B357" s="2">
        <v>2004</v>
      </c>
      <c r="C357" s="2">
        <f>COUNTIFS(Games[Team],Games[[#This Row],[Team]],Games[Season],Games[[#This Row],[Season]],Games[Date],"&lt;=" &amp; Games[[#This Row],[Date]])</f>
        <v>28</v>
      </c>
      <c r="D357" s="2" t="s">
        <v>23</v>
      </c>
      <c r="E357" s="2" t="s">
        <v>29</v>
      </c>
      <c r="F357" s="1" t="s">
        <v>2</v>
      </c>
      <c r="G357" s="1" t="s">
        <v>44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1511.3495215221249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1497.6746244153692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0.6369757397704795</v>
      </c>
      <c r="R357" s="1">
        <v>60</v>
      </c>
      <c r="S357" s="1">
        <v>70</v>
      </c>
      <c r="T357" s="1">
        <v>0</v>
      </c>
      <c r="U357" s="1">
        <f>Games[[#This Row],[PointsFor]]-Games[[#This Row],[PointsAgainst]]</f>
        <v>-10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0.41836214987157161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71.8</v>
      </c>
      <c r="Z357" s="4">
        <f>Games[[#This Row],[K]]*Games[[#This Row],[POMult]]</f>
        <v>71.8</v>
      </c>
      <c r="AA357" s="4">
        <f>(Games[[#This Row],[Keff]]*Games[[#This Row],[MOVMult]])*(Games[[#This Row],[Result]]-Games[[#This Row],[ExpectedWin%]])</f>
        <v>-19.133733565280419</v>
      </c>
      <c r="AB357" s="4">
        <f>Games[[#This Row],[PreGmRate]]+Games[[#This Row],[RatingChange]]</f>
        <v>1492.2157879568445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38233</v>
      </c>
      <c r="B358" s="2">
        <v>2004</v>
      </c>
      <c r="C358" s="2">
        <f>COUNTIFS(Games[Team],Games[[#This Row],[Team]],Games[Season],Games[[#This Row],[Season]],Games[Date],"&lt;=" &amp; Games[[#This Row],[Date]])</f>
        <v>27</v>
      </c>
      <c r="D358" s="2" t="s">
        <v>23</v>
      </c>
      <c r="E358" s="2" t="s">
        <v>29</v>
      </c>
      <c r="F358" s="1" t="s">
        <v>81</v>
      </c>
      <c r="G358" s="1" t="s">
        <v>70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">
        <f>MAX(-16, MIN(16, Games[[#This Row],[RestDiff]]*8))</f>
        <v>0</v>
      </c>
      <c r="N358" s="1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1585.8332155504143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1644.8410212402709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0.30508076106493043</v>
      </c>
      <c r="R358" s="1">
        <v>81</v>
      </c>
      <c r="S358" s="1">
        <v>82</v>
      </c>
      <c r="T358" s="1">
        <v>0</v>
      </c>
      <c r="U358" s="1">
        <f>Games[[#This Row],[PointsFor]]-Games[[#This Row],[PointsAgainst]]</f>
        <v>-1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0.23273533637688457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71.95</v>
      </c>
      <c r="Z358" s="4">
        <f>Games[[#This Row],[K]]*Games[[#This Row],[POMult]]</f>
        <v>71.95</v>
      </c>
      <c r="AA358" s="4">
        <f>(Games[[#This Row],[Keff]]*Games[[#This Row],[MOVMult]])*(Games[[#This Row],[Result]]-Games[[#This Row],[ExpectedWin%]])</f>
        <v>-5.108671141819074</v>
      </c>
      <c r="AB358" s="4">
        <f>Games[[#This Row],[PreGmRate]]+Games[[#This Row],[RatingChange]]</f>
        <v>1580.7245444085952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38233</v>
      </c>
      <c r="B359" s="2">
        <v>2004</v>
      </c>
      <c r="C359" s="2">
        <f>COUNTIFS(Games[Team],Games[[#This Row],[Team]],Games[Season],Games[[#This Row],[Season]],Games[Date],"&lt;=" &amp; Games[[#This Row],[Date]])</f>
        <v>28</v>
      </c>
      <c r="D359" s="2" t="s">
        <v>23</v>
      </c>
      <c r="E359" s="2" t="s">
        <v>29</v>
      </c>
      <c r="F359" s="1" t="s">
        <v>70</v>
      </c>
      <c r="G359" s="1" t="s">
        <v>81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">
        <f>MAX(-16, MIN(16, Games[[#This Row],[RestDiff]]*8))</f>
        <v>0</v>
      </c>
      <c r="N359" s="1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1644.8410212402709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1585.8332155504143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0.69491923893506957</v>
      </c>
      <c r="R359" s="1">
        <v>82</v>
      </c>
      <c r="S359" s="1">
        <v>81</v>
      </c>
      <c r="T359" s="1">
        <v>0</v>
      </c>
      <c r="U359" s="1">
        <f>Games[[#This Row],[PointsFor]]-Games[[#This Row],[PointsAgainst]]</f>
        <v>1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0.23273533637688457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71.8</v>
      </c>
      <c r="Z359" s="4">
        <f>Games[[#This Row],[K]]*Games[[#This Row],[POMult]]</f>
        <v>71.8</v>
      </c>
      <c r="AA359" s="4">
        <f>(Games[[#This Row],[Keff]]*Games[[#This Row],[MOVMult]])*(Games[[#This Row],[Result]]-Games[[#This Row],[ExpectedWin%]])</f>
        <v>5.0980206807867887</v>
      </c>
      <c r="AB359" s="4">
        <f>Games[[#This Row],[PreGmRate]]+Games[[#This Row],[RatingChange]]</f>
        <v>1649.9390419210577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38233</v>
      </c>
      <c r="B360" s="2">
        <v>2004</v>
      </c>
      <c r="C360" s="2">
        <f>COUNTIFS(Games[Team],Games[[#This Row],[Team]],Games[Season],Games[[#This Row],[Season]],Games[Date],"&lt;=" &amp; Games[[#This Row],[Date]])</f>
        <v>29</v>
      </c>
      <c r="D360" s="2" t="s">
        <v>23</v>
      </c>
      <c r="E360" s="2" t="s">
        <v>29</v>
      </c>
      <c r="F360" s="1" t="s">
        <v>79</v>
      </c>
      <c r="G360" s="1" t="s">
        <v>77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1474.3144708498594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1538.7155602229354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0.29853887117783706</v>
      </c>
      <c r="R360" s="1">
        <v>69</v>
      </c>
      <c r="S360" s="1">
        <v>61</v>
      </c>
      <c r="T360" s="1">
        <v>0</v>
      </c>
      <c r="U360" s="1">
        <f>Games[[#This Row],[PointsFor]]-Games[[#This Row],[PointsAgainst]]</f>
        <v>8</v>
      </c>
      <c r="V360" s="1">
        <f>IF(Games[[#This Row],[MOV]]&gt;0,1,IF(Games[[#This Row],[MOV]]=0,0.5,0))</f>
        <v>1</v>
      </c>
      <c r="W360" s="4">
        <f>((ABS(Games[[#This Row],[MOV]])+5)^0.6)/(12+0.01*(ABS(Games[[#This Row],[PreGmRate]]-Games[[#This Row],[OppPreGmRate]])))*IF(Games[[#This Row],[OT]]=1,0.9,1)</f>
        <v>0.3685370456574435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71.650000000000006</v>
      </c>
      <c r="Z360" s="4">
        <f>Games[[#This Row],[K]]*Games[[#This Row],[POMult]]</f>
        <v>71.650000000000006</v>
      </c>
      <c r="AA360" s="4">
        <f>(Games[[#This Row],[Keff]]*Games[[#This Row],[MOVMult]])*(Games[[#This Row],[Result]]-Games[[#This Row],[ExpectedWin%]])</f>
        <v>18.522557624074306</v>
      </c>
      <c r="AB360" s="4">
        <f>Games[[#This Row],[PreGmRate]]+Games[[#This Row],[RatingChange]]</f>
        <v>1492.8370284739337</v>
      </c>
      <c r="AC360" s="2">
        <f>IF(Games[[#This Row],[Type]]="R",IF(Games[[#This Row],[Result]]&gt;0.5,1,0),0)</f>
        <v>1</v>
      </c>
      <c r="AD360" s="2">
        <f>IF(Games[[#This Row],[Type]]="R",IF(Games[[#This Row],[Result]]&lt;0.5,1,0),0)</f>
        <v>0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38233</v>
      </c>
      <c r="B361" s="2">
        <v>2004</v>
      </c>
      <c r="C361" s="2">
        <f>COUNTIFS(Games[Team],Games[[#This Row],[Team]],Games[Season],Games[[#This Row],[Season]],Games[Date],"&lt;=" &amp; Games[[#This Row],[Date]])</f>
        <v>28</v>
      </c>
      <c r="D361" s="2" t="s">
        <v>23</v>
      </c>
      <c r="E361" s="2" t="s">
        <v>29</v>
      </c>
      <c r="F361" s="1" t="s">
        <v>77</v>
      </c>
      <c r="G361" s="1" t="s">
        <v>79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1538.7155602229354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1474.3144708498594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0.70146112882216294</v>
      </c>
      <c r="R361" s="1">
        <v>61</v>
      </c>
      <c r="S361" s="1">
        <v>69</v>
      </c>
      <c r="T361" s="1">
        <v>0</v>
      </c>
      <c r="U361" s="1">
        <f>Games[[#This Row],[PointsFor]]-Games[[#This Row],[PointsAgainst]]</f>
        <v>-8</v>
      </c>
      <c r="V361" s="1">
        <f>IF(Games[[#This Row],[MOV]]&gt;0,1,IF(Games[[#This Row],[MOV]]=0,0.5,0))</f>
        <v>0</v>
      </c>
      <c r="W361" s="4">
        <f>((ABS(Games[[#This Row],[MOV]])+5)^0.6)/(12+0.01*(ABS(Games[[#This Row],[PreGmRate]]-Games[[#This Row],[OppPreGmRate]])))*IF(Games[[#This Row],[OT]]=1,0.9,1)</f>
        <v>0.3685370456574435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71.8</v>
      </c>
      <c r="Z361" s="4">
        <f>Games[[#This Row],[K]]*Games[[#This Row],[POMult]]</f>
        <v>71.8</v>
      </c>
      <c r="AA361" s="4">
        <f>(Games[[#This Row],[Keff]]*Games[[#This Row],[MOVMult]])*(Games[[#This Row],[Result]]-Games[[#This Row],[ExpectedWin%]])</f>
        <v>-18.56133478588325</v>
      </c>
      <c r="AB361" s="4">
        <f>Games[[#This Row],[PreGmRate]]+Games[[#This Row],[RatingChange]]</f>
        <v>1520.1542254370522</v>
      </c>
      <c r="AC361" s="2">
        <f>IF(Games[[#This Row],[Type]]="R",IF(Games[[#This Row],[Result]]&gt;0.5,1,0),0)</f>
        <v>0</v>
      </c>
      <c r="AD361" s="2">
        <f>IF(Games[[#This Row],[Type]]="R",IF(Games[[#This Row],[Result]]&lt;0.5,1,0),0)</f>
        <v>1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38234</v>
      </c>
      <c r="B362" s="2">
        <v>2004</v>
      </c>
      <c r="C362" s="2">
        <f>COUNTIFS(Games[Team],Games[[#This Row],[Team]],Games[Season],Games[[#This Row],[Season]],Games[Date],"&lt;=" &amp; Games[[#This Row],[Date]])</f>
        <v>29</v>
      </c>
      <c r="D362" s="2" t="s">
        <v>23</v>
      </c>
      <c r="E362" s="2" t="s">
        <v>29</v>
      </c>
      <c r="F362" s="1" t="s">
        <v>75</v>
      </c>
      <c r="G362" s="1" t="s">
        <v>64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1</v>
      </c>
      <c r="L362" s="2">
        <f>Games[[#This Row],[OppDaysOff]]-Games[[#This Row],[DaysOff]]</f>
        <v>-1</v>
      </c>
      <c r="M362" s="1">
        <f>MAX(-16, MIN(16, Games[[#This Row],[RestDiff]]*8))</f>
        <v>8</v>
      </c>
      <c r="N362" s="1">
        <f>MAX(-16, MIN(16, Games[[#This Row],[OppRestDiff]]*8))</f>
        <v>-8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1487.1914067441344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1476.8446019127109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0.41778363293754189</v>
      </c>
      <c r="R362" s="1">
        <v>66</v>
      </c>
      <c r="S362" s="1">
        <v>58</v>
      </c>
      <c r="T362" s="1">
        <v>0</v>
      </c>
      <c r="U362" s="1">
        <f>Games[[#This Row],[PointsFor]]-Games[[#This Row],[PointsAgainst]]</f>
        <v>8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0.38499596986874179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71.650000000000006</v>
      </c>
      <c r="Z362" s="4">
        <f>Games[[#This Row],[K]]*Games[[#This Row],[POMult]]</f>
        <v>71.650000000000006</v>
      </c>
      <c r="AA362" s="4">
        <f>(Games[[#This Row],[Keff]]*Games[[#This Row],[MOVMult]])*(Games[[#This Row],[Result]]-Games[[#This Row],[ExpectedWin%]])</f>
        <v>16.06041591934925</v>
      </c>
      <c r="AB362" s="4">
        <f>Games[[#This Row],[PreGmRate]]+Games[[#This Row],[RatingChange]]</f>
        <v>1503.2518226634836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38234</v>
      </c>
      <c r="B363" s="2">
        <v>2004</v>
      </c>
      <c r="C363" s="2">
        <f>COUNTIFS(Games[Team],Games[[#This Row],[Team]],Games[Season],Games[[#This Row],[Season]],Games[Date],"&lt;=" &amp; Games[[#This Row],[Date]])</f>
        <v>28</v>
      </c>
      <c r="D363" s="2" t="s">
        <v>23</v>
      </c>
      <c r="E363" s="2" t="s">
        <v>29</v>
      </c>
      <c r="F363" s="1" t="s">
        <v>64</v>
      </c>
      <c r="G363" s="1" t="s">
        <v>75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3" s="2">
        <f>Games[[#This Row],[DaysOff]]-Games[[#This Row],[OppDaysOff]]</f>
        <v>-1</v>
      </c>
      <c r="L363" s="2">
        <f>Games[[#This Row],[OppDaysOff]]-Games[[#This Row],[DaysOff]]</f>
        <v>1</v>
      </c>
      <c r="M363" s="1">
        <f>MAX(-16, MIN(16, Games[[#This Row],[RestDiff]]*8))</f>
        <v>-8</v>
      </c>
      <c r="N363" s="1">
        <f>MAX(-16, MIN(16, Games[[#This Row],[OppRestDiff]]*8))</f>
        <v>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1476.8446019127109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1487.1914067441344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0.58221636706245805</v>
      </c>
      <c r="R363" s="1">
        <v>58</v>
      </c>
      <c r="S363" s="1">
        <v>66</v>
      </c>
      <c r="T363" s="1">
        <v>0</v>
      </c>
      <c r="U363" s="1">
        <f>Games[[#This Row],[PointsFor]]-Games[[#This Row],[PointsAgainst]]</f>
        <v>-8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0.38499596986874179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71.8</v>
      </c>
      <c r="Z363" s="4">
        <f>Games[[#This Row],[K]]*Games[[#This Row],[POMult]]</f>
        <v>71.8</v>
      </c>
      <c r="AA363" s="4">
        <f>(Games[[#This Row],[Keff]]*Games[[#This Row],[MOVMult]])*(Games[[#This Row],[Result]]-Games[[#This Row],[ExpectedWin%]])</f>
        <v>-16.094038562585848</v>
      </c>
      <c r="AB363" s="4">
        <f>Games[[#This Row],[PreGmRate]]+Games[[#This Row],[RatingChange]]</f>
        <v>1460.750563350125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38234</v>
      </c>
      <c r="B364" s="2">
        <v>2004</v>
      </c>
      <c r="C364" s="2">
        <f>COUNTIFS(Games[Team],Games[[#This Row],[Team]],Games[Season],Games[[#This Row],[Season]],Games[Date],"&lt;=" &amp; Games[[#This Row],[Date]])</f>
        <v>28</v>
      </c>
      <c r="D364" s="2" t="s">
        <v>23</v>
      </c>
      <c r="E364" s="2" t="s">
        <v>29</v>
      </c>
      <c r="F364" s="1" t="s">
        <v>73</v>
      </c>
      <c r="G364" s="1" t="s">
        <v>79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4" s="2">
        <f>Games[[#This Row],[DaysOff]]-Games[[#This Row],[OppDaysOff]]</f>
        <v>2</v>
      </c>
      <c r="L364" s="2">
        <f>Games[[#This Row],[OppDaysOff]]-Games[[#This Row],[DaysOff]]</f>
        <v>-2</v>
      </c>
      <c r="M364" s="1">
        <f>MAX(-16, MIN(16, Games[[#This Row],[RestDiff]]*8))</f>
        <v>16</v>
      </c>
      <c r="N364" s="1">
        <f>MAX(-16, MIN(16, Games[[#This Row],[OppRestDiff]]*8))</f>
        <v>-16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1433.1157037192743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1492.8370284739337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0.34454168083231107</v>
      </c>
      <c r="R364" s="1">
        <v>42</v>
      </c>
      <c r="S364" s="1">
        <v>69</v>
      </c>
      <c r="T364" s="1">
        <v>0</v>
      </c>
      <c r="U364" s="1">
        <f>Games[[#This Row],[PointsFor]]-Games[[#This Row],[PointsAgainst]]</f>
        <v>-27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0.63506109190920146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71.8</v>
      </c>
      <c r="Z364" s="4">
        <f>Games[[#This Row],[K]]*Games[[#This Row],[POMult]]</f>
        <v>71.8</v>
      </c>
      <c r="AA364" s="4">
        <f>(Games[[#This Row],[Keff]]*Games[[#This Row],[MOVMult]])*(Games[[#This Row],[Result]]-Games[[#This Row],[ExpectedWin%]])</f>
        <v>-15.710200151499611</v>
      </c>
      <c r="AB364" s="4">
        <f>Games[[#This Row],[PreGmRate]]+Games[[#This Row],[RatingChange]]</f>
        <v>1417.4055035677748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38234</v>
      </c>
      <c r="B365" s="2">
        <v>2004</v>
      </c>
      <c r="C365" s="2">
        <f>COUNTIFS(Games[Team],Games[[#This Row],[Team]],Games[Season],Games[[#This Row],[Season]],Games[Date],"&lt;=" &amp; Games[[#This Row],[Date]])</f>
        <v>30</v>
      </c>
      <c r="D365" s="2" t="s">
        <v>23</v>
      </c>
      <c r="E365" s="2" t="s">
        <v>29</v>
      </c>
      <c r="F365" s="1" t="s">
        <v>79</v>
      </c>
      <c r="G365" s="1" t="s">
        <v>73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5" s="2">
        <f>Games[[#This Row],[DaysOff]]-Games[[#This Row],[OppDaysOff]]</f>
        <v>-2</v>
      </c>
      <c r="L365" s="2">
        <f>Games[[#This Row],[OppDaysOff]]-Games[[#This Row],[DaysOff]]</f>
        <v>2</v>
      </c>
      <c r="M365" s="1">
        <f>MAX(-16, MIN(16, Games[[#This Row],[RestDiff]]*8))</f>
        <v>-16</v>
      </c>
      <c r="N365" s="1">
        <f>MAX(-16, MIN(16, Games[[#This Row],[OppRestDiff]]*8))</f>
        <v>16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1492.8370284739337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1433.1157037192743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0.65545831916768893</v>
      </c>
      <c r="R365" s="1">
        <v>69</v>
      </c>
      <c r="S365" s="1">
        <v>42</v>
      </c>
      <c r="T365" s="1">
        <v>0</v>
      </c>
      <c r="U365" s="1">
        <f>Games[[#This Row],[PointsFor]]-Games[[#This Row],[PointsAgainst]]</f>
        <v>27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0.63506109190920146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15.644558646688331</v>
      </c>
      <c r="AB365" s="4">
        <f>Games[[#This Row],[PreGmRate]]+Games[[#This Row],[RatingChange]]</f>
        <v>1508.4815871206222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38234</v>
      </c>
      <c r="B366" s="2">
        <v>2004</v>
      </c>
      <c r="C366" s="2">
        <f>COUNTIFS(Games[Team],Games[[#This Row],[Team]],Games[Season],Games[[#This Row],[Season]],Games[Date],"&lt;=" &amp; Games[[#This Row],[Date]])</f>
        <v>28</v>
      </c>
      <c r="D366" s="2" t="s">
        <v>23</v>
      </c>
      <c r="E366" s="2" t="s">
        <v>29</v>
      </c>
      <c r="F366" s="1" t="s">
        <v>81</v>
      </c>
      <c r="G366" s="1" t="s">
        <v>44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1580.7245444085952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1516.8483309616356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0.47107188559181767</v>
      </c>
      <c r="R366" s="1">
        <v>55</v>
      </c>
      <c r="S366" s="1">
        <v>63</v>
      </c>
      <c r="T366" s="1">
        <v>0</v>
      </c>
      <c r="U366" s="1">
        <f>Games[[#This Row],[PointsFor]]-Games[[#This Row],[PointsAgainst]]</f>
        <v>-8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0.36869009563266225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71.8</v>
      </c>
      <c r="Z366" s="4">
        <f>Games[[#This Row],[K]]*Games[[#This Row],[POMult]]</f>
        <v>71.8</v>
      </c>
      <c r="AA366" s="4">
        <f>(Games[[#This Row],[Keff]]*Games[[#This Row],[MOVMult]])*(Games[[#This Row],[Result]]-Games[[#This Row],[ExpectedWin%]])</f>
        <v>-12.470190867797076</v>
      </c>
      <c r="AB366" s="4">
        <f>Games[[#This Row],[PreGmRate]]+Games[[#This Row],[RatingChange]]</f>
        <v>1568.2543535407981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38234</v>
      </c>
      <c r="B367" s="2">
        <v>2004</v>
      </c>
      <c r="C367" s="2">
        <f>COUNTIFS(Games[Team],Games[[#This Row],[Team]],Games[Season],Games[[#This Row],[Season]],Games[Date],"&lt;=" &amp; Games[[#This Row],[Date]])</f>
        <v>28</v>
      </c>
      <c r="D367" s="2" t="s">
        <v>23</v>
      </c>
      <c r="E367" s="2" t="s">
        <v>29</v>
      </c>
      <c r="F367" s="1" t="s">
        <v>44</v>
      </c>
      <c r="G367" s="1" t="s">
        <v>81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1516.8483309616356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1580.7245444085952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0.52892811440818233</v>
      </c>
      <c r="R367" s="1">
        <v>63</v>
      </c>
      <c r="S367" s="1">
        <v>55</v>
      </c>
      <c r="T367" s="1">
        <v>0</v>
      </c>
      <c r="U367" s="1">
        <f>Games[[#This Row],[PointsFor]]-Games[[#This Row],[PointsAgainst]]</f>
        <v>8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0.36869009563266225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71.8</v>
      </c>
      <c r="Z367" s="4">
        <f>Games[[#This Row],[K]]*Games[[#This Row],[POMult]]</f>
        <v>71.8</v>
      </c>
      <c r="AA367" s="4">
        <f>(Games[[#This Row],[Keff]]*Games[[#This Row],[MOVMult]])*(Games[[#This Row],[Result]]-Games[[#This Row],[ExpectedWin%]])</f>
        <v>12.470190867797076</v>
      </c>
      <c r="AB367" s="4">
        <f>Games[[#This Row],[PreGmRate]]+Games[[#This Row],[RatingChange]]</f>
        <v>1529.3185218294327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38234</v>
      </c>
      <c r="B368" s="2">
        <v>2004</v>
      </c>
      <c r="C368" s="2">
        <f>COUNTIFS(Games[Team],Games[[#This Row],[Team]],Games[Season],Games[[#This Row],[Season]],Games[Date],"&lt;=" &amp; Games[[#This Row],[Date]])</f>
        <v>28</v>
      </c>
      <c r="D368" s="2" t="s">
        <v>23</v>
      </c>
      <c r="E368" s="2" t="s">
        <v>29</v>
      </c>
      <c r="F368" s="1" t="s">
        <v>45</v>
      </c>
      <c r="G368" s="1" t="s">
        <v>84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">
        <f>MAX(-16, MIN(16, Games[[#This Row],[RestDiff]]*8))</f>
        <v>0</v>
      </c>
      <c r="N368" s="1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1561.2264367510279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1340.0922429368211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0.68770417594844013</v>
      </c>
      <c r="R368" s="1">
        <v>80</v>
      </c>
      <c r="S368" s="1">
        <v>70</v>
      </c>
      <c r="T368" s="1">
        <v>0</v>
      </c>
      <c r="U368" s="1">
        <f>Games[[#This Row],[PointsFor]]-Games[[#This Row],[PointsAgainst]]</f>
        <v>10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0.35728901704628369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71.8</v>
      </c>
      <c r="Z368" s="4">
        <f>Games[[#This Row],[K]]*Games[[#This Row],[POMult]]</f>
        <v>71.8</v>
      </c>
      <c r="AA368" s="4">
        <f>(Games[[#This Row],[Keff]]*Games[[#This Row],[MOVMult]])*(Games[[#This Row],[Result]]-Games[[#This Row],[ExpectedWin%]])</f>
        <v>8.0114345226183428</v>
      </c>
      <c r="AB368" s="4">
        <f>Games[[#This Row],[PreGmRate]]+Games[[#This Row],[RatingChange]]</f>
        <v>1569.2378712736463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38234</v>
      </c>
      <c r="B369" s="2">
        <v>2004</v>
      </c>
      <c r="C369" s="2">
        <f>COUNTIFS(Games[Team],Games[[#This Row],[Team]],Games[Season],Games[[#This Row],[Season]],Games[Date],"&lt;=" &amp; Games[[#This Row],[Date]])</f>
        <v>29</v>
      </c>
      <c r="D369" s="2" t="s">
        <v>23</v>
      </c>
      <c r="E369" s="2" t="s">
        <v>29</v>
      </c>
      <c r="F369" s="1" t="s">
        <v>84</v>
      </c>
      <c r="G369" s="1" t="s">
        <v>45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">
        <f>MAX(-16, MIN(16, Games[[#This Row],[RestDiff]]*8))</f>
        <v>0</v>
      </c>
      <c r="N369" s="1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1340.0922429368211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1561.2264367510279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0.31229582405155987</v>
      </c>
      <c r="R369" s="1">
        <v>70</v>
      </c>
      <c r="S369" s="1">
        <v>80</v>
      </c>
      <c r="T369" s="1">
        <v>0</v>
      </c>
      <c r="U369" s="1">
        <f>Games[[#This Row],[PointsFor]]-Games[[#This Row],[PointsAgainst]]</f>
        <v>-10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0.35728901704628369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71.650000000000006</v>
      </c>
      <c r="Z369" s="4">
        <f>Games[[#This Row],[K]]*Games[[#This Row],[POMult]]</f>
        <v>71.650000000000006</v>
      </c>
      <c r="AA369" s="4">
        <f>(Games[[#This Row],[Keff]]*Games[[#This Row],[MOVMult]])*(Games[[#This Row],[Result]]-Games[[#This Row],[ExpectedWin%]])</f>
        <v>-7.994697542417887</v>
      </c>
      <c r="AB369" s="4">
        <f>Games[[#This Row],[PreGmRate]]+Games[[#This Row],[RatingChange]]</f>
        <v>1332.0975453944031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38237</v>
      </c>
      <c r="B370" s="2">
        <v>2004</v>
      </c>
      <c r="C370" s="2">
        <f>COUNTIFS(Games[Team],Games[[#This Row],[Team]],Games[Season],Games[[#This Row],[Season]],Games[Date],"&lt;=" &amp; Games[[#This Row],[Date]])</f>
        <v>29</v>
      </c>
      <c r="D370" s="2" t="s">
        <v>23</v>
      </c>
      <c r="E370" s="2" t="s">
        <v>29</v>
      </c>
      <c r="F370" s="1" t="s">
        <v>45</v>
      </c>
      <c r="G370" s="1" t="s">
        <v>73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1569.2378712736463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1417.4055035677748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0.59639691951029217</v>
      </c>
      <c r="R370" s="1">
        <v>63</v>
      </c>
      <c r="S370" s="1">
        <v>67</v>
      </c>
      <c r="T370" s="1">
        <v>1</v>
      </c>
      <c r="U370" s="1">
        <f>Games[[#This Row],[PointsFor]]-Games[[#This Row],[PointsAgainst]]</f>
        <v>-4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0.24880847783441398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71.650000000000006</v>
      </c>
      <c r="Z370" s="4">
        <f>Games[[#This Row],[K]]*Games[[#This Row],[POMult]]</f>
        <v>71.650000000000006</v>
      </c>
      <c r="AA370" s="4">
        <f>(Games[[#This Row],[Keff]]*Games[[#This Row],[MOVMult]])*(Games[[#This Row],[Result]]-Games[[#This Row],[ExpectedWin%]])</f>
        <v>-10.63204388704626</v>
      </c>
      <c r="AB370" s="4">
        <f>Games[[#This Row],[PreGmRate]]+Games[[#This Row],[RatingChange]]</f>
        <v>1558.6058273866001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38237</v>
      </c>
      <c r="B371" s="2">
        <v>2004</v>
      </c>
      <c r="C371" s="2">
        <f>COUNTIFS(Games[Team],Games[[#This Row],[Team]],Games[Season],Games[[#This Row],[Season]],Games[Date],"&lt;=" &amp; Games[[#This Row],[Date]])</f>
        <v>29</v>
      </c>
      <c r="D371" s="2" t="s">
        <v>23</v>
      </c>
      <c r="E371" s="2" t="s">
        <v>29</v>
      </c>
      <c r="F371" s="1" t="s">
        <v>73</v>
      </c>
      <c r="G371" s="1" t="s">
        <v>45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1417.4055035677748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1569.2378712736463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0.40360308048970778</v>
      </c>
      <c r="R371" s="1">
        <v>67</v>
      </c>
      <c r="S371" s="1">
        <v>63</v>
      </c>
      <c r="T371" s="1">
        <v>1</v>
      </c>
      <c r="U371" s="1">
        <f>Games[[#This Row],[PointsFor]]-Games[[#This Row],[PointsAgainst]]</f>
        <v>4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0.24880847783441398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71.650000000000006</v>
      </c>
      <c r="Z371" s="4">
        <f>Games[[#This Row],[K]]*Games[[#This Row],[POMult]]</f>
        <v>71.650000000000006</v>
      </c>
      <c r="AA371" s="4">
        <f>(Games[[#This Row],[Keff]]*Games[[#This Row],[MOVMult]])*(Games[[#This Row],[Result]]-Games[[#This Row],[ExpectedWin%]])</f>
        <v>10.632043887046262</v>
      </c>
      <c r="AB371" s="4">
        <f>Games[[#This Row],[PreGmRate]]+Games[[#This Row],[RatingChange]]</f>
        <v>1428.0375474548209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38238</v>
      </c>
      <c r="B372" s="2">
        <v>2004</v>
      </c>
      <c r="C372" s="2">
        <f>COUNTIFS(Games[Team],Games[[#This Row],[Team]],Games[Season],Games[[#This Row],[Season]],Games[Date],"&lt;=" &amp; Games[[#This Row],[Date]])</f>
        <v>29</v>
      </c>
      <c r="D372" s="2" t="s">
        <v>23</v>
      </c>
      <c r="E372" s="2" t="s">
        <v>29</v>
      </c>
      <c r="F372" s="1" t="s">
        <v>64</v>
      </c>
      <c r="G372" s="1" t="s">
        <v>77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2" s="2">
        <f>Games[[#This Row],[DaysOff]]-Games[[#This Row],[OppDaysOff]]</f>
        <v>-1</v>
      </c>
      <c r="L372" s="2">
        <f>Games[[#This Row],[OppDaysOff]]-Games[[#This Row],[DaysOff]]</f>
        <v>1</v>
      </c>
      <c r="M372" s="1">
        <f>MAX(-16, MIN(16, Games[[#This Row],[RestDiff]]*8))</f>
        <v>-8</v>
      </c>
      <c r="N372" s="1">
        <f>MAX(-16, MIN(16, Games[[#This Row],[OppRestDiff]]*8))</f>
        <v>8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1460.750563350125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1520.1542254370522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0.28544691015396217</v>
      </c>
      <c r="R372" s="1">
        <v>72</v>
      </c>
      <c r="S372" s="1">
        <v>68</v>
      </c>
      <c r="T372" s="1">
        <v>0</v>
      </c>
      <c r="U372" s="1">
        <f>Games[[#This Row],[PointsFor]]-Games[[#This Row],[PointsAgainst]]</f>
        <v>4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0.29674304842450122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71.650000000000006</v>
      </c>
      <c r="Z372" s="4">
        <f>Games[[#This Row],[K]]*Games[[#This Row],[POMult]]</f>
        <v>71.650000000000006</v>
      </c>
      <c r="AA372" s="4">
        <f>(Games[[#This Row],[Keff]]*Games[[#This Row],[MOVMult]])*(Games[[#This Row],[Result]]-Games[[#This Row],[ExpectedWin%]])</f>
        <v>15.192570142478584</v>
      </c>
      <c r="AB372" s="4">
        <f>Games[[#This Row],[PreGmRate]]+Games[[#This Row],[RatingChange]]</f>
        <v>1475.9431334926037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38238</v>
      </c>
      <c r="B373" s="2">
        <v>2004</v>
      </c>
      <c r="C373" s="2">
        <f>COUNTIFS(Games[Team],Games[[#This Row],[Team]],Games[Season],Games[[#This Row],[Season]],Games[Date],"&lt;=" &amp; Games[[#This Row],[Date]])</f>
        <v>29</v>
      </c>
      <c r="D373" s="2" t="s">
        <v>23</v>
      </c>
      <c r="E373" s="2" t="s">
        <v>29</v>
      </c>
      <c r="F373" s="1" t="s">
        <v>77</v>
      </c>
      <c r="G373" s="1" t="s">
        <v>64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3" s="2">
        <f>Games[[#This Row],[DaysOff]]-Games[[#This Row],[OppDaysOff]]</f>
        <v>1</v>
      </c>
      <c r="L373" s="2">
        <f>Games[[#This Row],[OppDaysOff]]-Games[[#This Row],[DaysOff]]</f>
        <v>-1</v>
      </c>
      <c r="M373" s="1">
        <f>MAX(-16, MIN(16, Games[[#This Row],[RestDiff]]*8))</f>
        <v>8</v>
      </c>
      <c r="N373" s="1">
        <f>MAX(-16, MIN(16, Games[[#This Row],[OppRestDiff]]*8))</f>
        <v>-8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1520.1542254370522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1460.750563350125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0.71455308984603783</v>
      </c>
      <c r="R373" s="1">
        <v>68</v>
      </c>
      <c r="S373" s="1">
        <v>72</v>
      </c>
      <c r="T373" s="1">
        <v>0</v>
      </c>
      <c r="U373" s="1">
        <f>Games[[#This Row],[PointsFor]]-Games[[#This Row],[PointsAgainst]]</f>
        <v>-4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0.29674304842450122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71.650000000000006</v>
      </c>
      <c r="Z373" s="4">
        <f>Games[[#This Row],[K]]*Games[[#This Row],[POMult]]</f>
        <v>71.650000000000006</v>
      </c>
      <c r="AA373" s="4">
        <f>(Games[[#This Row],[Keff]]*Games[[#This Row],[MOVMult]])*(Games[[#This Row],[Result]]-Games[[#This Row],[ExpectedWin%]])</f>
        <v>-15.192570142478584</v>
      </c>
      <c r="AB373" s="4">
        <f>Games[[#This Row],[PreGmRate]]+Games[[#This Row],[RatingChange]]</f>
        <v>1504.9616552945736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38238</v>
      </c>
      <c r="B374" s="2">
        <v>2004</v>
      </c>
      <c r="C374" s="2">
        <f>COUNTIFS(Games[Team],Games[[#This Row],[Team]],Games[Season],Games[[#This Row],[Season]],Games[Date],"&lt;=" &amp; Games[[#This Row],[Date]])</f>
        <v>29</v>
      </c>
      <c r="D374" s="2" t="s">
        <v>23</v>
      </c>
      <c r="E374" s="2" t="s">
        <v>29</v>
      </c>
      <c r="F374" s="1" t="s">
        <v>70</v>
      </c>
      <c r="G374" s="1" t="s">
        <v>44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4" s="2">
        <f>Games[[#This Row],[DaysOff]]-Games[[#This Row],[OppDaysOff]]</f>
        <v>1</v>
      </c>
      <c r="L374" s="2">
        <f>Games[[#This Row],[OppDaysOff]]-Games[[#This Row],[DaysOff]]</f>
        <v>-1</v>
      </c>
      <c r="M374" s="1">
        <f>MAX(-16, MIN(16, Games[[#This Row],[RestDiff]]*8))</f>
        <v>8</v>
      </c>
      <c r="N374" s="1">
        <f>MAX(-16, MIN(16, Games[[#This Row],[OppRestDiff]]*8))</f>
        <v>-8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1649.9390419210577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1529.3185218294327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0.5751532625858633</v>
      </c>
      <c r="R374" s="1">
        <v>58</v>
      </c>
      <c r="S374" s="1">
        <v>72</v>
      </c>
      <c r="T374" s="1">
        <v>0</v>
      </c>
      <c r="U374" s="1">
        <f>Games[[#This Row],[PointsFor]]-Games[[#This Row],[PointsAgainst]]</f>
        <v>-14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0.44307181006117113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71.650000000000006</v>
      </c>
      <c r="Z374" s="4">
        <f>Games[[#This Row],[K]]*Games[[#This Row],[POMult]]</f>
        <v>71.650000000000006</v>
      </c>
      <c r="AA374" s="4">
        <f>(Games[[#This Row],[Keff]]*Games[[#This Row],[MOVMult]])*(Games[[#This Row],[Result]]-Games[[#This Row],[ExpectedWin%]])</f>
        <v>-18.258870223397693</v>
      </c>
      <c r="AB374" s="4">
        <f>Games[[#This Row],[PreGmRate]]+Games[[#This Row],[RatingChange]]</f>
        <v>1631.6801716976599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38238</v>
      </c>
      <c r="B375" s="2">
        <v>2004</v>
      </c>
      <c r="C375" s="2">
        <f>COUNTIFS(Games[Team],Games[[#This Row],[Team]],Games[Season],Games[[#This Row],[Season]],Games[Date],"&lt;=" &amp; Games[[#This Row],[Date]])</f>
        <v>29</v>
      </c>
      <c r="D375" s="2" t="s">
        <v>23</v>
      </c>
      <c r="E375" s="2" t="s">
        <v>29</v>
      </c>
      <c r="F375" s="1" t="s">
        <v>44</v>
      </c>
      <c r="G375" s="1" t="s">
        <v>70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5" s="2">
        <f>Games[[#This Row],[DaysOff]]-Games[[#This Row],[OppDaysOff]]</f>
        <v>-1</v>
      </c>
      <c r="L375" s="2">
        <f>Games[[#This Row],[OppDaysOff]]-Games[[#This Row],[DaysOff]]</f>
        <v>1</v>
      </c>
      <c r="M375" s="1">
        <f>MAX(-16, MIN(16, Games[[#This Row],[RestDiff]]*8))</f>
        <v>-8</v>
      </c>
      <c r="N375" s="1">
        <f>MAX(-16, MIN(16, Games[[#This Row],[OppRestDiff]]*8))</f>
        <v>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1529.3185218294327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1649.9390419210577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0.42484673741413675</v>
      </c>
      <c r="R375" s="1">
        <v>72</v>
      </c>
      <c r="S375" s="1">
        <v>58</v>
      </c>
      <c r="T375" s="1">
        <v>0</v>
      </c>
      <c r="U375" s="1">
        <f>Games[[#This Row],[PointsFor]]-Games[[#This Row],[PointsAgainst]]</f>
        <v>14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0.44307181006117113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71.650000000000006</v>
      </c>
      <c r="Z375" s="4">
        <f>Games[[#This Row],[K]]*Games[[#This Row],[POMult]]</f>
        <v>71.650000000000006</v>
      </c>
      <c r="AA375" s="4">
        <f>(Games[[#This Row],[Keff]]*Games[[#This Row],[MOVMult]])*(Games[[#This Row],[Result]]-Games[[#This Row],[ExpectedWin%]])</f>
        <v>18.258870223397693</v>
      </c>
      <c r="AB375" s="4">
        <f>Games[[#This Row],[PreGmRate]]+Games[[#This Row],[RatingChange]]</f>
        <v>1547.5773920528304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38238</v>
      </c>
      <c r="B376" s="2">
        <v>2004</v>
      </c>
      <c r="C376" s="2">
        <f>COUNTIFS(Games[Team],Games[[#This Row],[Team]],Games[Season],Games[[#This Row],[Season]],Games[Date],"&lt;=" &amp; Games[[#This Row],[Date]])</f>
        <v>30</v>
      </c>
      <c r="D376" s="2" t="s">
        <v>23</v>
      </c>
      <c r="E376" s="2" t="s">
        <v>29</v>
      </c>
      <c r="F376" s="1" t="s">
        <v>75</v>
      </c>
      <c r="G376" s="1" t="s">
        <v>81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1503.2518226634836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1568.2543535407981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0.29781435123790401</v>
      </c>
      <c r="R376" s="1">
        <v>67</v>
      </c>
      <c r="S376" s="1">
        <v>86</v>
      </c>
      <c r="T376" s="1">
        <v>0</v>
      </c>
      <c r="U376" s="1">
        <f>Games[[#This Row],[PointsFor]]-Games[[#This Row],[PointsAgainst]]</f>
        <v>-19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0.53215157348409048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71.5</v>
      </c>
      <c r="Z376" s="4">
        <f>Games[[#This Row],[K]]*Games[[#This Row],[POMult]]</f>
        <v>71.5</v>
      </c>
      <c r="AA376" s="4">
        <f>(Games[[#This Row],[Keff]]*Games[[#This Row],[MOVMult]])*(Games[[#This Row],[Result]]-Games[[#This Row],[ExpectedWin%]])</f>
        <v>-11.331489856643685</v>
      </c>
      <c r="AB376" s="4">
        <f>Games[[#This Row],[PreGmRate]]+Games[[#This Row],[RatingChange]]</f>
        <v>1491.92033280684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38238</v>
      </c>
      <c r="B377" s="2">
        <v>2004</v>
      </c>
      <c r="C377" s="2">
        <f>COUNTIFS(Games[Team],Games[[#This Row],[Team]],Games[Season],Games[[#This Row],[Season]],Games[Date],"&lt;=" &amp; Games[[#This Row],[Date]])</f>
        <v>29</v>
      </c>
      <c r="D377" s="2" t="s">
        <v>23</v>
      </c>
      <c r="E377" s="2" t="s">
        <v>29</v>
      </c>
      <c r="F377" s="1" t="s">
        <v>81</v>
      </c>
      <c r="G377" s="1" t="s">
        <v>75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1568.2543535407981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1503.2518226634836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0.70218564876209599</v>
      </c>
      <c r="R377" s="1">
        <v>86</v>
      </c>
      <c r="S377" s="1">
        <v>67</v>
      </c>
      <c r="T377" s="1">
        <v>0</v>
      </c>
      <c r="U377" s="1">
        <f>Games[[#This Row],[PointsFor]]-Games[[#This Row],[PointsAgainst]]</f>
        <v>19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0.53215157348409048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71.650000000000006</v>
      </c>
      <c r="Z377" s="4">
        <f>Games[[#This Row],[K]]*Games[[#This Row],[POMult]]</f>
        <v>71.650000000000006</v>
      </c>
      <c r="AA377" s="4">
        <f>(Games[[#This Row],[Keff]]*Games[[#This Row],[MOVMult]])*(Games[[#This Row],[Result]]-Games[[#This Row],[ExpectedWin%]])</f>
        <v>11.355262212986295</v>
      </c>
      <c r="AB377" s="4">
        <f>Games[[#This Row],[PreGmRate]]+Games[[#This Row],[RatingChange]]</f>
        <v>1579.6096157537843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38239</v>
      </c>
      <c r="B378" s="2">
        <v>2004</v>
      </c>
      <c r="C378" s="2">
        <f>COUNTIFS(Games[Team],Games[[#This Row],[Team]],Games[Season],Games[[#This Row],[Season]],Games[Date],"&lt;=" &amp; Games[[#This Row],[Date]])</f>
        <v>30</v>
      </c>
      <c r="D378" s="2" t="s">
        <v>23</v>
      </c>
      <c r="E378" s="2" t="s">
        <v>29</v>
      </c>
      <c r="F378" s="1" t="s">
        <v>45</v>
      </c>
      <c r="G378" s="1" t="s">
        <v>64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8" s="2">
        <f>Games[[#This Row],[DaysOff]]-Games[[#This Row],[OppDaysOff]]</f>
        <v>1</v>
      </c>
      <c r="L378" s="2">
        <f>Games[[#This Row],[OppDaysOff]]-Games[[#This Row],[DaysOff]]</f>
        <v>-1</v>
      </c>
      <c r="M378" s="1">
        <f>MAX(-16, MIN(16, Games[[#This Row],[RestDiff]]*8))</f>
        <v>8</v>
      </c>
      <c r="N378" s="1">
        <f>MAX(-16, MIN(16, Games[[#This Row],[OppRestDiff]]*8))</f>
        <v>-8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1558.6058273866001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1475.9431334926037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0.52108879407892561</v>
      </c>
      <c r="R378" s="1">
        <v>69</v>
      </c>
      <c r="S378" s="1">
        <v>74</v>
      </c>
      <c r="T378" s="1">
        <v>0</v>
      </c>
      <c r="U378" s="1">
        <f>Games[[#This Row],[PointsFor]]-Games[[#This Row],[PointsAgainst]]</f>
        <v>-5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0.31037557453619852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71.5</v>
      </c>
      <c r="Z378" s="4">
        <f>Games[[#This Row],[K]]*Games[[#This Row],[POMult]]</f>
        <v>71.5</v>
      </c>
      <c r="AA378" s="4">
        <f>(Games[[#This Row],[Keff]]*Games[[#This Row],[MOVMult]])*(Games[[#This Row],[Result]]-Games[[#This Row],[ExpectedWin%]])</f>
        <v>-11.563926220033428</v>
      </c>
      <c r="AB378" s="4">
        <f>Games[[#This Row],[PreGmRate]]+Games[[#This Row],[RatingChange]]</f>
        <v>1547.0419011665667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38239</v>
      </c>
      <c r="B379" s="2">
        <v>2004</v>
      </c>
      <c r="C379" s="2">
        <f>COUNTIFS(Games[Team],Games[[#This Row],[Team]],Games[Season],Games[[#This Row],[Season]],Games[Date],"&lt;=" &amp; Games[[#This Row],[Date]])</f>
        <v>30</v>
      </c>
      <c r="D379" s="2" t="s">
        <v>23</v>
      </c>
      <c r="E379" s="2" t="s">
        <v>29</v>
      </c>
      <c r="F379" s="1" t="s">
        <v>64</v>
      </c>
      <c r="G379" s="1" t="s">
        <v>45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-1</v>
      </c>
      <c r="L379" s="2">
        <f>Games[[#This Row],[OppDaysOff]]-Games[[#This Row],[DaysOff]]</f>
        <v>1</v>
      </c>
      <c r="M379" s="1">
        <f>MAX(-16, MIN(16, Games[[#This Row],[RestDiff]]*8))</f>
        <v>-8</v>
      </c>
      <c r="N379" s="1">
        <f>MAX(-16, MIN(16, Games[[#This Row],[OppRestDiff]]*8))</f>
        <v>8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1475.9431334926037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1558.6058273866001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0.47891120592107445</v>
      </c>
      <c r="R379" s="1">
        <v>74</v>
      </c>
      <c r="S379" s="1">
        <v>69</v>
      </c>
      <c r="T379" s="1">
        <v>0</v>
      </c>
      <c r="U379" s="1">
        <f>Games[[#This Row],[PointsFor]]-Games[[#This Row],[PointsAgainst]]</f>
        <v>5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0.31037557453619852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71.5</v>
      </c>
      <c r="Z379" s="4">
        <f>Games[[#This Row],[K]]*Games[[#This Row],[POMult]]</f>
        <v>71.5</v>
      </c>
      <c r="AA379" s="4">
        <f>(Games[[#This Row],[Keff]]*Games[[#This Row],[MOVMult]])*(Games[[#This Row],[Result]]-Games[[#This Row],[ExpectedWin%]])</f>
        <v>11.563926220033427</v>
      </c>
      <c r="AB379" s="4">
        <f>Games[[#This Row],[PreGmRate]]+Games[[#This Row],[RatingChange]]</f>
        <v>1487.5070597126371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38239</v>
      </c>
      <c r="B380" s="2">
        <v>2004</v>
      </c>
      <c r="C380" s="2">
        <f>COUNTIFS(Games[Team],Games[[#This Row],[Team]],Games[Season],Games[[#This Row],[Season]],Games[Date],"&lt;=" &amp; Games[[#This Row],[Date]])</f>
        <v>31</v>
      </c>
      <c r="D380" s="2" t="s">
        <v>23</v>
      </c>
      <c r="E380" s="2" t="s">
        <v>29</v>
      </c>
      <c r="F380" s="1" t="s">
        <v>75</v>
      </c>
      <c r="G380" s="1" t="s">
        <v>70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1491.92033280684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1631.6801716976599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0.21618048030642115</v>
      </c>
      <c r="R380" s="1">
        <v>63</v>
      </c>
      <c r="S380" s="1">
        <v>81</v>
      </c>
      <c r="T380" s="1">
        <v>0</v>
      </c>
      <c r="U380" s="1">
        <f>Games[[#This Row],[PointsFor]]-Games[[#This Row],[PointsAgainst]]</f>
        <v>-18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0.48978981120590276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71.349999999999994</v>
      </c>
      <c r="Z380" s="4">
        <f>Games[[#This Row],[K]]*Games[[#This Row],[POMult]]</f>
        <v>71.349999999999994</v>
      </c>
      <c r="AA380" s="4">
        <f>(Games[[#This Row],[Keff]]*Games[[#This Row],[MOVMult]])*(Games[[#This Row],[Result]]-Games[[#This Row],[ExpectedWin%]])</f>
        <v>-7.5547518099560103</v>
      </c>
      <c r="AB380" s="4">
        <f>Games[[#This Row],[PreGmRate]]+Games[[#This Row],[RatingChange]]</f>
        <v>1484.3655809968839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38239</v>
      </c>
      <c r="B381" s="2">
        <v>2004</v>
      </c>
      <c r="C381" s="2">
        <f>COUNTIFS(Games[Team],Games[[#This Row],[Team]],Games[Season],Games[[#This Row],[Season]],Games[Date],"&lt;=" &amp; Games[[#This Row],[Date]])</f>
        <v>30</v>
      </c>
      <c r="D381" s="2" t="s">
        <v>23</v>
      </c>
      <c r="E381" s="2" t="s">
        <v>29</v>
      </c>
      <c r="F381" s="1" t="s">
        <v>70</v>
      </c>
      <c r="G381" s="1" t="s">
        <v>75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1631.6801716976599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1491.92033280684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0.78381951969357888</v>
      </c>
      <c r="R381" s="1">
        <v>81</v>
      </c>
      <c r="S381" s="1">
        <v>63</v>
      </c>
      <c r="T381" s="1">
        <v>0</v>
      </c>
      <c r="U381" s="1">
        <f>Games[[#This Row],[PointsFor]]-Games[[#This Row],[PointsAgainst]]</f>
        <v>18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0.48978981120590276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71.5</v>
      </c>
      <c r="Z381" s="4">
        <f>Games[[#This Row],[K]]*Games[[#This Row],[POMult]]</f>
        <v>71.5</v>
      </c>
      <c r="AA381" s="4">
        <f>(Games[[#This Row],[Keff]]*Games[[#This Row],[MOVMult]])*(Games[[#This Row],[Result]]-Games[[#This Row],[ExpectedWin%]])</f>
        <v>7.5706342594513609</v>
      </c>
      <c r="AB381" s="4">
        <f>Games[[#This Row],[PreGmRate]]+Games[[#This Row],[RatingChange]]</f>
        <v>1639.2508059571112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38239</v>
      </c>
      <c r="B382" s="2">
        <v>2004</v>
      </c>
      <c r="C382" s="2">
        <f>COUNTIFS(Games[Team],Games[[#This Row],[Team]],Games[Season],Games[[#This Row],[Season]],Games[Date],"&lt;=" &amp; Games[[#This Row],[Date]])</f>
        <v>29</v>
      </c>
      <c r="D382" s="2" t="s">
        <v>23</v>
      </c>
      <c r="E382" s="2" t="s">
        <v>29</v>
      </c>
      <c r="F382" s="1" t="s">
        <v>2</v>
      </c>
      <c r="G382" s="1" t="s">
        <v>84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2" s="2">
        <f>Games[[#This Row],[DaysOff]]-Games[[#This Row],[OppDaysOff]]</f>
        <v>1</v>
      </c>
      <c r="L382" s="2">
        <f>Games[[#This Row],[OppDaysOff]]-Games[[#This Row],[DaysOff]]</f>
        <v>-1</v>
      </c>
      <c r="M382" s="1">
        <f>MAX(-16, MIN(16, Games[[#This Row],[RestDiff]]*8))</f>
        <v>8</v>
      </c>
      <c r="N382" s="1">
        <f>MAX(-16, MIN(16, Games[[#This Row],[OppRestDiff]]*8))</f>
        <v>-8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1492.2157879568445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1332.0975453944031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0.6295473027755204</v>
      </c>
      <c r="R382" s="1">
        <v>72</v>
      </c>
      <c r="S382" s="1">
        <v>77</v>
      </c>
      <c r="T382" s="1">
        <v>0</v>
      </c>
      <c r="U382" s="1">
        <f>Games[[#This Row],[PointsFor]]-Games[[#This Row],[PointsAgainst]]</f>
        <v>-5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0.29270041243139983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71.650000000000006</v>
      </c>
      <c r="Z382" s="4">
        <f>Games[[#This Row],[K]]*Games[[#This Row],[POMult]]</f>
        <v>71.650000000000006</v>
      </c>
      <c r="AA382" s="4">
        <f>(Games[[#This Row],[Keff]]*Games[[#This Row],[MOVMult]])*(Games[[#This Row],[Result]]-Games[[#This Row],[ExpectedWin%]])</f>
        <v>-13.202856307749238</v>
      </c>
      <c r="AB382" s="4">
        <f>Games[[#This Row],[PreGmRate]]+Games[[#This Row],[RatingChange]]</f>
        <v>1479.0129316490952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38239</v>
      </c>
      <c r="B383" s="2">
        <v>2004</v>
      </c>
      <c r="C383" s="2">
        <f>COUNTIFS(Games[Team],Games[[#This Row],[Team]],Games[Season],Games[[#This Row],[Season]],Games[Date],"&lt;=" &amp; Games[[#This Row],[Date]])</f>
        <v>30</v>
      </c>
      <c r="D383" s="2" t="s">
        <v>23</v>
      </c>
      <c r="E383" s="2" t="s">
        <v>29</v>
      </c>
      <c r="F383" s="1" t="s">
        <v>84</v>
      </c>
      <c r="G383" s="1" t="s">
        <v>2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3" s="2">
        <f>Games[[#This Row],[DaysOff]]-Games[[#This Row],[OppDaysOff]]</f>
        <v>-1</v>
      </c>
      <c r="L383" s="2">
        <f>Games[[#This Row],[OppDaysOff]]-Games[[#This Row],[DaysOff]]</f>
        <v>1</v>
      </c>
      <c r="M383" s="1">
        <f>MAX(-16, MIN(16, Games[[#This Row],[RestDiff]]*8))</f>
        <v>-8</v>
      </c>
      <c r="N383" s="1">
        <f>MAX(-16, MIN(16, Games[[#This Row],[OppRestDiff]]*8))</f>
        <v>8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1332.0975453944031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1492.2157879568445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0.37045269722447965</v>
      </c>
      <c r="R383" s="1">
        <v>77</v>
      </c>
      <c r="S383" s="1">
        <v>72</v>
      </c>
      <c r="T383" s="1">
        <v>0</v>
      </c>
      <c r="U383" s="1">
        <f>Games[[#This Row],[PointsFor]]-Games[[#This Row],[PointsAgainst]]</f>
        <v>5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0.29270041243139983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71.5</v>
      </c>
      <c r="Z383" s="4">
        <f>Games[[#This Row],[K]]*Games[[#This Row],[POMult]]</f>
        <v>71.5</v>
      </c>
      <c r="AA383" s="4">
        <f>(Games[[#This Row],[Keff]]*Games[[#This Row],[MOVMult]])*(Games[[#This Row],[Result]]-Games[[#This Row],[ExpectedWin%]])</f>
        <v>13.175215994474115</v>
      </c>
      <c r="AB383" s="4">
        <f>Games[[#This Row],[PreGmRate]]+Games[[#This Row],[RatingChange]]</f>
        <v>1345.2727613888774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38239</v>
      </c>
      <c r="B384" s="2">
        <v>2004</v>
      </c>
      <c r="C384" s="2">
        <f>COUNTIFS(Games[Team],Games[[#This Row],[Team]],Games[Season],Games[[#This Row],[Season]],Games[Date],"&lt;=" &amp; Games[[#This Row],[Date]])</f>
        <v>28</v>
      </c>
      <c r="D384" s="2" t="s">
        <v>23</v>
      </c>
      <c r="E384" s="2" t="s">
        <v>29</v>
      </c>
      <c r="F384" s="1" t="s">
        <v>66</v>
      </c>
      <c r="G384" s="1" t="s">
        <v>73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5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4</v>
      </c>
      <c r="L384" s="2">
        <f>Games[[#This Row],[OppDaysOff]]-Games[[#This Row],[DaysOff]]</f>
        <v>-4</v>
      </c>
      <c r="M384" s="1">
        <f>MAX(-16, MIN(16, Games[[#This Row],[RestDiff]]*8))</f>
        <v>16</v>
      </c>
      <c r="N384" s="1">
        <f>MAX(-16, MIN(16, Games[[#This Row],[OppRestDiff]]*8))</f>
        <v>-16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1489.0176233736074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1428.0375474548209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0.51292049102422721</v>
      </c>
      <c r="R384" s="1">
        <v>59</v>
      </c>
      <c r="S384" s="1">
        <v>71</v>
      </c>
      <c r="T384" s="1">
        <v>0</v>
      </c>
      <c r="U384" s="1">
        <f>Games[[#This Row],[PointsFor]]-Games[[#This Row],[PointsAgainst]]</f>
        <v>-12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0.43407135619730547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71.8</v>
      </c>
      <c r="Z384" s="4">
        <f>Games[[#This Row],[K]]*Games[[#This Row],[POMult]]</f>
        <v>71.8</v>
      </c>
      <c r="AA384" s="4">
        <f>(Games[[#This Row],[Keff]]*Games[[#This Row],[MOVMult]])*(Games[[#This Row],[Result]]-Games[[#This Row],[ExpectedWin%]])</f>
        <v>-15.985845888907683</v>
      </c>
      <c r="AB384" s="4">
        <f>Games[[#This Row],[PreGmRate]]+Games[[#This Row],[RatingChange]]</f>
        <v>1473.0317774846997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38239</v>
      </c>
      <c r="B385" s="2">
        <v>2004</v>
      </c>
      <c r="C385" s="2">
        <f>COUNTIFS(Games[Team],Games[[#This Row],[Team]],Games[Season],Games[[#This Row],[Season]],Games[Date],"&lt;=" &amp; Games[[#This Row],[Date]])</f>
        <v>30</v>
      </c>
      <c r="D385" s="2" t="s">
        <v>23</v>
      </c>
      <c r="E385" s="2" t="s">
        <v>29</v>
      </c>
      <c r="F385" s="1" t="s">
        <v>73</v>
      </c>
      <c r="G385" s="1" t="s">
        <v>66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5" s="2">
        <f>Games[[#This Row],[DaysOff]]-Games[[#This Row],[OppDaysOff]]</f>
        <v>-4</v>
      </c>
      <c r="L385" s="2">
        <f>Games[[#This Row],[OppDaysOff]]-Games[[#This Row],[DaysOff]]</f>
        <v>4</v>
      </c>
      <c r="M385" s="1">
        <f>MAX(-16, MIN(16, Games[[#This Row],[RestDiff]]*8))</f>
        <v>-16</v>
      </c>
      <c r="N385" s="1">
        <f>MAX(-16, MIN(16, Games[[#This Row],[OppRestDiff]]*8))</f>
        <v>16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1428.0375474548209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1489.0176233736074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0.48707950897577285</v>
      </c>
      <c r="R385" s="1">
        <v>71</v>
      </c>
      <c r="S385" s="1">
        <v>59</v>
      </c>
      <c r="T385" s="1">
        <v>0</v>
      </c>
      <c r="U385" s="1">
        <f>Games[[#This Row],[PointsFor]]-Games[[#This Row],[PointsAgainst]]</f>
        <v>12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0.43407135619730547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71.5</v>
      </c>
      <c r="Z385" s="4">
        <f>Games[[#This Row],[K]]*Games[[#This Row],[POMult]]</f>
        <v>71.5</v>
      </c>
      <c r="AA385" s="4">
        <f>(Games[[#This Row],[Keff]]*Games[[#This Row],[MOVMult]])*(Games[[#This Row],[Result]]-Games[[#This Row],[ExpectedWin%]])</f>
        <v>15.919052660959599</v>
      </c>
      <c r="AB385" s="4">
        <f>Games[[#This Row],[PreGmRate]]+Games[[#This Row],[RatingChange]]</f>
        <v>1443.9566001157805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38240</v>
      </c>
      <c r="B386" s="2">
        <v>2004</v>
      </c>
      <c r="C386" s="2">
        <f>COUNTIFS(Games[Team],Games[[#This Row],[Team]],Games[Season],Games[[#This Row],[Season]],Games[Date],"&lt;=" &amp; Games[[#This Row],[Date]])</f>
        <v>31</v>
      </c>
      <c r="D386" s="2" t="s">
        <v>23</v>
      </c>
      <c r="E386" s="2" t="s">
        <v>29</v>
      </c>
      <c r="F386" s="1" t="s">
        <v>84</v>
      </c>
      <c r="G386" s="1" t="s">
        <v>79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6" s="2">
        <f>Games[[#This Row],[DaysOff]]-Games[[#This Row],[OppDaysOff]]</f>
        <v>-5</v>
      </c>
      <c r="L386" s="2">
        <f>Games[[#This Row],[OppDaysOff]]-Games[[#This Row],[DaysOff]]</f>
        <v>5</v>
      </c>
      <c r="M386" s="1">
        <f>MAX(-16, MIN(16, Games[[#This Row],[RestDiff]]*8))</f>
        <v>-16</v>
      </c>
      <c r="N386" s="1">
        <f>MAX(-16, MIN(16, Games[[#This Row],[OppRestDiff]]*8))</f>
        <v>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1345.2727613888774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1508.4815871206222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0.16697004179094632</v>
      </c>
      <c r="R386" s="1">
        <v>82</v>
      </c>
      <c r="S386" s="1">
        <v>65</v>
      </c>
      <c r="T386" s="1">
        <v>0</v>
      </c>
      <c r="U386" s="1">
        <f>Games[[#This Row],[PointsFor]]-Games[[#This Row],[PointsAgainst]]</f>
        <v>17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0.46869597000696567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71.349999999999994</v>
      </c>
      <c r="Z386" s="4">
        <f>Games[[#This Row],[K]]*Games[[#This Row],[POMult]]</f>
        <v>71.349999999999994</v>
      </c>
      <c r="AA386" s="4">
        <f>(Games[[#This Row],[Keff]]*Games[[#This Row],[MOVMult]])*(Games[[#This Row],[Result]]-Games[[#This Row],[ExpectedWin%]])</f>
        <v>27.857735910351145</v>
      </c>
      <c r="AB386" s="4">
        <f>Games[[#This Row],[PreGmRate]]+Games[[#This Row],[RatingChange]]</f>
        <v>1373.1304972992284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38240</v>
      </c>
      <c r="B387" s="2">
        <v>2004</v>
      </c>
      <c r="C387" s="2">
        <f>COUNTIFS(Games[Team],Games[[#This Row],[Team]],Games[Season],Games[[#This Row],[Season]],Games[Date],"&lt;=" &amp; Games[[#This Row],[Date]])</f>
        <v>31</v>
      </c>
      <c r="D387" s="2" t="s">
        <v>23</v>
      </c>
      <c r="E387" s="2" t="s">
        <v>29</v>
      </c>
      <c r="F387" s="1" t="s">
        <v>79</v>
      </c>
      <c r="G387" s="1" t="s">
        <v>84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7" s="2">
        <f>Games[[#This Row],[DaysOff]]-Games[[#This Row],[OppDaysOff]]</f>
        <v>5</v>
      </c>
      <c r="L387" s="2">
        <f>Games[[#This Row],[OppDaysOff]]-Games[[#This Row],[DaysOff]]</f>
        <v>-5</v>
      </c>
      <c r="M387" s="1">
        <f>MAX(-16, MIN(16, Games[[#This Row],[RestDiff]]*8))</f>
        <v>16</v>
      </c>
      <c r="N387" s="1">
        <f>MAX(-16, MIN(16, Games[[#This Row],[OppRestDiff]]*8))</f>
        <v>-16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1508.4815871206222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1345.2727613888774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0.83302995820905368</v>
      </c>
      <c r="R387" s="1">
        <v>65</v>
      </c>
      <c r="S387" s="1">
        <v>82</v>
      </c>
      <c r="T387" s="1">
        <v>0</v>
      </c>
      <c r="U387" s="1">
        <f>Games[[#This Row],[PointsFor]]-Games[[#This Row],[PointsAgainst]]</f>
        <v>-17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0.46869597000696567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71.349999999999994</v>
      </c>
      <c r="Z387" s="4">
        <f>Games[[#This Row],[K]]*Games[[#This Row],[POMult]]</f>
        <v>71.349999999999994</v>
      </c>
      <c r="AA387" s="4">
        <f>(Games[[#This Row],[Keff]]*Games[[#This Row],[MOVMult]])*(Games[[#This Row],[Result]]-Games[[#This Row],[ExpectedWin%]])</f>
        <v>-27.857735910351145</v>
      </c>
      <c r="AB387" s="4">
        <f>Games[[#This Row],[PreGmRate]]+Games[[#This Row],[RatingChange]]</f>
        <v>1480.6238512102711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38240</v>
      </c>
      <c r="B388" s="2">
        <v>2004</v>
      </c>
      <c r="C388" s="2">
        <f>COUNTIFS(Games[Team],Games[[#This Row],[Team]],Games[Season],Games[[#This Row],[Season]],Games[Date],"&lt;=" &amp; Games[[#This Row],[Date]])</f>
        <v>30</v>
      </c>
      <c r="D388" s="2" t="s">
        <v>23</v>
      </c>
      <c r="E388" s="2" t="s">
        <v>29</v>
      </c>
      <c r="F388" s="1" t="s">
        <v>81</v>
      </c>
      <c r="G388" s="1" t="s">
        <v>77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1579.6096157537843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1504.9616552945736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0.48654458274615525</v>
      </c>
      <c r="R388" s="1">
        <v>61</v>
      </c>
      <c r="S388" s="1">
        <v>64</v>
      </c>
      <c r="T388" s="1">
        <v>0</v>
      </c>
      <c r="U388" s="1">
        <f>Games[[#This Row],[PointsFor]]-Games[[#This Row],[PointsAgainst]]</f>
        <v>-3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0.27318933236514825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71.5</v>
      </c>
      <c r="Z388" s="4">
        <f>Games[[#This Row],[K]]*Games[[#This Row],[POMult]]</f>
        <v>71.5</v>
      </c>
      <c r="AA388" s="4">
        <f>(Games[[#This Row],[Keff]]*Games[[#This Row],[MOVMult]])*(Games[[#This Row],[Result]]-Games[[#This Row],[ExpectedWin%]])</f>
        <v>-9.5036934654305778</v>
      </c>
      <c r="AB388" s="4">
        <f>Games[[#This Row],[PreGmRate]]+Games[[#This Row],[RatingChange]]</f>
        <v>1570.1059222883537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38240</v>
      </c>
      <c r="B389" s="2">
        <v>2004</v>
      </c>
      <c r="C389" s="2">
        <f>COUNTIFS(Games[Team],Games[[#This Row],[Team]],Games[Season],Games[[#This Row],[Season]],Games[Date],"&lt;=" &amp; Games[[#This Row],[Date]])</f>
        <v>30</v>
      </c>
      <c r="D389" s="2" t="s">
        <v>23</v>
      </c>
      <c r="E389" s="2" t="s">
        <v>29</v>
      </c>
      <c r="F389" s="1" t="s">
        <v>77</v>
      </c>
      <c r="G389" s="1" t="s">
        <v>81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1504.9616552945736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1579.6096157537843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0.51345541725384469</v>
      </c>
      <c r="R389" s="1">
        <v>64</v>
      </c>
      <c r="S389" s="1">
        <v>61</v>
      </c>
      <c r="T389" s="1">
        <v>0</v>
      </c>
      <c r="U389" s="1">
        <f>Games[[#This Row],[PointsFor]]-Games[[#This Row],[PointsAgainst]]</f>
        <v>3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0.27318933236514825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71.5</v>
      </c>
      <c r="Z389" s="4">
        <f>Games[[#This Row],[K]]*Games[[#This Row],[POMult]]</f>
        <v>71.5</v>
      </c>
      <c r="AA389" s="4">
        <f>(Games[[#This Row],[Keff]]*Games[[#This Row],[MOVMult]])*(Games[[#This Row],[Result]]-Games[[#This Row],[ExpectedWin%]])</f>
        <v>9.5036934654305778</v>
      </c>
      <c r="AB389" s="4">
        <f>Games[[#This Row],[PreGmRate]]+Games[[#This Row],[RatingChange]]</f>
        <v>1514.4653487600042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38240</v>
      </c>
      <c r="B390" s="2">
        <v>2004</v>
      </c>
      <c r="C390" s="2">
        <f>COUNTIFS(Games[Team],Games[[#This Row],[Team]],Games[Season],Games[[#This Row],[Season]],Games[Date],"&lt;=" &amp; Games[[#This Row],[Date]])</f>
        <v>30</v>
      </c>
      <c r="D390" s="2" t="s">
        <v>23</v>
      </c>
      <c r="E390" s="2" t="s">
        <v>29</v>
      </c>
      <c r="F390" s="1" t="s">
        <v>86</v>
      </c>
      <c r="G390" s="1" t="s">
        <v>66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6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0" s="2">
        <f>Games[[#This Row],[DaysOff]]-Games[[#This Row],[OppDaysOff]]</f>
        <v>6</v>
      </c>
      <c r="L390" s="2">
        <f>Games[[#This Row],[OppDaysOff]]-Games[[#This Row],[DaysOff]]</f>
        <v>-6</v>
      </c>
      <c r="M390" s="1">
        <f>MAX(-16, MIN(16, Games[[#This Row],[RestDiff]]*8))</f>
        <v>16</v>
      </c>
      <c r="N390" s="1">
        <f>MAX(-16, MIN(16, Games[[#This Row],[OppRestDiff]]*8))</f>
        <v>-16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1479.0571625300202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1473.0317774846997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0.4342206963184797</v>
      </c>
      <c r="R390" s="1">
        <v>77</v>
      </c>
      <c r="S390" s="1">
        <v>66</v>
      </c>
      <c r="T390" s="1">
        <v>0</v>
      </c>
      <c r="U390" s="1">
        <f>Games[[#This Row],[PointsFor]]-Games[[#This Row],[PointsAgainst]]</f>
        <v>11</v>
      </c>
      <c r="V390" s="1">
        <f>IF(Games[[#This Row],[MOV]]&gt;0,1,IF(Games[[#This Row],[MOV]]=0,0.5,0))</f>
        <v>1</v>
      </c>
      <c r="W390" s="4">
        <f>((ABS(Games[[#This Row],[MOV]])+5)^0.6)/(12+0.01*(ABS(Games[[#This Row],[PreGmRate]]-Games[[#This Row],[OppPreGmRate]])))*IF(Games[[#This Row],[OT]]=1,0.9,1)</f>
        <v>0.43763851976409579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71.5</v>
      </c>
      <c r="Z390" s="4">
        <f>Games[[#This Row],[K]]*Games[[#This Row],[POMult]]</f>
        <v>71.5</v>
      </c>
      <c r="AA390" s="4">
        <f>(Games[[#This Row],[Keff]]*Games[[#This Row],[MOVMult]])*(Games[[#This Row],[Result]]-Games[[#This Row],[ExpectedWin%]])</f>
        <v>17.703887413808406</v>
      </c>
      <c r="AB390" s="4">
        <f>Games[[#This Row],[PreGmRate]]+Games[[#This Row],[RatingChange]]</f>
        <v>1496.7610499438285</v>
      </c>
      <c r="AC390" s="2">
        <f>IF(Games[[#This Row],[Type]]="R",IF(Games[[#This Row],[Result]]&gt;0.5,1,0),0)</f>
        <v>1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38240</v>
      </c>
      <c r="B391" s="2">
        <v>2004</v>
      </c>
      <c r="C391" s="2">
        <f>COUNTIFS(Games[Team],Games[[#This Row],[Team]],Games[Season],Games[[#This Row],[Season]],Games[Date],"&lt;=" &amp; Games[[#This Row],[Date]])</f>
        <v>29</v>
      </c>
      <c r="D391" s="2" t="s">
        <v>23</v>
      </c>
      <c r="E391" s="2" t="s">
        <v>29</v>
      </c>
      <c r="F391" s="1" t="s">
        <v>66</v>
      </c>
      <c r="G391" s="1" t="s">
        <v>86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91" s="2">
        <f>Games[[#This Row],[DaysOff]]-Games[[#This Row],[OppDaysOff]]</f>
        <v>-6</v>
      </c>
      <c r="L391" s="2">
        <f>Games[[#This Row],[OppDaysOff]]-Games[[#This Row],[DaysOff]]</f>
        <v>6</v>
      </c>
      <c r="M391" s="1">
        <f>MAX(-16, MIN(16, Games[[#This Row],[RestDiff]]*8))</f>
        <v>-16</v>
      </c>
      <c r="N391" s="1">
        <f>MAX(-16, MIN(16, Games[[#This Row],[OppRestDiff]]*8))</f>
        <v>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1473.0317774846997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1479.0571625300202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0.5657793036815203</v>
      </c>
      <c r="R391" s="1">
        <v>66</v>
      </c>
      <c r="S391" s="1">
        <v>77</v>
      </c>
      <c r="T391" s="1">
        <v>0</v>
      </c>
      <c r="U391" s="1">
        <f>Games[[#This Row],[PointsFor]]-Games[[#This Row],[PointsAgainst]]</f>
        <v>-11</v>
      </c>
      <c r="V391" s="1">
        <f>IF(Games[[#This Row],[MOV]]&gt;0,1,IF(Games[[#This Row],[MOV]]=0,0.5,0))</f>
        <v>0</v>
      </c>
      <c r="W391" s="4">
        <f>((ABS(Games[[#This Row],[MOV]])+5)^0.6)/(12+0.01*(ABS(Games[[#This Row],[PreGmRate]]-Games[[#This Row],[OppPreGmRate]])))*IF(Games[[#This Row],[OT]]=1,0.9,1)</f>
        <v>0.43763851976409579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71.650000000000006</v>
      </c>
      <c r="Z391" s="4">
        <f>Games[[#This Row],[K]]*Games[[#This Row],[POMult]]</f>
        <v>71.650000000000006</v>
      </c>
      <c r="AA391" s="4">
        <f>(Games[[#This Row],[Keff]]*Games[[#This Row],[MOVMult]])*(Games[[#This Row],[Result]]-Games[[#This Row],[ExpectedWin%]])</f>
        <v>-17.74102843635486</v>
      </c>
      <c r="AB391" s="4">
        <f>Games[[#This Row],[PreGmRate]]+Games[[#This Row],[RatingChange]]</f>
        <v>1455.2907490483449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1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38241</v>
      </c>
      <c r="B392" s="2">
        <v>2004</v>
      </c>
      <c r="C392" s="2">
        <f>COUNTIFS(Games[Team],Games[[#This Row],[Team]],Games[Season],Games[[#This Row],[Season]],Games[Date],"&lt;=" &amp; Games[[#This Row],[Date]])</f>
        <v>31</v>
      </c>
      <c r="D392" s="2" t="s">
        <v>23</v>
      </c>
      <c r="E392" s="2" t="s">
        <v>29</v>
      </c>
      <c r="F392" s="1" t="s">
        <v>77</v>
      </c>
      <c r="G392" s="1" t="s">
        <v>64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-1</v>
      </c>
      <c r="L392" s="2">
        <f>Games[[#This Row],[OppDaysOff]]-Games[[#This Row],[DaysOff]]</f>
        <v>1</v>
      </c>
      <c r="M392" s="1">
        <f>MAX(-16, MIN(16, Games[[#This Row],[RestDiff]]*8))</f>
        <v>-8</v>
      </c>
      <c r="N392" s="1">
        <f>MAX(-16, MIN(16, Games[[#This Row],[OppRestDiff]]*8))</f>
        <v>8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1514.4653487600042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1487.5070597126371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0.39640622991371494</v>
      </c>
      <c r="R392" s="1">
        <v>50</v>
      </c>
      <c r="S392" s="1">
        <v>60</v>
      </c>
      <c r="T392" s="1">
        <v>0</v>
      </c>
      <c r="U392" s="1">
        <f>Games[[#This Row],[PointsFor]]-Games[[#This Row],[PointsAgainst]]</f>
        <v>-10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0.4138328447929322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71.349999999999994</v>
      </c>
      <c r="Z392" s="4">
        <f>Games[[#This Row],[K]]*Games[[#This Row],[POMult]]</f>
        <v>71.349999999999994</v>
      </c>
      <c r="AA392" s="4">
        <f>(Games[[#This Row],[Keff]]*Games[[#This Row],[MOVMult]])*(Games[[#This Row],[Result]]-Games[[#This Row],[ExpectedWin%]])</f>
        <v>-11.704676236373789</v>
      </c>
      <c r="AB392" s="4">
        <f>Games[[#This Row],[PreGmRate]]+Games[[#This Row],[RatingChange]]</f>
        <v>1502.7606725236303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38241</v>
      </c>
      <c r="B393" s="2">
        <v>2004</v>
      </c>
      <c r="C393" s="2">
        <f>COUNTIFS(Games[Team],Games[[#This Row],[Team]],Games[Season],Games[[#This Row],[Season]],Games[Date],"&lt;=" &amp; Games[[#This Row],[Date]])</f>
        <v>31</v>
      </c>
      <c r="D393" s="2" t="s">
        <v>23</v>
      </c>
      <c r="E393" s="2" t="s">
        <v>29</v>
      </c>
      <c r="F393" s="1" t="s">
        <v>64</v>
      </c>
      <c r="G393" s="1" t="s">
        <v>77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3" s="2">
        <f>Games[[#This Row],[DaysOff]]-Games[[#This Row],[OppDaysOff]]</f>
        <v>1</v>
      </c>
      <c r="L393" s="2">
        <f>Games[[#This Row],[OppDaysOff]]-Games[[#This Row],[DaysOff]]</f>
        <v>-1</v>
      </c>
      <c r="M393" s="1">
        <f>MAX(-16, MIN(16, Games[[#This Row],[RestDiff]]*8))</f>
        <v>8</v>
      </c>
      <c r="N393" s="1">
        <f>MAX(-16, MIN(16, Games[[#This Row],[OppRestDiff]]*8))</f>
        <v>-8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1487.5070597126371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1514.4653487600042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0.60359377008628501</v>
      </c>
      <c r="R393" s="1">
        <v>60</v>
      </c>
      <c r="S393" s="1">
        <v>50</v>
      </c>
      <c r="T393" s="1">
        <v>0</v>
      </c>
      <c r="U393" s="1">
        <f>Games[[#This Row],[PointsFor]]-Games[[#This Row],[PointsAgainst]]</f>
        <v>10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0.4138328447929322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71.349999999999994</v>
      </c>
      <c r="Z393" s="4">
        <f>Games[[#This Row],[K]]*Games[[#This Row],[POMult]]</f>
        <v>71.349999999999994</v>
      </c>
      <c r="AA393" s="4">
        <f>(Games[[#This Row],[Keff]]*Games[[#This Row],[MOVMult]])*(Games[[#This Row],[Result]]-Games[[#This Row],[ExpectedWin%]])</f>
        <v>11.704676236373791</v>
      </c>
      <c r="AB393" s="4">
        <f>Games[[#This Row],[PreGmRate]]+Games[[#This Row],[RatingChange]]</f>
        <v>1499.211735949011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38241</v>
      </c>
      <c r="B394" s="2">
        <v>2004</v>
      </c>
      <c r="C394" s="2">
        <f>COUNTIFS(Games[Team],Games[[#This Row],[Team]],Games[Season],Games[[#This Row],[Season]],Games[Date],"&lt;=" &amp; Games[[#This Row],[Date]])</f>
        <v>32</v>
      </c>
      <c r="D394" s="2" t="s">
        <v>23</v>
      </c>
      <c r="E394" s="2" t="s">
        <v>29</v>
      </c>
      <c r="F394" s="1" t="s">
        <v>75</v>
      </c>
      <c r="G394" s="1" t="s">
        <v>44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4" s="2">
        <f>Games[[#This Row],[DaysOff]]-Games[[#This Row],[OppDaysOff]]</f>
        <v>-1</v>
      </c>
      <c r="L394" s="2">
        <f>Games[[#This Row],[OppDaysOff]]-Games[[#This Row],[DaysOff]]</f>
        <v>1</v>
      </c>
      <c r="M394" s="1">
        <f>MAX(-16, MIN(16, Games[[#This Row],[RestDiff]]*8))</f>
        <v>-8</v>
      </c>
      <c r="N394" s="1">
        <f>MAX(-16, MIN(16, Games[[#This Row],[OppRestDiff]]*8))</f>
        <v>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1484.3655809968839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1547.5773920528304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0.28099676345614905</v>
      </c>
      <c r="R394" s="1">
        <v>80</v>
      </c>
      <c r="S394" s="1">
        <v>72</v>
      </c>
      <c r="T394" s="1">
        <v>0</v>
      </c>
      <c r="U394" s="1">
        <f>Games[[#This Row],[PointsFor]]-Games[[#This Row],[PointsAgainst]]</f>
        <v>8</v>
      </c>
      <c r="V394" s="1">
        <f>IF(Games[[#This Row],[MOV]]&gt;0,1,IF(Games[[#This Row],[MOV]]=0,0.5,0))</f>
        <v>1</v>
      </c>
      <c r="W394" s="4">
        <f>((ABS(Games[[#This Row],[MOV]])+5)^0.6)/(12+0.01*(ABS(Games[[#This Row],[PreGmRate]]-Games[[#This Row],[OppPreGmRate]])))*IF(Games[[#This Row],[OT]]=1,0.9,1)</f>
        <v>0.36888401289890155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71.2</v>
      </c>
      <c r="Z394" s="4">
        <f>Games[[#This Row],[K]]*Games[[#This Row],[POMult]]</f>
        <v>71.2</v>
      </c>
      <c r="AA394" s="4">
        <f>(Games[[#This Row],[Keff]]*Games[[#This Row],[MOVMult]])*(Games[[#This Row],[Result]]-Games[[#This Row],[ExpectedWin%]])</f>
        <v>18.884290501871885</v>
      </c>
      <c r="AB394" s="4">
        <f>Games[[#This Row],[PreGmRate]]+Games[[#This Row],[RatingChange]]</f>
        <v>1503.2498714987557</v>
      </c>
      <c r="AC394" s="2">
        <f>IF(Games[[#This Row],[Type]]="R",IF(Games[[#This Row],[Result]]&gt;0.5,1,0),0)</f>
        <v>1</v>
      </c>
      <c r="AD394" s="2">
        <f>IF(Games[[#This Row],[Type]]="R",IF(Games[[#This Row],[Result]]&lt;0.5,1,0),0)</f>
        <v>0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38241</v>
      </c>
      <c r="B395" s="2">
        <v>2004</v>
      </c>
      <c r="C395" s="2">
        <f>COUNTIFS(Games[Team],Games[[#This Row],[Team]],Games[Season],Games[[#This Row],[Season]],Games[Date],"&lt;=" &amp; Games[[#This Row],[Date]])</f>
        <v>30</v>
      </c>
      <c r="D395" s="2" t="s">
        <v>23</v>
      </c>
      <c r="E395" s="2" t="s">
        <v>29</v>
      </c>
      <c r="F395" s="1" t="s">
        <v>44</v>
      </c>
      <c r="G395" s="1" t="s">
        <v>75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5" s="2">
        <f>Games[[#This Row],[DaysOff]]-Games[[#This Row],[OppDaysOff]]</f>
        <v>1</v>
      </c>
      <c r="L395" s="2">
        <f>Games[[#This Row],[OppDaysOff]]-Games[[#This Row],[DaysOff]]</f>
        <v>-1</v>
      </c>
      <c r="M395" s="1">
        <f>MAX(-16, MIN(16, Games[[#This Row],[RestDiff]]*8))</f>
        <v>8</v>
      </c>
      <c r="N395" s="1">
        <f>MAX(-16, MIN(16, Games[[#This Row],[OppRestDiff]]*8))</f>
        <v>-8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1547.5773920528304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1484.3655809968839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0.71900323654385101</v>
      </c>
      <c r="R395" s="1">
        <v>72</v>
      </c>
      <c r="S395" s="1">
        <v>80</v>
      </c>
      <c r="T395" s="1">
        <v>0</v>
      </c>
      <c r="U395" s="1">
        <f>Games[[#This Row],[PointsFor]]-Games[[#This Row],[PointsAgainst]]</f>
        <v>-8</v>
      </c>
      <c r="V395" s="1">
        <f>IF(Games[[#This Row],[MOV]]&gt;0,1,IF(Games[[#This Row],[MOV]]=0,0.5,0))</f>
        <v>0</v>
      </c>
      <c r="W395" s="4">
        <f>((ABS(Games[[#This Row],[MOV]])+5)^0.6)/(12+0.01*(ABS(Games[[#This Row],[PreGmRate]]-Games[[#This Row],[OppPreGmRate]])))*IF(Games[[#This Row],[OT]]=1,0.9,1)</f>
        <v>0.36888401289890155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71.5</v>
      </c>
      <c r="Z395" s="4">
        <f>Games[[#This Row],[K]]*Games[[#This Row],[POMult]]</f>
        <v>71.5</v>
      </c>
      <c r="AA395" s="4">
        <f>(Games[[#This Row],[Keff]]*Games[[#This Row],[MOVMult]])*(Games[[#This Row],[Result]]-Games[[#This Row],[ExpectedWin%]])</f>
        <v>-18.963859141626962</v>
      </c>
      <c r="AB395" s="4">
        <f>Games[[#This Row],[PreGmRate]]+Games[[#This Row],[RatingChange]]</f>
        <v>1528.6135329112035</v>
      </c>
      <c r="AC395" s="2">
        <f>IF(Games[[#This Row],[Type]]="R",IF(Games[[#This Row],[Result]]&gt;0.5,1,0),0)</f>
        <v>0</v>
      </c>
      <c r="AD395" s="2">
        <f>IF(Games[[#This Row],[Type]]="R",IF(Games[[#This Row],[Result]]&lt;0.5,1,0),0)</f>
        <v>1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38242</v>
      </c>
      <c r="B396" s="2">
        <v>2004</v>
      </c>
      <c r="C396" s="2">
        <f>COUNTIFS(Games[Team],Games[[#This Row],[Team]],Games[Season],Games[[#This Row],[Season]],Games[Date],"&lt;=" &amp; Games[[#This Row],[Date]])</f>
        <v>31</v>
      </c>
      <c r="D396" s="2" t="s">
        <v>23</v>
      </c>
      <c r="E396" s="2" t="s">
        <v>29</v>
      </c>
      <c r="F396" s="1" t="s">
        <v>81</v>
      </c>
      <c r="G396" s="1" t="s">
        <v>86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1570.1059222883537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1496.7610499438285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0.48467084418414019</v>
      </c>
      <c r="R396" s="1">
        <v>64</v>
      </c>
      <c r="S396" s="1">
        <v>71</v>
      </c>
      <c r="T396" s="1">
        <v>0</v>
      </c>
      <c r="U396" s="1">
        <f>Games[[#This Row],[PointsFor]]-Games[[#This Row],[PointsAgainst]]</f>
        <v>-7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0.34878893898307345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71.349999999999994</v>
      </c>
      <c r="Z396" s="4">
        <f>Games[[#This Row],[K]]*Games[[#This Row],[POMult]]</f>
        <v>71.349999999999994</v>
      </c>
      <c r="AA396" s="4">
        <f>(Games[[#This Row],[Keff]]*Games[[#This Row],[MOVMult]])*(Games[[#This Row],[Result]]-Games[[#This Row],[ExpectedWin%]])</f>
        <v>-12.061562634754846</v>
      </c>
      <c r="AB396" s="4">
        <f>Games[[#This Row],[PreGmRate]]+Games[[#This Row],[RatingChange]]</f>
        <v>1558.0443596535988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38242</v>
      </c>
      <c r="B397" s="2">
        <v>2004</v>
      </c>
      <c r="C397" s="2">
        <f>COUNTIFS(Games[Team],Games[[#This Row],[Team]],Games[Season],Games[[#This Row],[Season]],Games[Date],"&lt;=" &amp; Games[[#This Row],[Date]])</f>
        <v>31</v>
      </c>
      <c r="D397" s="2" t="s">
        <v>23</v>
      </c>
      <c r="E397" s="2" t="s">
        <v>29</v>
      </c>
      <c r="F397" s="1" t="s">
        <v>86</v>
      </c>
      <c r="G397" s="1" t="s">
        <v>81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1496.7610499438285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1570.1059222883537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0.51532915581585992</v>
      </c>
      <c r="R397" s="1">
        <v>71</v>
      </c>
      <c r="S397" s="1">
        <v>64</v>
      </c>
      <c r="T397" s="1">
        <v>0</v>
      </c>
      <c r="U397" s="1">
        <f>Games[[#This Row],[PointsFor]]-Games[[#This Row],[PointsAgainst]]</f>
        <v>7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0.34878893898307345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71.349999999999994</v>
      </c>
      <c r="Z397" s="4">
        <f>Games[[#This Row],[K]]*Games[[#This Row],[POMult]]</f>
        <v>71.349999999999994</v>
      </c>
      <c r="AA397" s="4">
        <f>(Games[[#This Row],[Keff]]*Games[[#This Row],[MOVMult]])*(Games[[#This Row],[Result]]-Games[[#This Row],[ExpectedWin%]])</f>
        <v>12.061562634754843</v>
      </c>
      <c r="AB397" s="4">
        <f>Games[[#This Row],[PreGmRate]]+Games[[#This Row],[RatingChange]]</f>
        <v>1508.8226125785834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38242</v>
      </c>
      <c r="B398" s="2">
        <v>2004</v>
      </c>
      <c r="C398" s="2">
        <f>COUNTIFS(Games[Team],Games[[#This Row],[Team]],Games[Season],Games[[#This Row],[Season]],Games[Date],"&lt;=" &amp; Games[[#This Row],[Date]])</f>
        <v>31</v>
      </c>
      <c r="D398" s="2" t="s">
        <v>23</v>
      </c>
      <c r="E398" s="2" t="s">
        <v>29</v>
      </c>
      <c r="F398" s="1" t="s">
        <v>45</v>
      </c>
      <c r="G398" s="1" t="s">
        <v>70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1547.0419011665667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1639.2508059571112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0.26613136644312824</v>
      </c>
      <c r="R398" s="1">
        <v>52</v>
      </c>
      <c r="S398" s="1">
        <v>65</v>
      </c>
      <c r="T398" s="1">
        <v>0</v>
      </c>
      <c r="U398" s="1">
        <f>Games[[#This Row],[PointsFor]]-Games[[#This Row],[PointsAgainst]]</f>
        <v>-13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0.43835985395005306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71.349999999999994</v>
      </c>
      <c r="Z398" s="4">
        <f>Games[[#This Row],[K]]*Games[[#This Row],[POMult]]</f>
        <v>71.349999999999994</v>
      </c>
      <c r="AA398" s="4">
        <f>(Games[[#This Row],[Keff]]*Games[[#This Row],[MOVMult]])*(Games[[#This Row],[Result]]-Games[[#This Row],[ExpectedWin%]])</f>
        <v>-8.3237842491371179</v>
      </c>
      <c r="AB398" s="4">
        <f>Games[[#This Row],[PreGmRate]]+Games[[#This Row],[RatingChange]]</f>
        <v>1538.7181169174296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38242</v>
      </c>
      <c r="B399" s="2">
        <v>2004</v>
      </c>
      <c r="C399" s="2">
        <f>COUNTIFS(Games[Team],Games[[#This Row],[Team]],Games[Season],Games[[#This Row],[Season]],Games[Date],"&lt;=" &amp; Games[[#This Row],[Date]])</f>
        <v>31</v>
      </c>
      <c r="D399" s="2" t="s">
        <v>23</v>
      </c>
      <c r="E399" s="2" t="s">
        <v>29</v>
      </c>
      <c r="F399" s="1" t="s">
        <v>70</v>
      </c>
      <c r="G399" s="1" t="s">
        <v>45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1639.2508059571112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1547.0419011665667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0.73386863355687171</v>
      </c>
      <c r="R399" s="1">
        <v>65</v>
      </c>
      <c r="S399" s="1">
        <v>52</v>
      </c>
      <c r="T399" s="1">
        <v>0</v>
      </c>
      <c r="U399" s="1">
        <f>Games[[#This Row],[PointsFor]]-Games[[#This Row],[PointsAgainst]]</f>
        <v>13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0.43835985395005306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71.349999999999994</v>
      </c>
      <c r="Z399" s="4">
        <f>Games[[#This Row],[K]]*Games[[#This Row],[POMult]]</f>
        <v>71.349999999999994</v>
      </c>
      <c r="AA399" s="4">
        <f>(Games[[#This Row],[Keff]]*Games[[#This Row],[MOVMult]])*(Games[[#This Row],[Result]]-Games[[#This Row],[ExpectedWin%]])</f>
        <v>8.3237842491371197</v>
      </c>
      <c r="AB399" s="4">
        <f>Games[[#This Row],[PreGmRate]]+Games[[#This Row],[RatingChange]]</f>
        <v>1647.5745902062483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38242</v>
      </c>
      <c r="B400" s="2">
        <v>2004</v>
      </c>
      <c r="C400" s="2">
        <f>COUNTIFS(Games[Team],Games[[#This Row],[Team]],Games[Season],Games[[#This Row],[Season]],Games[Date],"&lt;=" &amp; Games[[#This Row],[Date]])</f>
        <v>32</v>
      </c>
      <c r="D400" s="2" t="s">
        <v>23</v>
      </c>
      <c r="E400" s="2" t="s">
        <v>29</v>
      </c>
      <c r="F400" s="1" t="s">
        <v>84</v>
      </c>
      <c r="G400" s="1" t="s">
        <v>66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1373.1304972992284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1455.2907490483449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0.27758044326441916</v>
      </c>
      <c r="R400" s="1">
        <v>62</v>
      </c>
      <c r="S400" s="1">
        <v>64</v>
      </c>
      <c r="T400" s="1">
        <v>0</v>
      </c>
      <c r="U400" s="1">
        <f>Games[[#This Row],[PointsFor]]-Games[[#This Row],[PointsAgainst]]</f>
        <v>-2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0.25067816954482758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71.2</v>
      </c>
      <c r="Z400" s="4">
        <f>Games[[#This Row],[K]]*Games[[#This Row],[POMult]]</f>
        <v>71.2</v>
      </c>
      <c r="AA400" s="4">
        <f>(Games[[#This Row],[Keff]]*Games[[#This Row],[MOVMult]])*(Games[[#This Row],[Result]]-Games[[#This Row],[ExpectedWin%]])</f>
        <v>-4.954335048230412</v>
      </c>
      <c r="AB400" s="4">
        <f>Games[[#This Row],[PreGmRate]]+Games[[#This Row],[RatingChange]]</f>
        <v>1368.176162250998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38242</v>
      </c>
      <c r="B401" s="2">
        <v>2004</v>
      </c>
      <c r="C401" s="2">
        <f>COUNTIFS(Games[Team],Games[[#This Row],[Team]],Games[Season],Games[[#This Row],[Season]],Games[Date],"&lt;=" &amp; Games[[#This Row],[Date]])</f>
        <v>30</v>
      </c>
      <c r="D401" s="2" t="s">
        <v>23</v>
      </c>
      <c r="E401" s="2" t="s">
        <v>29</v>
      </c>
      <c r="F401" s="1" t="s">
        <v>66</v>
      </c>
      <c r="G401" s="1" t="s">
        <v>84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1455.2907490483449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1373.1304972992284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0.72241955673558089</v>
      </c>
      <c r="R401" s="1">
        <v>64</v>
      </c>
      <c r="S401" s="1">
        <v>62</v>
      </c>
      <c r="T401" s="1">
        <v>0</v>
      </c>
      <c r="U401" s="1">
        <f>Games[[#This Row],[PointsFor]]-Games[[#This Row],[PointsAgainst]]</f>
        <v>2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0.25067816954482758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71.5</v>
      </c>
      <c r="Z401" s="4">
        <f>Games[[#This Row],[K]]*Games[[#This Row],[POMult]]</f>
        <v>71.5</v>
      </c>
      <c r="AA401" s="4">
        <f>(Games[[#This Row],[Keff]]*Games[[#This Row],[MOVMult]])*(Games[[#This Row],[Result]]-Games[[#This Row],[ExpectedWin%]])</f>
        <v>4.9752100554561016</v>
      </c>
      <c r="AB401" s="4">
        <f>Games[[#This Row],[PreGmRate]]+Games[[#This Row],[RatingChange]]</f>
        <v>1460.2659591038009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38242</v>
      </c>
      <c r="B402" s="2">
        <v>2004</v>
      </c>
      <c r="C402" s="2">
        <f>COUNTIFS(Games[Team],Games[[#This Row],[Team]],Games[Season],Games[[#This Row],[Season]],Games[Date],"&lt;=" &amp; Games[[#This Row],[Date]])</f>
        <v>30</v>
      </c>
      <c r="D402" s="2" t="s">
        <v>23</v>
      </c>
      <c r="E402" s="2" t="s">
        <v>29</v>
      </c>
      <c r="F402" s="1" t="s">
        <v>2</v>
      </c>
      <c r="G402" s="1" t="s">
        <v>73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1479.0129316490952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1443.9566001157805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0.43002665448998534</v>
      </c>
      <c r="R402" s="1">
        <v>63</v>
      </c>
      <c r="S402" s="1">
        <v>75</v>
      </c>
      <c r="T402" s="1">
        <v>0</v>
      </c>
      <c r="U402" s="1">
        <f>Games[[#This Row],[PointsFor]]-Games[[#This Row],[PointsAgainst]]</f>
        <v>-12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0.44318248303080282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71.5</v>
      </c>
      <c r="Z402" s="4">
        <f>Games[[#This Row],[K]]*Games[[#This Row],[POMult]]</f>
        <v>71.5</v>
      </c>
      <c r="AA402" s="4">
        <f>(Games[[#This Row],[Keff]]*Games[[#This Row],[MOVMult]])*(Games[[#This Row],[Result]]-Games[[#This Row],[ExpectedWin%]])</f>
        <v>-13.62649005620051</v>
      </c>
      <c r="AB402" s="4">
        <f>Games[[#This Row],[PreGmRate]]+Games[[#This Row],[RatingChange]]</f>
        <v>1465.3864415928947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38242</v>
      </c>
      <c r="B403" s="2">
        <v>2004</v>
      </c>
      <c r="C403" s="2">
        <f>COUNTIFS(Games[Team],Games[[#This Row],[Team]],Games[Season],Games[[#This Row],[Season]],Games[Date],"&lt;=" &amp; Games[[#This Row],[Date]])</f>
        <v>31</v>
      </c>
      <c r="D403" s="2" t="s">
        <v>23</v>
      </c>
      <c r="E403" s="2" t="s">
        <v>29</v>
      </c>
      <c r="F403" s="1" t="s">
        <v>73</v>
      </c>
      <c r="G403" s="1" t="s">
        <v>2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1443.9566001157805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1479.0129316490952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0.56997334551001466</v>
      </c>
      <c r="R403" s="1">
        <v>75</v>
      </c>
      <c r="S403" s="1">
        <v>63</v>
      </c>
      <c r="T403" s="1">
        <v>0</v>
      </c>
      <c r="U403" s="1">
        <f>Games[[#This Row],[PointsFor]]-Games[[#This Row],[PointsAgainst]]</f>
        <v>12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0.44318248303080282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71.349999999999994</v>
      </c>
      <c r="Z403" s="4">
        <f>Games[[#This Row],[K]]*Games[[#This Row],[POMult]]</f>
        <v>71.349999999999994</v>
      </c>
      <c r="AA403" s="4">
        <f>(Games[[#This Row],[Keff]]*Games[[#This Row],[MOVMult]])*(Games[[#This Row],[Result]]-Games[[#This Row],[ExpectedWin%]])</f>
        <v>13.597903014124563</v>
      </c>
      <c r="AB403" s="4">
        <f>Games[[#This Row],[PreGmRate]]+Games[[#This Row],[RatingChange]]</f>
        <v>1457.554503129905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38243</v>
      </c>
      <c r="B404" s="2">
        <v>2004</v>
      </c>
      <c r="C404" s="2">
        <f>COUNTIFS(Games[Team],Games[[#This Row],[Team]],Games[Season],Games[[#This Row],[Season]],Games[Date],"&lt;=" &amp; Games[[#This Row],[Date]])</f>
        <v>32</v>
      </c>
      <c r="D404" s="2" t="s">
        <v>23</v>
      </c>
      <c r="E404" s="2" t="s">
        <v>29</v>
      </c>
      <c r="F404" s="1" t="s">
        <v>81</v>
      </c>
      <c r="G404" s="1" t="s">
        <v>79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4" s="2">
        <f>Games[[#This Row],[DaysOff]]-Games[[#This Row],[OppDaysOff]]</f>
        <v>-2</v>
      </c>
      <c r="L404" s="2">
        <f>Games[[#This Row],[OppDaysOff]]-Games[[#This Row],[DaysOff]]</f>
        <v>2</v>
      </c>
      <c r="M404" s="1">
        <f>MAX(-16, MIN(16, Games[[#This Row],[RestDiff]]*8))</f>
        <v>-16</v>
      </c>
      <c r="N404" s="1">
        <f>MAX(-16, MIN(16, Games[[#This Row],[OppRestDiff]]*8))</f>
        <v>16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1558.0443596535988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1480.6238512102711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0.44470671815038371</v>
      </c>
      <c r="R404" s="1">
        <v>76</v>
      </c>
      <c r="S404" s="1">
        <v>70</v>
      </c>
      <c r="T404" s="1">
        <v>0</v>
      </c>
      <c r="U404" s="1">
        <f>Games[[#This Row],[PointsFor]]-Games[[#This Row],[PointsAgainst]]</f>
        <v>6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0.32999071998842217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71.2</v>
      </c>
      <c r="Z404" s="4">
        <f>Games[[#This Row],[K]]*Games[[#This Row],[POMult]]</f>
        <v>71.2</v>
      </c>
      <c r="AA404" s="4">
        <f>(Games[[#This Row],[Keff]]*Games[[#This Row],[MOVMult]])*(Games[[#This Row],[Result]]-Games[[#This Row],[ExpectedWin%]])</f>
        <v>13.046804047618958</v>
      </c>
      <c r="AB404" s="4">
        <f>Games[[#This Row],[PreGmRate]]+Games[[#This Row],[RatingChange]]</f>
        <v>1571.0911637012177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38243</v>
      </c>
      <c r="B405" s="2">
        <v>2004</v>
      </c>
      <c r="C405" s="2">
        <f>COUNTIFS(Games[Team],Games[[#This Row],[Team]],Games[Season],Games[[#This Row],[Season]],Games[Date],"&lt;=" &amp; Games[[#This Row],[Date]])</f>
        <v>32</v>
      </c>
      <c r="D405" s="2" t="s">
        <v>23</v>
      </c>
      <c r="E405" s="2" t="s">
        <v>29</v>
      </c>
      <c r="F405" s="1" t="s">
        <v>79</v>
      </c>
      <c r="G405" s="1" t="s">
        <v>81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5" s="2">
        <f>Games[[#This Row],[DaysOff]]-Games[[#This Row],[OppDaysOff]]</f>
        <v>2</v>
      </c>
      <c r="L405" s="2">
        <f>Games[[#This Row],[OppDaysOff]]-Games[[#This Row],[DaysOff]]</f>
        <v>-2</v>
      </c>
      <c r="M405" s="1">
        <f>MAX(-16, MIN(16, Games[[#This Row],[RestDiff]]*8))</f>
        <v>16</v>
      </c>
      <c r="N405" s="1">
        <f>MAX(-16, MIN(16, Games[[#This Row],[OppRestDiff]]*8))</f>
        <v>-16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1480.6238512102711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1558.0443596535988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0.55529328184961635</v>
      </c>
      <c r="R405" s="1">
        <v>70</v>
      </c>
      <c r="S405" s="1">
        <v>76</v>
      </c>
      <c r="T405" s="1">
        <v>0</v>
      </c>
      <c r="U405" s="1">
        <f>Games[[#This Row],[PointsFor]]-Games[[#This Row],[PointsAgainst]]</f>
        <v>-6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0.32999071998842217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71.2</v>
      </c>
      <c r="Z405" s="4">
        <f>Games[[#This Row],[K]]*Games[[#This Row],[POMult]]</f>
        <v>71.2</v>
      </c>
      <c r="AA405" s="4">
        <f>(Games[[#This Row],[Keff]]*Games[[#This Row],[MOVMult]])*(Games[[#This Row],[Result]]-Games[[#This Row],[ExpectedWin%]])</f>
        <v>-13.046804047618958</v>
      </c>
      <c r="AB405" s="4">
        <f>Games[[#This Row],[PreGmRate]]+Games[[#This Row],[RatingChange]]</f>
        <v>1467.5770471626522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38244</v>
      </c>
      <c r="B406" s="2">
        <v>2004</v>
      </c>
      <c r="C406" s="2">
        <f>COUNTIFS(Games[Team],Games[[#This Row],[Team]],Games[Season],Games[[#This Row],[Season]],Games[Date],"&lt;=" &amp; Games[[#This Row],[Date]])</f>
        <v>31</v>
      </c>
      <c r="D406" s="2" t="s">
        <v>23</v>
      </c>
      <c r="E406" s="2" t="s">
        <v>29</v>
      </c>
      <c r="F406" s="1" t="s">
        <v>66</v>
      </c>
      <c r="G406" s="1" t="s">
        <v>75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6" s="2">
        <f>Games[[#This Row],[DaysOff]]-Games[[#This Row],[OppDaysOff]]</f>
        <v>-1</v>
      </c>
      <c r="L406" s="2">
        <f>Games[[#This Row],[OppDaysOff]]-Games[[#This Row],[DaysOff]]</f>
        <v>1</v>
      </c>
      <c r="M406" s="1">
        <f>MAX(-16, MIN(16, Games[[#This Row],[RestDiff]]*8))</f>
        <v>-8</v>
      </c>
      <c r="N406" s="1">
        <f>MAX(-16, MIN(16, Games[[#This Row],[OppRestDiff]]*8))</f>
        <v>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1460.2659591038009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1503.2498714987557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0.30510992140200666</v>
      </c>
      <c r="R406" s="1">
        <v>71</v>
      </c>
      <c r="S406" s="1">
        <v>82</v>
      </c>
      <c r="T406" s="1">
        <v>1</v>
      </c>
      <c r="U406" s="1">
        <f>Games[[#This Row],[PointsFor]]-Games[[#This Row],[PointsAgainst]]</f>
        <v>-11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0.38216331131991726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71.349999999999994</v>
      </c>
      <c r="Z406" s="4">
        <f>Games[[#This Row],[K]]*Games[[#This Row],[POMult]]</f>
        <v>71.349999999999994</v>
      </c>
      <c r="AA406" s="4">
        <f>(Games[[#This Row],[Keff]]*Games[[#This Row],[MOVMult]])*(Games[[#This Row],[Result]]-Games[[#This Row],[ExpectedWin%]])</f>
        <v>-8.3195397057059317</v>
      </c>
      <c r="AB406" s="4">
        <f>Games[[#This Row],[PreGmRate]]+Games[[#This Row],[RatingChange]]</f>
        <v>1451.946419398095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38244</v>
      </c>
      <c r="B407" s="2">
        <v>2004</v>
      </c>
      <c r="C407" s="2">
        <f>COUNTIFS(Games[Team],Games[[#This Row],[Team]],Games[Season],Games[[#This Row],[Season]],Games[Date],"&lt;=" &amp; Games[[#This Row],[Date]])</f>
        <v>33</v>
      </c>
      <c r="D407" s="2" t="s">
        <v>23</v>
      </c>
      <c r="E407" s="2" t="s">
        <v>29</v>
      </c>
      <c r="F407" s="1" t="s">
        <v>75</v>
      </c>
      <c r="G407" s="1" t="s">
        <v>66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1</v>
      </c>
      <c r="L407" s="2">
        <f>Games[[#This Row],[OppDaysOff]]-Games[[#This Row],[DaysOff]]</f>
        <v>-1</v>
      </c>
      <c r="M407" s="1">
        <f>MAX(-16, MIN(16, Games[[#This Row],[RestDiff]]*8))</f>
        <v>8</v>
      </c>
      <c r="N407" s="1">
        <f>MAX(-16, MIN(16, Games[[#This Row],[OppRestDiff]]*8))</f>
        <v>-8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1503.2498714987557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1460.2659591038009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0.69489007859799334</v>
      </c>
      <c r="R407" s="1">
        <v>82</v>
      </c>
      <c r="S407" s="1">
        <v>71</v>
      </c>
      <c r="T407" s="1">
        <v>1</v>
      </c>
      <c r="U407" s="1">
        <f>Games[[#This Row],[PointsFor]]-Games[[#This Row],[PointsAgainst]]</f>
        <v>11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0.38216331131991726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71.05</v>
      </c>
      <c r="Z407" s="4">
        <f>Games[[#This Row],[K]]*Games[[#This Row],[POMult]]</f>
        <v>71.05</v>
      </c>
      <c r="AA407" s="4">
        <f>(Games[[#This Row],[Keff]]*Games[[#This Row],[MOVMult]])*(Games[[#This Row],[Result]]-Games[[#This Row],[ExpectedWin%]])</f>
        <v>8.2845591603420665</v>
      </c>
      <c r="AB407" s="4">
        <f>Games[[#This Row],[PreGmRate]]+Games[[#This Row],[RatingChange]]</f>
        <v>1511.5344306590978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38244</v>
      </c>
      <c r="B408" s="2">
        <v>2004</v>
      </c>
      <c r="C408" s="2">
        <f>COUNTIFS(Games[Team],Games[[#This Row],[Team]],Games[Season],Games[[#This Row],[Season]],Games[Date],"&lt;=" &amp; Games[[#This Row],[Date]])</f>
        <v>32</v>
      </c>
      <c r="D408" s="2" t="s">
        <v>23</v>
      </c>
      <c r="E408" s="2" t="s">
        <v>29</v>
      </c>
      <c r="F408" s="1" t="s">
        <v>77</v>
      </c>
      <c r="G408" s="1" t="s">
        <v>2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1</v>
      </c>
      <c r="L408" s="2">
        <f>Games[[#This Row],[OppDaysOff]]-Games[[#This Row],[DaysOff]]</f>
        <v>-1</v>
      </c>
      <c r="M408" s="1">
        <f>MAX(-16, MIN(16, Games[[#This Row],[RestDiff]]*8))</f>
        <v>8</v>
      </c>
      <c r="N408" s="1">
        <f>MAX(-16, MIN(16, Games[[#This Row],[OppRestDiff]]*8))</f>
        <v>-8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1502.7606725236303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1465.3864415928947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0.45603977462429901</v>
      </c>
      <c r="R408" s="1">
        <v>59</v>
      </c>
      <c r="S408" s="1">
        <v>70</v>
      </c>
      <c r="T408" s="1">
        <v>0</v>
      </c>
      <c r="U408" s="1">
        <f>Games[[#This Row],[PointsFor]]-Games[[#This Row],[PointsAgainst]]</f>
        <v>-11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0.42655095856663466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71.2</v>
      </c>
      <c r="Z408" s="4">
        <f>Games[[#This Row],[K]]*Games[[#This Row],[POMult]]</f>
        <v>71.2</v>
      </c>
      <c r="AA408" s="4">
        <f>(Games[[#This Row],[Keff]]*Games[[#This Row],[MOVMult]])*(Games[[#This Row],[Result]]-Games[[#This Row],[ExpectedWin%]])</f>
        <v>-13.850123254348084</v>
      </c>
      <c r="AB408" s="4">
        <f>Games[[#This Row],[PreGmRate]]+Games[[#This Row],[RatingChange]]</f>
        <v>1488.9105492692822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38244</v>
      </c>
      <c r="B409" s="2">
        <v>2004</v>
      </c>
      <c r="C409" s="2">
        <f>COUNTIFS(Games[Team],Games[[#This Row],[Team]],Games[Season],Games[[#This Row],[Season]],Games[Date],"&lt;=" &amp; Games[[#This Row],[Date]])</f>
        <v>31</v>
      </c>
      <c r="D409" s="2" t="s">
        <v>23</v>
      </c>
      <c r="E409" s="2" t="s">
        <v>29</v>
      </c>
      <c r="F409" s="1" t="s">
        <v>2</v>
      </c>
      <c r="G409" s="1" t="s">
        <v>77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9" s="2">
        <f>Games[[#This Row],[DaysOff]]-Games[[#This Row],[OppDaysOff]]</f>
        <v>-1</v>
      </c>
      <c r="L409" s="2">
        <f>Games[[#This Row],[OppDaysOff]]-Games[[#This Row],[DaysOff]]</f>
        <v>1</v>
      </c>
      <c r="M409" s="1">
        <f>MAX(-16, MIN(16, Games[[#This Row],[RestDiff]]*8))</f>
        <v>-8</v>
      </c>
      <c r="N409" s="1">
        <f>MAX(-16, MIN(16, Games[[#This Row],[OppRestDiff]]*8))</f>
        <v>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1465.3864415928947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1502.7606725236303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0.54396022537570099</v>
      </c>
      <c r="R409" s="1">
        <v>70</v>
      </c>
      <c r="S409" s="1">
        <v>59</v>
      </c>
      <c r="T409" s="1">
        <v>0</v>
      </c>
      <c r="U409" s="1">
        <f>Games[[#This Row],[PointsFor]]-Games[[#This Row],[PointsAgainst]]</f>
        <v>11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0.42655095856663466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71.349999999999994</v>
      </c>
      <c r="Z409" s="4">
        <f>Games[[#This Row],[K]]*Games[[#This Row],[POMult]]</f>
        <v>71.349999999999994</v>
      </c>
      <c r="AA409" s="4">
        <f>(Games[[#This Row],[Keff]]*Games[[#This Row],[MOVMult]])*(Games[[#This Row],[Result]]-Games[[#This Row],[ExpectedWin%]])</f>
        <v>13.879301884799657</v>
      </c>
      <c r="AB409" s="4">
        <f>Games[[#This Row],[PreGmRate]]+Games[[#This Row],[RatingChange]]</f>
        <v>1479.2657434776943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38244</v>
      </c>
      <c r="B410" s="2">
        <v>2004</v>
      </c>
      <c r="C410" s="2">
        <f>COUNTIFS(Games[Team],Games[[#This Row],[Team]],Games[Season],Games[[#This Row],[Season]],Games[Date],"&lt;=" &amp; Games[[#This Row],[Date]])</f>
        <v>31</v>
      </c>
      <c r="D410" s="2" t="s">
        <v>23</v>
      </c>
      <c r="E410" s="2" t="s">
        <v>29</v>
      </c>
      <c r="F410" s="1" t="s">
        <v>44</v>
      </c>
      <c r="G410" s="1" t="s">
        <v>70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0" s="2">
        <f>Games[[#This Row],[DaysOff]]-Games[[#This Row],[OppDaysOff]]</f>
        <v>1</v>
      </c>
      <c r="L410" s="2">
        <f>Games[[#This Row],[OppDaysOff]]-Games[[#This Row],[DaysOff]]</f>
        <v>-1</v>
      </c>
      <c r="M410" s="1">
        <f>MAX(-16, MIN(16, Games[[#This Row],[RestDiff]]*8))</f>
        <v>8</v>
      </c>
      <c r="N410" s="1">
        <f>MAX(-16, MIN(16, Games[[#This Row],[OppRestDiff]]*8))</f>
        <v>-8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1528.6135329112035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1647.5745902062483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0.25421929053391268</v>
      </c>
      <c r="R410" s="1">
        <v>60</v>
      </c>
      <c r="S410" s="1">
        <v>73</v>
      </c>
      <c r="T410" s="1">
        <v>0</v>
      </c>
      <c r="U410" s="1">
        <f>Games[[#This Row],[PointsFor]]-Games[[#This Row],[PointsAgainst]]</f>
        <v>-13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0.4294687122443438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71.349999999999994</v>
      </c>
      <c r="Z410" s="4">
        <f>Games[[#This Row],[K]]*Games[[#This Row],[POMult]]</f>
        <v>71.349999999999994</v>
      </c>
      <c r="AA410" s="4">
        <f>(Games[[#This Row],[Keff]]*Games[[#This Row],[MOVMult]])*(Games[[#This Row],[Result]]-Games[[#This Row],[ExpectedWin%]])</f>
        <v>-7.7899381556288265</v>
      </c>
      <c r="AB410" s="4">
        <f>Games[[#This Row],[PreGmRate]]+Games[[#This Row],[RatingChange]]</f>
        <v>1520.8235947555747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38244</v>
      </c>
      <c r="B411" s="2">
        <v>2004</v>
      </c>
      <c r="C411" s="2">
        <f>COUNTIFS(Games[Team],Games[[#This Row],[Team]],Games[Season],Games[[#This Row],[Season]],Games[Date],"&lt;=" &amp; Games[[#This Row],[Date]])</f>
        <v>32</v>
      </c>
      <c r="D411" s="2" t="s">
        <v>23</v>
      </c>
      <c r="E411" s="2" t="s">
        <v>29</v>
      </c>
      <c r="F411" s="1" t="s">
        <v>70</v>
      </c>
      <c r="G411" s="1" t="s">
        <v>44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1" s="2">
        <f>Games[[#This Row],[DaysOff]]-Games[[#This Row],[OppDaysOff]]</f>
        <v>-1</v>
      </c>
      <c r="L411" s="2">
        <f>Games[[#This Row],[OppDaysOff]]-Games[[#This Row],[DaysOff]]</f>
        <v>1</v>
      </c>
      <c r="M411" s="1">
        <f>MAX(-16, MIN(16, Games[[#This Row],[RestDiff]]*8))</f>
        <v>-8</v>
      </c>
      <c r="N411" s="1">
        <f>MAX(-16, MIN(16, Games[[#This Row],[OppRestDiff]]*8))</f>
        <v>8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1647.5745902062483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1528.6135329112035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0.74578070946608743</v>
      </c>
      <c r="R411" s="1">
        <v>73</v>
      </c>
      <c r="S411" s="1">
        <v>60</v>
      </c>
      <c r="T411" s="1">
        <v>0</v>
      </c>
      <c r="U411" s="1">
        <f>Games[[#This Row],[PointsFor]]-Games[[#This Row],[PointsAgainst]]</f>
        <v>13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0.4294687122443438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71.2</v>
      </c>
      <c r="Z411" s="4">
        <f>Games[[#This Row],[K]]*Games[[#This Row],[POMult]]</f>
        <v>71.2</v>
      </c>
      <c r="AA411" s="4">
        <f>(Games[[#This Row],[Keff]]*Games[[#This Row],[MOVMult]])*(Games[[#This Row],[Result]]-Games[[#This Row],[ExpectedWin%]])</f>
        <v>7.7735612709288331</v>
      </c>
      <c r="AB411" s="4">
        <f>Games[[#This Row],[PreGmRate]]+Games[[#This Row],[RatingChange]]</f>
        <v>1655.3481514771772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38245</v>
      </c>
      <c r="B412" s="2">
        <v>2004</v>
      </c>
      <c r="C412" s="2">
        <f>COUNTIFS(Games[Team],Games[[#This Row],[Team]],Games[Season],Games[[#This Row],[Season]],Games[Date],"&lt;=" &amp; Games[[#This Row],[Date]])</f>
        <v>32</v>
      </c>
      <c r="D412" s="2" t="s">
        <v>23</v>
      </c>
      <c r="E412" s="2" t="s">
        <v>29</v>
      </c>
      <c r="F412" s="1" t="s">
        <v>86</v>
      </c>
      <c r="G412" s="1" t="s">
        <v>64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2" s="2">
        <f>Games[[#This Row],[DaysOff]]-Games[[#This Row],[OppDaysOff]]</f>
        <v>-1</v>
      </c>
      <c r="L412" s="2">
        <f>Games[[#This Row],[OppDaysOff]]-Games[[#This Row],[DaysOff]]</f>
        <v>1</v>
      </c>
      <c r="M412" s="1">
        <f>MAX(-16, MIN(16, Games[[#This Row],[RestDiff]]*8))</f>
        <v>-8</v>
      </c>
      <c r="N412" s="1">
        <f>MAX(-16, MIN(16, Games[[#This Row],[OppRestDiff]]*8))</f>
        <v>8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1508.8226125785834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1499.211735949011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0.37277703122569195</v>
      </c>
      <c r="R412" s="1">
        <v>81</v>
      </c>
      <c r="S412" s="1">
        <v>67</v>
      </c>
      <c r="T412" s="1">
        <v>0</v>
      </c>
      <c r="U412" s="1">
        <f>Games[[#This Row],[PointsFor]]-Games[[#This Row],[PointsAgainst]]</f>
        <v>14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0.48373384825317656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71.2</v>
      </c>
      <c r="Z412" s="4">
        <f>Games[[#This Row],[K]]*Games[[#This Row],[POMult]]</f>
        <v>71.2</v>
      </c>
      <c r="AA412" s="4">
        <f>(Games[[#This Row],[Keff]]*Games[[#This Row],[MOVMult]])*(Games[[#This Row],[Result]]-Games[[#This Row],[ExpectedWin%]])</f>
        <v>21.602719404336035</v>
      </c>
      <c r="AB412" s="4">
        <f>Games[[#This Row],[PreGmRate]]+Games[[#This Row],[RatingChange]]</f>
        <v>1530.4253319829195</v>
      </c>
      <c r="AC412" s="2">
        <f>IF(Games[[#This Row],[Type]]="R",IF(Games[[#This Row],[Result]]&gt;0.5,1,0),0)</f>
        <v>1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38245</v>
      </c>
      <c r="B413" s="2">
        <v>2004</v>
      </c>
      <c r="C413" s="2">
        <f>COUNTIFS(Games[Team],Games[[#This Row],[Team]],Games[Season],Games[[#This Row],[Season]],Games[Date],"&lt;=" &amp; Games[[#This Row],[Date]])</f>
        <v>32</v>
      </c>
      <c r="D413" s="2" t="s">
        <v>23</v>
      </c>
      <c r="E413" s="2" t="s">
        <v>29</v>
      </c>
      <c r="F413" s="1" t="s">
        <v>64</v>
      </c>
      <c r="G413" s="1" t="s">
        <v>86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3" s="2">
        <f>Games[[#This Row],[DaysOff]]-Games[[#This Row],[OppDaysOff]]</f>
        <v>1</v>
      </c>
      <c r="L413" s="2">
        <f>Games[[#This Row],[OppDaysOff]]-Games[[#This Row],[DaysOff]]</f>
        <v>-1</v>
      </c>
      <c r="M413" s="1">
        <f>MAX(-16, MIN(16, Games[[#This Row],[RestDiff]]*8))</f>
        <v>8</v>
      </c>
      <c r="N413" s="1">
        <f>MAX(-16, MIN(16, Games[[#This Row],[OppRestDiff]]*8))</f>
        <v>-8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1499.211735949011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1508.8226125785834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0.62722296877430805</v>
      </c>
      <c r="R413" s="1">
        <v>67</v>
      </c>
      <c r="S413" s="1">
        <v>81</v>
      </c>
      <c r="T413" s="1">
        <v>0</v>
      </c>
      <c r="U413" s="1">
        <f>Games[[#This Row],[PointsFor]]-Games[[#This Row],[PointsAgainst]]</f>
        <v>-14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0.48373384825317656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71.2</v>
      </c>
      <c r="Z413" s="4">
        <f>Games[[#This Row],[K]]*Games[[#This Row],[POMult]]</f>
        <v>71.2</v>
      </c>
      <c r="AA413" s="4">
        <f>(Games[[#This Row],[Keff]]*Games[[#This Row],[MOVMult]])*(Games[[#This Row],[Result]]-Games[[#This Row],[ExpectedWin%]])</f>
        <v>-21.602719404336035</v>
      </c>
      <c r="AB413" s="4">
        <f>Games[[#This Row],[PreGmRate]]+Games[[#This Row],[RatingChange]]</f>
        <v>1477.6090165446749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1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38245</v>
      </c>
      <c r="B414" s="2">
        <v>2004</v>
      </c>
      <c r="C414" s="2">
        <f>COUNTIFS(Games[Team],Games[[#This Row],[Team]],Games[Season],Games[[#This Row],[Season]],Games[Date],"&lt;=" &amp; Games[[#This Row],[Date]])</f>
        <v>32</v>
      </c>
      <c r="D414" s="2" t="s">
        <v>23</v>
      </c>
      <c r="E414" s="2" t="s">
        <v>29</v>
      </c>
      <c r="F414" s="1" t="s">
        <v>73</v>
      </c>
      <c r="G414" s="1" t="s">
        <v>84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1457.554503129905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1368.176162250998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0.50773943650772224</v>
      </c>
      <c r="R414" s="1">
        <v>84</v>
      </c>
      <c r="S414" s="1">
        <v>73</v>
      </c>
      <c r="T414" s="1">
        <v>0</v>
      </c>
      <c r="U414" s="1">
        <f>Games[[#This Row],[PointsFor]]-Games[[#This Row],[PointsAgainst]]</f>
        <v>11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0.40934700667406881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71.2</v>
      </c>
      <c r="Z414" s="4">
        <f>Games[[#This Row],[K]]*Games[[#This Row],[POMult]]</f>
        <v>71.2</v>
      </c>
      <c r="AA414" s="4">
        <f>(Games[[#This Row],[Keff]]*Games[[#This Row],[MOVMult]])*(Games[[#This Row],[Result]]-Games[[#This Row],[ExpectedWin%]])</f>
        <v>14.347183637650906</v>
      </c>
      <c r="AB414" s="4">
        <f>Games[[#This Row],[PreGmRate]]+Games[[#This Row],[RatingChange]]</f>
        <v>1471.9016867675559</v>
      </c>
      <c r="AC414" s="2">
        <f>IF(Games[[#This Row],[Type]]="R",IF(Games[[#This Row],[Result]]&gt;0.5,1,0),0)</f>
        <v>1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38245</v>
      </c>
      <c r="B415" s="2">
        <v>2004</v>
      </c>
      <c r="C415" s="2">
        <f>COUNTIFS(Games[Team],Games[[#This Row],[Team]],Games[Season],Games[[#This Row],[Season]],Games[Date],"&lt;=" &amp; Games[[#This Row],[Date]])</f>
        <v>33</v>
      </c>
      <c r="D415" s="2" t="s">
        <v>23</v>
      </c>
      <c r="E415" s="2" t="s">
        <v>29</v>
      </c>
      <c r="F415" s="1" t="s">
        <v>84</v>
      </c>
      <c r="G415" s="1" t="s">
        <v>73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1368.176162250998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1457.554503129905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0.49226056349227781</v>
      </c>
      <c r="R415" s="1">
        <v>73</v>
      </c>
      <c r="S415" s="1">
        <v>84</v>
      </c>
      <c r="T415" s="1">
        <v>0</v>
      </c>
      <c r="U415" s="1">
        <f>Games[[#This Row],[PointsFor]]-Games[[#This Row],[PointsAgainst]]</f>
        <v>-11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0.40934700667406881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71.05</v>
      </c>
      <c r="Z415" s="4">
        <f>Games[[#This Row],[K]]*Games[[#This Row],[POMult]]</f>
        <v>71.05</v>
      </c>
      <c r="AA415" s="4">
        <f>(Games[[#This Row],[Keff]]*Games[[#This Row],[MOVMult]])*(Games[[#This Row],[Result]]-Games[[#This Row],[ExpectedWin%]])</f>
        <v>-14.316957829425521</v>
      </c>
      <c r="AB415" s="4">
        <f>Games[[#This Row],[PreGmRate]]+Games[[#This Row],[RatingChange]]</f>
        <v>1353.8592044215725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1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38245</v>
      </c>
      <c r="B416" s="2">
        <v>2004</v>
      </c>
      <c r="C416" s="2">
        <f>COUNTIFS(Games[Team],Games[[#This Row],[Team]],Games[Season],Games[[#This Row],[Season]],Games[Date],"&lt;=" &amp; Games[[#This Row],[Date]])</f>
        <v>32</v>
      </c>
      <c r="D416" s="2" t="s">
        <v>23</v>
      </c>
      <c r="E416" s="2" t="s">
        <v>29</v>
      </c>
      <c r="F416" s="1" t="s">
        <v>44</v>
      </c>
      <c r="G416" s="1" t="s">
        <v>81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6" s="2">
        <f>Games[[#This Row],[DaysOff]]-Games[[#This Row],[OppDaysOff]]</f>
        <v>-1</v>
      </c>
      <c r="L416" s="2">
        <f>Games[[#This Row],[OppDaysOff]]-Games[[#This Row],[DaysOff]]</f>
        <v>1</v>
      </c>
      <c r="M416" s="1">
        <f>MAX(-16, MIN(16, Games[[#This Row],[RestDiff]]*8))</f>
        <v>-8</v>
      </c>
      <c r="N416" s="1">
        <f>MAX(-16, MIN(16, Games[[#This Row],[OppRestDiff]]*8))</f>
        <v>8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1520.8235947555747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1571.0911637012177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0.29629374773800637</v>
      </c>
      <c r="R416" s="1">
        <v>58</v>
      </c>
      <c r="S416" s="1">
        <v>73</v>
      </c>
      <c r="T416" s="1">
        <v>0</v>
      </c>
      <c r="U416" s="1">
        <f>Games[[#This Row],[PointsFor]]-Games[[#This Row],[PointsAgainst]]</f>
        <v>-15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0.48263079731275549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71.2</v>
      </c>
      <c r="Z416" s="4">
        <f>Games[[#This Row],[K]]*Games[[#This Row],[POMult]]</f>
        <v>71.2</v>
      </c>
      <c r="AA416" s="4">
        <f>(Games[[#This Row],[Keff]]*Games[[#This Row],[MOVMult]])*(Games[[#This Row],[Result]]-Games[[#This Row],[ExpectedWin%]])</f>
        <v>-10.181634724921988</v>
      </c>
      <c r="AB416" s="4">
        <f>Games[[#This Row],[PreGmRate]]+Games[[#This Row],[RatingChange]]</f>
        <v>1510.6419600306529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38245</v>
      </c>
      <c r="B417" s="2">
        <v>2004</v>
      </c>
      <c r="C417" s="2">
        <f>COUNTIFS(Games[Team],Games[[#This Row],[Team]],Games[Season],Games[[#This Row],[Season]],Games[Date],"&lt;=" &amp; Games[[#This Row],[Date]])</f>
        <v>33</v>
      </c>
      <c r="D417" s="2" t="s">
        <v>23</v>
      </c>
      <c r="E417" s="2" t="s">
        <v>29</v>
      </c>
      <c r="F417" s="1" t="s">
        <v>81</v>
      </c>
      <c r="G417" s="1" t="s">
        <v>44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7" s="2">
        <f>Games[[#This Row],[DaysOff]]-Games[[#This Row],[OppDaysOff]]</f>
        <v>1</v>
      </c>
      <c r="L417" s="2">
        <f>Games[[#This Row],[OppDaysOff]]-Games[[#This Row],[DaysOff]]</f>
        <v>-1</v>
      </c>
      <c r="M417" s="1">
        <f>MAX(-16, MIN(16, Games[[#This Row],[RestDiff]]*8))</f>
        <v>8</v>
      </c>
      <c r="N417" s="1">
        <f>MAX(-16, MIN(16, Games[[#This Row],[OppRestDiff]]*8))</f>
        <v>-8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1571.0911637012177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1520.8235947555747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0.70370625226199357</v>
      </c>
      <c r="R417" s="1">
        <v>73</v>
      </c>
      <c r="S417" s="1">
        <v>58</v>
      </c>
      <c r="T417" s="1">
        <v>0</v>
      </c>
      <c r="U417" s="1">
        <f>Games[[#This Row],[PointsFor]]-Games[[#This Row],[PointsAgainst]]</f>
        <v>15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0.48263079731275549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71.05</v>
      </c>
      <c r="Z417" s="4">
        <f>Games[[#This Row],[K]]*Games[[#This Row],[POMult]]</f>
        <v>71.05</v>
      </c>
      <c r="AA417" s="4">
        <f>(Games[[#This Row],[Keff]]*Games[[#This Row],[MOVMult]])*(Games[[#This Row],[Result]]-Games[[#This Row],[ExpectedWin%]])</f>
        <v>10.160184651765551</v>
      </c>
      <c r="AB417" s="4">
        <f>Games[[#This Row],[PreGmRate]]+Games[[#This Row],[RatingChange]]</f>
        <v>1581.2513483529833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38246</v>
      </c>
      <c r="B418" s="2">
        <v>2004</v>
      </c>
      <c r="C418" s="2">
        <f>COUNTIFS(Games[Team],Games[[#This Row],[Team]],Games[Season],Games[[#This Row],[Season]],Games[Date],"&lt;=" &amp; Games[[#This Row],[Date]])</f>
        <v>32</v>
      </c>
      <c r="D418" s="2" t="s">
        <v>23</v>
      </c>
      <c r="E418" s="2" t="s">
        <v>29</v>
      </c>
      <c r="F418" s="1" t="s">
        <v>45</v>
      </c>
      <c r="G418" s="1" t="s">
        <v>2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2</v>
      </c>
      <c r="L418" s="2">
        <f>Games[[#This Row],[OppDaysOff]]-Games[[#This Row],[DaysOff]]</f>
        <v>-2</v>
      </c>
      <c r="M418" s="1">
        <f>MAX(-16, MIN(16, Games[[#This Row],[RestDiff]]*8))</f>
        <v>16</v>
      </c>
      <c r="N418" s="1">
        <f>MAX(-16, MIN(16, Games[[#This Row],[OppRestDiff]]*8))</f>
        <v>-16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1538.7181169174296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1479.2657434776943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0.51072318300917363</v>
      </c>
      <c r="R418" s="1">
        <v>71</v>
      </c>
      <c r="S418" s="1">
        <v>62</v>
      </c>
      <c r="T418" s="1">
        <v>0</v>
      </c>
      <c r="U418" s="1">
        <f>Games[[#This Row],[PointsFor]]-Games[[#This Row],[PointsAgainst]]</f>
        <v>9</v>
      </c>
      <c r="V418" s="1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0.38680766565723756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71.2</v>
      </c>
      <c r="Z418" s="4">
        <f>Games[[#This Row],[K]]*Games[[#This Row],[POMult]]</f>
        <v>71.2</v>
      </c>
      <c r="AA418" s="4">
        <f>(Games[[#This Row],[Keff]]*Games[[#This Row],[MOVMult]])*(Games[[#This Row],[Result]]-Games[[#This Row],[ExpectedWin%]])</f>
        <v>13.475028868958258</v>
      </c>
      <c r="AB418" s="4">
        <f>Games[[#This Row],[PreGmRate]]+Games[[#This Row],[RatingChange]]</f>
        <v>1552.193145786388</v>
      </c>
      <c r="AC418" s="2">
        <f>IF(Games[[#This Row],[Type]]="R",IF(Games[[#This Row],[Result]]&gt;0.5,1,0),0)</f>
        <v>1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38246</v>
      </c>
      <c r="B419" s="2">
        <v>2004</v>
      </c>
      <c r="C419" s="2">
        <f>COUNTIFS(Games[Team],Games[[#This Row],[Team]],Games[Season],Games[[#This Row],[Season]],Games[Date],"&lt;=" &amp; Games[[#This Row],[Date]])</f>
        <v>32</v>
      </c>
      <c r="D419" s="2" t="s">
        <v>23</v>
      </c>
      <c r="E419" s="2" t="s">
        <v>29</v>
      </c>
      <c r="F419" s="1" t="s">
        <v>2</v>
      </c>
      <c r="G419" s="1" t="s">
        <v>45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9" s="2">
        <f>Games[[#This Row],[DaysOff]]-Games[[#This Row],[OppDaysOff]]</f>
        <v>-2</v>
      </c>
      <c r="L419" s="2">
        <f>Games[[#This Row],[OppDaysOff]]-Games[[#This Row],[DaysOff]]</f>
        <v>2</v>
      </c>
      <c r="M419" s="1">
        <f>MAX(-16, MIN(16, Games[[#This Row],[RestDiff]]*8))</f>
        <v>-16</v>
      </c>
      <c r="N419" s="1">
        <f>MAX(-16, MIN(16, Games[[#This Row],[OppRestDiff]]*8))</f>
        <v>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1479.2657434776943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1538.7181169174296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0.48927681699082642</v>
      </c>
      <c r="R419" s="1">
        <v>62</v>
      </c>
      <c r="S419" s="1">
        <v>71</v>
      </c>
      <c r="T419" s="1">
        <v>0</v>
      </c>
      <c r="U419" s="1">
        <f>Games[[#This Row],[PointsFor]]-Games[[#This Row],[PointsAgainst]]</f>
        <v>-9</v>
      </c>
      <c r="V419" s="1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0.38680766565723756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71.2</v>
      </c>
      <c r="Z419" s="4">
        <f>Games[[#This Row],[K]]*Games[[#This Row],[POMult]]</f>
        <v>71.2</v>
      </c>
      <c r="AA419" s="4">
        <f>(Games[[#This Row],[Keff]]*Games[[#This Row],[MOVMult]])*(Games[[#This Row],[Result]]-Games[[#This Row],[ExpectedWin%]])</f>
        <v>-13.47502886895826</v>
      </c>
      <c r="AB419" s="4">
        <f>Games[[#This Row],[PreGmRate]]+Games[[#This Row],[RatingChange]]</f>
        <v>1465.7907146087359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1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38246</v>
      </c>
      <c r="B420" s="2">
        <v>2004</v>
      </c>
      <c r="C420" s="2">
        <f>COUNTIFS(Games[Team],Games[[#This Row],[Team]],Games[Season],Games[[#This Row],[Season]],Games[Date],"&lt;=" &amp; Games[[#This Row],[Date]])</f>
        <v>33</v>
      </c>
      <c r="D420" s="2" t="s">
        <v>23</v>
      </c>
      <c r="E420" s="2" t="s">
        <v>29</v>
      </c>
      <c r="F420" s="1" t="s">
        <v>79</v>
      </c>
      <c r="G420" s="1" t="s">
        <v>66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1</v>
      </c>
      <c r="L420" s="2">
        <f>Games[[#This Row],[OppDaysOff]]-Games[[#This Row],[DaysOff]]</f>
        <v>-1</v>
      </c>
      <c r="M420" s="1">
        <f>MAX(-16, MIN(16, Games[[#This Row],[RestDiff]]*8))</f>
        <v>8</v>
      </c>
      <c r="N420" s="1">
        <f>MAX(-16, MIN(16, Games[[#This Row],[OppRestDiff]]*8))</f>
        <v>-8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1467.5770471626522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1451.946419398095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0.42520004109427728</v>
      </c>
      <c r="R420" s="1">
        <v>71</v>
      </c>
      <c r="S420" s="1">
        <v>77</v>
      </c>
      <c r="T420" s="1">
        <v>1</v>
      </c>
      <c r="U420" s="1">
        <f>Games[[#This Row],[PointsFor]]-Games[[#This Row],[PointsAgainst]]</f>
        <v>-6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0.31208758097509026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71.05</v>
      </c>
      <c r="Z420" s="4">
        <f>Games[[#This Row],[K]]*Games[[#This Row],[POMult]]</f>
        <v>71.05</v>
      </c>
      <c r="AA420" s="4">
        <f>(Games[[#This Row],[Keff]]*Games[[#This Row],[MOVMult]])*(Games[[#This Row],[Result]]-Games[[#This Row],[ExpectedWin%]])</f>
        <v>-9.4283102927619407</v>
      </c>
      <c r="AB420" s="4">
        <f>Games[[#This Row],[PreGmRate]]+Games[[#This Row],[RatingChange]]</f>
        <v>1458.1487368698902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38246</v>
      </c>
      <c r="B421" s="2">
        <v>2004</v>
      </c>
      <c r="C421" s="2">
        <f>COUNTIFS(Games[Team],Games[[#This Row],[Team]],Games[Season],Games[[#This Row],[Season]],Games[Date],"&lt;=" &amp; Games[[#This Row],[Date]])</f>
        <v>32</v>
      </c>
      <c r="D421" s="2" t="s">
        <v>23</v>
      </c>
      <c r="E421" s="2" t="s">
        <v>29</v>
      </c>
      <c r="F421" s="1" t="s">
        <v>66</v>
      </c>
      <c r="G421" s="1" t="s">
        <v>79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1" s="2">
        <f>Games[[#This Row],[DaysOff]]-Games[[#This Row],[OppDaysOff]]</f>
        <v>-1</v>
      </c>
      <c r="L421" s="2">
        <f>Games[[#This Row],[OppDaysOff]]-Games[[#This Row],[DaysOff]]</f>
        <v>1</v>
      </c>
      <c r="M421" s="1">
        <f>MAX(-16, MIN(16, Games[[#This Row],[RestDiff]]*8))</f>
        <v>-8</v>
      </c>
      <c r="N421" s="1">
        <f>MAX(-16, MIN(16, Games[[#This Row],[OppRestDiff]]*8))</f>
        <v>8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1451.946419398095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1467.5770471626522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0.57479995890572277</v>
      </c>
      <c r="R421" s="1">
        <v>77</v>
      </c>
      <c r="S421" s="1">
        <v>71</v>
      </c>
      <c r="T421" s="1">
        <v>1</v>
      </c>
      <c r="U421" s="1">
        <f>Games[[#This Row],[PointsFor]]-Games[[#This Row],[PointsAgainst]]</f>
        <v>6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0.31208758097509026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71.2</v>
      </c>
      <c r="Z421" s="4">
        <f>Games[[#This Row],[K]]*Games[[#This Row],[POMult]]</f>
        <v>71.2</v>
      </c>
      <c r="AA421" s="4">
        <f>(Games[[#This Row],[Keff]]*Games[[#This Row],[MOVMult]])*(Games[[#This Row],[Result]]-Games[[#This Row],[ExpectedWin%]])</f>
        <v>9.4482152406002822</v>
      </c>
      <c r="AB421" s="4">
        <f>Games[[#This Row],[PreGmRate]]+Games[[#This Row],[RatingChange]]</f>
        <v>1461.3946346386954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38247</v>
      </c>
      <c r="B422" s="2">
        <v>2004</v>
      </c>
      <c r="C422" s="2">
        <f>COUNTIFS(Games[Team],Games[[#This Row],[Team]],Games[Season],Games[[#This Row],[Season]],Games[Date],"&lt;=" &amp; Games[[#This Row],[Date]])</f>
        <v>33</v>
      </c>
      <c r="D422" s="2" t="s">
        <v>23</v>
      </c>
      <c r="E422" s="2" t="s">
        <v>29</v>
      </c>
      <c r="F422" s="1" t="s">
        <v>66</v>
      </c>
      <c r="G422" s="1" t="s">
        <v>86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-1</v>
      </c>
      <c r="L422" s="2">
        <f>Games[[#This Row],[OppDaysOff]]-Games[[#This Row],[DaysOff]]</f>
        <v>1</v>
      </c>
      <c r="M422" s="1">
        <f>MAX(-16, MIN(16, Games[[#This Row],[RestDiff]]*8))</f>
        <v>-8</v>
      </c>
      <c r="N422" s="1">
        <f>MAX(-16, MIN(16, Games[[#This Row],[OppRestDiff]]*8))</f>
        <v>8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1461.3946346386954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1530.4253319829195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0.2742791785548192</v>
      </c>
      <c r="R422" s="1">
        <v>69</v>
      </c>
      <c r="S422" s="1">
        <v>66</v>
      </c>
      <c r="T422" s="1">
        <v>0</v>
      </c>
      <c r="U422" s="1">
        <f>Games[[#This Row],[PointsFor]]-Games[[#This Row],[PointsAgainst]]</f>
        <v>3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0.27439858314475041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71.05</v>
      </c>
      <c r="Z422" s="4">
        <f>Games[[#This Row],[K]]*Games[[#This Row],[POMult]]</f>
        <v>71.05</v>
      </c>
      <c r="AA422" s="4">
        <f>(Games[[#This Row],[Keff]]*Games[[#This Row],[MOVMult]])*(Games[[#This Row],[Result]]-Games[[#This Row],[ExpectedWin%]])</f>
        <v>14.1486671648455</v>
      </c>
      <c r="AB422" s="4">
        <f>Games[[#This Row],[PreGmRate]]+Games[[#This Row],[RatingChange]]</f>
        <v>1475.5433018035408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38247</v>
      </c>
      <c r="B423" s="2">
        <v>2004</v>
      </c>
      <c r="C423" s="2">
        <f>COUNTIFS(Games[Team],Games[[#This Row],[Team]],Games[Season],Games[[#This Row],[Season]],Games[Date],"&lt;=" &amp; Games[[#This Row],[Date]])</f>
        <v>33</v>
      </c>
      <c r="D423" s="2" t="s">
        <v>23</v>
      </c>
      <c r="E423" s="2" t="s">
        <v>29</v>
      </c>
      <c r="F423" s="1" t="s">
        <v>86</v>
      </c>
      <c r="G423" s="1" t="s">
        <v>66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3" s="2">
        <f>Games[[#This Row],[DaysOff]]-Games[[#This Row],[OppDaysOff]]</f>
        <v>1</v>
      </c>
      <c r="L423" s="2">
        <f>Games[[#This Row],[OppDaysOff]]-Games[[#This Row],[DaysOff]]</f>
        <v>-1</v>
      </c>
      <c r="M423" s="1">
        <f>MAX(-16, MIN(16, Games[[#This Row],[RestDiff]]*8))</f>
        <v>8</v>
      </c>
      <c r="N423" s="1">
        <f>MAX(-16, MIN(16, Games[[#This Row],[OppRestDiff]]*8))</f>
        <v>-8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1530.4253319829195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1461.3946346386954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0.7257208214451808</v>
      </c>
      <c r="R423" s="1">
        <v>66</v>
      </c>
      <c r="S423" s="1">
        <v>69</v>
      </c>
      <c r="T423" s="1">
        <v>0</v>
      </c>
      <c r="U423" s="1">
        <f>Games[[#This Row],[PointsFor]]-Games[[#This Row],[PointsAgainst]]</f>
        <v>-3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0.27439858314475041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71.05</v>
      </c>
      <c r="Z423" s="4">
        <f>Games[[#This Row],[K]]*Games[[#This Row],[POMult]]</f>
        <v>71.05</v>
      </c>
      <c r="AA423" s="4">
        <f>(Games[[#This Row],[Keff]]*Games[[#This Row],[MOVMult]])*(Games[[#This Row],[Result]]-Games[[#This Row],[ExpectedWin%]])</f>
        <v>-14.1486671648455</v>
      </c>
      <c r="AB423" s="4">
        <f>Games[[#This Row],[PreGmRate]]+Games[[#This Row],[RatingChange]]</f>
        <v>1516.2766648180741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38247</v>
      </c>
      <c r="B424" s="2">
        <v>2004</v>
      </c>
      <c r="C424" s="2">
        <f>COUNTIFS(Games[Team],Games[[#This Row],[Team]],Games[Season],Games[[#This Row],[Season]],Games[Date],"&lt;=" &amp; Games[[#This Row],[Date]])</f>
        <v>33</v>
      </c>
      <c r="D424" s="2" t="s">
        <v>23</v>
      </c>
      <c r="E424" s="2" t="s">
        <v>29</v>
      </c>
      <c r="F424" s="1" t="s">
        <v>77</v>
      </c>
      <c r="G424" s="1" t="s">
        <v>70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1488.9105492692822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1655.3481514771772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0.19129232983638383</v>
      </c>
      <c r="R424" s="1">
        <v>78</v>
      </c>
      <c r="S424" s="1">
        <v>66</v>
      </c>
      <c r="T424" s="1">
        <v>0</v>
      </c>
      <c r="U424" s="1">
        <f>Games[[#This Row],[PointsFor]]-Games[[#This Row],[PointsAgainst]]</f>
        <v>12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0.400571040205151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71.05</v>
      </c>
      <c r="Z424" s="4">
        <f>Games[[#This Row],[K]]*Games[[#This Row],[POMult]]</f>
        <v>71.05</v>
      </c>
      <c r="AA424" s="4">
        <f>(Games[[#This Row],[Keff]]*Games[[#This Row],[MOVMult]])*(Games[[#This Row],[Result]]-Games[[#This Row],[ExpectedWin%]])</f>
        <v>23.016283202444964</v>
      </c>
      <c r="AB424" s="4">
        <f>Games[[#This Row],[PreGmRate]]+Games[[#This Row],[RatingChange]]</f>
        <v>1511.9268324717273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38247</v>
      </c>
      <c r="B425" s="2">
        <v>2004</v>
      </c>
      <c r="C425" s="2">
        <f>COUNTIFS(Games[Team],Games[[#This Row],[Team]],Games[Season],Games[[#This Row],[Season]],Games[Date],"&lt;=" &amp; Games[[#This Row],[Date]])</f>
        <v>33</v>
      </c>
      <c r="D425" s="2" t="s">
        <v>23</v>
      </c>
      <c r="E425" s="2" t="s">
        <v>29</v>
      </c>
      <c r="F425" s="1" t="s">
        <v>70</v>
      </c>
      <c r="G425" s="1" t="s">
        <v>77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1655.3481514771772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1488.9105492692822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0.80870767016361611</v>
      </c>
      <c r="R425" s="1">
        <v>66</v>
      </c>
      <c r="S425" s="1">
        <v>78</v>
      </c>
      <c r="T425" s="1">
        <v>0</v>
      </c>
      <c r="U425" s="1">
        <f>Games[[#This Row],[PointsFor]]-Games[[#This Row],[PointsAgainst]]</f>
        <v>-12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0.400571040205151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71.05</v>
      </c>
      <c r="Z425" s="4">
        <f>Games[[#This Row],[K]]*Games[[#This Row],[POMult]]</f>
        <v>71.05</v>
      </c>
      <c r="AA425" s="4">
        <f>(Games[[#This Row],[Keff]]*Games[[#This Row],[MOVMult]])*(Games[[#This Row],[Result]]-Games[[#This Row],[ExpectedWin%]])</f>
        <v>-23.01628320244496</v>
      </c>
      <c r="AB425" s="4">
        <f>Games[[#This Row],[PreGmRate]]+Games[[#This Row],[RatingChange]]</f>
        <v>1632.3318682747322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38247</v>
      </c>
      <c r="B426" s="2">
        <v>2004</v>
      </c>
      <c r="C426" s="2">
        <f>COUNTIFS(Games[Team],Games[[#This Row],[Team]],Games[Season],Games[[#This Row],[Season]],Games[Date],"&lt;=" &amp; Games[[#This Row],[Date]])</f>
        <v>33</v>
      </c>
      <c r="D426" s="2" t="s">
        <v>23</v>
      </c>
      <c r="E426" s="2" t="s">
        <v>29</v>
      </c>
      <c r="F426" s="1" t="s">
        <v>73</v>
      </c>
      <c r="G426" s="1" t="s">
        <v>44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1471.9016867675559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1510.6419600306529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0.33036165403478074</v>
      </c>
      <c r="R426" s="1">
        <v>74</v>
      </c>
      <c r="S426" s="1">
        <v>67</v>
      </c>
      <c r="T426" s="1">
        <v>0</v>
      </c>
      <c r="U426" s="1">
        <f>Games[[#This Row],[PointsFor]]-Games[[#This Row],[PointsAgainst]]</f>
        <v>7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0.35853246767755265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71.05</v>
      </c>
      <c r="Z426" s="4">
        <f>Games[[#This Row],[K]]*Games[[#This Row],[POMult]]</f>
        <v>71.05</v>
      </c>
      <c r="AA426" s="4">
        <f>(Games[[#This Row],[Keff]]*Games[[#This Row],[MOVMult]])*(Games[[#This Row],[Result]]-Games[[#This Row],[ExpectedWin%]])</f>
        <v>17.05818764719168</v>
      </c>
      <c r="AB426" s="4">
        <f>Games[[#This Row],[PreGmRate]]+Games[[#This Row],[RatingChange]]</f>
        <v>1488.9598744147477</v>
      </c>
      <c r="AC426" s="2">
        <f>IF(Games[[#This Row],[Type]]="R",IF(Games[[#This Row],[Result]]&gt;0.5,1,0),0)</f>
        <v>1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38247</v>
      </c>
      <c r="B427" s="2">
        <v>2004</v>
      </c>
      <c r="C427" s="2">
        <f>COUNTIFS(Games[Team],Games[[#This Row],[Team]],Games[Season],Games[[#This Row],[Season]],Games[Date],"&lt;=" &amp; Games[[#This Row],[Date]])</f>
        <v>33</v>
      </c>
      <c r="D427" s="2" t="s">
        <v>23</v>
      </c>
      <c r="E427" s="2" t="s">
        <v>29</v>
      </c>
      <c r="F427" s="1" t="s">
        <v>44</v>
      </c>
      <c r="G427" s="1" t="s">
        <v>73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1510.6419600306529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1471.9016867675559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0.66963834596521932</v>
      </c>
      <c r="R427" s="1">
        <v>67</v>
      </c>
      <c r="S427" s="1">
        <v>74</v>
      </c>
      <c r="T427" s="1">
        <v>0</v>
      </c>
      <c r="U427" s="1">
        <f>Games[[#This Row],[PointsFor]]-Games[[#This Row],[PointsAgainst]]</f>
        <v>-7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0.35853246767755265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71.05</v>
      </c>
      <c r="Z427" s="4">
        <f>Games[[#This Row],[K]]*Games[[#This Row],[POMult]]</f>
        <v>71.05</v>
      </c>
      <c r="AA427" s="4">
        <f>(Games[[#This Row],[Keff]]*Games[[#This Row],[MOVMult]])*(Games[[#This Row],[Result]]-Games[[#This Row],[ExpectedWin%]])</f>
        <v>-17.05818764719168</v>
      </c>
      <c r="AB427" s="4">
        <f>Games[[#This Row],[PreGmRate]]+Games[[#This Row],[RatingChange]]</f>
        <v>1493.5837723834611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1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38247</v>
      </c>
      <c r="B428" s="2">
        <v>2004</v>
      </c>
      <c r="C428" s="2">
        <f>COUNTIFS(Games[Team],Games[[#This Row],[Team]],Games[Season],Games[[#This Row],[Season]],Games[Date],"&lt;=" &amp; Games[[#This Row],[Date]])</f>
        <v>33</v>
      </c>
      <c r="D428" s="2" t="s">
        <v>23</v>
      </c>
      <c r="E428" s="2" t="s">
        <v>29</v>
      </c>
      <c r="F428" s="1" t="s">
        <v>64</v>
      </c>
      <c r="G428" s="1" t="s">
        <v>84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1477.6090165446749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1353.8592044215725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0.55695628570123346</v>
      </c>
      <c r="R428" s="1">
        <v>65</v>
      </c>
      <c r="S428" s="1">
        <v>82</v>
      </c>
      <c r="T428" s="1">
        <v>0</v>
      </c>
      <c r="U428" s="1">
        <f>Games[[#This Row],[PointsFor]]-Games[[#This Row],[PointsAgainst]]</f>
        <v>-17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0.48266709996630336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71.05</v>
      </c>
      <c r="Z428" s="4">
        <f>Games[[#This Row],[K]]*Games[[#This Row],[POMult]]</f>
        <v>71.05</v>
      </c>
      <c r="AA428" s="4">
        <f>(Games[[#This Row],[Keff]]*Games[[#This Row],[MOVMult]])*(Games[[#This Row],[Result]]-Games[[#This Row],[ExpectedWin%]])</f>
        <v>-19.099978964908068</v>
      </c>
      <c r="AB428" s="4">
        <f>Games[[#This Row],[PreGmRate]]+Games[[#This Row],[RatingChange]]</f>
        <v>1458.5090375797668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38247</v>
      </c>
      <c r="B429" s="2">
        <v>2004</v>
      </c>
      <c r="C429" s="2">
        <f>COUNTIFS(Games[Team],Games[[#This Row],[Team]],Games[Season],Games[[#This Row],[Season]],Games[Date],"&lt;=" &amp; Games[[#This Row],[Date]])</f>
        <v>34</v>
      </c>
      <c r="D429" s="2" t="s">
        <v>23</v>
      </c>
      <c r="E429" s="2" t="s">
        <v>29</v>
      </c>
      <c r="F429" s="1" t="s">
        <v>84</v>
      </c>
      <c r="G429" s="1" t="s">
        <v>64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1353.8592044215725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1477.6090165446749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0.44304371429876649</v>
      </c>
      <c r="R429" s="1">
        <v>82</v>
      </c>
      <c r="S429" s="1">
        <v>65</v>
      </c>
      <c r="T429" s="1">
        <v>0</v>
      </c>
      <c r="U429" s="1">
        <f>Games[[#This Row],[PointsFor]]-Games[[#This Row],[PointsAgainst]]</f>
        <v>17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0.48266709996630336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70.900000000000006</v>
      </c>
      <c r="Z429" s="4">
        <f>Games[[#This Row],[K]]*Games[[#This Row],[POMult]]</f>
        <v>70.900000000000006</v>
      </c>
      <c r="AA429" s="4">
        <f>(Games[[#This Row],[Keff]]*Games[[#This Row],[MOVMult]])*(Games[[#This Row],[Result]]-Games[[#This Row],[ExpectedWin%]])</f>
        <v>19.059655293623962</v>
      </c>
      <c r="AB429" s="4">
        <f>Games[[#This Row],[PreGmRate]]+Games[[#This Row],[RatingChange]]</f>
        <v>1372.9188597151965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38248</v>
      </c>
      <c r="B430" s="2">
        <v>2004</v>
      </c>
      <c r="C430" s="2">
        <f>COUNTIFS(Games[Team],Games[[#This Row],[Team]],Games[Season],Games[[#This Row],[Season]],Games[Date],"&lt;=" &amp; Games[[#This Row],[Date]])</f>
        <v>33</v>
      </c>
      <c r="D430" s="2" t="s">
        <v>23</v>
      </c>
      <c r="E430" s="2" t="s">
        <v>29</v>
      </c>
      <c r="F430" s="1" t="s">
        <v>2</v>
      </c>
      <c r="G430" s="1" t="s">
        <v>45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1465.7907146087359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1552.193145786388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0.2727102168780125</v>
      </c>
      <c r="R430" s="1">
        <v>48</v>
      </c>
      <c r="S430" s="1">
        <v>68</v>
      </c>
      <c r="T430" s="1">
        <v>0</v>
      </c>
      <c r="U430" s="1">
        <f>Games[[#This Row],[PointsFor]]-Games[[#This Row],[PointsAgainst]]</f>
        <v>-20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0.53627450789179754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71.05</v>
      </c>
      <c r="Z430" s="4">
        <f>Games[[#This Row],[K]]*Games[[#This Row],[POMult]]</f>
        <v>71.05</v>
      </c>
      <c r="AA430" s="4">
        <f>(Games[[#This Row],[Keff]]*Games[[#This Row],[MOVMult]])*(Games[[#This Row],[Result]]-Games[[#This Row],[ExpectedWin%]])</f>
        <v>-10.390887528953495</v>
      </c>
      <c r="AB430" s="4">
        <f>Games[[#This Row],[PreGmRate]]+Games[[#This Row],[RatingChange]]</f>
        <v>1455.3998270797824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1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38248</v>
      </c>
      <c r="B431" s="2">
        <v>2004</v>
      </c>
      <c r="C431" s="2">
        <f>COUNTIFS(Games[Team],Games[[#This Row],[Team]],Games[Season],Games[[#This Row],[Season]],Games[Date],"&lt;=" &amp; Games[[#This Row],[Date]])</f>
        <v>33</v>
      </c>
      <c r="D431" s="2" t="s">
        <v>23</v>
      </c>
      <c r="E431" s="2" t="s">
        <v>29</v>
      </c>
      <c r="F431" s="1" t="s">
        <v>45</v>
      </c>
      <c r="G431" s="1" t="s">
        <v>2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1552.193145786388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1465.7907146087359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0.72728978312198744</v>
      </c>
      <c r="R431" s="1">
        <v>68</v>
      </c>
      <c r="S431" s="1">
        <v>48</v>
      </c>
      <c r="T431" s="1">
        <v>0</v>
      </c>
      <c r="U431" s="1">
        <f>Games[[#This Row],[PointsFor]]-Games[[#This Row],[PointsAgainst]]</f>
        <v>20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0.53627450789179754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71.05</v>
      </c>
      <c r="Z431" s="4">
        <f>Games[[#This Row],[K]]*Games[[#This Row],[POMult]]</f>
        <v>71.05</v>
      </c>
      <c r="AA431" s="4">
        <f>(Games[[#This Row],[Keff]]*Games[[#This Row],[MOVMult]])*(Games[[#This Row],[Result]]-Games[[#This Row],[ExpectedWin%]])</f>
        <v>10.390887528953497</v>
      </c>
      <c r="AB431" s="4">
        <f>Games[[#This Row],[PreGmRate]]+Games[[#This Row],[RatingChange]]</f>
        <v>1562.5840333153415</v>
      </c>
      <c r="AC431" s="2">
        <f>IF(Games[[#This Row],[Type]]="R",IF(Games[[#This Row],[Result]]&gt;0.5,1,0),0)</f>
        <v>1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38248</v>
      </c>
      <c r="B432" s="2">
        <v>2004</v>
      </c>
      <c r="C432" s="2">
        <f>COUNTIFS(Games[Team],Games[[#This Row],[Team]],Games[Season],Games[[#This Row],[Season]],Games[Date],"&lt;=" &amp; Games[[#This Row],[Date]])</f>
        <v>34</v>
      </c>
      <c r="D432" s="2" t="s">
        <v>23</v>
      </c>
      <c r="E432" s="2" t="s">
        <v>29</v>
      </c>
      <c r="F432" s="1" t="s">
        <v>70</v>
      </c>
      <c r="G432" s="1" t="s">
        <v>81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2" s="2">
        <f>Games[[#This Row],[DaysOff]]-Games[[#This Row],[OppDaysOff]]</f>
        <v>-2</v>
      </c>
      <c r="L432" s="2">
        <f>Games[[#This Row],[OppDaysOff]]-Games[[#This Row],[DaysOff]]</f>
        <v>2</v>
      </c>
      <c r="M432" s="1">
        <f>MAX(-16, MIN(16, Games[[#This Row],[RestDiff]]*8))</f>
        <v>-16</v>
      </c>
      <c r="N432" s="1">
        <f>MAX(-16, MIN(16, Games[[#This Row],[OppRestDiff]]*8))</f>
        <v>16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1632.3318682747322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1581.2513483529833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0.40764568868095491</v>
      </c>
      <c r="R432" s="1">
        <v>83</v>
      </c>
      <c r="S432" s="1">
        <v>80</v>
      </c>
      <c r="T432" s="1">
        <v>0</v>
      </c>
      <c r="U432" s="1">
        <f>Games[[#This Row],[PointsFor]]-Games[[#This Row],[PointsAgainst]]</f>
        <v>3</v>
      </c>
      <c r="V432" s="1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0.27833558254126578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70.900000000000006</v>
      </c>
      <c r="Z432" s="4">
        <f>Games[[#This Row],[K]]*Games[[#This Row],[POMult]]</f>
        <v>70.900000000000006</v>
      </c>
      <c r="AA432" s="4">
        <f>(Games[[#This Row],[Keff]]*Games[[#This Row],[MOVMult]])*(Games[[#This Row],[Result]]-Games[[#This Row],[ExpectedWin%]])</f>
        <v>11.689515715907806</v>
      </c>
      <c r="AB432" s="4">
        <f>Games[[#This Row],[PreGmRate]]+Games[[#This Row],[RatingChange]]</f>
        <v>1644.0213839906401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38248</v>
      </c>
      <c r="B433" s="2">
        <v>2004</v>
      </c>
      <c r="C433" s="2">
        <f>COUNTIFS(Games[Team],Games[[#This Row],[Team]],Games[Season],Games[[#This Row],[Season]],Games[Date],"&lt;=" &amp; Games[[#This Row],[Date]])</f>
        <v>34</v>
      </c>
      <c r="D433" s="2" t="s">
        <v>23</v>
      </c>
      <c r="E433" s="2" t="s">
        <v>29</v>
      </c>
      <c r="F433" s="1" t="s">
        <v>81</v>
      </c>
      <c r="G433" s="1" t="s">
        <v>70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3" s="2">
        <f>Games[[#This Row],[DaysOff]]-Games[[#This Row],[OppDaysOff]]</f>
        <v>2</v>
      </c>
      <c r="L433" s="2">
        <f>Games[[#This Row],[OppDaysOff]]-Games[[#This Row],[DaysOff]]</f>
        <v>-2</v>
      </c>
      <c r="M433" s="1">
        <f>MAX(-16, MIN(16, Games[[#This Row],[RestDiff]]*8))</f>
        <v>16</v>
      </c>
      <c r="N433" s="1">
        <f>MAX(-16, MIN(16, Games[[#This Row],[OppRestDiff]]*8))</f>
        <v>-16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1581.2513483529833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1632.3318682747322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0.59235431131904503</v>
      </c>
      <c r="R433" s="1">
        <v>80</v>
      </c>
      <c r="S433" s="1">
        <v>83</v>
      </c>
      <c r="T433" s="1">
        <v>0</v>
      </c>
      <c r="U433" s="1">
        <f>Games[[#This Row],[PointsFor]]-Games[[#This Row],[PointsAgainst]]</f>
        <v>-3</v>
      </c>
      <c r="V433" s="1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0.27833558254126578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70.900000000000006</v>
      </c>
      <c r="Z433" s="4">
        <f>Games[[#This Row],[K]]*Games[[#This Row],[POMult]]</f>
        <v>70.900000000000006</v>
      </c>
      <c r="AA433" s="4">
        <f>(Games[[#This Row],[Keff]]*Games[[#This Row],[MOVMult]])*(Games[[#This Row],[Result]]-Games[[#This Row],[ExpectedWin%]])</f>
        <v>-11.689515715907806</v>
      </c>
      <c r="AB433" s="4">
        <f>Games[[#This Row],[PreGmRate]]+Games[[#This Row],[RatingChange]]</f>
        <v>1569.5618326370754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38249</v>
      </c>
      <c r="B434" s="2">
        <v>2004</v>
      </c>
      <c r="C434" s="2">
        <f>COUNTIFS(Games[Team],Games[[#This Row],[Team]],Games[Season],Games[[#This Row],[Season]],Games[Date],"&lt;=" &amp; Games[[#This Row],[Date]])</f>
        <v>34</v>
      </c>
      <c r="D434" s="2" t="s">
        <v>23</v>
      </c>
      <c r="E434" s="2" t="s">
        <v>29</v>
      </c>
      <c r="F434" s="1" t="s">
        <v>79</v>
      </c>
      <c r="G434" s="1" t="s">
        <v>86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1</v>
      </c>
      <c r="L434" s="2">
        <f>Games[[#This Row],[OppDaysOff]]-Games[[#This Row],[DaysOff]]</f>
        <v>-1</v>
      </c>
      <c r="M434" s="1">
        <f>MAX(-16, MIN(16, Games[[#This Row],[RestDiff]]*8))</f>
        <v>8</v>
      </c>
      <c r="N434" s="1">
        <f>MAX(-16, MIN(16, Games[[#This Row],[OppRestDiff]]*8))</f>
        <v>-8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1458.1487368698902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1516.2766648180741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0.32606196801783321</v>
      </c>
      <c r="R434" s="1">
        <v>60</v>
      </c>
      <c r="S434" s="1">
        <v>80</v>
      </c>
      <c r="T434" s="1">
        <v>0</v>
      </c>
      <c r="U434" s="1">
        <f>Games[[#This Row],[PointsFor]]-Games[[#This Row],[PointsAgainst]]</f>
        <v>-20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0.54832645822883241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70.900000000000006</v>
      </c>
      <c r="Z434" s="4">
        <f>Games[[#This Row],[K]]*Games[[#This Row],[POMult]]</f>
        <v>70.900000000000006</v>
      </c>
      <c r="AA434" s="4">
        <f>(Games[[#This Row],[Keff]]*Games[[#This Row],[MOVMult]])*(Games[[#This Row],[Result]]-Games[[#This Row],[ExpectedWin%]])</f>
        <v>-12.6760978497216</v>
      </c>
      <c r="AB434" s="4">
        <f>Games[[#This Row],[PreGmRate]]+Games[[#This Row],[RatingChange]]</f>
        <v>1445.4726390201686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38249</v>
      </c>
      <c r="B435" s="2">
        <v>2004</v>
      </c>
      <c r="C435" s="2">
        <f>COUNTIFS(Games[Team],Games[[#This Row],[Team]],Games[Season],Games[[#This Row],[Season]],Games[Date],"&lt;=" &amp; Games[[#This Row],[Date]])</f>
        <v>34</v>
      </c>
      <c r="D435" s="2" t="s">
        <v>23</v>
      </c>
      <c r="E435" s="2" t="s">
        <v>29</v>
      </c>
      <c r="F435" s="1" t="s">
        <v>86</v>
      </c>
      <c r="G435" s="1" t="s">
        <v>79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-1</v>
      </c>
      <c r="L435" s="2">
        <f>Games[[#This Row],[OppDaysOff]]-Games[[#This Row],[DaysOff]]</f>
        <v>1</v>
      </c>
      <c r="M435" s="1">
        <f>MAX(-16, MIN(16, Games[[#This Row],[RestDiff]]*8))</f>
        <v>-8</v>
      </c>
      <c r="N435" s="1">
        <f>MAX(-16, MIN(16, Games[[#This Row],[OppRestDiff]]*8))</f>
        <v>8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1516.2766648180741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1458.1487368698902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0.67393803198216673</v>
      </c>
      <c r="R435" s="1">
        <v>80</v>
      </c>
      <c r="S435" s="1">
        <v>60</v>
      </c>
      <c r="T435" s="1">
        <v>0</v>
      </c>
      <c r="U435" s="1">
        <f>Games[[#This Row],[PointsFor]]-Games[[#This Row],[PointsAgainst]]</f>
        <v>20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0.54832645822883241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70.900000000000006</v>
      </c>
      <c r="Z435" s="4">
        <f>Games[[#This Row],[K]]*Games[[#This Row],[POMult]]</f>
        <v>70.900000000000006</v>
      </c>
      <c r="AA435" s="4">
        <f>(Games[[#This Row],[Keff]]*Games[[#This Row],[MOVMult]])*(Games[[#This Row],[Result]]-Games[[#This Row],[ExpectedWin%]])</f>
        <v>12.676097849721602</v>
      </c>
      <c r="AB435" s="4">
        <f>Games[[#This Row],[PreGmRate]]+Games[[#This Row],[RatingChange]]</f>
        <v>1528.9527626677957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38249</v>
      </c>
      <c r="B436" s="2">
        <v>2004</v>
      </c>
      <c r="C436" s="2">
        <f>COUNTIFS(Games[Team],Games[[#This Row],[Team]],Games[Season],Games[[#This Row],[Season]],Games[Date],"&lt;=" &amp; Games[[#This Row],[Date]])</f>
        <v>34</v>
      </c>
      <c r="D436" s="2" t="s">
        <v>23</v>
      </c>
      <c r="E436" s="2" t="s">
        <v>29</v>
      </c>
      <c r="F436" s="1" t="s">
        <v>64</v>
      </c>
      <c r="G436" s="1" t="s">
        <v>75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6" s="2">
        <f>Games[[#This Row],[DaysOff]]-Games[[#This Row],[OppDaysOff]]</f>
        <v>-3</v>
      </c>
      <c r="L436" s="2">
        <f>Games[[#This Row],[OppDaysOff]]-Games[[#This Row],[DaysOff]]</f>
        <v>3</v>
      </c>
      <c r="M436" s="1">
        <f>MAX(-16, MIN(16, Games[[#This Row],[RestDiff]]*8))</f>
        <v>-16</v>
      </c>
      <c r="N436" s="1">
        <f>MAX(-16, MIN(16, Games[[#This Row],[OppRestDiff]]*8))</f>
        <v>16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1458.5090375797668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1511.5344306590978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0.27428525635361278</v>
      </c>
      <c r="R436" s="1">
        <v>54</v>
      </c>
      <c r="S436" s="1">
        <v>68</v>
      </c>
      <c r="T436" s="1">
        <v>0</v>
      </c>
      <c r="U436" s="1">
        <f>Games[[#This Row],[PointsFor]]-Games[[#This Row],[PointsAgainst]]</f>
        <v>-14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0.46697355653978834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70.900000000000006</v>
      </c>
      <c r="Z436" s="4">
        <f>Games[[#This Row],[K]]*Games[[#This Row],[POMult]]</f>
        <v>70.900000000000006</v>
      </c>
      <c r="AA436" s="4">
        <f>(Games[[#This Row],[Keff]]*Games[[#This Row],[MOVMult]])*(Games[[#This Row],[Result]]-Games[[#This Row],[ExpectedWin%]])</f>
        <v>-9.0811528821104766</v>
      </c>
      <c r="AB436" s="4">
        <f>Games[[#This Row],[PreGmRate]]+Games[[#This Row],[RatingChange]]</f>
        <v>1449.4278846976563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1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38249</v>
      </c>
      <c r="B437" s="2">
        <v>2004</v>
      </c>
      <c r="C437" s="2">
        <f>COUNTIFS(Games[Team],Games[[#This Row],[Team]],Games[Season],Games[[#This Row],[Season]],Games[Date],"&lt;=" &amp; Games[[#This Row],[Date]])</f>
        <v>34</v>
      </c>
      <c r="D437" s="2" t="s">
        <v>23</v>
      </c>
      <c r="E437" s="2" t="s">
        <v>29</v>
      </c>
      <c r="F437" s="1" t="s">
        <v>75</v>
      </c>
      <c r="G437" s="1" t="s">
        <v>64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7" s="2">
        <f>Games[[#This Row],[DaysOff]]-Games[[#This Row],[OppDaysOff]]</f>
        <v>3</v>
      </c>
      <c r="L437" s="2">
        <f>Games[[#This Row],[OppDaysOff]]-Games[[#This Row],[DaysOff]]</f>
        <v>-3</v>
      </c>
      <c r="M437" s="1">
        <f>MAX(-16, MIN(16, Games[[#This Row],[RestDiff]]*8))</f>
        <v>16</v>
      </c>
      <c r="N437" s="1">
        <f>MAX(-16, MIN(16, Games[[#This Row],[OppRestDiff]]*8))</f>
        <v>-16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1511.5344306590978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1458.5090375797668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0.72571474364638733</v>
      </c>
      <c r="R437" s="1">
        <v>68</v>
      </c>
      <c r="S437" s="1">
        <v>54</v>
      </c>
      <c r="T437" s="1">
        <v>0</v>
      </c>
      <c r="U437" s="1">
        <f>Games[[#This Row],[PointsFor]]-Games[[#This Row],[PointsAgainst]]</f>
        <v>14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0.46697355653978834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70.900000000000006</v>
      </c>
      <c r="Z437" s="4">
        <f>Games[[#This Row],[K]]*Games[[#This Row],[POMult]]</f>
        <v>70.900000000000006</v>
      </c>
      <c r="AA437" s="4">
        <f>(Games[[#This Row],[Keff]]*Games[[#This Row],[MOVMult]])*(Games[[#This Row],[Result]]-Games[[#This Row],[ExpectedWin%]])</f>
        <v>9.081152882110473</v>
      </c>
      <c r="AB437" s="4">
        <f>Games[[#This Row],[PreGmRate]]+Games[[#This Row],[RatingChange]]</f>
        <v>1520.6155835412083</v>
      </c>
      <c r="AC437" s="2">
        <f>IF(Games[[#This Row],[Type]]="R",IF(Games[[#This Row],[Result]]&gt;0.5,1,0),0)</f>
        <v>1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38249</v>
      </c>
      <c r="B438" s="2">
        <v>2004</v>
      </c>
      <c r="C438" s="2">
        <f>COUNTIFS(Games[Team],Games[[#This Row],[Team]],Games[Season],Games[[#This Row],[Season]],Games[Date],"&lt;=" &amp; Games[[#This Row],[Date]])</f>
        <v>34</v>
      </c>
      <c r="D438" s="2" t="s">
        <v>23</v>
      </c>
      <c r="E438" s="2" t="s">
        <v>29</v>
      </c>
      <c r="F438" s="1" t="s">
        <v>73</v>
      </c>
      <c r="G438" s="1" t="s">
        <v>66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1488.9598744147477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1475.5433018035408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0.39979703449337534</v>
      </c>
      <c r="R438" s="1">
        <v>75</v>
      </c>
      <c r="S438" s="1">
        <v>79</v>
      </c>
      <c r="T438" s="1">
        <v>0</v>
      </c>
      <c r="U438" s="1">
        <f>Games[[#This Row],[PointsFor]]-Games[[#This Row],[PointsAgainst]]</f>
        <v>-4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0.30798926792340697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70.900000000000006</v>
      </c>
      <c r="Z438" s="4">
        <f>Games[[#This Row],[K]]*Games[[#This Row],[POMult]]</f>
        <v>70.900000000000006</v>
      </c>
      <c r="AA438" s="4">
        <f>(Games[[#This Row],[Keff]]*Games[[#This Row],[MOVMult]])*(Games[[#This Row],[Result]]-Games[[#This Row],[ExpectedWin%]])</f>
        <v>-8.7301435943838719</v>
      </c>
      <c r="AB438" s="4">
        <f>Games[[#This Row],[PreGmRate]]+Games[[#This Row],[RatingChange]]</f>
        <v>1480.2297308203638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38249</v>
      </c>
      <c r="B439" s="2">
        <v>2004</v>
      </c>
      <c r="C439" s="2">
        <f>COUNTIFS(Games[Team],Games[[#This Row],[Team]],Games[Season],Games[[#This Row],[Season]],Games[Date],"&lt;=" &amp; Games[[#This Row],[Date]])</f>
        <v>34</v>
      </c>
      <c r="D439" s="2" t="s">
        <v>23</v>
      </c>
      <c r="E439" s="2" t="s">
        <v>29</v>
      </c>
      <c r="F439" s="1" t="s">
        <v>66</v>
      </c>
      <c r="G439" s="1" t="s">
        <v>73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1475.5433018035408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1488.9598744147477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0.60020296550662477</v>
      </c>
      <c r="R439" s="1">
        <v>79</v>
      </c>
      <c r="S439" s="1">
        <v>75</v>
      </c>
      <c r="T439" s="1">
        <v>0</v>
      </c>
      <c r="U439" s="1">
        <f>Games[[#This Row],[PointsFor]]-Games[[#This Row],[PointsAgainst]]</f>
        <v>4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0.30798926792340697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70.900000000000006</v>
      </c>
      <c r="Z439" s="4">
        <f>Games[[#This Row],[K]]*Games[[#This Row],[POMult]]</f>
        <v>70.900000000000006</v>
      </c>
      <c r="AA439" s="4">
        <f>(Games[[#This Row],[Keff]]*Games[[#This Row],[MOVMult]])*(Games[[#This Row],[Result]]-Games[[#This Row],[ExpectedWin%]])</f>
        <v>8.7301435943838683</v>
      </c>
      <c r="AB439" s="4">
        <f>Games[[#This Row],[PreGmRate]]+Games[[#This Row],[RatingChange]]</f>
        <v>1484.2734453979247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38249</v>
      </c>
      <c r="B440" s="2">
        <v>2004</v>
      </c>
      <c r="C440" s="2">
        <f>COUNTIFS(Games[Team],Games[[#This Row],[Team]],Games[Season],Games[[#This Row],[Season]],Games[Date],"&lt;=" &amp; Games[[#This Row],[Date]])</f>
        <v>34</v>
      </c>
      <c r="D440" s="2" t="s">
        <v>23</v>
      </c>
      <c r="E440" s="2" t="s">
        <v>29</v>
      </c>
      <c r="F440" s="1" t="s">
        <v>2</v>
      </c>
      <c r="G440" s="1" t="s">
        <v>44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-1</v>
      </c>
      <c r="L440" s="2">
        <f>Games[[#This Row],[OppDaysOff]]-Games[[#This Row],[DaysOff]]</f>
        <v>1</v>
      </c>
      <c r="M440" s="1">
        <f>MAX(-16, MIN(16, Games[[#This Row],[RestDiff]]*8))</f>
        <v>-8</v>
      </c>
      <c r="N440" s="1">
        <f>MAX(-16, MIN(16, Games[[#This Row],[OppRestDiff]]*8))</f>
        <v>8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1455.3998270797824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1493.5837723834611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0.31099949161602281</v>
      </c>
      <c r="R440" s="1">
        <v>64</v>
      </c>
      <c r="S440" s="1">
        <v>78</v>
      </c>
      <c r="T440" s="1">
        <v>0</v>
      </c>
      <c r="U440" s="1">
        <f>Games[[#This Row],[PointsFor]]-Games[[#This Row],[PointsAgainst]]</f>
        <v>-14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0.47257091844896426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70.900000000000006</v>
      </c>
      <c r="Z440" s="4">
        <f>Games[[#This Row],[K]]*Games[[#This Row],[POMult]]</f>
        <v>70.900000000000006</v>
      </c>
      <c r="AA440" s="4">
        <f>(Games[[#This Row],[Keff]]*Games[[#This Row],[MOVMult]])*(Games[[#This Row],[Result]]-Games[[#This Row],[ExpectedWin%]])</f>
        <v>-10.42012446116127</v>
      </c>
      <c r="AB440" s="4">
        <f>Games[[#This Row],[PreGmRate]]+Games[[#This Row],[RatingChange]]</f>
        <v>1444.9797026186211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38249</v>
      </c>
      <c r="B441" s="2">
        <v>2004</v>
      </c>
      <c r="C441" s="2">
        <f>COUNTIFS(Games[Team],Games[[#This Row],[Team]],Games[Season],Games[[#This Row],[Season]],Games[Date],"&lt;=" &amp; Games[[#This Row],[Date]])</f>
        <v>34</v>
      </c>
      <c r="D441" s="2" t="s">
        <v>23</v>
      </c>
      <c r="E441" s="2" t="s">
        <v>29</v>
      </c>
      <c r="F441" s="1" t="s">
        <v>44</v>
      </c>
      <c r="G441" s="1" t="s">
        <v>2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1" s="2">
        <f>Games[[#This Row],[DaysOff]]-Games[[#This Row],[OppDaysOff]]</f>
        <v>1</v>
      </c>
      <c r="L441" s="2">
        <f>Games[[#This Row],[OppDaysOff]]-Games[[#This Row],[DaysOff]]</f>
        <v>-1</v>
      </c>
      <c r="M441" s="1">
        <f>MAX(-16, MIN(16, Games[[#This Row],[RestDiff]]*8))</f>
        <v>8</v>
      </c>
      <c r="N441" s="1">
        <f>MAX(-16, MIN(16, Games[[#This Row],[OppRestDiff]]*8))</f>
        <v>-8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1493.5837723834611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1455.3998270797824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0.68900050838397719</v>
      </c>
      <c r="R441" s="1">
        <v>78</v>
      </c>
      <c r="S441" s="1">
        <v>64</v>
      </c>
      <c r="T441" s="1">
        <v>0</v>
      </c>
      <c r="U441" s="1">
        <f>Games[[#This Row],[PointsFor]]-Games[[#This Row],[PointsAgainst]]</f>
        <v>14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0.47257091844896426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70.900000000000006</v>
      </c>
      <c r="Z441" s="4">
        <f>Games[[#This Row],[K]]*Games[[#This Row],[POMult]]</f>
        <v>70.900000000000006</v>
      </c>
      <c r="AA441" s="4">
        <f>(Games[[#This Row],[Keff]]*Games[[#This Row],[MOVMult]])*(Games[[#This Row],[Result]]-Games[[#This Row],[ExpectedWin%]])</f>
        <v>10.42012446116127</v>
      </c>
      <c r="AB441" s="4">
        <f>Games[[#This Row],[PreGmRate]]+Games[[#This Row],[RatingChange]]</f>
        <v>1504.0038968446224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38249</v>
      </c>
      <c r="B442" s="2">
        <v>2004</v>
      </c>
      <c r="C442" s="2">
        <f>COUNTIFS(Games[Team],Games[[#This Row],[Team]],Games[Season],Games[[#This Row],[Season]],Games[Date],"&lt;=" &amp; Games[[#This Row],[Date]])</f>
        <v>34</v>
      </c>
      <c r="D442" s="2" t="s">
        <v>23</v>
      </c>
      <c r="E442" s="2" t="s">
        <v>29</v>
      </c>
      <c r="F442" s="1" t="s">
        <v>77</v>
      </c>
      <c r="G442" s="1" t="s">
        <v>45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2" s="2">
        <f>Games[[#This Row],[DaysOff]]-Games[[#This Row],[OppDaysOff]]</f>
        <v>1</v>
      </c>
      <c r="L442" s="2">
        <f>Games[[#This Row],[OppDaysOff]]-Games[[#This Row],[DaysOff]]</f>
        <v>-1</v>
      </c>
      <c r="M442" s="1">
        <f>MAX(-16, MIN(16, Games[[#This Row],[RestDiff]]*8))</f>
        <v>8</v>
      </c>
      <c r="N442" s="1">
        <f>MAX(-16, MIN(16, Games[[#This Row],[OppRestDiff]]*8))</f>
        <v>-8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1511.9268324717273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1562.5840333153415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0.33558186109476607</v>
      </c>
      <c r="R442" s="1">
        <v>63</v>
      </c>
      <c r="S442" s="1">
        <v>72</v>
      </c>
      <c r="T442" s="1">
        <v>0</v>
      </c>
      <c r="U442" s="1">
        <f>Games[[#This Row],[PointsFor]]-Games[[#This Row],[PointsAgainst]]</f>
        <v>-9</v>
      </c>
      <c r="V442" s="1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0.38952786762678066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70.900000000000006</v>
      </c>
      <c r="Z442" s="4">
        <f>Games[[#This Row],[K]]*Games[[#This Row],[POMult]]</f>
        <v>70.900000000000006</v>
      </c>
      <c r="AA442" s="4">
        <f>(Games[[#This Row],[Keff]]*Games[[#This Row],[MOVMult]])*(Games[[#This Row],[Result]]-Games[[#This Row],[ExpectedWin%]])</f>
        <v>-9.2679407117427761</v>
      </c>
      <c r="AB442" s="4">
        <f>Games[[#This Row],[PreGmRate]]+Games[[#This Row],[RatingChange]]</f>
        <v>1502.6588917599845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38249</v>
      </c>
      <c r="B443" s="2">
        <v>2004</v>
      </c>
      <c r="C443" s="2">
        <f>COUNTIFS(Games[Team],Games[[#This Row],[Team]],Games[Season],Games[[#This Row],[Season]],Games[Date],"&lt;=" &amp; Games[[#This Row],[Date]])</f>
        <v>34</v>
      </c>
      <c r="D443" s="2" t="s">
        <v>23</v>
      </c>
      <c r="E443" s="2" t="s">
        <v>29</v>
      </c>
      <c r="F443" s="1" t="s">
        <v>45</v>
      </c>
      <c r="G443" s="1" t="s">
        <v>77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-1</v>
      </c>
      <c r="L443" s="2">
        <f>Games[[#This Row],[OppDaysOff]]-Games[[#This Row],[DaysOff]]</f>
        <v>1</v>
      </c>
      <c r="M443" s="1">
        <f>MAX(-16, MIN(16, Games[[#This Row],[RestDiff]]*8))</f>
        <v>-8</v>
      </c>
      <c r="N443" s="1">
        <f>MAX(-16, MIN(16, Games[[#This Row],[OppRestDiff]]*8))</f>
        <v>8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1562.5840333153415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1511.9268324717273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0.66441813890523393</v>
      </c>
      <c r="R443" s="1">
        <v>72</v>
      </c>
      <c r="S443" s="1">
        <v>63</v>
      </c>
      <c r="T443" s="1">
        <v>0</v>
      </c>
      <c r="U443" s="1">
        <f>Games[[#This Row],[PointsFor]]-Games[[#This Row],[PointsAgainst]]</f>
        <v>9</v>
      </c>
      <c r="V443" s="1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0.38952786762678066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70.900000000000006</v>
      </c>
      <c r="Z443" s="4">
        <f>Games[[#This Row],[K]]*Games[[#This Row],[POMult]]</f>
        <v>70.900000000000006</v>
      </c>
      <c r="AA443" s="4">
        <f>(Games[[#This Row],[Keff]]*Games[[#This Row],[MOVMult]])*(Games[[#This Row],[Result]]-Games[[#This Row],[ExpectedWin%]])</f>
        <v>9.2679407117427761</v>
      </c>
      <c r="AB443" s="4">
        <f>Games[[#This Row],[PreGmRate]]+Games[[#This Row],[RatingChange]]</f>
        <v>1571.8519740270842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38254</v>
      </c>
      <c r="B444" s="2">
        <v>2004</v>
      </c>
      <c r="C444" s="2">
        <f>COUNTIFS(Games[Team],Games[[#This Row],[Team]],Games[Season],Games[[#This Row],[Season]],Games[Date],"&lt;=" &amp; Games[[#This Row],[Date]])</f>
        <v>35</v>
      </c>
      <c r="D444" s="2" t="s">
        <v>46</v>
      </c>
      <c r="E444" s="2">
        <v>1</v>
      </c>
      <c r="F444" s="1" t="s">
        <v>66</v>
      </c>
      <c r="G444" s="1" t="s">
        <v>75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1484.2734453979247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1520.6155835412083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0.33342270536459367</v>
      </c>
      <c r="R444" s="1">
        <v>75</v>
      </c>
      <c r="S444" s="1">
        <v>62</v>
      </c>
      <c r="T444" s="1">
        <v>0</v>
      </c>
      <c r="U444" s="1">
        <f>Games[[#This Row],[PointsFor]]-Games[[#This Row],[PointsAgainst]]</f>
        <v>13</v>
      </c>
      <c r="V444" s="1">
        <f>IF(Games[[#This Row],[MOV]]&gt;0,1,IF(Games[[#This Row],[MOV]]=0,0.5,0))</f>
        <v>1</v>
      </c>
      <c r="W444" s="4">
        <f>((ABS(Games[[#This Row],[MOV]])+5)^0.6)/(12+0.01*(ABS(Games[[#This Row],[PreGmRate]]-Games[[#This Row],[OppPreGmRate]])))*IF(Games[[#This Row],[OT]]=1,0.9,1)</f>
        <v>0.45816808252417024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4" s="9">
        <f>MAX(kmin, kmax - 0.15 * MIN(Games[[#This Row],[GamesPlayed]], 82))</f>
        <v>70.75</v>
      </c>
      <c r="Z444" s="4">
        <f>Games[[#This Row],[K]]*Games[[#This Row],[POMult]]</f>
        <v>77.825000000000003</v>
      </c>
      <c r="AA444" s="4">
        <f>(Games[[#This Row],[Keff]]*Games[[#This Row],[MOVMult]])*(Games[[#This Row],[Result]]-Games[[#This Row],[ExpectedWin%]])</f>
        <v>23.768100615941712</v>
      </c>
      <c r="AB444" s="4">
        <f>Games[[#This Row],[PreGmRate]]+Games[[#This Row],[RatingChange]]</f>
        <v>1508.0415460138663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1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38254</v>
      </c>
      <c r="B445" s="2">
        <v>2004</v>
      </c>
      <c r="C445" s="2">
        <f>COUNTIFS(Games[Team],Games[[#This Row],[Team]],Games[Season],Games[[#This Row],[Season]],Games[Date],"&lt;=" &amp; Games[[#This Row],[Date]])</f>
        <v>35</v>
      </c>
      <c r="D445" s="2" t="s">
        <v>46</v>
      </c>
      <c r="E445" s="2">
        <v>1</v>
      </c>
      <c r="F445" s="1" t="s">
        <v>75</v>
      </c>
      <c r="G445" s="1" t="s">
        <v>66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1520.6155835412083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1484.2734453979247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0.66657729463540638</v>
      </c>
      <c r="R445" s="1">
        <v>62</v>
      </c>
      <c r="S445" s="1">
        <v>75</v>
      </c>
      <c r="T445" s="1">
        <v>0</v>
      </c>
      <c r="U445" s="1">
        <f>Games[[#This Row],[PointsFor]]-Games[[#This Row],[PointsAgainst]]</f>
        <v>-13</v>
      </c>
      <c r="V445" s="1">
        <f>IF(Games[[#This Row],[MOV]]&gt;0,1,IF(Games[[#This Row],[MOV]]=0,0.5,0))</f>
        <v>0</v>
      </c>
      <c r="W445" s="4">
        <f>((ABS(Games[[#This Row],[MOV]])+5)^0.6)/(12+0.01*(ABS(Games[[#This Row],[PreGmRate]]-Games[[#This Row],[OppPreGmRate]])))*IF(Games[[#This Row],[OT]]=1,0.9,1)</f>
        <v>0.45816808252417024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5" s="9">
        <f>MAX(kmin, kmax - 0.15 * MIN(Games[[#This Row],[GamesPlayed]], 82))</f>
        <v>70.75</v>
      </c>
      <c r="Z445" s="4">
        <f>Games[[#This Row],[K]]*Games[[#This Row],[POMult]]</f>
        <v>77.825000000000003</v>
      </c>
      <c r="AA445" s="4">
        <f>(Games[[#This Row],[Keff]]*Games[[#This Row],[MOVMult]])*(Games[[#This Row],[Result]]-Games[[#This Row],[ExpectedWin%]])</f>
        <v>-23.768100615941716</v>
      </c>
      <c r="AB445" s="4">
        <f>Games[[#This Row],[PreGmRate]]+Games[[#This Row],[RatingChange]]</f>
        <v>1496.8474829252666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1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38254</v>
      </c>
      <c r="B446" s="2">
        <v>2004</v>
      </c>
      <c r="C446" s="2">
        <f>COUNTIFS(Games[Team],Games[[#This Row],[Team]],Games[Season],Games[[#This Row],[Season]],Games[Date],"&lt;=" &amp; Games[[#This Row],[Date]])</f>
        <v>35</v>
      </c>
      <c r="D446" s="2" t="s">
        <v>46</v>
      </c>
      <c r="E446" s="2">
        <v>1</v>
      </c>
      <c r="F446" s="1" t="s">
        <v>70</v>
      </c>
      <c r="G446" s="1" t="s">
        <v>45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5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6" s="2">
        <f>Games[[#This Row],[DaysOff]]-Games[[#This Row],[OppDaysOff]]</f>
        <v>1</v>
      </c>
      <c r="L446" s="2">
        <f>Games[[#This Row],[OppDaysOff]]-Games[[#This Row],[DaysOff]]</f>
        <v>-1</v>
      </c>
      <c r="M446" s="1">
        <f>MAX(-16, MIN(16, Games[[#This Row],[RestDiff]]*8))</f>
        <v>8</v>
      </c>
      <c r="N446" s="1">
        <f>MAX(-16, MIN(16, Games[[#This Row],[OppRestDiff]]*8))</f>
        <v>-8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1644.0213839906401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1571.8519740270842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0.50599997524659457</v>
      </c>
      <c r="R446" s="1">
        <v>52</v>
      </c>
      <c r="S446" s="1">
        <v>72</v>
      </c>
      <c r="T446" s="1">
        <v>0</v>
      </c>
      <c r="U446" s="1">
        <f>Games[[#This Row],[PointsFor]]-Games[[#This Row],[PointsAgainst]]</f>
        <v>-20</v>
      </c>
      <c r="V446" s="1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0.54227434280971276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6" s="9">
        <f>MAX(kmin, kmax - 0.15 * MIN(Games[[#This Row],[GamesPlayed]], 82))</f>
        <v>70.75</v>
      </c>
      <c r="Z446" s="4">
        <f>Games[[#This Row],[K]]*Games[[#This Row],[POMult]]</f>
        <v>77.825000000000003</v>
      </c>
      <c r="AA446" s="4">
        <f>(Games[[#This Row],[Keff]]*Games[[#This Row],[MOVMult]])*(Games[[#This Row],[Result]]-Games[[#This Row],[ExpectedWin%]])</f>
        <v>-21.354464324302334</v>
      </c>
      <c r="AB446" s="4">
        <f>Games[[#This Row],[PreGmRate]]+Games[[#This Row],[RatingChange]]</f>
        <v>1622.6669196663377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1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38254</v>
      </c>
      <c r="B447" s="2">
        <v>2004</v>
      </c>
      <c r="C447" s="2">
        <f>COUNTIFS(Games[Team],Games[[#This Row],[Team]],Games[Season],Games[[#This Row],[Season]],Games[Date],"&lt;=" &amp; Games[[#This Row],[Date]])</f>
        <v>35</v>
      </c>
      <c r="D447" s="2" t="s">
        <v>46</v>
      </c>
      <c r="E447" s="2">
        <v>1</v>
      </c>
      <c r="F447" s="1" t="s">
        <v>45</v>
      </c>
      <c r="G447" s="1" t="s">
        <v>70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47" s="2">
        <f>Games[[#This Row],[DaysOff]]-Games[[#This Row],[OppDaysOff]]</f>
        <v>-1</v>
      </c>
      <c r="L447" s="2">
        <f>Games[[#This Row],[OppDaysOff]]-Games[[#This Row],[DaysOff]]</f>
        <v>1</v>
      </c>
      <c r="M447" s="1">
        <f>MAX(-16, MIN(16, Games[[#This Row],[RestDiff]]*8))</f>
        <v>-8</v>
      </c>
      <c r="N447" s="1">
        <f>MAX(-16, MIN(16, Games[[#This Row],[OppRestDiff]]*8))</f>
        <v>8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1571.8519740270842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1644.0213839906401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0.49400002475340543</v>
      </c>
      <c r="R447" s="1">
        <v>72</v>
      </c>
      <c r="S447" s="1">
        <v>52</v>
      </c>
      <c r="T447" s="1">
        <v>0</v>
      </c>
      <c r="U447" s="1">
        <f>Games[[#This Row],[PointsFor]]-Games[[#This Row],[PointsAgainst]]</f>
        <v>20</v>
      </c>
      <c r="V447" s="1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0.54227434280971276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7" s="9">
        <f>MAX(kmin, kmax - 0.15 * MIN(Games[[#This Row],[GamesPlayed]], 82))</f>
        <v>70.75</v>
      </c>
      <c r="Z447" s="4">
        <f>Games[[#This Row],[K]]*Games[[#This Row],[POMult]]</f>
        <v>77.825000000000003</v>
      </c>
      <c r="AA447" s="4">
        <f>(Games[[#This Row],[Keff]]*Games[[#This Row],[MOVMult]])*(Games[[#This Row],[Result]]-Games[[#This Row],[ExpectedWin%]])</f>
        <v>21.354464324302334</v>
      </c>
      <c r="AB447" s="4">
        <f>Games[[#This Row],[PreGmRate]]+Games[[#This Row],[RatingChange]]</f>
        <v>1593.2064383513866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1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38255</v>
      </c>
      <c r="B448" s="2">
        <v>2004</v>
      </c>
      <c r="C448" s="2">
        <f>COUNTIFS(Games[Team],Games[[#This Row],[Team]],Games[Season],Games[[#This Row],[Season]],Games[Date],"&lt;=" &amp; Games[[#This Row],[Date]])</f>
        <v>35</v>
      </c>
      <c r="D448" s="2" t="s">
        <v>46</v>
      </c>
      <c r="E448" s="2">
        <v>1</v>
      </c>
      <c r="F448" s="1" t="s">
        <v>81</v>
      </c>
      <c r="G448" s="1" t="s">
        <v>77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6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48" s="2">
        <f>Games[[#This Row],[DaysOff]]-Games[[#This Row],[OppDaysOff]]</f>
        <v>1</v>
      </c>
      <c r="L448" s="2">
        <f>Games[[#This Row],[OppDaysOff]]-Games[[#This Row],[DaysOff]]</f>
        <v>-1</v>
      </c>
      <c r="M448" s="1">
        <f>MAX(-16, MIN(16, Games[[#This Row],[RestDiff]]*8))</f>
        <v>8</v>
      </c>
      <c r="N448" s="1">
        <f>MAX(-16, MIN(16, Games[[#This Row],[OppRestDiff]]*8))</f>
        <v>-8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1569.5618326370754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1502.6588917599845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0.4984212102579485</v>
      </c>
      <c r="R448" s="1">
        <v>70</v>
      </c>
      <c r="S448" s="1">
        <v>58</v>
      </c>
      <c r="T448" s="1">
        <v>0</v>
      </c>
      <c r="U448" s="1">
        <f>Games[[#This Row],[PointsFor]]-Games[[#This Row],[PointsAgainst]]</f>
        <v>12</v>
      </c>
      <c r="V448" s="1">
        <f>IF(Games[[#This Row],[MOV]]&gt;0,1,IF(Games[[#This Row],[MOV]]=0,0.5,0))</f>
        <v>1</v>
      </c>
      <c r="W448" s="4">
        <f>((ABS(Games[[#This Row],[MOV]])+5)^0.6)/(12+0.01*(ABS(Games[[#This Row],[PreGmRate]]-Games[[#This Row],[OppPreGmRate]])))*IF(Games[[#This Row],[OT]]=1,0.9,1)</f>
        <v>0.43204204049988926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8" s="9">
        <f>MAX(kmin, kmax - 0.15 * MIN(Games[[#This Row],[GamesPlayed]], 82))</f>
        <v>70.75</v>
      </c>
      <c r="Z448" s="4">
        <f>Games[[#This Row],[K]]*Games[[#This Row],[POMult]]</f>
        <v>77.825000000000003</v>
      </c>
      <c r="AA448" s="4">
        <f>(Games[[#This Row],[Keff]]*Games[[#This Row],[MOVMult]])*(Games[[#This Row],[Result]]-Games[[#This Row],[ExpectedWin%]])</f>
        <v>16.864920609082894</v>
      </c>
      <c r="AB448" s="4">
        <f>Games[[#This Row],[PreGmRate]]+Games[[#This Row],[RatingChange]]</f>
        <v>1586.4267532461583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1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38255</v>
      </c>
      <c r="B449" s="2">
        <v>2004</v>
      </c>
      <c r="C449" s="2">
        <f>COUNTIFS(Games[Team],Games[[#This Row],[Team]],Games[Season],Games[[#This Row],[Season]],Games[Date],"&lt;=" &amp; Games[[#This Row],[Date]])</f>
        <v>35</v>
      </c>
      <c r="D449" s="2" t="s">
        <v>46</v>
      </c>
      <c r="E449" s="2">
        <v>1</v>
      </c>
      <c r="F449" s="1" t="s">
        <v>77</v>
      </c>
      <c r="G449" s="1" t="s">
        <v>81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5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49" s="2">
        <f>Games[[#This Row],[DaysOff]]-Games[[#This Row],[OppDaysOff]]</f>
        <v>-1</v>
      </c>
      <c r="L449" s="2">
        <f>Games[[#This Row],[OppDaysOff]]-Games[[#This Row],[DaysOff]]</f>
        <v>1</v>
      </c>
      <c r="M449" s="1">
        <f>MAX(-16, MIN(16, Games[[#This Row],[RestDiff]]*8))</f>
        <v>-8</v>
      </c>
      <c r="N449" s="1">
        <f>MAX(-16, MIN(16, Games[[#This Row],[OppRestDiff]]*8))</f>
        <v>8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1502.6588917599845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1569.5618326370754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0.5015787897420515</v>
      </c>
      <c r="R449" s="1">
        <v>58</v>
      </c>
      <c r="S449" s="1">
        <v>70</v>
      </c>
      <c r="T449" s="1">
        <v>0</v>
      </c>
      <c r="U449" s="1">
        <f>Games[[#This Row],[PointsFor]]-Games[[#This Row],[PointsAgainst]]</f>
        <v>-12</v>
      </c>
      <c r="V449" s="1">
        <f>IF(Games[[#This Row],[MOV]]&gt;0,1,IF(Games[[#This Row],[MOV]]=0,0.5,0))</f>
        <v>0</v>
      </c>
      <c r="W449" s="4">
        <f>((ABS(Games[[#This Row],[MOV]])+5)^0.6)/(12+0.01*(ABS(Games[[#This Row],[PreGmRate]]-Games[[#This Row],[OppPreGmRate]])))*IF(Games[[#This Row],[OT]]=1,0.9,1)</f>
        <v>0.43204204049988926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9" s="9">
        <f>MAX(kmin, kmax - 0.15 * MIN(Games[[#This Row],[GamesPlayed]], 82))</f>
        <v>70.75</v>
      </c>
      <c r="Z449" s="4">
        <f>Games[[#This Row],[K]]*Games[[#This Row],[POMult]]</f>
        <v>77.825000000000003</v>
      </c>
      <c r="AA449" s="4">
        <f>(Games[[#This Row],[Keff]]*Games[[#This Row],[MOVMult]])*(Games[[#This Row],[Result]]-Games[[#This Row],[ExpectedWin%]])</f>
        <v>-16.864920609082894</v>
      </c>
      <c r="AB449" s="4">
        <f>Games[[#This Row],[PreGmRate]]+Games[[#This Row],[RatingChange]]</f>
        <v>1485.7939711509016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1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38255</v>
      </c>
      <c r="B450" s="2">
        <v>2004</v>
      </c>
      <c r="C450" s="2">
        <f>COUNTIFS(Games[Team],Games[[#This Row],[Team]],Games[Season],Games[[#This Row],[Season]],Games[Date],"&lt;=" &amp; Games[[#This Row],[Date]])</f>
        <v>35</v>
      </c>
      <c r="D450" s="2" t="s">
        <v>46</v>
      </c>
      <c r="E450" s="2">
        <v>1</v>
      </c>
      <c r="F450" s="1" t="s">
        <v>86</v>
      </c>
      <c r="G450" s="1" t="s">
        <v>73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5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">
        <f>MAX(-16, MIN(16, Games[[#This Row],[RestDiff]]*8))</f>
        <v>0</v>
      </c>
      <c r="N450" s="1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1528.9527626677957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1480.2297308203638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0.44940610693472199</v>
      </c>
      <c r="R450" s="1">
        <v>59</v>
      </c>
      <c r="S450" s="1">
        <v>67</v>
      </c>
      <c r="T450" s="1">
        <v>0</v>
      </c>
      <c r="U450" s="1">
        <f>Games[[#This Row],[PointsFor]]-Games[[#This Row],[PointsAgainst]]</f>
        <v>-8</v>
      </c>
      <c r="V450" s="1">
        <f>IF(Games[[#This Row],[MOV]]&gt;0,1,IF(Games[[#This Row],[MOV]]=0,0.5,0))</f>
        <v>0</v>
      </c>
      <c r="W450" s="4">
        <f>((ABS(Games[[#This Row],[MOV]])+5)^0.6)/(12+0.01*(ABS(Games[[#This Row],[PreGmRate]]-Games[[#This Row],[OppPreGmRate]])))*IF(Games[[#This Row],[OT]]=1,0.9,1)</f>
        <v>0.37316412856917619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0" s="9">
        <f>MAX(kmin, kmax - 0.15 * MIN(Games[[#This Row],[GamesPlayed]], 82))</f>
        <v>70.75</v>
      </c>
      <c r="Z450" s="4">
        <f>Games[[#This Row],[K]]*Games[[#This Row],[POMult]]</f>
        <v>77.825000000000003</v>
      </c>
      <c r="AA450" s="4">
        <f>(Games[[#This Row],[Keff]]*Games[[#This Row],[MOVMult]])*(Games[[#This Row],[Result]]-Games[[#This Row],[ExpectedWin%]])</f>
        <v>-13.051426693204107</v>
      </c>
      <c r="AB450" s="4">
        <f>Games[[#This Row],[PreGmRate]]+Games[[#This Row],[RatingChange]]</f>
        <v>1515.9013359745916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1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38255</v>
      </c>
      <c r="B451" s="2">
        <v>2004</v>
      </c>
      <c r="C451" s="2">
        <f>COUNTIFS(Games[Team],Games[[#This Row],[Team]],Games[Season],Games[[#This Row],[Season]],Games[Date],"&lt;=" &amp; Games[[#This Row],[Date]])</f>
        <v>35</v>
      </c>
      <c r="D451" s="2" t="s">
        <v>46</v>
      </c>
      <c r="E451" s="2">
        <v>1</v>
      </c>
      <c r="F451" s="1" t="s">
        <v>73</v>
      </c>
      <c r="G451" s="1" t="s">
        <v>86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5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">
        <f>MAX(-16, MIN(16, Games[[#This Row],[RestDiff]]*8))</f>
        <v>0</v>
      </c>
      <c r="N451" s="1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1480.2297308203638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1528.9527626677957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0.55059389306527806</v>
      </c>
      <c r="R451" s="1">
        <v>67</v>
      </c>
      <c r="S451" s="1">
        <v>59</v>
      </c>
      <c r="T451" s="1">
        <v>0</v>
      </c>
      <c r="U451" s="1">
        <f>Games[[#This Row],[PointsFor]]-Games[[#This Row],[PointsAgainst]]</f>
        <v>8</v>
      </c>
      <c r="V451" s="1">
        <f>IF(Games[[#This Row],[MOV]]&gt;0,1,IF(Games[[#This Row],[MOV]]=0,0.5,0))</f>
        <v>1</v>
      </c>
      <c r="W451" s="4">
        <f>((ABS(Games[[#This Row],[MOV]])+5)^0.6)/(12+0.01*(ABS(Games[[#This Row],[PreGmRate]]-Games[[#This Row],[OppPreGmRate]])))*IF(Games[[#This Row],[OT]]=1,0.9,1)</f>
        <v>0.37316412856917619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1" s="9">
        <f>MAX(kmin, kmax - 0.15 * MIN(Games[[#This Row],[GamesPlayed]], 82))</f>
        <v>70.75</v>
      </c>
      <c r="Z451" s="4">
        <f>Games[[#This Row],[K]]*Games[[#This Row],[POMult]]</f>
        <v>77.825000000000003</v>
      </c>
      <c r="AA451" s="4">
        <f>(Games[[#This Row],[Keff]]*Games[[#This Row],[MOVMult]])*(Games[[#This Row],[Result]]-Games[[#This Row],[ExpectedWin%]])</f>
        <v>13.051426693204105</v>
      </c>
      <c r="AB451" s="4">
        <f>Games[[#This Row],[PreGmRate]]+Games[[#This Row],[RatingChange]]</f>
        <v>1493.2811575135679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1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38256</v>
      </c>
      <c r="B452" s="2">
        <v>2004</v>
      </c>
      <c r="C452" s="2">
        <f>COUNTIFS(Games[Team],Games[[#This Row],[Team]],Games[Season],Games[[#This Row],[Season]],Games[Date],"&lt;=" &amp; Games[[#This Row],[Date]])</f>
        <v>36</v>
      </c>
      <c r="D452" s="2" t="s">
        <v>46</v>
      </c>
      <c r="E452" s="2">
        <v>1</v>
      </c>
      <c r="F452" s="1" t="s">
        <v>45</v>
      </c>
      <c r="G452" s="1" t="s">
        <v>70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">
        <f>MAX(-16, MIN(16, Games[[#This Row],[RestDiff]]*8))</f>
        <v>0</v>
      </c>
      <c r="N452" s="1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1593.2064383513866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1622.6669196663377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0.34228431362098177</v>
      </c>
      <c r="R452" s="1">
        <v>57</v>
      </c>
      <c r="S452" s="1">
        <v>71</v>
      </c>
      <c r="T452" s="1">
        <v>0</v>
      </c>
      <c r="U452" s="1">
        <f>Games[[#This Row],[PointsFor]]-Games[[#This Row],[PointsAgainst]]</f>
        <v>-14</v>
      </c>
      <c r="V452" s="1">
        <f>IF(Games[[#This Row],[MOV]]&gt;0,1,IF(Games[[#This Row],[MOV]]=0,0.5,0))</f>
        <v>0</v>
      </c>
      <c r="W452" s="4">
        <f>((ABS(Games[[#This Row],[MOV]])+5)^0.6)/(12+0.01*(ABS(Games[[#This Row],[PreGmRate]]-Games[[#This Row],[OppPreGmRate]])))*IF(Games[[#This Row],[OT]]=1,0.9,1)</f>
        <v>0.47592397895953908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2" s="9">
        <f>MAX(kmin, kmax - 0.15 * MIN(Games[[#This Row],[GamesPlayed]], 82))</f>
        <v>70.599999999999994</v>
      </c>
      <c r="Z452" s="4">
        <f>Games[[#This Row],[K]]*Games[[#This Row],[POMult]]</f>
        <v>77.66</v>
      </c>
      <c r="AA452" s="4">
        <f>(Games[[#This Row],[Keff]]*Games[[#This Row],[MOVMult]])*(Games[[#This Row],[Result]]-Games[[#This Row],[ExpectedWin%]])</f>
        <v>-12.65091592672559</v>
      </c>
      <c r="AB452" s="4">
        <f>Games[[#This Row],[PreGmRate]]+Games[[#This Row],[RatingChange]]</f>
        <v>1580.5555224246609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1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38256</v>
      </c>
      <c r="B453" s="2">
        <v>2004</v>
      </c>
      <c r="C453" s="2">
        <f>COUNTIFS(Games[Team],Games[[#This Row],[Team]],Games[Season],Games[[#This Row],[Season]],Games[Date],"&lt;=" &amp; Games[[#This Row],[Date]])</f>
        <v>36</v>
      </c>
      <c r="D453" s="2" t="s">
        <v>46</v>
      </c>
      <c r="E453" s="2">
        <v>1</v>
      </c>
      <c r="F453" s="1" t="s">
        <v>70</v>
      </c>
      <c r="G453" s="1" t="s">
        <v>45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">
        <f>MAX(-16, MIN(16, Games[[#This Row],[RestDiff]]*8))</f>
        <v>0</v>
      </c>
      <c r="N453" s="1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1622.6669196663377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1593.2064383513866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0.65771568637901823</v>
      </c>
      <c r="R453" s="1">
        <v>71</v>
      </c>
      <c r="S453" s="1">
        <v>57</v>
      </c>
      <c r="T453" s="1">
        <v>0</v>
      </c>
      <c r="U453" s="1">
        <f>Games[[#This Row],[PointsFor]]-Games[[#This Row],[PointsAgainst]]</f>
        <v>14</v>
      </c>
      <c r="V453" s="1">
        <f>IF(Games[[#This Row],[MOV]]&gt;0,1,IF(Games[[#This Row],[MOV]]=0,0.5,0))</f>
        <v>1</v>
      </c>
      <c r="W453" s="4">
        <f>((ABS(Games[[#This Row],[MOV]])+5)^0.6)/(12+0.01*(ABS(Games[[#This Row],[PreGmRate]]-Games[[#This Row],[OppPreGmRate]])))*IF(Games[[#This Row],[OT]]=1,0.9,1)</f>
        <v>0.47592397895953908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3" s="9">
        <f>MAX(kmin, kmax - 0.15 * MIN(Games[[#This Row],[GamesPlayed]], 82))</f>
        <v>70.599999999999994</v>
      </c>
      <c r="Z453" s="4">
        <f>Games[[#This Row],[K]]*Games[[#This Row],[POMult]]</f>
        <v>77.66</v>
      </c>
      <c r="AA453" s="4">
        <f>(Games[[#This Row],[Keff]]*Games[[#This Row],[MOVMult]])*(Games[[#This Row],[Result]]-Games[[#This Row],[ExpectedWin%]])</f>
        <v>12.65091592672559</v>
      </c>
      <c r="AB453" s="4">
        <f>Games[[#This Row],[PreGmRate]]+Games[[#This Row],[RatingChange]]</f>
        <v>1635.3178355930634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1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38256</v>
      </c>
      <c r="B454" s="2">
        <v>2004</v>
      </c>
      <c r="C454" s="2">
        <f>COUNTIFS(Games[Team],Games[[#This Row],[Team]],Games[Season],Games[[#This Row],[Season]],Games[Date],"&lt;=" &amp; Games[[#This Row],[Date]])</f>
        <v>36</v>
      </c>
      <c r="D454" s="2" t="s">
        <v>46</v>
      </c>
      <c r="E454" s="2">
        <v>1</v>
      </c>
      <c r="F454" s="1" t="s">
        <v>75</v>
      </c>
      <c r="G454" s="1" t="s">
        <v>66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1496.8474829252666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1508.0415460138663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0.36633294139073991</v>
      </c>
      <c r="R454" s="1">
        <v>76</v>
      </c>
      <c r="S454" s="1">
        <v>66</v>
      </c>
      <c r="T454" s="1">
        <v>0</v>
      </c>
      <c r="U454" s="1">
        <f>Games[[#This Row],[PointsFor]]-Games[[#This Row],[PointsAgainst]]</f>
        <v>10</v>
      </c>
      <c r="V454" s="1">
        <f>IF(Games[[#This Row],[MOV]]&gt;0,1,IF(Games[[#This Row],[MOV]]=0,0.5,0))</f>
        <v>1</v>
      </c>
      <c r="W454" s="4">
        <f>((ABS(Games[[#This Row],[MOV]])+5)^0.6)/(12+0.01*(ABS(Games[[#This Row],[PreGmRate]]-Games[[#This Row],[OppPreGmRate]])))*IF(Games[[#This Row],[OT]]=1,0.9,1)</f>
        <v>0.41921906214099242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4" s="9">
        <f>MAX(kmin, kmax - 0.15 * MIN(Games[[#This Row],[GamesPlayed]], 82))</f>
        <v>70.599999999999994</v>
      </c>
      <c r="Z454" s="4">
        <f>Games[[#This Row],[K]]*Games[[#This Row],[POMult]]</f>
        <v>77.66</v>
      </c>
      <c r="AA454" s="4">
        <f>(Games[[#This Row],[Keff]]*Games[[#This Row],[MOVMult]])*(Games[[#This Row],[Result]]-Games[[#This Row],[ExpectedWin%]])</f>
        <v>20.630014776138857</v>
      </c>
      <c r="AB454" s="4">
        <f>Games[[#This Row],[PreGmRate]]+Games[[#This Row],[RatingChange]]</f>
        <v>1517.4774977014054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0</v>
      </c>
      <c r="AE454" s="2">
        <f>IF(AND(Games[[#This Row],[Type]]="P",Games[[#This Row],[Round]]=1),IF(Games[[#This Row],[Result]]&gt;0.5,1,0),0)</f>
        <v>1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38256</v>
      </c>
      <c r="B455" s="2">
        <v>2004</v>
      </c>
      <c r="C455" s="2">
        <f>COUNTIFS(Games[Team],Games[[#This Row],[Team]],Games[Season],Games[[#This Row],[Season]],Games[Date],"&lt;=" &amp; Games[[#This Row],[Date]])</f>
        <v>36</v>
      </c>
      <c r="D455" s="2" t="s">
        <v>46</v>
      </c>
      <c r="E455" s="2">
        <v>1</v>
      </c>
      <c r="F455" s="1" t="s">
        <v>66</v>
      </c>
      <c r="G455" s="1" t="s">
        <v>75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1508.0415460138663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1496.8474829252666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0.63366705860926009</v>
      </c>
      <c r="R455" s="1">
        <v>66</v>
      </c>
      <c r="S455" s="1">
        <v>76</v>
      </c>
      <c r="T455" s="1">
        <v>0</v>
      </c>
      <c r="U455" s="1">
        <f>Games[[#This Row],[PointsFor]]-Games[[#This Row],[PointsAgainst]]</f>
        <v>-10</v>
      </c>
      <c r="V455" s="1">
        <f>IF(Games[[#This Row],[MOV]]&gt;0,1,IF(Games[[#This Row],[MOV]]=0,0.5,0))</f>
        <v>0</v>
      </c>
      <c r="W455" s="4">
        <f>((ABS(Games[[#This Row],[MOV]])+5)^0.6)/(12+0.01*(ABS(Games[[#This Row],[PreGmRate]]-Games[[#This Row],[OppPreGmRate]])))*IF(Games[[#This Row],[OT]]=1,0.9,1)</f>
        <v>0.41921906214099242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5" s="9">
        <f>MAX(kmin, kmax - 0.15 * MIN(Games[[#This Row],[GamesPlayed]], 82))</f>
        <v>70.599999999999994</v>
      </c>
      <c r="Z455" s="4">
        <f>Games[[#This Row],[K]]*Games[[#This Row],[POMult]]</f>
        <v>77.66</v>
      </c>
      <c r="AA455" s="4">
        <f>(Games[[#This Row],[Keff]]*Games[[#This Row],[MOVMult]])*(Games[[#This Row],[Result]]-Games[[#This Row],[ExpectedWin%]])</f>
        <v>-20.630014776138857</v>
      </c>
      <c r="AB455" s="4">
        <f>Games[[#This Row],[PreGmRate]]+Games[[#This Row],[RatingChange]]</f>
        <v>1487.4115312377276</v>
      </c>
      <c r="AC455" s="2">
        <f>IF(Games[[#This Row],[Type]]="R",IF(Games[[#This Row],[Result]]&gt;0.5,1,0),0)</f>
        <v>0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1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38257</v>
      </c>
      <c r="B456" s="2">
        <v>2004</v>
      </c>
      <c r="C456" s="2">
        <f>COUNTIFS(Games[Team],Games[[#This Row],[Team]],Games[Season],Games[[#This Row],[Season]],Games[Date],"&lt;=" &amp; Games[[#This Row],[Date]])</f>
        <v>36</v>
      </c>
      <c r="D456" s="2" t="s">
        <v>46</v>
      </c>
      <c r="E456" s="2">
        <v>1</v>
      </c>
      <c r="F456" s="1" t="s">
        <v>73</v>
      </c>
      <c r="G456" s="1" t="s">
        <v>86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">
        <f>MAX(-16, MIN(16, Games[[#This Row],[RestDiff]]*8))</f>
        <v>0</v>
      </c>
      <c r="N456" s="1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1493.2811575135679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1515.9013359745916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0.35120308912994741</v>
      </c>
      <c r="R456" s="1">
        <v>70</v>
      </c>
      <c r="S456" s="1">
        <v>80</v>
      </c>
      <c r="T456" s="1">
        <v>0</v>
      </c>
      <c r="U456" s="1">
        <f>Games[[#This Row],[PointsFor]]-Games[[#This Row],[PointsAgainst]]</f>
        <v>-10</v>
      </c>
      <c r="V456" s="1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0.41530120976563589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6" s="9">
        <f>MAX(kmin, kmax - 0.15 * MIN(Games[[#This Row],[GamesPlayed]], 82))</f>
        <v>70.599999999999994</v>
      </c>
      <c r="Z456" s="4">
        <f>Games[[#This Row],[K]]*Games[[#This Row],[POMult]]</f>
        <v>77.66</v>
      </c>
      <c r="AA456" s="4">
        <f>(Games[[#This Row],[Keff]]*Games[[#This Row],[MOVMult]])*(Games[[#This Row],[Result]]-Games[[#This Row],[ExpectedWin%]])</f>
        <v>-11.327104564501164</v>
      </c>
      <c r="AB456" s="4">
        <f>Games[[#This Row],[PreGmRate]]+Games[[#This Row],[RatingChange]]</f>
        <v>1481.9540529490666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1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38257</v>
      </c>
      <c r="B457" s="2">
        <v>2004</v>
      </c>
      <c r="C457" s="2">
        <f>COUNTIFS(Games[Team],Games[[#This Row],[Team]],Games[Season],Games[[#This Row],[Season]],Games[Date],"&lt;=" &amp; Games[[#This Row],[Date]])</f>
        <v>36</v>
      </c>
      <c r="D457" s="2" t="s">
        <v>46</v>
      </c>
      <c r="E457" s="2">
        <v>1</v>
      </c>
      <c r="F457" s="1" t="s">
        <v>86</v>
      </c>
      <c r="G457" s="1" t="s">
        <v>73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">
        <f>MAX(-16, MIN(16, Games[[#This Row],[RestDiff]]*8))</f>
        <v>0</v>
      </c>
      <c r="N457" s="1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1515.9013359745916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1493.2811575135679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0.64879691087005253</v>
      </c>
      <c r="R457" s="1">
        <v>80</v>
      </c>
      <c r="S457" s="1">
        <v>70</v>
      </c>
      <c r="T457" s="1">
        <v>0</v>
      </c>
      <c r="U457" s="1">
        <f>Games[[#This Row],[PointsFor]]-Games[[#This Row],[PointsAgainst]]</f>
        <v>10</v>
      </c>
      <c r="V457" s="1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0.41530120976563589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7" s="9">
        <f>MAX(kmin, kmax - 0.15 * MIN(Games[[#This Row],[GamesPlayed]], 82))</f>
        <v>70.599999999999994</v>
      </c>
      <c r="Z457" s="4">
        <f>Games[[#This Row],[K]]*Games[[#This Row],[POMult]]</f>
        <v>77.66</v>
      </c>
      <c r="AA457" s="4">
        <f>(Games[[#This Row],[Keff]]*Games[[#This Row],[MOVMult]])*(Games[[#This Row],[Result]]-Games[[#This Row],[ExpectedWin%]])</f>
        <v>11.327104564501166</v>
      </c>
      <c r="AB457" s="4">
        <f>Games[[#This Row],[PreGmRate]]+Games[[#This Row],[RatingChange]]</f>
        <v>1527.2284405390928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1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38257</v>
      </c>
      <c r="B458" s="2">
        <v>2004</v>
      </c>
      <c r="C458" s="2">
        <f>COUNTIFS(Games[Team],Games[[#This Row],[Team]],Games[Season],Games[[#This Row],[Season]],Games[Date],"&lt;=" &amp; Games[[#This Row],[Date]])</f>
        <v>36</v>
      </c>
      <c r="D458" s="2" t="s">
        <v>46</v>
      </c>
      <c r="E458" s="2">
        <v>1</v>
      </c>
      <c r="F458" s="1" t="s">
        <v>77</v>
      </c>
      <c r="G458" s="1" t="s">
        <v>81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">
        <f>MAX(-16, MIN(16, Games[[#This Row],[RestDiff]]*8))</f>
        <v>0</v>
      </c>
      <c r="N458" s="1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1485.7939711509016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1586.4267532461583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0.25676867954439464</v>
      </c>
      <c r="R458" s="1">
        <v>54</v>
      </c>
      <c r="S458" s="1">
        <v>64</v>
      </c>
      <c r="T458" s="1">
        <v>0</v>
      </c>
      <c r="U458" s="1">
        <f>Games[[#This Row],[PointsFor]]-Games[[#This Row],[PointsAgainst]]</f>
        <v>-10</v>
      </c>
      <c r="V458" s="1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0.39039123585734237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8" s="9">
        <f>MAX(kmin, kmax - 0.15 * MIN(Games[[#This Row],[GamesPlayed]], 82))</f>
        <v>70.599999999999994</v>
      </c>
      <c r="Z458" s="4">
        <f>Games[[#This Row],[K]]*Games[[#This Row],[POMult]]</f>
        <v>77.66</v>
      </c>
      <c r="AA458" s="4">
        <f>(Games[[#This Row],[Keff]]*Games[[#This Row],[MOVMult]])*(Games[[#This Row],[Result]]-Games[[#This Row],[ExpectedWin%]])</f>
        <v>-7.7846572043434312</v>
      </c>
      <c r="AB458" s="4">
        <f>Games[[#This Row],[PreGmRate]]+Games[[#This Row],[RatingChange]]</f>
        <v>1478.0093139465582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0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1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38257</v>
      </c>
      <c r="B459" s="2">
        <v>2004</v>
      </c>
      <c r="C459" s="2">
        <f>COUNTIFS(Games[Team],Games[[#This Row],[Team]],Games[Season],Games[[#This Row],[Season]],Games[Date],"&lt;=" &amp; Games[[#This Row],[Date]])</f>
        <v>36</v>
      </c>
      <c r="D459" s="2" t="s">
        <v>46</v>
      </c>
      <c r="E459" s="2">
        <v>1</v>
      </c>
      <c r="F459" s="1" t="s">
        <v>81</v>
      </c>
      <c r="G459" s="1" t="s">
        <v>77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">
        <f>MAX(-16, MIN(16, Games[[#This Row],[RestDiff]]*8))</f>
        <v>0</v>
      </c>
      <c r="N459" s="1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1586.4267532461583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1485.7939711509016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0.74323132045560536</v>
      </c>
      <c r="R459" s="1">
        <v>64</v>
      </c>
      <c r="S459" s="1">
        <v>54</v>
      </c>
      <c r="T459" s="1">
        <v>0</v>
      </c>
      <c r="U459" s="1">
        <f>Games[[#This Row],[PointsFor]]-Games[[#This Row],[PointsAgainst]]</f>
        <v>10</v>
      </c>
      <c r="V459" s="1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0.39039123585734237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9" s="9">
        <f>MAX(kmin, kmax - 0.15 * MIN(Games[[#This Row],[GamesPlayed]], 82))</f>
        <v>70.599999999999994</v>
      </c>
      <c r="Z459" s="4">
        <f>Games[[#This Row],[K]]*Games[[#This Row],[POMult]]</f>
        <v>77.66</v>
      </c>
      <c r="AA459" s="4">
        <f>(Games[[#This Row],[Keff]]*Games[[#This Row],[MOVMult]])*(Games[[#This Row],[Result]]-Games[[#This Row],[ExpectedWin%]])</f>
        <v>7.7846572043434312</v>
      </c>
      <c r="AB459" s="4">
        <f>Games[[#This Row],[PreGmRate]]+Games[[#This Row],[RatingChange]]</f>
        <v>1594.2114104505017</v>
      </c>
      <c r="AC459" s="2">
        <f>IF(Games[[#This Row],[Type]]="R",IF(Games[[#This Row],[Result]]&gt;0.5,1,0),0)</f>
        <v>0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1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38258</v>
      </c>
      <c r="B460" s="2">
        <v>2004</v>
      </c>
      <c r="C460" s="2">
        <f>COUNTIFS(Games[Team],Games[[#This Row],[Team]],Games[Season],Games[[#This Row],[Season]],Games[Date],"&lt;=" &amp; Games[[#This Row],[Date]])</f>
        <v>37</v>
      </c>
      <c r="D460" s="2" t="s">
        <v>46</v>
      </c>
      <c r="E460" s="2">
        <v>1</v>
      </c>
      <c r="F460" s="1" t="s">
        <v>45</v>
      </c>
      <c r="G460" s="1" t="s">
        <v>70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">
        <f>MAX(-16, MIN(16, Games[[#This Row],[RestDiff]]*8))</f>
        <v>0</v>
      </c>
      <c r="N460" s="1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1580.5555224246609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1635.3178355930634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0.31028653110026849</v>
      </c>
      <c r="R460" s="1">
        <v>73</v>
      </c>
      <c r="S460" s="1">
        <v>58</v>
      </c>
      <c r="T460" s="1">
        <v>0</v>
      </c>
      <c r="U460" s="1">
        <f>Games[[#This Row],[PointsFor]]-Games[[#This Row],[PointsAgainst]]</f>
        <v>15</v>
      </c>
      <c r="V460" s="1">
        <f>IF(Games[[#This Row],[MOV]]&gt;0,1,IF(Games[[#This Row],[MOV]]=0,0.5,0))</f>
        <v>1</v>
      </c>
      <c r="W460" s="4">
        <f>((ABS(Games[[#This Row],[MOV]])+5)^0.6)/(12+0.01*(ABS(Games[[#This Row],[PreGmRate]]-Games[[#This Row],[OppPreGmRate]])))*IF(Games[[#This Row],[OT]]=1,0.9,1)</f>
        <v>0.48090194240120687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0" s="9">
        <f>MAX(kmin, kmax - 0.15 * MIN(Games[[#This Row],[GamesPlayed]], 82))</f>
        <v>70.45</v>
      </c>
      <c r="Z460" s="4">
        <f>Games[[#This Row],[K]]*Games[[#This Row],[POMult]]</f>
        <v>77.495000000000005</v>
      </c>
      <c r="AA460" s="4">
        <f>(Games[[#This Row],[Keff]]*Games[[#This Row],[MOVMult]])*(Games[[#This Row],[Result]]-Games[[#This Row],[ExpectedWin%]])</f>
        <v>25.703893961562564</v>
      </c>
      <c r="AB460" s="4">
        <f>Games[[#This Row],[PreGmRate]]+Games[[#This Row],[RatingChange]]</f>
        <v>1606.2594163862234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0</v>
      </c>
      <c r="AE460" s="2">
        <f>IF(AND(Games[[#This Row],[Type]]="P",Games[[#This Row],[Round]]=1),IF(Games[[#This Row],[Result]]&gt;0.5,1,0),0)</f>
        <v>1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38258</v>
      </c>
      <c r="B461" s="2">
        <v>2004</v>
      </c>
      <c r="C461" s="2">
        <f>COUNTIFS(Games[Team],Games[[#This Row],[Team]],Games[Season],Games[[#This Row],[Season]],Games[Date],"&lt;=" &amp; Games[[#This Row],[Date]])</f>
        <v>37</v>
      </c>
      <c r="D461" s="2" t="s">
        <v>46</v>
      </c>
      <c r="E461" s="2">
        <v>1</v>
      </c>
      <c r="F461" s="1" t="s">
        <v>70</v>
      </c>
      <c r="G461" s="1" t="s">
        <v>45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">
        <f>MAX(-16, MIN(16, Games[[#This Row],[RestDiff]]*8))</f>
        <v>0</v>
      </c>
      <c r="N461" s="1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1635.3178355930634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1580.5555224246609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0.68971346889973151</v>
      </c>
      <c r="R461" s="1">
        <v>58</v>
      </c>
      <c r="S461" s="1">
        <v>73</v>
      </c>
      <c r="T461" s="1">
        <v>0</v>
      </c>
      <c r="U461" s="1">
        <f>Games[[#This Row],[PointsFor]]-Games[[#This Row],[PointsAgainst]]</f>
        <v>-15</v>
      </c>
      <c r="V461" s="1">
        <f>IF(Games[[#This Row],[MOV]]&gt;0,1,IF(Games[[#This Row],[MOV]]=0,0.5,0))</f>
        <v>0</v>
      </c>
      <c r="W461" s="4">
        <f>((ABS(Games[[#This Row],[MOV]])+5)^0.6)/(12+0.01*(ABS(Games[[#This Row],[PreGmRate]]-Games[[#This Row],[OppPreGmRate]])))*IF(Games[[#This Row],[OT]]=1,0.9,1)</f>
        <v>0.48090194240120687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1" s="9">
        <f>MAX(kmin, kmax - 0.15 * MIN(Games[[#This Row],[GamesPlayed]], 82))</f>
        <v>70.45</v>
      </c>
      <c r="Z461" s="4">
        <f>Games[[#This Row],[K]]*Games[[#This Row],[POMult]]</f>
        <v>77.495000000000005</v>
      </c>
      <c r="AA461" s="4">
        <f>(Games[[#This Row],[Keff]]*Games[[#This Row],[MOVMult]])*(Games[[#This Row],[Result]]-Games[[#This Row],[ExpectedWin%]])</f>
        <v>-25.703893961562564</v>
      </c>
      <c r="AB461" s="4">
        <f>Games[[#This Row],[PreGmRate]]+Games[[#This Row],[RatingChange]]</f>
        <v>1609.6139416315009</v>
      </c>
      <c r="AC461" s="2">
        <f>IF(Games[[#This Row],[Type]]="R",IF(Games[[#This Row],[Result]]&gt;0.5,1,0),0)</f>
        <v>0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1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38258</v>
      </c>
      <c r="B462" s="2">
        <v>2004</v>
      </c>
      <c r="C462" s="2">
        <f>COUNTIFS(Games[Team],Games[[#This Row],[Team]],Games[Season],Games[[#This Row],[Season]],Games[Date],"&lt;=" &amp; Games[[#This Row],[Date]])</f>
        <v>37</v>
      </c>
      <c r="D462" s="2" t="s">
        <v>46</v>
      </c>
      <c r="E462" s="2">
        <v>1</v>
      </c>
      <c r="F462" s="1" t="s">
        <v>75</v>
      </c>
      <c r="G462" s="1" t="s">
        <v>66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2" s="2">
        <f>Games[[#This Row],[DaysOff]]-Games[[#This Row],[OppDaysOff]]</f>
        <v>0</v>
      </c>
      <c r="L462" s="2">
        <f>Games[[#This Row],[OppDaysOff]]-Games[[#This Row],[DaysOff]]</f>
        <v>0</v>
      </c>
      <c r="M462" s="1">
        <f>MAX(-16, MIN(16, Games[[#This Row],[RestDiff]]*8))</f>
        <v>0</v>
      </c>
      <c r="N462" s="1">
        <f>MAX(-16, MIN(16, Games[[#This Row],[OppRestDiff]]*8))</f>
        <v>0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1517.4774977014054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1487.4115312377276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0.42300020340814515</v>
      </c>
      <c r="R462" s="1">
        <v>64</v>
      </c>
      <c r="S462" s="1">
        <v>66</v>
      </c>
      <c r="T462" s="1">
        <v>0</v>
      </c>
      <c r="U462" s="1">
        <f>Games[[#This Row],[PointsFor]]-Games[[#This Row],[PointsAgainst]]</f>
        <v>-2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0.2612945921068166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2" s="9">
        <f>MAX(kmin, kmax - 0.15 * MIN(Games[[#This Row],[GamesPlayed]], 82))</f>
        <v>70.45</v>
      </c>
      <c r="Z462" s="4">
        <f>Games[[#This Row],[K]]*Games[[#This Row],[POMult]]</f>
        <v>77.495000000000005</v>
      </c>
      <c r="AA462" s="4">
        <f>(Games[[#This Row],[Keff]]*Games[[#This Row],[MOVMult]])*(Games[[#This Row],[Result]]-Games[[#This Row],[ExpectedWin%]])</f>
        <v>-8.565341446495907</v>
      </c>
      <c r="AB462" s="4">
        <f>Games[[#This Row],[PreGmRate]]+Games[[#This Row],[RatingChange]]</f>
        <v>1508.9121562549094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0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1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38258</v>
      </c>
      <c r="B463" s="2">
        <v>2004</v>
      </c>
      <c r="C463" s="2">
        <f>COUNTIFS(Games[Team],Games[[#This Row],[Team]],Games[Season],Games[[#This Row],[Season]],Games[Date],"&lt;=" &amp; Games[[#This Row],[Date]])</f>
        <v>37</v>
      </c>
      <c r="D463" s="2" t="s">
        <v>46</v>
      </c>
      <c r="E463" s="2">
        <v>1</v>
      </c>
      <c r="F463" s="1" t="s">
        <v>66</v>
      </c>
      <c r="G463" s="1" t="s">
        <v>75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0</v>
      </c>
      <c r="L463" s="2">
        <f>Games[[#This Row],[OppDaysOff]]-Games[[#This Row],[DaysOff]]</f>
        <v>0</v>
      </c>
      <c r="M463" s="1">
        <f>MAX(-16, MIN(16, Games[[#This Row],[RestDiff]]*8))</f>
        <v>0</v>
      </c>
      <c r="N463" s="1">
        <f>MAX(-16, MIN(16, Games[[#This Row],[OppRestDiff]]*8))</f>
        <v>0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1487.4115312377276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1517.4774977014054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0.57699979659185496</v>
      </c>
      <c r="R463" s="1">
        <v>66</v>
      </c>
      <c r="S463" s="1">
        <v>64</v>
      </c>
      <c r="T463" s="1">
        <v>0</v>
      </c>
      <c r="U463" s="1">
        <f>Games[[#This Row],[PointsFor]]-Games[[#This Row],[PointsAgainst]]</f>
        <v>2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0.2612945921068166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3" s="9">
        <f>MAX(kmin, kmax - 0.15 * MIN(Games[[#This Row],[GamesPlayed]], 82))</f>
        <v>70.45</v>
      </c>
      <c r="Z463" s="4">
        <f>Games[[#This Row],[K]]*Games[[#This Row],[POMult]]</f>
        <v>77.495000000000005</v>
      </c>
      <c r="AA463" s="4">
        <f>(Games[[#This Row],[Keff]]*Games[[#This Row],[MOVMult]])*(Games[[#This Row],[Result]]-Games[[#This Row],[ExpectedWin%]])</f>
        <v>8.5653414464959035</v>
      </c>
      <c r="AB463" s="4">
        <f>Games[[#This Row],[PreGmRate]]+Games[[#This Row],[RatingChange]]</f>
        <v>1495.9768726842235</v>
      </c>
      <c r="AC463" s="2">
        <f>IF(Games[[#This Row],[Type]]="R",IF(Games[[#This Row],[Result]]&gt;0.5,1,0),0)</f>
        <v>0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1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38259</v>
      </c>
      <c r="B464" s="2">
        <v>2004</v>
      </c>
      <c r="C464" s="2">
        <f>COUNTIFS(Games[Team],Games[[#This Row],[Team]],Games[Season],Games[[#This Row],[Season]],Games[Date],"&lt;=" &amp; Games[[#This Row],[Date]])</f>
        <v>37</v>
      </c>
      <c r="D464" s="2" t="s">
        <v>46</v>
      </c>
      <c r="E464" s="2">
        <v>1</v>
      </c>
      <c r="F464" s="1" t="s">
        <v>73</v>
      </c>
      <c r="G464" s="1" t="s">
        <v>86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4" s="2">
        <f>Games[[#This Row],[DaysOff]]-Games[[#This Row],[OppDaysOff]]</f>
        <v>0</v>
      </c>
      <c r="L464" s="2">
        <f>Games[[#This Row],[OppDaysOff]]-Games[[#This Row],[DaysOff]]</f>
        <v>0</v>
      </c>
      <c r="M464" s="1">
        <f>MAX(-16, MIN(16, Games[[#This Row],[RestDiff]]*8))</f>
        <v>0</v>
      </c>
      <c r="N464" s="1">
        <f>MAX(-16, MIN(16, Games[[#This Row],[OppRestDiff]]*8))</f>
        <v>0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1481.9540529490666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1527.2284405390928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0.32209443941218835</v>
      </c>
      <c r="R464" s="1">
        <v>56</v>
      </c>
      <c r="S464" s="1">
        <v>76</v>
      </c>
      <c r="T464" s="1">
        <v>0</v>
      </c>
      <c r="U464" s="1">
        <f>Games[[#This Row],[PointsFor]]-Games[[#This Row],[PointsAgainst]]</f>
        <v>-20</v>
      </c>
      <c r="V464" s="1">
        <f>IF(Games[[#This Row],[MOV]]&gt;0,1,IF(Games[[#This Row],[MOV]]=0,0.5,0))</f>
        <v>0</v>
      </c>
      <c r="W464" s="4">
        <f>((ABS(Games[[#This Row],[MOV]])+5)^0.6)/(12+0.01*(ABS(Games[[#This Row],[PreGmRate]]-Games[[#This Row],[OppPreGmRate]])))*IF(Games[[#This Row],[OT]]=1,0.9,1)</f>
        <v>0.55398620384837394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4" s="9">
        <f>MAX(kmin, kmax - 0.15 * MIN(Games[[#This Row],[GamesPlayed]], 82))</f>
        <v>70.45</v>
      </c>
      <c r="Z464" s="4">
        <f>Games[[#This Row],[K]]*Games[[#This Row],[POMult]]</f>
        <v>77.495000000000005</v>
      </c>
      <c r="AA464" s="4">
        <f>(Games[[#This Row],[Keff]]*Games[[#This Row],[MOVMult]])*(Games[[#This Row],[Result]]-Games[[#This Row],[ExpectedWin%]])</f>
        <v>-13.827888192844842</v>
      </c>
      <c r="AB464" s="4">
        <f>Games[[#This Row],[PreGmRate]]+Games[[#This Row],[RatingChange]]</f>
        <v>1468.1261647562219</v>
      </c>
      <c r="AC464" s="2">
        <f>IF(Games[[#This Row],[Type]]="R",IF(Games[[#This Row],[Result]]&gt;0.5,1,0),0)</f>
        <v>0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1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38259</v>
      </c>
      <c r="B465" s="2">
        <v>2004</v>
      </c>
      <c r="C465" s="2">
        <f>COUNTIFS(Games[Team],Games[[#This Row],[Team]],Games[Season],Games[[#This Row],[Season]],Games[Date],"&lt;=" &amp; Games[[#This Row],[Date]])</f>
        <v>37</v>
      </c>
      <c r="D465" s="2" t="s">
        <v>46</v>
      </c>
      <c r="E465" s="2">
        <v>1</v>
      </c>
      <c r="F465" s="1" t="s">
        <v>86</v>
      </c>
      <c r="G465" s="1" t="s">
        <v>73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5" s="2">
        <f>Games[[#This Row],[DaysOff]]-Games[[#This Row],[OppDaysOff]]</f>
        <v>0</v>
      </c>
      <c r="L465" s="2">
        <f>Games[[#This Row],[OppDaysOff]]-Games[[#This Row],[DaysOff]]</f>
        <v>0</v>
      </c>
      <c r="M465" s="1">
        <f>MAX(-16, MIN(16, Games[[#This Row],[RestDiff]]*8))</f>
        <v>0</v>
      </c>
      <c r="N465" s="1">
        <f>MAX(-16, MIN(16, Games[[#This Row],[OppRestDiff]]*8))</f>
        <v>0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1527.2284405390928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1481.9540529490666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0.67790556058781171</v>
      </c>
      <c r="R465" s="1">
        <v>76</v>
      </c>
      <c r="S465" s="1">
        <v>56</v>
      </c>
      <c r="T465" s="1">
        <v>0</v>
      </c>
      <c r="U465" s="1">
        <f>Games[[#This Row],[PointsFor]]-Games[[#This Row],[PointsAgainst]]</f>
        <v>20</v>
      </c>
      <c r="V465" s="1">
        <f>IF(Games[[#This Row],[MOV]]&gt;0,1,IF(Games[[#This Row],[MOV]]=0,0.5,0))</f>
        <v>1</v>
      </c>
      <c r="W465" s="4">
        <f>((ABS(Games[[#This Row],[MOV]])+5)^0.6)/(12+0.01*(ABS(Games[[#This Row],[PreGmRate]]-Games[[#This Row],[OppPreGmRate]])))*IF(Games[[#This Row],[OT]]=1,0.9,1)</f>
        <v>0.55398620384837394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5" s="9">
        <f>MAX(kmin, kmax - 0.15 * MIN(Games[[#This Row],[GamesPlayed]], 82))</f>
        <v>70.45</v>
      </c>
      <c r="Z465" s="4">
        <f>Games[[#This Row],[K]]*Games[[#This Row],[POMult]]</f>
        <v>77.495000000000005</v>
      </c>
      <c r="AA465" s="4">
        <f>(Games[[#This Row],[Keff]]*Games[[#This Row],[MOVMult]])*(Games[[#This Row],[Result]]-Games[[#This Row],[ExpectedWin%]])</f>
        <v>13.827888192844838</v>
      </c>
      <c r="AB465" s="4">
        <f>Games[[#This Row],[PreGmRate]]+Games[[#This Row],[RatingChange]]</f>
        <v>1541.0563287319376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0</v>
      </c>
      <c r="AE465" s="2">
        <f>IF(AND(Games[[#This Row],[Type]]="P",Games[[#This Row],[Round]]=1),IF(Games[[#This Row],[Result]]&gt;0.5,1,0),0)</f>
        <v>1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38261</v>
      </c>
      <c r="B466" s="2">
        <v>2004</v>
      </c>
      <c r="C466" s="2">
        <f>COUNTIFS(Games[Team],Games[[#This Row],[Team]],Games[Season],Games[[#This Row],[Season]],Games[Date],"&lt;=" &amp; Games[[#This Row],[Date]])</f>
        <v>38</v>
      </c>
      <c r="D466" s="2" t="s">
        <v>46</v>
      </c>
      <c r="E466" s="2">
        <v>2</v>
      </c>
      <c r="F466" s="1" t="s">
        <v>86</v>
      </c>
      <c r="G466" s="1" t="s">
        <v>66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6" s="2">
        <f>Games[[#This Row],[DaysOff]]-Games[[#This Row],[OppDaysOff]]</f>
        <v>-1</v>
      </c>
      <c r="L466" s="2">
        <f>Games[[#This Row],[OppDaysOff]]-Games[[#This Row],[DaysOff]]</f>
        <v>1</v>
      </c>
      <c r="M466" s="1">
        <f>MAX(-16, MIN(16, Games[[#This Row],[RestDiff]]*8))</f>
        <v>-8</v>
      </c>
      <c r="N466" s="1">
        <f>MAX(-16, MIN(16, Games[[#This Row],[OppRestDiff]]*8))</f>
        <v>8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1541.0563287319376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1495.9768726842235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0.42161477980976947</v>
      </c>
      <c r="R466" s="1">
        <v>61</v>
      </c>
      <c r="S466" s="1">
        <v>51</v>
      </c>
      <c r="T466" s="1">
        <v>0</v>
      </c>
      <c r="U466" s="1">
        <f>Games[[#This Row],[PointsFor]]-Games[[#This Row],[PointsAgainst]]</f>
        <v>10</v>
      </c>
      <c r="V466" s="1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0.40780982830647755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6" s="9">
        <f>MAX(kmin, kmax - 0.15 * MIN(Games[[#This Row],[GamesPlayed]], 82))</f>
        <v>70.3</v>
      </c>
      <c r="Z466" s="4">
        <f>Games[[#This Row],[K]]*Games[[#This Row],[POMult]]</f>
        <v>84.36</v>
      </c>
      <c r="AA466" s="4">
        <f>(Games[[#This Row],[Keff]]*Games[[#This Row],[MOVMult]])*(Games[[#This Row],[Result]]-Games[[#This Row],[ExpectedWin%]])</f>
        <v>19.898092520468381</v>
      </c>
      <c r="AB466" s="4">
        <f>Games[[#This Row],[PreGmRate]]+Games[[#This Row],[RatingChange]]</f>
        <v>1560.9544212524061</v>
      </c>
      <c r="AC466" s="2">
        <f>IF(Games[[#This Row],[Type]]="R",IF(Games[[#This Row],[Result]]&gt;0.5,1,0),0)</f>
        <v>0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1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38261</v>
      </c>
      <c r="B467" s="2">
        <v>2004</v>
      </c>
      <c r="C467" s="2">
        <f>COUNTIFS(Games[Team],Games[[#This Row],[Team]],Games[Season],Games[[#This Row],[Season]],Games[Date],"&lt;=" &amp; Games[[#This Row],[Date]])</f>
        <v>38</v>
      </c>
      <c r="D467" s="2" t="s">
        <v>46</v>
      </c>
      <c r="E467" s="2">
        <v>2</v>
      </c>
      <c r="F467" s="1" t="s">
        <v>66</v>
      </c>
      <c r="G467" s="1" t="s">
        <v>86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1</v>
      </c>
      <c r="L467" s="2">
        <f>Games[[#This Row],[OppDaysOff]]-Games[[#This Row],[DaysOff]]</f>
        <v>-1</v>
      </c>
      <c r="M467" s="1">
        <f>MAX(-16, MIN(16, Games[[#This Row],[RestDiff]]*8))</f>
        <v>8</v>
      </c>
      <c r="N467" s="1">
        <f>MAX(-16, MIN(16, Games[[#This Row],[OppRestDiff]]*8))</f>
        <v>-8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1495.9768726842235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1541.0563287319376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0.57838522019023053</v>
      </c>
      <c r="R467" s="1">
        <v>51</v>
      </c>
      <c r="S467" s="1">
        <v>61</v>
      </c>
      <c r="T467" s="1">
        <v>0</v>
      </c>
      <c r="U467" s="1">
        <f>Games[[#This Row],[PointsFor]]-Games[[#This Row],[PointsAgainst]]</f>
        <v>-10</v>
      </c>
      <c r="V467" s="1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0.40780982830647755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7" s="9">
        <f>MAX(kmin, kmax - 0.15 * MIN(Games[[#This Row],[GamesPlayed]], 82))</f>
        <v>70.3</v>
      </c>
      <c r="Z467" s="4">
        <f>Games[[#This Row],[K]]*Games[[#This Row],[POMult]]</f>
        <v>84.36</v>
      </c>
      <c r="AA467" s="4">
        <f>(Games[[#This Row],[Keff]]*Games[[#This Row],[MOVMult]])*(Games[[#This Row],[Result]]-Games[[#This Row],[ExpectedWin%]])</f>
        <v>-19.898092520468381</v>
      </c>
      <c r="AB467" s="4">
        <f>Games[[#This Row],[PreGmRate]]+Games[[#This Row],[RatingChange]]</f>
        <v>1476.078780163755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0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1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38261</v>
      </c>
      <c r="B468" s="2">
        <v>2004</v>
      </c>
      <c r="C468" s="2">
        <f>COUNTIFS(Games[Team],Games[[#This Row],[Team]],Games[Season],Games[[#This Row],[Season]],Games[Date],"&lt;=" &amp; Games[[#This Row],[Date]])</f>
        <v>37</v>
      </c>
      <c r="D468" s="2" t="s">
        <v>46</v>
      </c>
      <c r="E468" s="2">
        <v>2</v>
      </c>
      <c r="F468" s="1" t="s">
        <v>81</v>
      </c>
      <c r="G468" s="1" t="s">
        <v>45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8" s="2">
        <f>Games[[#This Row],[DaysOff]]-Games[[#This Row],[OppDaysOff]]</f>
        <v>1</v>
      </c>
      <c r="L468" s="2">
        <f>Games[[#This Row],[OppDaysOff]]-Games[[#This Row],[DaysOff]]</f>
        <v>-1</v>
      </c>
      <c r="M468" s="1">
        <f>MAX(-16, MIN(16, Games[[#This Row],[RestDiff]]*8))</f>
        <v>8</v>
      </c>
      <c r="N468" s="1">
        <f>MAX(-16, MIN(16, Games[[#This Row],[OppRestDiff]]*8))</f>
        <v>-8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1594.2114104505017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1606.2594163862234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0.38679763299310127</v>
      </c>
      <c r="R468" s="1">
        <v>72</v>
      </c>
      <c r="S468" s="1">
        <v>74</v>
      </c>
      <c r="T468" s="1">
        <v>1</v>
      </c>
      <c r="U468" s="1">
        <f>Games[[#This Row],[PointsFor]]-Games[[#This Row],[PointsAgainst]]</f>
        <v>-2</v>
      </c>
      <c r="V468" s="1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0.23866103079896012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8" s="9">
        <f>MAX(kmin, kmax - 0.15 * MIN(Games[[#This Row],[GamesPlayed]], 82))</f>
        <v>70.45</v>
      </c>
      <c r="Z468" s="4">
        <f>Games[[#This Row],[K]]*Games[[#This Row],[POMult]]</f>
        <v>84.54</v>
      </c>
      <c r="AA468" s="4">
        <f>(Games[[#This Row],[Keff]]*Games[[#This Row],[MOVMult]])*(Games[[#This Row],[Result]]-Games[[#This Row],[ExpectedWin%]])</f>
        <v>-7.8041851330338341</v>
      </c>
      <c r="AB468" s="4">
        <f>Games[[#This Row],[PreGmRate]]+Games[[#This Row],[RatingChange]]</f>
        <v>1586.4072253174679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1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38261</v>
      </c>
      <c r="B469" s="2">
        <v>2004</v>
      </c>
      <c r="C469" s="2">
        <f>COUNTIFS(Games[Team],Games[[#This Row],[Team]],Games[Season],Games[[#This Row],[Season]],Games[Date],"&lt;=" &amp; Games[[#This Row],[Date]])</f>
        <v>38</v>
      </c>
      <c r="D469" s="2" t="s">
        <v>46</v>
      </c>
      <c r="E469" s="2">
        <v>2</v>
      </c>
      <c r="F469" s="1" t="s">
        <v>45</v>
      </c>
      <c r="G469" s="1" t="s">
        <v>81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9" s="2">
        <f>Games[[#This Row],[DaysOff]]-Games[[#This Row],[OppDaysOff]]</f>
        <v>-1</v>
      </c>
      <c r="L469" s="2">
        <f>Games[[#This Row],[OppDaysOff]]-Games[[#This Row],[DaysOff]]</f>
        <v>1</v>
      </c>
      <c r="M469" s="1">
        <f>MAX(-16, MIN(16, Games[[#This Row],[RestDiff]]*8))</f>
        <v>-8</v>
      </c>
      <c r="N469" s="1">
        <f>MAX(-16, MIN(16, Games[[#This Row],[OppRestDiff]]*8))</f>
        <v>8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1606.2594163862234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1594.2114104505017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0.61320236700689867</v>
      </c>
      <c r="R469" s="1">
        <v>74</v>
      </c>
      <c r="S469" s="1">
        <v>72</v>
      </c>
      <c r="T469" s="1">
        <v>1</v>
      </c>
      <c r="U469" s="1">
        <f>Games[[#This Row],[PointsFor]]-Games[[#This Row],[PointsAgainst]]</f>
        <v>2</v>
      </c>
      <c r="V469" s="1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0.23866103079896012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9" s="9">
        <f>MAX(kmin, kmax - 0.15 * MIN(Games[[#This Row],[GamesPlayed]], 82))</f>
        <v>70.3</v>
      </c>
      <c r="Z469" s="4">
        <f>Games[[#This Row],[K]]*Games[[#This Row],[POMult]]</f>
        <v>84.36</v>
      </c>
      <c r="AA469" s="4">
        <f>(Games[[#This Row],[Keff]]*Games[[#This Row],[MOVMult]])*(Games[[#This Row],[Result]]-Games[[#This Row],[ExpectedWin%]])</f>
        <v>7.7875686991097028</v>
      </c>
      <c r="AB469" s="4">
        <f>Games[[#This Row],[PreGmRate]]+Games[[#This Row],[RatingChange]]</f>
        <v>1614.0469850853331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1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38263</v>
      </c>
      <c r="B470" s="2">
        <v>2004</v>
      </c>
      <c r="C470" s="2">
        <f>COUNTIFS(Games[Team],Games[[#This Row],[Team]],Games[Season],Games[[#This Row],[Season]],Games[Date],"&lt;=" &amp; Games[[#This Row],[Date]])</f>
        <v>39</v>
      </c>
      <c r="D470" s="2" t="s">
        <v>46</v>
      </c>
      <c r="E470" s="2">
        <v>2</v>
      </c>
      <c r="F470" s="1" t="s">
        <v>66</v>
      </c>
      <c r="G470" s="1" t="s">
        <v>86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0</v>
      </c>
      <c r="L470" s="2">
        <f>Games[[#This Row],[OppDaysOff]]-Games[[#This Row],[DaysOff]]</f>
        <v>0</v>
      </c>
      <c r="M470" s="1">
        <f>MAX(-16, MIN(16, Games[[#This Row],[RestDiff]]*8))</f>
        <v>0</v>
      </c>
      <c r="N470" s="1">
        <f>MAX(-16, MIN(16, Games[[#This Row],[OppRestDiff]]*8))</f>
        <v>0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1476.078780163755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1560.9544212524061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0.27445688160878612</v>
      </c>
      <c r="R470" s="1">
        <v>57</v>
      </c>
      <c r="S470" s="1">
        <v>60</v>
      </c>
      <c r="T470" s="1">
        <v>0</v>
      </c>
      <c r="U470" s="1">
        <f>Games[[#This Row],[PointsFor]]-Games[[#This Row],[PointsAgainst]]</f>
        <v>-3</v>
      </c>
      <c r="V470" s="1">
        <f>IF(Games[[#This Row],[MOV]]&gt;0,1,IF(Games[[#This Row],[MOV]]=0,0.5,0))</f>
        <v>0</v>
      </c>
      <c r="W470" s="4">
        <f>((ABS(Games[[#This Row],[MOV]])+5)^0.6)/(12+0.01*(ABS(Games[[#This Row],[PreGmRate]]-Games[[#This Row],[OppPreGmRate]])))*IF(Games[[#This Row],[OT]]=1,0.9,1)</f>
        <v>0.27101473028425471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0" s="9">
        <f>MAX(kmin, kmax - 0.15 * MIN(Games[[#This Row],[GamesPlayed]], 82))</f>
        <v>70.150000000000006</v>
      </c>
      <c r="Z470" s="4">
        <f>Games[[#This Row],[K]]*Games[[#This Row],[POMult]]</f>
        <v>84.18</v>
      </c>
      <c r="AA470" s="4">
        <f>(Games[[#This Row],[Keff]]*Games[[#This Row],[MOVMult]])*(Games[[#This Row],[Result]]-Games[[#This Row],[ExpectedWin%]])</f>
        <v>-6.2614647848783713</v>
      </c>
      <c r="AB470" s="4">
        <f>Games[[#This Row],[PreGmRate]]+Games[[#This Row],[RatingChange]]</f>
        <v>1469.8173153788766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1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38263</v>
      </c>
      <c r="B471" s="2">
        <v>2004</v>
      </c>
      <c r="C471" s="2">
        <f>COUNTIFS(Games[Team],Games[[#This Row],[Team]],Games[Season],Games[[#This Row],[Season]],Games[Date],"&lt;=" &amp; Games[[#This Row],[Date]])</f>
        <v>39</v>
      </c>
      <c r="D471" s="2" t="s">
        <v>46</v>
      </c>
      <c r="E471" s="2">
        <v>2</v>
      </c>
      <c r="F471" s="1" t="s">
        <v>86</v>
      </c>
      <c r="G471" s="1" t="s">
        <v>66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0</v>
      </c>
      <c r="L471" s="2">
        <f>Games[[#This Row],[OppDaysOff]]-Games[[#This Row],[DaysOff]]</f>
        <v>0</v>
      </c>
      <c r="M471" s="1">
        <f>MAX(-16, MIN(16, Games[[#This Row],[RestDiff]]*8))</f>
        <v>0</v>
      </c>
      <c r="N471" s="1">
        <f>MAX(-16, MIN(16, Games[[#This Row],[OppRestDiff]]*8))</f>
        <v>0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1560.9544212524061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1476.078780163755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0.72554311839121399</v>
      </c>
      <c r="R471" s="1">
        <v>60</v>
      </c>
      <c r="S471" s="1">
        <v>57</v>
      </c>
      <c r="T471" s="1">
        <v>0</v>
      </c>
      <c r="U471" s="1">
        <f>Games[[#This Row],[PointsFor]]-Games[[#This Row],[PointsAgainst]]</f>
        <v>3</v>
      </c>
      <c r="V471" s="1">
        <f>IF(Games[[#This Row],[MOV]]&gt;0,1,IF(Games[[#This Row],[MOV]]=0,0.5,0))</f>
        <v>1</v>
      </c>
      <c r="W471" s="4">
        <f>((ABS(Games[[#This Row],[MOV]])+5)^0.6)/(12+0.01*(ABS(Games[[#This Row],[PreGmRate]]-Games[[#This Row],[OppPreGmRate]])))*IF(Games[[#This Row],[OT]]=1,0.9,1)</f>
        <v>0.27101473028425471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1" s="9">
        <f>MAX(kmin, kmax - 0.15 * MIN(Games[[#This Row],[GamesPlayed]], 82))</f>
        <v>70.150000000000006</v>
      </c>
      <c r="Z471" s="4">
        <f>Games[[#This Row],[K]]*Games[[#This Row],[POMult]]</f>
        <v>84.18</v>
      </c>
      <c r="AA471" s="4">
        <f>(Games[[#This Row],[Keff]]*Games[[#This Row],[MOVMult]])*(Games[[#This Row],[Result]]-Games[[#This Row],[ExpectedWin%]])</f>
        <v>6.2614647848783687</v>
      </c>
      <c r="AB471" s="4">
        <f>Games[[#This Row],[PreGmRate]]+Games[[#This Row],[RatingChange]]</f>
        <v>1567.2158860372845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1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38263</v>
      </c>
      <c r="B472" s="2">
        <v>2004</v>
      </c>
      <c r="C472" s="2">
        <f>COUNTIFS(Games[Team],Games[[#This Row],[Team]],Games[Season],Games[[#This Row],[Season]],Games[Date],"&lt;=" &amp; Games[[#This Row],[Date]])</f>
        <v>39</v>
      </c>
      <c r="D472" s="2" t="s">
        <v>46</v>
      </c>
      <c r="E472" s="2">
        <v>2</v>
      </c>
      <c r="F472" s="1" t="s">
        <v>45</v>
      </c>
      <c r="G472" s="1" t="s">
        <v>81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">
        <f>MAX(-16, MIN(16, Games[[#This Row],[RestDiff]]*8))</f>
        <v>0</v>
      </c>
      <c r="N472" s="1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1614.0469850853331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1586.4072253174679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0.41959513464824294</v>
      </c>
      <c r="R472" s="1">
        <v>54</v>
      </c>
      <c r="S472" s="1">
        <v>66</v>
      </c>
      <c r="T472" s="1">
        <v>0</v>
      </c>
      <c r="U472" s="1">
        <f>Games[[#This Row],[PointsFor]]-Games[[#This Row],[PointsAgainst]]</f>
        <v>-12</v>
      </c>
      <c r="V472" s="1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0.44585989280385357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2" s="9">
        <f>MAX(kmin, kmax - 0.15 * MIN(Games[[#This Row],[GamesPlayed]], 82))</f>
        <v>70.150000000000006</v>
      </c>
      <c r="Z472" s="4">
        <f>Games[[#This Row],[K]]*Games[[#This Row],[POMult]]</f>
        <v>84.18</v>
      </c>
      <c r="AA472" s="4">
        <f>(Games[[#This Row],[Keff]]*Games[[#This Row],[MOVMult]])*(Games[[#This Row],[Result]]-Games[[#This Row],[ExpectedWin%]])</f>
        <v>-15.748448422959818</v>
      </c>
      <c r="AB472" s="4">
        <f>Games[[#This Row],[PreGmRate]]+Games[[#This Row],[RatingChange]]</f>
        <v>1598.2985366623732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0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1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38263</v>
      </c>
      <c r="B473" s="2">
        <v>2004</v>
      </c>
      <c r="C473" s="2">
        <f>COUNTIFS(Games[Team],Games[[#This Row],[Team]],Games[Season],Games[[#This Row],[Season]],Games[Date],"&lt;=" &amp; Games[[#This Row],[Date]])</f>
        <v>38</v>
      </c>
      <c r="D473" s="2" t="s">
        <v>46</v>
      </c>
      <c r="E473" s="2">
        <v>2</v>
      </c>
      <c r="F473" s="1" t="s">
        <v>81</v>
      </c>
      <c r="G473" s="1" t="s">
        <v>45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">
        <f>MAX(-16, MIN(16, Games[[#This Row],[RestDiff]]*8))</f>
        <v>0</v>
      </c>
      <c r="N473" s="1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1586.4072253174679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1614.0469850853331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0.58040486535175706</v>
      </c>
      <c r="R473" s="1">
        <v>66</v>
      </c>
      <c r="S473" s="1">
        <v>54</v>
      </c>
      <c r="T473" s="1">
        <v>0</v>
      </c>
      <c r="U473" s="1">
        <f>Games[[#This Row],[PointsFor]]-Games[[#This Row],[PointsAgainst]]</f>
        <v>12</v>
      </c>
      <c r="V473" s="1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0.44585989280385357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3" s="9">
        <f>MAX(kmin, kmax - 0.15 * MIN(Games[[#This Row],[GamesPlayed]], 82))</f>
        <v>70.3</v>
      </c>
      <c r="Z473" s="4">
        <f>Games[[#This Row],[K]]*Games[[#This Row],[POMult]]</f>
        <v>84.36</v>
      </c>
      <c r="AA473" s="4">
        <f>(Games[[#This Row],[Keff]]*Games[[#This Row],[MOVMult]])*(Games[[#This Row],[Result]]-Games[[#This Row],[ExpectedWin%]])</f>
        <v>15.782122938475768</v>
      </c>
      <c r="AB473" s="4">
        <f>Games[[#This Row],[PreGmRate]]+Games[[#This Row],[RatingChange]]</f>
        <v>1602.1893482559437</v>
      </c>
      <c r="AC473" s="2">
        <f>IF(Games[[#This Row],[Type]]="R",IF(Games[[#This Row],[Result]]&gt;0.5,1,0),0)</f>
        <v>0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1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38265</v>
      </c>
      <c r="B474" s="2">
        <v>2004</v>
      </c>
      <c r="C474" s="2">
        <f>COUNTIFS(Games[Team],Games[[#This Row],[Team]],Games[Season],Games[[#This Row],[Season]],Games[Date],"&lt;=" &amp; Games[[#This Row],[Date]])</f>
        <v>40</v>
      </c>
      <c r="D474" s="2" t="s">
        <v>46</v>
      </c>
      <c r="E474" s="2">
        <v>2</v>
      </c>
      <c r="F474" s="1" t="s">
        <v>45</v>
      </c>
      <c r="G474" s="1" t="s">
        <v>81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">
        <f>MAX(-16, MIN(16, Games[[#This Row],[RestDiff]]*8))</f>
        <v>0</v>
      </c>
      <c r="N474" s="1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1598.2985366623732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1602.1893482559437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0.37614572293060938</v>
      </c>
      <c r="R474" s="1">
        <v>62</v>
      </c>
      <c r="S474" s="1">
        <v>82</v>
      </c>
      <c r="T474" s="1">
        <v>0</v>
      </c>
      <c r="U474" s="1">
        <f>Games[[#This Row],[PointsFor]]-Games[[#This Row],[PointsAgainst]]</f>
        <v>-20</v>
      </c>
      <c r="V474" s="1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0.57302940107786393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4" s="9">
        <f>MAX(kmin, kmax - 0.15 * MIN(Games[[#This Row],[GamesPlayed]], 82))</f>
        <v>70</v>
      </c>
      <c r="Z474" s="4">
        <f>Games[[#This Row],[K]]*Games[[#This Row],[POMult]]</f>
        <v>84</v>
      </c>
      <c r="AA474" s="4">
        <f>(Games[[#This Row],[Keff]]*Games[[#This Row],[MOVMult]])*(Games[[#This Row],[Result]]-Games[[#This Row],[ExpectedWin%]])</f>
        <v>-18.10557489962989</v>
      </c>
      <c r="AB474" s="4">
        <f>Games[[#This Row],[PreGmRate]]+Games[[#This Row],[RatingChange]]</f>
        <v>1580.1929617627434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1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38265</v>
      </c>
      <c r="B475" s="2">
        <v>2004</v>
      </c>
      <c r="C475" s="2">
        <f>COUNTIFS(Games[Team],Games[[#This Row],[Team]],Games[Season],Games[[#This Row],[Season]],Games[Date],"&lt;=" &amp; Games[[#This Row],[Date]])</f>
        <v>39</v>
      </c>
      <c r="D475" s="2" t="s">
        <v>46</v>
      </c>
      <c r="E475" s="2">
        <v>2</v>
      </c>
      <c r="F475" s="1" t="s">
        <v>81</v>
      </c>
      <c r="G475" s="1" t="s">
        <v>45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">
        <f>MAX(-16, MIN(16, Games[[#This Row],[RestDiff]]*8))</f>
        <v>0</v>
      </c>
      <c r="N475" s="1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1602.1893482559437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1598.2985366623732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0.62385427706939056</v>
      </c>
      <c r="R475" s="1">
        <v>82</v>
      </c>
      <c r="S475" s="1">
        <v>62</v>
      </c>
      <c r="T475" s="1">
        <v>0</v>
      </c>
      <c r="U475" s="1">
        <f>Games[[#This Row],[PointsFor]]-Games[[#This Row],[PointsAgainst]]</f>
        <v>20</v>
      </c>
      <c r="V475" s="1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0.57302940107786393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5" s="9">
        <f>MAX(kmin, kmax - 0.15 * MIN(Games[[#This Row],[GamesPlayed]], 82))</f>
        <v>70.150000000000006</v>
      </c>
      <c r="Z475" s="4">
        <f>Games[[#This Row],[K]]*Games[[#This Row],[POMult]]</f>
        <v>84.18</v>
      </c>
      <c r="AA475" s="4">
        <f>(Games[[#This Row],[Keff]]*Games[[#This Row],[MOVMult]])*(Games[[#This Row],[Result]]-Games[[#This Row],[ExpectedWin%]])</f>
        <v>18.144372560129099</v>
      </c>
      <c r="AB475" s="4">
        <f>Games[[#This Row],[PreGmRate]]+Games[[#This Row],[RatingChange]]</f>
        <v>1620.3337208160729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1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38268</v>
      </c>
      <c r="B476" s="2">
        <v>2004</v>
      </c>
      <c r="C476" s="2">
        <f>COUNTIFS(Games[Team],Games[[#This Row],[Team]],Games[Season],Games[[#This Row],[Season]],Games[Date],"&lt;=" &amp; Games[[#This Row],[Date]])</f>
        <v>40</v>
      </c>
      <c r="D476" s="2" t="s">
        <v>46</v>
      </c>
      <c r="E476" s="2">
        <v>3</v>
      </c>
      <c r="F476" s="1" t="s">
        <v>81</v>
      </c>
      <c r="G476" s="1" t="s">
        <v>86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76" s="2">
        <f>Games[[#This Row],[DaysOff]]-Games[[#This Row],[OppDaysOff]]</f>
        <v>-2</v>
      </c>
      <c r="L476" s="2">
        <f>Games[[#This Row],[OppDaysOff]]-Games[[#This Row],[DaysOff]]</f>
        <v>2</v>
      </c>
      <c r="M476" s="1">
        <f>MAX(-16, MIN(16, Games[[#This Row],[RestDiff]]*8))</f>
        <v>-16</v>
      </c>
      <c r="N476" s="1">
        <f>MAX(-16, MIN(16, Games[[#This Row],[OppRestDiff]]*8))</f>
        <v>16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1620.3337208160729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1567.2158860372845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0.41048062896845883</v>
      </c>
      <c r="R476" s="1">
        <v>64</v>
      </c>
      <c r="S476" s="1">
        <v>68</v>
      </c>
      <c r="T476" s="1">
        <v>0</v>
      </c>
      <c r="U476" s="1">
        <f>Games[[#This Row],[PointsFor]]-Games[[#This Row],[PointsAgainst]]</f>
        <v>-4</v>
      </c>
      <c r="V476" s="1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0.29823155613344815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6" s="9">
        <f>MAX(kmin, kmax - 0.15 * MIN(Games[[#This Row],[GamesPlayed]], 82))</f>
        <v>70</v>
      </c>
      <c r="Z476" s="4">
        <f>Games[[#This Row],[K]]*Games[[#This Row],[POMult]]</f>
        <v>94.5</v>
      </c>
      <c r="AA476" s="4">
        <f>(Games[[#This Row],[Keff]]*Games[[#This Row],[MOVMult]])*(Games[[#This Row],[Result]]-Games[[#This Row],[ExpectedWin%]])</f>
        <v>-11.568527151920552</v>
      </c>
      <c r="AB476" s="4">
        <f>Games[[#This Row],[PreGmRate]]+Games[[#This Row],[RatingChange]]</f>
        <v>1608.7651936641523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0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1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38268</v>
      </c>
      <c r="B477" s="2">
        <v>2004</v>
      </c>
      <c r="C477" s="2">
        <f>COUNTIFS(Games[Team],Games[[#This Row],[Team]],Games[Season],Games[[#This Row],[Season]],Games[Date],"&lt;=" &amp; Games[[#This Row],[Date]])</f>
        <v>40</v>
      </c>
      <c r="D477" s="2" t="s">
        <v>46</v>
      </c>
      <c r="E477" s="2">
        <v>3</v>
      </c>
      <c r="F477" s="1" t="s">
        <v>86</v>
      </c>
      <c r="G477" s="1" t="s">
        <v>81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7" s="2">
        <f>Games[[#This Row],[DaysOff]]-Games[[#This Row],[OppDaysOff]]</f>
        <v>2</v>
      </c>
      <c r="L477" s="2">
        <f>Games[[#This Row],[OppDaysOff]]-Games[[#This Row],[DaysOff]]</f>
        <v>-2</v>
      </c>
      <c r="M477" s="1">
        <f>MAX(-16, MIN(16, Games[[#This Row],[RestDiff]]*8))</f>
        <v>16</v>
      </c>
      <c r="N477" s="1">
        <f>MAX(-16, MIN(16, Games[[#This Row],[OppRestDiff]]*8))</f>
        <v>-16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1567.2158860372845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1620.3337208160729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0.58951937103154117</v>
      </c>
      <c r="R477" s="1">
        <v>68</v>
      </c>
      <c r="S477" s="1">
        <v>64</v>
      </c>
      <c r="T477" s="1">
        <v>0</v>
      </c>
      <c r="U477" s="1">
        <f>Games[[#This Row],[PointsFor]]-Games[[#This Row],[PointsAgainst]]</f>
        <v>4</v>
      </c>
      <c r="V477" s="1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0.29823155613344815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7" s="9">
        <f>MAX(kmin, kmax - 0.15 * MIN(Games[[#This Row],[GamesPlayed]], 82))</f>
        <v>70</v>
      </c>
      <c r="Z477" s="4">
        <f>Games[[#This Row],[K]]*Games[[#This Row],[POMult]]</f>
        <v>94.5</v>
      </c>
      <c r="AA477" s="4">
        <f>(Games[[#This Row],[Keff]]*Games[[#This Row],[MOVMult]])*(Games[[#This Row],[Result]]-Games[[#This Row],[ExpectedWin%]])</f>
        <v>11.568527151920552</v>
      </c>
      <c r="AB477" s="4">
        <f>Games[[#This Row],[PreGmRate]]+Games[[#This Row],[RatingChange]]</f>
        <v>1578.784413189205</v>
      </c>
      <c r="AC477" s="2">
        <f>IF(Games[[#This Row],[Type]]="R",IF(Games[[#This Row],[Result]]&gt;0.5,1,0),0)</f>
        <v>0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1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38270</v>
      </c>
      <c r="B478" s="2">
        <v>2004</v>
      </c>
      <c r="C478" s="2">
        <f>COUNTIFS(Games[Team],Games[[#This Row],[Team]],Games[Season],Games[[#This Row],[Season]],Games[Date],"&lt;=" &amp; Games[[#This Row],[Date]])</f>
        <v>41</v>
      </c>
      <c r="D478" s="2" t="s">
        <v>46</v>
      </c>
      <c r="E478" s="2">
        <v>3</v>
      </c>
      <c r="F478" s="1" t="s">
        <v>86</v>
      </c>
      <c r="G478" s="1" t="s">
        <v>81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">
        <f>MAX(-16, MIN(16, Games[[#This Row],[RestDiff]]*8))</f>
        <v>0</v>
      </c>
      <c r="N478" s="1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1578.784413189205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1608.7651936641523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0.34161036219889124</v>
      </c>
      <c r="R478" s="1">
        <v>65</v>
      </c>
      <c r="S478" s="1">
        <v>67</v>
      </c>
      <c r="T478" s="1">
        <v>0</v>
      </c>
      <c r="U478" s="1">
        <f>Games[[#This Row],[PointsFor]]-Games[[#This Row],[PointsAgainst]]</f>
        <v>-2</v>
      </c>
      <c r="V478" s="1">
        <f>IF(Games[[#This Row],[MOV]]&gt;0,1,IF(Games[[#This Row],[MOV]]=0,0.5,0))</f>
        <v>0</v>
      </c>
      <c r="W478" s="4">
        <f>((ABS(Games[[#This Row],[MOV]])+5)^0.6)/(12+0.01*(ABS(Games[[#This Row],[PreGmRate]]-Games[[#This Row],[OppPreGmRate]])))*IF(Games[[#This Row],[OT]]=1,0.9,1)</f>
        <v>0.2613126888433932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8" s="9">
        <f>MAX(kmin, kmax - 0.15 * MIN(Games[[#This Row],[GamesPlayed]], 82))</f>
        <v>69.849999999999994</v>
      </c>
      <c r="Z478" s="4">
        <f>Games[[#This Row],[K]]*Games[[#This Row],[POMult]]</f>
        <v>94.297499999999999</v>
      </c>
      <c r="AA478" s="4">
        <f>(Games[[#This Row],[Keff]]*Games[[#This Row],[MOVMult]])*(Games[[#This Row],[Result]]-Games[[#This Row],[ExpectedWin%]])</f>
        <v>-8.4176664634772056</v>
      </c>
      <c r="AB478" s="4">
        <f>Games[[#This Row],[PreGmRate]]+Games[[#This Row],[RatingChange]]</f>
        <v>1570.3667467257278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1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38270</v>
      </c>
      <c r="B479" s="2">
        <v>2004</v>
      </c>
      <c r="C479" s="2">
        <f>COUNTIFS(Games[Team],Games[[#This Row],[Team]],Games[Season],Games[[#This Row],[Season]],Games[Date],"&lt;=" &amp; Games[[#This Row],[Date]])</f>
        <v>41</v>
      </c>
      <c r="D479" s="2" t="s">
        <v>46</v>
      </c>
      <c r="E479" s="2">
        <v>3</v>
      </c>
      <c r="F479" s="1" t="s">
        <v>81</v>
      </c>
      <c r="G479" s="1" t="s">
        <v>86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">
        <f>MAX(-16, MIN(16, Games[[#This Row],[RestDiff]]*8))</f>
        <v>0</v>
      </c>
      <c r="N479" s="1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1608.7651936641523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1578.784413189205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0.65838963780110871</v>
      </c>
      <c r="R479" s="1">
        <v>67</v>
      </c>
      <c r="S479" s="1">
        <v>65</v>
      </c>
      <c r="T479" s="1">
        <v>0</v>
      </c>
      <c r="U479" s="1">
        <f>Games[[#This Row],[PointsFor]]-Games[[#This Row],[PointsAgainst]]</f>
        <v>2</v>
      </c>
      <c r="V479" s="1">
        <f>IF(Games[[#This Row],[MOV]]&gt;0,1,IF(Games[[#This Row],[MOV]]=0,0.5,0))</f>
        <v>1</v>
      </c>
      <c r="W479" s="4">
        <f>((ABS(Games[[#This Row],[MOV]])+5)^0.6)/(12+0.01*(ABS(Games[[#This Row],[PreGmRate]]-Games[[#This Row],[OppPreGmRate]])))*IF(Games[[#This Row],[OT]]=1,0.9,1)</f>
        <v>0.2613126888433932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9" s="9">
        <f>MAX(kmin, kmax - 0.15 * MIN(Games[[#This Row],[GamesPlayed]], 82))</f>
        <v>69.849999999999994</v>
      </c>
      <c r="Z479" s="4">
        <f>Games[[#This Row],[K]]*Games[[#This Row],[POMult]]</f>
        <v>94.297499999999999</v>
      </c>
      <c r="AA479" s="4">
        <f>(Games[[#This Row],[Keff]]*Games[[#This Row],[MOVMult]])*(Games[[#This Row],[Result]]-Games[[#This Row],[ExpectedWin%]])</f>
        <v>8.4176664634772074</v>
      </c>
      <c r="AB479" s="4">
        <f>Games[[#This Row],[PreGmRate]]+Games[[#This Row],[RatingChange]]</f>
        <v>1617.1828601276295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1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38272</v>
      </c>
      <c r="B480" s="2">
        <v>2004</v>
      </c>
      <c r="C480" s="2">
        <f>COUNTIFS(Games[Team],Games[[#This Row],[Team]],Games[Season],Games[[#This Row],[Season]],Games[Date],"&lt;=" &amp; Games[[#This Row],[Date]])</f>
        <v>42</v>
      </c>
      <c r="D480" s="2" t="s">
        <v>46</v>
      </c>
      <c r="E480" s="2">
        <v>3</v>
      </c>
      <c r="F480" s="1" t="s">
        <v>86</v>
      </c>
      <c r="G480" s="1" t="s">
        <v>81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">
        <f>MAX(-16, MIN(16, Games[[#This Row],[RestDiff]]*8))</f>
        <v>0</v>
      </c>
      <c r="N480" s="1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1570.3667467257278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1617.1828601276295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0.32015967872106887</v>
      </c>
      <c r="R480" s="1">
        <v>60</v>
      </c>
      <c r="S480" s="1">
        <v>74</v>
      </c>
      <c r="T480" s="1">
        <v>0</v>
      </c>
      <c r="U480" s="1">
        <f>Games[[#This Row],[PointsFor]]-Games[[#This Row],[PointsAgainst]]</f>
        <v>-14</v>
      </c>
      <c r="V480" s="1">
        <f>IF(Games[[#This Row],[MOV]]&gt;0,1,IF(Games[[#This Row],[MOV]]=0,0.5,0))</f>
        <v>0</v>
      </c>
      <c r="W480" s="4">
        <f>((ABS(Games[[#This Row],[MOV]])+5)^0.6)/(12+0.01*(ABS(Games[[#This Row],[PreGmRate]]-Games[[#This Row],[OppPreGmRate]])))*IF(Games[[#This Row],[OT]]=1,0.9,1)</f>
        <v>0.4692991355753432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0" s="9">
        <f>MAX(kmin, kmax - 0.15 * MIN(Games[[#This Row],[GamesPlayed]], 82))</f>
        <v>69.7</v>
      </c>
      <c r="Z480" s="4">
        <f>Games[[#This Row],[K]]*Games[[#This Row],[POMult]]</f>
        <v>94.095000000000013</v>
      </c>
      <c r="AA480" s="4">
        <f>(Games[[#This Row],[Keff]]*Games[[#This Row],[MOVMult]])*(Games[[#This Row],[Result]]-Games[[#This Row],[ExpectedWin%]])</f>
        <v>-14.137835896913099</v>
      </c>
      <c r="AB480" s="4">
        <f>Games[[#This Row],[PreGmRate]]+Games[[#This Row],[RatingChange]]</f>
        <v>1556.2289108288146</v>
      </c>
      <c r="AC480" s="2">
        <f>IF(Games[[#This Row],[Type]]="R",IF(Games[[#This Row],[Result]]&gt;0.5,1,0),0)</f>
        <v>0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1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38272</v>
      </c>
      <c r="B481" s="2">
        <v>2004</v>
      </c>
      <c r="C481" s="2">
        <f>COUNTIFS(Games[Team],Games[[#This Row],[Team]],Games[Season],Games[[#This Row],[Season]],Games[Date],"&lt;=" &amp; Games[[#This Row],[Date]])</f>
        <v>42</v>
      </c>
      <c r="D481" s="2" t="s">
        <v>46</v>
      </c>
      <c r="E481" s="2">
        <v>3</v>
      </c>
      <c r="F481" s="1" t="s">
        <v>81</v>
      </c>
      <c r="G481" s="1" t="s">
        <v>86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">
        <f>MAX(-16, MIN(16, Games[[#This Row],[RestDiff]]*8))</f>
        <v>0</v>
      </c>
      <c r="N481" s="1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1617.1828601276295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1570.3667467257278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0.67984032127893113</v>
      </c>
      <c r="R481" s="1">
        <v>74</v>
      </c>
      <c r="S481" s="1">
        <v>60</v>
      </c>
      <c r="T481" s="1">
        <v>0</v>
      </c>
      <c r="U481" s="1">
        <f>Games[[#This Row],[PointsFor]]-Games[[#This Row],[PointsAgainst]]</f>
        <v>14</v>
      </c>
      <c r="V481" s="1">
        <f>IF(Games[[#This Row],[MOV]]&gt;0,1,IF(Games[[#This Row],[MOV]]=0,0.5,0))</f>
        <v>1</v>
      </c>
      <c r="W481" s="4">
        <f>((ABS(Games[[#This Row],[MOV]])+5)^0.6)/(12+0.01*(ABS(Games[[#This Row],[PreGmRate]]-Games[[#This Row],[OppPreGmRate]])))*IF(Games[[#This Row],[OT]]=1,0.9,1)</f>
        <v>0.4692991355753432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1" s="9">
        <f>MAX(kmin, kmax - 0.15 * MIN(Games[[#This Row],[GamesPlayed]], 82))</f>
        <v>69.7</v>
      </c>
      <c r="Z481" s="4">
        <f>Games[[#This Row],[K]]*Games[[#This Row],[POMult]]</f>
        <v>94.095000000000013</v>
      </c>
      <c r="AA481" s="4">
        <f>(Games[[#This Row],[Keff]]*Games[[#This Row],[MOVMult]])*(Games[[#This Row],[Result]]-Games[[#This Row],[ExpectedWin%]])</f>
        <v>14.137835896913099</v>
      </c>
      <c r="AB481" s="4">
        <f>Games[[#This Row],[PreGmRate]]+Games[[#This Row],[RatingChange]]</f>
        <v>1631.3206960245427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0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1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2026-07-27T10:03:45Z</dcterms:modified>
</cp:coreProperties>
</file>
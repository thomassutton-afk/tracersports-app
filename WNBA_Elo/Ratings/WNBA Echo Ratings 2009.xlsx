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27756B03-5896-40FB-BCFB-2A683119EFF2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7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E25" i="3"/>
  <c r="D25" i="3"/>
  <c r="C25" i="3"/>
  <c r="B25" i="3"/>
  <c r="H36" i="3"/>
  <c r="E26" i="3"/>
  <c r="D26" i="3"/>
  <c r="F26" i="3" s="1"/>
  <c r="C26" i="3"/>
  <c r="B26" i="3"/>
  <c r="C478" i="2"/>
  <c r="C479" i="2"/>
  <c r="C480" i="2"/>
  <c r="C481" i="2"/>
  <c r="C482" i="2"/>
  <c r="C483" i="2"/>
  <c r="C484" i="2"/>
  <c r="C485" i="2"/>
  <c r="I478" i="2" a="1"/>
  <c r="I479" i="2" a="1"/>
  <c r="I480" i="2" a="1"/>
  <c r="I481" i="2" a="1"/>
  <c r="I482" i="2" a="1"/>
  <c r="I483" i="2" a="1"/>
  <c r="I484" i="2" a="1"/>
  <c r="I485" i="2" a="1"/>
  <c r="J478" i="2" a="1"/>
  <c r="J479" i="2" a="1"/>
  <c r="J480" i="2" a="1"/>
  <c r="J481" i="2" a="1"/>
  <c r="J482" i="2" a="1"/>
  <c r="J483" i="2" a="1"/>
  <c r="J484" i="2" a="1"/>
  <c r="J485" i="2" a="1"/>
  <c r="K478" i="2"/>
  <c r="K479" i="2"/>
  <c r="K480" i="2"/>
  <c r="K481" i="2"/>
  <c r="K482" i="2"/>
  <c r="K483" i="2"/>
  <c r="K484" i="2"/>
  <c r="L478" i="2"/>
  <c r="L479" i="2"/>
  <c r="L480" i="2"/>
  <c r="L481" i="2"/>
  <c r="L482" i="2"/>
  <c r="L483" i="2"/>
  <c r="L484" i="2"/>
  <c r="M478" i="2"/>
  <c r="M479" i="2"/>
  <c r="M480" i="2"/>
  <c r="M481" i="2"/>
  <c r="M482" i="2"/>
  <c r="M483" i="2"/>
  <c r="M484" i="2"/>
  <c r="N478" i="2"/>
  <c r="N479" i="2"/>
  <c r="N480" i="2"/>
  <c r="N481" i="2"/>
  <c r="N482" i="2"/>
  <c r="N483" i="2"/>
  <c r="N484" i="2"/>
  <c r="U478" i="2"/>
  <c r="U479" i="2"/>
  <c r="U480" i="2"/>
  <c r="U481" i="2"/>
  <c r="U482" i="2"/>
  <c r="U483" i="2"/>
  <c r="U484" i="2"/>
  <c r="U485" i="2"/>
  <c r="V478" i="2"/>
  <c r="V479" i="2"/>
  <c r="V480" i="2"/>
  <c r="V481" i="2"/>
  <c r="V482" i="2"/>
  <c r="V483" i="2"/>
  <c r="V484" i="2"/>
  <c r="V485" i="2"/>
  <c r="X478" i="2" a="1"/>
  <c r="X479" i="2" a="1"/>
  <c r="X480" i="2" a="1"/>
  <c r="X481" i="2" a="1"/>
  <c r="X482" i="2" a="1"/>
  <c r="X483" i="2" a="1"/>
  <c r="X484" i="2" a="1"/>
  <c r="X485" i="2" a="1"/>
  <c r="Y478" i="2"/>
  <c r="Y479" i="2"/>
  <c r="Y480" i="2"/>
  <c r="Y481" i="2"/>
  <c r="Y482" i="2"/>
  <c r="Y483" i="2"/>
  <c r="Y484" i="2"/>
  <c r="Y485" i="2"/>
  <c r="Z478" i="2"/>
  <c r="Z479" i="2"/>
  <c r="Z480" i="2"/>
  <c r="Z481" i="2"/>
  <c r="Z482" i="2"/>
  <c r="Z483" i="2"/>
  <c r="Z484" i="2"/>
  <c r="Z485" i="2"/>
  <c r="AC478" i="2"/>
  <c r="AC479" i="2"/>
  <c r="AC480" i="2"/>
  <c r="AC481" i="2"/>
  <c r="AC482" i="2"/>
  <c r="AC483" i="2"/>
  <c r="AC484" i="2"/>
  <c r="AC485" i="2"/>
  <c r="AD478" i="2"/>
  <c r="AD479" i="2"/>
  <c r="AD480" i="2"/>
  <c r="AD481" i="2"/>
  <c r="AD482" i="2"/>
  <c r="AD483" i="2"/>
  <c r="AD484" i="2"/>
  <c r="AD485" i="2"/>
  <c r="AE478" i="2"/>
  <c r="AE479" i="2"/>
  <c r="AE480" i="2"/>
  <c r="AE481" i="2"/>
  <c r="AE482" i="2"/>
  <c r="AE483" i="2"/>
  <c r="AE484" i="2"/>
  <c r="AE485" i="2"/>
  <c r="AF478" i="2"/>
  <c r="AF479" i="2"/>
  <c r="AF480" i="2"/>
  <c r="AF481" i="2"/>
  <c r="AF482" i="2"/>
  <c r="AF483" i="2"/>
  <c r="AF484" i="2"/>
  <c r="AF485" i="2"/>
  <c r="AG478" i="2"/>
  <c r="AG479" i="2"/>
  <c r="AG480" i="2"/>
  <c r="AG481" i="2"/>
  <c r="AG482" i="2"/>
  <c r="AG483" i="2"/>
  <c r="AG484" i="2"/>
  <c r="AG485" i="2"/>
  <c r="AH478" i="2"/>
  <c r="AH479" i="2"/>
  <c r="AH480" i="2"/>
  <c r="AH481" i="2"/>
  <c r="AH482" i="2"/>
  <c r="AH483" i="2"/>
  <c r="AH484" i="2"/>
  <c r="AH485" i="2"/>
  <c r="AI478" i="2"/>
  <c r="AI479" i="2"/>
  <c r="AI480" i="2"/>
  <c r="AI481" i="2"/>
  <c r="AI482" i="2"/>
  <c r="AI483" i="2"/>
  <c r="AI484" i="2"/>
  <c r="AI485" i="2"/>
  <c r="AJ478" i="2"/>
  <c r="AJ479" i="2"/>
  <c r="AJ480" i="2"/>
  <c r="AJ481" i="2"/>
  <c r="AJ482" i="2"/>
  <c r="AJ483" i="2"/>
  <c r="AJ484" i="2"/>
  <c r="AJ485" i="2"/>
  <c r="AK478" i="2"/>
  <c r="AK479" i="2"/>
  <c r="AK480" i="2"/>
  <c r="AK481" i="2"/>
  <c r="AK482" i="2"/>
  <c r="AK483" i="2"/>
  <c r="AK484" i="2"/>
  <c r="AK485" i="2"/>
  <c r="AL478" i="2"/>
  <c r="AL479" i="2"/>
  <c r="AL480" i="2"/>
  <c r="AL481" i="2"/>
  <c r="AL482" i="2"/>
  <c r="AL483" i="2"/>
  <c r="AL484" i="2"/>
  <c r="AL485" i="2"/>
  <c r="H35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L416" i="2" s="1"/>
  <c r="N416" i="2" s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L420" i="2" s="1"/>
  <c r="N420" i="2" s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L439" i="2" s="1"/>
  <c r="N439" i="2" s="1"/>
  <c r="J440" i="2" a="1"/>
  <c r="L440" i="2" s="1"/>
  <c r="N440" i="2" s="1"/>
  <c r="J441" i="2" a="1"/>
  <c r="L441" i="2" s="1"/>
  <c r="N441" i="2" s="1"/>
  <c r="J442" i="2" a="1"/>
  <c r="L442" i="2" s="1"/>
  <c r="N442" i="2" s="1"/>
  <c r="J443" i="2" a="1"/>
  <c r="L443" i="2" s="1"/>
  <c r="N443" i="2" s="1"/>
  <c r="J444" i="2" a="1"/>
  <c r="L444" i="2" s="1"/>
  <c r="N444" i="2" s="1"/>
  <c r="J445" i="2" a="1"/>
  <c r="L445" i="2" s="1"/>
  <c r="N445" i="2" s="1"/>
  <c r="J446" i="2" a="1"/>
  <c r="L446" i="2" s="1"/>
  <c r="N446" i="2" s="1"/>
  <c r="J447" i="2" a="1"/>
  <c r="L447" i="2" s="1"/>
  <c r="N447" i="2" s="1"/>
  <c r="J448" i="2" a="1"/>
  <c r="L448" i="2" s="1"/>
  <c r="N448" i="2" s="1"/>
  <c r="J449" i="2" a="1"/>
  <c r="L449" i="2" s="1"/>
  <c r="N449" i="2" s="1"/>
  <c r="J450" i="2" a="1"/>
  <c r="L450" i="2" s="1"/>
  <c r="N450" i="2" s="1"/>
  <c r="J451" i="2" a="1"/>
  <c r="L451" i="2" s="1"/>
  <c r="N451" i="2" s="1"/>
  <c r="J452" i="2" a="1"/>
  <c r="L452" i="2" s="1"/>
  <c r="N452" i="2" s="1"/>
  <c r="J453" i="2" a="1"/>
  <c r="L453" i="2" s="1"/>
  <c r="N453" i="2" s="1"/>
  <c r="J454" i="2" a="1"/>
  <c r="L454" i="2" s="1"/>
  <c r="N454" i="2" s="1"/>
  <c r="J455" i="2" a="1"/>
  <c r="L455" i="2" s="1"/>
  <c r="N455" i="2" s="1"/>
  <c r="J456" i="2" a="1"/>
  <c r="L456" i="2" s="1"/>
  <c r="N456" i="2" s="1"/>
  <c r="J457" i="2" a="1"/>
  <c r="L457" i="2" s="1"/>
  <c r="N457" i="2" s="1"/>
  <c r="J458" i="2" a="1"/>
  <c r="L458" i="2" s="1"/>
  <c r="N458" i="2" s="1"/>
  <c r="J459" i="2" a="1"/>
  <c r="L459" i="2" s="1"/>
  <c r="N459" i="2" s="1"/>
  <c r="J460" i="2" a="1"/>
  <c r="L460" i="2" s="1"/>
  <c r="N460" i="2" s="1"/>
  <c r="J461" i="2" a="1"/>
  <c r="L461" i="2" s="1"/>
  <c r="N461" i="2" s="1"/>
  <c r="J462" i="2" a="1"/>
  <c r="L462" i="2" s="1"/>
  <c r="N462" i="2" s="1"/>
  <c r="J463" i="2" a="1"/>
  <c r="L463" i="2" s="1"/>
  <c r="N463" i="2" s="1"/>
  <c r="J464" i="2" a="1"/>
  <c r="L464" i="2" s="1"/>
  <c r="N464" i="2" s="1"/>
  <c r="J465" i="2" a="1"/>
  <c r="L465" i="2" s="1"/>
  <c r="N465" i="2" s="1"/>
  <c r="J466" i="2" a="1"/>
  <c r="L466" i="2" s="1"/>
  <c r="N466" i="2" s="1"/>
  <c r="J467" i="2" a="1"/>
  <c r="L467" i="2" s="1"/>
  <c r="N467" i="2" s="1"/>
  <c r="J468" i="2" a="1"/>
  <c r="L468" i="2" s="1"/>
  <c r="N468" i="2" s="1"/>
  <c r="J469" i="2" a="1"/>
  <c r="L469" i="2" s="1"/>
  <c r="N469" i="2" s="1"/>
  <c r="J470" i="2" a="1"/>
  <c r="L470" i="2" s="1"/>
  <c r="N470" i="2" s="1"/>
  <c r="J471" i="2" a="1"/>
  <c r="L471" i="2" s="1"/>
  <c r="N471" i="2" s="1"/>
  <c r="J472" i="2" a="1"/>
  <c r="L472" i="2" s="1"/>
  <c r="N472" i="2" s="1"/>
  <c r="J473" i="2" a="1"/>
  <c r="L473" i="2" s="1"/>
  <c r="N473" i="2" s="1"/>
  <c r="J474" i="2" a="1"/>
  <c r="L474" i="2" s="1"/>
  <c r="N474" i="2" s="1"/>
  <c r="J475" i="2" a="1"/>
  <c r="L475" i="2" s="1"/>
  <c r="N475" i="2" s="1"/>
  <c r="J476" i="2" a="1"/>
  <c r="L476" i="2" s="1"/>
  <c r="N476" i="2" s="1"/>
  <c r="J477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6" i="2"/>
  <c r="M416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U442" i="2"/>
  <c r="V442" i="2" s="1"/>
  <c r="U443" i="2"/>
  <c r="V443" i="2" s="1"/>
  <c r="U444" i="2"/>
  <c r="V444" i="2" s="1"/>
  <c r="U445" i="2"/>
  <c r="V445" i="2" s="1"/>
  <c r="U446" i="2"/>
  <c r="V446" i="2" s="1"/>
  <c r="U447" i="2"/>
  <c r="V447" i="2" s="1"/>
  <c r="U448" i="2"/>
  <c r="V448" i="2" s="1"/>
  <c r="U449" i="2"/>
  <c r="V449" i="2" s="1"/>
  <c r="U450" i="2"/>
  <c r="V450" i="2" s="1"/>
  <c r="U451" i="2"/>
  <c r="V451" i="2" s="1"/>
  <c r="U452" i="2"/>
  <c r="V452" i="2" s="1"/>
  <c r="U453" i="2"/>
  <c r="V453" i="2" s="1"/>
  <c r="U454" i="2"/>
  <c r="V454" i="2" s="1"/>
  <c r="U455" i="2"/>
  <c r="V455" i="2" s="1"/>
  <c r="U456" i="2"/>
  <c r="V456" i="2" s="1"/>
  <c r="U457" i="2"/>
  <c r="V457" i="2" s="1"/>
  <c r="U458" i="2"/>
  <c r="V458" i="2" s="1"/>
  <c r="U459" i="2"/>
  <c r="V459" i="2" s="1"/>
  <c r="U460" i="2"/>
  <c r="V460" i="2" s="1"/>
  <c r="U461" i="2"/>
  <c r="V461" i="2" s="1"/>
  <c r="U462" i="2"/>
  <c r="V462" i="2" s="1"/>
  <c r="U463" i="2"/>
  <c r="V463" i="2" s="1"/>
  <c r="U464" i="2"/>
  <c r="V464" i="2" s="1"/>
  <c r="U465" i="2"/>
  <c r="V465" i="2" s="1"/>
  <c r="U466" i="2"/>
  <c r="V466" i="2" s="1"/>
  <c r="U467" i="2"/>
  <c r="V467" i="2" s="1"/>
  <c r="U468" i="2"/>
  <c r="V468" i="2" s="1"/>
  <c r="U469" i="2"/>
  <c r="V469" i="2" s="1"/>
  <c r="U470" i="2"/>
  <c r="V470" i="2" s="1"/>
  <c r="U471" i="2"/>
  <c r="V471" i="2" s="1"/>
  <c r="U472" i="2"/>
  <c r="V472" i="2" s="1"/>
  <c r="U473" i="2"/>
  <c r="V473" i="2" s="1"/>
  <c r="U474" i="2"/>
  <c r="V474" i="2" s="1"/>
  <c r="U475" i="2"/>
  <c r="V475" i="2" s="1"/>
  <c r="U476" i="2"/>
  <c r="V476" i="2" s="1"/>
  <c r="U477" i="2"/>
  <c r="V477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E29" i="3"/>
  <c r="D29" i="3"/>
  <c r="F29" i="3" s="1"/>
  <c r="C29" i="3"/>
  <c r="B29" i="3"/>
  <c r="E36" i="3"/>
  <c r="D36" i="3"/>
  <c r="C36" i="3"/>
  <c r="B36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V318" i="2"/>
  <c r="AD318" i="2" s="1"/>
  <c r="V319" i="2"/>
  <c r="AD319" i="2" s="1"/>
  <c r="V320" i="2"/>
  <c r="AD320" i="2" s="1"/>
  <c r="V321" i="2"/>
  <c r="AD321" i="2" s="1"/>
  <c r="V322" i="2"/>
  <c r="AD322" i="2" s="1"/>
  <c r="V323" i="2"/>
  <c r="AD323" i="2" s="1"/>
  <c r="V324" i="2"/>
  <c r="AD324" i="2" s="1"/>
  <c r="V325" i="2"/>
  <c r="AD325" i="2" s="1"/>
  <c r="V326" i="2"/>
  <c r="AD326" i="2" s="1"/>
  <c r="V327" i="2"/>
  <c r="AD327" i="2" s="1"/>
  <c r="V328" i="2"/>
  <c r="AD328" i="2" s="1"/>
  <c r="V329" i="2"/>
  <c r="AD329" i="2" s="1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1" i="3"/>
  <c r="D31" i="3"/>
  <c r="C31" i="3"/>
  <c r="B31" i="3"/>
  <c r="E27" i="3"/>
  <c r="D27" i="3"/>
  <c r="C27" i="3"/>
  <c r="B27" i="3"/>
  <c r="E28" i="3"/>
  <c r="D28" i="3"/>
  <c r="C28" i="3"/>
  <c r="B28" i="3"/>
  <c r="E37" i="3"/>
  <c r="D37" i="3"/>
  <c r="C37" i="3"/>
  <c r="B37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K463" i="2" l="1"/>
  <c r="M463" i="2" s="1"/>
  <c r="K465" i="2"/>
  <c r="M465" i="2" s="1"/>
  <c r="K464" i="2"/>
  <c r="M464" i="2" s="1"/>
  <c r="K466" i="2"/>
  <c r="M466" i="2" s="1"/>
  <c r="K468" i="2"/>
  <c r="M468" i="2" s="1"/>
  <c r="K470" i="2"/>
  <c r="M470" i="2" s="1"/>
  <c r="K467" i="2"/>
  <c r="M467" i="2" s="1"/>
  <c r="K469" i="2"/>
  <c r="M469" i="2" s="1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K471" i="2"/>
  <c r="M471" i="2" s="1"/>
  <c r="K473" i="2"/>
  <c r="M473" i="2" s="1"/>
  <c r="K475" i="2"/>
  <c r="M475" i="2" s="1"/>
  <c r="K472" i="2"/>
  <c r="M472" i="2" s="1"/>
  <c r="K474" i="2"/>
  <c r="M474" i="2" s="1"/>
  <c r="K476" i="2"/>
  <c r="M476" i="2" s="1"/>
  <c r="K485" i="2"/>
  <c r="M485" i="2" s="1"/>
  <c r="L485" i="2"/>
  <c r="N485" i="2" s="1"/>
  <c r="F28" i="3"/>
  <c r="AE386" i="2"/>
  <c r="AD386" i="2"/>
  <c r="AE387" i="2"/>
  <c r="AD387" i="2"/>
  <c r="AE388" i="2"/>
  <c r="AD388" i="2"/>
  <c r="AE389" i="2"/>
  <c r="AD389" i="2"/>
  <c r="F36" i="3"/>
  <c r="K477" i="2"/>
  <c r="M477" i="2" s="1"/>
  <c r="L477" i="2"/>
  <c r="N477" i="2" s="1"/>
  <c r="F37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1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4" i="3"/>
  <c r="B34" i="3"/>
  <c r="C33" i="3"/>
  <c r="B33" i="3"/>
  <c r="C35" i="3"/>
  <c r="B35" i="3"/>
  <c r="C30" i="3"/>
  <c r="B30" i="3"/>
  <c r="C32" i="3"/>
  <c r="B32" i="3"/>
  <c r="Q16" i="2" l="1"/>
  <c r="Q17" i="2"/>
  <c r="W16" i="2"/>
  <c r="W17" i="2"/>
  <c r="AA16" i="2" l="1"/>
  <c r="AB16" i="2" s="1"/>
  <c r="AA17" i="2"/>
  <c r="AB17" i="2" s="1"/>
  <c r="E34" i="3"/>
  <c r="D34" i="3"/>
  <c r="E33" i="3"/>
  <c r="D33" i="3"/>
  <c r="E35" i="3"/>
  <c r="D35" i="3"/>
  <c r="E30" i="3"/>
  <c r="D30" i="3"/>
  <c r="E32" i="3"/>
  <c r="D32" i="3"/>
  <c r="O19" i="2" l="1" a="1"/>
  <c r="O18" i="2" a="1"/>
  <c r="P19" i="2" a="1"/>
  <c r="P18" i="2" a="1"/>
  <c r="O20" i="2" a="1"/>
  <c r="P20" i="2" a="1"/>
  <c r="O21" i="2" a="1"/>
  <c r="P21" i="2" a="1"/>
  <c r="F30" i="3"/>
  <c r="F34" i="3"/>
  <c r="F33" i="3"/>
  <c r="F35" i="3"/>
  <c r="F32" i="3"/>
  <c r="Q18" i="2" l="1"/>
  <c r="W21" i="2"/>
  <c r="W19" i="2"/>
  <c r="Q19" i="2"/>
  <c r="Q20" i="2"/>
  <c r="W18" i="2"/>
  <c r="W20" i="2"/>
  <c r="Q21" i="2"/>
  <c r="AA19" i="2" l="1"/>
  <c r="AB19" i="2" s="1"/>
  <c r="AA18" i="2"/>
  <c r="AB18" i="2" s="1"/>
  <c r="AA21" i="2"/>
  <c r="AB21" i="2" s="1"/>
  <c r="AA20" i="2"/>
  <c r="AB20" i="2" s="1"/>
  <c r="P23" i="2" l="1" a="1"/>
  <c r="P22" i="2" a="1"/>
  <c r="O22" i="2" a="1"/>
  <c r="O23" i="2" a="1"/>
  <c r="W23" i="2" l="1"/>
  <c r="W22" i="2"/>
  <c r="Q23" i="2"/>
  <c r="Q22" i="2"/>
  <c r="P24" i="2" a="1"/>
  <c r="O24" i="2" a="1"/>
  <c r="P25" i="2" a="1"/>
  <c r="O25" i="2" a="1"/>
  <c r="AA23" i="2" l="1"/>
  <c r="AB23" i="2" s="1"/>
  <c r="W25" i="2"/>
  <c r="W24" i="2"/>
  <c r="Q25" i="2"/>
  <c r="AA25" i="2" s="1"/>
  <c r="AB25" i="2" s="1"/>
  <c r="AA22" i="2"/>
  <c r="AB22" i="2" s="1"/>
  <c r="Q24" i="2"/>
  <c r="P29" i="2" a="1"/>
  <c r="O28" i="2" a="1"/>
  <c r="P28" i="2" a="1"/>
  <c r="O29" i="2" a="1"/>
  <c r="AW3" i="3"/>
  <c r="AV3" i="3"/>
  <c r="AA24" i="2" l="1"/>
  <c r="AB24" i="2" s="1"/>
  <c r="O26" i="2" a="1"/>
  <c r="P27" i="2" a="1"/>
  <c r="P26" i="2" a="1"/>
  <c r="O27" i="2" a="1"/>
  <c r="Q28" i="2"/>
  <c r="W29" i="2"/>
  <c r="Q29" i="2"/>
  <c r="W28" i="2"/>
  <c r="AZ3" i="3"/>
  <c r="AV2" i="3"/>
  <c r="AW2" i="3"/>
  <c r="AV4" i="3"/>
  <c r="AW4" i="3"/>
  <c r="W27" i="2" l="1"/>
  <c r="W26" i="2"/>
  <c r="Q27" i="2"/>
  <c r="AA27" i="2" s="1"/>
  <c r="AB27" i="2" s="1"/>
  <c r="Q26" i="2"/>
  <c r="AA26" i="2" s="1"/>
  <c r="AB26" i="2" s="1"/>
  <c r="AA29" i="2"/>
  <c r="AB29" i="2" s="1"/>
  <c r="AA28" i="2"/>
  <c r="AB28" i="2" s="1"/>
  <c r="AZ4" i="3"/>
  <c r="AZ2" i="3"/>
  <c r="AW6" i="3"/>
  <c r="AV6" i="3"/>
  <c r="P31" i="2" l="1" a="1"/>
  <c r="P30" i="2" a="1"/>
  <c r="O30" i="2" a="1"/>
  <c r="O31" i="2" a="1"/>
  <c r="AZ6" i="3"/>
  <c r="Q30" i="2" l="1"/>
  <c r="Q31" i="2"/>
  <c r="W30" i="2"/>
  <c r="W31" i="2"/>
  <c r="AA30" i="2" l="1"/>
  <c r="AB30" i="2" s="1"/>
  <c r="AA31" i="2"/>
  <c r="AB31" i="2" s="1"/>
  <c r="P33" i="2" l="1" a="1"/>
  <c r="P32" i="2" a="1"/>
  <c r="O32" i="2" a="1"/>
  <c r="O33" i="2" a="1"/>
  <c r="P34" i="2" a="1"/>
  <c r="P35" i="2" a="1"/>
  <c r="O35" i="2" a="1"/>
  <c r="O34" i="2" a="1"/>
  <c r="Q34" i="2" l="1"/>
  <c r="Q32" i="2"/>
  <c r="W33" i="2"/>
  <c r="W35" i="2"/>
  <c r="Q33" i="2"/>
  <c r="Q35" i="2"/>
  <c r="W34" i="2"/>
  <c r="W32" i="2"/>
  <c r="AA33" i="2" l="1"/>
  <c r="AB33" i="2" s="1"/>
  <c r="AA34" i="2"/>
  <c r="AB34" i="2" s="1"/>
  <c r="AA32" i="2"/>
  <c r="AB32" i="2" s="1"/>
  <c r="AA35" i="2"/>
  <c r="AB35" i="2" s="1"/>
  <c r="O37" i="2" a="1"/>
  <c r="P37" i="2" a="1"/>
  <c r="P36" i="2" a="1"/>
  <c r="O36" i="2" a="1"/>
  <c r="P39" i="2" a="1"/>
  <c r="O38" i="2" a="1"/>
  <c r="O39" i="2" a="1"/>
  <c r="P38" i="2" a="1"/>
  <c r="W39" i="2" l="1"/>
  <c r="W37" i="2"/>
  <c r="Q36" i="2"/>
  <c r="Q38" i="2"/>
  <c r="Q39" i="2"/>
  <c r="Q37" i="2"/>
  <c r="W36" i="2"/>
  <c r="W38" i="2"/>
  <c r="AA39" i="2" l="1"/>
  <c r="AB39" i="2" s="1"/>
  <c r="AA37" i="2"/>
  <c r="AB37" i="2" s="1"/>
  <c r="AA38" i="2"/>
  <c r="AB38" i="2" s="1"/>
  <c r="AA36" i="2"/>
  <c r="AB36" i="2" s="1"/>
  <c r="P42" i="2" a="1"/>
  <c r="P43" i="2" a="1"/>
  <c r="O42" i="2" a="1"/>
  <c r="O43" i="2" a="1"/>
  <c r="P40" i="2" l="1" a="1"/>
  <c r="P41" i="2" a="1"/>
  <c r="O40" i="2" a="1"/>
  <c r="O41" i="2" a="1"/>
  <c r="Q43" i="2"/>
  <c r="W42" i="2"/>
  <c r="Q42" i="2"/>
  <c r="W43" i="2"/>
  <c r="Q40" i="2" l="1"/>
  <c r="Q41" i="2"/>
  <c r="W40" i="2"/>
  <c r="W41" i="2"/>
  <c r="AA42" i="2"/>
  <c r="AB42" i="2" s="1"/>
  <c r="AA43" i="2"/>
  <c r="AB43" i="2" s="1"/>
  <c r="P46" i="2" a="1"/>
  <c r="O47" i="2" a="1"/>
  <c r="P47" i="2" a="1"/>
  <c r="O46" i="2" a="1"/>
  <c r="AA40" i="2" l="1"/>
  <c r="AB40" i="2" s="1"/>
  <c r="AA41" i="2"/>
  <c r="AB41" i="2" s="1"/>
  <c r="O45" i="2" a="1"/>
  <c r="O44" i="2" a="1"/>
  <c r="P44" i="2" a="1"/>
  <c r="Q44" i="2" s="1"/>
  <c r="P45" i="2" a="1"/>
  <c r="Q46" i="2"/>
  <c r="W47" i="2"/>
  <c r="Q47" i="2"/>
  <c r="W46" i="2"/>
  <c r="W45" i="2" l="1"/>
  <c r="W44" i="2"/>
  <c r="AA44" i="2" s="1"/>
  <c r="AB44" i="2" s="1"/>
  <c r="Q45" i="2"/>
  <c r="AA46" i="2"/>
  <c r="AB46" i="2" s="1"/>
  <c r="AA47" i="2"/>
  <c r="AB47" i="2" s="1"/>
  <c r="P51" i="2" a="1"/>
  <c r="O51" i="2" a="1"/>
  <c r="O50" i="2" a="1"/>
  <c r="P50" i="2" a="1"/>
  <c r="AA45" i="2" l="1"/>
  <c r="AB45" i="2" s="1"/>
  <c r="P48" i="2" a="1"/>
  <c r="O49" i="2" a="1"/>
  <c r="O48" i="2" a="1"/>
  <c r="P49" i="2" a="1"/>
  <c r="W51" i="2"/>
  <c r="W50" i="2"/>
  <c r="Q51" i="2"/>
  <c r="Q50" i="2"/>
  <c r="W49" i="2" l="1"/>
  <c r="Q48" i="2"/>
  <c r="W48" i="2"/>
  <c r="Q49" i="2"/>
  <c r="AA50" i="2"/>
  <c r="AB50" i="2" s="1"/>
  <c r="AA51" i="2"/>
  <c r="AB51" i="2" s="1"/>
  <c r="AA48" i="2" l="1"/>
  <c r="AB48" i="2" s="1"/>
  <c r="AA49" i="2"/>
  <c r="AB49" i="2" s="1"/>
  <c r="P52" i="2" a="1"/>
  <c r="O53" i="2" a="1"/>
  <c r="P53" i="2" a="1"/>
  <c r="O52" i="2" a="1"/>
  <c r="Q53" i="2" l="1"/>
  <c r="Q52" i="2"/>
  <c r="W53" i="2"/>
  <c r="W52" i="2"/>
  <c r="AA53" i="2" l="1"/>
  <c r="AB53" i="2" s="1"/>
  <c r="AA52" i="2"/>
  <c r="AB52" i="2" s="1"/>
  <c r="P54" i="2" l="1" a="1"/>
  <c r="O54" i="2" a="1"/>
  <c r="W54" i="2" s="1"/>
  <c r="O55" i="2" a="1"/>
  <c r="P55" i="2" a="1"/>
  <c r="O57" i="2" a="1"/>
  <c r="P56" i="2" a="1"/>
  <c r="O56" i="2" a="1"/>
  <c r="O59" i="2" a="1"/>
  <c r="P59" i="2" a="1"/>
  <c r="P58" i="2" a="1"/>
  <c r="O58" i="2" a="1"/>
  <c r="P60" i="2" a="1"/>
  <c r="O61" i="2" a="1"/>
  <c r="O60" i="2" a="1"/>
  <c r="P61" i="2" a="1"/>
  <c r="Q55" i="2" l="1"/>
  <c r="W56" i="2"/>
  <c r="Q54" i="2"/>
  <c r="AA54" i="2" s="1"/>
  <c r="AB54" i="2" s="1"/>
  <c r="P57" i="2" s="1" a="1"/>
  <c r="Q56" i="2"/>
  <c r="W55" i="2"/>
  <c r="Q61" i="2"/>
  <c r="W59" i="2"/>
  <c r="W60" i="2"/>
  <c r="W58" i="2"/>
  <c r="Q59" i="2"/>
  <c r="Q58" i="2"/>
  <c r="Q60" i="2"/>
  <c r="W61" i="2"/>
  <c r="AA56" i="2" l="1"/>
  <c r="AB56" i="2" s="1"/>
  <c r="AA55" i="2"/>
  <c r="AB55" i="2" s="1"/>
  <c r="W57" i="2"/>
  <c r="Q57" i="2"/>
  <c r="AA61" i="2"/>
  <c r="AB61" i="2" s="1"/>
  <c r="AA59" i="2"/>
  <c r="AB59" i="2" s="1"/>
  <c r="AA60" i="2"/>
  <c r="AB60" i="2" s="1"/>
  <c r="AA58" i="2"/>
  <c r="AB58" i="2" s="1"/>
  <c r="AA57" i="2" l="1"/>
  <c r="AB57" i="2" s="1"/>
  <c r="O63" i="2" a="1"/>
  <c r="O62" i="2" a="1"/>
  <c r="P62" i="2" a="1"/>
  <c r="P63" i="2" a="1"/>
  <c r="Q62" i="2" l="1"/>
  <c r="W63" i="2"/>
  <c r="W62" i="2"/>
  <c r="Q63" i="2"/>
  <c r="AA62" i="2" l="1"/>
  <c r="AB62" i="2" s="1"/>
  <c r="AA63" i="2"/>
  <c r="AB63" i="2" s="1"/>
  <c r="O64" i="2" l="1" a="1"/>
  <c r="P65" i="2" a="1"/>
  <c r="O65" i="2" a="1"/>
  <c r="P64" i="2" a="1"/>
  <c r="W65" i="2" l="1"/>
  <c r="Q64" i="2"/>
  <c r="W64" i="2"/>
  <c r="Q65" i="2"/>
  <c r="AA65" i="2" l="1"/>
  <c r="AB65" i="2" s="1"/>
  <c r="AA64" i="2"/>
  <c r="AB64" i="2" s="1"/>
  <c r="P66" i="2" l="1" a="1"/>
  <c r="O67" i="2" a="1"/>
  <c r="O66" i="2" a="1"/>
  <c r="P67" i="2" a="1"/>
  <c r="Q66" i="2" l="1"/>
  <c r="W67" i="2"/>
  <c r="W66" i="2"/>
  <c r="Q67" i="2"/>
  <c r="AA66" i="2" l="1"/>
  <c r="AB66" i="2" s="1"/>
  <c r="AA67" i="2"/>
  <c r="AB67" i="2" s="1"/>
  <c r="O74" i="2" a="1"/>
  <c r="O68" i="2" a="1"/>
  <c r="O71" i="2" a="1"/>
  <c r="P74" i="2" a="1"/>
  <c r="Q74" i="2" s="1"/>
  <c r="O72" i="2" a="1"/>
  <c r="O69" i="2" a="1"/>
  <c r="P73" i="2" a="1"/>
  <c r="P75" i="2" a="1"/>
  <c r="P69" i="2" a="1"/>
  <c r="O70" i="2" a="1"/>
  <c r="O77" i="2" a="1"/>
  <c r="P68" i="2" a="1"/>
  <c r="P70" i="2" a="1"/>
  <c r="O76" i="2" a="1"/>
  <c r="P76" i="2" a="1"/>
  <c r="P77" i="2" a="1"/>
  <c r="P71" i="2" a="1"/>
  <c r="Q71" i="2" s="1"/>
  <c r="O75" i="2" a="1"/>
  <c r="O73" i="2" a="1"/>
  <c r="P72" i="2" a="1"/>
  <c r="W68" i="2" l="1"/>
  <c r="Q76" i="2"/>
  <c r="W72" i="2"/>
  <c r="Q77" i="2"/>
  <c r="W75" i="2"/>
  <c r="Q69" i="2"/>
  <c r="W70" i="2"/>
  <c r="Q73" i="2"/>
  <c r="W74" i="2"/>
  <c r="AA74" i="2" s="1"/>
  <c r="AB74" i="2" s="1"/>
  <c r="W71" i="2"/>
  <c r="AA71" i="2" s="1"/>
  <c r="AB71" i="2" s="1"/>
  <c r="W69" i="2"/>
  <c r="AA69" i="2" s="1"/>
  <c r="AB69" i="2" s="1"/>
  <c r="Q75" i="2"/>
  <c r="AA75" i="2" s="1"/>
  <c r="AB75" i="2" s="1"/>
  <c r="W77" i="2"/>
  <c r="Q68" i="2"/>
  <c r="Q70" i="2"/>
  <c r="W76" i="2"/>
  <c r="W73" i="2"/>
  <c r="Q72" i="2"/>
  <c r="AA68" i="2" l="1"/>
  <c r="AB68" i="2" s="1"/>
  <c r="AA77" i="2"/>
  <c r="AB77" i="2" s="1"/>
  <c r="AA70" i="2"/>
  <c r="AB70" i="2" s="1"/>
  <c r="AA76" i="2"/>
  <c r="AB76" i="2" s="1"/>
  <c r="AA72" i="2"/>
  <c r="AB72" i="2" s="1"/>
  <c r="AA73" i="2"/>
  <c r="AB73" i="2" s="1"/>
  <c r="P79" i="2" a="1"/>
  <c r="O78" i="2" a="1"/>
  <c r="O79" i="2" a="1"/>
  <c r="P78" i="2" a="1"/>
  <c r="P81" i="2" a="1"/>
  <c r="O82" i="2" a="1"/>
  <c r="P80" i="2" a="1"/>
  <c r="O80" i="2" a="1"/>
  <c r="P82" i="2" a="1"/>
  <c r="P83" i="2" a="1"/>
  <c r="O83" i="2" a="1"/>
  <c r="O81" i="2" a="1"/>
  <c r="W81" i="2" l="1"/>
  <c r="W79" i="2"/>
  <c r="Q78" i="2"/>
  <c r="Q79" i="2"/>
  <c r="W78" i="2"/>
  <c r="W80" i="2"/>
  <c r="Q83" i="2"/>
  <c r="W82" i="2"/>
  <c r="Q81" i="2"/>
  <c r="Q80" i="2"/>
  <c r="Q82" i="2"/>
  <c r="W83" i="2"/>
  <c r="AA81" i="2" l="1"/>
  <c r="AB81" i="2" s="1"/>
  <c r="AA79" i="2"/>
  <c r="AB79" i="2" s="1"/>
  <c r="AA78" i="2"/>
  <c r="AB78" i="2" s="1"/>
  <c r="AA82" i="2"/>
  <c r="AB82" i="2" s="1"/>
  <c r="AA80" i="2"/>
  <c r="AB80" i="2" s="1"/>
  <c r="AA83" i="2"/>
  <c r="AB83" i="2" s="1"/>
  <c r="P85" i="2" l="1" a="1"/>
  <c r="O84" i="2" a="1"/>
  <c r="O85" i="2" a="1"/>
  <c r="P84" i="2" a="1"/>
  <c r="Q85" i="2" l="1"/>
  <c r="W84" i="2"/>
  <c r="W85" i="2"/>
  <c r="Q84" i="2"/>
  <c r="AA85" i="2" l="1"/>
  <c r="AB85" i="2" s="1"/>
  <c r="AA84" i="2"/>
  <c r="AB84" i="2" s="1"/>
  <c r="P93" i="2" a="1"/>
  <c r="O92" i="2" a="1"/>
  <c r="O89" i="2" a="1"/>
  <c r="P88" i="2" a="1"/>
  <c r="O91" i="2" a="1"/>
  <c r="P90" i="2" a="1"/>
  <c r="P87" i="2" a="1"/>
  <c r="O86" i="2" a="1"/>
  <c r="P86" i="2" a="1"/>
  <c r="O87" i="2" a="1"/>
  <c r="P91" i="2" a="1"/>
  <c r="O90" i="2" a="1"/>
  <c r="P89" i="2" a="1"/>
  <c r="Q89" i="2" s="1"/>
  <c r="O88" i="2" a="1"/>
  <c r="P92" i="2" a="1"/>
  <c r="O93" i="2" a="1"/>
  <c r="Q93" i="2" l="1"/>
  <c r="W92" i="2"/>
  <c r="W91" i="2"/>
  <c r="W86" i="2"/>
  <c r="W87" i="2"/>
  <c r="W90" i="2"/>
  <c r="W88" i="2"/>
  <c r="W93" i="2"/>
  <c r="Q88" i="2"/>
  <c r="Q90" i="2"/>
  <c r="Q87" i="2"/>
  <c r="Q86" i="2"/>
  <c r="Q91" i="2"/>
  <c r="Q92" i="2"/>
  <c r="W89" i="2"/>
  <c r="AA89" i="2" s="1"/>
  <c r="AB89" i="2" s="1"/>
  <c r="P95" i="2" a="1"/>
  <c r="P96" i="2" a="1"/>
  <c r="O94" i="2" a="1"/>
  <c r="O95" i="2" a="1"/>
  <c r="P94" i="2" a="1"/>
  <c r="O97" i="2" a="1"/>
  <c r="AA93" i="2" l="1"/>
  <c r="AB93" i="2" s="1"/>
  <c r="AA88" i="2"/>
  <c r="AB88" i="2" s="1"/>
  <c r="AA90" i="2"/>
  <c r="AB90" i="2" s="1"/>
  <c r="AA92" i="2"/>
  <c r="AB92" i="2" s="1"/>
  <c r="AA86" i="2"/>
  <c r="AB86" i="2" s="1"/>
  <c r="Q95" i="2"/>
  <c r="W94" i="2"/>
  <c r="AA87" i="2"/>
  <c r="AB87" i="2" s="1"/>
  <c r="AA91" i="2"/>
  <c r="AB91" i="2" s="1"/>
  <c r="O99" i="2" a="1"/>
  <c r="O98" i="2" a="1"/>
  <c r="W98" i="2" s="1"/>
  <c r="P98" i="2" a="1"/>
  <c r="P99" i="2" a="1"/>
  <c r="Q99" i="2" s="1"/>
  <c r="W95" i="2"/>
  <c r="Q94" i="2"/>
  <c r="P101" i="2" a="1"/>
  <c r="O101" i="2" a="1"/>
  <c r="P100" i="2" a="1"/>
  <c r="O100" i="2" a="1"/>
  <c r="AA95" i="2" l="1"/>
  <c r="AB95" i="2" s="1"/>
  <c r="O96" i="2" a="1"/>
  <c r="P97" i="2" a="1"/>
  <c r="AA94" i="2"/>
  <c r="AB94" i="2" s="1"/>
  <c r="W99" i="2"/>
  <c r="AA99" i="2" s="1"/>
  <c r="AB99" i="2" s="1"/>
  <c r="Q98" i="2"/>
  <c r="AA98" i="2" s="1"/>
  <c r="AB98" i="2" s="1"/>
  <c r="W101" i="2"/>
  <c r="Q101" i="2"/>
  <c r="Q100" i="2"/>
  <c r="W100" i="2"/>
  <c r="Q96" i="2" l="1"/>
  <c r="AA96" i="2" s="1"/>
  <c r="AB96" i="2" s="1"/>
  <c r="W96" i="2"/>
  <c r="Q97" i="2"/>
  <c r="W97" i="2"/>
  <c r="AA101" i="2"/>
  <c r="AB101" i="2" s="1"/>
  <c r="AA100" i="2"/>
  <c r="AB100" i="2" s="1"/>
  <c r="P104" i="2" a="1"/>
  <c r="O105" i="2" a="1"/>
  <c r="P105" i="2" a="1"/>
  <c r="O104" i="2" a="1"/>
  <c r="AA97" i="2" l="1"/>
  <c r="AB97" i="2" s="1"/>
  <c r="P103" i="2" a="1"/>
  <c r="O103" i="2" a="1"/>
  <c r="P102" i="2" a="1"/>
  <c r="O102" i="2" a="1"/>
  <c r="Q104" i="2"/>
  <c r="W105" i="2"/>
  <c r="Q105" i="2"/>
  <c r="W104" i="2"/>
  <c r="W102" i="2" l="1"/>
  <c r="Q103" i="2"/>
  <c r="W103" i="2"/>
  <c r="Q102" i="2"/>
  <c r="AA105" i="2"/>
  <c r="AB105" i="2" s="1"/>
  <c r="AA104" i="2"/>
  <c r="AB104" i="2" s="1"/>
  <c r="AA102" i="2" l="1"/>
  <c r="AB102" i="2" s="1"/>
  <c r="P109" i="2" s="1" a="1"/>
  <c r="AA103" i="2"/>
  <c r="AB103" i="2" s="1"/>
  <c r="O108" i="2" a="1"/>
  <c r="O109" i="2" a="1"/>
  <c r="P106" i="2" a="1"/>
  <c r="O107" i="2" a="1"/>
  <c r="P107" i="2" a="1"/>
  <c r="O111" i="2" a="1"/>
  <c r="O106" i="2" a="1"/>
  <c r="P108" i="2" a="1"/>
  <c r="O110" i="2" a="1"/>
  <c r="P110" i="2" a="1"/>
  <c r="P111" i="2" a="1"/>
  <c r="W107" i="2" l="1"/>
  <c r="W108" i="2"/>
  <c r="Q111" i="2"/>
  <c r="W106" i="2"/>
  <c r="W110" i="2"/>
  <c r="Q109" i="2"/>
  <c r="W109" i="2"/>
  <c r="Q106" i="2"/>
  <c r="Q107" i="2"/>
  <c r="W111" i="2"/>
  <c r="Q108" i="2"/>
  <c r="Q110" i="2"/>
  <c r="AA107" i="2" l="1"/>
  <c r="AB107" i="2" s="1"/>
  <c r="AA109" i="2"/>
  <c r="AB109" i="2" s="1"/>
  <c r="AA108" i="2"/>
  <c r="AB108" i="2" s="1"/>
  <c r="AA110" i="2"/>
  <c r="AB110" i="2" s="1"/>
  <c r="AA106" i="2"/>
  <c r="AB106" i="2" s="1"/>
  <c r="AA111" i="2"/>
  <c r="AB111" i="2" s="1"/>
  <c r="P113" i="2" l="1" a="1"/>
  <c r="O112" i="2" a="1"/>
  <c r="O113" i="2" a="1"/>
  <c r="P112" i="2" a="1"/>
  <c r="W112" i="2" l="1"/>
  <c r="Q113" i="2"/>
  <c r="W113" i="2"/>
  <c r="Q112" i="2"/>
  <c r="P116" i="2" a="1"/>
  <c r="O116" i="2" a="1"/>
  <c r="O117" i="2" a="1"/>
  <c r="P117" i="2" a="1"/>
  <c r="AA113" i="2" l="1"/>
  <c r="AB113" i="2" s="1"/>
  <c r="AA112" i="2"/>
  <c r="AB112" i="2" s="1"/>
  <c r="O114" i="2" a="1"/>
  <c r="O115" i="2" a="1"/>
  <c r="P115" i="2" a="1"/>
  <c r="Q115" i="2" s="1"/>
  <c r="P114" i="2" a="1"/>
  <c r="W116" i="2"/>
  <c r="Q117" i="2"/>
  <c r="Q116" i="2"/>
  <c r="W117" i="2"/>
  <c r="Q114" i="2" l="1"/>
  <c r="W114" i="2"/>
  <c r="W115" i="2"/>
  <c r="AA115" i="2" s="1"/>
  <c r="AB115" i="2" s="1"/>
  <c r="AA116" i="2"/>
  <c r="AB116" i="2" s="1"/>
  <c r="AA117" i="2"/>
  <c r="AB117" i="2" s="1"/>
  <c r="O119" i="2" a="1"/>
  <c r="P118" i="2" a="1"/>
  <c r="O118" i="2" a="1"/>
  <c r="P119" i="2" a="1"/>
  <c r="AA114" i="2" l="1"/>
  <c r="AB114" i="2" s="1"/>
  <c r="W119" i="2"/>
  <c r="W118" i="2"/>
  <c r="Q118" i="2"/>
  <c r="Q119" i="2"/>
  <c r="AA118" i="2" l="1"/>
  <c r="AB118" i="2" s="1"/>
  <c r="AA119" i="2"/>
  <c r="AB119" i="2" s="1"/>
  <c r="P121" i="2" l="1" a="1"/>
  <c r="P120" i="2" a="1"/>
  <c r="O121" i="2" a="1"/>
  <c r="O120" i="2" a="1"/>
  <c r="O122" i="2" a="1"/>
  <c r="P122" i="2" a="1"/>
  <c r="P123" i="2" a="1"/>
  <c r="O123" i="2" a="1"/>
  <c r="W121" i="2" l="1"/>
  <c r="Q120" i="2"/>
  <c r="Q121" i="2"/>
  <c r="W120" i="2"/>
  <c r="Q123" i="2"/>
  <c r="W122" i="2"/>
  <c r="W123" i="2"/>
  <c r="Q122" i="2"/>
  <c r="AA121" i="2" l="1"/>
  <c r="AB121" i="2" s="1"/>
  <c r="AA120" i="2"/>
  <c r="AB120" i="2" s="1"/>
  <c r="AA122" i="2"/>
  <c r="AB122" i="2" s="1"/>
  <c r="AA123" i="2"/>
  <c r="AB123" i="2" s="1"/>
  <c r="O127" i="2" a="1"/>
  <c r="P126" i="2" a="1"/>
  <c r="O126" i="2" a="1"/>
  <c r="P127" i="2" a="1"/>
  <c r="P128" i="2" a="1"/>
  <c r="P129" i="2" a="1"/>
  <c r="O129" i="2" a="1"/>
  <c r="O128" i="2" a="1"/>
  <c r="O125" i="2" l="1" a="1"/>
  <c r="O124" i="2" a="1"/>
  <c r="P124" i="2" a="1"/>
  <c r="P125" i="2" a="1"/>
  <c r="Q127" i="2"/>
  <c r="Q129" i="2"/>
  <c r="W126" i="2"/>
  <c r="Q128" i="2"/>
  <c r="W127" i="2"/>
  <c r="Q126" i="2"/>
  <c r="W129" i="2"/>
  <c r="W128" i="2"/>
  <c r="W125" i="2" l="1"/>
  <c r="W124" i="2"/>
  <c r="Q124" i="2"/>
  <c r="Q125" i="2"/>
  <c r="AA125" i="2" s="1"/>
  <c r="AB125" i="2" s="1"/>
  <c r="AA127" i="2"/>
  <c r="AB127" i="2" s="1"/>
  <c r="AA129" i="2"/>
  <c r="AB129" i="2" s="1"/>
  <c r="AA126" i="2"/>
  <c r="AB126" i="2" s="1"/>
  <c r="AA128" i="2"/>
  <c r="AB128" i="2" s="1"/>
  <c r="AA124" i="2" l="1"/>
  <c r="AB124" i="2" s="1"/>
  <c r="P131" i="2" a="1"/>
  <c r="P130" i="2" a="1"/>
  <c r="O131" i="2" a="1"/>
  <c r="O130" i="2" a="1"/>
  <c r="W131" i="2" l="1"/>
  <c r="W130" i="2"/>
  <c r="Q131" i="2"/>
  <c r="Q130" i="2"/>
  <c r="AA131" i="2" l="1"/>
  <c r="AB131" i="2" s="1"/>
  <c r="AA130" i="2"/>
  <c r="AB130" i="2" s="1"/>
  <c r="P132" i="2" a="1"/>
  <c r="O133" i="2" a="1"/>
  <c r="O132" i="2" a="1"/>
  <c r="P133" i="2" a="1"/>
  <c r="W132" i="2" l="1"/>
  <c r="Q133" i="2"/>
  <c r="Q132" i="2"/>
  <c r="W133" i="2"/>
  <c r="AA132" i="2" l="1"/>
  <c r="AB132" i="2" s="1"/>
  <c r="AA133" i="2"/>
  <c r="AB133" i="2" s="1"/>
  <c r="P134" i="2" a="1"/>
  <c r="P135" i="2" a="1"/>
  <c r="O135" i="2" a="1"/>
  <c r="O134" i="2" a="1"/>
  <c r="Q135" i="2" l="1"/>
  <c r="Q134" i="2"/>
  <c r="W134" i="2"/>
  <c r="W135" i="2"/>
  <c r="AA134" i="2" l="1"/>
  <c r="AB134" i="2" s="1"/>
  <c r="AA135" i="2"/>
  <c r="AB135" i="2" s="1"/>
  <c r="O136" i="2" a="1"/>
  <c r="P136" i="2" a="1"/>
  <c r="O137" i="2" a="1"/>
  <c r="P137" i="2" a="1"/>
  <c r="Q136" i="2" l="1"/>
  <c r="W137" i="2"/>
  <c r="W136" i="2"/>
  <c r="Q137" i="2"/>
  <c r="AA136" i="2" l="1"/>
  <c r="AB136" i="2" s="1"/>
  <c r="AA137" i="2"/>
  <c r="AB137" i="2" s="1"/>
  <c r="P139" i="2" l="1" a="1"/>
  <c r="O138" i="2" a="1"/>
  <c r="P138" i="2" a="1"/>
  <c r="O139" i="2" a="1"/>
  <c r="W138" i="2" l="1"/>
  <c r="W139" i="2"/>
  <c r="Q139" i="2"/>
  <c r="Q138" i="2"/>
  <c r="AA138" i="2" s="1"/>
  <c r="AB138" i="2" s="1"/>
  <c r="AA139" i="2" l="1"/>
  <c r="AB139" i="2" s="1"/>
  <c r="O141" i="2" a="1"/>
  <c r="O142" i="2" a="1"/>
  <c r="P140" i="2" a="1"/>
  <c r="O140" i="2" a="1"/>
  <c r="P142" i="2" a="1"/>
  <c r="P143" i="2" a="1"/>
  <c r="O143" i="2" a="1"/>
  <c r="P141" i="2" a="1"/>
  <c r="Q141" i="2" l="1"/>
  <c r="Q142" i="2"/>
  <c r="W142" i="2"/>
  <c r="AA142" i="2" s="1"/>
  <c r="AB142" i="2" s="1"/>
  <c r="Q140" i="2"/>
  <c r="Q143" i="2"/>
  <c r="W140" i="2"/>
  <c r="W143" i="2"/>
  <c r="AA143" i="2" s="1"/>
  <c r="AB143" i="2" s="1"/>
  <c r="W141" i="2"/>
  <c r="P147" i="2" a="1"/>
  <c r="O146" i="2" a="1"/>
  <c r="P146" i="2" a="1"/>
  <c r="O147" i="2" a="1"/>
  <c r="AA141" i="2" l="1"/>
  <c r="AB141" i="2" s="1"/>
  <c r="AA140" i="2"/>
  <c r="AB140" i="2" s="1"/>
  <c r="P145" i="2" a="1"/>
  <c r="O145" i="2" a="1"/>
  <c r="O144" i="2" a="1"/>
  <c r="P144" i="2" a="1"/>
  <c r="Q146" i="2"/>
  <c r="W147" i="2"/>
  <c r="Q147" i="2"/>
  <c r="W146" i="2"/>
  <c r="Q145" i="2" l="1"/>
  <c r="W144" i="2"/>
  <c r="W145" i="2"/>
  <c r="Q144" i="2"/>
  <c r="AA147" i="2"/>
  <c r="AB147" i="2" s="1"/>
  <c r="AA146" i="2"/>
  <c r="AB146" i="2" s="1"/>
  <c r="O152" i="2" a="1"/>
  <c r="P152" i="2" a="1"/>
  <c r="P153" i="2" a="1"/>
  <c r="O153" i="2" a="1"/>
  <c r="P155" i="2" a="1"/>
  <c r="P154" i="2" a="1"/>
  <c r="O155" i="2" a="1"/>
  <c r="O154" i="2" a="1"/>
  <c r="AA145" i="2" l="1"/>
  <c r="AB145" i="2" s="1"/>
  <c r="AA144" i="2"/>
  <c r="AB144" i="2" s="1"/>
  <c r="P148" i="2" a="1"/>
  <c r="P149" i="2" a="1"/>
  <c r="O149" i="2" a="1"/>
  <c r="O148" i="2" a="1"/>
  <c r="P150" i="2" a="1"/>
  <c r="P151" i="2" a="1"/>
  <c r="O151" i="2" a="1"/>
  <c r="O150" i="2" a="1"/>
  <c r="W152" i="2"/>
  <c r="Q153" i="2"/>
  <c r="Q152" i="2"/>
  <c r="W153" i="2"/>
  <c r="W155" i="2"/>
  <c r="W154" i="2"/>
  <c r="Q154" i="2"/>
  <c r="Q155" i="2"/>
  <c r="Q149" i="2" l="1"/>
  <c r="W148" i="2"/>
  <c r="Q151" i="2"/>
  <c r="Q148" i="2"/>
  <c r="AA148" i="2" s="1"/>
  <c r="AB148" i="2" s="1"/>
  <c r="W149" i="2"/>
  <c r="AA149" i="2" s="1"/>
  <c r="AB149" i="2" s="1"/>
  <c r="Q150" i="2"/>
  <c r="W151" i="2"/>
  <c r="W150" i="2"/>
  <c r="AA152" i="2"/>
  <c r="AB152" i="2" s="1"/>
  <c r="AA153" i="2"/>
  <c r="AB153" i="2" s="1"/>
  <c r="AA154" i="2"/>
  <c r="AB154" i="2" s="1"/>
  <c r="AA155" i="2"/>
  <c r="AB155" i="2" s="1"/>
  <c r="AA151" i="2" l="1"/>
  <c r="AB151" i="2" s="1"/>
  <c r="O157" i="2" a="1"/>
  <c r="P156" i="2" a="1"/>
  <c r="O156" i="2" a="1"/>
  <c r="W156" i="2" s="1"/>
  <c r="P157" i="2" a="1"/>
  <c r="AA150" i="2"/>
  <c r="AB150" i="2" s="1"/>
  <c r="W157" i="2" l="1"/>
  <c r="Q156" i="2"/>
  <c r="AA156" i="2" s="1"/>
  <c r="AB156" i="2" s="1"/>
  <c r="Q157" i="2"/>
  <c r="O158" i="2" a="1"/>
  <c r="P158" i="2" a="1"/>
  <c r="O159" i="2" a="1"/>
  <c r="P159" i="2" a="1"/>
  <c r="AA157" i="2" l="1"/>
  <c r="AB157" i="2" s="1"/>
  <c r="W158" i="2"/>
  <c r="Q159" i="2"/>
  <c r="Q158" i="2"/>
  <c r="W159" i="2"/>
  <c r="AA158" i="2" l="1"/>
  <c r="AB158" i="2" s="1"/>
  <c r="AA159" i="2"/>
  <c r="AB159" i="2" s="1"/>
  <c r="O160" i="2" l="1" a="1"/>
  <c r="O161" i="2" a="1"/>
  <c r="P160" i="2" a="1"/>
  <c r="P161" i="2" a="1"/>
  <c r="Q160" i="2" l="1"/>
  <c r="Q161" i="2"/>
  <c r="W160" i="2"/>
  <c r="W161" i="2"/>
  <c r="P166" i="2" a="1"/>
  <c r="O167" i="2" a="1"/>
  <c r="P167" i="2" a="1"/>
  <c r="O166" i="2" a="1"/>
  <c r="O169" i="2" a="1"/>
  <c r="O168" i="2" a="1"/>
  <c r="P169" i="2" a="1"/>
  <c r="P168" i="2" a="1"/>
  <c r="AA160" i="2" l="1"/>
  <c r="AB160" i="2" s="1"/>
  <c r="AA161" i="2"/>
  <c r="AB161" i="2" s="1"/>
  <c r="O163" i="2" a="1"/>
  <c r="P162" i="2" a="1"/>
  <c r="O162" i="2" a="1"/>
  <c r="P163" i="2" a="1"/>
  <c r="O164" i="2" a="1"/>
  <c r="P165" i="2" a="1"/>
  <c r="O165" i="2" a="1"/>
  <c r="P164" i="2" a="1"/>
  <c r="Q168" i="2"/>
  <c r="Q166" i="2"/>
  <c r="W167" i="2"/>
  <c r="W166" i="2"/>
  <c r="Q169" i="2"/>
  <c r="Q167" i="2"/>
  <c r="W169" i="2"/>
  <c r="W168" i="2"/>
  <c r="W163" i="2" l="1"/>
  <c r="Q162" i="2"/>
  <c r="W162" i="2"/>
  <c r="Q163" i="2"/>
  <c r="W164" i="2"/>
  <c r="Q164" i="2"/>
  <c r="W165" i="2"/>
  <c r="Q165" i="2"/>
  <c r="AA166" i="2"/>
  <c r="AB166" i="2" s="1"/>
  <c r="AA168" i="2"/>
  <c r="AB168" i="2" s="1"/>
  <c r="AA167" i="2"/>
  <c r="AB167" i="2" s="1"/>
  <c r="AA169" i="2"/>
  <c r="AB169" i="2" s="1"/>
  <c r="AA162" i="2" l="1"/>
  <c r="AB162" i="2" s="1"/>
  <c r="AA163" i="2"/>
  <c r="AB163" i="2" s="1"/>
  <c r="AA165" i="2"/>
  <c r="AB165" i="2" s="1"/>
  <c r="AA164" i="2"/>
  <c r="AB164" i="2" s="1"/>
  <c r="O171" i="2" a="1"/>
  <c r="P171" i="2" a="1"/>
  <c r="P170" i="2" a="1"/>
  <c r="O170" i="2" a="1"/>
  <c r="Q171" i="2" l="1"/>
  <c r="W170" i="2"/>
  <c r="W171" i="2"/>
  <c r="Q170" i="2"/>
  <c r="AA171" i="2" l="1"/>
  <c r="AB171" i="2" s="1"/>
  <c r="AA170" i="2"/>
  <c r="AB170" i="2" s="1"/>
  <c r="O174" i="2" l="1" a="1"/>
  <c r="P174" i="2" a="1"/>
  <c r="P175" i="2" a="1"/>
  <c r="P172" i="2" a="1"/>
  <c r="O175" i="2" a="1"/>
  <c r="P173" i="2" a="1"/>
  <c r="O172" i="2" a="1"/>
  <c r="P177" i="2" a="1"/>
  <c r="O173" i="2" a="1"/>
  <c r="O176" i="2" a="1"/>
  <c r="O177" i="2" a="1"/>
  <c r="P176" i="2" a="1"/>
  <c r="Q176" i="2" l="1"/>
  <c r="Q174" i="2"/>
  <c r="W177" i="2"/>
  <c r="Q175" i="2"/>
  <c r="Q172" i="2"/>
  <c r="Q173" i="2"/>
  <c r="Q177" i="2"/>
  <c r="W174" i="2"/>
  <c r="W175" i="2"/>
  <c r="W172" i="2"/>
  <c r="W173" i="2"/>
  <c r="W176" i="2"/>
  <c r="AA176" i="2" l="1"/>
  <c r="AB176" i="2" s="1"/>
  <c r="AA177" i="2"/>
  <c r="AB177" i="2" s="1"/>
  <c r="AA174" i="2"/>
  <c r="AB174" i="2" s="1"/>
  <c r="AA175" i="2"/>
  <c r="AB175" i="2" s="1"/>
  <c r="AA172" i="2"/>
  <c r="AB172" i="2" s="1"/>
  <c r="AA173" i="2"/>
  <c r="AB173" i="2" s="1"/>
  <c r="P180" i="2" a="1"/>
  <c r="O181" i="2" a="1"/>
  <c r="O180" i="2" a="1"/>
  <c r="P181" i="2" a="1"/>
  <c r="O179" i="2" l="1" a="1"/>
  <c r="P178" i="2" a="1"/>
  <c r="P179" i="2" a="1"/>
  <c r="Q179" i="2" s="1"/>
  <c r="O178" i="2" a="1"/>
  <c r="Q180" i="2"/>
  <c r="W181" i="2"/>
  <c r="W180" i="2"/>
  <c r="Q181" i="2"/>
  <c r="Q178" i="2" l="1"/>
  <c r="W179" i="2"/>
  <c r="AA179" i="2" s="1"/>
  <c r="AB179" i="2" s="1"/>
  <c r="W178" i="2"/>
  <c r="AA178" i="2" s="1"/>
  <c r="AB178" i="2" s="1"/>
  <c r="AA180" i="2"/>
  <c r="AB180" i="2" s="1"/>
  <c r="AA181" i="2"/>
  <c r="AB181" i="2" s="1"/>
  <c r="P183" i="2" l="1" a="1"/>
  <c r="O183" i="2" a="1"/>
  <c r="O182" i="2" a="1"/>
  <c r="P182" i="2" a="1"/>
  <c r="W183" i="2" l="1"/>
  <c r="W182" i="2"/>
  <c r="Q183" i="2"/>
  <c r="Q182" i="2"/>
  <c r="AA183" i="2" l="1"/>
  <c r="AB183" i="2" s="1"/>
  <c r="AA182" i="2"/>
  <c r="AB182" i="2" s="1"/>
  <c r="O184" i="2" a="1"/>
  <c r="P185" i="2" a="1"/>
  <c r="O185" i="2" a="1"/>
  <c r="P184" i="2" a="1"/>
  <c r="P187" i="2" a="1"/>
  <c r="O187" i="2" a="1"/>
  <c r="O186" i="2" a="1"/>
  <c r="P186" i="2" a="1"/>
  <c r="Q186" i="2" l="1"/>
  <c r="W187" i="2"/>
  <c r="W184" i="2"/>
  <c r="Q185" i="2"/>
  <c r="W185" i="2"/>
  <c r="Q184" i="2"/>
  <c r="Q187" i="2"/>
  <c r="W186" i="2"/>
  <c r="O190" i="2" a="1"/>
  <c r="O191" i="2" a="1"/>
  <c r="P190" i="2" a="1"/>
  <c r="P191" i="2" a="1"/>
  <c r="P188" i="2" a="1"/>
  <c r="O189" i="2" a="1"/>
  <c r="O188" i="2" a="1"/>
  <c r="P189" i="2" a="1"/>
  <c r="AA186" i="2" l="1"/>
  <c r="AB186" i="2" s="1"/>
  <c r="AA184" i="2"/>
  <c r="AB184" i="2" s="1"/>
  <c r="AA187" i="2"/>
  <c r="AB187" i="2" s="1"/>
  <c r="AA185" i="2"/>
  <c r="AB185" i="2" s="1"/>
  <c r="W190" i="2"/>
  <c r="W191" i="2"/>
  <c r="Q188" i="2"/>
  <c r="Q189" i="2"/>
  <c r="Q190" i="2"/>
  <c r="Q191" i="2"/>
  <c r="W189" i="2"/>
  <c r="W188" i="2"/>
  <c r="AA190" i="2" l="1"/>
  <c r="AB190" i="2" s="1"/>
  <c r="AA188" i="2"/>
  <c r="AB188" i="2" s="1"/>
  <c r="AA191" i="2"/>
  <c r="AB191" i="2" s="1"/>
  <c r="AA189" i="2"/>
  <c r="AB189" i="2" s="1"/>
  <c r="O193" i="2" l="1" a="1"/>
  <c r="O192" i="2" a="1"/>
  <c r="P193" i="2" a="1"/>
  <c r="P192" i="2" a="1"/>
  <c r="W193" i="2" l="1"/>
  <c r="W192" i="2"/>
  <c r="Q193" i="2"/>
  <c r="Q192" i="2"/>
  <c r="AA193" i="2" l="1"/>
  <c r="AB193" i="2" s="1"/>
  <c r="AA192" i="2"/>
  <c r="AB192" i="2" s="1"/>
  <c r="P195" i="2" l="1" a="1"/>
  <c r="O194" i="2" a="1"/>
  <c r="P194" i="2" a="1"/>
  <c r="O195" i="2" a="1"/>
  <c r="W194" i="2" l="1"/>
  <c r="Q195" i="2"/>
  <c r="Q194" i="2"/>
  <c r="W195" i="2"/>
  <c r="AA195" i="2" l="1"/>
  <c r="AB195" i="2" s="1"/>
  <c r="AA194" i="2"/>
  <c r="AB194" i="2" s="1"/>
  <c r="O197" i="2" a="1"/>
  <c r="O196" i="2" a="1"/>
  <c r="P196" i="2" a="1"/>
  <c r="P197" i="2" a="1"/>
  <c r="W196" i="2" l="1"/>
  <c r="Q197" i="2"/>
  <c r="W197" i="2"/>
  <c r="Q196" i="2"/>
  <c r="AA196" i="2" l="1"/>
  <c r="AB196" i="2" s="1"/>
  <c r="AA197" i="2"/>
  <c r="AB197" i="2" s="1"/>
  <c r="O198" i="2" l="1" a="1"/>
  <c r="O202" i="2" a="1"/>
  <c r="P201" i="2" a="1"/>
  <c r="P199" i="2" a="1"/>
  <c r="O199" i="2" a="1"/>
  <c r="O201" i="2" a="1"/>
  <c r="P198" i="2" a="1"/>
  <c r="P200" i="2" a="1"/>
  <c r="O200" i="2" a="1"/>
  <c r="P203" i="2" a="1"/>
  <c r="P202" i="2" a="1"/>
  <c r="O203" i="2" a="1"/>
  <c r="Q198" i="2" l="1"/>
  <c r="W200" i="2"/>
  <c r="W199" i="2"/>
  <c r="W201" i="2"/>
  <c r="Q203" i="2"/>
  <c r="Q202" i="2"/>
  <c r="W198" i="2"/>
  <c r="W202" i="2"/>
  <c r="Q201" i="2"/>
  <c r="Q199" i="2"/>
  <c r="Q200" i="2"/>
  <c r="W203" i="2"/>
  <c r="AA200" i="2" l="1"/>
  <c r="AB200" i="2" s="1"/>
  <c r="AA198" i="2"/>
  <c r="AB198" i="2" s="1"/>
  <c r="AA199" i="2"/>
  <c r="AB199" i="2" s="1"/>
  <c r="AA202" i="2"/>
  <c r="AB202" i="2" s="1"/>
  <c r="AA201" i="2"/>
  <c r="AB201" i="2" s="1"/>
  <c r="AA203" i="2"/>
  <c r="AB203" i="2" s="1"/>
  <c r="P204" i="2" l="1" a="1"/>
  <c r="P205" i="2" a="1"/>
  <c r="O204" i="2" a="1"/>
  <c r="O205" i="2" a="1"/>
  <c r="P207" i="2" a="1"/>
  <c r="O207" i="2" a="1"/>
  <c r="W207" i="2" s="1"/>
  <c r="P206" i="2" a="1"/>
  <c r="P209" i="2" a="1"/>
  <c r="O208" i="2" a="1"/>
  <c r="O206" i="2" a="1"/>
  <c r="O209" i="2" a="1"/>
  <c r="P208" i="2" a="1"/>
  <c r="Q205" i="2" l="1"/>
  <c r="W204" i="2"/>
  <c r="W206" i="2"/>
  <c r="Q204" i="2"/>
  <c r="Q206" i="2"/>
  <c r="W205" i="2"/>
  <c r="Q207" i="2"/>
  <c r="AA207" i="2" s="1"/>
  <c r="AB207" i="2" s="1"/>
  <c r="Q209" i="2"/>
  <c r="W209" i="2"/>
  <c r="W208" i="2"/>
  <c r="Q208" i="2"/>
  <c r="AA204" i="2" l="1"/>
  <c r="AB204" i="2" s="1"/>
  <c r="AA205" i="2"/>
  <c r="AB205" i="2" s="1"/>
  <c r="AA206" i="2"/>
  <c r="AB206" i="2" s="1"/>
  <c r="AA209" i="2"/>
  <c r="AB209" i="2" s="1"/>
  <c r="AA208" i="2"/>
  <c r="AB208" i="2" s="1"/>
  <c r="O210" i="2" l="1" a="1"/>
  <c r="W210" i="2" s="1"/>
  <c r="P210" i="2" a="1"/>
  <c r="O211" i="2" a="1"/>
  <c r="P211" i="2" a="1"/>
  <c r="P213" i="2" a="1"/>
  <c r="O212" i="2" a="1"/>
  <c r="P212" i="2" a="1"/>
  <c r="O213" i="2" a="1"/>
  <c r="W211" i="2" l="1"/>
  <c r="Q210" i="2"/>
  <c r="AA210" i="2" s="1"/>
  <c r="AB210" i="2" s="1"/>
  <c r="Q211" i="2"/>
  <c r="W212" i="2"/>
  <c r="Q212" i="2"/>
  <c r="Q213" i="2"/>
  <c r="W213" i="2"/>
  <c r="AA211" i="2" l="1"/>
  <c r="AB211" i="2" s="1"/>
  <c r="AA213" i="2"/>
  <c r="AB213" i="2" s="1"/>
  <c r="AA212" i="2"/>
  <c r="AB212" i="2" s="1"/>
  <c r="O214" i="2" l="1" a="1"/>
  <c r="P215" i="2" a="1"/>
  <c r="P214" i="2" a="1"/>
  <c r="Q214" i="2" s="1"/>
  <c r="O215" i="2" a="1"/>
  <c r="O216" i="2" a="1"/>
  <c r="W216" i="2" s="1"/>
  <c r="P216" i="2" a="1"/>
  <c r="O217" i="2" a="1"/>
  <c r="W217" i="2" s="1"/>
  <c r="P217" i="2" a="1"/>
  <c r="O219" i="2" a="1"/>
  <c r="P219" i="2" a="1"/>
  <c r="P218" i="2" a="1"/>
  <c r="O218" i="2" a="1"/>
  <c r="O221" i="2" a="1"/>
  <c r="O220" i="2" a="1"/>
  <c r="P221" i="2" a="1"/>
  <c r="P220" i="2" a="1"/>
  <c r="W215" i="2" l="1"/>
  <c r="W219" i="2"/>
  <c r="W218" i="2"/>
  <c r="W214" i="2"/>
  <c r="AA214" i="2" s="1"/>
  <c r="AB214" i="2" s="1"/>
  <c r="Q215" i="2"/>
  <c r="Q216" i="2"/>
  <c r="AA216" i="2" s="1"/>
  <c r="AB216" i="2" s="1"/>
  <c r="Q217" i="2"/>
  <c r="AA217" i="2" s="1"/>
  <c r="AB217" i="2" s="1"/>
  <c r="Q219" i="2"/>
  <c r="Q218" i="2"/>
  <c r="W220" i="2"/>
  <c r="Q221" i="2"/>
  <c r="W221" i="2"/>
  <c r="Q220" i="2"/>
  <c r="AA215" i="2" l="1"/>
  <c r="AB215" i="2" s="1"/>
  <c r="AA219" i="2"/>
  <c r="AB219" i="2" s="1"/>
  <c r="AA218" i="2"/>
  <c r="AB218" i="2" s="1"/>
  <c r="AA220" i="2"/>
  <c r="AB220" i="2" s="1"/>
  <c r="AA221" i="2"/>
  <c r="AB221" i="2" s="1"/>
  <c r="O222" i="2" l="1" a="1"/>
  <c r="P222" i="2" a="1"/>
  <c r="O223" i="2" a="1"/>
  <c r="P223" i="2" a="1"/>
  <c r="Q223" i="2" l="1"/>
  <c r="W222" i="2"/>
  <c r="Q222" i="2"/>
  <c r="W223" i="2"/>
  <c r="AA223" i="2" l="1"/>
  <c r="AB223" i="2" s="1"/>
  <c r="O224" i="2" a="1"/>
  <c r="O225" i="2" a="1"/>
  <c r="P225" i="2" a="1"/>
  <c r="P224" i="2" a="1"/>
  <c r="AA222" i="2"/>
  <c r="AB222" i="2" s="1"/>
  <c r="W225" i="2" l="1"/>
  <c r="Q224" i="2"/>
  <c r="W224" i="2"/>
  <c r="Q225" i="2"/>
  <c r="P226" i="2" a="1"/>
  <c r="P227" i="2" a="1"/>
  <c r="O227" i="2" a="1"/>
  <c r="O226" i="2" a="1"/>
  <c r="O231" i="2" a="1"/>
  <c r="P231" i="2" a="1"/>
  <c r="O230" i="2" a="1"/>
  <c r="O228" i="2" a="1"/>
  <c r="P228" i="2" a="1"/>
  <c r="O229" i="2" a="1"/>
  <c r="P230" i="2" a="1"/>
  <c r="P229" i="2" a="1"/>
  <c r="W227" i="2" l="1"/>
  <c r="W230" i="2"/>
  <c r="AA224" i="2"/>
  <c r="AB224" i="2" s="1"/>
  <c r="W226" i="2"/>
  <c r="W228" i="2"/>
  <c r="Q229" i="2"/>
  <c r="AA225" i="2"/>
  <c r="AB225" i="2" s="1"/>
  <c r="Q226" i="2"/>
  <c r="Q228" i="2"/>
  <c r="W229" i="2"/>
  <c r="Q230" i="2"/>
  <c r="Q227" i="2"/>
  <c r="W231" i="2"/>
  <c r="Q231" i="2"/>
  <c r="AA230" i="2" l="1"/>
  <c r="AB230" i="2" s="1"/>
  <c r="AA227" i="2"/>
  <c r="AB227" i="2" s="1"/>
  <c r="AA229" i="2"/>
  <c r="AB229" i="2" s="1"/>
  <c r="AA228" i="2"/>
  <c r="AB228" i="2" s="1"/>
  <c r="AA226" i="2"/>
  <c r="AB226" i="2" s="1"/>
  <c r="AA231" i="2"/>
  <c r="AB231" i="2" s="1"/>
  <c r="P233" i="2" l="1" a="1"/>
  <c r="P232" i="2" a="1"/>
  <c r="O233" i="2" a="1"/>
  <c r="O232" i="2" a="1"/>
  <c r="Q233" i="2" l="1"/>
  <c r="Q232" i="2"/>
  <c r="W233" i="2"/>
  <c r="W232" i="2"/>
  <c r="AA233" i="2" l="1"/>
  <c r="AB233" i="2" s="1"/>
  <c r="AA232" i="2"/>
  <c r="AB232" i="2" s="1"/>
  <c r="P235" i="2" a="1"/>
  <c r="P234" i="2" a="1"/>
  <c r="O235" i="2" a="1"/>
  <c r="W235" i="2" s="1"/>
  <c r="O234" i="2" a="1"/>
  <c r="O237" i="2" a="1"/>
  <c r="P236" i="2" a="1"/>
  <c r="P237" i="2" a="1"/>
  <c r="O236" i="2" a="1"/>
  <c r="P239" i="2" a="1"/>
  <c r="O239" i="2" a="1"/>
  <c r="P238" i="2" a="1"/>
  <c r="O238" i="2" a="1"/>
  <c r="Q234" i="2" l="1"/>
  <c r="Q235" i="2"/>
  <c r="AA235" i="2" s="1"/>
  <c r="AB235" i="2" s="1"/>
  <c r="W234" i="2"/>
  <c r="Q237" i="2"/>
  <c r="W236" i="2"/>
  <c r="Q238" i="2"/>
  <c r="Q239" i="2"/>
  <c r="Q236" i="2"/>
  <c r="W239" i="2"/>
  <c r="W238" i="2"/>
  <c r="W237" i="2"/>
  <c r="AA234" i="2" l="1"/>
  <c r="AB234" i="2" s="1"/>
  <c r="AA236" i="2"/>
  <c r="AB236" i="2" s="1"/>
  <c r="AA238" i="2"/>
  <c r="AB238" i="2" s="1"/>
  <c r="AA237" i="2"/>
  <c r="AB237" i="2" s="1"/>
  <c r="AA239" i="2"/>
  <c r="AB239" i="2" s="1"/>
  <c r="O243" i="2" a="1"/>
  <c r="O242" i="2" a="1"/>
  <c r="P243" i="2" a="1"/>
  <c r="P241" i="2" a="1"/>
  <c r="P242" i="2" a="1"/>
  <c r="P240" i="2" a="1"/>
  <c r="O240" i="2" a="1"/>
  <c r="O241" i="2" a="1"/>
  <c r="Q242" i="2" l="1"/>
  <c r="Q240" i="2"/>
  <c r="Q241" i="2"/>
  <c r="W243" i="2"/>
  <c r="W240" i="2"/>
  <c r="W242" i="2"/>
  <c r="Q243" i="2"/>
  <c r="W241" i="2"/>
  <c r="AA242" i="2" l="1"/>
  <c r="AB242" i="2" s="1"/>
  <c r="AA243" i="2"/>
  <c r="AB243" i="2" s="1"/>
  <c r="AA240" i="2"/>
  <c r="AB240" i="2" s="1"/>
  <c r="AA241" i="2"/>
  <c r="AB241" i="2" s="1"/>
  <c r="O247" i="2" a="1"/>
  <c r="P246" i="2" a="1"/>
  <c r="P247" i="2" a="1"/>
  <c r="O246" i="2" a="1"/>
  <c r="O245" i="2" l="1" a="1"/>
  <c r="P244" i="2" a="1"/>
  <c r="P245" i="2" a="1"/>
  <c r="O244" i="2" a="1"/>
  <c r="W247" i="2"/>
  <c r="W246" i="2"/>
  <c r="Q246" i="2"/>
  <c r="Q247" i="2"/>
  <c r="Q244" i="2" l="1"/>
  <c r="Q245" i="2"/>
  <c r="W244" i="2"/>
  <c r="W245" i="2"/>
  <c r="AA247" i="2"/>
  <c r="AB247" i="2" s="1"/>
  <c r="AA246" i="2"/>
  <c r="AB246" i="2" s="1"/>
  <c r="O250" i="2" a="1"/>
  <c r="P253" i="2" a="1"/>
  <c r="P251" i="2" a="1"/>
  <c r="O253" i="2" a="1"/>
  <c r="P252" i="2" a="1"/>
  <c r="O252" i="2" a="1"/>
  <c r="AA244" i="2" l="1"/>
  <c r="AB244" i="2" s="1"/>
  <c r="AA245" i="2"/>
  <c r="AB245" i="2" s="1"/>
  <c r="O248" i="2" a="1"/>
  <c r="P248" i="2" a="1"/>
  <c r="P249" i="2" a="1"/>
  <c r="O249" i="2" a="1"/>
  <c r="Q252" i="2"/>
  <c r="W253" i="2"/>
  <c r="Q253" i="2"/>
  <c r="W252" i="2"/>
  <c r="P250" i="2" l="1" a="1"/>
  <c r="O251" i="2" a="1"/>
  <c r="Q248" i="2"/>
  <c r="W249" i="2"/>
  <c r="Q249" i="2"/>
  <c r="W248" i="2"/>
  <c r="AA253" i="2"/>
  <c r="AB253" i="2" s="1"/>
  <c r="AA252" i="2"/>
  <c r="AB252" i="2" s="1"/>
  <c r="O255" i="2" l="1" a="1"/>
  <c r="O254" i="2" a="1"/>
  <c r="P254" i="2" a="1"/>
  <c r="P255" i="2" a="1"/>
  <c r="W250" i="2"/>
  <c r="Q250" i="2"/>
  <c r="Q251" i="2"/>
  <c r="W251" i="2"/>
  <c r="AA249" i="2"/>
  <c r="AB249" i="2" s="1"/>
  <c r="AA248" i="2"/>
  <c r="AB248" i="2" s="1"/>
  <c r="W254" i="2" l="1"/>
  <c r="W255" i="2"/>
  <c r="Q254" i="2"/>
  <c r="Q255" i="2"/>
  <c r="AA251" i="2"/>
  <c r="AB251" i="2" s="1"/>
  <c r="AA250" i="2"/>
  <c r="AB250" i="2" s="1"/>
  <c r="AA254" i="2" l="1"/>
  <c r="AB254" i="2" s="1"/>
  <c r="AA255" i="2"/>
  <c r="AB255" i="2" s="1"/>
  <c r="P256" i="2" a="1"/>
  <c r="Q256" i="2" s="1"/>
  <c r="O256" i="2" a="1"/>
  <c r="P257" i="2" a="1"/>
  <c r="O257" i="2" a="1"/>
  <c r="O258" i="2" a="1"/>
  <c r="P259" i="2" a="1"/>
  <c r="P258" i="2" a="1"/>
  <c r="O259" i="2" a="1"/>
  <c r="W257" i="2" l="1"/>
  <c r="W256" i="2"/>
  <c r="AA256" i="2"/>
  <c r="AB256" i="2" s="1"/>
  <c r="Q257" i="2"/>
  <c r="W259" i="2"/>
  <c r="Q258" i="2"/>
  <c r="Q259" i="2"/>
  <c r="W258" i="2"/>
  <c r="AA257" i="2" l="1"/>
  <c r="AB257" i="2" s="1"/>
  <c r="AA259" i="2"/>
  <c r="AB259" i="2" s="1"/>
  <c r="AA258" i="2"/>
  <c r="AB258" i="2" s="1"/>
  <c r="P261" i="2" l="1" a="1"/>
  <c r="O260" i="2" a="1"/>
  <c r="P260" i="2" a="1"/>
  <c r="O261" i="2" a="1"/>
  <c r="Q261" i="2" l="1"/>
  <c r="W260" i="2"/>
  <c r="Q260" i="2"/>
  <c r="W261" i="2"/>
  <c r="P263" i="2" a="1"/>
  <c r="P262" i="2" a="1"/>
  <c r="O263" i="2" a="1"/>
  <c r="O265" i="2" a="1"/>
  <c r="O262" i="2" a="1"/>
  <c r="O264" i="2" a="1"/>
  <c r="P265" i="2" a="1"/>
  <c r="P264" i="2" a="1"/>
  <c r="AA260" i="2" l="1"/>
  <c r="AB260" i="2" s="1"/>
  <c r="AA261" i="2"/>
  <c r="AB261" i="2" s="1"/>
  <c r="W263" i="2"/>
  <c r="Q264" i="2"/>
  <c r="Q262" i="2"/>
  <c r="W265" i="2"/>
  <c r="Q263" i="2"/>
  <c r="W262" i="2"/>
  <c r="W264" i="2"/>
  <c r="Q265" i="2"/>
  <c r="AA263" i="2" l="1"/>
  <c r="AB263" i="2" s="1"/>
  <c r="AA264" i="2"/>
  <c r="AB264" i="2" s="1"/>
  <c r="AA262" i="2"/>
  <c r="AB262" i="2" s="1"/>
  <c r="AA265" i="2"/>
  <c r="AB265" i="2" s="1"/>
  <c r="O268" i="2" a="1"/>
  <c r="P270" i="2" a="1"/>
  <c r="O271" i="2" a="1"/>
  <c r="P269" i="2" a="1"/>
  <c r="P268" i="2" a="1"/>
  <c r="O269" i="2" a="1"/>
  <c r="O267" i="2" l="1" a="1"/>
  <c r="P266" i="2" a="1"/>
  <c r="O266" i="2" a="1"/>
  <c r="P267" i="2" a="1"/>
  <c r="Q268" i="2"/>
  <c r="O270" i="2" a="1"/>
  <c r="P271" i="2" a="1"/>
  <c r="Q269" i="2"/>
  <c r="W268" i="2"/>
  <c r="W269" i="2"/>
  <c r="Q266" i="2" l="1"/>
  <c r="Q267" i="2"/>
  <c r="W267" i="2"/>
  <c r="AA267" i="2" s="1"/>
  <c r="AB267" i="2" s="1"/>
  <c r="W266" i="2"/>
  <c r="AA268" i="2"/>
  <c r="AB268" i="2" s="1"/>
  <c r="W270" i="2"/>
  <c r="Q270" i="2"/>
  <c r="W271" i="2"/>
  <c r="Q271" i="2"/>
  <c r="AA269" i="2"/>
  <c r="AB269" i="2" s="1"/>
  <c r="AA266" i="2" l="1"/>
  <c r="AB266" i="2" s="1"/>
  <c r="AA270" i="2"/>
  <c r="AB270" i="2" s="1"/>
  <c r="AA271" i="2"/>
  <c r="AB271" i="2" s="1"/>
  <c r="P275" i="2" l="1" a="1"/>
  <c r="O276" i="2" a="1"/>
  <c r="O274" i="2" a="1"/>
  <c r="P277" i="2" a="1"/>
  <c r="P276" i="2" a="1"/>
  <c r="P272" i="2" a="1"/>
  <c r="P273" i="2" a="1"/>
  <c r="O272" i="2" a="1"/>
  <c r="O277" i="2" a="1"/>
  <c r="O273" i="2" a="1"/>
  <c r="P274" i="2" a="1"/>
  <c r="O275" i="2" a="1"/>
  <c r="Q272" i="2" l="1"/>
  <c r="W277" i="2"/>
  <c r="W275" i="2"/>
  <c r="W274" i="2"/>
  <c r="Q273" i="2"/>
  <c r="W276" i="2"/>
  <c r="Q275" i="2"/>
  <c r="Q277" i="2"/>
  <c r="Q276" i="2"/>
  <c r="W272" i="2"/>
  <c r="W273" i="2"/>
  <c r="Q274" i="2"/>
  <c r="AA272" i="2" l="1"/>
  <c r="AB272" i="2" s="1"/>
  <c r="AA277" i="2"/>
  <c r="AB277" i="2" s="1"/>
  <c r="AA275" i="2"/>
  <c r="AB275" i="2" s="1"/>
  <c r="AA276" i="2"/>
  <c r="AB276" i="2" s="1"/>
  <c r="AA274" i="2"/>
  <c r="AB274" i="2" s="1"/>
  <c r="AA273" i="2"/>
  <c r="AB273" i="2" s="1"/>
  <c r="P278" i="2" l="1" a="1"/>
  <c r="O278" i="2" a="1"/>
  <c r="P279" i="2" a="1"/>
  <c r="O279" i="2" a="1"/>
  <c r="W279" i="2" l="1"/>
  <c r="W278" i="2"/>
  <c r="Q278" i="2"/>
  <c r="AA278" i="2" s="1"/>
  <c r="AB278" i="2" s="1"/>
  <c r="Q279" i="2"/>
  <c r="AA279" i="2" l="1"/>
  <c r="AB279" i="2" s="1"/>
  <c r="O282" i="2" a="1"/>
  <c r="O283" i="2" a="1"/>
  <c r="P282" i="2" a="1"/>
  <c r="P280" i="2" a="1"/>
  <c r="O280" i="2" a="1"/>
  <c r="P281" i="2" a="1"/>
  <c r="O281" i="2" a="1"/>
  <c r="P285" i="2" a="1"/>
  <c r="O285" i="2" a="1"/>
  <c r="O284" i="2" a="1"/>
  <c r="P284" i="2" a="1"/>
  <c r="Q284" i="2" s="1"/>
  <c r="P283" i="2" a="1"/>
  <c r="W280" i="2" l="1"/>
  <c r="W281" i="2"/>
  <c r="W282" i="2"/>
  <c r="W285" i="2"/>
  <c r="Q283" i="2"/>
  <c r="Q282" i="2"/>
  <c r="Q280" i="2"/>
  <c r="Q281" i="2"/>
  <c r="Q285" i="2"/>
  <c r="W284" i="2"/>
  <c r="AA284" i="2" s="1"/>
  <c r="AB284" i="2" s="1"/>
  <c r="W283" i="2"/>
  <c r="AA282" i="2" l="1"/>
  <c r="AB282" i="2" s="1"/>
  <c r="AA280" i="2"/>
  <c r="AB280" i="2" s="1"/>
  <c r="AA281" i="2"/>
  <c r="AB281" i="2" s="1"/>
  <c r="AA285" i="2"/>
  <c r="AB285" i="2" s="1"/>
  <c r="AA283" i="2"/>
  <c r="AB283" i="2" s="1"/>
  <c r="P287" i="2" a="1"/>
  <c r="O286" i="2" a="1"/>
  <c r="W286" i="2" s="1"/>
  <c r="P286" i="2" a="1"/>
  <c r="O287" i="2" a="1"/>
  <c r="W287" i="2" l="1"/>
  <c r="O290" i="2" a="1"/>
  <c r="P291" i="2" a="1"/>
  <c r="O291" i="2" a="1"/>
  <c r="P290" i="2" a="1"/>
  <c r="Q290" i="2" s="1"/>
  <c r="P289" i="2" a="1"/>
  <c r="P288" i="2" a="1"/>
  <c r="O289" i="2" a="1"/>
  <c r="O288" i="2" a="1"/>
  <c r="Q287" i="2"/>
  <c r="Q286" i="2"/>
  <c r="AA286" i="2" s="1"/>
  <c r="AB286" i="2" s="1"/>
  <c r="O293" i="2" a="1"/>
  <c r="P292" i="2" a="1"/>
  <c r="O292" i="2" a="1"/>
  <c r="P293" i="2" a="1"/>
  <c r="AA287" i="2" l="1"/>
  <c r="AB287" i="2" s="1"/>
  <c r="W289" i="2"/>
  <c r="W288" i="2"/>
  <c r="W291" i="2"/>
  <c r="W290" i="2"/>
  <c r="AA290" i="2" s="1"/>
  <c r="AB290" i="2" s="1"/>
  <c r="Q291" i="2"/>
  <c r="Q289" i="2"/>
  <c r="Q288" i="2"/>
  <c r="AA288" i="2" s="1"/>
  <c r="AB288" i="2" s="1"/>
  <c r="W292" i="2"/>
  <c r="Q293" i="2"/>
  <c r="W293" i="2"/>
  <c r="Q292" i="2"/>
  <c r="AA289" i="2" l="1"/>
  <c r="AB289" i="2" s="1"/>
  <c r="AA291" i="2"/>
  <c r="AB291" i="2" s="1"/>
  <c r="AA292" i="2"/>
  <c r="AB292" i="2" s="1"/>
  <c r="AA293" i="2"/>
  <c r="AB293" i="2" s="1"/>
  <c r="P297" i="2" a="1"/>
  <c r="O298" i="2" a="1"/>
  <c r="O296" i="2" a="1"/>
  <c r="O297" i="2" a="1"/>
  <c r="P296" i="2" a="1"/>
  <c r="O299" i="2" a="1"/>
  <c r="P298" i="2" a="1"/>
  <c r="P299" i="2" a="1"/>
  <c r="O294" i="2" l="1" a="1"/>
  <c r="P295" i="2" a="1"/>
  <c r="O295" i="2" a="1"/>
  <c r="P294" i="2" a="1"/>
  <c r="W298" i="2"/>
  <c r="Q296" i="2"/>
  <c r="Q299" i="2"/>
  <c r="W297" i="2"/>
  <c r="W296" i="2"/>
  <c r="Q298" i="2"/>
  <c r="Q297" i="2"/>
  <c r="W299" i="2"/>
  <c r="Q294" i="2" l="1"/>
  <c r="Q295" i="2"/>
  <c r="W294" i="2"/>
  <c r="AA294" i="2" s="1"/>
  <c r="AB294" i="2" s="1"/>
  <c r="W295" i="2"/>
  <c r="AA296" i="2"/>
  <c r="AB296" i="2" s="1"/>
  <c r="AA298" i="2"/>
  <c r="AB298" i="2" s="1"/>
  <c r="AA299" i="2"/>
  <c r="AB299" i="2" s="1"/>
  <c r="AA297" i="2"/>
  <c r="AB297" i="2" s="1"/>
  <c r="P304" i="2" a="1"/>
  <c r="P305" i="2" a="1"/>
  <c r="O303" i="2" a="1"/>
  <c r="O305" i="2" a="1"/>
  <c r="W305" i="2" s="1"/>
  <c r="O302" i="2" a="1"/>
  <c r="O307" i="2" a="1"/>
  <c r="O304" i="2" a="1"/>
  <c r="W304" i="2" s="1"/>
  <c r="P302" i="2" a="1"/>
  <c r="P306" i="2" a="1"/>
  <c r="P303" i="2" a="1"/>
  <c r="Q303" i="2" s="1"/>
  <c r="AA295" i="2" l="1"/>
  <c r="AB295" i="2" s="1"/>
  <c r="O300" i="2" a="1"/>
  <c r="O301" i="2" a="1"/>
  <c r="P300" i="2" a="1"/>
  <c r="P301" i="2" a="1"/>
  <c r="P309" i="2" a="1"/>
  <c r="O308" i="2" a="1"/>
  <c r="O309" i="2" a="1"/>
  <c r="P308" i="2" a="1"/>
  <c r="Q302" i="2"/>
  <c r="Q304" i="2"/>
  <c r="AA304" i="2" s="1"/>
  <c r="AB304" i="2" s="1"/>
  <c r="W303" i="2"/>
  <c r="AA303" i="2" s="1"/>
  <c r="AB303" i="2" s="1"/>
  <c r="W302" i="2"/>
  <c r="Q305" i="2"/>
  <c r="AA305" i="2" s="1"/>
  <c r="AB305" i="2" s="1"/>
  <c r="P307" i="2" l="1" a="1"/>
  <c r="O306" i="2" a="1"/>
  <c r="Q300" i="2"/>
  <c r="Q301" i="2"/>
  <c r="W300" i="2"/>
  <c r="AA300" i="2" s="1"/>
  <c r="AB300" i="2" s="1"/>
  <c r="W301" i="2"/>
  <c r="Q309" i="2"/>
  <c r="W309" i="2"/>
  <c r="AA309" i="2" s="1"/>
  <c r="AB309" i="2" s="1"/>
  <c r="Q308" i="2"/>
  <c r="W308" i="2"/>
  <c r="AA302" i="2"/>
  <c r="AB302" i="2" s="1"/>
  <c r="Q307" i="2" l="1"/>
  <c r="W307" i="2"/>
  <c r="AA307" i="2" s="1"/>
  <c r="AB307" i="2" s="1"/>
  <c r="Q306" i="2"/>
  <c r="W306" i="2"/>
  <c r="AA306" i="2" s="1"/>
  <c r="AB306" i="2" s="1"/>
  <c r="AA301" i="2"/>
  <c r="AB301" i="2" s="1"/>
  <c r="AA308" i="2"/>
  <c r="AB308" i="2" s="1"/>
  <c r="O310" i="2" a="1"/>
  <c r="O311" i="2" a="1"/>
  <c r="P311" i="2" a="1"/>
  <c r="P310" i="2" a="1"/>
  <c r="Q310" i="2" l="1"/>
  <c r="Q311" i="2"/>
  <c r="W311" i="2"/>
  <c r="W310" i="2"/>
  <c r="AA310" i="2" s="1"/>
  <c r="AB310" i="2" s="1"/>
  <c r="AA311" i="2" l="1"/>
  <c r="AB311" i="2" s="1"/>
  <c r="O314" i="2" a="1"/>
  <c r="P315" i="2" a="1"/>
  <c r="P312" i="2" a="1"/>
  <c r="O313" i="2" a="1"/>
  <c r="O312" i="2" a="1"/>
  <c r="O315" i="2" a="1"/>
  <c r="P313" i="2" a="1"/>
  <c r="P314" i="2" a="1"/>
  <c r="Q313" i="2" l="1"/>
  <c r="Q312" i="2"/>
  <c r="Q315" i="2"/>
  <c r="P316" i="2" a="1"/>
  <c r="O316" i="2" a="1"/>
  <c r="P317" i="2" a="1"/>
  <c r="O317" i="2" a="1"/>
  <c r="W314" i="2"/>
  <c r="W313" i="2"/>
  <c r="AA313" i="2" s="1"/>
  <c r="AB313" i="2" s="1"/>
  <c r="W312" i="2"/>
  <c r="W315" i="2"/>
  <c r="Q314" i="2"/>
  <c r="W317" i="2" l="1"/>
  <c r="W316" i="2"/>
  <c r="AA312" i="2"/>
  <c r="AB312" i="2" s="1"/>
  <c r="AA315" i="2"/>
  <c r="AB315" i="2" s="1"/>
  <c r="Q316" i="2"/>
  <c r="Q317" i="2"/>
  <c r="AA317" i="2" s="1"/>
  <c r="AB317" i="2" s="1"/>
  <c r="AA314" i="2"/>
  <c r="AB314" i="2" s="1"/>
  <c r="O318" i="2" a="1"/>
  <c r="O320" i="2" a="1"/>
  <c r="P319" i="2" a="1"/>
  <c r="P318" i="2" a="1"/>
  <c r="Q318" i="2" s="1"/>
  <c r="P321" i="2" a="1"/>
  <c r="P320" i="2" a="1"/>
  <c r="Q320" i="2" s="1"/>
  <c r="O319" i="2" a="1"/>
  <c r="O321" i="2" a="1"/>
  <c r="AA316" i="2" l="1"/>
  <c r="AB316" i="2" s="1"/>
  <c r="Q319" i="2"/>
  <c r="W318" i="2"/>
  <c r="AA318" i="2" s="1"/>
  <c r="AB318" i="2" s="1"/>
  <c r="W319" i="2"/>
  <c r="W320" i="2"/>
  <c r="AA320" i="2" s="1"/>
  <c r="AB320" i="2" s="1"/>
  <c r="W321" i="2"/>
  <c r="Q321" i="2"/>
  <c r="AA321" i="2" s="1"/>
  <c r="AB321" i="2" s="1"/>
  <c r="AA319" i="2" l="1"/>
  <c r="AB319" i="2" s="1"/>
  <c r="P323" i="2" a="1"/>
  <c r="O322" i="2" a="1"/>
  <c r="P322" i="2" a="1"/>
  <c r="O323" i="2" a="1"/>
  <c r="O325" i="2" a="1"/>
  <c r="P325" i="2" a="1"/>
  <c r="O324" i="2" a="1"/>
  <c r="P324" i="2" a="1"/>
  <c r="W323" i="2" l="1"/>
  <c r="Q322" i="2"/>
  <c r="Q323" i="2"/>
  <c r="AA323" i="2" s="1"/>
  <c r="AB323" i="2" s="1"/>
  <c r="W322" i="2"/>
  <c r="W324" i="2"/>
  <c r="Q325" i="2"/>
  <c r="W325" i="2"/>
  <c r="Q324" i="2"/>
  <c r="AA324" i="2" l="1"/>
  <c r="AB324" i="2" s="1"/>
  <c r="AA322" i="2"/>
  <c r="AB322" i="2" s="1"/>
  <c r="AA325" i="2"/>
  <c r="AB325" i="2" s="1"/>
  <c r="O330" i="2" a="1"/>
  <c r="P331" i="2" a="1"/>
  <c r="O331" i="2" a="1"/>
  <c r="P330" i="2" a="1"/>
  <c r="O329" i="2" l="1" a="1"/>
  <c r="P329" i="2" a="1"/>
  <c r="P327" i="2" a="1"/>
  <c r="O328" i="2" a="1"/>
  <c r="P328" i="2" a="1"/>
  <c r="O327" i="2" a="1"/>
  <c r="P326" i="2" a="1"/>
  <c r="O326" i="2" a="1"/>
  <c r="Q331" i="2"/>
  <c r="Q330" i="2"/>
  <c r="W330" i="2"/>
  <c r="W331" i="2"/>
  <c r="W328" i="2" l="1"/>
  <c r="Q326" i="2"/>
  <c r="Q327" i="2"/>
  <c r="W326" i="2"/>
  <c r="Q329" i="2"/>
  <c r="W327" i="2"/>
  <c r="Q328" i="2"/>
  <c r="W329" i="2"/>
  <c r="AA331" i="2"/>
  <c r="AB331" i="2" s="1"/>
  <c r="AA330" i="2"/>
  <c r="AB330" i="2" s="1"/>
  <c r="AA327" i="2" l="1"/>
  <c r="AB327" i="2" s="1"/>
  <c r="AA328" i="2"/>
  <c r="AB328" i="2" s="1"/>
  <c r="AA326" i="2"/>
  <c r="AB326" i="2" s="1"/>
  <c r="AA329" i="2"/>
  <c r="AB329" i="2" s="1"/>
  <c r="P333" i="2" a="1"/>
  <c r="Q333" i="2" s="1"/>
  <c r="O333" i="2" a="1"/>
  <c r="P332" i="2" a="1"/>
  <c r="Q332" i="2" s="1"/>
  <c r="O332" i="2" a="1"/>
  <c r="O335" i="2" a="1"/>
  <c r="P334" i="2" a="1"/>
  <c r="O334" i="2" a="1"/>
  <c r="P335" i="2" a="1"/>
  <c r="W333" i="2" l="1"/>
  <c r="AA333" i="2" s="1"/>
  <c r="AB333" i="2" s="1"/>
  <c r="W332" i="2"/>
  <c r="AA332" i="2" s="1"/>
  <c r="AB332" i="2" s="1"/>
  <c r="W335" i="2"/>
  <c r="W334" i="2"/>
  <c r="Q334" i="2"/>
  <c r="Q335" i="2"/>
  <c r="AA334" i="2" l="1"/>
  <c r="AB334" i="2" s="1"/>
  <c r="AA335" i="2"/>
  <c r="AB335" i="2" s="1"/>
  <c r="P337" i="2" a="1"/>
  <c r="P336" i="2" a="1"/>
  <c r="O337" i="2" a="1"/>
  <c r="O336" i="2" a="1"/>
  <c r="Q336" i="2" l="1"/>
  <c r="Q337" i="2"/>
  <c r="W337" i="2"/>
  <c r="W336" i="2"/>
  <c r="AA336" i="2" l="1"/>
  <c r="AB336" i="2" s="1"/>
  <c r="AA337" i="2"/>
  <c r="AB337" i="2" s="1"/>
  <c r="P338" i="2" a="1"/>
  <c r="O339" i="2" a="1"/>
  <c r="P339" i="2" a="1"/>
  <c r="O338" i="2" a="1"/>
  <c r="W338" i="2" l="1"/>
  <c r="Q339" i="2"/>
  <c r="Q338" i="2"/>
  <c r="W339" i="2"/>
  <c r="AA338" i="2" l="1"/>
  <c r="AB338" i="2" s="1"/>
  <c r="AA339" i="2"/>
  <c r="AB339" i="2" s="1"/>
  <c r="O341" i="2" l="1" a="1"/>
  <c r="P341" i="2" a="1"/>
  <c r="P340" i="2" a="1"/>
  <c r="O340" i="2" a="1"/>
  <c r="P342" i="2" a="1"/>
  <c r="O342" i="2" a="1"/>
  <c r="P345" i="2" a="1"/>
  <c r="O344" i="2" a="1"/>
  <c r="P344" i="2" a="1"/>
  <c r="P343" i="2" a="1"/>
  <c r="O345" i="2" a="1"/>
  <c r="O343" i="2" a="1"/>
  <c r="W340" i="2" l="1"/>
  <c r="W341" i="2"/>
  <c r="Q341" i="2"/>
  <c r="AA341" i="2" s="1"/>
  <c r="AB341" i="2" s="1"/>
  <c r="Q340" i="2"/>
  <c r="W345" i="2"/>
  <c r="W342" i="2"/>
  <c r="W344" i="2"/>
  <c r="Q343" i="2"/>
  <c r="Q342" i="2"/>
  <c r="Q345" i="2"/>
  <c r="Q344" i="2"/>
  <c r="W343" i="2"/>
  <c r="AA340" i="2" l="1"/>
  <c r="AB340" i="2" s="1"/>
  <c r="AA342" i="2"/>
  <c r="AB342" i="2" s="1"/>
  <c r="AA344" i="2"/>
  <c r="AB344" i="2" s="1"/>
  <c r="AA345" i="2"/>
  <c r="AB345" i="2" s="1"/>
  <c r="AA343" i="2"/>
  <c r="AB343" i="2" s="1"/>
  <c r="P350" i="2" a="1"/>
  <c r="P352" i="2" a="1"/>
  <c r="P353" i="2" a="1"/>
  <c r="O350" i="2" a="1"/>
  <c r="O353" i="2" a="1"/>
  <c r="O352" i="2" a="1"/>
  <c r="P351" i="2" a="1"/>
  <c r="O351" i="2" a="1"/>
  <c r="P347" i="2" a="1"/>
  <c r="O349" i="2" a="1"/>
  <c r="P346" i="2" a="1"/>
  <c r="O347" i="2" a="1"/>
  <c r="O346" i="2" a="1"/>
  <c r="O348" i="2" a="1"/>
  <c r="P349" i="2" a="1"/>
  <c r="P348" i="2" a="1"/>
  <c r="Q348" i="2" s="1"/>
  <c r="W350" i="2" l="1"/>
  <c r="W351" i="2"/>
  <c r="Q353" i="2"/>
  <c r="Q347" i="2"/>
  <c r="Q352" i="2"/>
  <c r="W349" i="2"/>
  <c r="W346" i="2"/>
  <c r="Q350" i="2"/>
  <c r="W353" i="2"/>
  <c r="W352" i="2"/>
  <c r="Q351" i="2"/>
  <c r="Q346" i="2"/>
  <c r="W347" i="2"/>
  <c r="W348" i="2"/>
  <c r="AA348" i="2" s="1"/>
  <c r="AB348" i="2" s="1"/>
  <c r="Q349" i="2"/>
  <c r="AA351" i="2" l="1"/>
  <c r="AB351" i="2" s="1"/>
  <c r="AA350" i="2"/>
  <c r="AB350" i="2" s="1"/>
  <c r="AA353" i="2"/>
  <c r="AB353" i="2" s="1"/>
  <c r="AA347" i="2"/>
  <c r="AB347" i="2" s="1"/>
  <c r="AA352" i="2"/>
  <c r="AB352" i="2" s="1"/>
  <c r="AA346" i="2"/>
  <c r="AB346" i="2" s="1"/>
  <c r="AA349" i="2"/>
  <c r="AB349" i="2" s="1"/>
  <c r="O354" i="2" a="1"/>
  <c r="O355" i="2" a="1"/>
  <c r="P354" i="2" a="1"/>
  <c r="P355" i="2" a="1"/>
  <c r="O356" i="2" a="1"/>
  <c r="O357" i="2" a="1"/>
  <c r="P357" i="2" a="1"/>
  <c r="P356" i="2" a="1"/>
  <c r="W357" i="2" l="1"/>
  <c r="W355" i="2"/>
  <c r="W354" i="2"/>
  <c r="Q356" i="2"/>
  <c r="Q354" i="2"/>
  <c r="Q355" i="2"/>
  <c r="W356" i="2"/>
  <c r="Q357" i="2"/>
  <c r="AA354" i="2" l="1"/>
  <c r="AB354" i="2" s="1"/>
  <c r="AA355" i="2"/>
  <c r="AB355" i="2" s="1"/>
  <c r="AA357" i="2"/>
  <c r="AB357" i="2" s="1"/>
  <c r="AA356" i="2"/>
  <c r="AB356" i="2" s="1"/>
  <c r="P358" i="2" l="1" a="1"/>
  <c r="P359" i="2" a="1"/>
  <c r="O359" i="2" a="1"/>
  <c r="O358" i="2" a="1"/>
  <c r="P360" i="2" a="1"/>
  <c r="O360" i="2" a="1"/>
  <c r="O361" i="2" a="1"/>
  <c r="P361" i="2" a="1"/>
  <c r="W358" i="2" l="1"/>
  <c r="Q359" i="2"/>
  <c r="Q361" i="2"/>
  <c r="W359" i="2"/>
  <c r="W360" i="2"/>
  <c r="Q358" i="2"/>
  <c r="Q360" i="2"/>
  <c r="W361" i="2"/>
  <c r="AA361" i="2" l="1"/>
  <c r="AB361" i="2" s="1"/>
  <c r="AA358" i="2"/>
  <c r="AB358" i="2" s="1"/>
  <c r="AA359" i="2"/>
  <c r="AB359" i="2" s="1"/>
  <c r="AA360" i="2"/>
  <c r="AB360" i="2" s="1"/>
  <c r="O365" i="2" l="1" a="1"/>
  <c r="O363" i="2" a="1"/>
  <c r="P362" i="2" a="1"/>
  <c r="P363" i="2" a="1"/>
  <c r="P364" i="2" a="1"/>
  <c r="O362" i="2" a="1"/>
  <c r="P365" i="2" a="1"/>
  <c r="Q365" i="2" s="1"/>
  <c r="O364" i="2" a="1"/>
  <c r="Q362" i="2" l="1"/>
  <c r="W364" i="2"/>
  <c r="Q363" i="2"/>
  <c r="W365" i="2"/>
  <c r="AA365" i="2" s="1"/>
  <c r="AB365" i="2" s="1"/>
  <c r="W363" i="2"/>
  <c r="Q364" i="2"/>
  <c r="AA364" i="2" s="1"/>
  <c r="AB364" i="2" s="1"/>
  <c r="W362" i="2"/>
  <c r="AA362" i="2" l="1"/>
  <c r="AB362" i="2" s="1"/>
  <c r="AA363" i="2"/>
  <c r="AB363" i="2" s="1"/>
  <c r="P366" i="2" a="1"/>
  <c r="O367" i="2" a="1"/>
  <c r="O368" i="2" a="1"/>
  <c r="P369" i="2" a="1"/>
  <c r="P368" i="2" a="1"/>
  <c r="O366" i="2" a="1"/>
  <c r="O369" i="2" a="1"/>
  <c r="P367" i="2" a="1"/>
  <c r="Q369" i="2" l="1"/>
  <c r="Q367" i="2"/>
  <c r="Q366" i="2"/>
  <c r="W368" i="2"/>
  <c r="W366" i="2"/>
  <c r="W369" i="2"/>
  <c r="W367" i="2"/>
  <c r="Q368" i="2"/>
  <c r="O373" i="2" a="1"/>
  <c r="P372" i="2" a="1"/>
  <c r="P371" i="2" a="1"/>
  <c r="O371" i="2" a="1"/>
  <c r="O370" i="2" a="1"/>
  <c r="P370" i="2" a="1"/>
  <c r="P373" i="2" a="1"/>
  <c r="O372" i="2" a="1"/>
  <c r="AA369" i="2" l="1"/>
  <c r="AB369" i="2" s="1"/>
  <c r="AA366" i="2"/>
  <c r="AB366" i="2" s="1"/>
  <c r="AA367" i="2"/>
  <c r="AB367" i="2" s="1"/>
  <c r="AA368" i="2"/>
  <c r="AB368" i="2" s="1"/>
  <c r="Q373" i="2"/>
  <c r="W370" i="2"/>
  <c r="Q371" i="2"/>
  <c r="W372" i="2"/>
  <c r="Q370" i="2"/>
  <c r="W373" i="2"/>
  <c r="Q372" i="2"/>
  <c r="W371" i="2"/>
  <c r="AA370" i="2" l="1"/>
  <c r="AB370" i="2" s="1"/>
  <c r="AA373" i="2"/>
  <c r="AB373" i="2" s="1"/>
  <c r="O375" i="2" a="1"/>
  <c r="O377" i="2" a="1"/>
  <c r="P375" i="2" a="1"/>
  <c r="Q375" i="2" s="1"/>
  <c r="O374" i="2" a="1"/>
  <c r="P374" i="2" a="1"/>
  <c r="P376" i="2" a="1"/>
  <c r="P377" i="2" a="1"/>
  <c r="O376" i="2" a="1"/>
  <c r="P379" i="2" a="1"/>
  <c r="O379" i="2" a="1"/>
  <c r="O378" i="2" a="1"/>
  <c r="P378" i="2" a="1"/>
  <c r="AA371" i="2"/>
  <c r="AB371" i="2" s="1"/>
  <c r="AA372" i="2"/>
  <c r="AB372" i="2" s="1"/>
  <c r="Q377" i="2" l="1"/>
  <c r="W376" i="2"/>
  <c r="Q374" i="2"/>
  <c r="W379" i="2"/>
  <c r="Q378" i="2"/>
  <c r="W375" i="2"/>
  <c r="AA375" i="2" s="1"/>
  <c r="AB375" i="2" s="1"/>
  <c r="W374" i="2"/>
  <c r="Q376" i="2"/>
  <c r="Q379" i="2"/>
  <c r="W378" i="2"/>
  <c r="W377" i="2"/>
  <c r="O384" i="2" a="1"/>
  <c r="O380" i="2" a="1"/>
  <c r="P381" i="2" a="1"/>
  <c r="O382" i="2" a="1"/>
  <c r="P383" i="2" a="1"/>
  <c r="P385" i="2" a="1"/>
  <c r="O381" i="2" a="1"/>
  <c r="P380" i="2" a="1"/>
  <c r="AA377" i="2" l="1"/>
  <c r="AB377" i="2" s="1"/>
  <c r="AA376" i="2"/>
  <c r="AB376" i="2" s="1"/>
  <c r="AA374" i="2"/>
  <c r="AB374" i="2" s="1"/>
  <c r="AA379" i="2"/>
  <c r="AB379" i="2" s="1"/>
  <c r="AA378" i="2"/>
  <c r="AB378" i="2" s="1"/>
  <c r="P382" i="2" a="1"/>
  <c r="O383" i="2" a="1"/>
  <c r="W381" i="2"/>
  <c r="Q380" i="2"/>
  <c r="W380" i="2"/>
  <c r="Q381" i="2"/>
  <c r="P384" i="2" l="1" a="1"/>
  <c r="O385" i="2" a="1"/>
  <c r="W382" i="2"/>
  <c r="Q382" i="2"/>
  <c r="W383" i="2"/>
  <c r="Q383" i="2"/>
  <c r="AA381" i="2"/>
  <c r="AB381" i="2" s="1"/>
  <c r="AA380" i="2"/>
  <c r="AB380" i="2" s="1"/>
  <c r="O387" i="2" a="1"/>
  <c r="P386" i="2" a="1"/>
  <c r="P387" i="2" a="1"/>
  <c r="O386" i="2" a="1"/>
  <c r="Q384" i="2" l="1"/>
  <c r="W384" i="2"/>
  <c r="AA384" i="2" s="1"/>
  <c r="AB384" i="2" s="1"/>
  <c r="W385" i="2"/>
  <c r="AA385" i="2" s="1"/>
  <c r="AB385" i="2" s="1"/>
  <c r="Q385" i="2"/>
  <c r="AA383" i="2"/>
  <c r="AB383" i="2" s="1"/>
  <c r="AA382" i="2"/>
  <c r="AB382" i="2" s="1"/>
  <c r="W387" i="2"/>
  <c r="W386" i="2"/>
  <c r="Q386" i="2"/>
  <c r="Q387" i="2"/>
  <c r="O389" i="2" a="1"/>
  <c r="P388" i="2" a="1"/>
  <c r="O388" i="2" a="1"/>
  <c r="P389" i="2" a="1"/>
  <c r="Q389" i="2" l="1"/>
  <c r="AA386" i="2"/>
  <c r="AB386" i="2" s="1"/>
  <c r="AA387" i="2"/>
  <c r="AB387" i="2" s="1"/>
  <c r="W388" i="2"/>
  <c r="W389" i="2"/>
  <c r="Q388" i="2"/>
  <c r="AA389" i="2" l="1"/>
  <c r="AB389" i="2" s="1"/>
  <c r="P391" i="2" a="1"/>
  <c r="O390" i="2" a="1"/>
  <c r="O391" i="2" a="1"/>
  <c r="P390" i="2" a="1"/>
  <c r="AA388" i="2"/>
  <c r="AB388" i="2" s="1"/>
  <c r="W390" i="2" l="1"/>
  <c r="W391" i="2"/>
  <c r="Q391" i="2"/>
  <c r="Q390" i="2"/>
  <c r="P392" i="2" a="1"/>
  <c r="O393" i="2" a="1"/>
  <c r="O392" i="2" a="1"/>
  <c r="P393" i="2" a="1"/>
  <c r="AA391" i="2" l="1"/>
  <c r="AB391" i="2" s="1"/>
  <c r="AA390" i="2"/>
  <c r="AB390" i="2" s="1"/>
  <c r="W393" i="2"/>
  <c r="W392" i="2"/>
  <c r="Q392" i="2"/>
  <c r="AA392" i="2" s="1"/>
  <c r="AB392" i="2" s="1"/>
  <c r="Q393" i="2"/>
  <c r="AA393" i="2" l="1"/>
  <c r="AB393" i="2" s="1"/>
  <c r="P396" i="2" a="1"/>
  <c r="O394" i="2" a="1"/>
  <c r="O395" i="2" a="1"/>
  <c r="P394" i="2" a="1"/>
  <c r="P397" i="2" a="1"/>
  <c r="P395" i="2" a="1"/>
  <c r="O396" i="2" a="1"/>
  <c r="O397" i="2" a="1"/>
  <c r="O398" i="2" a="1"/>
  <c r="P398" i="2" a="1"/>
  <c r="O399" i="2" a="1"/>
  <c r="P399" i="2" a="1"/>
  <c r="W394" i="2" l="1"/>
  <c r="Q395" i="2"/>
  <c r="W396" i="2"/>
  <c r="W397" i="2"/>
  <c r="Q396" i="2"/>
  <c r="W395" i="2"/>
  <c r="Q394" i="2"/>
  <c r="Q397" i="2"/>
  <c r="Q398" i="2"/>
  <c r="W399" i="2"/>
  <c r="W398" i="2"/>
  <c r="Q399" i="2"/>
  <c r="AA394" i="2" l="1"/>
  <c r="AB394" i="2" s="1"/>
  <c r="AA396" i="2"/>
  <c r="AB396" i="2" s="1"/>
  <c r="AA395" i="2"/>
  <c r="AB395" i="2" s="1"/>
  <c r="AA397" i="2"/>
  <c r="AB397" i="2" s="1"/>
  <c r="AA398" i="2"/>
  <c r="AB398" i="2" s="1"/>
  <c r="AA399" i="2"/>
  <c r="AB399" i="2" s="1"/>
  <c r="P401" i="2" a="1"/>
  <c r="O400" i="2" a="1"/>
  <c r="P400" i="2" a="1"/>
  <c r="O401" i="2" a="1"/>
  <c r="W401" i="2" l="1"/>
  <c r="W400" i="2"/>
  <c r="Q401" i="2"/>
  <c r="Q400" i="2"/>
  <c r="AA401" i="2" l="1"/>
  <c r="AB401" i="2" s="1"/>
  <c r="AA400" i="2"/>
  <c r="AB400" i="2" s="1"/>
  <c r="O407" i="2" a="1"/>
  <c r="P406" i="2" a="1"/>
  <c r="P407" i="2" a="1"/>
  <c r="O406" i="2" a="1"/>
  <c r="O403" i="2" l="1" a="1"/>
  <c r="P403" i="2" a="1"/>
  <c r="O402" i="2" a="1"/>
  <c r="P402" i="2" a="1"/>
  <c r="P404" i="2" a="1"/>
  <c r="O405" i="2" a="1"/>
  <c r="O404" i="2" a="1"/>
  <c r="P405" i="2" a="1"/>
  <c r="Q407" i="2"/>
  <c r="W407" i="2"/>
  <c r="W406" i="2"/>
  <c r="Q406" i="2"/>
  <c r="W402" i="2" l="1"/>
  <c r="Q405" i="2"/>
  <c r="W403" i="2"/>
  <c r="Q404" i="2"/>
  <c r="Q403" i="2"/>
  <c r="Q402" i="2"/>
  <c r="W405" i="2"/>
  <c r="W404" i="2"/>
  <c r="AA407" i="2"/>
  <c r="AB407" i="2" s="1"/>
  <c r="AA406" i="2"/>
  <c r="AB406" i="2" s="1"/>
  <c r="P409" i="2" a="1"/>
  <c r="P408" i="2" a="1"/>
  <c r="O408" i="2" a="1"/>
  <c r="O409" i="2" a="1"/>
  <c r="AA402" i="2" l="1"/>
  <c r="AB402" i="2" s="1"/>
  <c r="AA405" i="2"/>
  <c r="AB405" i="2" s="1"/>
  <c r="AA403" i="2"/>
  <c r="AB403" i="2" s="1"/>
  <c r="AA404" i="2"/>
  <c r="AB404" i="2" s="1"/>
  <c r="Q409" i="2"/>
  <c r="Q408" i="2"/>
  <c r="W408" i="2"/>
  <c r="W409" i="2"/>
  <c r="AA409" i="2" l="1"/>
  <c r="AB409" i="2" s="1"/>
  <c r="AA408" i="2"/>
  <c r="AB408" i="2" s="1"/>
  <c r="P410" i="2" a="1"/>
  <c r="O411" i="2" a="1"/>
  <c r="P411" i="2" l="1" a="1"/>
  <c r="O410" i="2" a="1"/>
  <c r="Q411" i="2" l="1"/>
  <c r="W411" i="2"/>
  <c r="W410" i="2"/>
  <c r="Q410" i="2"/>
  <c r="AA411" i="2" l="1"/>
  <c r="AB411" i="2" s="1"/>
  <c r="O414" i="2" s="1" a="1"/>
  <c r="AA410" i="2"/>
  <c r="AB410" i="2" s="1"/>
  <c r="P412" i="2" a="1"/>
  <c r="O413" i="2" a="1"/>
  <c r="P413" i="2" a="1"/>
  <c r="Q413" i="2" s="1"/>
  <c r="O412" i="2" a="1"/>
  <c r="O415" i="2" a="1"/>
  <c r="P414" i="2" a="1"/>
  <c r="P415" i="2" a="1"/>
  <c r="W412" i="2" l="1"/>
  <c r="Q414" i="2"/>
  <c r="W415" i="2"/>
  <c r="Q412" i="2"/>
  <c r="AA412" i="2" s="1"/>
  <c r="AB412" i="2" s="1"/>
  <c r="W413" i="2"/>
  <c r="AA413" i="2" s="1"/>
  <c r="AB413" i="2" s="1"/>
  <c r="W414" i="2"/>
  <c r="Q415" i="2"/>
  <c r="AA415" i="2" l="1"/>
  <c r="AB415" i="2" s="1"/>
  <c r="AA414" i="2"/>
  <c r="AB414" i="2" s="1"/>
  <c r="O416" i="2" a="1"/>
  <c r="P417" i="2" a="1"/>
  <c r="P416" i="2" a="1"/>
  <c r="O417" i="2" a="1"/>
  <c r="Q417" i="2" l="1"/>
  <c r="W416" i="2"/>
  <c r="Q416" i="2"/>
  <c r="W417" i="2"/>
  <c r="AA417" i="2" l="1"/>
  <c r="AB417" i="2" s="1"/>
  <c r="AA416" i="2"/>
  <c r="AB416" i="2" s="1"/>
  <c r="P418" i="2" a="1"/>
  <c r="O418" i="2" a="1"/>
  <c r="O419" i="2" a="1"/>
  <c r="P419" i="2" a="1"/>
  <c r="O425" i="2" a="1"/>
  <c r="P424" i="2" a="1"/>
  <c r="P423" i="2" a="1"/>
  <c r="P422" i="2" a="1"/>
  <c r="P425" i="2" a="1"/>
  <c r="O422" i="2" a="1"/>
  <c r="O420" i="2" a="1"/>
  <c r="O424" i="2" a="1"/>
  <c r="O423" i="2" a="1"/>
  <c r="P420" i="2" a="1"/>
  <c r="O421" i="2" a="1"/>
  <c r="P421" i="2" a="1"/>
  <c r="Q421" i="2" s="1"/>
  <c r="Q425" i="2" l="1"/>
  <c r="W422" i="2"/>
  <c r="W423" i="2"/>
  <c r="Q418" i="2"/>
  <c r="W419" i="2"/>
  <c r="W424" i="2"/>
  <c r="Q420" i="2"/>
  <c r="Q419" i="2"/>
  <c r="AA419" i="2" s="1"/>
  <c r="AB419" i="2" s="1"/>
  <c r="W425" i="2"/>
  <c r="Q424" i="2"/>
  <c r="Q423" i="2"/>
  <c r="W420" i="2"/>
  <c r="W421" i="2"/>
  <c r="AA421" i="2" s="1"/>
  <c r="AB421" i="2" s="1"/>
  <c r="W418" i="2"/>
  <c r="Q422" i="2"/>
  <c r="AA425" i="2" l="1"/>
  <c r="AB425" i="2" s="1"/>
  <c r="AA422" i="2"/>
  <c r="AB422" i="2" s="1"/>
  <c r="AA423" i="2"/>
  <c r="AB423" i="2" s="1"/>
  <c r="AA420" i="2"/>
  <c r="AB420" i="2" s="1"/>
  <c r="AA424" i="2"/>
  <c r="AB424" i="2" s="1"/>
  <c r="AA418" i="2"/>
  <c r="AB418" i="2" s="1"/>
  <c r="O429" i="2" a="1"/>
  <c r="P429" i="2" a="1"/>
  <c r="P428" i="2" a="1"/>
  <c r="O428" i="2" a="1"/>
  <c r="O427" i="2" a="1"/>
  <c r="P427" i="2" a="1"/>
  <c r="P426" i="2" a="1"/>
  <c r="O426" i="2" a="1"/>
  <c r="W426" i="2" s="1"/>
  <c r="Q429" i="2" l="1"/>
  <c r="Q427" i="2"/>
  <c r="Q428" i="2"/>
  <c r="W428" i="2"/>
  <c r="W429" i="2"/>
  <c r="W427" i="2"/>
  <c r="Q426" i="2"/>
  <c r="AA426" i="2" s="1"/>
  <c r="AB426" i="2" s="1"/>
  <c r="AA428" i="2" l="1"/>
  <c r="AB428" i="2" s="1"/>
  <c r="AA429" i="2"/>
  <c r="AB429" i="2" s="1"/>
  <c r="AA427" i="2"/>
  <c r="AB427" i="2" s="1"/>
  <c r="P432" i="2" a="1"/>
  <c r="P430" i="2" a="1"/>
  <c r="O431" i="2" a="1"/>
  <c r="O433" i="2" a="1"/>
  <c r="P431" i="2" a="1"/>
  <c r="O430" i="2" a="1"/>
  <c r="P433" i="2" a="1"/>
  <c r="O432" i="2" a="1"/>
  <c r="P435" i="2" a="1"/>
  <c r="O434" i="2" a="1"/>
  <c r="O435" i="2" a="1"/>
  <c r="P434" i="2" a="1"/>
  <c r="Q434" i="2" l="1"/>
  <c r="Q430" i="2"/>
  <c r="W431" i="2"/>
  <c r="Q433" i="2"/>
  <c r="W435" i="2"/>
  <c r="W432" i="2"/>
  <c r="Q432" i="2"/>
  <c r="W433" i="2"/>
  <c r="Q431" i="2"/>
  <c r="W430" i="2"/>
  <c r="Q435" i="2"/>
  <c r="W434" i="2"/>
  <c r="O443" i="2" a="1"/>
  <c r="O441" i="2" a="1"/>
  <c r="O442" i="2" a="1"/>
  <c r="P436" i="2" a="1"/>
  <c r="O439" i="2" a="1"/>
  <c r="P440" i="2" a="1"/>
  <c r="P443" i="2" a="1"/>
  <c r="P442" i="2" a="1"/>
  <c r="Q442" i="2" s="1"/>
  <c r="O437" i="2" a="1"/>
  <c r="O440" i="2" a="1"/>
  <c r="W440" i="2" s="1"/>
  <c r="P438" i="2" a="1"/>
  <c r="O436" i="2" a="1"/>
  <c r="P437" i="2" a="1"/>
  <c r="P441" i="2" a="1"/>
  <c r="Q441" i="2" s="1"/>
  <c r="AA434" i="2" l="1"/>
  <c r="AB434" i="2" s="1"/>
  <c r="Q443" i="2"/>
  <c r="AA433" i="2"/>
  <c r="AB433" i="2" s="1"/>
  <c r="AA430" i="2"/>
  <c r="AB430" i="2" s="1"/>
  <c r="W437" i="2"/>
  <c r="AA432" i="2"/>
  <c r="AB432" i="2" s="1"/>
  <c r="AA431" i="2"/>
  <c r="AB431" i="2" s="1"/>
  <c r="AA435" i="2"/>
  <c r="AB435" i="2" s="1"/>
  <c r="W436" i="2"/>
  <c r="W442" i="2"/>
  <c r="AA442" i="2" s="1"/>
  <c r="AB442" i="2" s="1"/>
  <c r="Q440" i="2"/>
  <c r="AA440" i="2" s="1"/>
  <c r="AB440" i="2" s="1"/>
  <c r="W441" i="2"/>
  <c r="AA441" i="2" s="1"/>
  <c r="AB441" i="2" s="1"/>
  <c r="W443" i="2"/>
  <c r="Q436" i="2"/>
  <c r="Q437" i="2"/>
  <c r="AA443" i="2" l="1"/>
  <c r="AB443" i="2" s="1"/>
  <c r="AA436" i="2"/>
  <c r="AB436" i="2" s="1"/>
  <c r="AA437" i="2"/>
  <c r="AB437" i="2" s="1"/>
  <c r="P439" i="2" a="1"/>
  <c r="O438" i="2" a="1"/>
  <c r="O444" i="2" a="1"/>
  <c r="P445" i="2" a="1"/>
  <c r="Q445" i="2" s="1"/>
  <c r="O445" i="2" a="1"/>
  <c r="O447" i="2" a="1"/>
  <c r="P446" i="2" a="1"/>
  <c r="P444" i="2" a="1"/>
  <c r="O446" i="2" a="1"/>
  <c r="P447" i="2" a="1"/>
  <c r="W446" i="2" l="1"/>
  <c r="Q439" i="2"/>
  <c r="W439" i="2"/>
  <c r="W438" i="2"/>
  <c r="Q438" i="2"/>
  <c r="Q444" i="2"/>
  <c r="Q447" i="2"/>
  <c r="W444" i="2"/>
  <c r="W445" i="2"/>
  <c r="AA445" i="2" s="1"/>
  <c r="AB445" i="2" s="1"/>
  <c r="W447" i="2"/>
  <c r="Q446" i="2"/>
  <c r="AA446" i="2" l="1"/>
  <c r="AB446" i="2" s="1"/>
  <c r="AA439" i="2"/>
  <c r="AB439" i="2" s="1"/>
  <c r="AA438" i="2"/>
  <c r="AB438" i="2" s="1"/>
  <c r="AA444" i="2"/>
  <c r="AB444" i="2" s="1"/>
  <c r="AA447" i="2"/>
  <c r="AB447" i="2" s="1"/>
  <c r="P451" i="2" s="1" a="1"/>
  <c r="O451" i="2" a="1"/>
  <c r="P450" i="2" a="1"/>
  <c r="O449" i="2" a="1"/>
  <c r="P448" i="2" a="1"/>
  <c r="Q448" i="2" s="1"/>
  <c r="P449" i="2" a="1"/>
  <c r="O448" i="2" a="1"/>
  <c r="O450" i="2" a="1"/>
  <c r="W450" i="2" s="1"/>
  <c r="W448" i="2" l="1"/>
  <c r="AA448" i="2" s="1"/>
  <c r="AB448" i="2" s="1"/>
  <c r="Q449" i="2"/>
  <c r="Q451" i="2"/>
  <c r="W451" i="2"/>
  <c r="Q450" i="2"/>
  <c r="AA450" i="2" s="1"/>
  <c r="AB450" i="2" s="1"/>
  <c r="W449" i="2"/>
  <c r="AA449" i="2" l="1"/>
  <c r="AB449" i="2" s="1"/>
  <c r="AA451" i="2"/>
  <c r="AB451" i="2" s="1"/>
  <c r="O454" i="2" a="1"/>
  <c r="P455" i="2" a="1"/>
  <c r="O455" i="2" a="1"/>
  <c r="P454" i="2" a="1"/>
  <c r="P453" i="2" a="1"/>
  <c r="O452" i="2" a="1"/>
  <c r="O453" i="2" a="1"/>
  <c r="P452" i="2" a="1"/>
  <c r="W455" i="2" l="1"/>
  <c r="Q452" i="2"/>
  <c r="Q453" i="2"/>
  <c r="W454" i="2"/>
  <c r="W452" i="2"/>
  <c r="AA452" i="2" s="1"/>
  <c r="AB452" i="2" s="1"/>
  <c r="Q455" i="2"/>
  <c r="Q454" i="2"/>
  <c r="W453" i="2"/>
  <c r="AA455" i="2" l="1"/>
  <c r="AB455" i="2" s="1"/>
  <c r="AA453" i="2"/>
  <c r="AB453" i="2" s="1"/>
  <c r="AA454" i="2"/>
  <c r="AB454" i="2" s="1"/>
  <c r="O459" i="2" a="1"/>
  <c r="P456" i="2" a="1"/>
  <c r="O458" i="2" a="1"/>
  <c r="O457" i="2" a="1"/>
  <c r="P459" i="2" a="1"/>
  <c r="P458" i="2" a="1"/>
  <c r="O456" i="2" a="1"/>
  <c r="P457" i="2" a="1"/>
  <c r="Q457" i="2" l="1"/>
  <c r="Q459" i="2"/>
  <c r="Q456" i="2"/>
  <c r="W459" i="2"/>
  <c r="W458" i="2"/>
  <c r="O461" i="2" a="1"/>
  <c r="O460" i="2" a="1"/>
  <c r="P461" i="2" a="1"/>
  <c r="P460" i="2" a="1"/>
  <c r="W457" i="2"/>
  <c r="AA457" i="2" s="1"/>
  <c r="AB457" i="2" s="1"/>
  <c r="Q458" i="2"/>
  <c r="W456" i="2"/>
  <c r="AA459" i="2" l="1"/>
  <c r="AB459" i="2" s="1"/>
  <c r="W461" i="2"/>
  <c r="AA456" i="2"/>
  <c r="AB456" i="2" s="1"/>
  <c r="W460" i="2"/>
  <c r="Q461" i="2"/>
  <c r="AA458" i="2"/>
  <c r="AB458" i="2" s="1"/>
  <c r="P463" i="2" a="1"/>
  <c r="O462" i="2" a="1"/>
  <c r="O463" i="2" a="1"/>
  <c r="P462" i="2" a="1"/>
  <c r="Q460" i="2"/>
  <c r="AA460" i="2" s="1"/>
  <c r="AB460" i="2" s="1"/>
  <c r="G25" i="3" s="1" a="1"/>
  <c r="AA461" i="2" l="1"/>
  <c r="AB461" i="2" s="1"/>
  <c r="W463" i="2"/>
  <c r="W462" i="2"/>
  <c r="Q463" i="2"/>
  <c r="Q462" i="2"/>
  <c r="AA463" i="2" l="1"/>
  <c r="AB463" i="2" s="1"/>
  <c r="AA462" i="2"/>
  <c r="AB462" i="2" s="1"/>
  <c r="O467" i="2" a="1"/>
  <c r="O466" i="2" a="1"/>
  <c r="P467" i="2" a="1"/>
  <c r="P466" i="2" a="1"/>
  <c r="O465" i="2" a="1"/>
  <c r="P464" i="2" a="1"/>
  <c r="O464" i="2" a="1"/>
  <c r="W464" i="2" s="1"/>
  <c r="P465" i="2" a="1"/>
  <c r="Q467" i="2" l="1"/>
  <c r="Q466" i="2"/>
  <c r="W465" i="2"/>
  <c r="W467" i="2"/>
  <c r="AA467" i="2" s="1"/>
  <c r="AB467" i="2" s="1"/>
  <c r="W466" i="2"/>
  <c r="Q464" i="2"/>
  <c r="AA464" i="2" s="1"/>
  <c r="AB464" i="2" s="1"/>
  <c r="Q465" i="2"/>
  <c r="AA466" i="2" l="1"/>
  <c r="AB466" i="2" s="1"/>
  <c r="AA465" i="2"/>
  <c r="AB465" i="2" s="1"/>
  <c r="P469" i="2" a="1"/>
  <c r="O468" i="2" a="1"/>
  <c r="P468" i="2" a="1"/>
  <c r="O469" i="2" a="1"/>
  <c r="O471" i="2" a="1"/>
  <c r="P471" i="2" a="1"/>
  <c r="O470" i="2" a="1"/>
  <c r="P470" i="2" a="1"/>
  <c r="W468" i="2" l="1"/>
  <c r="W469" i="2"/>
  <c r="W470" i="2"/>
  <c r="W471" i="2"/>
  <c r="Q469" i="2"/>
  <c r="AA469" i="2" s="1"/>
  <c r="AB469" i="2" s="1"/>
  <c r="Q468" i="2"/>
  <c r="AA468" i="2" s="1"/>
  <c r="AB468" i="2" s="1"/>
  <c r="Q471" i="2"/>
  <c r="Q470" i="2"/>
  <c r="AA470" i="2" s="1"/>
  <c r="AB470" i="2" s="1"/>
  <c r="G26" i="3" s="1" a="1"/>
  <c r="AA471" i="2" l="1"/>
  <c r="AB471" i="2" s="1"/>
  <c r="O475" i="2" a="1"/>
  <c r="P474" i="2" a="1"/>
  <c r="P475" i="2" a="1"/>
  <c r="O474" i="2" a="1"/>
  <c r="P472" i="2" l="1" a="1"/>
  <c r="P473" i="2" a="1"/>
  <c r="O473" i="2" a="1"/>
  <c r="O472" i="2" a="1"/>
  <c r="Q475" i="2"/>
  <c r="W474" i="2"/>
  <c r="W475" i="2"/>
  <c r="Q474" i="2"/>
  <c r="Q472" i="2" l="1"/>
  <c r="Q473" i="2"/>
  <c r="W473" i="2"/>
  <c r="W472" i="2"/>
  <c r="AA474" i="2"/>
  <c r="AB474" i="2" s="1"/>
  <c r="G31" i="3" s="1" a="1"/>
  <c r="AA475" i="2"/>
  <c r="AB475" i="2" s="1"/>
  <c r="AA472" i="2" l="1"/>
  <c r="AB472" i="2" s="1"/>
  <c r="AA473" i="2"/>
  <c r="AB473" i="2" s="1"/>
  <c r="P477" i="2" a="1"/>
  <c r="O476" i="2" a="1"/>
  <c r="O477" i="2" a="1"/>
  <c r="P476" i="2" a="1"/>
  <c r="AX5" i="3" a="1"/>
  <c r="Q477" i="2" l="1"/>
  <c r="W477" i="2"/>
  <c r="W476" i="2"/>
  <c r="Q476" i="2"/>
  <c r="AA477" i="2" l="1"/>
  <c r="AB477" i="2" s="1"/>
  <c r="P478" i="2" a="1"/>
  <c r="O479" i="2" a="1"/>
  <c r="AA476" i="2"/>
  <c r="AB476" i="2" s="1"/>
  <c r="O478" i="2" l="1" a="1"/>
  <c r="P479" i="2" a="1"/>
  <c r="Q478" i="2" l="1"/>
  <c r="W478" i="2"/>
  <c r="W479" i="2"/>
  <c r="Q479" i="2"/>
  <c r="AA478" i="2" l="1"/>
  <c r="AB478" i="2" s="1"/>
  <c r="P480" i="2" a="1"/>
  <c r="O481" i="2" a="1"/>
  <c r="AA479" i="2"/>
  <c r="AB479" i="2" s="1"/>
  <c r="AX2" i="3" a="1"/>
  <c r="O480" i="2" l="1" a="1"/>
  <c r="P481" i="2" a="1"/>
  <c r="AX9" i="3" a="1"/>
  <c r="Q480" i="2" l="1"/>
  <c r="W480" i="2"/>
  <c r="W481" i="2"/>
  <c r="Q481" i="2"/>
  <c r="AX4" i="3" a="1"/>
  <c r="AA481" i="2" l="1"/>
  <c r="AB481" i="2" s="1"/>
  <c r="O483" i="2" a="1"/>
  <c r="P482" i="2" a="1"/>
  <c r="AA480" i="2"/>
  <c r="AB480" i="2" s="1"/>
  <c r="G37" i="3" a="1"/>
  <c r="O482" i="2" l="1" a="1"/>
  <c r="P483" i="2" a="1"/>
  <c r="Q482" i="2" l="1"/>
  <c r="W482" i="2"/>
  <c r="W483" i="2"/>
  <c r="Q483" i="2"/>
  <c r="AA483" i="2" l="1"/>
  <c r="AB483" i="2" s="1"/>
  <c r="P485" i="2" a="1"/>
  <c r="O484" i="2" a="1"/>
  <c r="AA482" i="2"/>
  <c r="AB482" i="2" s="1"/>
  <c r="P484" i="2" l="1" a="1"/>
  <c r="O485" i="2" a="1"/>
  <c r="W484" i="2" l="1"/>
  <c r="Q484" i="2"/>
  <c r="Q485" i="2"/>
  <c r="W485" i="2"/>
  <c r="AA485" i="2" l="1"/>
  <c r="AB485" i="2" s="1"/>
  <c r="AA484" i="2"/>
  <c r="AB484" i="2" s="1"/>
  <c r="AX6" i="3" l="1" a="1"/>
  <c r="G33" i="3" a="1"/>
  <c r="G27" i="3" l="1" a="1"/>
  <c r="G29" i="3" l="1" a="1"/>
  <c r="G36" i="3" a="1"/>
  <c r="AX8" i="3" l="1" a="1"/>
  <c r="G34" i="3" a="1"/>
  <c r="AX7" i="3" l="1" a="1"/>
  <c r="G30" i="3" a="1"/>
  <c r="AX3" i="3" l="1" a="1"/>
  <c r="G32" i="3" a="1"/>
  <c r="G28" i="3" l="1" a="1"/>
  <c r="G35" i="3" a="1"/>
  <c r="A2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<sst xmlns="http://schemas.openxmlformats.org/spreadsheetml/2006/main" count="2507" uniqueCount="89">
  <si>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</si>
  <si>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</si>
  <si>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</si>
  <si>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</si>
  <si>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</si>
  <si>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</si>
  <si>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</si>
  <si>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</si>
  <si>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</si>
  <si>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</si>
  <si>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</si>
  <si>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</si>
  <si>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</si>
  <si>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</si>
  <si>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</si>
  <si>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</si>
  <si>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</si>
  <si>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</si>
  <si>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</si>
  <si>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</si>
  <si>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</si>
  <si>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</si>
  <si>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</si>
  <si>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</si>
  <si>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</si>
  <si>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</si>
  <si>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</si>
  <si>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</si>
  <si>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</si>
  <si>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</si>
  <si>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</si>
  <si>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</si>
  <si>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</si>
  <si>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</si>
  <si>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</si>
  <si>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</si>
  <si>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</si>
  <si>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</si>
  <si>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</si>
  <si>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</si>
  <si>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</si>
  <si>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</si>
  <si>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</si>
  <si>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</si>
  <si>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</si>
  <si>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</si>
  <si>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</si>
  <si>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</si>
  <si>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</si>
  <si>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</si>
  <si>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</si>
  <si>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</si>
  <si>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</si>
  <si>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</si>
  <si>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</si>
  <si>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</si>
  <si>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</si>
  <si>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</si>
  <si>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</si>
  <si>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</si>
  <si>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</si>
  <si>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</si>
  <si>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</si>
  <si>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</si>
  <si>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</si>
  <si>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</si>
  <si>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</si>
  <si>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</si>
  <si>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</si>
  <si>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</si>
  <si>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Sacramento Monarchs</t>
  </si>
  <si>
    <t>WAS</t>
  </si>
  <si>
    <t>Washington Mystics</t>
  </si>
  <si>
    <t>DET</t>
  </si>
  <si>
    <t>Detroit Shock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</si>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</sst>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39924189818" createdVersion="8" refreshedVersion="8" minRefreshableVersion="3" recordCount="484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9-06-06T00:00:00" maxDate="2009-10-10T00:00:00"/>
    </cacheField>
    <cacheField name="Season" numFmtId="1">
      <sharedItems containsSemiMixedTypes="0" containsString="0" containsNumber="1" containsInteger="1" minValue="2009" maxValue="2009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7">
        <s v="IND"/>
        <s v="ATL"/>
        <s v="WAS"/>
        <s v="CON"/>
        <s v="DET"/>
        <s v="LAS"/>
        <s v="CHI"/>
        <s v="MIN"/>
        <s v="SAS"/>
        <s v="PHX"/>
        <s v="SEA"/>
        <s v="SAC"/>
        <s v="NYL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8"/>
    </cacheField>
    <cacheField name="OppDaysOff" numFmtId="1">
      <sharedItems containsSemiMixedTypes="0" containsString="0" containsNumber="1" containsInteger="1" minValue="0" maxValue="8"/>
    </cacheField>
    <cacheField name="RestDiff" numFmtId="1">
      <sharedItems containsSemiMixedTypes="0" containsString="0" containsNumber="1" containsInteger="1" minValue="-6" maxValue="6"/>
    </cacheField>
    <cacheField name="OppRestDiff" numFmtId="1">
      <sharedItems containsSemiMixedTypes="0" containsString="0" containsNumber="1" containsInteger="1" minValue="-6" maxValue="6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86.0045557738115" maxValue="1642.7492082696956"/>
    </cacheField>
    <cacheField name="OppPreGmRate" numFmtId="165">
      <sharedItems containsSemiMixedTypes="0" containsString="0" containsNumber="1" minValue="1386.0045557738115" maxValue="1642.7492082696956"/>
    </cacheField>
    <cacheField name="ExpectedWin%" numFmtId="165">
      <sharedItems containsSemiMixedTypes="0" containsString="0" containsNumber="1" minValue="0.16422702333729275" maxValue="0.83577297666270733"/>
    </cacheField>
    <cacheField name="PointsFor" numFmtId="0">
      <sharedItems containsSemiMixedTypes="0" containsString="0" containsNumber="1" containsInteger="1" minValue="47" maxValue="120"/>
    </cacheField>
    <cacheField name="PointsAgainst" numFmtId="0">
      <sharedItems containsSemiMixedTypes="0" containsString="0" containsNumber="1" containsInteger="1" minValue="47" maxValue="120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0" maxValue="30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199062515358901" maxValue="0.69521087116974012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25" maxValue="75.849999999999994"/>
    </cacheField>
    <cacheField name="Keff" numFmtId="165">
      <sharedItems containsSemiMixedTypes="0" containsString="0" containsNumber="1" minValue="70.900000000000006" maxValue="94.5"/>
    </cacheField>
    <cacheField name="RatingChange" numFmtId="165">
      <sharedItems containsSemiMixedTypes="0" containsString="0" containsNumber="1" minValue="-27.538951410631245" maxValue="27.561338339177411"/>
    </cacheField>
    <cacheField name="PostGmRate" numFmtId="165">
      <sharedItems containsSemiMixedTypes="0" containsString="0" containsNumber="1" minValue="1386.0045557738115" maxValue="1642.7492082696956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d v="2009-06-06T00:00:00"/>
    <n v="2009"/>
    <x v="0"/>
    <s v="R"/>
    <s v="RS"/>
    <x v="0"/>
    <s v="ATL"/>
    <s v="A"/>
    <n v="0"/>
    <n v="0"/>
    <n v="0"/>
    <n v="0"/>
    <n v="0"/>
    <n v="0"/>
    <n v="1500.0201025470019"/>
    <n v="1394.4444381220078"/>
    <n v="0.53101002515090912"/>
    <n v="86"/>
    <n v="87"/>
    <n v="1"/>
    <n v="-1"/>
    <n v="0"/>
    <n v="0.20199062515358901"/>
    <n v="1"/>
    <n v="75.849999999999994"/>
    <n v="75.849999999999994"/>
    <n v="-8.1355987106307328"/>
    <n v="1491.8845038363711"/>
    <n v="0"/>
    <n v="1"/>
    <n v="0"/>
    <n v="0"/>
    <n v="0"/>
    <n v="0"/>
    <n v="0"/>
    <n v="0"/>
    <n v="0"/>
    <n v="0"/>
  </r>
  <r>
    <d v="2009-06-06T00:00:00"/>
    <n v="2009"/>
    <x v="0"/>
    <s v="R"/>
    <s v="RS"/>
    <x v="1"/>
    <s v="IND"/>
    <s v="H"/>
    <n v="0"/>
    <n v="0"/>
    <n v="0"/>
    <n v="0"/>
    <n v="0"/>
    <n v="0"/>
    <n v="1394.4444381220078"/>
    <n v="1500.0201025470019"/>
    <n v="0.46898997484909088"/>
    <n v="87"/>
    <n v="86"/>
    <n v="1"/>
    <n v="1"/>
    <n v="1"/>
    <n v="0.20199062515358901"/>
    <n v="1"/>
    <n v="75.849999999999994"/>
    <n v="75.849999999999994"/>
    <n v="8.1355987106307328"/>
    <n v="1402.5800368326386"/>
    <n v="1"/>
    <n v="0"/>
    <n v="0"/>
    <n v="0"/>
    <n v="0"/>
    <n v="0"/>
    <n v="0"/>
    <n v="0"/>
    <n v="0"/>
    <n v="0"/>
  </r>
  <r>
    <d v="2009-06-06T00:00:00"/>
    <n v="2009"/>
    <x v="0"/>
    <s v="R"/>
    <s v="RS"/>
    <x v="2"/>
    <s v="CON"/>
    <s v="A"/>
    <n v="0"/>
    <n v="0"/>
    <n v="0"/>
    <n v="0"/>
    <n v="0"/>
    <n v="0"/>
    <n v="1419.7208799808777"/>
    <n v="1525.5716969777627"/>
    <n v="0.25107838334150606"/>
    <n v="82"/>
    <n v="70"/>
    <n v="0"/>
    <n v="12"/>
    <n v="1"/>
    <n v="0.4191560969809881"/>
    <n v="1"/>
    <n v="75.849999999999994"/>
    <n v="75.849999999999994"/>
    <n v="23.81045743626073"/>
    <n v="1443.5313374171385"/>
    <n v="1"/>
    <n v="0"/>
    <n v="0"/>
    <n v="0"/>
    <n v="0"/>
    <n v="0"/>
    <n v="0"/>
    <n v="0"/>
    <n v="0"/>
    <n v="0"/>
  </r>
  <r>
    <d v="2009-06-06T00:00:00"/>
    <n v="2009"/>
    <x v="0"/>
    <s v="R"/>
    <s v="RS"/>
    <x v="3"/>
    <s v="WAS"/>
    <s v="H"/>
    <n v="0"/>
    <n v="0"/>
    <n v="0"/>
    <n v="0"/>
    <n v="0"/>
    <n v="0"/>
    <n v="1525.5716969777627"/>
    <n v="1419.7208799808777"/>
    <n v="0.74892161665849388"/>
    <n v="70"/>
    <n v="82"/>
    <n v="0"/>
    <n v="-12"/>
    <n v="0"/>
    <n v="0.4191560969809881"/>
    <n v="1"/>
    <n v="75.849999999999994"/>
    <n v="75.849999999999994"/>
    <n v="-23.810457436260727"/>
    <n v="1501.7612395415019"/>
    <n v="0"/>
    <n v="1"/>
    <n v="0"/>
    <n v="0"/>
    <n v="0"/>
    <n v="0"/>
    <n v="0"/>
    <n v="0"/>
    <n v="0"/>
    <n v="0"/>
  </r>
  <r>
    <d v="2009-06-06T00:00:00"/>
    <n v="2009"/>
    <x v="0"/>
    <s v="R"/>
    <s v="RS"/>
    <x v="4"/>
    <s v="LAS"/>
    <s v="A"/>
    <n v="0"/>
    <n v="0"/>
    <n v="0"/>
    <n v="0"/>
    <n v="0"/>
    <n v="0"/>
    <n v="1584.4086232313275"/>
    <n v="1534.8556792704112"/>
    <n v="0.45058850121041705"/>
    <n v="58"/>
    <n v="78"/>
    <n v="0"/>
    <n v="-20"/>
    <n v="0"/>
    <n v="0.55208931647492077"/>
    <n v="1"/>
    <n v="75.849999999999994"/>
    <n v="75.849999999999994"/>
    <n v="-18.86883265635187"/>
    <n v="1565.5397905749755"/>
    <n v="0"/>
    <n v="1"/>
    <n v="0"/>
    <n v="0"/>
    <n v="0"/>
    <n v="0"/>
    <n v="0"/>
    <n v="0"/>
    <n v="0"/>
    <n v="0"/>
  </r>
  <r>
    <d v="2009-06-06T00:00:00"/>
    <n v="2009"/>
    <x v="0"/>
    <s v="R"/>
    <s v="RS"/>
    <x v="5"/>
    <s v="DET"/>
    <s v="H"/>
    <n v="0"/>
    <n v="0"/>
    <n v="0"/>
    <n v="0"/>
    <n v="0"/>
    <n v="0"/>
    <n v="1534.8556792704112"/>
    <n v="1584.4086232313275"/>
    <n v="0.54941149878958295"/>
    <n v="78"/>
    <n v="58"/>
    <n v="0"/>
    <n v="20"/>
    <n v="1"/>
    <n v="0.55208931647492077"/>
    <n v="1"/>
    <n v="75.849999999999994"/>
    <n v="75.849999999999994"/>
    <n v="18.86883265635187"/>
    <n v="1553.7245119267632"/>
    <n v="1"/>
    <n v="0"/>
    <n v="0"/>
    <n v="0"/>
    <n v="0"/>
    <n v="0"/>
    <n v="0"/>
    <n v="0"/>
    <n v="0"/>
    <n v="0"/>
  </r>
  <r>
    <d v="2009-06-06T00:00:00"/>
    <n v="2009"/>
    <x v="0"/>
    <s v="R"/>
    <s v="RS"/>
    <x v="6"/>
    <s v="MIN"/>
    <s v="A"/>
    <n v="0"/>
    <n v="0"/>
    <n v="0"/>
    <n v="0"/>
    <n v="0"/>
    <n v="0"/>
    <n v="1462.8308403904368"/>
    <n v="1489.5342017940088"/>
    <n v="0.34586623356128265"/>
    <n v="85"/>
    <n v="102"/>
    <n v="0"/>
    <n v="-17"/>
    <n v="0"/>
    <n v="0.52085166063892085"/>
    <n v="1"/>
    <n v="75.849999999999994"/>
    <n v="75.849999999999994"/>
    <n v="-13.663998409992145"/>
    <n v="1449.1668419804446"/>
    <n v="0"/>
    <n v="1"/>
    <n v="0"/>
    <n v="0"/>
    <n v="0"/>
    <n v="0"/>
    <n v="0"/>
    <n v="0"/>
    <n v="0"/>
    <n v="0"/>
  </r>
  <r>
    <d v="2009-06-06T00:00:00"/>
    <n v="2009"/>
    <x v="0"/>
    <s v="R"/>
    <s v="RS"/>
    <x v="7"/>
    <s v="CHI"/>
    <s v="H"/>
    <n v="0"/>
    <n v="0"/>
    <n v="0"/>
    <n v="0"/>
    <n v="0"/>
    <n v="0"/>
    <n v="1489.5342017940088"/>
    <n v="1462.8308403904368"/>
    <n v="0.65413376643871735"/>
    <n v="102"/>
    <n v="85"/>
    <n v="0"/>
    <n v="17"/>
    <n v="1"/>
    <n v="0.52085166063892085"/>
    <n v="1"/>
    <n v="75.849999999999994"/>
    <n v="75.849999999999994"/>
    <n v="13.663998409992145"/>
    <n v="1503.1982002040011"/>
    <n v="1"/>
    <n v="0"/>
    <n v="0"/>
    <n v="0"/>
    <n v="0"/>
    <n v="0"/>
    <n v="0"/>
    <n v="0"/>
    <n v="0"/>
    <n v="0"/>
  </r>
  <r>
    <d v="2009-06-06T00:00:00"/>
    <n v="2009"/>
    <x v="0"/>
    <s v="R"/>
    <s v="RS"/>
    <x v="8"/>
    <s v="PHX"/>
    <s v="A"/>
    <n v="0"/>
    <n v="0"/>
    <n v="0"/>
    <n v="0"/>
    <n v="0"/>
    <n v="0"/>
    <n v="1535.4811431585354"/>
    <n v="1510.9474794969915"/>
    <n v="0.41524706385483062"/>
    <n v="79"/>
    <n v="90"/>
    <n v="0"/>
    <n v="-11"/>
    <n v="0"/>
    <n v="0.43102380928503431"/>
    <n v="1"/>
    <n v="75.849999999999994"/>
    <n v="75.849999999999994"/>
    <n v="-13.575737009853688"/>
    <n v="1521.9054061486818"/>
    <n v="0"/>
    <n v="1"/>
    <n v="0"/>
    <n v="0"/>
    <n v="0"/>
    <n v="0"/>
    <n v="0"/>
    <n v="0"/>
    <n v="0"/>
    <n v="0"/>
  </r>
  <r>
    <d v="2009-06-06T00:00:00"/>
    <n v="2009"/>
    <x v="0"/>
    <s v="R"/>
    <s v="RS"/>
    <x v="9"/>
    <s v="SAS"/>
    <s v="H"/>
    <n v="0"/>
    <n v="0"/>
    <n v="0"/>
    <n v="0"/>
    <n v="0"/>
    <n v="0"/>
    <n v="1510.9474794969915"/>
    <n v="1535.4811431585354"/>
    <n v="0.58475293614516932"/>
    <n v="90"/>
    <n v="79"/>
    <n v="0"/>
    <n v="11"/>
    <n v="1"/>
    <n v="0.43102380928503431"/>
    <n v="1"/>
    <n v="75.849999999999994"/>
    <n v="75.849999999999994"/>
    <n v="13.57573700985369"/>
    <n v="1524.5232165068451"/>
    <n v="1"/>
    <n v="0"/>
    <n v="0"/>
    <n v="0"/>
    <n v="0"/>
    <n v="0"/>
    <n v="0"/>
    <n v="0"/>
    <n v="0"/>
    <n v="0"/>
  </r>
  <r>
    <d v="2009-06-06T00:00:00"/>
    <n v="2009"/>
    <x v="0"/>
    <s v="R"/>
    <s v="RS"/>
    <x v="10"/>
    <s v="SAC"/>
    <s v="A"/>
    <n v="0"/>
    <n v="0"/>
    <n v="0"/>
    <n v="0"/>
    <n v="0"/>
    <n v="0"/>
    <n v="1528.9237849239667"/>
    <n v="1512.8361768123923"/>
    <n v="0.40349220194546187"/>
    <n v="71"/>
    <n v="61"/>
    <n v="0"/>
    <n v="10"/>
    <n v="1"/>
    <n v="0.41753212170891135"/>
    <n v="1"/>
    <n v="75.849999999999994"/>
    <n v="75.849999999999994"/>
    <n v="18.891289481878637"/>
    <n v="1547.8150744058453"/>
    <n v="1"/>
    <n v="0"/>
    <n v="0"/>
    <n v="0"/>
    <n v="0"/>
    <n v="0"/>
    <n v="0"/>
    <n v="0"/>
    <n v="0"/>
    <n v="0"/>
  </r>
  <r>
    <d v="2009-06-06T00:00:00"/>
    <n v="2009"/>
    <x v="0"/>
    <s v="R"/>
    <s v="RS"/>
    <x v="11"/>
    <s v="SEA"/>
    <s v="H"/>
    <n v="0"/>
    <n v="0"/>
    <n v="0"/>
    <n v="0"/>
    <n v="0"/>
    <n v="0"/>
    <n v="1512.8361768123923"/>
    <n v="1528.9237849239667"/>
    <n v="0.59650779805453813"/>
    <n v="61"/>
    <n v="71"/>
    <n v="0"/>
    <n v="-10"/>
    <n v="0"/>
    <n v="0.41753212170891135"/>
    <n v="1"/>
    <n v="75.849999999999994"/>
    <n v="75.849999999999994"/>
    <n v="-18.891289481878637"/>
    <n v="1493.9448873305137"/>
    <n v="0"/>
    <n v="1"/>
    <n v="0"/>
    <n v="0"/>
    <n v="0"/>
    <n v="0"/>
    <n v="0"/>
    <n v="0"/>
    <n v="0"/>
    <n v="0"/>
  </r>
  <r>
    <d v="2009-06-07T00:00:00"/>
    <n v="2009"/>
    <x v="1"/>
    <s v="R"/>
    <s v="RS"/>
    <x v="7"/>
    <s v="IND"/>
    <s v="A"/>
    <n v="0"/>
    <n v="0"/>
    <n v="0"/>
    <n v="0"/>
    <n v="0"/>
    <n v="0"/>
    <n v="1503.1982002040011"/>
    <n v="1491.8845038363711"/>
    <n v="0.39689584995825028"/>
    <n v="96"/>
    <n v="74"/>
    <n v="0"/>
    <n v="22"/>
    <n v="1"/>
    <n v="0.59643295353686887"/>
    <n v="1"/>
    <n v="75.7"/>
    <n v="75.7"/>
    <n v="27.230137045130601"/>
    <n v="1530.4283372491316"/>
    <n v="1"/>
    <n v="0"/>
    <n v="0"/>
    <n v="0"/>
    <n v="0"/>
    <n v="0"/>
    <n v="0"/>
    <n v="0"/>
    <n v="0"/>
    <n v="0"/>
  </r>
  <r>
    <d v="2009-06-07T00:00:00"/>
    <n v="2009"/>
    <x v="1"/>
    <s v="R"/>
    <s v="RS"/>
    <x v="0"/>
    <s v="MIN"/>
    <s v="H"/>
    <n v="0"/>
    <n v="0"/>
    <n v="0"/>
    <n v="0"/>
    <n v="0"/>
    <n v="0"/>
    <n v="1491.8845038363711"/>
    <n v="1503.1982002040011"/>
    <n v="0.60310415004174978"/>
    <n v="74"/>
    <n v="96"/>
    <n v="0"/>
    <n v="-22"/>
    <n v="0"/>
    <n v="0.59643295353686887"/>
    <n v="1"/>
    <n v="75.7"/>
    <n v="75.7"/>
    <n v="-27.230137045130601"/>
    <n v="1464.6543667912406"/>
    <n v="0"/>
    <n v="1"/>
    <n v="0"/>
    <n v="0"/>
    <n v="0"/>
    <n v="0"/>
    <n v="0"/>
    <n v="0"/>
    <n v="0"/>
    <n v="0"/>
  </r>
  <r>
    <d v="2009-06-07T00:00:00"/>
    <n v="2009"/>
    <x v="1"/>
    <s v="R"/>
    <s v="RS"/>
    <x v="3"/>
    <s v="NYL"/>
    <s v="A"/>
    <n v="0"/>
    <n v="1"/>
    <n v="-1"/>
    <n v="1"/>
    <n v="-8"/>
    <n v="8"/>
    <n v="1501.7612395415019"/>
    <n v="1517.9258559785842"/>
    <n v="0.33878860174331582"/>
    <n v="66"/>
    <n v="57"/>
    <n v="0"/>
    <n v="9"/>
    <n v="1"/>
    <n v="0.40057556846531944"/>
    <n v="1"/>
    <n v="75.7"/>
    <n v="75.7"/>
    <n v="20.050290472144194"/>
    <n v="1521.8115300136462"/>
    <n v="1"/>
    <n v="0"/>
    <n v="0"/>
    <n v="0"/>
    <n v="0"/>
    <n v="0"/>
    <n v="0"/>
    <n v="0"/>
    <n v="0"/>
    <n v="0"/>
  </r>
  <r>
    <d v="2009-06-07T00:00:00"/>
    <n v="2009"/>
    <x v="0"/>
    <s v="R"/>
    <s v="RS"/>
    <x v="12"/>
    <s v="CON"/>
    <s v="H"/>
    <n v="1"/>
    <n v="0"/>
    <n v="1"/>
    <n v="-1"/>
    <n v="8"/>
    <n v="-8"/>
    <n v="1517.9258559785842"/>
    <n v="1501.7612395415019"/>
    <n v="0.66121139825668429"/>
    <n v="57"/>
    <n v="66"/>
    <n v="0"/>
    <n v="-9"/>
    <n v="0"/>
    <n v="0.40057556846531944"/>
    <n v="1"/>
    <n v="75.849999999999994"/>
    <n v="75.849999999999994"/>
    <n v="-20.090020241904057"/>
    <n v="1497.8358357366801"/>
    <n v="0"/>
    <n v="1"/>
    <n v="0"/>
    <n v="0"/>
    <n v="0"/>
    <n v="0"/>
    <n v="0"/>
    <n v="0"/>
    <n v="0"/>
    <n v="0"/>
  </r>
  <r>
    <d v="2009-06-07T00:00:00"/>
    <n v="2009"/>
    <x v="1"/>
    <s v="R"/>
    <s v="RS"/>
    <x v="11"/>
    <s v="SEA"/>
    <s v="A"/>
    <n v="0"/>
    <n v="0"/>
    <n v="0"/>
    <n v="0"/>
    <n v="0"/>
    <n v="0"/>
    <n v="1493.9448873305137"/>
    <n v="1547.8150744058453"/>
    <n v="0.31138664066900207"/>
    <n v="70"/>
    <n v="80"/>
    <n v="0"/>
    <n v="-10"/>
    <n v="0"/>
    <n v="0.40495072331457799"/>
    <n v="1"/>
    <n v="75.7"/>
    <n v="75.7"/>
    <n v="-9.5454857744642592"/>
    <n v="1484.3994015560495"/>
    <n v="0"/>
    <n v="1"/>
    <n v="0"/>
    <n v="0"/>
    <n v="0"/>
    <n v="0"/>
    <n v="0"/>
    <n v="0"/>
    <n v="0"/>
    <n v="0"/>
  </r>
  <r>
    <d v="2009-06-07T00:00:00"/>
    <n v="2009"/>
    <x v="1"/>
    <s v="R"/>
    <s v="RS"/>
    <x v="10"/>
    <s v="SAC"/>
    <s v="H"/>
    <n v="0"/>
    <n v="0"/>
    <n v="0"/>
    <n v="0"/>
    <n v="0"/>
    <n v="0"/>
    <n v="1547.8150744058453"/>
    <n v="1493.9448873305137"/>
    <n v="0.68861335933099788"/>
    <n v="80"/>
    <n v="70"/>
    <n v="0"/>
    <n v="10"/>
    <n v="1"/>
    <n v="0.40495072331457799"/>
    <n v="1"/>
    <n v="75.7"/>
    <n v="75.7"/>
    <n v="9.5454857744642609"/>
    <n v="1557.3605601803094"/>
    <n v="1"/>
    <n v="0"/>
    <n v="0"/>
    <n v="0"/>
    <n v="0"/>
    <n v="0"/>
    <n v="0"/>
    <n v="0"/>
    <n v="0"/>
    <n v="0"/>
  </r>
  <r>
    <d v="2009-06-07T00:00:00"/>
    <n v="2009"/>
    <x v="1"/>
    <s v="R"/>
    <s v="RS"/>
    <x v="1"/>
    <s v="WAS"/>
    <s v="A"/>
    <n v="0"/>
    <n v="0"/>
    <n v="0"/>
    <n v="0"/>
    <n v="0"/>
    <n v="0"/>
    <n v="1402.5800368326386"/>
    <n v="1443.5313374171385"/>
    <n v="0.32755210105140542"/>
    <n v="71"/>
    <n v="77"/>
    <n v="0"/>
    <n v="-6"/>
    <n v="0"/>
    <n v="0.33968852211254552"/>
    <n v="1"/>
    <n v="75.7"/>
    <n v="75.7"/>
    <n v="-8.4228126664605387"/>
    <n v="1394.1572241661781"/>
    <n v="0"/>
    <n v="1"/>
    <n v="0"/>
    <n v="0"/>
    <n v="0"/>
    <n v="0"/>
    <n v="0"/>
    <n v="0"/>
    <n v="0"/>
    <n v="0"/>
  </r>
  <r>
    <d v="2009-06-07T00:00:00"/>
    <n v="2009"/>
    <x v="1"/>
    <s v="R"/>
    <s v="RS"/>
    <x v="2"/>
    <s v="ATL"/>
    <s v="H"/>
    <n v="0"/>
    <n v="0"/>
    <n v="0"/>
    <n v="0"/>
    <n v="0"/>
    <n v="0"/>
    <n v="1443.5313374171385"/>
    <n v="1402.5800368326386"/>
    <n v="0.67244789894859458"/>
    <n v="77"/>
    <n v="71"/>
    <n v="0"/>
    <n v="6"/>
    <n v="1"/>
    <n v="0.33968852211254552"/>
    <n v="1"/>
    <n v="75.7"/>
    <n v="75.7"/>
    <n v="8.4228126664605387"/>
    <n v="1451.954150083599"/>
    <n v="1"/>
    <n v="0"/>
    <n v="0"/>
    <n v="0"/>
    <n v="0"/>
    <n v="0"/>
    <n v="0"/>
    <n v="0"/>
    <n v="0"/>
    <n v="0"/>
  </r>
  <r>
    <d v="2009-06-08T00:00:00"/>
    <n v="2009"/>
    <x v="1"/>
    <s v="R"/>
    <s v="RS"/>
    <x v="5"/>
    <s v="DET"/>
    <s v="A"/>
    <n v="1"/>
    <n v="1"/>
    <n v="0"/>
    <n v="0"/>
    <n v="0"/>
    <n v="0"/>
    <n v="1553.7245119267632"/>
    <n v="1565.5397905749755"/>
    <n v="0.3655032298649698"/>
    <n v="52"/>
    <n v="81"/>
    <n v="0"/>
    <n v="-29"/>
    <n v="0"/>
    <n v="0.68462211908946458"/>
    <n v="1"/>
    <n v="75.7"/>
    <n v="75.7"/>
    <n v="-18.942531799349887"/>
    <n v="1534.7819801274134"/>
    <n v="0"/>
    <n v="1"/>
    <n v="0"/>
    <n v="0"/>
    <n v="0"/>
    <n v="0"/>
    <n v="0"/>
    <n v="0"/>
    <n v="0"/>
    <n v="0"/>
  </r>
  <r>
    <d v="2009-06-08T00:00:00"/>
    <n v="2009"/>
    <x v="1"/>
    <s v="R"/>
    <s v="RS"/>
    <x v="4"/>
    <s v="LAS"/>
    <s v="H"/>
    <n v="1"/>
    <n v="1"/>
    <n v="0"/>
    <n v="0"/>
    <n v="0"/>
    <n v="0"/>
    <n v="1565.5397905749755"/>
    <n v="1553.7245119267632"/>
    <n v="0.63449677013503014"/>
    <n v="81"/>
    <n v="52"/>
    <n v="0"/>
    <n v="29"/>
    <n v="1"/>
    <n v="0.68462211908946458"/>
    <n v="1"/>
    <n v="75.7"/>
    <n v="75.7"/>
    <n v="18.94253179934989"/>
    <n v="1584.4823223743253"/>
    <n v="1"/>
    <n v="0"/>
    <n v="0"/>
    <n v="0"/>
    <n v="0"/>
    <n v="0"/>
    <n v="0"/>
    <n v="0"/>
    <n v="0"/>
    <n v="0"/>
  </r>
  <r>
    <d v="2009-06-09T00:00:00"/>
    <n v="2009"/>
    <x v="2"/>
    <s v="R"/>
    <s v="RS"/>
    <x v="10"/>
    <s v="IND"/>
    <s v="A"/>
    <n v="1"/>
    <n v="1"/>
    <n v="0"/>
    <n v="0"/>
    <n v="0"/>
    <n v="0"/>
    <n v="1557.3605601803094"/>
    <n v="1464.6543667912406"/>
    <n v="0.51252659763347219"/>
    <n v="66"/>
    <n v="73"/>
    <n v="0"/>
    <n v="-7"/>
    <n v="0"/>
    <n v="0.34356500282575309"/>
    <n v="1"/>
    <n v="75.55"/>
    <n v="75.55"/>
    <n v="-13.303312558396632"/>
    <n v="1544.0572476219129"/>
    <n v="0"/>
    <n v="1"/>
    <n v="0"/>
    <n v="0"/>
    <n v="0"/>
    <n v="0"/>
    <n v="0"/>
    <n v="0"/>
    <n v="0"/>
    <n v="0"/>
  </r>
  <r>
    <d v="2009-06-09T00:00:00"/>
    <n v="2009"/>
    <x v="2"/>
    <s v="R"/>
    <s v="RS"/>
    <x v="0"/>
    <s v="SEA"/>
    <s v="H"/>
    <n v="1"/>
    <n v="1"/>
    <n v="0"/>
    <n v="0"/>
    <n v="0"/>
    <n v="0"/>
    <n v="1464.6543667912406"/>
    <n v="1557.3605601803094"/>
    <n v="0.48747340236652786"/>
    <n v="73"/>
    <n v="66"/>
    <n v="0"/>
    <n v="7"/>
    <n v="1"/>
    <n v="0.34356500282575309"/>
    <n v="1"/>
    <n v="75.55"/>
    <n v="75.55"/>
    <n v="13.303312558396629"/>
    <n v="1477.9576793496371"/>
    <n v="1"/>
    <n v="0"/>
    <n v="0"/>
    <n v="0"/>
    <n v="0"/>
    <n v="0"/>
    <n v="0"/>
    <n v="0"/>
    <n v="0"/>
    <n v="0"/>
  </r>
  <r>
    <d v="2009-06-10T00:00:00"/>
    <n v="2009"/>
    <x v="2"/>
    <s v="R"/>
    <s v="RS"/>
    <x v="2"/>
    <s v="DET"/>
    <s v="A"/>
    <n v="2"/>
    <n v="1"/>
    <n v="1"/>
    <n v="-1"/>
    <n v="8"/>
    <n v="-8"/>
    <n v="1451.954150083599"/>
    <n v="1584.4823223743253"/>
    <n v="0.23969854208622399"/>
    <n v="75"/>
    <n v="69"/>
    <n v="0"/>
    <n v="6"/>
    <n v="1"/>
    <n v="0.31634371570886427"/>
    <n v="1"/>
    <n v="75.55"/>
    <n v="75.55"/>
    <n v="18.171028242688713"/>
    <n v="1470.1251783262876"/>
    <n v="1"/>
    <n v="0"/>
    <n v="0"/>
    <n v="0"/>
    <n v="0"/>
    <n v="0"/>
    <n v="0"/>
    <n v="0"/>
    <n v="0"/>
    <n v="0"/>
  </r>
  <r>
    <d v="2009-06-10T00:00:00"/>
    <n v="2009"/>
    <x v="2"/>
    <s v="R"/>
    <s v="RS"/>
    <x v="4"/>
    <s v="WAS"/>
    <s v="H"/>
    <n v="1"/>
    <n v="2"/>
    <n v="-1"/>
    <n v="1"/>
    <n v="-8"/>
    <n v="8"/>
    <n v="1584.4823223743253"/>
    <n v="1451.954150083599"/>
    <n v="0.76030145791377612"/>
    <n v="69"/>
    <n v="75"/>
    <n v="0"/>
    <n v="-6"/>
    <n v="0"/>
    <n v="0.31634371570886427"/>
    <n v="1"/>
    <n v="75.55"/>
    <n v="75.55"/>
    <n v="-18.171028242688717"/>
    <n v="1566.3112941316367"/>
    <n v="0"/>
    <n v="1"/>
    <n v="0"/>
    <n v="0"/>
    <n v="0"/>
    <n v="0"/>
    <n v="0"/>
    <n v="0"/>
    <n v="0"/>
    <n v="0"/>
  </r>
  <r>
    <d v="2009-06-10T00:00:00"/>
    <n v="2009"/>
    <x v="2"/>
    <s v="R"/>
    <s v="RS"/>
    <x v="5"/>
    <s v="MIN"/>
    <s v="A"/>
    <n v="1"/>
    <n v="2"/>
    <n v="-1"/>
    <n v="1"/>
    <n v="-8"/>
    <n v="8"/>
    <n v="1534.7819801274134"/>
    <n v="1530.4283372491316"/>
    <n v="0.36572876701980367"/>
    <n v="76"/>
    <n v="87"/>
    <n v="0"/>
    <n v="-11"/>
    <n v="0"/>
    <n v="0.43824599811709969"/>
    <n v="1"/>
    <n v="75.55"/>
    <n v="75.55"/>
    <n v="-12.109091183403256"/>
    <n v="1522.6728889440101"/>
    <n v="0"/>
    <n v="1"/>
    <n v="0"/>
    <n v="0"/>
    <n v="0"/>
    <n v="0"/>
    <n v="0"/>
    <n v="0"/>
    <n v="0"/>
    <n v="0"/>
  </r>
  <r>
    <d v="2009-06-10T00:00:00"/>
    <n v="2009"/>
    <x v="2"/>
    <s v="R"/>
    <s v="RS"/>
    <x v="7"/>
    <s v="LAS"/>
    <s v="H"/>
    <n v="2"/>
    <n v="1"/>
    <n v="1"/>
    <n v="-1"/>
    <n v="8"/>
    <n v="-8"/>
    <n v="1530.4283372491316"/>
    <n v="1534.7819801274134"/>
    <n v="0.63427123298019639"/>
    <n v="87"/>
    <n v="76"/>
    <n v="0"/>
    <n v="11"/>
    <n v="1"/>
    <n v="0.43824599811709969"/>
    <n v="1"/>
    <n v="75.55"/>
    <n v="75.55"/>
    <n v="12.109091183403255"/>
    <n v="1542.5374284325349"/>
    <n v="1"/>
    <n v="0"/>
    <n v="0"/>
    <n v="0"/>
    <n v="0"/>
    <n v="0"/>
    <n v="0"/>
    <n v="0"/>
    <n v="0"/>
    <n v="0"/>
  </r>
  <r>
    <d v="2009-06-10T00:00:00"/>
    <n v="2009"/>
    <x v="1"/>
    <s v="R"/>
    <s v="RS"/>
    <x v="12"/>
    <s v="PHX"/>
    <s v="A"/>
    <n v="2"/>
    <n v="3"/>
    <n v="-1"/>
    <n v="1"/>
    <n v="-8"/>
    <n v="8"/>
    <n v="1497.8358357366801"/>
    <n v="1524.5232165068451"/>
    <n v="0.3253546809869427"/>
    <n v="84"/>
    <n v="91"/>
    <n v="0"/>
    <n v="-7"/>
    <n v="0"/>
    <n v="0.36205525054455334"/>
    <n v="1"/>
    <n v="75.7"/>
    <n v="75.7"/>
    <n v="-8.9171852499212072"/>
    <n v="1488.9186504867589"/>
    <n v="0"/>
    <n v="1"/>
    <n v="0"/>
    <n v="0"/>
    <n v="0"/>
    <n v="0"/>
    <n v="0"/>
    <n v="0"/>
    <n v="0"/>
    <n v="0"/>
  </r>
  <r>
    <d v="2009-06-10T00:00:00"/>
    <n v="2009"/>
    <x v="1"/>
    <s v="R"/>
    <s v="RS"/>
    <x v="9"/>
    <s v="NYL"/>
    <s v="H"/>
    <n v="3"/>
    <n v="2"/>
    <n v="1"/>
    <n v="-1"/>
    <n v="8"/>
    <n v="-8"/>
    <n v="1524.5232165068451"/>
    <n v="1497.8358357366801"/>
    <n v="0.67464531901305735"/>
    <n v="91"/>
    <n v="84"/>
    <n v="0"/>
    <n v="7"/>
    <n v="1"/>
    <n v="0.36205525054455334"/>
    <n v="1"/>
    <n v="75.7"/>
    <n v="75.7"/>
    <n v="8.9171852499212054"/>
    <n v="1533.4404017567663"/>
    <n v="1"/>
    <n v="0"/>
    <n v="0"/>
    <n v="0"/>
    <n v="0"/>
    <n v="0"/>
    <n v="0"/>
    <n v="0"/>
    <n v="0"/>
    <n v="0"/>
  </r>
  <r>
    <d v="2009-06-12T00:00:00"/>
    <n v="2009"/>
    <x v="2"/>
    <s v="R"/>
    <s v="RS"/>
    <x v="1"/>
    <s v="CHI"/>
    <s v="A"/>
    <n v="4"/>
    <n v="5"/>
    <n v="-1"/>
    <n v="1"/>
    <n v="-8"/>
    <n v="8"/>
    <n v="1394.1572241661781"/>
    <n v="1449.1668419804446"/>
    <n v="0.29063395498078864"/>
    <n v="73"/>
    <n v="81"/>
    <n v="0"/>
    <n v="-8"/>
    <n v="0"/>
    <n v="0.37129487725772031"/>
    <n v="1"/>
    <n v="75.55"/>
    <n v="75.55"/>
    <n v="-8.1526683923666639"/>
    <n v="1386.0045557738115"/>
    <n v="0"/>
    <n v="1"/>
    <n v="0"/>
    <n v="0"/>
    <n v="0"/>
    <n v="0"/>
    <n v="0"/>
    <n v="0"/>
    <n v="0"/>
    <n v="0"/>
  </r>
  <r>
    <d v="2009-06-12T00:00:00"/>
    <n v="2009"/>
    <x v="1"/>
    <s v="R"/>
    <s v="RS"/>
    <x v="6"/>
    <s v="ATL"/>
    <s v="H"/>
    <n v="5"/>
    <n v="4"/>
    <n v="1"/>
    <n v="-1"/>
    <n v="8"/>
    <n v="-8"/>
    <n v="1449.1668419804446"/>
    <n v="1394.1572241661781"/>
    <n v="0.7093660450192113"/>
    <n v="81"/>
    <n v="73"/>
    <n v="0"/>
    <n v="8"/>
    <n v="1"/>
    <n v="0.37129487725772031"/>
    <n v="1"/>
    <n v="75.7"/>
    <n v="75.7"/>
    <n v="8.1688550271628948"/>
    <n v="1457.3356970076075"/>
    <n v="1"/>
    <n v="0"/>
    <n v="0"/>
    <n v="0"/>
    <n v="0"/>
    <n v="0"/>
    <n v="0"/>
    <n v="0"/>
    <n v="0"/>
    <n v="0"/>
  </r>
  <r>
    <d v="2009-06-12T00:00:00"/>
    <n v="2009"/>
    <x v="3"/>
    <s v="R"/>
    <s v="RS"/>
    <x v="5"/>
    <s v="IND"/>
    <s v="A"/>
    <n v="1"/>
    <n v="2"/>
    <n v="-1"/>
    <n v="1"/>
    <n v="-8"/>
    <n v="8"/>
    <n v="1522.6728889440101"/>
    <n v="1477.9576793496371"/>
    <n v="0.42110355430728086"/>
    <n v="61"/>
    <n v="73"/>
    <n v="0"/>
    <n v="-12"/>
    <n v="0"/>
    <n v="0.43974342682790929"/>
    <n v="1"/>
    <n v="75.400000000000006"/>
    <n v="75.400000000000006"/>
    <n v="-13.962385009545422"/>
    <n v="1508.7105039344647"/>
    <n v="0"/>
    <n v="1"/>
    <n v="0"/>
    <n v="0"/>
    <n v="0"/>
    <n v="0"/>
    <n v="0"/>
    <n v="0"/>
    <n v="0"/>
    <n v="0"/>
  </r>
  <r>
    <d v="2009-06-12T00:00:00"/>
    <n v="2009"/>
    <x v="3"/>
    <s v="R"/>
    <s v="RS"/>
    <x v="0"/>
    <s v="LAS"/>
    <s v="H"/>
    <n v="2"/>
    <n v="1"/>
    <n v="1"/>
    <n v="-1"/>
    <n v="8"/>
    <n v="-8"/>
    <n v="1477.9576793496371"/>
    <n v="1522.6728889440101"/>
    <n v="0.57889644569271925"/>
    <n v="73"/>
    <n v="61"/>
    <n v="0"/>
    <n v="12"/>
    <n v="1"/>
    <n v="0.43974342682790929"/>
    <n v="1"/>
    <n v="75.400000000000006"/>
    <n v="75.400000000000006"/>
    <n v="13.962385009545418"/>
    <n v="1491.9200643591826"/>
    <n v="1"/>
    <n v="0"/>
    <n v="0"/>
    <n v="0"/>
    <n v="0"/>
    <n v="0"/>
    <n v="0"/>
    <n v="0"/>
    <n v="0"/>
    <n v="0"/>
  </r>
  <r>
    <d v="2009-06-12T00:00:00"/>
    <n v="2009"/>
    <x v="3"/>
    <s v="R"/>
    <s v="RS"/>
    <x v="10"/>
    <s v="MIN"/>
    <s v="A"/>
    <n v="2"/>
    <n v="1"/>
    <n v="1"/>
    <n v="-1"/>
    <n v="8"/>
    <n v="-8"/>
    <n v="1544.0572476219129"/>
    <n v="1542.5374284325349"/>
    <n v="0.40547810124079076"/>
    <n v="88"/>
    <n v="71"/>
    <n v="0"/>
    <n v="17"/>
    <n v="1"/>
    <n v="0.53176857567731184"/>
    <n v="1"/>
    <n v="75.400000000000006"/>
    <n v="75.400000000000006"/>
    <n v="23.837563973736543"/>
    <n v="1567.8948115956493"/>
    <n v="1"/>
    <n v="0"/>
    <n v="0"/>
    <n v="0"/>
    <n v="0"/>
    <n v="0"/>
    <n v="0"/>
    <n v="0"/>
    <n v="0"/>
    <n v="0"/>
  </r>
  <r>
    <d v="2009-06-12T00:00:00"/>
    <n v="2009"/>
    <x v="3"/>
    <s v="R"/>
    <s v="RS"/>
    <x v="7"/>
    <s v="SEA"/>
    <s v="H"/>
    <n v="1"/>
    <n v="2"/>
    <n v="-1"/>
    <n v="1"/>
    <n v="-8"/>
    <n v="8"/>
    <n v="1542.5374284325349"/>
    <n v="1544.0572476219129"/>
    <n v="0.59452189875920913"/>
    <n v="71"/>
    <n v="88"/>
    <n v="0"/>
    <n v="-17"/>
    <n v="0"/>
    <n v="0.53176857567731184"/>
    <n v="1"/>
    <n v="75.400000000000006"/>
    <n v="75.400000000000006"/>
    <n v="-23.837563973736536"/>
    <n v="1518.6998644587984"/>
    <n v="0"/>
    <n v="1"/>
    <n v="0"/>
    <n v="0"/>
    <n v="0"/>
    <n v="0"/>
    <n v="0"/>
    <n v="0"/>
    <n v="0"/>
    <n v="0"/>
  </r>
  <r>
    <d v="2009-06-12T00:00:00"/>
    <n v="2009"/>
    <x v="2"/>
    <s v="R"/>
    <s v="RS"/>
    <x v="9"/>
    <s v="SAC"/>
    <s v="A"/>
    <n v="1"/>
    <n v="4"/>
    <n v="-3"/>
    <n v="3"/>
    <n v="-16"/>
    <n v="16"/>
    <n v="1533.4404017567663"/>
    <n v="1484.3994015560495"/>
    <n v="0.40481382470014043"/>
    <n v="71"/>
    <n v="90"/>
    <n v="0"/>
    <n v="-19"/>
    <n v="0"/>
    <n v="0.53895195366648729"/>
    <n v="1"/>
    <n v="75.55"/>
    <n v="75.55"/>
    <n v="-16.483136487932107"/>
    <n v="1516.9572652688341"/>
    <n v="0"/>
    <n v="1"/>
    <n v="0"/>
    <n v="0"/>
    <n v="0"/>
    <n v="0"/>
    <n v="0"/>
    <n v="0"/>
    <n v="0"/>
    <n v="0"/>
  </r>
  <r>
    <d v="2009-06-12T00:00:00"/>
    <n v="2009"/>
    <x v="2"/>
    <s v="R"/>
    <s v="RS"/>
    <x v="11"/>
    <s v="PHX"/>
    <s v="H"/>
    <n v="4"/>
    <n v="1"/>
    <n v="3"/>
    <n v="-3"/>
    <n v="16"/>
    <n v="-16"/>
    <n v="1484.3994015560495"/>
    <n v="1533.4404017567663"/>
    <n v="0.59518617529985951"/>
    <n v="90"/>
    <n v="71"/>
    <n v="0"/>
    <n v="19"/>
    <n v="1"/>
    <n v="0.53895195366648729"/>
    <n v="1"/>
    <n v="75.55"/>
    <n v="75.55"/>
    <n v="16.483136487932111"/>
    <n v="1500.8825380439816"/>
    <n v="1"/>
    <n v="0"/>
    <n v="0"/>
    <n v="0"/>
    <n v="0"/>
    <n v="0"/>
    <n v="0"/>
    <n v="0"/>
    <n v="0"/>
    <n v="0"/>
  </r>
  <r>
    <d v="2009-06-13T00:00:00"/>
    <n v="2009"/>
    <x v="3"/>
    <s v="R"/>
    <s v="RS"/>
    <x v="11"/>
    <s v="PHX"/>
    <s v="A"/>
    <n v="0"/>
    <n v="0"/>
    <n v="0"/>
    <n v="0"/>
    <n v="0"/>
    <n v="0"/>
    <n v="1500.8825380439816"/>
    <n v="1516.9572652688341"/>
    <n v="0.35983590410273197"/>
    <n v="104"/>
    <n v="115"/>
    <n v="1"/>
    <n v="-11"/>
    <n v="0"/>
    <n v="0.39061978449488005"/>
    <n v="1"/>
    <n v="75.400000000000006"/>
    <n v="75.400000000000006"/>
    <n v="-10.598150357885364"/>
    <n v="1490.2843876860964"/>
    <n v="0"/>
    <n v="1"/>
    <n v="0"/>
    <n v="0"/>
    <n v="0"/>
    <n v="0"/>
    <n v="0"/>
    <n v="0"/>
    <n v="0"/>
    <n v="0"/>
  </r>
  <r>
    <d v="2009-06-13T00:00:00"/>
    <n v="2009"/>
    <x v="3"/>
    <s v="R"/>
    <s v="RS"/>
    <x v="9"/>
    <s v="SAC"/>
    <s v="H"/>
    <n v="0"/>
    <n v="0"/>
    <n v="0"/>
    <n v="0"/>
    <n v="0"/>
    <n v="0"/>
    <n v="1516.9572652688341"/>
    <n v="1500.8825380439816"/>
    <n v="0.64016409589726808"/>
    <n v="115"/>
    <n v="104"/>
    <n v="1"/>
    <n v="11"/>
    <n v="1"/>
    <n v="0.39061978449488005"/>
    <n v="1"/>
    <n v="75.400000000000006"/>
    <n v="75.400000000000006"/>
    <n v="10.598150357885363"/>
    <n v="1527.5554156267194"/>
    <n v="1"/>
    <n v="0"/>
    <n v="0"/>
    <n v="0"/>
    <n v="0"/>
    <n v="0"/>
    <n v="0"/>
    <n v="0"/>
    <n v="0"/>
    <n v="0"/>
  </r>
  <r>
    <d v="2009-06-13T00:00:00"/>
    <n v="2009"/>
    <x v="2"/>
    <s v="R"/>
    <s v="RS"/>
    <x v="12"/>
    <s v="SAS"/>
    <s v="A"/>
    <n v="2"/>
    <n v="6"/>
    <n v="-4"/>
    <n v="4"/>
    <n v="-16"/>
    <n v="16"/>
    <n v="1488.9186504867589"/>
    <n v="1521.9054061486818"/>
    <n v="0.29783334174404047"/>
    <n v="60"/>
    <n v="63"/>
    <n v="0"/>
    <n v="-3"/>
    <n v="0"/>
    <n v="0.28242008579525196"/>
    <n v="1"/>
    <n v="75.55"/>
    <n v="75.55"/>
    <n v="-6.3548216094633094"/>
    <n v="1482.5638288772957"/>
    <n v="0"/>
    <n v="1"/>
    <n v="0"/>
    <n v="0"/>
    <n v="0"/>
    <n v="0"/>
    <n v="0"/>
    <n v="0"/>
    <n v="0"/>
    <n v="0"/>
  </r>
  <r>
    <d v="2009-06-13T00:00:00"/>
    <n v="2009"/>
    <x v="1"/>
    <s v="R"/>
    <s v="RS"/>
    <x v="8"/>
    <s v="NYL"/>
    <s v="H"/>
    <n v="6"/>
    <n v="2"/>
    <n v="4"/>
    <n v="-4"/>
    <n v="16"/>
    <n v="-16"/>
    <n v="1521.9054061486818"/>
    <n v="1488.9186504867589"/>
    <n v="0.70216665825595947"/>
    <n v="63"/>
    <n v="60"/>
    <n v="0"/>
    <n v="3"/>
    <n v="1"/>
    <n v="0.28242008579525196"/>
    <n v="1"/>
    <n v="75.7"/>
    <n v="75.7"/>
    <n v="6.3674387271525159"/>
    <n v="1528.2728448758344"/>
    <n v="1"/>
    <n v="0"/>
    <n v="0"/>
    <n v="0"/>
    <n v="0"/>
    <n v="0"/>
    <n v="0"/>
    <n v="0"/>
    <n v="0"/>
    <n v="0"/>
  </r>
  <r>
    <d v="2009-06-14T00:00:00"/>
    <n v="2009"/>
    <x v="4"/>
    <s v="R"/>
    <s v="RS"/>
    <x v="10"/>
    <s v="CHI"/>
    <s v="A"/>
    <n v="1"/>
    <n v="1"/>
    <n v="0"/>
    <n v="0"/>
    <n v="0"/>
    <n v="0"/>
    <n v="1567.8948115956493"/>
    <n v="1457.3356970076075"/>
    <n v="0.53814736161427723"/>
    <n v="57"/>
    <n v="64"/>
    <n v="0"/>
    <n v="-7"/>
    <n v="0"/>
    <n v="0.33888483322951085"/>
    <n v="1"/>
    <n v="75.25"/>
    <n v="75.25"/>
    <n v="-13.72334091174006"/>
    <n v="1554.1714706839093"/>
    <n v="0"/>
    <n v="1"/>
    <n v="0"/>
    <n v="0"/>
    <n v="0"/>
    <n v="0"/>
    <n v="0"/>
    <n v="0"/>
    <n v="0"/>
    <n v="0"/>
  </r>
  <r>
    <d v="2009-06-14T00:00:00"/>
    <n v="2009"/>
    <x v="2"/>
    <s v="R"/>
    <s v="RS"/>
    <x v="6"/>
    <s v="SEA"/>
    <s v="H"/>
    <n v="1"/>
    <n v="1"/>
    <n v="0"/>
    <n v="0"/>
    <n v="0"/>
    <n v="0"/>
    <n v="1457.3356970076075"/>
    <n v="1567.8948115956493"/>
    <n v="0.46185263838572271"/>
    <n v="64"/>
    <n v="57"/>
    <n v="0"/>
    <n v="7"/>
    <n v="1"/>
    <n v="0.33888483322951085"/>
    <n v="1"/>
    <n v="75.55"/>
    <n v="75.55"/>
    <n v="13.778051905408129"/>
    <n v="1471.1137489130156"/>
    <n v="1"/>
    <n v="0"/>
    <n v="0"/>
    <n v="0"/>
    <n v="0"/>
    <n v="0"/>
    <n v="0"/>
    <n v="0"/>
    <n v="0"/>
    <n v="0"/>
  </r>
  <r>
    <d v="2009-06-14T00:00:00"/>
    <n v="2009"/>
    <x v="3"/>
    <s v="R"/>
    <s v="RS"/>
    <x v="1"/>
    <s v="CON"/>
    <s v="A"/>
    <n v="1"/>
    <n v="6"/>
    <n v="-5"/>
    <n v="5"/>
    <n v="-16"/>
    <n v="16"/>
    <n v="1386.0045557738115"/>
    <n v="1521.8115300136462"/>
    <n v="0.19007584003832917"/>
    <n v="67"/>
    <n v="62"/>
    <n v="0"/>
    <n v="5"/>
    <n v="1"/>
    <n v="0.29802746821264903"/>
    <n v="1"/>
    <n v="75.400000000000006"/>
    <n v="75.400000000000006"/>
    <n v="18.200025371557555"/>
    <n v="1404.204581145369"/>
    <n v="1"/>
    <n v="0"/>
    <n v="0"/>
    <n v="0"/>
    <n v="0"/>
    <n v="0"/>
    <n v="0"/>
    <n v="0"/>
    <n v="0"/>
    <n v="0"/>
  </r>
  <r>
    <d v="2009-06-14T00:00:00"/>
    <n v="2009"/>
    <x v="2"/>
    <s v="R"/>
    <s v="RS"/>
    <x v="3"/>
    <s v="ATL"/>
    <s v="H"/>
    <n v="6"/>
    <n v="1"/>
    <n v="5"/>
    <n v="-5"/>
    <n v="16"/>
    <n v="-16"/>
    <n v="1521.8115300136462"/>
    <n v="1386.0045557738115"/>
    <n v="0.80992415996167089"/>
    <n v="62"/>
    <n v="67"/>
    <n v="0"/>
    <n v="-5"/>
    <n v="0"/>
    <n v="0.29802746821264903"/>
    <n v="1"/>
    <n v="75.55"/>
    <n v="75.55"/>
    <n v="-18.236232318583198"/>
    <n v="1503.575297695063"/>
    <n v="0"/>
    <n v="1"/>
    <n v="0"/>
    <n v="0"/>
    <n v="0"/>
    <n v="0"/>
    <n v="0"/>
    <n v="0"/>
    <n v="0"/>
    <n v="0"/>
  </r>
  <r>
    <d v="2009-06-16T00:00:00"/>
    <n v="2009"/>
    <x v="3"/>
    <s v="R"/>
    <s v="RS"/>
    <x v="3"/>
    <s v="CHI"/>
    <s v="A"/>
    <n v="1"/>
    <n v="1"/>
    <n v="0"/>
    <n v="0"/>
    <n v="0"/>
    <n v="0"/>
    <n v="1503.575297695063"/>
    <n v="1471.1137489130156"/>
    <n v="0.42636948676238623"/>
    <n v="75"/>
    <n v="78"/>
    <n v="0"/>
    <n v="-3"/>
    <n v="0"/>
    <n v="0.28254043760032149"/>
    <n v="1"/>
    <n v="75.400000000000006"/>
    <n v="75.400000000000006"/>
    <n v="-9.0831832512428896"/>
    <n v="1494.4921144438201"/>
    <n v="0"/>
    <n v="1"/>
    <n v="0"/>
    <n v="0"/>
    <n v="0"/>
    <n v="0"/>
    <n v="0"/>
    <n v="0"/>
    <n v="0"/>
    <n v="0"/>
  </r>
  <r>
    <d v="2009-06-16T00:00:00"/>
    <n v="2009"/>
    <x v="3"/>
    <s v="R"/>
    <s v="RS"/>
    <x v="6"/>
    <s v="CON"/>
    <s v="H"/>
    <n v="1"/>
    <n v="1"/>
    <n v="0"/>
    <n v="0"/>
    <n v="0"/>
    <n v="0"/>
    <n v="1471.1137489130156"/>
    <n v="1503.575297695063"/>
    <n v="0.57363051323761372"/>
    <n v="78"/>
    <n v="75"/>
    <n v="0"/>
    <n v="3"/>
    <n v="1"/>
    <n v="0.28254043760032149"/>
    <n v="1"/>
    <n v="75.400000000000006"/>
    <n v="75.400000000000006"/>
    <n v="9.0831832512428914"/>
    <n v="1480.1969321642584"/>
    <n v="1"/>
    <n v="0"/>
    <n v="0"/>
    <n v="0"/>
    <n v="0"/>
    <n v="0"/>
    <n v="0"/>
    <n v="0"/>
    <n v="0"/>
    <n v="0"/>
  </r>
  <r>
    <d v="2009-06-16T00:00:00"/>
    <n v="2009"/>
    <x v="4"/>
    <s v="R"/>
    <s v="RS"/>
    <x v="7"/>
    <s v="SAC"/>
    <s v="A"/>
    <n v="3"/>
    <n v="2"/>
    <n v="1"/>
    <n v="-1"/>
    <n v="8"/>
    <n v="-8"/>
    <n v="1518.6998644587984"/>
    <n v="1490.2843876860964"/>
    <n v="0.44327851023082693"/>
    <n v="86"/>
    <n v="83"/>
    <n v="0"/>
    <n v="3"/>
    <n v="1"/>
    <n v="0.28347105022910912"/>
    <n v="1"/>
    <n v="75.25"/>
    <n v="75.25"/>
    <n v="11.875535510596123"/>
    <n v="1530.5753999693945"/>
    <n v="1"/>
    <n v="0"/>
    <n v="0"/>
    <n v="0"/>
    <n v="0"/>
    <n v="0"/>
    <n v="0"/>
    <n v="0"/>
    <n v="0"/>
    <n v="0"/>
  </r>
  <r>
    <d v="2009-06-16T00:00:00"/>
    <n v="2009"/>
    <x v="4"/>
    <s v="R"/>
    <s v="RS"/>
    <x v="11"/>
    <s v="MIN"/>
    <s v="H"/>
    <n v="2"/>
    <n v="3"/>
    <n v="-1"/>
    <n v="1"/>
    <n v="-8"/>
    <n v="8"/>
    <n v="1490.2843876860964"/>
    <n v="1518.6998644587984"/>
    <n v="0.55672148976917302"/>
    <n v="83"/>
    <n v="86"/>
    <n v="0"/>
    <n v="-3"/>
    <n v="0"/>
    <n v="0.28347105022910912"/>
    <n v="1"/>
    <n v="75.25"/>
    <n v="75.25"/>
    <n v="-11.875535510596123"/>
    <n v="1478.4088521755002"/>
    <n v="0"/>
    <n v="1"/>
    <n v="0"/>
    <n v="0"/>
    <n v="0"/>
    <n v="0"/>
    <n v="0"/>
    <n v="0"/>
    <n v="0"/>
    <n v="0"/>
  </r>
  <r>
    <d v="2009-06-17T00:00:00"/>
    <n v="2009"/>
    <x v="5"/>
    <s v="R"/>
    <s v="RS"/>
    <x v="7"/>
    <s v="PHX"/>
    <s v="A"/>
    <n v="0"/>
    <n v="3"/>
    <n v="-3"/>
    <n v="3"/>
    <n v="-16"/>
    <n v="16"/>
    <n v="1530.5753999693945"/>
    <n v="1527.5554156267194"/>
    <n v="0.34290723387414745"/>
    <n v="80"/>
    <n v="104"/>
    <n v="0"/>
    <n v="-24"/>
    <n v="0"/>
    <n v="0.62685335834201494"/>
    <n v="1"/>
    <n v="75.099999999999994"/>
    <n v="75.099999999999994"/>
    <n v="-16.142936591648883"/>
    <n v="1514.4324633777458"/>
    <n v="0"/>
    <n v="1"/>
    <n v="0"/>
    <n v="0"/>
    <n v="0"/>
    <n v="0"/>
    <n v="0"/>
    <n v="0"/>
    <n v="0"/>
    <n v="0"/>
  </r>
  <r>
    <d v="2009-06-17T00:00:00"/>
    <n v="2009"/>
    <x v="4"/>
    <s v="R"/>
    <s v="RS"/>
    <x v="9"/>
    <s v="MIN"/>
    <s v="H"/>
    <n v="3"/>
    <n v="0"/>
    <n v="3"/>
    <n v="-3"/>
    <n v="16"/>
    <n v="-16"/>
    <n v="1527.5554156267194"/>
    <n v="1530.5753999693945"/>
    <n v="0.65709276612585255"/>
    <n v="104"/>
    <n v="80"/>
    <n v="0"/>
    <n v="24"/>
    <n v="1"/>
    <n v="0.62685335834201494"/>
    <n v="1"/>
    <n v="75.25"/>
    <n v="75.25"/>
    <n v="16.175179474321951"/>
    <n v="1543.7305951010414"/>
    <n v="1"/>
    <n v="0"/>
    <n v="0"/>
    <n v="0"/>
    <n v="0"/>
    <n v="0"/>
    <n v="0"/>
    <n v="0"/>
    <n v="0"/>
    <n v="0"/>
  </r>
  <r>
    <d v="2009-06-19T00:00:00"/>
    <n v="2009"/>
    <x v="3"/>
    <s v="R"/>
    <s v="RS"/>
    <x v="2"/>
    <s v="ATL"/>
    <s v="A"/>
    <n v="8"/>
    <n v="4"/>
    <n v="4"/>
    <n v="-4"/>
    <n v="16"/>
    <n v="-16"/>
    <n v="1470.1251783262876"/>
    <n v="1404.204581145369"/>
    <n v="0.5200226364855306"/>
    <n v="81"/>
    <n v="93"/>
    <n v="0"/>
    <n v="-12"/>
    <n v="0"/>
    <n v="0.43237730147590275"/>
    <n v="1"/>
    <n v="75.400000000000006"/>
    <n v="75.400000000000006"/>
    <n v="-16.953387213957853"/>
    <n v="1453.1717911123296"/>
    <n v="0"/>
    <n v="1"/>
    <n v="0"/>
    <n v="0"/>
    <n v="0"/>
    <n v="0"/>
    <n v="0"/>
    <n v="0"/>
    <n v="0"/>
    <n v="0"/>
  </r>
  <r>
    <d v="2009-06-19T00:00:00"/>
    <n v="2009"/>
    <x v="4"/>
    <s v="R"/>
    <s v="RS"/>
    <x v="1"/>
    <s v="WAS"/>
    <s v="H"/>
    <n v="4"/>
    <n v="8"/>
    <n v="-4"/>
    <n v="4"/>
    <n v="-16"/>
    <n v="16"/>
    <n v="1404.204581145369"/>
    <n v="1470.1251783262876"/>
    <n v="0.47997736351446935"/>
    <n v="93"/>
    <n v="81"/>
    <n v="0"/>
    <n v="12"/>
    <n v="1"/>
    <n v="0.43237730147590275"/>
    <n v="1"/>
    <n v="75.25"/>
    <n v="75.25"/>
    <n v="16.919660316317358"/>
    <n v="1421.1242414616863"/>
    <n v="1"/>
    <n v="0"/>
    <n v="0"/>
    <n v="0"/>
    <n v="0"/>
    <n v="0"/>
    <n v="0"/>
    <n v="0"/>
    <n v="0"/>
    <n v="0"/>
  </r>
  <r>
    <d v="2009-06-19T00:00:00"/>
    <n v="2009"/>
    <x v="4"/>
    <s v="R"/>
    <s v="RS"/>
    <x v="6"/>
    <s v="CON"/>
    <s v="A"/>
    <n v="2"/>
    <n v="2"/>
    <n v="0"/>
    <n v="0"/>
    <n v="0"/>
    <n v="0"/>
    <n v="1480.1969321642584"/>
    <n v="1494.4921144438201"/>
    <n v="0.36219899638451697"/>
    <n v="61"/>
    <n v="91"/>
    <n v="0"/>
    <n v="-30"/>
    <n v="0"/>
    <n v="0.69521087116974012"/>
    <n v="1"/>
    <n v="75.25"/>
    <n v="75.25"/>
    <n v="-18.94830215594974"/>
    <n v="1461.2486300083087"/>
    <n v="0"/>
    <n v="1"/>
    <n v="0"/>
    <n v="0"/>
    <n v="0"/>
    <n v="0"/>
    <n v="0"/>
    <n v="0"/>
    <n v="0"/>
    <n v="0"/>
  </r>
  <r>
    <d v="2009-06-19T00:00:00"/>
    <n v="2009"/>
    <x v="4"/>
    <s v="R"/>
    <s v="RS"/>
    <x v="3"/>
    <s v="CHI"/>
    <s v="H"/>
    <n v="2"/>
    <n v="2"/>
    <n v="0"/>
    <n v="0"/>
    <n v="0"/>
    <n v="0"/>
    <n v="1494.4921144438201"/>
    <n v="1480.1969321642584"/>
    <n v="0.63780100361548298"/>
    <n v="91"/>
    <n v="61"/>
    <n v="0"/>
    <n v="30"/>
    <n v="1"/>
    <n v="0.69521087116974012"/>
    <n v="1"/>
    <n v="75.25"/>
    <n v="75.25"/>
    <n v="18.948302155949744"/>
    <n v="1513.4404165997698"/>
    <n v="1"/>
    <n v="0"/>
    <n v="0"/>
    <n v="0"/>
    <n v="0"/>
    <n v="0"/>
    <n v="0"/>
    <n v="0"/>
    <n v="0"/>
    <n v="0"/>
  </r>
  <r>
    <d v="2009-06-19T00:00:00"/>
    <n v="2009"/>
    <x v="4"/>
    <s v="R"/>
    <s v="RS"/>
    <x v="0"/>
    <s v="DET"/>
    <s v="A"/>
    <n v="6"/>
    <n v="8"/>
    <n v="-2"/>
    <n v="2"/>
    <n v="-16"/>
    <n v="16"/>
    <n v="1491.9200643591826"/>
    <n v="1566.3112941316367"/>
    <n v="0.25049387532267631"/>
    <n v="66"/>
    <n v="54"/>
    <n v="0"/>
    <n v="12"/>
    <n v="1"/>
    <n v="0.42950337298663033"/>
    <n v="1"/>
    <n v="75.25"/>
    <n v="75.25"/>
    <n v="24.224134498884393"/>
    <n v="1516.1441988580671"/>
    <n v="1"/>
    <n v="0"/>
    <n v="0"/>
    <n v="0"/>
    <n v="0"/>
    <n v="0"/>
    <n v="0"/>
    <n v="0"/>
    <n v="0"/>
    <n v="0"/>
  </r>
  <r>
    <d v="2009-06-19T00:00:00"/>
    <n v="2009"/>
    <x v="3"/>
    <s v="R"/>
    <s v="RS"/>
    <x v="4"/>
    <s v="IND"/>
    <s v="H"/>
    <n v="8"/>
    <n v="6"/>
    <n v="2"/>
    <n v="-2"/>
    <n v="16"/>
    <n v="-16"/>
    <n v="1566.3112941316367"/>
    <n v="1491.9200643591826"/>
    <n v="0.74950612467732369"/>
    <n v="54"/>
    <n v="66"/>
    <n v="0"/>
    <n v="-12"/>
    <n v="0"/>
    <n v="0.42950337298663033"/>
    <n v="1"/>
    <n v="75.400000000000006"/>
    <n v="75.400000000000006"/>
    <n v="-24.27242181017785"/>
    <n v="1542.0388723214589"/>
    <n v="0"/>
    <n v="1"/>
    <n v="0"/>
    <n v="0"/>
    <n v="0"/>
    <n v="0"/>
    <n v="0"/>
    <n v="0"/>
    <n v="0"/>
    <n v="0"/>
  </r>
  <r>
    <d v="2009-06-19T00:00:00"/>
    <n v="2009"/>
    <x v="2"/>
    <s v="R"/>
    <s v="RS"/>
    <x v="8"/>
    <s v="NYL"/>
    <s v="A"/>
    <n v="5"/>
    <n v="5"/>
    <n v="0"/>
    <n v="0"/>
    <n v="0"/>
    <n v="0"/>
    <n v="1528.2728448758344"/>
    <n v="1482.5638288772957"/>
    <n v="0.44511687387825088"/>
    <n v="61"/>
    <n v="77"/>
    <n v="0"/>
    <n v="-16"/>
    <n v="0"/>
    <n v="0.49878682000066948"/>
    <n v="1"/>
    <n v="75.55"/>
    <n v="75.55"/>
    <n v="-16.773492390305591"/>
    <n v="1511.4993524855288"/>
    <n v="0"/>
    <n v="1"/>
    <n v="0"/>
    <n v="0"/>
    <n v="0"/>
    <n v="0"/>
    <n v="0"/>
    <n v="0"/>
    <n v="0"/>
    <n v="0"/>
  </r>
  <r>
    <d v="2009-06-19T00:00:00"/>
    <n v="2009"/>
    <x v="3"/>
    <s v="R"/>
    <s v="RS"/>
    <x v="12"/>
    <s v="SAS"/>
    <s v="H"/>
    <n v="5"/>
    <n v="5"/>
    <n v="0"/>
    <n v="0"/>
    <n v="0"/>
    <n v="0"/>
    <n v="1482.5638288772957"/>
    <n v="1528.2728448758344"/>
    <n v="0.55488312612174917"/>
    <n v="77"/>
    <n v="61"/>
    <n v="0"/>
    <n v="16"/>
    <n v="1"/>
    <n v="0.49878682000066948"/>
    <n v="1"/>
    <n v="75.400000000000006"/>
    <n v="75.400000000000006"/>
    <n v="16.740189625798035"/>
    <n v="1499.3040185030936"/>
    <n v="1"/>
    <n v="0"/>
    <n v="0"/>
    <n v="0"/>
    <n v="0"/>
    <n v="0"/>
    <n v="0"/>
    <n v="0"/>
    <n v="0"/>
    <n v="0"/>
  </r>
  <r>
    <d v="2009-06-19T00:00:00"/>
    <n v="2009"/>
    <x v="4"/>
    <s v="R"/>
    <s v="RS"/>
    <x v="5"/>
    <s v="PHX"/>
    <s v="A"/>
    <n v="6"/>
    <n v="1"/>
    <n v="5"/>
    <n v="-5"/>
    <n v="16"/>
    <n v="-16"/>
    <n v="1508.7105039344647"/>
    <n v="1543.7305951010414"/>
    <n v="0.37732263087736456"/>
    <n v="80"/>
    <n v="89"/>
    <n v="0"/>
    <n v="-9"/>
    <n v="0"/>
    <n v="0.39445984406336554"/>
    <n v="1"/>
    <n v="75.25"/>
    <n v="75.25"/>
    <n v="-11.20010661684417"/>
    <n v="1497.5103973176206"/>
    <n v="0"/>
    <n v="1"/>
    <n v="0"/>
    <n v="0"/>
    <n v="0"/>
    <n v="0"/>
    <n v="0"/>
    <n v="0"/>
    <n v="0"/>
    <n v="0"/>
  </r>
  <r>
    <d v="2009-06-19T00:00:00"/>
    <n v="2009"/>
    <x v="5"/>
    <s v="R"/>
    <s v="RS"/>
    <x v="9"/>
    <s v="LAS"/>
    <s v="H"/>
    <n v="1"/>
    <n v="6"/>
    <n v="-5"/>
    <n v="5"/>
    <n v="-16"/>
    <n v="16"/>
    <n v="1543.7305951010414"/>
    <n v="1508.7105039344647"/>
    <n v="0.62267736912263549"/>
    <n v="89"/>
    <n v="80"/>
    <n v="0"/>
    <n v="9"/>
    <n v="1"/>
    <n v="0.39445984406336554"/>
    <n v="1"/>
    <n v="75.099999999999994"/>
    <n v="75.099999999999994"/>
    <n v="11.177780822923548"/>
    <n v="1554.908375923965"/>
    <n v="1"/>
    <n v="0"/>
    <n v="0"/>
    <n v="0"/>
    <n v="0"/>
    <n v="0"/>
    <n v="0"/>
    <n v="0"/>
    <n v="0"/>
    <n v="0"/>
  </r>
  <r>
    <d v="2009-06-19T00:00:00"/>
    <n v="2009"/>
    <x v="6"/>
    <s v="R"/>
    <s v="RS"/>
    <x v="7"/>
    <s v="SEA"/>
    <s v="A"/>
    <n v="1"/>
    <n v="4"/>
    <n v="-3"/>
    <n v="3"/>
    <n v="-16"/>
    <n v="16"/>
    <n v="1514.4324633777458"/>
    <n v="1554.1714706839093"/>
    <n v="0.28976908722749362"/>
    <n v="62"/>
    <n v="90"/>
    <n v="0"/>
    <n v="-28"/>
    <n v="0"/>
    <n v="0.65732189378795181"/>
    <n v="1"/>
    <n v="74.95"/>
    <n v="74.95"/>
    <n v="-14.275843810059794"/>
    <n v="1500.156619567686"/>
    <n v="0"/>
    <n v="1"/>
    <n v="0"/>
    <n v="0"/>
    <n v="0"/>
    <n v="0"/>
    <n v="0"/>
    <n v="0"/>
    <n v="0"/>
    <n v="0"/>
  </r>
  <r>
    <d v="2009-06-19T00:00:00"/>
    <n v="2009"/>
    <x v="5"/>
    <s v="R"/>
    <s v="RS"/>
    <x v="10"/>
    <s v="MIN"/>
    <s v="H"/>
    <n v="4"/>
    <n v="1"/>
    <n v="3"/>
    <n v="-3"/>
    <n v="16"/>
    <n v="-16"/>
    <n v="1554.1714706839093"/>
    <n v="1514.4324633777458"/>
    <n v="0.71023091277250638"/>
    <n v="90"/>
    <n v="62"/>
    <n v="0"/>
    <n v="28"/>
    <n v="1"/>
    <n v="0.65732189378795181"/>
    <n v="1"/>
    <n v="75.099999999999994"/>
    <n v="75.099999999999994"/>
    <n v="14.30441454483643"/>
    <n v="1568.4758852287457"/>
    <n v="1"/>
    <n v="0"/>
    <n v="0"/>
    <n v="0"/>
    <n v="0"/>
    <n v="0"/>
    <n v="0"/>
    <n v="0"/>
    <n v="0"/>
    <n v="0"/>
  </r>
  <r>
    <d v="2009-06-20T00:00:00"/>
    <n v="2009"/>
    <x v="5"/>
    <s v="R"/>
    <s v="RS"/>
    <x v="6"/>
    <s v="WAS"/>
    <s v="A"/>
    <n v="0"/>
    <n v="0"/>
    <n v="0"/>
    <n v="0"/>
    <n v="0"/>
    <n v="0"/>
    <n v="1461.2486300083087"/>
    <n v="1453.1717911123296"/>
    <n v="0.39244439406195308"/>
    <n v="72"/>
    <n v="81"/>
    <n v="0"/>
    <n v="-9"/>
    <n v="0"/>
    <n v="0.40325732345129295"/>
    <n v="1"/>
    <n v="75.099999999999994"/>
    <n v="75.099999999999994"/>
    <n v="-11.885031304061863"/>
    <n v="1449.3635987042469"/>
    <n v="0"/>
    <n v="1"/>
    <n v="0"/>
    <n v="0"/>
    <n v="0"/>
    <n v="0"/>
    <n v="0"/>
    <n v="0"/>
    <n v="0"/>
    <n v="0"/>
  </r>
  <r>
    <d v="2009-06-20T00:00:00"/>
    <n v="2009"/>
    <x v="4"/>
    <s v="R"/>
    <s v="RS"/>
    <x v="2"/>
    <s v="CHI"/>
    <s v="H"/>
    <n v="0"/>
    <n v="0"/>
    <n v="0"/>
    <n v="0"/>
    <n v="0"/>
    <n v="0"/>
    <n v="1453.1717911123296"/>
    <n v="1461.2486300083087"/>
    <n v="0.60755560593804692"/>
    <n v="81"/>
    <n v="72"/>
    <n v="0"/>
    <n v="9"/>
    <n v="1"/>
    <n v="0.40325732345129295"/>
    <n v="1"/>
    <n v="75.25"/>
    <n v="75.25"/>
    <n v="11.908769715454797"/>
    <n v="1465.0805608277844"/>
    <n v="1"/>
    <n v="0"/>
    <n v="0"/>
    <n v="0"/>
    <n v="0"/>
    <n v="0"/>
    <n v="0"/>
    <n v="0"/>
    <n v="0"/>
    <n v="0"/>
  </r>
  <r>
    <d v="2009-06-21T00:00:00"/>
    <n v="2009"/>
    <x v="4"/>
    <s v="R"/>
    <s v="RS"/>
    <x v="12"/>
    <s v="ATL"/>
    <s v="A"/>
    <n v="1"/>
    <n v="1"/>
    <n v="0"/>
    <n v="0"/>
    <n v="0"/>
    <n v="0"/>
    <n v="1499.3040185030936"/>
    <n v="1421.1242414616863"/>
    <n v="0.49162480928340457"/>
    <n v="93"/>
    <n v="81"/>
    <n v="0"/>
    <n v="12"/>
    <n v="1"/>
    <n v="0.42823031745879125"/>
    <n v="1"/>
    <n v="75.25"/>
    <n v="75.25"/>
    <n v="16.382050615482775"/>
    <n v="1515.6860691185764"/>
    <n v="1"/>
    <n v="0"/>
    <n v="0"/>
    <n v="0"/>
    <n v="0"/>
    <n v="0"/>
    <n v="0"/>
    <n v="0"/>
    <n v="0"/>
    <n v="0"/>
  </r>
  <r>
    <d v="2009-06-21T00:00:00"/>
    <n v="2009"/>
    <x v="5"/>
    <s v="R"/>
    <s v="RS"/>
    <x v="1"/>
    <s v="NYL"/>
    <s v="H"/>
    <n v="1"/>
    <n v="1"/>
    <n v="0"/>
    <n v="0"/>
    <n v="0"/>
    <n v="0"/>
    <n v="1421.1242414616863"/>
    <n v="1499.3040185030936"/>
    <n v="0.50837519071659543"/>
    <n v="81"/>
    <n v="93"/>
    <n v="0"/>
    <n v="-12"/>
    <n v="0"/>
    <n v="0.42823031745879125"/>
    <n v="1"/>
    <n v="75.099999999999994"/>
    <n v="75.099999999999994"/>
    <n v="-16.349395365086465"/>
    <n v="1404.7748460966"/>
    <n v="0"/>
    <n v="1"/>
    <n v="0"/>
    <n v="0"/>
    <n v="0"/>
    <n v="0"/>
    <n v="0"/>
    <n v="0"/>
    <n v="0"/>
    <n v="0"/>
  </r>
  <r>
    <d v="2009-06-21T00:00:00"/>
    <n v="2009"/>
    <x v="3"/>
    <s v="R"/>
    <s v="RS"/>
    <x v="8"/>
    <s v="CON"/>
    <s v="A"/>
    <n v="1"/>
    <n v="1"/>
    <n v="0"/>
    <n v="0"/>
    <n v="0"/>
    <n v="0"/>
    <n v="1511.4993524855288"/>
    <n v="1513.4404165997698"/>
    <n v="0.37878310418969874"/>
    <n v="58"/>
    <n v="71"/>
    <n v="0"/>
    <n v="-13"/>
    <n v="0"/>
    <n v="0.47128143275010143"/>
    <n v="1"/>
    <n v="75.400000000000006"/>
    <n v="75.400000000000006"/>
    <n v="-13.459913680921533"/>
    <n v="1498.0394388046072"/>
    <n v="0"/>
    <n v="1"/>
    <n v="0"/>
    <n v="0"/>
    <n v="0"/>
    <n v="0"/>
    <n v="0"/>
    <n v="0"/>
    <n v="0"/>
    <n v="0"/>
  </r>
  <r>
    <d v="2009-06-21T00:00:00"/>
    <n v="2009"/>
    <x v="5"/>
    <s v="R"/>
    <s v="RS"/>
    <x v="3"/>
    <s v="SAS"/>
    <s v="H"/>
    <n v="1"/>
    <n v="1"/>
    <n v="0"/>
    <n v="0"/>
    <n v="0"/>
    <n v="0"/>
    <n v="1513.4404165997698"/>
    <n v="1511.4993524855288"/>
    <n v="0.62121689581030137"/>
    <n v="71"/>
    <n v="58"/>
    <n v="0"/>
    <n v="13"/>
    <n v="1"/>
    <n v="0.47128143275010143"/>
    <n v="1"/>
    <n v="75.099999999999994"/>
    <n v="75.099999999999994"/>
    <n v="13.406359647708314"/>
    <n v="1526.8467762474781"/>
    <n v="1"/>
    <n v="0"/>
    <n v="0"/>
    <n v="0"/>
    <n v="0"/>
    <n v="0"/>
    <n v="0"/>
    <n v="0"/>
    <n v="0"/>
    <n v="0"/>
  </r>
  <r>
    <d v="2009-06-21T00:00:00"/>
    <n v="2009"/>
    <x v="4"/>
    <s v="R"/>
    <s v="RS"/>
    <x v="4"/>
    <s v="IND"/>
    <s v="A"/>
    <n v="1"/>
    <n v="1"/>
    <n v="0"/>
    <n v="0"/>
    <n v="0"/>
    <n v="0"/>
    <n v="1542.0388723214589"/>
    <n v="1516.1441988580671"/>
    <n v="0.41715069226900814"/>
    <n v="70"/>
    <n v="82"/>
    <n v="0"/>
    <n v="-12"/>
    <n v="0"/>
    <n v="0.44649458353992449"/>
    <n v="1"/>
    <n v="75.25"/>
    <n v="75.25"/>
    <n v="-14.01572822750766"/>
    <n v="1528.0231440939513"/>
    <n v="0"/>
    <n v="1"/>
    <n v="0"/>
    <n v="0"/>
    <n v="0"/>
    <n v="0"/>
    <n v="0"/>
    <n v="0"/>
    <n v="0"/>
    <n v="0"/>
  </r>
  <r>
    <d v="2009-06-21T00:00:00"/>
    <n v="2009"/>
    <x v="5"/>
    <s v="R"/>
    <s v="RS"/>
    <x v="0"/>
    <s v="DET"/>
    <s v="H"/>
    <n v="1"/>
    <n v="1"/>
    <n v="0"/>
    <n v="0"/>
    <n v="0"/>
    <n v="0"/>
    <n v="1516.1441988580671"/>
    <n v="1542.0388723214589"/>
    <n v="0.58284930773099186"/>
    <n v="82"/>
    <n v="70"/>
    <n v="0"/>
    <n v="12"/>
    <n v="1"/>
    <n v="0.44649458353992449"/>
    <n v="1"/>
    <n v="75.099999999999994"/>
    <n v="75.099999999999994"/>
    <n v="13.987789898814951"/>
    <n v="1530.131988756882"/>
    <n v="1"/>
    <n v="0"/>
    <n v="0"/>
    <n v="0"/>
    <n v="0"/>
    <n v="0"/>
    <n v="0"/>
    <n v="0"/>
    <n v="0"/>
    <n v="0"/>
  </r>
  <r>
    <d v="2009-06-21T00:00:00"/>
    <n v="2009"/>
    <x v="5"/>
    <s v="R"/>
    <s v="RS"/>
    <x v="11"/>
    <s v="LAS"/>
    <s v="A"/>
    <n v="4"/>
    <n v="1"/>
    <n v="3"/>
    <n v="-3"/>
    <n v="16"/>
    <n v="-16"/>
    <n v="1478.4088521755002"/>
    <n v="1497.5103973176206"/>
    <n v="0.39908156391147365"/>
    <n v="47"/>
    <n v="67"/>
    <n v="0"/>
    <n v="-20"/>
    <n v="0"/>
    <n v="0.56587971156265271"/>
    <n v="1"/>
    <n v="75.099999999999994"/>
    <n v="75.099999999999994"/>
    <n v="-16.959995236742397"/>
    <n v="1461.4488569387579"/>
    <n v="0"/>
    <n v="1"/>
    <n v="0"/>
    <n v="0"/>
    <n v="0"/>
    <n v="0"/>
    <n v="0"/>
    <n v="0"/>
    <n v="0"/>
    <n v="0"/>
  </r>
  <r>
    <d v="2009-06-21T00:00:00"/>
    <n v="2009"/>
    <x v="5"/>
    <s v="R"/>
    <s v="RS"/>
    <x v="5"/>
    <s v="SAC"/>
    <s v="H"/>
    <n v="1"/>
    <n v="4"/>
    <n v="-3"/>
    <n v="3"/>
    <n v="-16"/>
    <n v="16"/>
    <n v="1497.5103973176206"/>
    <n v="1478.4088521755002"/>
    <n v="0.60091843608852635"/>
    <n v="67"/>
    <n v="47"/>
    <n v="0"/>
    <n v="20"/>
    <n v="1"/>
    <n v="0.56587971156265271"/>
    <n v="1"/>
    <n v="75.099999999999994"/>
    <n v="75.099999999999994"/>
    <n v="16.959995236742397"/>
    <n v="1514.4703925543629"/>
    <n v="1"/>
    <n v="0"/>
    <n v="0"/>
    <n v="0"/>
    <n v="0"/>
    <n v="0"/>
    <n v="0"/>
    <n v="0"/>
    <n v="0"/>
    <n v="0"/>
  </r>
  <r>
    <d v="2009-06-21T00:00:00"/>
    <n v="2009"/>
    <x v="6"/>
    <s v="R"/>
    <s v="RS"/>
    <x v="10"/>
    <s v="PHX"/>
    <s v="A"/>
    <n v="1"/>
    <n v="1"/>
    <n v="0"/>
    <n v="0"/>
    <n v="0"/>
    <n v="0"/>
    <n v="1568.4758852287457"/>
    <n v="1554.908375923965"/>
    <n v="0.40000554407641398"/>
    <n v="93"/>
    <n v="84"/>
    <n v="0"/>
    <n v="9"/>
    <n v="1"/>
    <n v="0.40143282416630882"/>
    <n v="1"/>
    <n v="74.95"/>
    <n v="74.95"/>
    <n v="18.052267295968701"/>
    <n v="1586.5281525247144"/>
    <n v="1"/>
    <n v="0"/>
    <n v="0"/>
    <n v="0"/>
    <n v="0"/>
    <n v="0"/>
    <n v="0"/>
    <n v="0"/>
    <n v="0"/>
    <n v="0"/>
  </r>
  <r>
    <d v="2009-06-21T00:00:00"/>
    <n v="2009"/>
    <x v="6"/>
    <s v="R"/>
    <s v="RS"/>
    <x v="9"/>
    <s v="SEA"/>
    <s v="H"/>
    <n v="1"/>
    <n v="1"/>
    <n v="0"/>
    <n v="0"/>
    <n v="0"/>
    <n v="0"/>
    <n v="1554.908375923965"/>
    <n v="1568.4758852287457"/>
    <n v="0.59999445592358613"/>
    <n v="84"/>
    <n v="93"/>
    <n v="0"/>
    <n v="-9"/>
    <n v="0"/>
    <n v="0.40143282416630882"/>
    <n v="1"/>
    <n v="74.95"/>
    <n v="74.95"/>
    <n v="-18.052267295968704"/>
    <n v="1536.8561086279963"/>
    <n v="0"/>
    <n v="1"/>
    <n v="0"/>
    <n v="0"/>
    <n v="0"/>
    <n v="0"/>
    <n v="0"/>
    <n v="0"/>
    <n v="0"/>
    <n v="0"/>
  </r>
  <r>
    <d v="2009-06-23T00:00:00"/>
    <n v="2009"/>
    <x v="6"/>
    <s v="R"/>
    <s v="RS"/>
    <x v="6"/>
    <s v="ATL"/>
    <s v="A"/>
    <n v="2"/>
    <n v="1"/>
    <n v="1"/>
    <n v="-1"/>
    <n v="8"/>
    <n v="-8"/>
    <n v="1449.3635987042469"/>
    <n v="1404.7748460966"/>
    <n v="0.46635940597878156"/>
    <n v="99"/>
    <n v="98"/>
    <n v="1"/>
    <n v="1"/>
    <n v="1"/>
    <n v="0.21188850059104788"/>
    <n v="1"/>
    <n v="74.95"/>
    <n v="74.95"/>
    <n v="8.4747692838593238"/>
    <n v="1457.8383679881063"/>
    <n v="1"/>
    <n v="0"/>
    <n v="0"/>
    <n v="0"/>
    <n v="0"/>
    <n v="0"/>
    <n v="0"/>
    <n v="0"/>
    <n v="0"/>
    <n v="0"/>
  </r>
  <r>
    <d v="2009-06-23T00:00:00"/>
    <n v="2009"/>
    <x v="6"/>
    <s v="R"/>
    <s v="RS"/>
    <x v="1"/>
    <s v="CHI"/>
    <s v="H"/>
    <n v="1"/>
    <n v="2"/>
    <n v="-1"/>
    <n v="1"/>
    <n v="-8"/>
    <n v="8"/>
    <n v="1404.7748460966"/>
    <n v="1449.3635987042469"/>
    <n v="0.53364059402121844"/>
    <n v="98"/>
    <n v="99"/>
    <n v="1"/>
    <n v="-1"/>
    <n v="0"/>
    <n v="0.21188850059104788"/>
    <n v="1"/>
    <n v="74.95"/>
    <n v="74.95"/>
    <n v="-8.4747692838593238"/>
    <n v="1396.3000768127406"/>
    <n v="0"/>
    <n v="1"/>
    <n v="0"/>
    <n v="0"/>
    <n v="0"/>
    <n v="0"/>
    <n v="0"/>
    <n v="0"/>
    <n v="0"/>
    <n v="0"/>
  </r>
  <r>
    <d v="2009-06-23T00:00:00"/>
    <n v="2009"/>
    <x v="5"/>
    <s v="R"/>
    <s v="RS"/>
    <x v="12"/>
    <s v="MIN"/>
    <s v="A"/>
    <n v="1"/>
    <n v="3"/>
    <n v="-2"/>
    <n v="2"/>
    <n v="-16"/>
    <n v="16"/>
    <n v="1515.6860691185764"/>
    <n v="1500.156619567686"/>
    <n v="0.35931120066366096"/>
    <n v="57"/>
    <n v="69"/>
    <n v="0"/>
    <n v="-12"/>
    <n v="0"/>
    <n v="0.4503019913619401"/>
    <n v="1"/>
    <n v="75.099999999999994"/>
    <n v="75.099999999999994"/>
    <n v="-12.151071043229962"/>
    <n v="1503.5349980753465"/>
    <n v="0"/>
    <n v="1"/>
    <n v="0"/>
    <n v="0"/>
    <n v="0"/>
    <n v="0"/>
    <n v="0"/>
    <n v="0"/>
    <n v="0"/>
    <n v="0"/>
  </r>
  <r>
    <d v="2009-06-23T00:00:00"/>
    <n v="2009"/>
    <x v="7"/>
    <s v="R"/>
    <s v="RS"/>
    <x v="7"/>
    <s v="NYL"/>
    <s v="H"/>
    <n v="3"/>
    <n v="1"/>
    <n v="2"/>
    <n v="-2"/>
    <n v="16"/>
    <n v="-16"/>
    <n v="1500.156619567686"/>
    <n v="1515.6860691185764"/>
    <n v="0.64068879933633904"/>
    <n v="69"/>
    <n v="57"/>
    <n v="0"/>
    <n v="12"/>
    <n v="1"/>
    <n v="0.4503019913619401"/>
    <n v="1"/>
    <n v="74.8"/>
    <n v="74.8"/>
    <n v="12.102531478476715"/>
    <n v="1512.2591510461627"/>
    <n v="1"/>
    <n v="0"/>
    <n v="0"/>
    <n v="0"/>
    <n v="0"/>
    <n v="0"/>
    <n v="0"/>
    <n v="0"/>
    <n v="0"/>
    <n v="0"/>
  </r>
  <r>
    <d v="2009-06-23T00:00:00"/>
    <n v="2009"/>
    <x v="7"/>
    <s v="R"/>
    <s v="RS"/>
    <x v="9"/>
    <s v="SAS"/>
    <s v="A"/>
    <n v="1"/>
    <n v="1"/>
    <n v="0"/>
    <n v="0"/>
    <n v="0"/>
    <n v="0"/>
    <n v="1536.8561086279963"/>
    <n v="1498.0394388046072"/>
    <n v="0.43534007099767313"/>
    <n v="87"/>
    <n v="91"/>
    <n v="0"/>
    <n v="-4"/>
    <n v="0"/>
    <n v="0.3016744050900883"/>
    <n v="1"/>
    <n v="74.8"/>
    <n v="74.8"/>
    <n v="-9.8235555783714688"/>
    <n v="1527.0325530496248"/>
    <n v="0"/>
    <n v="1"/>
    <n v="0"/>
    <n v="0"/>
    <n v="0"/>
    <n v="0"/>
    <n v="0"/>
    <n v="0"/>
    <n v="0"/>
    <n v="0"/>
  </r>
  <r>
    <d v="2009-06-23T00:00:00"/>
    <n v="2009"/>
    <x v="4"/>
    <s v="R"/>
    <s v="RS"/>
    <x v="8"/>
    <s v="PHX"/>
    <s v="H"/>
    <n v="1"/>
    <n v="1"/>
    <n v="0"/>
    <n v="0"/>
    <n v="0"/>
    <n v="0"/>
    <n v="1498.0394388046072"/>
    <n v="1536.8561086279963"/>
    <n v="0.56465992900232687"/>
    <n v="91"/>
    <n v="87"/>
    <n v="0"/>
    <n v="4"/>
    <n v="1"/>
    <n v="0.3016744050900883"/>
    <n v="1"/>
    <n v="75.25"/>
    <n v="75.25"/>
    <n v="9.8826545089900133"/>
    <n v="1507.9220933135973"/>
    <n v="1"/>
    <n v="0"/>
    <n v="0"/>
    <n v="0"/>
    <n v="0"/>
    <n v="0"/>
    <n v="0"/>
    <n v="0"/>
    <n v="0"/>
    <n v="0"/>
  </r>
  <r>
    <d v="2009-06-25T00:00:00"/>
    <n v="2009"/>
    <x v="8"/>
    <s v="R"/>
    <s v="RS"/>
    <x v="9"/>
    <s v="WAS"/>
    <s v="A"/>
    <n v="1"/>
    <n v="4"/>
    <n v="-3"/>
    <n v="3"/>
    <n v="-16"/>
    <n v="16"/>
    <n v="1527.0325530496248"/>
    <n v="1465.0805608277844"/>
    <n v="0.42284007931226658"/>
    <n v="93"/>
    <n v="87"/>
    <n v="0"/>
    <n v="6"/>
    <n v="1"/>
    <n v="0.33403561776309432"/>
    <n v="1"/>
    <n v="74.650000000000006"/>
    <n v="74.650000000000006"/>
    <n v="14.391920609397657"/>
    <n v="1541.4244736590224"/>
    <n v="1"/>
    <n v="0"/>
    <n v="0"/>
    <n v="0"/>
    <n v="0"/>
    <n v="0"/>
    <n v="0"/>
    <n v="0"/>
    <n v="0"/>
    <n v="0"/>
  </r>
  <r>
    <d v="2009-06-25T00:00:00"/>
    <n v="2009"/>
    <x v="5"/>
    <s v="R"/>
    <s v="RS"/>
    <x v="2"/>
    <s v="PHX"/>
    <s v="H"/>
    <n v="4"/>
    <n v="1"/>
    <n v="3"/>
    <n v="-3"/>
    <n v="16"/>
    <n v="-16"/>
    <n v="1465.0805608277844"/>
    <n v="1527.0325530496248"/>
    <n v="0.57715992068773336"/>
    <n v="87"/>
    <n v="93"/>
    <n v="0"/>
    <n v="-6"/>
    <n v="0"/>
    <n v="0.33403561776309432"/>
    <n v="1"/>
    <n v="75.099999999999994"/>
    <n v="75.099999999999994"/>
    <n v="-14.478676996192416"/>
    <n v="1450.601883831592"/>
    <n v="0"/>
    <n v="1"/>
    <n v="0"/>
    <n v="0"/>
    <n v="0"/>
    <n v="0"/>
    <n v="0"/>
    <n v="0"/>
    <n v="0"/>
    <n v="0"/>
  </r>
  <r>
    <d v="2009-06-26T00:00:00"/>
    <n v="2009"/>
    <x v="5"/>
    <s v="R"/>
    <s v="RS"/>
    <x v="4"/>
    <s v="ATL"/>
    <s v="A"/>
    <n v="4"/>
    <n v="2"/>
    <n v="2"/>
    <n v="-2"/>
    <n v="16"/>
    <n v="-16"/>
    <n v="1528.0231440939513"/>
    <n v="1396.3000768127406"/>
    <n v="0.6127586188643328"/>
    <n v="86"/>
    <n v="96"/>
    <n v="0"/>
    <n v="-10"/>
    <n v="0"/>
    <n v="0.38127719769497809"/>
    <n v="1"/>
    <n v="75.099999999999994"/>
    <n v="75.099999999999994"/>
    <n v="-17.545679768709249"/>
    <n v="1510.477464325242"/>
    <n v="0"/>
    <n v="1"/>
    <n v="0"/>
    <n v="0"/>
    <n v="0"/>
    <n v="0"/>
    <n v="0"/>
    <n v="0"/>
    <n v="0"/>
    <n v="0"/>
  </r>
  <r>
    <d v="2009-06-26T00:00:00"/>
    <n v="2009"/>
    <x v="7"/>
    <s v="R"/>
    <s v="RS"/>
    <x v="1"/>
    <s v="DET"/>
    <s v="H"/>
    <n v="2"/>
    <n v="4"/>
    <n v="-2"/>
    <n v="2"/>
    <n v="-16"/>
    <n v="16"/>
    <n v="1396.3000768127406"/>
    <n v="1528.0231440939513"/>
    <n v="0.3872413811356672"/>
    <n v="96"/>
    <n v="86"/>
    <n v="0"/>
    <n v="10"/>
    <n v="1"/>
    <n v="0.38127719769497809"/>
    <n v="1"/>
    <n v="74.8"/>
    <n v="74.8"/>
    <n v="17.475590501990037"/>
    <n v="1413.7756673147305"/>
    <n v="1"/>
    <n v="0"/>
    <n v="0"/>
    <n v="0"/>
    <n v="0"/>
    <n v="0"/>
    <n v="0"/>
    <n v="0"/>
    <n v="0"/>
    <n v="0"/>
  </r>
  <r>
    <d v="2009-06-26T00:00:00"/>
    <n v="2009"/>
    <x v="6"/>
    <s v="R"/>
    <s v="RS"/>
    <x v="0"/>
    <s v="NYL"/>
    <s v="A"/>
    <n v="4"/>
    <n v="2"/>
    <n v="2"/>
    <n v="-2"/>
    <n v="16"/>
    <n v="-16"/>
    <n v="1530.131988756882"/>
    <n v="1503.5349980753465"/>
    <n v="0.46350713692859413"/>
    <n v="82"/>
    <n v="81"/>
    <n v="1"/>
    <n v="1"/>
    <n v="1"/>
    <n v="0.2149964875553699"/>
    <n v="1"/>
    <n v="74.95"/>
    <n v="74.95"/>
    <n v="8.6450388828577776"/>
    <n v="1538.7770276397398"/>
    <n v="1"/>
    <n v="0"/>
    <n v="0"/>
    <n v="0"/>
    <n v="0"/>
    <n v="0"/>
    <n v="0"/>
    <n v="0"/>
    <n v="0"/>
    <n v="0"/>
  </r>
  <r>
    <d v="2009-06-26T00:00:00"/>
    <n v="2009"/>
    <x v="6"/>
    <s v="R"/>
    <s v="RS"/>
    <x v="12"/>
    <s v="IND"/>
    <s v="H"/>
    <n v="2"/>
    <n v="4"/>
    <n v="-2"/>
    <n v="2"/>
    <n v="-16"/>
    <n v="16"/>
    <n v="1503.5349980753465"/>
    <n v="1530.131988756882"/>
    <n v="0.53649286307140587"/>
    <n v="81"/>
    <n v="82"/>
    <n v="1"/>
    <n v="-1"/>
    <n v="0"/>
    <n v="0.2149964875553699"/>
    <n v="1"/>
    <n v="74.95"/>
    <n v="74.95"/>
    <n v="-8.6450388828577776"/>
    <n v="1494.8899591924887"/>
    <n v="0"/>
    <n v="1"/>
    <n v="0"/>
    <n v="0"/>
    <n v="0"/>
    <n v="0"/>
    <n v="0"/>
    <n v="0"/>
    <n v="0"/>
    <n v="0"/>
  </r>
  <r>
    <d v="2009-06-26T00:00:00"/>
    <n v="2009"/>
    <x v="6"/>
    <s v="R"/>
    <s v="RS"/>
    <x v="11"/>
    <s v="SAS"/>
    <s v="A"/>
    <n v="4"/>
    <n v="2"/>
    <n v="2"/>
    <n v="-2"/>
    <n v="16"/>
    <n v="-16"/>
    <n v="1461.4488569387579"/>
    <n v="1507.9220933135973"/>
    <n v="0.36196225252060926"/>
    <n v="52"/>
    <n v="62"/>
    <n v="0"/>
    <n v="-10"/>
    <n v="0"/>
    <n v="0.40735382387789065"/>
    <n v="1"/>
    <n v="74.95"/>
    <n v="74.95"/>
    <n v="-11.051130739396177"/>
    <n v="1450.3977261993616"/>
    <n v="0"/>
    <n v="1"/>
    <n v="0"/>
    <n v="0"/>
    <n v="0"/>
    <n v="0"/>
    <n v="0"/>
    <n v="0"/>
    <n v="0"/>
    <n v="0"/>
  </r>
  <r>
    <d v="2009-06-26T00:00:00"/>
    <n v="2009"/>
    <x v="5"/>
    <s v="R"/>
    <s v="RS"/>
    <x v="8"/>
    <s v="SAC"/>
    <s v="H"/>
    <n v="2"/>
    <n v="4"/>
    <n v="-2"/>
    <n v="2"/>
    <n v="-16"/>
    <n v="16"/>
    <n v="1507.9220933135973"/>
    <n v="1461.4488569387579"/>
    <n v="0.63803774747939068"/>
    <n v="62"/>
    <n v="52"/>
    <n v="0"/>
    <n v="10"/>
    <n v="1"/>
    <n v="0.40735382387789065"/>
    <n v="1"/>
    <n v="75.099999999999994"/>
    <n v="75.099999999999994"/>
    <n v="11.073247745545737"/>
    <n v="1518.9953410591431"/>
    <n v="1"/>
    <n v="0"/>
    <n v="0"/>
    <n v="0"/>
    <n v="0"/>
    <n v="0"/>
    <n v="0"/>
    <n v="0"/>
    <n v="0"/>
    <n v="0"/>
  </r>
  <r>
    <d v="2009-06-26T00:00:00"/>
    <n v="2009"/>
    <x v="6"/>
    <s v="R"/>
    <s v="RS"/>
    <x v="5"/>
    <s v="SEA"/>
    <s v="A"/>
    <n v="4"/>
    <n v="4"/>
    <n v="0"/>
    <n v="0"/>
    <n v="0"/>
    <n v="0"/>
    <n v="1514.4703925543629"/>
    <n v="1586.5281525247144"/>
    <n v="0.28939160759299237"/>
    <n v="67"/>
    <n v="69"/>
    <n v="0"/>
    <n v="-2"/>
    <n v="0"/>
    <n v="0.25266901793759355"/>
    <n v="1"/>
    <n v="74.95"/>
    <n v="74.95"/>
    <n v="-5.4803659820782169"/>
    <n v="1508.9900265722847"/>
    <n v="0"/>
    <n v="1"/>
    <n v="0"/>
    <n v="0"/>
    <n v="0"/>
    <n v="0"/>
    <n v="0"/>
    <n v="0"/>
    <n v="0"/>
    <n v="0"/>
  </r>
  <r>
    <d v="2009-06-26T00:00:00"/>
    <n v="2009"/>
    <x v="7"/>
    <s v="R"/>
    <s v="RS"/>
    <x v="10"/>
    <s v="LAS"/>
    <s v="H"/>
    <n v="4"/>
    <n v="4"/>
    <n v="0"/>
    <n v="0"/>
    <n v="0"/>
    <n v="0"/>
    <n v="1586.5281525247144"/>
    <n v="1514.4703925543629"/>
    <n v="0.71060839240700768"/>
    <n v="69"/>
    <n v="67"/>
    <n v="0"/>
    <n v="2"/>
    <n v="1"/>
    <n v="0.25266901793759355"/>
    <n v="1"/>
    <n v="74.8"/>
    <n v="74.8"/>
    <n v="5.4693979380847297"/>
    <n v="1591.9975504627992"/>
    <n v="1"/>
    <n v="0"/>
    <n v="0"/>
    <n v="0"/>
    <n v="0"/>
    <n v="0"/>
    <n v="0"/>
    <n v="0"/>
    <n v="0"/>
    <n v="0"/>
  </r>
  <r>
    <d v="2009-06-27T00:00:00"/>
    <n v="2009"/>
    <x v="6"/>
    <s v="R"/>
    <s v="RS"/>
    <x v="2"/>
    <s v="CHI"/>
    <s v="A"/>
    <n v="1"/>
    <n v="3"/>
    <n v="-2"/>
    <n v="2"/>
    <n v="-16"/>
    <n v="16"/>
    <n v="1450.601883831592"/>
    <n v="1457.8383679881063"/>
    <n v="0.32973005529724708"/>
    <n v="63"/>
    <n v="68"/>
    <n v="0"/>
    <n v="-5"/>
    <n v="0"/>
    <n v="0.32976734531979562"/>
    <n v="1"/>
    <n v="74.95"/>
    <n v="74.95"/>
    <n v="-8.1496286653138181"/>
    <n v="1442.4522551662781"/>
    <n v="0"/>
    <n v="1"/>
    <n v="0"/>
    <n v="0"/>
    <n v="0"/>
    <n v="0"/>
    <n v="0"/>
    <n v="0"/>
    <n v="0"/>
    <n v="0"/>
  </r>
  <r>
    <d v="2009-06-27T00:00:00"/>
    <n v="2009"/>
    <x v="7"/>
    <s v="R"/>
    <s v="RS"/>
    <x v="6"/>
    <s v="WAS"/>
    <s v="H"/>
    <n v="3"/>
    <n v="1"/>
    <n v="2"/>
    <n v="-2"/>
    <n v="16"/>
    <n v="-16"/>
    <n v="1457.8383679881063"/>
    <n v="1450.601883831592"/>
    <n v="0.67026994470275292"/>
    <n v="68"/>
    <n v="63"/>
    <n v="0"/>
    <n v="5"/>
    <n v="1"/>
    <n v="0.32976734531979562"/>
    <n v="1"/>
    <n v="74.8"/>
    <n v="74.8"/>
    <n v="8.1333185345626884"/>
    <n v="1465.971686522669"/>
    <n v="1"/>
    <n v="0"/>
    <n v="0"/>
    <n v="0"/>
    <n v="0"/>
    <n v="0"/>
    <n v="0"/>
    <n v="0"/>
    <n v="0"/>
    <n v="0"/>
  </r>
  <r>
    <d v="2009-06-27T00:00:00"/>
    <n v="2009"/>
    <x v="8"/>
    <s v="R"/>
    <s v="RS"/>
    <x v="1"/>
    <s v="CON"/>
    <s v="A"/>
    <n v="0"/>
    <n v="5"/>
    <n v="-5"/>
    <n v="5"/>
    <n v="-16"/>
    <n v="16"/>
    <n v="1413.7756673147305"/>
    <n v="1526.8467762474781"/>
    <n v="0.21104476730252303"/>
    <n v="68"/>
    <n v="82"/>
    <n v="0"/>
    <n v="-14"/>
    <n v="0"/>
    <n v="0.44561922066544413"/>
    <n v="1"/>
    <n v="74.650000000000006"/>
    <n v="74.650000000000006"/>
    <n v="-7.0205043931594702"/>
    <n v="1406.7551629215711"/>
    <n v="0"/>
    <n v="1"/>
    <n v="0"/>
    <n v="0"/>
    <n v="0"/>
    <n v="0"/>
    <n v="0"/>
    <n v="0"/>
    <n v="0"/>
    <n v="0"/>
  </r>
  <r>
    <d v="2009-06-27T00:00:00"/>
    <n v="2009"/>
    <x v="6"/>
    <s v="R"/>
    <s v="RS"/>
    <x v="3"/>
    <s v="ATL"/>
    <s v="H"/>
    <n v="5"/>
    <n v="0"/>
    <n v="5"/>
    <n v="-5"/>
    <n v="16"/>
    <n v="-16"/>
    <n v="1526.8467762474781"/>
    <n v="1413.7756673147305"/>
    <n v="0.78895523269747703"/>
    <n v="82"/>
    <n v="68"/>
    <n v="0"/>
    <n v="14"/>
    <n v="1"/>
    <n v="0.44561922066544413"/>
    <n v="1"/>
    <n v="74.95"/>
    <n v="74.95"/>
    <n v="7.048718074578729"/>
    <n v="1533.8954943220569"/>
    <n v="1"/>
    <n v="0"/>
    <n v="0"/>
    <n v="0"/>
    <n v="0"/>
    <n v="0"/>
    <n v="0"/>
    <n v="0"/>
    <n v="0"/>
    <n v="0"/>
  </r>
  <r>
    <d v="2009-06-27T00:00:00"/>
    <n v="2009"/>
    <x v="7"/>
    <s v="R"/>
    <s v="RS"/>
    <x v="12"/>
    <s v="IND"/>
    <s v="A"/>
    <n v="0"/>
    <n v="0"/>
    <n v="0"/>
    <n v="0"/>
    <n v="0"/>
    <n v="0"/>
    <n v="1494.8899591924887"/>
    <n v="1538.7770276397398"/>
    <n v="0.3238406622210051"/>
    <n v="54"/>
    <n v="63"/>
    <n v="0"/>
    <n v="-9"/>
    <n v="0"/>
    <n v="0.39164795979816913"/>
    <n v="1"/>
    <n v="74.8"/>
    <n v="74.8"/>
    <n v="-9.4869987924591417"/>
    <n v="1485.4029604000295"/>
    <n v="0"/>
    <n v="1"/>
    <n v="0"/>
    <n v="0"/>
    <n v="0"/>
    <n v="0"/>
    <n v="0"/>
    <n v="0"/>
    <n v="0"/>
    <n v="0"/>
  </r>
  <r>
    <d v="2009-06-27T00:00:00"/>
    <n v="2009"/>
    <x v="7"/>
    <s v="R"/>
    <s v="RS"/>
    <x v="0"/>
    <s v="NYL"/>
    <s v="H"/>
    <n v="0"/>
    <n v="0"/>
    <n v="0"/>
    <n v="0"/>
    <n v="0"/>
    <n v="0"/>
    <n v="1538.7770276397398"/>
    <n v="1494.8899591924887"/>
    <n v="0.67615933777899495"/>
    <n v="63"/>
    <n v="54"/>
    <n v="0"/>
    <n v="9"/>
    <n v="1"/>
    <n v="0.39164795979816913"/>
    <n v="1"/>
    <n v="74.8"/>
    <n v="74.8"/>
    <n v="9.4869987924591399"/>
    <n v="1548.264026432199"/>
    <n v="1"/>
    <n v="0"/>
    <n v="0"/>
    <n v="0"/>
    <n v="0"/>
    <n v="0"/>
    <n v="0"/>
    <n v="0"/>
    <n v="0"/>
    <n v="0"/>
  </r>
  <r>
    <d v="2009-06-27T00:00:00"/>
    <n v="2009"/>
    <x v="9"/>
    <s v="R"/>
    <s v="RS"/>
    <x v="9"/>
    <s v="MIN"/>
    <s v="A"/>
    <n v="1"/>
    <n v="3"/>
    <n v="-2"/>
    <n v="2"/>
    <n v="-16"/>
    <n v="16"/>
    <n v="1541.4244736590224"/>
    <n v="1512.2591510461627"/>
    <n v="0.3775734325723859"/>
    <n v="80"/>
    <n v="109"/>
    <n v="0"/>
    <n v="-29"/>
    <n v="0"/>
    <n v="0.67495846876769794"/>
    <n v="1"/>
    <n v="74.5"/>
    <n v="74.5"/>
    <n v="-18.986055749283381"/>
    <n v="1522.438417909739"/>
    <n v="0"/>
    <n v="1"/>
    <n v="0"/>
    <n v="0"/>
    <n v="0"/>
    <n v="0"/>
    <n v="0"/>
    <n v="0"/>
    <n v="0"/>
    <n v="0"/>
  </r>
  <r>
    <d v="2009-06-27T00:00:00"/>
    <n v="2009"/>
    <x v="8"/>
    <s v="R"/>
    <s v="RS"/>
    <x v="7"/>
    <s v="PHX"/>
    <s v="H"/>
    <n v="3"/>
    <n v="1"/>
    <n v="2"/>
    <n v="-2"/>
    <n v="16"/>
    <n v="-16"/>
    <n v="1512.2591510461627"/>
    <n v="1541.4244736590224"/>
    <n v="0.62242656742761404"/>
    <n v="109"/>
    <n v="80"/>
    <n v="0"/>
    <n v="29"/>
    <n v="1"/>
    <n v="0.67495846876769794"/>
    <n v="1"/>
    <n v="74.650000000000006"/>
    <n v="74.650000000000006"/>
    <n v="19.024282707167849"/>
    <n v="1531.2834337533307"/>
    <n v="1"/>
    <n v="0"/>
    <n v="0"/>
    <n v="0"/>
    <n v="0"/>
    <n v="0"/>
    <n v="0"/>
    <n v="0"/>
    <n v="0"/>
    <n v="0"/>
  </r>
  <r>
    <d v="2009-06-28T00:00:00"/>
    <n v="2009"/>
    <x v="7"/>
    <s v="R"/>
    <s v="RS"/>
    <x v="11"/>
    <s v="DET"/>
    <s v="A"/>
    <n v="1"/>
    <n v="1"/>
    <n v="0"/>
    <n v="0"/>
    <n v="0"/>
    <n v="0"/>
    <n v="1450.3977261993616"/>
    <n v="1510.477464325242"/>
    <n v="0.3037741424132484"/>
    <n v="72"/>
    <n v="86"/>
    <n v="0"/>
    <n v="-14"/>
    <n v="0"/>
    <n v="0.46435928341422766"/>
    <n v="1"/>
    <n v="74.8"/>
    <n v="74.8"/>
    <n v="-10.551313663190909"/>
    <n v="1439.8464125361706"/>
    <n v="0"/>
    <n v="1"/>
    <n v="0"/>
    <n v="0"/>
    <n v="0"/>
    <n v="0"/>
    <n v="0"/>
    <n v="0"/>
    <n v="0"/>
    <n v="0"/>
  </r>
  <r>
    <d v="2009-06-28T00:00:00"/>
    <n v="2009"/>
    <x v="6"/>
    <s v="R"/>
    <s v="RS"/>
    <x v="4"/>
    <s v="SAC"/>
    <s v="H"/>
    <n v="1"/>
    <n v="1"/>
    <n v="0"/>
    <n v="0"/>
    <n v="0"/>
    <n v="0"/>
    <n v="1510.477464325242"/>
    <n v="1450.3977261993616"/>
    <n v="0.6962258575867516"/>
    <n v="86"/>
    <n v="72"/>
    <n v="0"/>
    <n v="14"/>
    <n v="1"/>
    <n v="0.46435928341422766"/>
    <n v="1"/>
    <n v="74.95"/>
    <n v="74.95"/>
    <n v="10.572472714654529"/>
    <n v="1521.0499370398966"/>
    <n v="1"/>
    <n v="0"/>
    <n v="0"/>
    <n v="0"/>
    <n v="0"/>
    <n v="0"/>
    <n v="0"/>
    <n v="0"/>
    <n v="0"/>
    <n v="0"/>
  </r>
  <r>
    <d v="2009-06-28T00:00:00"/>
    <n v="2009"/>
    <x v="8"/>
    <s v="R"/>
    <s v="RS"/>
    <x v="10"/>
    <s v="LAS"/>
    <s v="A"/>
    <n v="1"/>
    <n v="1"/>
    <n v="0"/>
    <n v="0"/>
    <n v="0"/>
    <n v="0"/>
    <n v="1591.9975504627992"/>
    <n v="1508.9900265722847"/>
    <n v="0.49857171595065891"/>
    <n v="55"/>
    <n v="82"/>
    <n v="0"/>
    <n v="-27"/>
    <n v="0"/>
    <n v="0.6235349248569706"/>
    <n v="1"/>
    <n v="74.650000000000006"/>
    <n v="74.650000000000006"/>
    <n v="-23.206958900978492"/>
    <n v="1568.7905915618207"/>
    <n v="0"/>
    <n v="1"/>
    <n v="0"/>
    <n v="0"/>
    <n v="0"/>
    <n v="0"/>
    <n v="0"/>
    <n v="0"/>
    <n v="0"/>
    <n v="0"/>
  </r>
  <r>
    <d v="2009-06-28T00:00:00"/>
    <n v="2009"/>
    <x v="7"/>
    <s v="R"/>
    <s v="RS"/>
    <x v="5"/>
    <s v="SEA"/>
    <s v="H"/>
    <n v="1"/>
    <n v="1"/>
    <n v="0"/>
    <n v="0"/>
    <n v="0"/>
    <n v="0"/>
    <n v="1508.9900265722847"/>
    <n v="1591.9975504627992"/>
    <n v="0.50142828404934103"/>
    <n v="82"/>
    <n v="55"/>
    <n v="0"/>
    <n v="27"/>
    <n v="1"/>
    <n v="0.6235349248569706"/>
    <n v="1"/>
    <n v="74.8"/>
    <n v="74.8"/>
    <n v="23.253590432594656"/>
    <n v="1532.2436170048793"/>
    <n v="1"/>
    <n v="0"/>
    <n v="0"/>
    <n v="0"/>
    <n v="0"/>
    <n v="0"/>
    <n v="0"/>
    <n v="0"/>
    <n v="0"/>
    <n v="0"/>
  </r>
  <r>
    <d v="2009-06-30T00:00:00"/>
    <n v="2009"/>
    <x v="9"/>
    <s v="R"/>
    <s v="RS"/>
    <x v="7"/>
    <s v="ATL"/>
    <s v="A"/>
    <n v="2"/>
    <n v="2"/>
    <n v="0"/>
    <n v="0"/>
    <n v="0"/>
    <n v="0"/>
    <n v="1531.2834337533307"/>
    <n v="1406.7551629215711"/>
    <n v="0.55806175684385528"/>
    <n v="91"/>
    <n v="85"/>
    <n v="0"/>
    <n v="6"/>
    <n v="1"/>
    <n v="0.31825437221092978"/>
    <n v="1"/>
    <n v="74.5"/>
    <n v="74.5"/>
    <n v="10.478333970808675"/>
    <n v="1541.7617677241394"/>
    <n v="1"/>
    <n v="0"/>
    <n v="0"/>
    <n v="0"/>
    <n v="0"/>
    <n v="0"/>
    <n v="0"/>
    <n v="0"/>
    <n v="0"/>
    <n v="0"/>
  </r>
  <r>
    <d v="2009-06-30T00:00:00"/>
    <n v="2009"/>
    <x v="9"/>
    <s v="R"/>
    <s v="RS"/>
    <x v="1"/>
    <s v="MIN"/>
    <s v="H"/>
    <n v="2"/>
    <n v="2"/>
    <n v="0"/>
    <n v="0"/>
    <n v="0"/>
    <n v="0"/>
    <n v="1406.7551629215711"/>
    <n v="1531.2834337533307"/>
    <n v="0.44193824315614472"/>
    <n v="85"/>
    <n v="91"/>
    <n v="0"/>
    <n v="-6"/>
    <n v="0"/>
    <n v="0.31825437221092978"/>
    <n v="1"/>
    <n v="74.5"/>
    <n v="74.5"/>
    <n v="-10.478333970808675"/>
    <n v="1396.2768289507624"/>
    <n v="0"/>
    <n v="1"/>
    <n v="0"/>
    <n v="0"/>
    <n v="0"/>
    <n v="0"/>
    <n v="0"/>
    <n v="0"/>
    <n v="0"/>
    <n v="0"/>
  </r>
  <r>
    <d v="2009-06-30T00:00:00"/>
    <n v="2009"/>
    <x v="8"/>
    <s v="R"/>
    <s v="RS"/>
    <x v="11"/>
    <s v="CHI"/>
    <s v="A"/>
    <n v="1"/>
    <n v="2"/>
    <n v="-1"/>
    <n v="1"/>
    <n v="-8"/>
    <n v="8"/>
    <n v="1439.8464125361706"/>
    <n v="1465.971686522669"/>
    <n v="0.32606532517451836"/>
    <n v="72"/>
    <n v="74"/>
    <n v="0"/>
    <n v="-2"/>
    <n v="0"/>
    <n v="0.26213437712331433"/>
    <n v="1"/>
    <n v="74.650000000000006"/>
    <n v="74.650000000000006"/>
    <n v="-6.3805542928893519"/>
    <n v="1433.4658582432812"/>
    <n v="0"/>
    <n v="1"/>
    <n v="0"/>
    <n v="0"/>
    <n v="0"/>
    <n v="0"/>
    <n v="0"/>
    <n v="0"/>
    <n v="0"/>
    <n v="0"/>
  </r>
  <r>
    <d v="2009-06-30T00:00:00"/>
    <n v="2009"/>
    <x v="8"/>
    <s v="R"/>
    <s v="RS"/>
    <x v="6"/>
    <s v="SAC"/>
    <s v="H"/>
    <n v="2"/>
    <n v="1"/>
    <n v="1"/>
    <n v="-1"/>
    <n v="8"/>
    <n v="-8"/>
    <n v="1465.971686522669"/>
    <n v="1439.8464125361706"/>
    <n v="0.67393467482548164"/>
    <n v="74"/>
    <n v="72"/>
    <n v="0"/>
    <n v="2"/>
    <n v="1"/>
    <n v="0.26213437712331433"/>
    <n v="1"/>
    <n v="74.650000000000006"/>
    <n v="74.650000000000006"/>
    <n v="6.3805542928893519"/>
    <n v="1472.3522408155584"/>
    <n v="1"/>
    <n v="0"/>
    <n v="0"/>
    <n v="0"/>
    <n v="0"/>
    <n v="0"/>
    <n v="0"/>
    <n v="0"/>
    <n v="0"/>
    <n v="0"/>
  </r>
  <r>
    <d v="2009-06-30T00:00:00"/>
    <n v="2009"/>
    <x v="7"/>
    <s v="R"/>
    <s v="RS"/>
    <x v="2"/>
    <s v="SAS"/>
    <s v="A"/>
    <n v="2"/>
    <n v="3"/>
    <n v="-1"/>
    <n v="1"/>
    <n v="-8"/>
    <n v="8"/>
    <n v="1442.4522551662781"/>
    <n v="1518.9953410591431"/>
    <n v="0.26575582618699228"/>
    <n v="84"/>
    <n v="82"/>
    <n v="0"/>
    <n v="2"/>
    <n v="1"/>
    <n v="0.25178122738160236"/>
    <n v="1"/>
    <n v="74.8"/>
    <n v="74.8"/>
    <n v="13.828193666176135"/>
    <n v="1456.2804488324541"/>
    <n v="1"/>
    <n v="0"/>
    <n v="0"/>
    <n v="0"/>
    <n v="0"/>
    <n v="0"/>
    <n v="0"/>
    <n v="0"/>
    <n v="0"/>
    <n v="0"/>
  </r>
  <r>
    <d v="2009-06-30T00:00:00"/>
    <n v="2009"/>
    <x v="6"/>
    <s v="R"/>
    <s v="RS"/>
    <x v="8"/>
    <s v="WAS"/>
    <s v="H"/>
    <n v="3"/>
    <n v="2"/>
    <n v="1"/>
    <n v="-1"/>
    <n v="8"/>
    <n v="-8"/>
    <n v="1518.9953410591431"/>
    <n v="1442.4522551662781"/>
    <n v="0.73424417381300777"/>
    <n v="82"/>
    <n v="84"/>
    <n v="0"/>
    <n v="-2"/>
    <n v="0"/>
    <n v="0.25178122738160236"/>
    <n v="1"/>
    <n v="74.95"/>
    <n v="74.95"/>
    <n v="-13.855924001068203"/>
    <n v="1505.139417058075"/>
    <n v="0"/>
    <n v="1"/>
    <n v="0"/>
    <n v="0"/>
    <n v="0"/>
    <n v="0"/>
    <n v="0"/>
    <n v="0"/>
    <n v="0"/>
    <n v="0"/>
  </r>
  <r>
    <d v="2009-07-01T00:00:00"/>
    <n v="2009"/>
    <x v="9"/>
    <s v="R"/>
    <s v="RS"/>
    <x v="10"/>
    <s v="PHX"/>
    <s v="A"/>
    <n v="2"/>
    <n v="3"/>
    <n v="-1"/>
    <n v="1"/>
    <n v="-8"/>
    <n v="8"/>
    <n v="1568.7905915618207"/>
    <n v="1522.438417909739"/>
    <n v="0.42340237137072484"/>
    <n v="81"/>
    <n v="93"/>
    <n v="0"/>
    <n v="-12"/>
    <n v="0"/>
    <n v="0.43916586600718094"/>
    <n v="1"/>
    <n v="74.5"/>
    <n v="74.5"/>
    <n v="-13.852818247392623"/>
    <n v="1554.9377733144281"/>
    <n v="0"/>
    <n v="1"/>
    <n v="0"/>
    <n v="0"/>
    <n v="0"/>
    <n v="0"/>
    <n v="0"/>
    <n v="0"/>
    <n v="0"/>
    <n v="0"/>
  </r>
  <r>
    <d v="2009-07-01T00:00:00"/>
    <n v="2009"/>
    <x v="10"/>
    <s v="R"/>
    <s v="RS"/>
    <x v="9"/>
    <s v="SEA"/>
    <s v="H"/>
    <n v="3"/>
    <n v="2"/>
    <n v="1"/>
    <n v="-1"/>
    <n v="8"/>
    <n v="-8"/>
    <n v="1522.438417909739"/>
    <n v="1568.7905915618207"/>
    <n v="0.57659762862927522"/>
    <n v="93"/>
    <n v="81"/>
    <n v="0"/>
    <n v="12"/>
    <n v="1"/>
    <n v="0.43916586600718094"/>
    <n v="1"/>
    <n v="74.349999999999994"/>
    <n v="74.349999999999994"/>
    <n v="13.824926667028741"/>
    <n v="1536.2633445767676"/>
    <n v="1"/>
    <n v="0"/>
    <n v="0"/>
    <n v="0"/>
    <n v="0"/>
    <n v="0"/>
    <n v="0"/>
    <n v="0"/>
    <n v="0"/>
    <n v="0"/>
  </r>
  <r>
    <d v="2009-07-02T00:00:00"/>
    <n v="2009"/>
    <x v="7"/>
    <s v="R"/>
    <s v="RS"/>
    <x v="3"/>
    <s v="IND"/>
    <s v="A"/>
    <n v="4"/>
    <n v="4"/>
    <n v="0"/>
    <n v="0"/>
    <n v="0"/>
    <n v="0"/>
    <n v="1533.8954943220569"/>
    <n v="1548.264026432199"/>
    <n v="0.3621014610498644"/>
    <n v="53"/>
    <n v="67"/>
    <n v="0"/>
    <n v="-14"/>
    <n v="0"/>
    <n v="0.48183867480835779"/>
    <n v="1"/>
    <n v="74.8"/>
    <n v="74.8"/>
    <n v="-13.050691712755077"/>
    <n v="1520.844802609302"/>
    <n v="0"/>
    <n v="1"/>
    <n v="0"/>
    <n v="0"/>
    <n v="0"/>
    <n v="0"/>
    <n v="0"/>
    <n v="0"/>
    <n v="0"/>
    <n v="0"/>
  </r>
  <r>
    <d v="2009-07-02T00:00:00"/>
    <n v="2009"/>
    <x v="8"/>
    <s v="R"/>
    <s v="RS"/>
    <x v="0"/>
    <s v="CON"/>
    <s v="H"/>
    <n v="4"/>
    <n v="4"/>
    <n v="0"/>
    <n v="0"/>
    <n v="0"/>
    <n v="0"/>
    <n v="1548.264026432199"/>
    <n v="1533.8954943220569"/>
    <n v="0.63789853895013571"/>
    <n v="67"/>
    <n v="53"/>
    <n v="0"/>
    <n v="14"/>
    <n v="1"/>
    <n v="0.48183867480835779"/>
    <n v="1"/>
    <n v="74.650000000000006"/>
    <n v="74.650000000000006"/>
    <n v="13.024520539534308"/>
    <n v="1561.2885469717332"/>
    <n v="1"/>
    <n v="0"/>
    <n v="0"/>
    <n v="0"/>
    <n v="0"/>
    <n v="0"/>
    <n v="0"/>
    <n v="0"/>
    <n v="0"/>
    <n v="0"/>
  </r>
  <r>
    <d v="2009-07-02T00:00:00"/>
    <n v="2009"/>
    <x v="9"/>
    <s v="R"/>
    <s v="RS"/>
    <x v="11"/>
    <s v="MIN"/>
    <s v="A"/>
    <n v="1"/>
    <n v="1"/>
    <n v="0"/>
    <n v="0"/>
    <n v="0"/>
    <n v="0"/>
    <n v="1433.4658582432812"/>
    <n v="1541.7617677241394"/>
    <n v="0.2484410161367471"/>
    <n v="74"/>
    <n v="68"/>
    <n v="0"/>
    <n v="6"/>
    <n v="1"/>
    <n v="0.32220303545583889"/>
    <n v="1"/>
    <n v="74.5"/>
    <n v="74.5"/>
    <n v="18.040516651401024"/>
    <n v="1451.5063748946823"/>
    <n v="1"/>
    <n v="0"/>
    <n v="0"/>
    <n v="0"/>
    <n v="0"/>
    <n v="0"/>
    <n v="0"/>
    <n v="0"/>
    <n v="0"/>
    <n v="0"/>
  </r>
  <r>
    <d v="2009-07-02T00:00:00"/>
    <n v="2009"/>
    <x v="10"/>
    <s v="R"/>
    <s v="RS"/>
    <x v="7"/>
    <s v="SAC"/>
    <s v="H"/>
    <n v="1"/>
    <n v="1"/>
    <n v="0"/>
    <n v="0"/>
    <n v="0"/>
    <n v="0"/>
    <n v="1541.7617677241394"/>
    <n v="1433.4658582432812"/>
    <n v="0.75155898386325304"/>
    <n v="68"/>
    <n v="74"/>
    <n v="0"/>
    <n v="-6"/>
    <n v="0"/>
    <n v="0.32220303545583889"/>
    <n v="1"/>
    <n v="74.349999999999994"/>
    <n v="74.349999999999994"/>
    <n v="-18.004193463512298"/>
    <n v="1523.7575742606271"/>
    <n v="0"/>
    <n v="1"/>
    <n v="0"/>
    <n v="0"/>
    <n v="0"/>
    <n v="0"/>
    <n v="0"/>
    <n v="0"/>
    <n v="0"/>
    <n v="0"/>
  </r>
  <r>
    <d v="2009-07-02T00:00:00"/>
    <n v="2009"/>
    <x v="7"/>
    <s v="R"/>
    <s v="RS"/>
    <x v="4"/>
    <s v="NYL"/>
    <s v="A"/>
    <n v="3"/>
    <n v="4"/>
    <n v="-1"/>
    <n v="1"/>
    <n v="-8"/>
    <n v="8"/>
    <n v="1521.0499370398966"/>
    <n v="1485.4029604000295"/>
    <n v="0.40843330962837654"/>
    <n v="64"/>
    <n v="80"/>
    <n v="0"/>
    <n v="-16"/>
    <n v="0"/>
    <n v="0.50284850809550163"/>
    <n v="1"/>
    <n v="74.8"/>
    <n v="74.8"/>
    <n v="-15.362430014154665"/>
    <n v="1505.687507025742"/>
    <n v="0"/>
    <n v="1"/>
    <n v="0"/>
    <n v="0"/>
    <n v="0"/>
    <n v="0"/>
    <n v="0"/>
    <n v="0"/>
    <n v="0"/>
    <n v="0"/>
  </r>
  <r>
    <d v="2009-07-02T00:00:00"/>
    <n v="2009"/>
    <x v="8"/>
    <s v="R"/>
    <s v="RS"/>
    <x v="12"/>
    <s v="DET"/>
    <s v="H"/>
    <n v="4"/>
    <n v="3"/>
    <n v="1"/>
    <n v="-1"/>
    <n v="8"/>
    <n v="-8"/>
    <n v="1485.4029604000295"/>
    <n v="1521.0499370398966"/>
    <n v="0.59156669037162346"/>
    <n v="80"/>
    <n v="64"/>
    <n v="0"/>
    <n v="16"/>
    <n v="1"/>
    <n v="0.50284850809550163"/>
    <n v="1"/>
    <n v="74.650000000000006"/>
    <n v="74.650000000000006"/>
    <n v="15.331623002094195"/>
    <n v="1500.7345834021237"/>
    <n v="1"/>
    <n v="0"/>
    <n v="0"/>
    <n v="0"/>
    <n v="0"/>
    <n v="0"/>
    <n v="0"/>
    <n v="0"/>
    <n v="0"/>
    <n v="0"/>
  </r>
  <r>
    <d v="2009-07-03T00:00:00"/>
    <n v="2009"/>
    <x v="8"/>
    <s v="R"/>
    <s v="RS"/>
    <x v="2"/>
    <s v="ATL"/>
    <s v="A"/>
    <n v="2"/>
    <n v="2"/>
    <n v="0"/>
    <n v="0"/>
    <n v="0"/>
    <n v="0"/>
    <n v="1456.2804488324541"/>
    <n v="1396.2768289507624"/>
    <n v="0.46552123992639727"/>
    <n v="65"/>
    <n v="72"/>
    <n v="0"/>
    <n v="-7"/>
    <n v="0"/>
    <n v="0.35248200876302682"/>
    <n v="1"/>
    <n v="74.650000000000006"/>
    <n v="74.650000000000006"/>
    <n v="-12.249158881213473"/>
    <n v="1444.0312899512408"/>
    <n v="0"/>
    <n v="1"/>
    <n v="0"/>
    <n v="0"/>
    <n v="0"/>
    <n v="0"/>
    <n v="0"/>
    <n v="0"/>
    <n v="0"/>
    <n v="0"/>
  </r>
  <r>
    <d v="2009-07-03T00:00:00"/>
    <n v="2009"/>
    <x v="10"/>
    <s v="R"/>
    <s v="RS"/>
    <x v="1"/>
    <s v="WAS"/>
    <s v="H"/>
    <n v="2"/>
    <n v="2"/>
    <n v="0"/>
    <n v="0"/>
    <n v="0"/>
    <n v="0"/>
    <n v="1396.2768289507624"/>
    <n v="1456.2804488324541"/>
    <n v="0.53447876007360273"/>
    <n v="72"/>
    <n v="65"/>
    <n v="0"/>
    <n v="7"/>
    <n v="1"/>
    <n v="0.35248200876302682"/>
    <n v="1"/>
    <n v="74.349999999999994"/>
    <n v="74.349999999999994"/>
    <n v="12.199932522682136"/>
    <n v="1408.4767614734444"/>
    <n v="1"/>
    <n v="0"/>
    <n v="0"/>
    <n v="0"/>
    <n v="0"/>
    <n v="0"/>
    <n v="0"/>
    <n v="0"/>
    <n v="0"/>
    <n v="0"/>
  </r>
  <r>
    <d v="2009-07-03T00:00:00"/>
    <n v="2009"/>
    <x v="9"/>
    <s v="R"/>
    <s v="RS"/>
    <x v="6"/>
    <s v="SAS"/>
    <s v="A"/>
    <n v="2"/>
    <n v="2"/>
    <n v="0"/>
    <n v="0"/>
    <n v="0"/>
    <n v="0"/>
    <n v="1472.3522408155584"/>
    <n v="1505.139417058075"/>
    <n v="0.33798626885323046"/>
    <n v="72"/>
    <n v="85"/>
    <n v="0"/>
    <n v="-13"/>
    <n v="0"/>
    <n v="0.45948929198263111"/>
    <n v="1"/>
    <n v="74.5"/>
    <n v="74.5"/>
    <n v="-11.569929817454044"/>
    <n v="1460.7823109981043"/>
    <n v="0"/>
    <n v="1"/>
    <n v="0"/>
    <n v="0"/>
    <n v="0"/>
    <n v="0"/>
    <n v="0"/>
    <n v="0"/>
    <n v="0"/>
    <n v="0"/>
  </r>
  <r>
    <d v="2009-07-03T00:00:00"/>
    <n v="2009"/>
    <x v="7"/>
    <s v="R"/>
    <s v="RS"/>
    <x v="8"/>
    <s v="CHI"/>
    <s v="H"/>
    <n v="2"/>
    <n v="2"/>
    <n v="0"/>
    <n v="0"/>
    <n v="0"/>
    <n v="0"/>
    <n v="1505.139417058075"/>
    <n v="1472.3522408155584"/>
    <n v="0.66201373114676954"/>
    <n v="85"/>
    <n v="72"/>
    <n v="0"/>
    <n v="13"/>
    <n v="1"/>
    <n v="0.45948929198263111"/>
    <n v="1"/>
    <n v="74.8"/>
    <n v="74.8"/>
    <n v="11.61652013886661"/>
    <n v="1516.7559371969417"/>
    <n v="1"/>
    <n v="0"/>
    <n v="0"/>
    <n v="0"/>
    <n v="0"/>
    <n v="0"/>
    <n v="0"/>
    <n v="0"/>
    <n v="0"/>
    <n v="0"/>
  </r>
  <r>
    <d v="2009-07-05T00:00:00"/>
    <n v="2009"/>
    <x v="8"/>
    <s v="R"/>
    <s v="RS"/>
    <x v="3"/>
    <s v="DET"/>
    <s v="A"/>
    <n v="2"/>
    <n v="2"/>
    <n v="0"/>
    <n v="0"/>
    <n v="0"/>
    <n v="0"/>
    <n v="1520.844802609302"/>
    <n v="1505.687507025742"/>
    <n v="0.40220392153606799"/>
    <n v="95"/>
    <n v="92"/>
    <n v="1"/>
    <n v="3"/>
    <n v="1"/>
    <n v="0.25790751857857236"/>
    <n v="1"/>
    <n v="74.650000000000006"/>
    <n v="74.650000000000006"/>
    <n v="11.509246104823147"/>
    <n v="1532.3540487141252"/>
    <n v="1"/>
    <n v="0"/>
    <n v="0"/>
    <n v="0"/>
    <n v="0"/>
    <n v="0"/>
    <n v="0"/>
    <n v="0"/>
    <n v="0"/>
    <n v="0"/>
  </r>
  <r>
    <d v="2009-07-05T00:00:00"/>
    <n v="2009"/>
    <x v="8"/>
    <s v="R"/>
    <s v="RS"/>
    <x v="4"/>
    <s v="CON"/>
    <s v="H"/>
    <n v="2"/>
    <n v="2"/>
    <n v="0"/>
    <n v="0"/>
    <n v="0"/>
    <n v="0"/>
    <n v="1505.687507025742"/>
    <n v="1520.844802609302"/>
    <n v="0.59779607846393212"/>
    <n v="92"/>
    <n v="95"/>
    <n v="1"/>
    <n v="-3"/>
    <n v="0"/>
    <n v="0.25790751857857236"/>
    <n v="1"/>
    <n v="74.650000000000006"/>
    <n v="74.650000000000006"/>
    <n v="-11.509246104823148"/>
    <n v="1494.1782609209188"/>
    <n v="0"/>
    <n v="1"/>
    <n v="0"/>
    <n v="0"/>
    <n v="0"/>
    <n v="0"/>
    <n v="0"/>
    <n v="0"/>
    <n v="0"/>
    <n v="0"/>
  </r>
  <r>
    <d v="2009-07-05T00:00:00"/>
    <n v="2009"/>
    <x v="11"/>
    <s v="R"/>
    <s v="RS"/>
    <x v="1"/>
    <s v="IND"/>
    <s v="A"/>
    <n v="1"/>
    <n v="2"/>
    <n v="-1"/>
    <n v="1"/>
    <n v="-8"/>
    <n v="8"/>
    <n v="1408.4767614734444"/>
    <n v="1561.2885469717332"/>
    <n v="0.1891869819829271"/>
    <n v="74"/>
    <n v="78"/>
    <n v="0"/>
    <n v="-4"/>
    <n v="0"/>
    <n v="0.27625371532892218"/>
    <n v="1"/>
    <n v="74.2"/>
    <n v="74.2"/>
    <n v="-3.8779596145169912"/>
    <n v="1404.5988018589273"/>
    <n v="0"/>
    <n v="1"/>
    <n v="0"/>
    <n v="0"/>
    <n v="0"/>
    <n v="0"/>
    <n v="0"/>
    <n v="0"/>
    <n v="0"/>
    <n v="0"/>
  </r>
  <r>
    <d v="2009-07-05T00:00:00"/>
    <n v="2009"/>
    <x v="9"/>
    <s v="R"/>
    <s v="RS"/>
    <x v="0"/>
    <s v="ATL"/>
    <s v="H"/>
    <n v="2"/>
    <n v="1"/>
    <n v="1"/>
    <n v="-1"/>
    <n v="8"/>
    <n v="-8"/>
    <n v="1561.2885469717332"/>
    <n v="1408.4767614734444"/>
    <n v="0.81081301801707295"/>
    <n v="78"/>
    <n v="74"/>
    <n v="0"/>
    <n v="4"/>
    <n v="1"/>
    <n v="0.27625371532892218"/>
    <n v="1"/>
    <n v="74.5"/>
    <n v="74.5"/>
    <n v="3.8936386965163847"/>
    <n v="1565.1821856682495"/>
    <n v="1"/>
    <n v="0"/>
    <n v="0"/>
    <n v="0"/>
    <n v="0"/>
    <n v="0"/>
    <n v="0"/>
    <n v="0"/>
    <n v="0"/>
    <n v="0"/>
  </r>
  <r>
    <d v="2009-07-05T00:00:00"/>
    <n v="2009"/>
    <x v="11"/>
    <s v="R"/>
    <s v="RS"/>
    <x v="9"/>
    <s v="LAS"/>
    <s v="A"/>
    <n v="3"/>
    <n v="6"/>
    <n v="-3"/>
    <n v="3"/>
    <n v="-16"/>
    <n v="16"/>
    <n v="1536.2633445767676"/>
    <n v="1532.2436170048793"/>
    <n v="0.34420512753397914"/>
    <n v="104"/>
    <n v="89"/>
    <n v="0"/>
    <n v="15"/>
    <n v="1"/>
    <n v="0.50116922491910576"/>
    <n v="1"/>
    <n v="74.2"/>
    <n v="74.2"/>
    <n v="24.38688422912719"/>
    <n v="1560.6502288058948"/>
    <n v="1"/>
    <n v="0"/>
    <n v="0"/>
    <n v="0"/>
    <n v="0"/>
    <n v="0"/>
    <n v="0"/>
    <n v="0"/>
    <n v="0"/>
    <n v="0"/>
  </r>
  <r>
    <d v="2009-07-05T00:00:00"/>
    <n v="2009"/>
    <x v="8"/>
    <s v="R"/>
    <s v="RS"/>
    <x v="5"/>
    <s v="PHX"/>
    <s v="H"/>
    <n v="6"/>
    <n v="3"/>
    <n v="3"/>
    <n v="-3"/>
    <n v="16"/>
    <n v="-16"/>
    <n v="1532.2436170048793"/>
    <n v="1536.2633445767676"/>
    <n v="0.65579487246602097"/>
    <n v="89"/>
    <n v="104"/>
    <n v="0"/>
    <n v="-15"/>
    <n v="0"/>
    <n v="0.50116922491910576"/>
    <n v="1"/>
    <n v="74.650000000000006"/>
    <n v="74.650000000000006"/>
    <n v="-24.534783122700063"/>
    <n v="1507.7088338821793"/>
    <n v="0"/>
    <n v="1"/>
    <n v="0"/>
    <n v="0"/>
    <n v="0"/>
    <n v="0"/>
    <n v="0"/>
    <n v="0"/>
    <n v="0"/>
    <n v="0"/>
  </r>
  <r>
    <d v="2009-07-07T00:00:00"/>
    <n v="2009"/>
    <x v="9"/>
    <s v="R"/>
    <s v="RS"/>
    <x v="3"/>
    <s v="ATL"/>
    <s v="A"/>
    <n v="1"/>
    <n v="1"/>
    <n v="0"/>
    <n v="0"/>
    <n v="0"/>
    <n v="0"/>
    <n v="1532.3540487141252"/>
    <n v="1404.5988018589273"/>
    <n v="0.56263805857068261"/>
    <n v="67"/>
    <n v="72"/>
    <n v="0"/>
    <n v="-5"/>
    <n v="0"/>
    <n v="0.29983475606397963"/>
    <n v="1"/>
    <n v="74.5"/>
    <n v="74.5"/>
    <n v="-12.568034155766952"/>
    <n v="1519.7860145583581"/>
    <n v="0"/>
    <n v="1"/>
    <n v="0"/>
    <n v="0"/>
    <n v="0"/>
    <n v="0"/>
    <n v="0"/>
    <n v="0"/>
    <n v="0"/>
    <n v="0"/>
  </r>
  <r>
    <d v="2009-07-07T00:00:00"/>
    <n v="2009"/>
    <x v="12"/>
    <s v="R"/>
    <s v="RS"/>
    <x v="1"/>
    <s v="CON"/>
    <s v="H"/>
    <n v="1"/>
    <n v="1"/>
    <n v="0"/>
    <n v="0"/>
    <n v="0"/>
    <n v="0"/>
    <n v="1404.5988018589273"/>
    <n v="1532.3540487141252"/>
    <n v="0.43736194142931728"/>
    <n v="72"/>
    <n v="67"/>
    <n v="0"/>
    <n v="5"/>
    <n v="1"/>
    <n v="0.29983475606397963"/>
    <n v="1"/>
    <n v="74.05"/>
    <n v="74.05"/>
    <n v="12.49211985549722"/>
    <n v="1417.0909217144247"/>
    <n v="1"/>
    <n v="0"/>
    <n v="0"/>
    <n v="0"/>
    <n v="0"/>
    <n v="0"/>
    <n v="0"/>
    <n v="0"/>
    <n v="0"/>
    <n v="0"/>
  </r>
  <r>
    <d v="2009-07-07T00:00:00"/>
    <n v="2009"/>
    <x v="9"/>
    <s v="R"/>
    <s v="RS"/>
    <x v="2"/>
    <s v="MIN"/>
    <s v="A"/>
    <n v="3"/>
    <n v="4"/>
    <n v="-1"/>
    <n v="1"/>
    <n v="-8"/>
    <n v="8"/>
    <n v="1444.0312899512408"/>
    <n v="1523.7575742606271"/>
    <n v="0.26219565823589708"/>
    <n v="94"/>
    <n v="96"/>
    <n v="1"/>
    <n v="-2"/>
    <n v="0"/>
    <n v="0.22603945079595628"/>
    <n v="1"/>
    <n v="74.5"/>
    <n v="74.5"/>
    <n v="-4.4153589128601185"/>
    <n v="1439.6159310383807"/>
    <n v="0"/>
    <n v="1"/>
    <n v="0"/>
    <n v="0"/>
    <n v="0"/>
    <n v="0"/>
    <n v="0"/>
    <n v="0"/>
    <n v="0"/>
    <n v="0"/>
  </r>
  <r>
    <d v="2009-07-07T00:00:00"/>
    <n v="2009"/>
    <x v="11"/>
    <s v="R"/>
    <s v="RS"/>
    <x v="7"/>
    <s v="WAS"/>
    <s v="H"/>
    <n v="4"/>
    <n v="3"/>
    <n v="1"/>
    <n v="-1"/>
    <n v="8"/>
    <n v="-8"/>
    <n v="1523.7575742606271"/>
    <n v="1444.0312899512408"/>
    <n v="0.73780434176410292"/>
    <n v="96"/>
    <n v="94"/>
    <n v="1"/>
    <n v="2"/>
    <n v="1"/>
    <n v="0.22603945079595628"/>
    <n v="1"/>
    <n v="74.2"/>
    <n v="74.2"/>
    <n v="4.3975789440835005"/>
    <n v="1528.1551532047106"/>
    <n v="1"/>
    <n v="0"/>
    <n v="0"/>
    <n v="0"/>
    <n v="0"/>
    <n v="0"/>
    <n v="0"/>
    <n v="0"/>
    <n v="0"/>
    <n v="0"/>
  </r>
  <r>
    <d v="2009-07-07T00:00:00"/>
    <n v="2009"/>
    <x v="10"/>
    <s v="R"/>
    <s v="RS"/>
    <x v="6"/>
    <s v="SAC"/>
    <s v="A"/>
    <n v="3"/>
    <n v="4"/>
    <n v="-1"/>
    <n v="1"/>
    <n v="-8"/>
    <n v="8"/>
    <n v="1460.7823109981043"/>
    <n v="1451.5063748946823"/>
    <n v="0.37232633093013257"/>
    <n v="73"/>
    <n v="83"/>
    <n v="0"/>
    <n v="-10"/>
    <n v="0"/>
    <n v="0.41988401822900034"/>
    <n v="1"/>
    <n v="74.349999999999994"/>
    <n v="74.349999999999994"/>
    <n v="-11.62342367490513"/>
    <n v="1449.1588873231992"/>
    <n v="0"/>
    <n v="1"/>
    <n v="0"/>
    <n v="0"/>
    <n v="0"/>
    <n v="0"/>
    <n v="0"/>
    <n v="0"/>
    <n v="0"/>
    <n v="0"/>
  </r>
  <r>
    <d v="2009-07-07T00:00:00"/>
    <n v="2009"/>
    <x v="10"/>
    <s v="R"/>
    <s v="RS"/>
    <x v="11"/>
    <s v="CHI"/>
    <s v="H"/>
    <n v="4"/>
    <n v="3"/>
    <n v="1"/>
    <n v="-1"/>
    <n v="8"/>
    <n v="-8"/>
    <n v="1451.5063748946823"/>
    <n v="1460.7823109981043"/>
    <n v="0.62767366906986743"/>
    <n v="83"/>
    <n v="73"/>
    <n v="0"/>
    <n v="10"/>
    <n v="1"/>
    <n v="0.41988401822900034"/>
    <n v="1"/>
    <n v="74.349999999999994"/>
    <n v="74.349999999999994"/>
    <n v="11.62342367490513"/>
    <n v="1463.1297985695874"/>
    <n v="1"/>
    <n v="0"/>
    <n v="0"/>
    <n v="0"/>
    <n v="0"/>
    <n v="0"/>
    <n v="0"/>
    <n v="0"/>
    <n v="0"/>
    <n v="0"/>
  </r>
  <r>
    <d v="2009-07-07T00:00:00"/>
    <n v="2009"/>
    <x v="8"/>
    <s v="R"/>
    <s v="RS"/>
    <x v="8"/>
    <s v="SEA"/>
    <s v="A"/>
    <n v="3"/>
    <n v="5"/>
    <n v="-2"/>
    <n v="2"/>
    <n v="-16"/>
    <n v="16"/>
    <n v="1516.7559371969417"/>
    <n v="1554.9377733144281"/>
    <n v="0.29161733398641582"/>
    <n v="53"/>
    <n v="66"/>
    <n v="0"/>
    <n v="-13"/>
    <n v="0"/>
    <n v="0.4574873336481351"/>
    <n v="1"/>
    <n v="74.650000000000006"/>
    <n v="74.650000000000006"/>
    <n v="-9.9591488100268712"/>
    <n v="1506.7967883869148"/>
    <n v="0"/>
    <n v="1"/>
    <n v="0"/>
    <n v="0"/>
    <n v="0"/>
    <n v="0"/>
    <n v="0"/>
    <n v="0"/>
    <n v="0"/>
    <n v="0"/>
  </r>
  <r>
    <d v="2009-07-07T00:00:00"/>
    <n v="2009"/>
    <x v="10"/>
    <s v="R"/>
    <s v="RS"/>
    <x v="10"/>
    <s v="SAS"/>
    <s v="H"/>
    <n v="5"/>
    <n v="3"/>
    <n v="2"/>
    <n v="-2"/>
    <n v="16"/>
    <n v="-16"/>
    <n v="1554.9377733144281"/>
    <n v="1516.7559371969417"/>
    <n v="0.70838266601358424"/>
    <n v="66"/>
    <n v="53"/>
    <n v="0"/>
    <n v="13"/>
    <n v="1"/>
    <n v="0.4574873336481351"/>
    <n v="1"/>
    <n v="74.349999999999994"/>
    <n v="74.349999999999994"/>
    <n v="9.919125439055561"/>
    <n v="1564.8568987534836"/>
    <n v="1"/>
    <n v="0"/>
    <n v="0"/>
    <n v="0"/>
    <n v="0"/>
    <n v="0"/>
    <n v="0"/>
    <n v="0"/>
    <n v="0"/>
    <n v="0"/>
  </r>
  <r>
    <d v="2009-07-08T00:00:00"/>
    <n v="2009"/>
    <x v="11"/>
    <s v="R"/>
    <s v="RS"/>
    <x v="6"/>
    <s v="PHX"/>
    <s v="A"/>
    <n v="0"/>
    <n v="2"/>
    <n v="-2"/>
    <n v="2"/>
    <n v="-16"/>
    <n v="16"/>
    <n v="1449.1588873231992"/>
    <n v="1560.6502288058948"/>
    <n v="0.21256292020620415"/>
    <n v="70"/>
    <n v="90"/>
    <n v="0"/>
    <n v="-20"/>
    <n v="0"/>
    <n v="0.52601554345809587"/>
    <n v="1"/>
    <n v="74.2"/>
    <n v="74.2"/>
    <n v="-8.2964058793549302"/>
    <n v="1440.8624814438442"/>
    <n v="0"/>
    <n v="1"/>
    <n v="0"/>
    <n v="0"/>
    <n v="0"/>
    <n v="0"/>
    <n v="0"/>
    <n v="0"/>
    <n v="0"/>
    <n v="0"/>
  </r>
  <r>
    <d v="2009-07-08T00:00:00"/>
    <n v="2009"/>
    <x v="12"/>
    <s v="R"/>
    <s v="RS"/>
    <x v="9"/>
    <s v="CHI"/>
    <s v="H"/>
    <n v="2"/>
    <n v="0"/>
    <n v="2"/>
    <n v="-2"/>
    <n v="16"/>
    <n v="-16"/>
    <n v="1560.6502288058948"/>
    <n v="1449.1588873231992"/>
    <n v="0.78743707979379585"/>
    <n v="90"/>
    <n v="70"/>
    <n v="0"/>
    <n v="20"/>
    <n v="1"/>
    <n v="0.52601554345809587"/>
    <n v="1"/>
    <n v="74.05"/>
    <n v="74.05"/>
    <n v="8.2796341693562354"/>
    <n v="1568.9298629752511"/>
    <n v="1"/>
    <n v="0"/>
    <n v="0"/>
    <n v="0"/>
    <n v="0"/>
    <n v="0"/>
    <n v="0"/>
    <n v="0"/>
    <n v="0"/>
    <n v="0"/>
  </r>
  <r>
    <d v="2009-07-09T00:00:00"/>
    <n v="2009"/>
    <x v="9"/>
    <s v="R"/>
    <s v="RS"/>
    <x v="5"/>
    <s v="NYL"/>
    <s v="A"/>
    <n v="3"/>
    <n v="6"/>
    <n v="-3"/>
    <n v="3"/>
    <n v="-16"/>
    <n v="16"/>
    <n v="1507.7088338821793"/>
    <n v="1500.7345834021237"/>
    <n v="0.34805432499939853"/>
    <n v="69"/>
    <n v="60"/>
    <n v="0"/>
    <n v="9"/>
    <n v="1"/>
    <n v="0.40362570484244265"/>
    <n v="1"/>
    <n v="74.5"/>
    <n v="74.5"/>
    <n v="19.604081428036935"/>
    <n v="1527.3129153102163"/>
    <n v="1"/>
    <n v="0"/>
    <n v="0"/>
    <n v="0"/>
    <n v="0"/>
    <n v="0"/>
    <n v="0"/>
    <n v="0"/>
    <n v="0"/>
    <n v="0"/>
  </r>
  <r>
    <d v="2009-07-09T00:00:00"/>
    <n v="2009"/>
    <x v="9"/>
    <s v="R"/>
    <s v="RS"/>
    <x v="12"/>
    <s v="LAS"/>
    <s v="H"/>
    <n v="6"/>
    <n v="3"/>
    <n v="3"/>
    <n v="-3"/>
    <n v="16"/>
    <n v="-16"/>
    <n v="1500.7345834021237"/>
    <n v="1507.7088338821793"/>
    <n v="0.65194567500060141"/>
    <n v="60"/>
    <n v="69"/>
    <n v="0"/>
    <n v="-9"/>
    <n v="0"/>
    <n v="0.40362570484244265"/>
    <n v="1"/>
    <n v="74.5"/>
    <n v="74.5"/>
    <n v="-19.604081428036935"/>
    <n v="1481.1305019740867"/>
    <n v="0"/>
    <n v="1"/>
    <n v="0"/>
    <n v="0"/>
    <n v="0"/>
    <n v="0"/>
    <n v="0"/>
    <n v="0"/>
    <n v="0"/>
    <n v="0"/>
  </r>
  <r>
    <d v="2009-07-09T00:00:00"/>
    <n v="2009"/>
    <x v="11"/>
    <s v="R"/>
    <s v="RS"/>
    <x v="11"/>
    <s v="SEA"/>
    <s v="A"/>
    <n v="1"/>
    <n v="1"/>
    <n v="0"/>
    <n v="0"/>
    <n v="0"/>
    <n v="0"/>
    <n v="1463.1297985695874"/>
    <n v="1564.8568987534836"/>
    <n v="0.25556835421632668"/>
    <n v="55"/>
    <n v="66"/>
    <n v="0"/>
    <n v="-11"/>
    <n v="0"/>
    <n v="0.40546375982692107"/>
    <n v="1"/>
    <n v="74.2"/>
    <n v="74.2"/>
    <n v="-7.6888789698650983"/>
    <n v="1455.4409195997223"/>
    <n v="0"/>
    <n v="1"/>
    <n v="0"/>
    <n v="0"/>
    <n v="0"/>
    <n v="0"/>
    <n v="0"/>
    <n v="0"/>
    <n v="0"/>
    <n v="0"/>
  </r>
  <r>
    <d v="2009-07-09T00:00:00"/>
    <n v="2009"/>
    <x v="11"/>
    <s v="R"/>
    <s v="RS"/>
    <x v="10"/>
    <s v="SAC"/>
    <s v="H"/>
    <n v="1"/>
    <n v="1"/>
    <n v="0"/>
    <n v="0"/>
    <n v="0"/>
    <n v="0"/>
    <n v="1564.8568987534836"/>
    <n v="1463.1297985695874"/>
    <n v="0.74443164578367338"/>
    <n v="66"/>
    <n v="55"/>
    <n v="0"/>
    <n v="11"/>
    <n v="1"/>
    <n v="0.40546375982692107"/>
    <n v="1"/>
    <n v="74.2"/>
    <n v="74.2"/>
    <n v="7.6888789698650974"/>
    <n v="1572.5457777233487"/>
    <n v="1"/>
    <n v="0"/>
    <n v="0"/>
    <n v="0"/>
    <n v="0"/>
    <n v="0"/>
    <n v="0"/>
    <n v="0"/>
    <n v="0"/>
    <n v="0"/>
  </r>
  <r>
    <d v="2009-07-10T00:00:00"/>
    <n v="2009"/>
    <x v="10"/>
    <s v="R"/>
    <s v="RS"/>
    <x v="0"/>
    <s v="CHI"/>
    <s v="A"/>
    <n v="4"/>
    <n v="1"/>
    <n v="3"/>
    <n v="-3"/>
    <n v="16"/>
    <n v="-16"/>
    <n v="1565.1821856682495"/>
    <n v="1440.8624814438442"/>
    <n v="0.60259889497742725"/>
    <n v="83"/>
    <n v="54"/>
    <n v="0"/>
    <n v="29"/>
    <n v="1"/>
    <n v="0.62646167792165375"/>
    <n v="1"/>
    <n v="74.349999999999994"/>
    <n v="74.349999999999994"/>
    <n v="18.509920463537785"/>
    <n v="1583.6921061317873"/>
    <n v="1"/>
    <n v="0"/>
    <n v="0"/>
    <n v="0"/>
    <n v="0"/>
    <n v="0"/>
    <n v="0"/>
    <n v="0"/>
    <n v="0"/>
    <n v="0"/>
  </r>
  <r>
    <d v="2009-07-10T00:00:00"/>
    <n v="2009"/>
    <x v="12"/>
    <s v="R"/>
    <s v="RS"/>
    <x v="6"/>
    <s v="IND"/>
    <s v="H"/>
    <n v="1"/>
    <n v="4"/>
    <n v="-3"/>
    <n v="3"/>
    <n v="-16"/>
    <n v="16"/>
    <n v="1440.8624814438442"/>
    <n v="1565.1821856682495"/>
    <n v="0.3974011050225727"/>
    <n v="54"/>
    <n v="83"/>
    <n v="0"/>
    <n v="-29"/>
    <n v="0"/>
    <n v="0.62646167792165375"/>
    <n v="1"/>
    <n v="74.05"/>
    <n v="74.05"/>
    <n v="-18.435233494619673"/>
    <n v="1422.4272479492245"/>
    <n v="0"/>
    <n v="1"/>
    <n v="0"/>
    <n v="0"/>
    <n v="0"/>
    <n v="0"/>
    <n v="0"/>
    <n v="0"/>
    <n v="0"/>
    <n v="0"/>
  </r>
  <r>
    <d v="2009-07-10T00:00:00"/>
    <n v="2009"/>
    <x v="9"/>
    <s v="R"/>
    <s v="RS"/>
    <x v="8"/>
    <s v="MIN"/>
    <s v="A"/>
    <n v="2"/>
    <n v="2"/>
    <n v="0"/>
    <n v="0"/>
    <n v="0"/>
    <n v="0"/>
    <n v="1506.7967883869148"/>
    <n v="1528.1551532047106"/>
    <n v="0.35285994886604904"/>
    <n v="77"/>
    <n v="61"/>
    <n v="0"/>
    <n v="16"/>
    <n v="1"/>
    <n v="0.50873130821744306"/>
    <n v="1"/>
    <n v="74.5"/>
    <n v="74.5"/>
    <n v="24.526920158589196"/>
    <n v="1531.3237085455041"/>
    <n v="1"/>
    <n v="0"/>
    <n v="0"/>
    <n v="0"/>
    <n v="0"/>
    <n v="0"/>
    <n v="0"/>
    <n v="0"/>
    <n v="0"/>
    <n v="0"/>
  </r>
  <r>
    <d v="2009-07-10T00:00:00"/>
    <n v="2009"/>
    <x v="12"/>
    <s v="R"/>
    <s v="RS"/>
    <x v="7"/>
    <s v="SAS"/>
    <s v="H"/>
    <n v="2"/>
    <n v="2"/>
    <n v="0"/>
    <n v="0"/>
    <n v="0"/>
    <n v="0"/>
    <n v="1528.1551532047106"/>
    <n v="1506.7967883869148"/>
    <n v="0.6471400511339509"/>
    <n v="61"/>
    <n v="77"/>
    <n v="0"/>
    <n v="-16"/>
    <n v="0"/>
    <n v="0.50873130821744306"/>
    <n v="1"/>
    <n v="74.05"/>
    <n v="74.05"/>
    <n v="-24.378770976423223"/>
    <n v="1503.7763822282873"/>
    <n v="0"/>
    <n v="1"/>
    <n v="0"/>
    <n v="0"/>
    <n v="0"/>
    <n v="0"/>
    <n v="0"/>
    <n v="0"/>
    <n v="0"/>
    <n v="0"/>
  </r>
  <r>
    <d v="2009-07-11T00:00:00"/>
    <n v="2009"/>
    <x v="9"/>
    <s v="R"/>
    <s v="RS"/>
    <x v="4"/>
    <s v="CON"/>
    <s v="A"/>
    <n v="5"/>
    <n v="3"/>
    <n v="2"/>
    <n v="-2"/>
    <n v="16"/>
    <n v="-16"/>
    <n v="1494.1782609209188"/>
    <n v="1519.7860145583581"/>
    <n v="0.39013467797667012"/>
    <n v="79"/>
    <n v="77"/>
    <n v="1"/>
    <n v="2"/>
    <n v="1"/>
    <n v="0.23602055846655096"/>
    <n v="1"/>
    <n v="74.5"/>
    <n v="74.5"/>
    <n v="10.72358616505303"/>
    <n v="1504.9018470859719"/>
    <n v="1"/>
    <n v="0"/>
    <n v="0"/>
    <n v="0"/>
    <n v="0"/>
    <n v="0"/>
    <n v="0"/>
    <n v="0"/>
    <n v="0"/>
    <n v="0"/>
  </r>
  <r>
    <d v="2009-07-11T00:00:00"/>
    <n v="2009"/>
    <x v="10"/>
    <s v="R"/>
    <s v="RS"/>
    <x v="3"/>
    <s v="DET"/>
    <s v="H"/>
    <n v="3"/>
    <n v="5"/>
    <n v="-2"/>
    <n v="2"/>
    <n v="-16"/>
    <n v="16"/>
    <n v="1519.7860145583581"/>
    <n v="1494.1782609209188"/>
    <n v="0.60986532202332988"/>
    <n v="77"/>
    <n v="79"/>
    <n v="1"/>
    <n v="-2"/>
    <n v="0"/>
    <n v="0.23602055846655096"/>
    <n v="1"/>
    <n v="74.349999999999994"/>
    <n v="74.349999999999994"/>
    <n v="-10.701995051969028"/>
    <n v="1509.084019506389"/>
    <n v="0"/>
    <n v="1"/>
    <n v="0"/>
    <n v="0"/>
    <n v="0"/>
    <n v="0"/>
    <n v="0"/>
    <n v="0"/>
    <n v="0"/>
    <n v="0"/>
  </r>
  <r>
    <d v="2009-07-11T00:00:00"/>
    <n v="2009"/>
    <x v="13"/>
    <s v="R"/>
    <s v="RS"/>
    <x v="1"/>
    <s v="NYL"/>
    <s v="A"/>
    <n v="3"/>
    <n v="1"/>
    <n v="2"/>
    <n v="-2"/>
    <n v="16"/>
    <n v="-16"/>
    <n v="1417.0909217144247"/>
    <n v="1481.1305019740867"/>
    <n v="0.33894985588750293"/>
    <n v="69"/>
    <n v="71"/>
    <n v="0"/>
    <n v="-2"/>
    <n v="0"/>
    <n v="0.25427177280760394"/>
    <n v="1"/>
    <n v="73.900000000000006"/>
    <n v="73.900000000000006"/>
    <n v="-6.3690996373804563"/>
    <n v="1410.7218220770442"/>
    <n v="0"/>
    <n v="1"/>
    <n v="0"/>
    <n v="0"/>
    <n v="0"/>
    <n v="0"/>
    <n v="0"/>
    <n v="0"/>
    <n v="0"/>
    <n v="0"/>
  </r>
  <r>
    <d v="2009-07-11T00:00:00"/>
    <n v="2009"/>
    <x v="10"/>
    <s v="R"/>
    <s v="RS"/>
    <x v="12"/>
    <s v="ATL"/>
    <s v="H"/>
    <n v="1"/>
    <n v="3"/>
    <n v="-2"/>
    <n v="2"/>
    <n v="-16"/>
    <n v="16"/>
    <n v="1481.1305019740867"/>
    <n v="1417.0909217144247"/>
    <n v="0.66105014411249707"/>
    <n v="71"/>
    <n v="69"/>
    <n v="0"/>
    <n v="2"/>
    <n v="1"/>
    <n v="0.25427177280760394"/>
    <n v="1"/>
    <n v="74.349999999999994"/>
    <n v="74.349999999999994"/>
    <n v="6.407883058717684"/>
    <n v="1487.5383850328044"/>
    <n v="1"/>
    <n v="0"/>
    <n v="0"/>
    <n v="0"/>
    <n v="0"/>
    <n v="0"/>
    <n v="0"/>
    <n v="0"/>
    <n v="0"/>
    <n v="0"/>
  </r>
  <r>
    <d v="2009-07-11T00:00:00"/>
    <n v="2009"/>
    <x v="13"/>
    <s v="R"/>
    <s v="RS"/>
    <x v="9"/>
    <s v="SAC"/>
    <s v="A"/>
    <n v="2"/>
    <n v="1"/>
    <n v="1"/>
    <n v="-1"/>
    <n v="8"/>
    <n v="-8"/>
    <n v="1568.9298629752511"/>
    <n v="1455.4409195997223"/>
    <n v="0.56509233718683072"/>
    <n v="107"/>
    <n v="105"/>
    <n v="0"/>
    <n v="2"/>
    <n v="1"/>
    <n v="0.24469911725759555"/>
    <n v="1"/>
    <n v="73.900000000000006"/>
    <n v="73.900000000000006"/>
    <n v="7.8645504151241497"/>
    <n v="1576.7944133903752"/>
    <n v="1"/>
    <n v="0"/>
    <n v="0"/>
    <n v="0"/>
    <n v="0"/>
    <n v="0"/>
    <n v="0"/>
    <n v="0"/>
    <n v="0"/>
    <n v="0"/>
  </r>
  <r>
    <d v="2009-07-11T00:00:00"/>
    <n v="2009"/>
    <x v="12"/>
    <s v="R"/>
    <s v="RS"/>
    <x v="11"/>
    <s v="PHX"/>
    <s v="H"/>
    <n v="1"/>
    <n v="2"/>
    <n v="-1"/>
    <n v="1"/>
    <n v="-8"/>
    <n v="8"/>
    <n v="1455.4409195997223"/>
    <n v="1568.9298629752511"/>
    <n v="0.43490766281316934"/>
    <n v="105"/>
    <n v="107"/>
    <n v="0"/>
    <n v="-2"/>
    <n v="0"/>
    <n v="0.24469911725759555"/>
    <n v="1"/>
    <n v="74.05"/>
    <n v="74.05"/>
    <n v="-7.8805136433009917"/>
    <n v="1447.5604059564214"/>
    <n v="0"/>
    <n v="1"/>
    <n v="0"/>
    <n v="0"/>
    <n v="0"/>
    <n v="0"/>
    <n v="0"/>
    <n v="0"/>
    <n v="0"/>
    <n v="0"/>
  </r>
  <r>
    <d v="2009-07-11T00:00:00"/>
    <n v="2009"/>
    <x v="10"/>
    <s v="R"/>
    <s v="RS"/>
    <x v="5"/>
    <s v="WAS"/>
    <s v="A"/>
    <n v="1"/>
    <n v="3"/>
    <n v="-2"/>
    <n v="2"/>
    <n v="-16"/>
    <n v="16"/>
    <n v="1527.3129153102163"/>
    <n v="1439.6159310383807"/>
    <n v="0.45935854749433003"/>
    <n v="63"/>
    <n v="75"/>
    <n v="0"/>
    <n v="-12"/>
    <n v="0"/>
    <n v="0.42506532078380715"/>
    <n v="1"/>
    <n v="74.349999999999994"/>
    <n v="74.349999999999994"/>
    <n v="-14.517386823485031"/>
    <n v="1512.7955284867312"/>
    <n v="0"/>
    <n v="1"/>
    <n v="0"/>
    <n v="0"/>
    <n v="0"/>
    <n v="0"/>
    <n v="0"/>
    <n v="0"/>
    <n v="0"/>
    <n v="0"/>
  </r>
  <r>
    <d v="2009-07-11T00:00:00"/>
    <n v="2009"/>
    <x v="10"/>
    <s v="R"/>
    <s v="RS"/>
    <x v="2"/>
    <s v="LAS"/>
    <s v="H"/>
    <n v="3"/>
    <n v="1"/>
    <n v="2"/>
    <n v="-2"/>
    <n v="16"/>
    <n v="-16"/>
    <n v="1439.6159310383807"/>
    <n v="1527.3129153102163"/>
    <n v="0.54064145250567008"/>
    <n v="75"/>
    <n v="63"/>
    <n v="0"/>
    <n v="12"/>
    <n v="1"/>
    <n v="0.42506532078380715"/>
    <n v="1"/>
    <n v="74.349999999999994"/>
    <n v="74.349999999999994"/>
    <n v="14.517386823485028"/>
    <n v="1454.1333178618659"/>
    <n v="1"/>
    <n v="0"/>
    <n v="0"/>
    <n v="0"/>
    <n v="0"/>
    <n v="0"/>
    <n v="0"/>
    <n v="0"/>
    <n v="0"/>
    <n v="0"/>
  </r>
  <r>
    <d v="2009-07-12T00:00:00"/>
    <n v="2009"/>
    <x v="13"/>
    <s v="R"/>
    <s v="RS"/>
    <x v="7"/>
    <s v="SAS"/>
    <s v="A"/>
    <n v="1"/>
    <n v="1"/>
    <n v="0"/>
    <n v="0"/>
    <n v="0"/>
    <n v="0"/>
    <n v="1503.7763822282873"/>
    <n v="1531.3237085455041"/>
    <n v="0.34476791358838826"/>
    <n v="83"/>
    <n v="76"/>
    <n v="0"/>
    <n v="7"/>
    <n v="1"/>
    <n v="0.36180161649410364"/>
    <n v="1"/>
    <n v="73.900000000000006"/>
    <n v="73.900000000000006"/>
    <n v="17.519031672342621"/>
    <n v="1521.2954139006299"/>
    <n v="1"/>
    <n v="0"/>
    <n v="0"/>
    <n v="0"/>
    <n v="0"/>
    <n v="0"/>
    <n v="0"/>
    <n v="0"/>
    <n v="0"/>
    <n v="0"/>
  </r>
  <r>
    <d v="2009-07-12T00:00:00"/>
    <n v="2009"/>
    <x v="10"/>
    <s v="R"/>
    <s v="RS"/>
    <x v="8"/>
    <s v="MIN"/>
    <s v="H"/>
    <n v="1"/>
    <n v="1"/>
    <n v="0"/>
    <n v="0"/>
    <n v="0"/>
    <n v="0"/>
    <n v="1531.3237085455041"/>
    <n v="1503.7763822282873"/>
    <n v="0.65523208641161168"/>
    <n v="76"/>
    <n v="83"/>
    <n v="0"/>
    <n v="-7"/>
    <n v="0"/>
    <n v="0.36180161649410364"/>
    <n v="1"/>
    <n v="74.349999999999994"/>
    <n v="74.349999999999994"/>
    <n v="-17.625710484961754"/>
    <n v="1513.6979980605424"/>
    <n v="0"/>
    <n v="1"/>
    <n v="0"/>
    <n v="0"/>
    <n v="0"/>
    <n v="0"/>
    <n v="0"/>
    <n v="0"/>
    <n v="0"/>
    <n v="0"/>
  </r>
  <r>
    <d v="2009-07-12T00:00:00"/>
    <n v="2009"/>
    <x v="13"/>
    <s v="R"/>
    <s v="RS"/>
    <x v="6"/>
    <s v="SEA"/>
    <s v="A"/>
    <n v="1"/>
    <n v="2"/>
    <n v="-1"/>
    <n v="1"/>
    <n v="-8"/>
    <n v="8"/>
    <n v="1422.4272479492245"/>
    <n v="1572.5457777233487"/>
    <n v="0.19157663208795031"/>
    <n v="86"/>
    <n v="81"/>
    <n v="0"/>
    <n v="5"/>
    <n v="1"/>
    <n v="0.29486831102162625"/>
    <n v="1"/>
    <n v="73.900000000000006"/>
    <n v="73.900000000000006"/>
    <n v="17.616166205102761"/>
    <n v="1440.0434141543271"/>
    <n v="1"/>
    <n v="0"/>
    <n v="0"/>
    <n v="0"/>
    <n v="0"/>
    <n v="0"/>
    <n v="0"/>
    <n v="0"/>
    <n v="0"/>
    <n v="0"/>
  </r>
  <r>
    <d v="2009-07-12T00:00:00"/>
    <n v="2009"/>
    <x v="12"/>
    <s v="R"/>
    <s v="RS"/>
    <x v="10"/>
    <s v="CHI"/>
    <s v="H"/>
    <n v="2"/>
    <n v="1"/>
    <n v="1"/>
    <n v="-1"/>
    <n v="8"/>
    <n v="-8"/>
    <n v="1572.5457777233487"/>
    <n v="1422.4272479492245"/>
    <n v="0.80842336791204972"/>
    <n v="81"/>
    <n v="86"/>
    <n v="0"/>
    <n v="-5"/>
    <n v="0"/>
    <n v="0.29486831102162625"/>
    <n v="1"/>
    <n v="74.05"/>
    <n v="74.05"/>
    <n v="-17.651922970065755"/>
    <n v="1554.893854753283"/>
    <n v="0"/>
    <n v="1"/>
    <n v="0"/>
    <n v="0"/>
    <n v="0"/>
    <n v="0"/>
    <n v="0"/>
    <n v="0"/>
    <n v="0"/>
    <n v="0"/>
  </r>
  <r>
    <d v="2009-07-14T00:00:00"/>
    <n v="2009"/>
    <x v="11"/>
    <s v="R"/>
    <s v="RS"/>
    <x v="5"/>
    <s v="CON"/>
    <s v="A"/>
    <n v="2"/>
    <n v="2"/>
    <n v="0"/>
    <n v="0"/>
    <n v="0"/>
    <n v="0"/>
    <n v="1512.7955284867312"/>
    <n v="1509.084019506389"/>
    <n v="0.38646933868772793"/>
    <n v="71"/>
    <n v="82"/>
    <n v="0"/>
    <n v="-11"/>
    <n v="0"/>
    <n v="0.43847978553952438"/>
    <n v="1"/>
    <n v="74.2"/>
    <n v="74.2"/>
    <n v="-12.57385726170844"/>
    <n v="1500.2216712250229"/>
    <n v="0"/>
    <n v="1"/>
    <n v="0"/>
    <n v="0"/>
    <n v="0"/>
    <n v="0"/>
    <n v="0"/>
    <n v="0"/>
    <n v="0"/>
    <n v="0"/>
  </r>
  <r>
    <d v="2009-07-14T00:00:00"/>
    <n v="2009"/>
    <x v="11"/>
    <s v="R"/>
    <s v="RS"/>
    <x v="3"/>
    <s v="LAS"/>
    <s v="H"/>
    <n v="2"/>
    <n v="2"/>
    <n v="0"/>
    <n v="0"/>
    <n v="0"/>
    <n v="0"/>
    <n v="1509.084019506389"/>
    <n v="1512.7955284867312"/>
    <n v="0.61353066131227207"/>
    <n v="82"/>
    <n v="71"/>
    <n v="0"/>
    <n v="11"/>
    <n v="1"/>
    <n v="0.43847978553952438"/>
    <n v="1"/>
    <n v="74.2"/>
    <n v="74.2"/>
    <n v="12.57385726170844"/>
    <n v="1521.6578767680976"/>
    <n v="1"/>
    <n v="0"/>
    <n v="0"/>
    <n v="0"/>
    <n v="0"/>
    <n v="0"/>
    <n v="0"/>
    <n v="0"/>
    <n v="0"/>
    <n v="0"/>
  </r>
  <r>
    <d v="2009-07-15T00:00:00"/>
    <n v="2009"/>
    <x v="14"/>
    <s v="R"/>
    <s v="RS"/>
    <x v="6"/>
    <s v="IND"/>
    <s v="A"/>
    <n v="2"/>
    <n v="4"/>
    <n v="-2"/>
    <n v="2"/>
    <n v="-16"/>
    <n v="16"/>
    <n v="1440.0434141543271"/>
    <n v="1583.6921061317873"/>
    <n v="0.18322361337601081"/>
    <n v="74"/>
    <n v="84"/>
    <n v="0"/>
    <n v="-10"/>
    <n v="0"/>
    <n v="0.37789315185613886"/>
    <n v="1"/>
    <n v="73.75"/>
    <n v="73.75"/>
    <n v="-5.1063724705434357"/>
    <n v="1434.9370416837837"/>
    <n v="0"/>
    <n v="1"/>
    <n v="0"/>
    <n v="0"/>
    <n v="0"/>
    <n v="0"/>
    <n v="0"/>
    <n v="0"/>
    <n v="0"/>
    <n v="0"/>
  </r>
  <r>
    <d v="2009-07-15T00:00:00"/>
    <n v="2009"/>
    <x v="11"/>
    <s v="R"/>
    <s v="RS"/>
    <x v="0"/>
    <s v="CHI"/>
    <s v="H"/>
    <n v="4"/>
    <n v="2"/>
    <n v="2"/>
    <n v="-2"/>
    <n v="16"/>
    <n v="-16"/>
    <n v="1583.6921061317873"/>
    <n v="1440.0434141543271"/>
    <n v="0.81677638662398921"/>
    <n v="84"/>
    <n v="74"/>
    <n v="0"/>
    <n v="10"/>
    <n v="1"/>
    <n v="0.37789315185613886"/>
    <n v="1"/>
    <n v="74.2"/>
    <n v="74.2"/>
    <n v="5.1375299974823445"/>
    <n v="1588.8296361292696"/>
    <n v="1"/>
    <n v="0"/>
    <n v="0"/>
    <n v="0"/>
    <n v="0"/>
    <n v="0"/>
    <n v="0"/>
    <n v="0"/>
    <n v="0"/>
    <n v="0"/>
  </r>
  <r>
    <d v="2009-07-15T00:00:00"/>
    <n v="2009"/>
    <x v="14"/>
    <s v="R"/>
    <s v="RS"/>
    <x v="1"/>
    <s v="MIN"/>
    <s v="A"/>
    <n v="3"/>
    <n v="2"/>
    <n v="1"/>
    <n v="-1"/>
    <n v="8"/>
    <n v="-8"/>
    <n v="1410.7218220770442"/>
    <n v="1521.2954139006299"/>
    <n v="0.26348130036493422"/>
    <n v="91"/>
    <n v="77"/>
    <n v="0"/>
    <n v="14"/>
    <n v="1"/>
    <n v="0.44646842259864861"/>
    <n v="1"/>
    <n v="73.75"/>
    <n v="73.75"/>
    <n v="24.251385225485084"/>
    <n v="1434.9732073025293"/>
    <n v="1"/>
    <n v="0"/>
    <n v="0"/>
    <n v="0"/>
    <n v="0"/>
    <n v="0"/>
    <n v="0"/>
    <n v="0"/>
    <n v="0"/>
    <n v="0"/>
  </r>
  <r>
    <d v="2009-07-15T00:00:00"/>
    <n v="2009"/>
    <x v="14"/>
    <s v="R"/>
    <s v="RS"/>
    <x v="7"/>
    <s v="ATL"/>
    <s v="H"/>
    <n v="2"/>
    <n v="3"/>
    <n v="-1"/>
    <n v="1"/>
    <n v="-8"/>
    <n v="8"/>
    <n v="1521.2954139006299"/>
    <n v="1410.7218220770442"/>
    <n v="0.73651869963506578"/>
    <n v="77"/>
    <n v="91"/>
    <n v="0"/>
    <n v="-14"/>
    <n v="0"/>
    <n v="0.44646842259864861"/>
    <n v="1"/>
    <n v="73.75"/>
    <n v="73.75"/>
    <n v="-24.251385225485084"/>
    <n v="1497.0440286751448"/>
    <n v="0"/>
    <n v="1"/>
    <n v="0"/>
    <n v="0"/>
    <n v="0"/>
    <n v="0"/>
    <n v="0"/>
    <n v="0"/>
    <n v="0"/>
    <n v="0"/>
  </r>
  <r>
    <d v="2009-07-15T00:00:00"/>
    <n v="2009"/>
    <x v="13"/>
    <s v="R"/>
    <s v="RS"/>
    <x v="11"/>
    <s v="PHX"/>
    <s v="A"/>
    <n v="3"/>
    <n v="3"/>
    <n v="0"/>
    <n v="0"/>
    <n v="0"/>
    <n v="0"/>
    <n v="1447.5604059564214"/>
    <n v="1576.7944133903752"/>
    <n v="0.22662390768810586"/>
    <n v="81"/>
    <n v="100"/>
    <n v="0"/>
    <n v="-19"/>
    <n v="0"/>
    <n v="0.50643685273088979"/>
    <n v="1"/>
    <n v="73.900000000000006"/>
    <n v="73.900000000000006"/>
    <n v="-8.4815546238160486"/>
    <n v="1439.0788513326054"/>
    <n v="0"/>
    <n v="1"/>
    <n v="0"/>
    <n v="0"/>
    <n v="0"/>
    <n v="0"/>
    <n v="0"/>
    <n v="0"/>
    <n v="0"/>
    <n v="0"/>
  </r>
  <r>
    <d v="2009-07-15T00:00:00"/>
    <n v="2009"/>
    <x v="14"/>
    <s v="R"/>
    <s v="RS"/>
    <x v="9"/>
    <s v="SAC"/>
    <s v="H"/>
    <n v="3"/>
    <n v="3"/>
    <n v="0"/>
    <n v="0"/>
    <n v="0"/>
    <n v="0"/>
    <n v="1576.7944133903752"/>
    <n v="1447.5604059564214"/>
    <n v="0.77337609231189419"/>
    <n v="100"/>
    <n v="81"/>
    <n v="0"/>
    <n v="19"/>
    <n v="1"/>
    <n v="0.50643685273088979"/>
    <n v="1"/>
    <n v="73.75"/>
    <n v="73.75"/>
    <n v="8.4643390190315753"/>
    <n v="1585.2587524094067"/>
    <n v="1"/>
    <n v="0"/>
    <n v="0"/>
    <n v="0"/>
    <n v="0"/>
    <n v="0"/>
    <n v="0"/>
    <n v="0"/>
    <n v="0"/>
    <n v="0"/>
  </r>
  <r>
    <d v="2009-07-15T00:00:00"/>
    <n v="2009"/>
    <x v="10"/>
    <s v="R"/>
    <s v="RS"/>
    <x v="4"/>
    <s v="SEA"/>
    <s v="A"/>
    <n v="3"/>
    <n v="2"/>
    <n v="1"/>
    <n v="-1"/>
    <n v="8"/>
    <n v="-8"/>
    <n v="1504.9018470859719"/>
    <n v="1554.893854753283"/>
    <n v="0.33643617292656036"/>
    <n v="66"/>
    <n v="63"/>
    <n v="0"/>
    <n v="3"/>
    <n v="1"/>
    <n v="0.27857796144495783"/>
    <n v="1"/>
    <n v="74.349999999999994"/>
    <n v="74.349999999999994"/>
    <n v="13.743914099752422"/>
    <n v="1518.6457611857243"/>
    <n v="1"/>
    <n v="0"/>
    <n v="0"/>
    <n v="0"/>
    <n v="0"/>
    <n v="0"/>
    <n v="0"/>
    <n v="0"/>
    <n v="0"/>
    <n v="0"/>
  </r>
  <r>
    <d v="2009-07-15T00:00:00"/>
    <n v="2009"/>
    <x v="13"/>
    <s v="R"/>
    <s v="RS"/>
    <x v="10"/>
    <s v="DET"/>
    <s v="H"/>
    <n v="2"/>
    <n v="3"/>
    <n v="-1"/>
    <n v="1"/>
    <n v="-8"/>
    <n v="8"/>
    <n v="1554.893854753283"/>
    <n v="1504.9018470859719"/>
    <n v="0.66356382707343964"/>
    <n v="63"/>
    <n v="66"/>
    <n v="0"/>
    <n v="-3"/>
    <n v="0"/>
    <n v="0.27857796144495783"/>
    <n v="1"/>
    <n v="73.900000000000006"/>
    <n v="73.900000000000006"/>
    <n v="-13.660729683546796"/>
    <n v="1541.2331250697362"/>
    <n v="0"/>
    <n v="1"/>
    <n v="0"/>
    <n v="0"/>
    <n v="0"/>
    <n v="0"/>
    <n v="0"/>
    <n v="0"/>
    <n v="0"/>
    <n v="0"/>
  </r>
  <r>
    <d v="2009-07-15T00:00:00"/>
    <n v="2009"/>
    <x v="11"/>
    <s v="R"/>
    <s v="RS"/>
    <x v="8"/>
    <s v="WAS"/>
    <s v="A"/>
    <n v="2"/>
    <n v="3"/>
    <n v="-1"/>
    <n v="1"/>
    <n v="-8"/>
    <n v="8"/>
    <n v="1513.6979980605424"/>
    <n v="1454.1333178618659"/>
    <n v="0.44207021073074121"/>
    <n v="79"/>
    <n v="78"/>
    <n v="0"/>
    <n v="1"/>
    <n v="1"/>
    <n v="0.23263244021111604"/>
    <n v="1"/>
    <n v="74.2"/>
    <n v="74.2"/>
    <n v="9.6306085711382607"/>
    <n v="1523.3286066316807"/>
    <n v="1"/>
    <n v="0"/>
    <n v="0"/>
    <n v="0"/>
    <n v="0"/>
    <n v="0"/>
    <n v="0"/>
    <n v="0"/>
    <n v="0"/>
    <n v="0"/>
  </r>
  <r>
    <d v="2009-07-15T00:00:00"/>
    <n v="2009"/>
    <x v="11"/>
    <s v="R"/>
    <s v="RS"/>
    <x v="2"/>
    <s v="SAS"/>
    <s v="H"/>
    <n v="3"/>
    <n v="2"/>
    <n v="1"/>
    <n v="-1"/>
    <n v="8"/>
    <n v="-8"/>
    <n v="1454.1333178618659"/>
    <n v="1513.6979980605424"/>
    <n v="0.55792978926925874"/>
    <n v="78"/>
    <n v="79"/>
    <n v="0"/>
    <n v="-1"/>
    <n v="0"/>
    <n v="0.23263244021111604"/>
    <n v="1"/>
    <n v="74.2"/>
    <n v="74.2"/>
    <n v="-9.6306085711382607"/>
    <n v="1444.5027092907276"/>
    <n v="0"/>
    <n v="1"/>
    <n v="0"/>
    <n v="0"/>
    <n v="0"/>
    <n v="0"/>
    <n v="0"/>
    <n v="0"/>
    <n v="0"/>
    <n v="0"/>
  </r>
  <r>
    <d v="2009-07-17T00:00:00"/>
    <n v="2009"/>
    <x v="15"/>
    <s v="R"/>
    <s v="RS"/>
    <x v="1"/>
    <s v="IND"/>
    <s v="A"/>
    <n v="1"/>
    <n v="1"/>
    <n v="0"/>
    <n v="0"/>
    <n v="0"/>
    <n v="0"/>
    <n v="1434.9732073025293"/>
    <n v="1588.8296361292696"/>
    <n v="0.20274724314910797"/>
    <n v="79"/>
    <n v="84"/>
    <n v="0"/>
    <n v="-5"/>
    <n v="0"/>
    <n v="0.29405420107839592"/>
    <n v="1"/>
    <n v="73.599999999999994"/>
    <n v="73.599999999999994"/>
    <n v="-4.3879347453322852"/>
    <n v="1430.585272557197"/>
    <n v="0"/>
    <n v="1"/>
    <n v="0"/>
    <n v="0"/>
    <n v="0"/>
    <n v="0"/>
    <n v="0"/>
    <n v="0"/>
    <n v="0"/>
    <n v="0"/>
  </r>
  <r>
    <d v="2009-07-17T00:00:00"/>
    <n v="2009"/>
    <x v="12"/>
    <s v="R"/>
    <s v="RS"/>
    <x v="0"/>
    <s v="ATL"/>
    <s v="H"/>
    <n v="1"/>
    <n v="1"/>
    <n v="0"/>
    <n v="0"/>
    <n v="0"/>
    <n v="0"/>
    <n v="1588.8296361292696"/>
    <n v="1434.9732073025293"/>
    <n v="0.79725275685089203"/>
    <n v="84"/>
    <n v="79"/>
    <n v="0"/>
    <n v="5"/>
    <n v="1"/>
    <n v="0.29405420107839592"/>
    <n v="1"/>
    <n v="74.05"/>
    <n v="74.05"/>
    <n v="4.4147631507045615"/>
    <n v="1593.2443992799742"/>
    <n v="1"/>
    <n v="0"/>
    <n v="0"/>
    <n v="0"/>
    <n v="0"/>
    <n v="0"/>
    <n v="0"/>
    <n v="0"/>
    <n v="0"/>
    <n v="0"/>
  </r>
  <r>
    <d v="2009-07-17T00:00:00"/>
    <n v="2009"/>
    <x v="14"/>
    <s v="R"/>
    <s v="RS"/>
    <x v="10"/>
    <s v="SAC"/>
    <s v="A"/>
    <n v="1"/>
    <n v="1"/>
    <n v="0"/>
    <n v="0"/>
    <n v="0"/>
    <n v="0"/>
    <n v="1541.2331250697362"/>
    <n v="1439.0788513326054"/>
    <n v="0.52610234869210148"/>
    <n v="69"/>
    <n v="56"/>
    <n v="0"/>
    <n v="13"/>
    <n v="1"/>
    <n v="0.43501182479034917"/>
    <n v="1"/>
    <n v="73.75"/>
    <n v="73.75"/>
    <n v="15.203642301874078"/>
    <n v="1556.4367673716101"/>
    <n v="1"/>
    <n v="0"/>
    <n v="0"/>
    <n v="0"/>
    <n v="0"/>
    <n v="0"/>
    <n v="0"/>
    <n v="0"/>
    <n v="0"/>
    <n v="0"/>
  </r>
  <r>
    <d v="2009-07-17T00:00:00"/>
    <n v="2009"/>
    <x v="14"/>
    <s v="R"/>
    <s v="RS"/>
    <x v="11"/>
    <s v="SEA"/>
    <s v="H"/>
    <n v="1"/>
    <n v="1"/>
    <n v="0"/>
    <n v="0"/>
    <n v="0"/>
    <n v="0"/>
    <n v="1439.0788513326054"/>
    <n v="1541.2331250697362"/>
    <n v="0.47389765130789846"/>
    <n v="56"/>
    <n v="69"/>
    <n v="0"/>
    <n v="-13"/>
    <n v="0"/>
    <n v="0.43501182479034917"/>
    <n v="1"/>
    <n v="73.75"/>
    <n v="73.75"/>
    <n v="-15.203642301874076"/>
    <n v="1423.8752090307314"/>
    <n v="0"/>
    <n v="1"/>
    <n v="0"/>
    <n v="0"/>
    <n v="0"/>
    <n v="0"/>
    <n v="0"/>
    <n v="0"/>
    <n v="0"/>
    <n v="0"/>
  </r>
  <r>
    <d v="2009-07-17T00:00:00"/>
    <n v="2009"/>
    <x v="12"/>
    <s v="R"/>
    <s v="RS"/>
    <x v="3"/>
    <s v="SAS"/>
    <s v="A"/>
    <n v="2"/>
    <n v="1"/>
    <n v="1"/>
    <n v="-1"/>
    <n v="8"/>
    <n v="-8"/>
    <n v="1521.6578767680976"/>
    <n v="1523.3286066316807"/>
    <n v="0.40105842039829109"/>
    <n v="72"/>
    <n v="64"/>
    <n v="0"/>
    <n v="8"/>
    <n v="1"/>
    <n v="0.38777564471134762"/>
    <n v="1"/>
    <n v="74.05"/>
    <n v="74.05"/>
    <n v="17.198479578770659"/>
    <n v="1538.8563563468683"/>
    <n v="1"/>
    <n v="0"/>
    <n v="0"/>
    <n v="0"/>
    <n v="0"/>
    <n v="0"/>
    <n v="0"/>
    <n v="0"/>
    <n v="0"/>
    <n v="0"/>
  </r>
  <r>
    <d v="2009-07-17T00:00:00"/>
    <n v="2009"/>
    <x v="12"/>
    <s v="R"/>
    <s v="RS"/>
    <x v="8"/>
    <s v="CON"/>
    <s v="H"/>
    <n v="1"/>
    <n v="2"/>
    <n v="-1"/>
    <n v="1"/>
    <n v="-8"/>
    <n v="8"/>
    <n v="1523.3286066316807"/>
    <n v="1521.6578767680976"/>
    <n v="0.59894157960170891"/>
    <n v="64"/>
    <n v="72"/>
    <n v="0"/>
    <n v="-8"/>
    <n v="0"/>
    <n v="0.38777564471134762"/>
    <n v="1"/>
    <n v="74.05"/>
    <n v="74.05"/>
    <n v="-17.198479578770659"/>
    <n v="1506.13012705291"/>
    <n v="0"/>
    <n v="1"/>
    <n v="0"/>
    <n v="0"/>
    <n v="0"/>
    <n v="0"/>
    <n v="0"/>
    <n v="0"/>
    <n v="0"/>
    <n v="0"/>
  </r>
  <r>
    <d v="2009-07-18T00:00:00"/>
    <n v="2009"/>
    <x v="11"/>
    <s v="R"/>
    <s v="RS"/>
    <x v="4"/>
    <s v="PHX"/>
    <s v="A"/>
    <n v="2"/>
    <n v="2"/>
    <n v="0"/>
    <n v="0"/>
    <n v="0"/>
    <n v="0"/>
    <n v="1518.6457611857243"/>
    <n v="1585.2587524094067"/>
    <n v="0.29587932467222566"/>
    <n v="90"/>
    <n v="97"/>
    <n v="1"/>
    <n v="-7"/>
    <n v="0"/>
    <n v="0.31557843560404175"/>
    <n v="1"/>
    <n v="74.2"/>
    <n v="74.2"/>
    <n v="-6.9282865730469867"/>
    <n v="1511.7174746126773"/>
    <n v="0"/>
    <n v="1"/>
    <n v="0"/>
    <n v="0"/>
    <n v="0"/>
    <n v="0"/>
    <n v="0"/>
    <n v="0"/>
    <n v="0"/>
    <n v="0"/>
  </r>
  <r>
    <d v="2009-07-18T00:00:00"/>
    <n v="2009"/>
    <x v="15"/>
    <s v="R"/>
    <s v="RS"/>
    <x v="9"/>
    <s v="DET"/>
    <s v="H"/>
    <n v="2"/>
    <n v="2"/>
    <n v="0"/>
    <n v="0"/>
    <n v="0"/>
    <n v="0"/>
    <n v="1585.2587524094067"/>
    <n v="1518.6457611857243"/>
    <n v="0.70412067532777434"/>
    <n v="97"/>
    <n v="90"/>
    <n v="1"/>
    <n v="7"/>
    <n v="1"/>
    <n v="0.31557843560404175"/>
    <n v="1"/>
    <n v="73.599999999999994"/>
    <n v="73.599999999999994"/>
    <n v="6.8722626924024004"/>
    <n v="1592.1310151018092"/>
    <n v="1"/>
    <n v="0"/>
    <n v="0"/>
    <n v="0"/>
    <n v="0"/>
    <n v="0"/>
    <n v="0"/>
    <n v="0"/>
    <n v="0"/>
    <n v="0"/>
  </r>
  <r>
    <d v="2009-07-18T00:00:00"/>
    <n v="2009"/>
    <x v="11"/>
    <s v="R"/>
    <s v="RS"/>
    <x v="12"/>
    <s v="WAS"/>
    <s v="A"/>
    <n v="6"/>
    <n v="2"/>
    <n v="4"/>
    <n v="-4"/>
    <n v="16"/>
    <n v="-16"/>
    <n v="1487.5383850328044"/>
    <n v="1444.5027092907276"/>
    <n v="0.48710216232747083"/>
    <n v="67"/>
    <n v="68"/>
    <n v="0"/>
    <n v="-1"/>
    <n v="0"/>
    <n v="0.23572582096923764"/>
    <n v="1"/>
    <n v="74.2"/>
    <n v="74.2"/>
    <n v="-8.5198337376016173"/>
    <n v="1479.0185512952028"/>
    <n v="0"/>
    <n v="1"/>
    <n v="0"/>
    <n v="0"/>
    <n v="0"/>
    <n v="0"/>
    <n v="0"/>
    <n v="0"/>
    <n v="0"/>
    <n v="0"/>
  </r>
  <r>
    <d v="2009-07-18T00:00:00"/>
    <n v="2009"/>
    <x v="12"/>
    <s v="R"/>
    <s v="RS"/>
    <x v="2"/>
    <s v="NYL"/>
    <s v="H"/>
    <n v="2"/>
    <n v="6"/>
    <n v="-4"/>
    <n v="4"/>
    <n v="-16"/>
    <n v="16"/>
    <n v="1444.5027092907276"/>
    <n v="1487.5383850328044"/>
    <n v="0.51289783767252917"/>
    <n v="68"/>
    <n v="67"/>
    <n v="0"/>
    <n v="1"/>
    <n v="1"/>
    <n v="0.23572582096923764"/>
    <n v="1"/>
    <n v="74.05"/>
    <n v="74.05"/>
    <n v="8.5026103540350348"/>
    <n v="1453.0053196447627"/>
    <n v="1"/>
    <n v="0"/>
    <n v="0"/>
    <n v="0"/>
    <n v="0"/>
    <n v="0"/>
    <n v="0"/>
    <n v="0"/>
    <n v="0"/>
    <n v="0"/>
  </r>
  <r>
    <d v="2009-07-19T00:00:00"/>
    <n v="2009"/>
    <x v="13"/>
    <s v="R"/>
    <s v="RS"/>
    <x v="8"/>
    <s v="CHI"/>
    <s v="A"/>
    <n v="1"/>
    <n v="3"/>
    <n v="-2"/>
    <n v="2"/>
    <n v="-16"/>
    <n v="16"/>
    <n v="1506.13012705291"/>
    <n v="1434.9370416837837"/>
    <n v="0.43587279166187948"/>
    <n v="75"/>
    <n v="85"/>
    <n v="0"/>
    <n v="-10"/>
    <n v="0"/>
    <n v="0.39943234827406238"/>
    <n v="1"/>
    <n v="73.900000000000006"/>
    <n v="73.900000000000006"/>
    <n v="-12.866115092176173"/>
    <n v="1493.2640119607338"/>
    <n v="0"/>
    <n v="1"/>
    <n v="0"/>
    <n v="0"/>
    <n v="0"/>
    <n v="0"/>
    <n v="0"/>
    <n v="0"/>
    <n v="0"/>
    <n v="0"/>
  </r>
  <r>
    <d v="2009-07-19T00:00:00"/>
    <n v="2009"/>
    <x v="15"/>
    <s v="R"/>
    <s v="RS"/>
    <x v="6"/>
    <s v="SAS"/>
    <s v="H"/>
    <n v="3"/>
    <n v="1"/>
    <n v="2"/>
    <n v="-2"/>
    <n v="16"/>
    <n v="-16"/>
    <n v="1434.9370416837837"/>
    <n v="1506.13012705291"/>
    <n v="0.56412720833812058"/>
    <n v="85"/>
    <n v="75"/>
    <n v="0"/>
    <n v="10"/>
    <n v="1"/>
    <n v="0.39943234827406238"/>
    <n v="1"/>
    <n v="73.599999999999994"/>
    <n v="73.599999999999994"/>
    <n v="12.813884584359487"/>
    <n v="1447.7509262681433"/>
    <n v="1"/>
    <n v="0"/>
    <n v="0"/>
    <n v="0"/>
    <n v="0"/>
    <n v="0"/>
    <n v="0"/>
    <n v="0"/>
    <n v="0"/>
    <n v="0"/>
  </r>
  <r>
    <d v="2009-07-19T00:00:00"/>
    <n v="2009"/>
    <x v="13"/>
    <s v="R"/>
    <s v="RS"/>
    <x v="0"/>
    <s v="CON"/>
    <s v="A"/>
    <n v="1"/>
    <n v="1"/>
    <n v="0"/>
    <n v="0"/>
    <n v="0"/>
    <n v="0"/>
    <n v="1593.2443992799742"/>
    <n v="1538.8563563468683"/>
    <n v="0.45748785675078896"/>
    <n v="61"/>
    <n v="67"/>
    <n v="0"/>
    <n v="-6"/>
    <n v="0"/>
    <n v="0.33604984971278917"/>
    <n v="1"/>
    <n v="73.900000000000006"/>
    <n v="73.900000000000006"/>
    <n v="-11.36129181493247"/>
    <n v="1581.8831074650418"/>
    <n v="0"/>
    <n v="1"/>
    <n v="0"/>
    <n v="0"/>
    <n v="0"/>
    <n v="0"/>
    <n v="0"/>
    <n v="0"/>
    <n v="0"/>
    <n v="0"/>
  </r>
  <r>
    <d v="2009-07-19T00:00:00"/>
    <n v="2009"/>
    <x v="13"/>
    <s v="R"/>
    <s v="RS"/>
    <x v="3"/>
    <s v="IND"/>
    <s v="H"/>
    <n v="1"/>
    <n v="1"/>
    <n v="0"/>
    <n v="0"/>
    <n v="0"/>
    <n v="0"/>
    <n v="1538.8563563468683"/>
    <n v="1593.2443992799742"/>
    <n v="0.54251214324921104"/>
    <n v="67"/>
    <n v="61"/>
    <n v="0"/>
    <n v="6"/>
    <n v="1"/>
    <n v="0.33604984971278917"/>
    <n v="1"/>
    <n v="73.900000000000006"/>
    <n v="73.900000000000006"/>
    <n v="11.36129181493247"/>
    <n v="1550.2176481618008"/>
    <n v="1"/>
    <n v="0"/>
    <n v="0"/>
    <n v="0"/>
    <n v="0"/>
    <n v="0"/>
    <n v="0"/>
    <n v="0"/>
    <n v="0"/>
    <n v="0"/>
  </r>
  <r>
    <d v="2009-07-19T00:00:00"/>
    <n v="2009"/>
    <x v="16"/>
    <s v="R"/>
    <s v="RS"/>
    <x v="1"/>
    <s v="NYL"/>
    <s v="A"/>
    <n v="1"/>
    <n v="0"/>
    <n v="1"/>
    <n v="-1"/>
    <n v="8"/>
    <n v="-8"/>
    <n v="1430.585272557197"/>
    <n v="1479.0185512952028"/>
    <n v="0.33844224535875767"/>
    <n v="86"/>
    <n v="89"/>
    <n v="0"/>
    <n v="-3"/>
    <n v="0"/>
    <n v="0.27892577941406077"/>
    <n v="1"/>
    <n v="73.45"/>
    <n v="73.45"/>
    <n v="-6.9336996165365496"/>
    <n v="1423.6515729406603"/>
    <n v="0"/>
    <n v="1"/>
    <n v="0"/>
    <n v="0"/>
    <n v="0"/>
    <n v="0"/>
    <n v="0"/>
    <n v="0"/>
    <n v="0"/>
    <n v="0"/>
  </r>
  <r>
    <d v="2009-07-19T00:00:00"/>
    <n v="2009"/>
    <x v="12"/>
    <s v="R"/>
    <s v="RS"/>
    <x v="12"/>
    <s v="ATL"/>
    <s v="H"/>
    <n v="0"/>
    <n v="1"/>
    <n v="-1"/>
    <n v="1"/>
    <n v="-8"/>
    <n v="8"/>
    <n v="1479.0185512952028"/>
    <n v="1430.585272557197"/>
    <n v="0.66155775464124233"/>
    <n v="89"/>
    <n v="86"/>
    <n v="0"/>
    <n v="3"/>
    <n v="1"/>
    <n v="0.27892577941406077"/>
    <n v="1"/>
    <n v="74.05"/>
    <n v="74.05"/>
    <n v="6.9903397767805506"/>
    <n v="1486.0088910719833"/>
    <n v="1"/>
    <n v="0"/>
    <n v="0"/>
    <n v="0"/>
    <n v="0"/>
    <n v="0"/>
    <n v="0"/>
    <n v="0"/>
    <n v="0"/>
    <n v="0"/>
  </r>
  <r>
    <d v="2009-07-19T00:00:00"/>
    <n v="2009"/>
    <x v="12"/>
    <s v="R"/>
    <s v="RS"/>
    <x v="4"/>
    <s v="SAC"/>
    <s v="A"/>
    <n v="0"/>
    <n v="1"/>
    <n v="-1"/>
    <n v="1"/>
    <n v="-8"/>
    <n v="8"/>
    <n v="1511.7174746126773"/>
    <n v="1423.8752090307314"/>
    <n v="0.48251075163907398"/>
    <n v="69"/>
    <n v="65"/>
    <n v="0"/>
    <n v="4"/>
    <n v="1"/>
    <n v="0.29019025999723669"/>
    <n v="1"/>
    <n v="74.05"/>
    <n v="74.05"/>
    <n v="11.120113642021128"/>
    <n v="1522.8375882546984"/>
    <n v="1"/>
    <n v="0"/>
    <n v="0"/>
    <n v="0"/>
    <n v="0"/>
    <n v="0"/>
    <n v="0"/>
    <n v="0"/>
    <n v="0"/>
    <n v="0"/>
  </r>
  <r>
    <d v="2009-07-19T00:00:00"/>
    <n v="2009"/>
    <x v="15"/>
    <s v="R"/>
    <s v="RS"/>
    <x v="11"/>
    <s v="DET"/>
    <s v="H"/>
    <n v="1"/>
    <n v="0"/>
    <n v="1"/>
    <n v="-1"/>
    <n v="8"/>
    <n v="-8"/>
    <n v="1423.8752090307314"/>
    <n v="1511.7174746126773"/>
    <n v="0.51748924836092602"/>
    <n v="65"/>
    <n v="69"/>
    <n v="0"/>
    <n v="-4"/>
    <n v="0"/>
    <n v="0.29019025999723669"/>
    <n v="1"/>
    <n v="73.599999999999994"/>
    <n v="73.599999999999994"/>
    <n v="-11.052536989233694"/>
    <n v="1412.8226720414978"/>
    <n v="0"/>
    <n v="1"/>
    <n v="0"/>
    <n v="0"/>
    <n v="0"/>
    <n v="0"/>
    <n v="0"/>
    <n v="0"/>
    <n v="0"/>
    <n v="0"/>
  </r>
  <r>
    <d v="2009-07-19T00:00:00"/>
    <n v="2009"/>
    <x v="15"/>
    <s v="R"/>
    <s v="RS"/>
    <x v="7"/>
    <s v="SEA"/>
    <s v="A"/>
    <n v="3"/>
    <n v="1"/>
    <n v="2"/>
    <n v="-2"/>
    <n v="16"/>
    <n v="-16"/>
    <n v="1497.0440286751448"/>
    <n v="1556.4367673716101"/>
    <n v="0.34496896742985528"/>
    <n v="69"/>
    <n v="72"/>
    <n v="0"/>
    <n v="-3"/>
    <n v="0"/>
    <n v="0.27649851759418198"/>
    <n v="1"/>
    <n v="73.599999999999994"/>
    <n v="73.599999999999994"/>
    <n v="-7.0202188369218055"/>
    <n v="1490.0238098382229"/>
    <n v="0"/>
    <n v="1"/>
    <n v="0"/>
    <n v="0"/>
    <n v="0"/>
    <n v="0"/>
    <n v="0"/>
    <n v="0"/>
    <n v="0"/>
    <n v="0"/>
  </r>
  <r>
    <d v="2009-07-19T00:00:00"/>
    <n v="2009"/>
    <x v="15"/>
    <s v="R"/>
    <s v="RS"/>
    <x v="10"/>
    <s v="MIN"/>
    <s v="H"/>
    <n v="1"/>
    <n v="3"/>
    <n v="-2"/>
    <n v="2"/>
    <n v="-16"/>
    <n v="16"/>
    <n v="1556.4367673716101"/>
    <n v="1497.0440286751448"/>
    <n v="0.65503103257014472"/>
    <n v="72"/>
    <n v="69"/>
    <n v="0"/>
    <n v="3"/>
    <n v="1"/>
    <n v="0.27649851759418198"/>
    <n v="1"/>
    <n v="73.599999999999994"/>
    <n v="73.599999999999994"/>
    <n v="7.0202188369218055"/>
    <n v="1563.456986208532"/>
    <n v="1"/>
    <n v="0"/>
    <n v="0"/>
    <n v="0"/>
    <n v="0"/>
    <n v="0"/>
    <n v="0"/>
    <n v="0"/>
    <n v="0"/>
    <n v="0"/>
  </r>
  <r>
    <d v="2009-07-21T00:00:00"/>
    <n v="2009"/>
    <x v="14"/>
    <s v="R"/>
    <s v="RS"/>
    <x v="0"/>
    <s v="WAS"/>
    <s v="A"/>
    <n v="1"/>
    <n v="2"/>
    <n v="-1"/>
    <n v="1"/>
    <n v="-8"/>
    <n v="8"/>
    <n v="1581.8831074650418"/>
    <n v="1453.0053196447627"/>
    <n v="0.54146303981497934"/>
    <n v="82"/>
    <n v="70"/>
    <n v="0"/>
    <n v="12"/>
    <n v="1"/>
    <n v="0.41189290445561627"/>
    <n v="1"/>
    <n v="73.75"/>
    <n v="73.75"/>
    <n v="13.929023874400736"/>
    <n v="1595.8121313394424"/>
    <n v="1"/>
    <n v="0"/>
    <n v="0"/>
    <n v="0"/>
    <n v="0"/>
    <n v="0"/>
    <n v="0"/>
    <n v="0"/>
    <n v="0"/>
    <n v="0"/>
  </r>
  <r>
    <d v="2009-07-21T00:00:00"/>
    <n v="2009"/>
    <x v="13"/>
    <s v="R"/>
    <s v="RS"/>
    <x v="2"/>
    <s v="IND"/>
    <s v="H"/>
    <n v="2"/>
    <n v="1"/>
    <n v="1"/>
    <n v="-1"/>
    <n v="8"/>
    <n v="-8"/>
    <n v="1453.0053196447627"/>
    <n v="1581.8831074650418"/>
    <n v="0.4585369601850206"/>
    <n v="70"/>
    <n v="82"/>
    <n v="0"/>
    <n v="-12"/>
    <n v="0"/>
    <n v="0.41189290445561627"/>
    <n v="1"/>
    <n v="73.900000000000006"/>
    <n v="73.900000000000006"/>
    <n v="-13.957354092450364"/>
    <n v="1439.0479655523125"/>
    <n v="0"/>
    <n v="1"/>
    <n v="0"/>
    <n v="0"/>
    <n v="0"/>
    <n v="0"/>
    <n v="0"/>
    <n v="0"/>
    <n v="0"/>
    <n v="0"/>
  </r>
  <r>
    <d v="2009-07-22T00:00:00"/>
    <n v="2009"/>
    <x v="13"/>
    <s v="R"/>
    <s v="RS"/>
    <x v="12"/>
    <s v="CHI"/>
    <s v="A"/>
    <n v="2"/>
    <n v="2"/>
    <n v="0"/>
    <n v="0"/>
    <n v="0"/>
    <n v="0"/>
    <n v="1486.0088910719833"/>
    <n v="1447.7509262681433"/>
    <n v="0.43454964138180335"/>
    <n v="77"/>
    <n v="70"/>
    <n v="0"/>
    <n v="7"/>
    <n v="1"/>
    <n v="0.35867211809531235"/>
    <n v="1"/>
    <n v="73.900000000000006"/>
    <n v="73.900000000000006"/>
    <n v="14.987753429667018"/>
    <n v="1500.9966445016503"/>
    <n v="1"/>
    <n v="0"/>
    <n v="0"/>
    <n v="0"/>
    <n v="0"/>
    <n v="0"/>
    <n v="0"/>
    <n v="0"/>
    <n v="0"/>
    <n v="0"/>
  </r>
  <r>
    <d v="2009-07-22T00:00:00"/>
    <n v="2009"/>
    <x v="16"/>
    <s v="R"/>
    <s v="RS"/>
    <x v="6"/>
    <s v="NYL"/>
    <s v="H"/>
    <n v="2"/>
    <n v="2"/>
    <n v="0"/>
    <n v="0"/>
    <n v="0"/>
    <n v="0"/>
    <n v="1447.7509262681433"/>
    <n v="1486.0088910719833"/>
    <n v="0.5654503586181967"/>
    <n v="70"/>
    <n v="77"/>
    <n v="0"/>
    <n v="-7"/>
    <n v="0"/>
    <n v="0.35867211809531235"/>
    <n v="1"/>
    <n v="73.45"/>
    <n v="73.45"/>
    <n v="-14.896488354655512"/>
    <n v="1432.8544379134878"/>
    <n v="0"/>
    <n v="1"/>
    <n v="0"/>
    <n v="0"/>
    <n v="0"/>
    <n v="0"/>
    <n v="0"/>
    <n v="0"/>
    <n v="0"/>
    <n v="0"/>
  </r>
  <r>
    <d v="2009-07-22T00:00:00"/>
    <n v="2009"/>
    <x v="16"/>
    <s v="R"/>
    <s v="RS"/>
    <x v="11"/>
    <s v="CON"/>
    <s v="A"/>
    <n v="2"/>
    <n v="2"/>
    <n v="0"/>
    <n v="0"/>
    <n v="0"/>
    <n v="0"/>
    <n v="1412.8226720414978"/>
    <n v="1550.2176481618008"/>
    <n v="0.21849610779500747"/>
    <n v="75"/>
    <n v="83"/>
    <n v="0"/>
    <n v="-8"/>
    <n v="0"/>
    <n v="0.3484226053812321"/>
    <n v="1"/>
    <n v="73.45"/>
    <n v="73.45"/>
    <n v="-5.5916738118970564"/>
    <n v="1407.2309982296008"/>
    <n v="0"/>
    <n v="1"/>
    <n v="0"/>
    <n v="0"/>
    <n v="0"/>
    <n v="0"/>
    <n v="0"/>
    <n v="0"/>
    <n v="0"/>
    <n v="0"/>
  </r>
  <r>
    <d v="2009-07-22T00:00:00"/>
    <n v="2009"/>
    <x v="14"/>
    <s v="R"/>
    <s v="RS"/>
    <x v="3"/>
    <s v="SAC"/>
    <s v="H"/>
    <n v="2"/>
    <n v="2"/>
    <n v="0"/>
    <n v="0"/>
    <n v="0"/>
    <n v="0"/>
    <n v="1550.2176481618008"/>
    <n v="1412.8226720414978"/>
    <n v="0.7815038922049925"/>
    <n v="83"/>
    <n v="75"/>
    <n v="0"/>
    <n v="8"/>
    <n v="1"/>
    <n v="0.3484226053812321"/>
    <n v="1"/>
    <n v="73.75"/>
    <n v="73.75"/>
    <n v="5.6145125068401347"/>
    <n v="1555.8321606686409"/>
    <n v="1"/>
    <n v="0"/>
    <n v="0"/>
    <n v="0"/>
    <n v="0"/>
    <n v="0"/>
    <n v="0"/>
    <n v="0"/>
    <n v="0"/>
    <n v="0"/>
  </r>
  <r>
    <d v="2009-07-22T00:00:00"/>
    <n v="2009"/>
    <x v="17"/>
    <s v="R"/>
    <s v="RS"/>
    <x v="1"/>
    <s v="DET"/>
    <s v="A"/>
    <n v="2"/>
    <n v="2"/>
    <n v="0"/>
    <n v="0"/>
    <n v="0"/>
    <n v="0"/>
    <n v="1423.6515729406603"/>
    <n v="1522.8375882546984"/>
    <n v="0.2583612490695093"/>
    <n v="98"/>
    <n v="95"/>
    <n v="1"/>
    <n v="3"/>
    <n v="1"/>
    <n v="0.24122658271598646"/>
    <n v="1"/>
    <n v="73.3"/>
    <n v="73.3"/>
    <n v="13.113588543709202"/>
    <n v="1436.7651614843696"/>
    <n v="1"/>
    <n v="0"/>
    <n v="0"/>
    <n v="0"/>
    <n v="0"/>
    <n v="0"/>
    <n v="0"/>
    <n v="0"/>
    <n v="0"/>
    <n v="0"/>
  </r>
  <r>
    <d v="2009-07-22T00:00:00"/>
    <n v="2009"/>
    <x v="13"/>
    <s v="R"/>
    <s v="RS"/>
    <x v="4"/>
    <s v="ATL"/>
    <s v="H"/>
    <n v="2"/>
    <n v="2"/>
    <n v="0"/>
    <n v="0"/>
    <n v="0"/>
    <n v="0"/>
    <n v="1522.8375882546984"/>
    <n v="1423.6515729406603"/>
    <n v="0.7416387509304907"/>
    <n v="95"/>
    <n v="98"/>
    <n v="1"/>
    <n v="-3"/>
    <n v="0"/>
    <n v="0.24122658271598646"/>
    <n v="1"/>
    <n v="73.900000000000006"/>
    <n v="73.900000000000006"/>
    <n v="-13.220930332607232"/>
    <n v="1509.6166579220912"/>
    <n v="0"/>
    <n v="1"/>
    <n v="0"/>
    <n v="0"/>
    <n v="0"/>
    <n v="0"/>
    <n v="0"/>
    <n v="0"/>
    <n v="0"/>
    <n v="0"/>
  </r>
  <r>
    <d v="2009-07-22T00:00:00"/>
    <n v="2009"/>
    <x v="16"/>
    <s v="R"/>
    <s v="RS"/>
    <x v="7"/>
    <s v="PHX"/>
    <s v="A"/>
    <n v="2"/>
    <n v="3"/>
    <n v="-1"/>
    <n v="1"/>
    <n v="-8"/>
    <n v="8"/>
    <n v="1490.0238098382229"/>
    <n v="1592.1310151018092"/>
    <n v="0.2380459381561181"/>
    <n v="99"/>
    <n v="86"/>
    <n v="0"/>
    <n v="13"/>
    <n v="1"/>
    <n v="0.43502754956514794"/>
    <n v="1"/>
    <n v="73.45"/>
    <n v="73.45"/>
    <n v="24.346545567358646"/>
    <n v="1514.3703554055814"/>
    <n v="1"/>
    <n v="0"/>
    <n v="0"/>
    <n v="0"/>
    <n v="0"/>
    <n v="0"/>
    <n v="0"/>
    <n v="0"/>
    <n v="0"/>
    <n v="0"/>
  </r>
  <r>
    <d v="2009-07-22T00:00:00"/>
    <n v="2009"/>
    <x v="16"/>
    <s v="R"/>
    <s v="RS"/>
    <x v="9"/>
    <s v="MIN"/>
    <s v="H"/>
    <n v="3"/>
    <n v="2"/>
    <n v="1"/>
    <n v="-1"/>
    <n v="8"/>
    <n v="-8"/>
    <n v="1592.1310151018092"/>
    <n v="1490.0238098382229"/>
    <n v="0.76195406184388192"/>
    <n v="86"/>
    <n v="99"/>
    <n v="0"/>
    <n v="-13"/>
    <n v="0"/>
    <n v="0.43502754956514794"/>
    <n v="1"/>
    <n v="73.45"/>
    <n v="73.45"/>
    <n v="-24.346545567358646"/>
    <n v="1567.7844695344506"/>
    <n v="0"/>
    <n v="1"/>
    <n v="0"/>
    <n v="0"/>
    <n v="0"/>
    <n v="0"/>
    <n v="0"/>
    <n v="0"/>
    <n v="0"/>
    <n v="0"/>
  </r>
  <r>
    <d v="2009-07-22T00:00:00"/>
    <n v="2009"/>
    <x v="12"/>
    <s v="R"/>
    <s v="RS"/>
    <x v="5"/>
    <s v="SEA"/>
    <s v="A"/>
    <n v="7"/>
    <n v="2"/>
    <n v="5"/>
    <n v="-5"/>
    <n v="16"/>
    <n v="-16"/>
    <n v="1500.2216712250229"/>
    <n v="1563.456986208532"/>
    <n v="0.33998797702966588"/>
    <n v="87"/>
    <n v="98"/>
    <n v="1"/>
    <n v="-11"/>
    <n v="0"/>
    <n v="0.37603670689371366"/>
    <n v="1"/>
    <n v="74.05"/>
    <n v="74.05"/>
    <n v="-9.4671413836244263"/>
    <n v="1490.7545298413984"/>
    <n v="0"/>
    <n v="1"/>
    <n v="0"/>
    <n v="0"/>
    <n v="0"/>
    <n v="0"/>
    <n v="0"/>
    <n v="0"/>
    <n v="0"/>
    <n v="0"/>
  </r>
  <r>
    <d v="2009-07-22T00:00:00"/>
    <n v="2009"/>
    <x v="16"/>
    <s v="R"/>
    <s v="RS"/>
    <x v="10"/>
    <s v="LAS"/>
    <s v="H"/>
    <n v="2"/>
    <n v="7"/>
    <n v="-5"/>
    <n v="5"/>
    <n v="-16"/>
    <n v="16"/>
    <n v="1563.456986208532"/>
    <n v="1500.2216712250229"/>
    <n v="0.66001202297033401"/>
    <n v="98"/>
    <n v="87"/>
    <n v="1"/>
    <n v="11"/>
    <n v="1"/>
    <n v="0.37603670689371366"/>
    <n v="1"/>
    <n v="73.45"/>
    <n v="73.45"/>
    <n v="9.3904326080650158"/>
    <n v="1572.8474188165972"/>
    <n v="1"/>
    <n v="0"/>
    <n v="0"/>
    <n v="0"/>
    <n v="0"/>
    <n v="0"/>
    <n v="0"/>
    <n v="0"/>
    <n v="0"/>
    <n v="0"/>
  </r>
  <r>
    <d v="2009-07-23T00:00:00"/>
    <n v="2009"/>
    <x v="17"/>
    <s v="R"/>
    <s v="RS"/>
    <x v="11"/>
    <s v="NYL"/>
    <s v="A"/>
    <n v="0"/>
    <n v="0"/>
    <n v="0"/>
    <n v="0"/>
    <n v="0"/>
    <n v="0"/>
    <n v="1407.2309982296008"/>
    <n v="1500.9966445016503"/>
    <n v="0.26438484285839359"/>
    <n v="88"/>
    <n v="73"/>
    <n v="0"/>
    <n v="15"/>
    <n v="1"/>
    <n v="0.4664041245748391"/>
    <n v="1"/>
    <n v="73.3"/>
    <n v="73.3"/>
    <n v="25.148786050531978"/>
    <n v="1432.3797842801328"/>
    <n v="1"/>
    <n v="0"/>
    <n v="0"/>
    <n v="0"/>
    <n v="0"/>
    <n v="0"/>
    <n v="0"/>
    <n v="0"/>
    <n v="0"/>
    <n v="0"/>
  </r>
  <r>
    <d v="2009-07-23T00:00:00"/>
    <n v="2009"/>
    <x v="14"/>
    <s v="R"/>
    <s v="RS"/>
    <x v="12"/>
    <s v="SAC"/>
    <s v="H"/>
    <n v="0"/>
    <n v="0"/>
    <n v="0"/>
    <n v="0"/>
    <n v="0"/>
    <n v="0"/>
    <n v="1500.9966445016503"/>
    <n v="1407.2309982296008"/>
    <n v="0.73561515714160641"/>
    <n v="73"/>
    <n v="88"/>
    <n v="0"/>
    <n v="-15"/>
    <n v="0"/>
    <n v="0.4664041245748391"/>
    <n v="1"/>
    <n v="73.75"/>
    <n v="73.75"/>
    <n v="-25.303178325057754"/>
    <n v="1475.6934661765924"/>
    <n v="0"/>
    <n v="1"/>
    <n v="0"/>
    <n v="0"/>
    <n v="0"/>
    <n v="0"/>
    <n v="0"/>
    <n v="0"/>
    <n v="0"/>
    <n v="0"/>
  </r>
  <r>
    <d v="2009-07-23T00:00:00"/>
    <n v="2009"/>
    <x v="15"/>
    <s v="R"/>
    <s v="RS"/>
    <x v="0"/>
    <s v="SAS"/>
    <s v="A"/>
    <n v="1"/>
    <n v="3"/>
    <n v="-2"/>
    <n v="2"/>
    <n v="-16"/>
    <n v="16"/>
    <n v="1595.8121313394424"/>
    <n v="1493.2640119607338"/>
    <n v="0.48065085513832678"/>
    <n v="65"/>
    <n v="84"/>
    <n v="0"/>
    <n v="-19"/>
    <n v="0"/>
    <n v="0.5168124518799434"/>
    <n v="1"/>
    <n v="73.599999999999994"/>
    <n v="73.599999999999994"/>
    <n v="-18.282707134948136"/>
    <n v="1577.5294242044943"/>
    <n v="0"/>
    <n v="1"/>
    <n v="0"/>
    <n v="0"/>
    <n v="0"/>
    <n v="0"/>
    <n v="0"/>
    <n v="0"/>
    <n v="0"/>
    <n v="0"/>
  </r>
  <r>
    <d v="2009-07-23T00:00:00"/>
    <n v="2009"/>
    <x v="14"/>
    <s v="R"/>
    <s v="RS"/>
    <x v="8"/>
    <s v="IND"/>
    <s v="H"/>
    <n v="3"/>
    <n v="1"/>
    <n v="2"/>
    <n v="-2"/>
    <n v="16"/>
    <n v="-16"/>
    <n v="1493.2640119607338"/>
    <n v="1595.8121313394424"/>
    <n v="0.51934914486167316"/>
    <n v="84"/>
    <n v="65"/>
    <n v="0"/>
    <n v="19"/>
    <n v="1"/>
    <n v="0.5168124518799434"/>
    <n v="1"/>
    <n v="73.75"/>
    <n v="73.75"/>
    <n v="18.319968086989476"/>
    <n v="1511.5839800477233"/>
    <n v="1"/>
    <n v="0"/>
    <n v="0"/>
    <n v="0"/>
    <n v="0"/>
    <n v="0"/>
    <n v="0"/>
    <n v="0"/>
    <n v="0"/>
    <n v="0"/>
  </r>
  <r>
    <d v="2009-07-23T00:00:00"/>
    <n v="2009"/>
    <x v="17"/>
    <s v="R"/>
    <s v="RS"/>
    <x v="6"/>
    <s v="WAS"/>
    <s v="A"/>
    <n v="0"/>
    <n v="1"/>
    <n v="-1"/>
    <n v="1"/>
    <n v="-8"/>
    <n v="8"/>
    <n v="1432.8544379134878"/>
    <n v="1439.0479655523125"/>
    <n v="0.35176291621506894"/>
    <n v="64"/>
    <n v="75"/>
    <n v="0"/>
    <n v="-11"/>
    <n v="0"/>
    <n v="0.43757751323898653"/>
    <n v="1"/>
    <n v="73.3"/>
    <n v="73.3"/>
    <n v="-11.282595637915247"/>
    <n v="1421.5718422755726"/>
    <n v="0"/>
    <n v="1"/>
    <n v="0"/>
    <n v="0"/>
    <n v="0"/>
    <n v="0"/>
    <n v="0"/>
    <n v="0"/>
    <n v="0"/>
    <n v="0"/>
  </r>
  <r>
    <d v="2009-07-23T00:00:00"/>
    <n v="2009"/>
    <x v="14"/>
    <s v="R"/>
    <s v="RS"/>
    <x v="2"/>
    <s v="CHI"/>
    <s v="H"/>
    <n v="1"/>
    <n v="0"/>
    <n v="1"/>
    <n v="-1"/>
    <n v="8"/>
    <n v="-8"/>
    <n v="1439.0479655523125"/>
    <n v="1432.8544379134878"/>
    <n v="0.64823708378493106"/>
    <n v="75"/>
    <n v="64"/>
    <n v="0"/>
    <n v="11"/>
    <n v="1"/>
    <n v="0.43757751323898653"/>
    <n v="1"/>
    <n v="73.75"/>
    <n v="73.75"/>
    <n v="11.351861231872432"/>
    <n v="1450.3998267841848"/>
    <n v="1"/>
    <n v="0"/>
    <n v="0"/>
    <n v="0"/>
    <n v="0"/>
    <n v="0"/>
    <n v="0"/>
    <n v="0"/>
    <n v="0"/>
    <n v="0"/>
  </r>
  <r>
    <d v="2009-07-26T00:00:00"/>
    <n v="2009"/>
    <x v="17"/>
    <s v="R"/>
    <s v="RS"/>
    <x v="9"/>
    <s v="NYL"/>
    <s v="A"/>
    <n v="3"/>
    <n v="2"/>
    <n v="1"/>
    <n v="-1"/>
    <n v="8"/>
    <n v="-8"/>
    <n v="1567.7844695344506"/>
    <n v="1475.6934661765924"/>
    <n v="0.53461428378771492"/>
    <n v="94"/>
    <n v="88"/>
    <n v="0"/>
    <n v="6"/>
    <n v="1"/>
    <n v="0.32624398143297101"/>
    <n v="1"/>
    <n v="73.3"/>
    <n v="73.3"/>
    <n v="11.129086880704277"/>
    <n v="1578.913556415155"/>
    <n v="1"/>
    <n v="0"/>
    <n v="0"/>
    <n v="0"/>
    <n v="0"/>
    <n v="0"/>
    <n v="0"/>
    <n v="0"/>
    <n v="0"/>
    <n v="0"/>
  </r>
  <r>
    <d v="2009-07-26T00:00:00"/>
    <n v="2009"/>
    <x v="15"/>
    <s v="R"/>
    <s v="RS"/>
    <x v="12"/>
    <s v="PHX"/>
    <s v="H"/>
    <n v="2"/>
    <n v="3"/>
    <n v="-1"/>
    <n v="1"/>
    <n v="-8"/>
    <n v="8"/>
    <n v="1475.6934661765924"/>
    <n v="1567.7844695344506"/>
    <n v="0.46538571621228514"/>
    <n v="88"/>
    <n v="94"/>
    <n v="0"/>
    <n v="-6"/>
    <n v="0"/>
    <n v="0.32624398143297101"/>
    <n v="1"/>
    <n v="73.599999999999994"/>
    <n v="73.599999999999994"/>
    <n v="-11.174635667392018"/>
    <n v="1464.5188305092004"/>
    <n v="0"/>
    <n v="1"/>
    <n v="0"/>
    <n v="0"/>
    <n v="0"/>
    <n v="0"/>
    <n v="0"/>
    <n v="0"/>
    <n v="0"/>
    <n v="0"/>
  </r>
  <r>
    <d v="2009-07-26T00:00:00"/>
    <n v="2009"/>
    <x v="18"/>
    <s v="R"/>
    <s v="RS"/>
    <x v="11"/>
    <s v="WAS"/>
    <s v="A"/>
    <n v="2"/>
    <n v="2"/>
    <n v="0"/>
    <n v="0"/>
    <n v="0"/>
    <n v="0"/>
    <n v="1432.3797842801328"/>
    <n v="1450.3998267841848"/>
    <n v="0.35726043794481277"/>
    <n v="73"/>
    <n v="87"/>
    <n v="0"/>
    <n v="-14"/>
    <n v="0"/>
    <n v="0.48039416743749919"/>
    <n v="1"/>
    <n v="73.150000000000006"/>
    <n v="73.150000000000006"/>
    <n v="-12.554429511671122"/>
    <n v="1419.8253547684617"/>
    <n v="0"/>
    <n v="1"/>
    <n v="0"/>
    <n v="0"/>
    <n v="0"/>
    <n v="0"/>
    <n v="0"/>
    <n v="0"/>
    <n v="0"/>
    <n v="0"/>
  </r>
  <r>
    <d v="2009-07-26T00:00:00"/>
    <n v="2009"/>
    <x v="15"/>
    <s v="R"/>
    <s v="RS"/>
    <x v="2"/>
    <s v="SAC"/>
    <s v="H"/>
    <n v="2"/>
    <n v="2"/>
    <n v="0"/>
    <n v="0"/>
    <n v="0"/>
    <n v="0"/>
    <n v="1450.3998267841848"/>
    <n v="1432.3797842801328"/>
    <n v="0.64273956205518723"/>
    <n v="87"/>
    <n v="73"/>
    <n v="0"/>
    <n v="14"/>
    <n v="1"/>
    <n v="0.48039416743749919"/>
    <n v="1"/>
    <n v="73.599999999999994"/>
    <n v="73.599999999999994"/>
    <n v="12.631661135461304"/>
    <n v="1463.0314879196462"/>
    <n v="1"/>
    <n v="0"/>
    <n v="0"/>
    <n v="0"/>
    <n v="0"/>
    <n v="0"/>
    <n v="0"/>
    <n v="0"/>
    <n v="0"/>
    <n v="0"/>
  </r>
  <r>
    <d v="2009-07-28T00:00:00"/>
    <n v="2009"/>
    <x v="18"/>
    <s v="R"/>
    <s v="RS"/>
    <x v="9"/>
    <s v="CON"/>
    <s v="A"/>
    <n v="1"/>
    <n v="5"/>
    <n v="-4"/>
    <n v="4"/>
    <n v="-16"/>
    <n v="16"/>
    <n v="1578.913556415155"/>
    <n v="1555.8321606686409"/>
    <n v="0.36937884822433975"/>
    <n v="95"/>
    <n v="80"/>
    <n v="0"/>
    <n v="15"/>
    <n v="1"/>
    <n v="0.49335852524043755"/>
    <n v="1"/>
    <n v="73.150000000000006"/>
    <n v="73.150000000000006"/>
    <n v="22.758597812272829"/>
    <n v="1601.6721542274279"/>
    <n v="1"/>
    <n v="0"/>
    <n v="0"/>
    <n v="0"/>
    <n v="0"/>
    <n v="0"/>
    <n v="0"/>
    <n v="0"/>
    <n v="0"/>
    <n v="0"/>
  </r>
  <r>
    <d v="2009-07-28T00:00:00"/>
    <n v="2009"/>
    <x v="15"/>
    <s v="R"/>
    <s v="RS"/>
    <x v="3"/>
    <s v="PHX"/>
    <s v="H"/>
    <n v="5"/>
    <n v="1"/>
    <n v="4"/>
    <n v="-4"/>
    <n v="16"/>
    <n v="-16"/>
    <n v="1555.8321606686409"/>
    <n v="1578.913556415155"/>
    <n v="0.63062115177566036"/>
    <n v="80"/>
    <n v="95"/>
    <n v="0"/>
    <n v="-15"/>
    <n v="0"/>
    <n v="0.49335852524043755"/>
    <n v="1"/>
    <n v="73.599999999999994"/>
    <n v="73.599999999999994"/>
    <n v="-22.898602856914291"/>
    <n v="1532.9335578117266"/>
    <n v="0"/>
    <n v="1"/>
    <n v="0"/>
    <n v="0"/>
    <n v="0"/>
    <n v="0"/>
    <n v="0"/>
    <n v="0"/>
    <n v="0"/>
    <n v="0"/>
  </r>
  <r>
    <d v="2009-07-28T00:00:00"/>
    <n v="2009"/>
    <x v="16"/>
    <s v="R"/>
    <s v="RS"/>
    <x v="2"/>
    <s v="IND"/>
    <s v="A"/>
    <n v="1"/>
    <n v="4"/>
    <n v="-3"/>
    <n v="3"/>
    <n v="-16"/>
    <n v="16"/>
    <n v="1463.0314879196462"/>
    <n v="1577.5294242044943"/>
    <n v="0.2096804287997571"/>
    <n v="81"/>
    <n v="85"/>
    <n v="0"/>
    <n v="-4"/>
    <n v="0"/>
    <n v="0.28430571974946889"/>
    <n v="1"/>
    <n v="73.45"/>
    <n v="73.45"/>
    <n v="-4.3786002069446122"/>
    <n v="1458.6528877127016"/>
    <n v="0"/>
    <n v="1"/>
    <n v="0"/>
    <n v="0"/>
    <n v="0"/>
    <n v="0"/>
    <n v="0"/>
    <n v="0"/>
    <n v="0"/>
    <n v="0"/>
  </r>
  <r>
    <d v="2009-07-28T00:00:00"/>
    <n v="2009"/>
    <x v="16"/>
    <s v="R"/>
    <s v="RS"/>
    <x v="0"/>
    <s v="WAS"/>
    <s v="H"/>
    <n v="4"/>
    <n v="1"/>
    <n v="3"/>
    <n v="-3"/>
    <n v="16"/>
    <n v="-16"/>
    <n v="1577.5294242044943"/>
    <n v="1463.0314879196462"/>
    <n v="0.79031957120024299"/>
    <n v="85"/>
    <n v="81"/>
    <n v="0"/>
    <n v="4"/>
    <n v="1"/>
    <n v="0.28430571974946889"/>
    <n v="1"/>
    <n v="73.45"/>
    <n v="73.45"/>
    <n v="4.3786002069446104"/>
    <n v="1581.9080244114389"/>
    <n v="1"/>
    <n v="0"/>
    <n v="0"/>
    <n v="0"/>
    <n v="0"/>
    <n v="0"/>
    <n v="0"/>
    <n v="0"/>
    <n v="0"/>
    <n v="0"/>
  </r>
  <r>
    <d v="2009-07-28T00:00:00"/>
    <n v="2009"/>
    <x v="13"/>
    <s v="R"/>
    <s v="RS"/>
    <x v="5"/>
    <s v="MIN"/>
    <s v="A"/>
    <n v="5"/>
    <n v="5"/>
    <n v="0"/>
    <n v="0"/>
    <n v="0"/>
    <n v="0"/>
    <n v="1490.7545298413984"/>
    <n v="1514.3703554055814"/>
    <n v="0.34989825042817957"/>
    <n v="76"/>
    <n v="70"/>
    <n v="0"/>
    <n v="6"/>
    <n v="1"/>
    <n v="0.34450103088101885"/>
    <n v="1"/>
    <n v="73.900000000000006"/>
    <n v="73.900000000000006"/>
    <n v="16.550697422682909"/>
    <n v="1507.3052272640814"/>
    <n v="1"/>
    <n v="0"/>
    <n v="0"/>
    <n v="0"/>
    <n v="0"/>
    <n v="0"/>
    <n v="0"/>
    <n v="0"/>
    <n v="0"/>
    <n v="0"/>
  </r>
  <r>
    <d v="2009-07-28T00:00:00"/>
    <n v="2009"/>
    <x v="17"/>
    <s v="R"/>
    <s v="RS"/>
    <x v="7"/>
    <s v="LAS"/>
    <s v="H"/>
    <n v="5"/>
    <n v="5"/>
    <n v="0"/>
    <n v="0"/>
    <n v="0"/>
    <n v="0"/>
    <n v="1514.3703554055814"/>
    <n v="1490.7545298413984"/>
    <n v="0.65010174957182043"/>
    <n v="70"/>
    <n v="76"/>
    <n v="0"/>
    <n v="-6"/>
    <n v="0"/>
    <n v="0.34450103088101885"/>
    <n v="1"/>
    <n v="73.3"/>
    <n v="73.3"/>
    <n v="-16.416320988939876"/>
    <n v="1497.9540344166417"/>
    <n v="0"/>
    <n v="1"/>
    <n v="0"/>
    <n v="0"/>
    <n v="0"/>
    <n v="0"/>
    <n v="0"/>
    <n v="0"/>
    <n v="0"/>
    <n v="0"/>
  </r>
  <r>
    <d v="2009-07-28T00:00:00"/>
    <n v="2009"/>
    <x v="17"/>
    <s v="R"/>
    <s v="RS"/>
    <x v="10"/>
    <s v="SAS"/>
    <s v="A"/>
    <n v="5"/>
    <n v="4"/>
    <n v="1"/>
    <n v="-1"/>
    <n v="8"/>
    <n v="-8"/>
    <n v="1572.8474188165972"/>
    <n v="1511.5839800477233"/>
    <n v="0.49030652379961215"/>
    <n v="71"/>
    <n v="74"/>
    <n v="0"/>
    <n v="-3"/>
    <n v="0"/>
    <n v="0.27608841627752989"/>
    <n v="1"/>
    <n v="73.3"/>
    <n v="73.3"/>
    <n v="-9.9224708556793555"/>
    <n v="1562.9249479609177"/>
    <n v="0"/>
    <n v="1"/>
    <n v="0"/>
    <n v="0"/>
    <n v="0"/>
    <n v="0"/>
    <n v="0"/>
    <n v="0"/>
    <n v="0"/>
    <n v="0"/>
  </r>
  <r>
    <d v="2009-07-28T00:00:00"/>
    <n v="2009"/>
    <x v="15"/>
    <s v="R"/>
    <s v="RS"/>
    <x v="8"/>
    <s v="SEA"/>
    <s v="H"/>
    <n v="4"/>
    <n v="5"/>
    <n v="-1"/>
    <n v="1"/>
    <n v="-8"/>
    <n v="8"/>
    <n v="1511.5839800477233"/>
    <n v="1572.8474188165972"/>
    <n v="0.50969347620038785"/>
    <n v="74"/>
    <n v="71"/>
    <n v="0"/>
    <n v="3"/>
    <n v="1"/>
    <n v="0.27608841627752989"/>
    <n v="1"/>
    <n v="73.599999999999994"/>
    <n v="73.599999999999994"/>
    <n v="9.9630812411732688"/>
    <n v="1521.5470612888967"/>
    <n v="1"/>
    <n v="0"/>
    <n v="0"/>
    <n v="0"/>
    <n v="0"/>
    <n v="0"/>
    <n v="0"/>
    <n v="0"/>
    <n v="0"/>
    <n v="0"/>
  </r>
  <r>
    <d v="2009-07-29T00:00:00"/>
    <n v="2009"/>
    <x v="14"/>
    <s v="R"/>
    <s v="RS"/>
    <x v="5"/>
    <s v="CHI"/>
    <s v="A"/>
    <n v="0"/>
    <n v="5"/>
    <n v="-5"/>
    <n v="5"/>
    <n v="-16"/>
    <n v="16"/>
    <n v="1507.3052272640814"/>
    <n v="1421.5718422755726"/>
    <n v="0.4565526899320741"/>
    <n v="63"/>
    <n v="75"/>
    <n v="0"/>
    <n v="-12"/>
    <n v="0"/>
    <n v="0.42571448955316726"/>
    <n v="1"/>
    <n v="73.75"/>
    <n v="73.75"/>
    <n v="-14.33413078195618"/>
    <n v="1492.9710964821252"/>
    <n v="0"/>
    <n v="1"/>
    <n v="0"/>
    <n v="0"/>
    <n v="0"/>
    <n v="0"/>
    <n v="0"/>
    <n v="0"/>
    <n v="0"/>
    <n v="0"/>
  </r>
  <r>
    <d v="2009-07-29T00:00:00"/>
    <n v="2009"/>
    <x v="18"/>
    <s v="R"/>
    <s v="RS"/>
    <x v="6"/>
    <s v="LAS"/>
    <s v="H"/>
    <n v="5"/>
    <n v="0"/>
    <n v="5"/>
    <n v="-5"/>
    <n v="16"/>
    <n v="-16"/>
    <n v="1421.5718422755726"/>
    <n v="1507.3052272640814"/>
    <n v="0.54344731006792601"/>
    <n v="75"/>
    <n v="63"/>
    <n v="0"/>
    <n v="12"/>
    <n v="1"/>
    <n v="0.42571448955316726"/>
    <n v="1"/>
    <n v="73.150000000000006"/>
    <n v="73.150000000000006"/>
    <n v="14.217514124747042"/>
    <n v="1435.7893564003198"/>
    <n v="1"/>
    <n v="0"/>
    <n v="0"/>
    <n v="0"/>
    <n v="0"/>
    <n v="0"/>
    <n v="0"/>
    <n v="0"/>
    <n v="0"/>
    <n v="0"/>
  </r>
  <r>
    <d v="2009-07-30T00:00:00"/>
    <n v="2009"/>
    <x v="19"/>
    <s v="R"/>
    <s v="RS"/>
    <x v="9"/>
    <s v="ATL"/>
    <s v="A"/>
    <n v="1"/>
    <n v="7"/>
    <n v="-6"/>
    <n v="6"/>
    <n v="-16"/>
    <n v="16"/>
    <n v="1601.6721542274279"/>
    <n v="1436.7651614843696"/>
    <n v="0.56992159784893726"/>
    <n v="76"/>
    <n v="106"/>
    <n v="0"/>
    <n v="-30"/>
    <n v="0"/>
    <n v="0.61849724268260831"/>
    <n v="1"/>
    <n v="73"/>
    <n v="73"/>
    <n v="-25.732130387482886"/>
    <n v="1575.9400238399451"/>
    <n v="0"/>
    <n v="1"/>
    <n v="0"/>
    <n v="0"/>
    <n v="0"/>
    <n v="0"/>
    <n v="0"/>
    <n v="0"/>
    <n v="0"/>
    <n v="0"/>
  </r>
  <r>
    <d v="2009-07-30T00:00:00"/>
    <n v="2009"/>
    <x v="18"/>
    <s v="R"/>
    <s v="RS"/>
    <x v="1"/>
    <s v="PHX"/>
    <s v="H"/>
    <n v="7"/>
    <n v="1"/>
    <n v="6"/>
    <n v="-6"/>
    <n v="16"/>
    <n v="-16"/>
    <n v="1436.7651614843696"/>
    <n v="1601.6721542274279"/>
    <n v="0.43007840215106274"/>
    <n v="106"/>
    <n v="76"/>
    <n v="0"/>
    <n v="30"/>
    <n v="1"/>
    <n v="0.61849724268260831"/>
    <n v="1"/>
    <n v="73.150000000000006"/>
    <n v="73.150000000000006"/>
    <n v="25.785004628005112"/>
    <n v="1462.5501661123747"/>
    <n v="1"/>
    <n v="0"/>
    <n v="0"/>
    <n v="0"/>
    <n v="0"/>
    <n v="0"/>
    <n v="0"/>
    <n v="0"/>
    <n v="0"/>
    <n v="0"/>
  </r>
  <r>
    <d v="2009-07-30T00:00:00"/>
    <n v="2009"/>
    <x v="16"/>
    <s v="R"/>
    <s v="RS"/>
    <x v="3"/>
    <s v="IND"/>
    <s v="A"/>
    <n v="1"/>
    <n v="1"/>
    <n v="0"/>
    <n v="0"/>
    <n v="0"/>
    <n v="0"/>
    <n v="1532.9335578117266"/>
    <n v="1581.9080244114389"/>
    <n v="0.31746146169829809"/>
    <n v="85"/>
    <n v="94"/>
    <n v="1"/>
    <n v="-9"/>
    <n v="0"/>
    <n v="0.35104740812891433"/>
    <n v="1"/>
    <n v="73.45"/>
    <n v="73.45"/>
    <n v="-8.1855635121198045"/>
    <n v="1524.7479942996067"/>
    <n v="0"/>
    <n v="1"/>
    <n v="0"/>
    <n v="0"/>
    <n v="0"/>
    <n v="0"/>
    <n v="0"/>
    <n v="0"/>
    <n v="0"/>
    <n v="0"/>
  </r>
  <r>
    <d v="2009-07-30T00:00:00"/>
    <n v="2009"/>
    <x v="17"/>
    <s v="R"/>
    <s v="RS"/>
    <x v="0"/>
    <s v="CON"/>
    <s v="H"/>
    <n v="1"/>
    <n v="1"/>
    <n v="0"/>
    <n v="0"/>
    <n v="0"/>
    <n v="0"/>
    <n v="1581.9080244114389"/>
    <n v="1532.9335578117266"/>
    <n v="0.68253853830170186"/>
    <n v="94"/>
    <n v="85"/>
    <n v="1"/>
    <n v="9"/>
    <n v="1"/>
    <n v="0.35104740812891433"/>
    <n v="1"/>
    <n v="73.3"/>
    <n v="73.3"/>
    <n v="8.1688469086233049"/>
    <n v="1590.0768713200621"/>
    <n v="1"/>
    <n v="0"/>
    <n v="0"/>
    <n v="0"/>
    <n v="0"/>
    <n v="0"/>
    <n v="0"/>
    <n v="0"/>
    <n v="0"/>
    <n v="0"/>
  </r>
  <r>
    <d v="2009-07-30T00:00:00"/>
    <n v="2009"/>
    <x v="17"/>
    <s v="R"/>
    <s v="RS"/>
    <x v="2"/>
    <s v="NYL"/>
    <s v="A"/>
    <n v="1"/>
    <n v="3"/>
    <n v="-2"/>
    <n v="2"/>
    <n v="-16"/>
    <n v="16"/>
    <n v="1458.6528877127016"/>
    <n v="1464.5188305092004"/>
    <n v="0.33147602887152505"/>
    <n v="78"/>
    <n v="75"/>
    <n v="0"/>
    <n v="3"/>
    <n v="1"/>
    <n v="0.2887719214549665"/>
    <n v="1"/>
    <n v="73.3"/>
    <n v="73.3"/>
    <n v="14.150634758252062"/>
    <n v="1472.8035224709536"/>
    <n v="1"/>
    <n v="0"/>
    <n v="0"/>
    <n v="0"/>
    <n v="0"/>
    <n v="0"/>
    <n v="0"/>
    <n v="0"/>
    <n v="0"/>
    <n v="0"/>
  </r>
  <r>
    <d v="2009-07-30T00:00:00"/>
    <n v="2009"/>
    <x v="16"/>
    <s v="R"/>
    <s v="RS"/>
    <x v="12"/>
    <s v="WAS"/>
    <s v="H"/>
    <n v="3"/>
    <n v="1"/>
    <n v="2"/>
    <n v="-2"/>
    <n v="16"/>
    <n v="-16"/>
    <n v="1464.5188305092004"/>
    <n v="1458.6528877127016"/>
    <n v="0.66852397112847495"/>
    <n v="75"/>
    <n v="78"/>
    <n v="0"/>
    <n v="-3"/>
    <n v="0"/>
    <n v="0.2887719214549665"/>
    <n v="1"/>
    <n v="73.45"/>
    <n v="73.45"/>
    <n v="-14.179592401004285"/>
    <n v="1450.339238108196"/>
    <n v="0"/>
    <n v="1"/>
    <n v="0"/>
    <n v="0"/>
    <n v="0"/>
    <n v="0"/>
    <n v="0"/>
    <n v="0"/>
    <n v="0"/>
    <n v="0"/>
  </r>
  <r>
    <d v="2009-07-30T00:00:00"/>
    <n v="2009"/>
    <x v="16"/>
    <s v="R"/>
    <s v="RS"/>
    <x v="8"/>
    <s v="SAC"/>
    <s v="A"/>
    <n v="1"/>
    <n v="3"/>
    <n v="-2"/>
    <n v="2"/>
    <n v="-16"/>
    <n v="16"/>
    <n v="1521.5470612888967"/>
    <n v="1419.8253547684617"/>
    <n v="0.47946344402231816"/>
    <n v="93"/>
    <n v="101"/>
    <n v="1"/>
    <n v="-8"/>
    <n v="0"/>
    <n v="0.32217391451838895"/>
    <n v="1"/>
    <n v="73.45"/>
    <n v="73.45"/>
    <n v="-11.345866644510238"/>
    <n v="1510.2011946443863"/>
    <n v="0"/>
    <n v="1"/>
    <n v="0"/>
    <n v="0"/>
    <n v="0"/>
    <n v="0"/>
    <n v="0"/>
    <n v="0"/>
    <n v="0"/>
    <n v="0"/>
  </r>
  <r>
    <d v="2009-07-30T00:00:00"/>
    <n v="2009"/>
    <x v="19"/>
    <s v="R"/>
    <s v="RS"/>
    <x v="11"/>
    <s v="SAS"/>
    <s v="H"/>
    <n v="3"/>
    <n v="1"/>
    <n v="2"/>
    <n v="-2"/>
    <n v="16"/>
    <n v="-16"/>
    <n v="1419.8253547684617"/>
    <n v="1521.5470612888967"/>
    <n v="0.52053655597768189"/>
    <n v="101"/>
    <n v="93"/>
    <n v="1"/>
    <n v="8"/>
    <n v="1"/>
    <n v="0.32217391451838895"/>
    <n v="1"/>
    <n v="73"/>
    <n v="73"/>
    <n v="11.276354867927123"/>
    <n v="1431.1017096363887"/>
    <n v="1"/>
    <n v="0"/>
    <n v="0"/>
    <n v="0"/>
    <n v="0"/>
    <n v="0"/>
    <n v="0"/>
    <n v="0"/>
    <n v="0"/>
    <n v="0"/>
  </r>
  <r>
    <d v="2009-07-31T00:00:00"/>
    <n v="2009"/>
    <x v="18"/>
    <s v="R"/>
    <s v="RS"/>
    <x v="7"/>
    <s v="DET"/>
    <s v="A"/>
    <n v="2"/>
    <n v="8"/>
    <n v="-6"/>
    <n v="6"/>
    <n v="-16"/>
    <n v="16"/>
    <n v="1497.9540344166417"/>
    <n v="1509.6166579220912"/>
    <n v="0.32412363505524999"/>
    <n v="83"/>
    <n v="91"/>
    <n v="0"/>
    <n v="-8"/>
    <n v="0"/>
    <n v="0.38457787915871189"/>
    <n v="1"/>
    <n v="73.150000000000006"/>
    <n v="73.150000000000006"/>
    <n v="-9.1182045683207225"/>
    <n v="1488.8358298483208"/>
    <n v="0"/>
    <n v="1"/>
    <n v="0"/>
    <n v="0"/>
    <n v="0"/>
    <n v="0"/>
    <n v="0"/>
    <n v="0"/>
    <n v="0"/>
    <n v="0"/>
  </r>
  <r>
    <d v="2009-07-31T00:00:00"/>
    <n v="2009"/>
    <x v="14"/>
    <s v="R"/>
    <s v="RS"/>
    <x v="4"/>
    <s v="MIN"/>
    <s v="H"/>
    <n v="8"/>
    <n v="2"/>
    <n v="6"/>
    <n v="-6"/>
    <n v="16"/>
    <n v="-16"/>
    <n v="1509.6166579220912"/>
    <n v="1497.9540344166417"/>
    <n v="0.67587636494475001"/>
    <n v="91"/>
    <n v="83"/>
    <n v="0"/>
    <n v="8"/>
    <n v="1"/>
    <n v="0.38457787915871189"/>
    <n v="1"/>
    <n v="73.75"/>
    <n v="73.75"/>
    <n v="9.192995036413576"/>
    <n v="1518.8096529585048"/>
    <n v="1"/>
    <n v="0"/>
    <n v="0"/>
    <n v="0"/>
    <n v="0"/>
    <n v="0"/>
    <n v="0"/>
    <n v="0"/>
    <n v="0"/>
    <n v="0"/>
  </r>
  <r>
    <d v="2009-08-01T00:00:00"/>
    <n v="2009"/>
    <x v="17"/>
    <s v="R"/>
    <s v="RS"/>
    <x v="12"/>
    <s v="ATL"/>
    <s v="A"/>
    <n v="1"/>
    <n v="1"/>
    <n v="0"/>
    <n v="0"/>
    <n v="0"/>
    <n v="0"/>
    <n v="1450.339238108196"/>
    <n v="1462.5501661123747"/>
    <n v="0.36497520594849014"/>
    <n v="83"/>
    <n v="89"/>
    <n v="0"/>
    <n v="-6"/>
    <n v="0"/>
    <n v="0.34774221513018477"/>
    <n v="1"/>
    <n v="73.3"/>
    <n v="73.3"/>
    <n v="-9.3030371066162409"/>
    <n v="1441.0362010015797"/>
    <n v="0"/>
    <n v="1"/>
    <n v="0"/>
    <n v="0"/>
    <n v="0"/>
    <n v="0"/>
    <n v="0"/>
    <n v="0"/>
    <n v="0"/>
    <n v="0"/>
  </r>
  <r>
    <d v="2009-08-01T00:00:00"/>
    <n v="2009"/>
    <x v="19"/>
    <s v="R"/>
    <s v="RS"/>
    <x v="1"/>
    <s v="NYL"/>
    <s v="H"/>
    <n v="1"/>
    <n v="1"/>
    <n v="0"/>
    <n v="0"/>
    <n v="0"/>
    <n v="0"/>
    <n v="1462.5501661123747"/>
    <n v="1450.339238108196"/>
    <n v="0.63502479405150991"/>
    <n v="89"/>
    <n v="83"/>
    <n v="0"/>
    <n v="6"/>
    <n v="1"/>
    <n v="0.34774221513018477"/>
    <n v="1"/>
    <n v="73"/>
    <n v="73"/>
    <n v="9.264961920641003"/>
    <n v="1471.8151280330158"/>
    <n v="1"/>
    <n v="0"/>
    <n v="0"/>
    <n v="0"/>
    <n v="0"/>
    <n v="0"/>
    <n v="0"/>
    <n v="0"/>
    <n v="0"/>
    <n v="0"/>
  </r>
  <r>
    <d v="2009-08-01T00:00:00"/>
    <n v="2009"/>
    <x v="17"/>
    <s v="R"/>
    <s v="RS"/>
    <x v="3"/>
    <s v="CHI"/>
    <s v="A"/>
    <n v="1"/>
    <n v="2"/>
    <n v="-1"/>
    <n v="1"/>
    <n v="-8"/>
    <n v="8"/>
    <n v="1524.7479942996067"/>
    <n v="1435.7893564003198"/>
    <n v="0.48411554973905052"/>
    <n v="72"/>
    <n v="84"/>
    <n v="0"/>
    <n v="-12"/>
    <n v="0"/>
    <n v="0.42464925995136288"/>
    <n v="1"/>
    <n v="73.3"/>
    <n v="73.3"/>
    <n v="-15.068963417695645"/>
    <n v="1509.6790308819111"/>
    <n v="0"/>
    <n v="1"/>
    <n v="0"/>
    <n v="0"/>
    <n v="0"/>
    <n v="0"/>
    <n v="0"/>
    <n v="0"/>
    <n v="0"/>
    <n v="0"/>
  </r>
  <r>
    <d v="2009-08-01T00:00:00"/>
    <n v="2009"/>
    <x v="19"/>
    <s v="R"/>
    <s v="RS"/>
    <x v="6"/>
    <s v="CON"/>
    <s v="H"/>
    <n v="2"/>
    <n v="1"/>
    <n v="1"/>
    <n v="-1"/>
    <n v="8"/>
    <n v="-8"/>
    <n v="1435.7893564003198"/>
    <n v="1524.7479942996067"/>
    <n v="0.51588445026094942"/>
    <n v="84"/>
    <n v="72"/>
    <n v="0"/>
    <n v="12"/>
    <n v="1"/>
    <n v="0.42464925995136288"/>
    <n v="1"/>
    <n v="73"/>
    <n v="73"/>
    <n v="15.007289624717359"/>
    <n v="1450.796646025037"/>
    <n v="1"/>
    <n v="0"/>
    <n v="0"/>
    <n v="0"/>
    <n v="0"/>
    <n v="0"/>
    <n v="0"/>
    <n v="0"/>
    <n v="0"/>
    <n v="0"/>
  </r>
  <r>
    <d v="2009-08-01T00:00:00"/>
    <n v="2009"/>
    <x v="20"/>
    <s v="R"/>
    <s v="RS"/>
    <x v="9"/>
    <s v="MIN"/>
    <s v="A"/>
    <n v="1"/>
    <n v="0"/>
    <n v="1"/>
    <n v="-1"/>
    <n v="8"/>
    <n v="-8"/>
    <n v="1575.9400238399451"/>
    <n v="1488.8358298483208"/>
    <n v="0.52746547022024848"/>
    <n v="87"/>
    <n v="74"/>
    <n v="0"/>
    <n v="13"/>
    <n v="1"/>
    <n v="0.44009840805524347"/>
    <n v="1"/>
    <n v="72.849999999999994"/>
    <n v="72.849999999999994"/>
    <n v="15.150009430279642"/>
    <n v="1591.0900332702247"/>
    <n v="1"/>
    <n v="0"/>
    <n v="0"/>
    <n v="0"/>
    <n v="0"/>
    <n v="0"/>
    <n v="0"/>
    <n v="0"/>
    <n v="0"/>
    <n v="0"/>
  </r>
  <r>
    <d v="2009-08-01T00:00:00"/>
    <n v="2009"/>
    <x v="19"/>
    <s v="R"/>
    <s v="RS"/>
    <x v="7"/>
    <s v="PHX"/>
    <s v="H"/>
    <n v="0"/>
    <n v="1"/>
    <n v="-1"/>
    <n v="1"/>
    <n v="-8"/>
    <n v="8"/>
    <n v="1488.8358298483208"/>
    <n v="1575.9400238399451"/>
    <n v="0.47253452977975158"/>
    <n v="74"/>
    <n v="87"/>
    <n v="0"/>
    <n v="-13"/>
    <n v="0"/>
    <n v="0.44009840805524347"/>
    <n v="1"/>
    <n v="73"/>
    <n v="73"/>
    <n v="-15.181203684425725"/>
    <n v="1473.654626163895"/>
    <n v="0"/>
    <n v="1"/>
    <n v="0"/>
    <n v="0"/>
    <n v="0"/>
    <n v="0"/>
    <n v="0"/>
    <n v="0"/>
    <n v="0"/>
    <n v="0"/>
  </r>
  <r>
    <d v="2009-08-01T00:00:00"/>
    <n v="2009"/>
    <x v="15"/>
    <s v="R"/>
    <s v="RS"/>
    <x v="5"/>
    <s v="SAC"/>
    <s v="A"/>
    <n v="2"/>
    <n v="1"/>
    <n v="1"/>
    <n v="-1"/>
    <n v="8"/>
    <n v="-8"/>
    <n v="1492.9710964821252"/>
    <n v="1431.1017096363887"/>
    <n v="0.49117825401558768"/>
    <n v="59"/>
    <n v="56"/>
    <n v="0"/>
    <n v="3"/>
    <n v="1"/>
    <n v="0.27595583897069337"/>
    <n v="1"/>
    <n v="73.599999999999994"/>
    <n v="73.599999999999994"/>
    <n v="10.334347620455087"/>
    <n v="1503.3054441025802"/>
    <n v="1"/>
    <n v="0"/>
    <n v="0"/>
    <n v="0"/>
    <n v="0"/>
    <n v="0"/>
    <n v="0"/>
    <n v="0"/>
    <n v="0"/>
    <n v="0"/>
  </r>
  <r>
    <d v="2009-08-01T00:00:00"/>
    <n v="2009"/>
    <x v="20"/>
    <s v="R"/>
    <s v="RS"/>
    <x v="11"/>
    <s v="LAS"/>
    <s v="H"/>
    <n v="1"/>
    <n v="2"/>
    <n v="-1"/>
    <n v="1"/>
    <n v="-8"/>
    <n v="8"/>
    <n v="1431.1017096363887"/>
    <n v="1492.9710964821252"/>
    <n v="0.50882174598441232"/>
    <n v="56"/>
    <n v="59"/>
    <n v="0"/>
    <n v="-3"/>
    <n v="0"/>
    <n v="0.27595583897069337"/>
    <n v="1"/>
    <n v="72.849999999999994"/>
    <n v="72.849999999999994"/>
    <n v="-10.229038371605341"/>
    <n v="1420.8726712647833"/>
    <n v="0"/>
    <n v="1"/>
    <n v="0"/>
    <n v="0"/>
    <n v="0"/>
    <n v="0"/>
    <n v="0"/>
    <n v="0"/>
    <n v="0"/>
    <n v="0"/>
  </r>
  <r>
    <d v="2009-08-01T00:00:00"/>
    <n v="2009"/>
    <x v="17"/>
    <s v="R"/>
    <s v="RS"/>
    <x v="8"/>
    <s v="SEA"/>
    <s v="A"/>
    <n v="1"/>
    <n v="3"/>
    <n v="-2"/>
    <n v="2"/>
    <n v="-16"/>
    <n v="16"/>
    <n v="1510.2011946443863"/>
    <n v="1562.9249479609177"/>
    <n v="0.27463102278961887"/>
    <n v="82"/>
    <n v="85"/>
    <n v="1"/>
    <n v="-3"/>
    <n v="0"/>
    <n v="0.25017343365358613"/>
    <n v="1"/>
    <n v="73.3"/>
    <n v="73.3"/>
    <n v="-5.0361047908002128"/>
    <n v="1505.1650898535861"/>
    <n v="0"/>
    <n v="1"/>
    <n v="0"/>
    <n v="0"/>
    <n v="0"/>
    <n v="0"/>
    <n v="0"/>
    <n v="0"/>
    <n v="0"/>
    <n v="0"/>
  </r>
  <r>
    <d v="2009-08-01T00:00:00"/>
    <n v="2009"/>
    <x v="18"/>
    <s v="R"/>
    <s v="RS"/>
    <x v="10"/>
    <s v="SAS"/>
    <s v="H"/>
    <n v="3"/>
    <n v="1"/>
    <n v="2"/>
    <n v="-2"/>
    <n v="16"/>
    <n v="-16"/>
    <n v="1562.9249479609177"/>
    <n v="1510.2011946443863"/>
    <n v="0.72536897721038118"/>
    <n v="85"/>
    <n v="82"/>
    <n v="1"/>
    <n v="3"/>
    <n v="1"/>
    <n v="0.25017343365358613"/>
    <n v="1"/>
    <n v="73.150000000000006"/>
    <n v="73.150000000000006"/>
    <n v="5.0257989829063519"/>
    <n v="1567.950746943824"/>
    <n v="1"/>
    <n v="0"/>
    <n v="0"/>
    <n v="0"/>
    <n v="0"/>
    <n v="0"/>
    <n v="0"/>
    <n v="0"/>
    <n v="0"/>
    <n v="0"/>
  </r>
  <r>
    <d v="2009-08-02T00:00:00"/>
    <n v="2009"/>
    <x v="18"/>
    <s v="R"/>
    <s v="RS"/>
    <x v="3"/>
    <s v="DET"/>
    <s v="A"/>
    <n v="0"/>
    <n v="1"/>
    <n v="-1"/>
    <n v="1"/>
    <n v="-8"/>
    <n v="8"/>
    <n v="1509.6790308819111"/>
    <n v="1518.8096529585048"/>
    <n v="0.34791735162729254"/>
    <n v="83"/>
    <n v="65"/>
    <n v="0"/>
    <n v="18"/>
    <n v="1"/>
    <n v="0.54270457349315049"/>
    <n v="1"/>
    <n v="73.150000000000006"/>
    <n v="73.150000000000006"/>
    <n v="25.886924431754888"/>
    <n v="1535.5659553136659"/>
    <n v="1"/>
    <n v="0"/>
    <n v="0"/>
    <n v="0"/>
    <n v="0"/>
    <n v="0"/>
    <n v="0"/>
    <n v="0"/>
    <n v="0"/>
    <n v="0"/>
  </r>
  <r>
    <d v="2009-08-02T00:00:00"/>
    <n v="2009"/>
    <x v="15"/>
    <s v="R"/>
    <s v="RS"/>
    <x v="4"/>
    <s v="CON"/>
    <s v="H"/>
    <n v="1"/>
    <n v="0"/>
    <n v="1"/>
    <n v="-1"/>
    <n v="8"/>
    <n v="-8"/>
    <n v="1518.8096529585048"/>
    <n v="1509.6790308819111"/>
    <n v="0.65208264837270746"/>
    <n v="65"/>
    <n v="83"/>
    <n v="0"/>
    <n v="-18"/>
    <n v="0"/>
    <n v="0.54270457349315049"/>
    <n v="1"/>
    <n v="73.599999999999994"/>
    <n v="73.599999999999994"/>
    <n v="-26.046174137760215"/>
    <n v="1492.7634788207445"/>
    <n v="0"/>
    <n v="1"/>
    <n v="0"/>
    <n v="0"/>
    <n v="0"/>
    <n v="0"/>
    <n v="0"/>
    <n v="0"/>
    <n v="0"/>
    <n v="0"/>
  </r>
  <r>
    <d v="2009-08-02T00:00:00"/>
    <n v="2009"/>
    <x v="18"/>
    <s v="R"/>
    <s v="RS"/>
    <x v="0"/>
    <s v="WAS"/>
    <s v="A"/>
    <n v="2"/>
    <n v="2"/>
    <n v="0"/>
    <n v="0"/>
    <n v="0"/>
    <n v="0"/>
    <n v="1590.0768713200621"/>
    <n v="1472.8035224709536"/>
    <n v="0.54773834188578896"/>
    <n v="87"/>
    <n v="79"/>
    <n v="0"/>
    <n v="8"/>
    <n v="1"/>
    <n v="0.35374483391069023"/>
    <n v="1"/>
    <n v="73.150000000000006"/>
    <n v="73.150000000000006"/>
    <n v="11.702919218536369"/>
    <n v="1601.7797905385985"/>
    <n v="1"/>
    <n v="0"/>
    <n v="0"/>
    <n v="0"/>
    <n v="0"/>
    <n v="0"/>
    <n v="0"/>
    <n v="0"/>
    <n v="0"/>
    <n v="0"/>
  </r>
  <r>
    <d v="2009-08-02T00:00:00"/>
    <n v="2009"/>
    <x v="18"/>
    <s v="R"/>
    <s v="RS"/>
    <x v="2"/>
    <s v="IND"/>
    <s v="H"/>
    <n v="2"/>
    <n v="2"/>
    <n v="0"/>
    <n v="0"/>
    <n v="0"/>
    <n v="0"/>
    <n v="1472.8035224709536"/>
    <n v="1590.0768713200621"/>
    <n v="0.4522616581142111"/>
    <n v="79"/>
    <n v="87"/>
    <n v="0"/>
    <n v="-8"/>
    <n v="0"/>
    <n v="0.35374483391069023"/>
    <n v="1"/>
    <n v="73.150000000000006"/>
    <n v="73.150000000000006"/>
    <n v="-11.702919218536371"/>
    <n v="1461.1006032524172"/>
    <n v="0"/>
    <n v="1"/>
    <n v="0"/>
    <n v="0"/>
    <n v="0"/>
    <n v="0"/>
    <n v="0"/>
    <n v="0"/>
    <n v="0"/>
    <n v="0"/>
  </r>
  <r>
    <d v="2009-08-04T00:00:00"/>
    <n v="2009"/>
    <x v="18"/>
    <s v="R"/>
    <s v="RS"/>
    <x v="12"/>
    <s v="DET"/>
    <s v="A"/>
    <n v="2"/>
    <n v="1"/>
    <n v="1"/>
    <n v="-1"/>
    <n v="8"/>
    <n v="-8"/>
    <n v="1441.0362010015797"/>
    <n v="1492.7634788207445"/>
    <n v="0.33420981192232802"/>
    <n v="64"/>
    <n v="76"/>
    <n v="0"/>
    <n v="-12"/>
    <n v="0"/>
    <n v="0.43728002208714706"/>
    <n v="1"/>
    <n v="73.150000000000006"/>
    <n v="73.150000000000006"/>
    <n v="-10.690380488647863"/>
    <n v="1430.3458205129318"/>
    <n v="0"/>
    <n v="1"/>
    <n v="0"/>
    <n v="0"/>
    <n v="0"/>
    <n v="0"/>
    <n v="0"/>
    <n v="0"/>
    <n v="0"/>
    <n v="0"/>
  </r>
  <r>
    <d v="2009-08-04T00:00:00"/>
    <n v="2009"/>
    <x v="16"/>
    <s v="R"/>
    <s v="RS"/>
    <x v="4"/>
    <s v="NYL"/>
    <s v="H"/>
    <n v="1"/>
    <n v="2"/>
    <n v="-1"/>
    <n v="1"/>
    <n v="-8"/>
    <n v="8"/>
    <n v="1492.7634788207445"/>
    <n v="1441.0362010015797"/>
    <n v="0.66579018807767198"/>
    <n v="76"/>
    <n v="64"/>
    <n v="0"/>
    <n v="12"/>
    <n v="1"/>
    <n v="0.43728002208714706"/>
    <n v="1"/>
    <n v="73.45"/>
    <n v="73.45"/>
    <n v="10.734223470829603"/>
    <n v="1503.4977022915741"/>
    <n v="1"/>
    <n v="0"/>
    <n v="0"/>
    <n v="0"/>
    <n v="0"/>
    <n v="0"/>
    <n v="0"/>
    <n v="0"/>
    <n v="0"/>
    <n v="0"/>
  </r>
  <r>
    <d v="2009-08-04T00:00:00"/>
    <n v="2009"/>
    <x v="18"/>
    <s v="R"/>
    <s v="RS"/>
    <x v="8"/>
    <s v="LAS"/>
    <s v="A"/>
    <n v="2"/>
    <n v="2"/>
    <n v="0"/>
    <n v="0"/>
    <n v="0"/>
    <n v="0"/>
    <n v="1505.1650898535861"/>
    <n v="1503.3054441025802"/>
    <n v="0.3839447738836913"/>
    <n v="63"/>
    <n v="59"/>
    <n v="0"/>
    <n v="4"/>
    <n v="1"/>
    <n v="0.31095085287694246"/>
    <n v="1"/>
    <n v="73.150000000000006"/>
    <n v="73.150000000000006"/>
    <n v="14.012825987248986"/>
    <n v="1519.1779158408351"/>
    <n v="1"/>
    <n v="0"/>
    <n v="0"/>
    <n v="0"/>
    <n v="0"/>
    <n v="0"/>
    <n v="0"/>
    <n v="0"/>
    <n v="0"/>
    <n v="0"/>
  </r>
  <r>
    <d v="2009-08-04T00:00:00"/>
    <n v="2009"/>
    <x v="16"/>
    <s v="R"/>
    <s v="RS"/>
    <x v="5"/>
    <s v="SAS"/>
    <s v="H"/>
    <n v="2"/>
    <n v="2"/>
    <n v="0"/>
    <n v="0"/>
    <n v="0"/>
    <n v="0"/>
    <n v="1503.3054441025802"/>
    <n v="1505.1650898535861"/>
    <n v="0.6160552261163087"/>
    <n v="59"/>
    <n v="63"/>
    <n v="0"/>
    <n v="-4"/>
    <n v="0"/>
    <n v="0.31095085287694246"/>
    <n v="1"/>
    <n v="73.45"/>
    <n v="73.45"/>
    <n v="-14.070294856643033"/>
    <n v="1489.2351492459372"/>
    <n v="0"/>
    <n v="1"/>
    <n v="0"/>
    <n v="0"/>
    <n v="0"/>
    <n v="0"/>
    <n v="0"/>
    <n v="0"/>
    <n v="0"/>
    <n v="0"/>
  </r>
  <r>
    <d v="2009-08-04T00:00:00"/>
    <n v="2009"/>
    <x v="21"/>
    <s v="R"/>
    <s v="RS"/>
    <x v="9"/>
    <s v="SEA"/>
    <s v="A"/>
    <n v="2"/>
    <n v="2"/>
    <n v="0"/>
    <n v="0"/>
    <n v="0"/>
    <n v="0"/>
    <n v="1591.0900332702247"/>
    <n v="1567.950746943824"/>
    <n v="0.41329938513076792"/>
    <n v="101"/>
    <n v="90"/>
    <n v="1"/>
    <n v="11"/>
    <n v="1"/>
    <n v="0.38836365832458408"/>
    <n v="1"/>
    <n v="72.7"/>
    <n v="72.7"/>
    <n v="16.564927431488972"/>
    <n v="1607.6549607017137"/>
    <n v="1"/>
    <n v="0"/>
    <n v="0"/>
    <n v="0"/>
    <n v="0"/>
    <n v="0"/>
    <n v="0"/>
    <n v="0"/>
    <n v="0"/>
    <n v="0"/>
  </r>
  <r>
    <d v="2009-08-04T00:00:00"/>
    <n v="2009"/>
    <x v="19"/>
    <s v="R"/>
    <s v="RS"/>
    <x v="10"/>
    <s v="PHX"/>
    <s v="H"/>
    <n v="2"/>
    <n v="2"/>
    <n v="0"/>
    <n v="0"/>
    <n v="0"/>
    <n v="0"/>
    <n v="1567.950746943824"/>
    <n v="1591.0900332702247"/>
    <n v="0.58670061486923208"/>
    <n v="90"/>
    <n v="101"/>
    <n v="1"/>
    <n v="-11"/>
    <n v="0"/>
    <n v="0.38836365832458408"/>
    <n v="1"/>
    <n v="73"/>
    <n v="73"/>
    <n v="-16.633283390628542"/>
    <n v="1551.3174635531955"/>
    <n v="0"/>
    <n v="1"/>
    <n v="0"/>
    <n v="0"/>
    <n v="0"/>
    <n v="0"/>
    <n v="0"/>
    <n v="0"/>
    <n v="0"/>
    <n v="0"/>
  </r>
  <r>
    <d v="2009-08-05T00:00:00"/>
    <n v="2009"/>
    <x v="20"/>
    <s v="R"/>
    <s v="RS"/>
    <x v="6"/>
    <s v="IND"/>
    <s v="A"/>
    <n v="3"/>
    <n v="2"/>
    <n v="1"/>
    <n v="-1"/>
    <n v="8"/>
    <n v="-8"/>
    <n v="1450.796646025037"/>
    <n v="1601.7797905385985"/>
    <n v="0.22087607625731834"/>
    <n v="67"/>
    <n v="76"/>
    <n v="0"/>
    <n v="-9"/>
    <n v="0"/>
    <n v="0.36060097015651638"/>
    <n v="1"/>
    <n v="72.849999999999994"/>
    <n v="72.849999999999994"/>
    <n v="-5.8023660798336056"/>
    <n v="1444.9942799452035"/>
    <n v="0"/>
    <n v="1"/>
    <n v="0"/>
    <n v="0"/>
    <n v="0"/>
    <n v="0"/>
    <n v="0"/>
    <n v="0"/>
    <n v="0"/>
    <n v="0"/>
  </r>
  <r>
    <d v="2009-08-05T00:00:00"/>
    <n v="2009"/>
    <x v="19"/>
    <s v="R"/>
    <s v="RS"/>
    <x v="0"/>
    <s v="CHI"/>
    <s v="H"/>
    <n v="2"/>
    <n v="3"/>
    <n v="-1"/>
    <n v="1"/>
    <n v="-8"/>
    <n v="8"/>
    <n v="1601.7797905385985"/>
    <n v="1450.796646025037"/>
    <n v="0.77912392374268169"/>
    <n v="76"/>
    <n v="67"/>
    <n v="0"/>
    <n v="9"/>
    <n v="1"/>
    <n v="0.36060097015651638"/>
    <n v="1"/>
    <n v="73"/>
    <n v="73"/>
    <n v="5.8143132989410189"/>
    <n v="1607.5941038375395"/>
    <n v="1"/>
    <n v="0"/>
    <n v="0"/>
    <n v="0"/>
    <n v="0"/>
    <n v="0"/>
    <n v="0"/>
    <n v="0"/>
    <n v="0"/>
    <n v="0"/>
  </r>
  <r>
    <d v="2009-08-06T00:00:00"/>
    <n v="2009"/>
    <x v="20"/>
    <s v="R"/>
    <s v="RS"/>
    <x v="10"/>
    <s v="LAS"/>
    <s v="A"/>
    <n v="1"/>
    <n v="1"/>
    <n v="0"/>
    <n v="0"/>
    <n v="0"/>
    <n v="0"/>
    <n v="1551.3174635531955"/>
    <n v="1489.2351492459372"/>
    <n v="0.46849969004286812"/>
    <n v="75"/>
    <n v="79"/>
    <n v="1"/>
    <n v="-4"/>
    <n v="0"/>
    <n v="0.26650191503618897"/>
    <n v="1"/>
    <n v="72.849999999999994"/>
    <n v="72.849999999999994"/>
    <n v="-9.0957643054022839"/>
    <n v="1542.2216992477931"/>
    <n v="0"/>
    <n v="1"/>
    <n v="0"/>
    <n v="0"/>
    <n v="0"/>
    <n v="0"/>
    <n v="0"/>
    <n v="0"/>
    <n v="0"/>
    <n v="0"/>
  </r>
  <r>
    <d v="2009-08-06T00:00:00"/>
    <n v="2009"/>
    <x v="17"/>
    <s v="R"/>
    <s v="RS"/>
    <x v="5"/>
    <s v="SEA"/>
    <s v="H"/>
    <n v="1"/>
    <n v="1"/>
    <n v="0"/>
    <n v="0"/>
    <n v="0"/>
    <n v="0"/>
    <n v="1489.2351492459372"/>
    <n v="1551.3174635531955"/>
    <n v="0.53150030995713182"/>
    <n v="79"/>
    <n v="75"/>
    <n v="1"/>
    <n v="4"/>
    <n v="1"/>
    <n v="0.26650191503618897"/>
    <n v="1"/>
    <n v="73.3"/>
    <n v="73.3"/>
    <n v="9.1519495344679136"/>
    <n v="1498.387098780405"/>
    <n v="1"/>
    <n v="0"/>
    <n v="0"/>
    <n v="0"/>
    <n v="0"/>
    <n v="0"/>
    <n v="0"/>
    <n v="0"/>
    <n v="0"/>
    <n v="0"/>
  </r>
  <r>
    <d v="2009-08-06T00:00:00"/>
    <n v="2009"/>
    <x v="20"/>
    <s v="R"/>
    <s v="RS"/>
    <x v="1"/>
    <s v="SAS"/>
    <s v="A"/>
    <n v="4"/>
    <n v="1"/>
    <n v="3"/>
    <n v="-3"/>
    <n v="16"/>
    <n v="-16"/>
    <n v="1471.8151280330158"/>
    <n v="1519.1779158408351"/>
    <n v="0.36078049439462317"/>
    <n v="92"/>
    <n v="84"/>
    <n v="0"/>
    <n v="8"/>
    <n v="1"/>
    <n v="0.37357106253148842"/>
    <n v="1"/>
    <n v="72.849999999999994"/>
    <n v="72.849999999999994"/>
    <n v="17.396136336204314"/>
    <n v="1489.2112643692201"/>
    <n v="1"/>
    <n v="0"/>
    <n v="0"/>
    <n v="0"/>
    <n v="0"/>
    <n v="0"/>
    <n v="0"/>
    <n v="0"/>
    <n v="0"/>
    <n v="0"/>
  </r>
  <r>
    <d v="2009-08-06T00:00:00"/>
    <n v="2009"/>
    <x v="19"/>
    <s v="R"/>
    <s v="RS"/>
    <x v="8"/>
    <s v="ATL"/>
    <s v="H"/>
    <n v="1"/>
    <n v="4"/>
    <n v="-3"/>
    <n v="3"/>
    <n v="-16"/>
    <n v="16"/>
    <n v="1519.1779158408351"/>
    <n v="1471.8151280330158"/>
    <n v="0.63921950560537688"/>
    <n v="84"/>
    <n v="92"/>
    <n v="0"/>
    <n v="-8"/>
    <n v="0"/>
    <n v="0.37357106253148842"/>
    <n v="1"/>
    <n v="73"/>
    <n v="73"/>
    <n v="-17.431955422689295"/>
    <n v="1501.7459604181458"/>
    <n v="0"/>
    <n v="1"/>
    <n v="0"/>
    <n v="0"/>
    <n v="0"/>
    <n v="0"/>
    <n v="0"/>
    <n v="0"/>
    <n v="0"/>
    <n v="0"/>
  </r>
  <r>
    <d v="2009-08-07T00:00:00"/>
    <n v="2009"/>
    <x v="19"/>
    <s v="R"/>
    <s v="RS"/>
    <x v="3"/>
    <s v="MIN"/>
    <s v="A"/>
    <n v="4"/>
    <n v="5"/>
    <n v="-1"/>
    <n v="1"/>
    <n v="-8"/>
    <n v="8"/>
    <n v="1535.5659553136659"/>
    <n v="1473.654626163895"/>
    <n v="0.44540453627808357"/>
    <n v="88"/>
    <n v="95"/>
    <n v="0"/>
    <n v="-7"/>
    <n v="0"/>
    <n v="0.35194913994775007"/>
    <n v="1"/>
    <n v="73"/>
    <n v="73"/>
    <n v="-11.44346127344855"/>
    <n v="1524.1224940402174"/>
    <n v="0"/>
    <n v="1"/>
    <n v="0"/>
    <n v="0"/>
    <n v="0"/>
    <n v="0"/>
    <n v="0"/>
    <n v="0"/>
    <n v="0"/>
    <n v="0"/>
  </r>
  <r>
    <d v="2009-08-07T00:00:00"/>
    <n v="2009"/>
    <x v="20"/>
    <s v="R"/>
    <s v="RS"/>
    <x v="7"/>
    <s v="CON"/>
    <s v="H"/>
    <n v="5"/>
    <n v="4"/>
    <n v="1"/>
    <n v="-1"/>
    <n v="8"/>
    <n v="-8"/>
    <n v="1473.654626163895"/>
    <n v="1535.5659553136659"/>
    <n v="0.55459546372191637"/>
    <n v="95"/>
    <n v="88"/>
    <n v="0"/>
    <n v="7"/>
    <n v="1"/>
    <n v="0.35194913994775007"/>
    <n v="1"/>
    <n v="72.849999999999994"/>
    <n v="72.849999999999994"/>
    <n v="11.419947311927766"/>
    <n v="1485.0745734758227"/>
    <n v="1"/>
    <n v="0"/>
    <n v="0"/>
    <n v="0"/>
    <n v="0"/>
    <n v="0"/>
    <n v="0"/>
    <n v="0"/>
    <n v="0"/>
    <n v="0"/>
  </r>
  <r>
    <d v="2009-08-07T00:00:00"/>
    <n v="2009"/>
    <x v="19"/>
    <s v="R"/>
    <s v="RS"/>
    <x v="12"/>
    <s v="SAC"/>
    <s v="A"/>
    <n v="2"/>
    <n v="5"/>
    <n v="-3"/>
    <n v="3"/>
    <n v="-16"/>
    <n v="16"/>
    <n v="1430.3458205129318"/>
    <n v="1420.8726712647833"/>
    <n v="0.35132551356593023"/>
    <n v="84"/>
    <n v="66"/>
    <n v="0"/>
    <n v="18"/>
    <n v="1"/>
    <n v="0.54255087759451559"/>
    <n v="1"/>
    <n v="73"/>
    <n v="73"/>
    <n v="25.691540567822265"/>
    <n v="1456.0373610807542"/>
    <n v="1"/>
    <n v="0"/>
    <n v="0"/>
    <n v="0"/>
    <n v="0"/>
    <n v="0"/>
    <n v="0"/>
    <n v="0"/>
    <n v="0"/>
    <n v="0"/>
  </r>
  <r>
    <d v="2009-08-07T00:00:00"/>
    <n v="2009"/>
    <x v="21"/>
    <s v="R"/>
    <s v="RS"/>
    <x v="11"/>
    <s v="NYL"/>
    <s v="H"/>
    <n v="5"/>
    <n v="2"/>
    <n v="3"/>
    <n v="-3"/>
    <n v="16"/>
    <n v="-16"/>
    <n v="1420.8726712647833"/>
    <n v="1430.3458205129318"/>
    <n v="0.64867448643406977"/>
    <n v="66"/>
    <n v="84"/>
    <n v="0"/>
    <n v="-18"/>
    <n v="0"/>
    <n v="0.54255087759451559"/>
    <n v="1"/>
    <n v="72.7"/>
    <n v="72.7"/>
    <n v="-25.585958894255874"/>
    <n v="1395.2867123705275"/>
    <n v="0"/>
    <n v="1"/>
    <n v="0"/>
    <n v="0"/>
    <n v="0"/>
    <n v="0"/>
    <n v="0"/>
    <n v="0"/>
    <n v="0"/>
    <n v="0"/>
  </r>
  <r>
    <d v="2009-08-07T00:00:00"/>
    <n v="2009"/>
    <x v="17"/>
    <s v="R"/>
    <s v="RS"/>
    <x v="4"/>
    <s v="WAS"/>
    <s v="A"/>
    <n v="2"/>
    <n v="4"/>
    <n v="-2"/>
    <n v="2"/>
    <n v="-16"/>
    <n v="16"/>
    <n v="1503.4977022915741"/>
    <n v="1461.1006032524172"/>
    <n v="0.39563354015793828"/>
    <n v="66"/>
    <n v="70"/>
    <n v="0"/>
    <n v="-4"/>
    <n v="0"/>
    <n v="0.3008050181167371"/>
    <n v="1"/>
    <n v="73.3"/>
    <n v="73.3"/>
    <n v="-8.7233270239446536"/>
    <n v="1494.7743752676295"/>
    <n v="0"/>
    <n v="1"/>
    <n v="0"/>
    <n v="0"/>
    <n v="0"/>
    <n v="0"/>
    <n v="0"/>
    <n v="0"/>
    <n v="0"/>
    <n v="0"/>
  </r>
  <r>
    <d v="2009-08-07T00:00:00"/>
    <n v="2009"/>
    <x v="19"/>
    <s v="R"/>
    <s v="RS"/>
    <x v="2"/>
    <s v="DET"/>
    <s v="H"/>
    <n v="4"/>
    <n v="2"/>
    <n v="2"/>
    <n v="-2"/>
    <n v="16"/>
    <n v="-16"/>
    <n v="1461.1006032524172"/>
    <n v="1503.4977022915741"/>
    <n v="0.60436645984206172"/>
    <n v="70"/>
    <n v="66"/>
    <n v="0"/>
    <n v="4"/>
    <n v="1"/>
    <n v="0.3008050181167371"/>
    <n v="1"/>
    <n v="73"/>
    <n v="73"/>
    <n v="8.6876244576802133"/>
    <n v="1469.7882277100973"/>
    <n v="1"/>
    <n v="0"/>
    <n v="0"/>
    <n v="0"/>
    <n v="0"/>
    <n v="0"/>
    <n v="0"/>
    <n v="0"/>
    <n v="0"/>
    <n v="0"/>
  </r>
  <r>
    <d v="2009-08-08T00:00:00"/>
    <n v="2009"/>
    <x v="21"/>
    <s v="R"/>
    <s v="RS"/>
    <x v="6"/>
    <s v="ATL"/>
    <s v="A"/>
    <n v="2"/>
    <n v="1"/>
    <n v="1"/>
    <n v="-1"/>
    <n v="8"/>
    <n v="-8"/>
    <n v="1444.9942799452035"/>
    <n v="1489.2112643692201"/>
    <n v="0.34389761058065915"/>
    <n v="82"/>
    <n v="80"/>
    <n v="0"/>
    <n v="2"/>
    <n v="1"/>
    <n v="0.25832277568562007"/>
    <n v="1"/>
    <n v="72.7"/>
    <n v="72.7"/>
    <n v="12.321646039809705"/>
    <n v="1457.3159259850131"/>
    <n v="1"/>
    <n v="0"/>
    <n v="0"/>
    <n v="0"/>
    <n v="0"/>
    <n v="0"/>
    <n v="0"/>
    <n v="0"/>
    <n v="0"/>
    <n v="0"/>
  </r>
  <r>
    <d v="2009-08-08T00:00:00"/>
    <n v="2009"/>
    <x v="21"/>
    <s v="R"/>
    <s v="RS"/>
    <x v="1"/>
    <s v="CHI"/>
    <s v="H"/>
    <n v="1"/>
    <n v="2"/>
    <n v="-1"/>
    <n v="1"/>
    <n v="-8"/>
    <n v="8"/>
    <n v="1489.2112643692201"/>
    <n v="1444.9942799452035"/>
    <n v="0.65610238941934085"/>
    <n v="80"/>
    <n v="82"/>
    <n v="0"/>
    <n v="-2"/>
    <n v="0"/>
    <n v="0.25832277568562007"/>
    <n v="1"/>
    <n v="72.7"/>
    <n v="72.7"/>
    <n v="-12.321646039809705"/>
    <n v="1476.8896183294105"/>
    <n v="0"/>
    <n v="1"/>
    <n v="0"/>
    <n v="0"/>
    <n v="0"/>
    <n v="0"/>
    <n v="0"/>
    <n v="0"/>
    <n v="0"/>
    <n v="0"/>
  </r>
  <r>
    <d v="2009-08-08T00:00:00"/>
    <n v="2009"/>
    <x v="20"/>
    <s v="R"/>
    <s v="RS"/>
    <x v="0"/>
    <s v="PHX"/>
    <s v="A"/>
    <n v="2"/>
    <n v="3"/>
    <n v="-1"/>
    <n v="1"/>
    <n v="-8"/>
    <n v="8"/>
    <n v="1607.5941038375395"/>
    <n v="1607.6549607017137"/>
    <n v="0.35985429674480113"/>
    <n v="90"/>
    <n v="83"/>
    <n v="0"/>
    <n v="7"/>
    <n v="1"/>
    <n v="0.37008840380405106"/>
    <n v="1"/>
    <n v="72.849999999999994"/>
    <n v="72.849999999999994"/>
    <n v="17.258930035712932"/>
    <n v="1624.8530338732523"/>
    <n v="1"/>
    <n v="0"/>
    <n v="0"/>
    <n v="0"/>
    <n v="0"/>
    <n v="0"/>
    <n v="0"/>
    <n v="0"/>
    <n v="0"/>
    <n v="0"/>
  </r>
  <r>
    <d v="2009-08-08T00:00:00"/>
    <n v="2009"/>
    <x v="22"/>
    <s v="R"/>
    <s v="RS"/>
    <x v="9"/>
    <s v="IND"/>
    <s v="H"/>
    <n v="3"/>
    <n v="2"/>
    <n v="1"/>
    <n v="-1"/>
    <n v="8"/>
    <n v="-8"/>
    <n v="1607.6549607017137"/>
    <n v="1607.5941038375395"/>
    <n v="0.64014570325519893"/>
    <n v="83"/>
    <n v="90"/>
    <n v="0"/>
    <n v="-7"/>
    <n v="0"/>
    <n v="0.37008840380405106"/>
    <n v="1"/>
    <n v="72.55"/>
    <n v="72.55"/>
    <n v="-17.187856885257013"/>
    <n v="1590.4671038164568"/>
    <n v="0"/>
    <n v="1"/>
    <n v="0"/>
    <n v="0"/>
    <n v="0"/>
    <n v="0"/>
    <n v="0"/>
    <n v="0"/>
    <n v="0"/>
    <n v="0"/>
  </r>
  <r>
    <d v="2009-08-08T00:00:00"/>
    <n v="2009"/>
    <x v="20"/>
    <s v="R"/>
    <s v="RS"/>
    <x v="12"/>
    <s v="SEA"/>
    <s v="A"/>
    <n v="0"/>
    <n v="1"/>
    <n v="-1"/>
    <n v="1"/>
    <n v="-8"/>
    <n v="8"/>
    <n v="1456.0373610807542"/>
    <n v="1542.2216992477931"/>
    <n v="0.2550679161567726"/>
    <n v="69"/>
    <n v="70"/>
    <n v="0"/>
    <n v="-1"/>
    <n v="0"/>
    <n v="0.22781773690070986"/>
    <n v="1"/>
    <n v="72.849999999999994"/>
    <n v="72.849999999999994"/>
    <n v="-4.2332403159693408"/>
    <n v="1451.8041207647848"/>
    <n v="0"/>
    <n v="1"/>
    <n v="0"/>
    <n v="0"/>
    <n v="0"/>
    <n v="0"/>
    <n v="0"/>
    <n v="0"/>
    <n v="0"/>
    <n v="0"/>
  </r>
  <r>
    <d v="2009-08-08T00:00:00"/>
    <n v="2009"/>
    <x v="21"/>
    <s v="R"/>
    <s v="RS"/>
    <x v="10"/>
    <s v="NYL"/>
    <s v="H"/>
    <n v="1"/>
    <n v="0"/>
    <n v="1"/>
    <n v="-1"/>
    <n v="8"/>
    <n v="-8"/>
    <n v="1542.2216992477931"/>
    <n v="1456.0373610807542"/>
    <n v="0.7449320838432274"/>
    <n v="70"/>
    <n v="69"/>
    <n v="0"/>
    <n v="1"/>
    <n v="1"/>
    <n v="0.22781773690070986"/>
    <n v="1"/>
    <n v="72.7"/>
    <n v="72.7"/>
    <n v="4.2245239666571193"/>
    <n v="1546.4462232144504"/>
    <n v="1"/>
    <n v="0"/>
    <n v="0"/>
    <n v="0"/>
    <n v="0"/>
    <n v="0"/>
    <n v="0"/>
    <n v="0"/>
    <n v="0"/>
    <n v="0"/>
  </r>
  <r>
    <d v="2009-08-09T00:00:00"/>
    <n v="2009"/>
    <x v="20"/>
    <s v="R"/>
    <s v="RS"/>
    <x v="2"/>
    <s v="CON"/>
    <s v="A"/>
    <n v="1"/>
    <n v="1"/>
    <n v="0"/>
    <n v="0"/>
    <n v="0"/>
    <n v="0"/>
    <n v="1469.7882277100973"/>
    <n v="1524.1224940402174"/>
    <n v="0.31081410276908888"/>
    <n v="67"/>
    <n v="96"/>
    <n v="0"/>
    <n v="-29"/>
    <n v="0"/>
    <n v="0.66141503607363206"/>
    <n v="1"/>
    <n v="72.849999999999994"/>
    <n v="72.849999999999994"/>
    <n v="-14.976293264501082"/>
    <n v="1454.8119344455963"/>
    <n v="0"/>
    <n v="1"/>
    <n v="0"/>
    <n v="0"/>
    <n v="0"/>
    <n v="0"/>
    <n v="0"/>
    <n v="0"/>
    <n v="0"/>
    <n v="0"/>
  </r>
  <r>
    <d v="2009-08-09T00:00:00"/>
    <n v="2009"/>
    <x v="20"/>
    <s v="R"/>
    <s v="RS"/>
    <x v="3"/>
    <s v="WAS"/>
    <s v="H"/>
    <n v="1"/>
    <n v="1"/>
    <n v="0"/>
    <n v="0"/>
    <n v="0"/>
    <n v="0"/>
    <n v="1524.1224940402174"/>
    <n v="1469.7882277100973"/>
    <n v="0.68918589723091117"/>
    <n v="96"/>
    <n v="67"/>
    <n v="0"/>
    <n v="29"/>
    <n v="1"/>
    <n v="0.66141503607363206"/>
    <n v="1"/>
    <n v="72.849999999999994"/>
    <n v="72.849999999999994"/>
    <n v="14.976293264501081"/>
    <n v="1539.0987873047184"/>
    <n v="1"/>
    <n v="0"/>
    <n v="0"/>
    <n v="0"/>
    <n v="0"/>
    <n v="0"/>
    <n v="0"/>
    <n v="0"/>
    <n v="0"/>
    <n v="0"/>
  </r>
  <r>
    <d v="2009-08-09T00:00:00"/>
    <n v="2009"/>
    <x v="22"/>
    <s v="R"/>
    <s v="RS"/>
    <x v="6"/>
    <s v="DET"/>
    <s v="A"/>
    <n v="0"/>
    <n v="1"/>
    <n v="-1"/>
    <n v="1"/>
    <n v="-8"/>
    <n v="8"/>
    <n v="1457.3159259850131"/>
    <n v="1494.7743752676295"/>
    <n v="0.31189508784275638"/>
    <n v="58"/>
    <n v="64"/>
    <n v="0"/>
    <n v="-6"/>
    <n v="0"/>
    <n v="0.34064732723233238"/>
    <n v="1"/>
    <n v="72.55"/>
    <n v="72.55"/>
    <n v="-7.7081638450658412"/>
    <n v="1449.6077621399472"/>
    <n v="0"/>
    <n v="1"/>
    <n v="0"/>
    <n v="0"/>
    <n v="0"/>
    <n v="0"/>
    <n v="0"/>
    <n v="0"/>
    <n v="0"/>
    <n v="0"/>
  </r>
  <r>
    <d v="2009-08-09T00:00:00"/>
    <n v="2009"/>
    <x v="18"/>
    <s v="R"/>
    <s v="RS"/>
    <x v="4"/>
    <s v="CHI"/>
    <s v="H"/>
    <n v="1"/>
    <n v="0"/>
    <n v="1"/>
    <n v="-1"/>
    <n v="8"/>
    <n v="-8"/>
    <n v="1494.7743752676295"/>
    <n v="1457.3159259850131"/>
    <n v="0.68810491215724368"/>
    <n v="64"/>
    <n v="58"/>
    <n v="0"/>
    <n v="6"/>
    <n v="1"/>
    <n v="0.34064732723233238"/>
    <n v="1"/>
    <n v="73.150000000000006"/>
    <n v="73.150000000000006"/>
    <n v="7.7719115818961573"/>
    <n v="1502.5462868495256"/>
    <n v="1"/>
    <n v="0"/>
    <n v="0"/>
    <n v="0"/>
    <n v="0"/>
    <n v="0"/>
    <n v="0"/>
    <n v="0"/>
    <n v="0"/>
    <n v="0"/>
  </r>
  <r>
    <d v="2009-08-09T00:00:00"/>
    <n v="2009"/>
    <x v="20"/>
    <s v="R"/>
    <s v="RS"/>
    <x v="8"/>
    <s v="MIN"/>
    <s v="A"/>
    <n v="2"/>
    <n v="1"/>
    <n v="1"/>
    <n v="-1"/>
    <n v="8"/>
    <n v="-8"/>
    <n v="1501.7459604181458"/>
    <n v="1485.0745734758227"/>
    <n v="0.42666494568103475"/>
    <n v="89"/>
    <n v="87"/>
    <n v="0"/>
    <n v="2"/>
    <n v="1"/>
    <n v="0.26417123672099668"/>
    <n v="1"/>
    <n v="72.849999999999994"/>
    <n v="72.849999999999994"/>
    <n v="11.033761221357441"/>
    <n v="1512.7797216395034"/>
    <n v="1"/>
    <n v="0"/>
    <n v="0"/>
    <n v="0"/>
    <n v="0"/>
    <n v="0"/>
    <n v="0"/>
    <n v="0"/>
    <n v="0"/>
    <n v="0"/>
  </r>
  <r>
    <d v="2009-08-09T00:00:00"/>
    <n v="2009"/>
    <x v="21"/>
    <s v="R"/>
    <s v="RS"/>
    <x v="7"/>
    <s v="SAS"/>
    <s v="H"/>
    <n v="1"/>
    <n v="2"/>
    <n v="-1"/>
    <n v="1"/>
    <n v="-8"/>
    <n v="8"/>
    <n v="1485.0745734758227"/>
    <n v="1501.7459604181458"/>
    <n v="0.57333505431896525"/>
    <n v="87"/>
    <n v="89"/>
    <n v="0"/>
    <n v="-2"/>
    <n v="0"/>
    <n v="0.26417123672099668"/>
    <n v="1"/>
    <n v="72.7"/>
    <n v="72.7"/>
    <n v="-11.011042426804202"/>
    <n v="1474.0635310490186"/>
    <n v="0"/>
    <n v="1"/>
    <n v="0"/>
    <n v="0"/>
    <n v="0"/>
    <n v="0"/>
    <n v="0"/>
    <n v="0"/>
    <n v="0"/>
    <n v="0"/>
  </r>
  <r>
    <d v="2009-08-10T00:00:00"/>
    <n v="2009"/>
    <x v="21"/>
    <s v="R"/>
    <s v="RS"/>
    <x v="0"/>
    <s v="LAS"/>
    <s v="A"/>
    <n v="1"/>
    <n v="3"/>
    <n v="-2"/>
    <n v="2"/>
    <n v="-16"/>
    <n v="16"/>
    <n v="1624.8530338732523"/>
    <n v="1498.387098780405"/>
    <n v="0.51505713723276747"/>
    <n v="63"/>
    <n v="75"/>
    <n v="0"/>
    <n v="-12"/>
    <n v="0"/>
    <n v="0.41264183060497228"/>
    <n v="1"/>
    <n v="72.7"/>
    <n v="72.7"/>
    <n v="-15.451230522101485"/>
    <n v="1609.4018033511509"/>
    <n v="0"/>
    <n v="1"/>
    <n v="0"/>
    <n v="0"/>
    <n v="0"/>
    <n v="0"/>
    <n v="0"/>
    <n v="0"/>
    <n v="0"/>
    <n v="0"/>
  </r>
  <r>
    <d v="2009-08-10T00:00:00"/>
    <n v="2009"/>
    <x v="18"/>
    <s v="R"/>
    <s v="RS"/>
    <x v="5"/>
    <s v="IND"/>
    <s v="H"/>
    <n v="3"/>
    <n v="1"/>
    <n v="2"/>
    <n v="-2"/>
    <n v="16"/>
    <n v="-16"/>
    <n v="1498.387098780405"/>
    <n v="1624.8530338732523"/>
    <n v="0.48494286276723259"/>
    <n v="75"/>
    <n v="63"/>
    <n v="0"/>
    <n v="12"/>
    <n v="1"/>
    <n v="0.41264183060497228"/>
    <n v="1"/>
    <n v="73.150000000000006"/>
    <n v="73.150000000000006"/>
    <n v="15.546870876089733"/>
    <n v="1513.9339696564948"/>
    <n v="1"/>
    <n v="0"/>
    <n v="0"/>
    <n v="0"/>
    <n v="0"/>
    <n v="0"/>
    <n v="0"/>
    <n v="0"/>
    <n v="0"/>
    <n v="0"/>
  </r>
  <r>
    <d v="2009-08-11T00:00:00"/>
    <n v="2009"/>
    <x v="21"/>
    <s v="R"/>
    <s v="RS"/>
    <x v="12"/>
    <s v="LAS"/>
    <s v="A"/>
    <n v="2"/>
    <n v="0"/>
    <n v="2"/>
    <n v="-2"/>
    <n v="16"/>
    <n v="-16"/>
    <n v="1451.8041207647848"/>
    <n v="1513.9339696564948"/>
    <n v="0.34141738930520449"/>
    <n v="65"/>
    <n v="61"/>
    <n v="0"/>
    <n v="4"/>
    <n v="1"/>
    <n v="0.29610208665362142"/>
    <n v="1"/>
    <n v="72.7"/>
    <n v="72.7"/>
    <n v="14.177058718439699"/>
    <n v="1465.9811794832244"/>
    <n v="1"/>
    <n v="0"/>
    <n v="0"/>
    <n v="0"/>
    <n v="0"/>
    <n v="0"/>
    <n v="0"/>
    <n v="0"/>
    <n v="0"/>
    <n v="0"/>
  </r>
  <r>
    <d v="2009-08-11T00:00:00"/>
    <n v="2009"/>
    <x v="19"/>
    <s v="R"/>
    <s v="RS"/>
    <x v="5"/>
    <s v="NYL"/>
    <s v="H"/>
    <n v="0"/>
    <n v="2"/>
    <n v="-2"/>
    <n v="2"/>
    <n v="-16"/>
    <n v="16"/>
    <n v="1513.9339696564948"/>
    <n v="1451.8041207647848"/>
    <n v="0.65858261069479551"/>
    <n v="61"/>
    <n v="65"/>
    <n v="0"/>
    <n v="-4"/>
    <n v="0"/>
    <n v="0.29610208665362142"/>
    <n v="1"/>
    <n v="73"/>
    <n v="73"/>
    <n v="-14.235561024017857"/>
    <n v="1499.6984086324769"/>
    <n v="0"/>
    <n v="1"/>
    <n v="0"/>
    <n v="0"/>
    <n v="0"/>
    <n v="0"/>
    <n v="0"/>
    <n v="0"/>
    <n v="0"/>
    <n v="0"/>
  </r>
  <r>
    <d v="2009-08-11T00:00:00"/>
    <n v="2009"/>
    <x v="22"/>
    <s v="R"/>
    <s v="RS"/>
    <x v="11"/>
    <s v="SAS"/>
    <s v="A"/>
    <n v="3"/>
    <n v="1"/>
    <n v="2"/>
    <n v="-2"/>
    <n v="16"/>
    <n v="-16"/>
    <n v="1395.2867123705275"/>
    <n v="1512.7797216395034"/>
    <n v="0.27374976853677235"/>
    <n v="90"/>
    <n v="73"/>
    <n v="0"/>
    <n v="17"/>
    <n v="1"/>
    <n v="0.48495929648455122"/>
    <n v="1"/>
    <n v="72.55"/>
    <n v="72.55"/>
    <n v="25.552240685921934"/>
    <n v="1420.8389530564496"/>
    <n v="1"/>
    <n v="0"/>
    <n v="0"/>
    <n v="0"/>
    <n v="0"/>
    <n v="0"/>
    <n v="0"/>
    <n v="0"/>
    <n v="0"/>
    <n v="0"/>
  </r>
  <r>
    <d v="2009-08-11T00:00:00"/>
    <n v="2009"/>
    <x v="21"/>
    <s v="R"/>
    <s v="RS"/>
    <x v="8"/>
    <s v="SAC"/>
    <s v="H"/>
    <n v="1"/>
    <n v="3"/>
    <n v="-2"/>
    <n v="2"/>
    <n v="-16"/>
    <n v="16"/>
    <n v="1512.7797216395034"/>
    <n v="1395.2867123705275"/>
    <n v="0.72625023146322765"/>
    <n v="73"/>
    <n v="90"/>
    <n v="0"/>
    <n v="-17"/>
    <n v="0"/>
    <n v="0.48495929648455122"/>
    <n v="1"/>
    <n v="72.7"/>
    <n v="72.7"/>
    <n v="-25.605070956120258"/>
    <n v="1487.1746506833831"/>
    <n v="0"/>
    <n v="1"/>
    <n v="0"/>
    <n v="0"/>
    <n v="0"/>
    <n v="0"/>
    <n v="0"/>
    <n v="0"/>
    <n v="0"/>
    <n v="0"/>
  </r>
  <r>
    <d v="2009-08-11T00:00:00"/>
    <n v="2009"/>
    <x v="19"/>
    <s v="R"/>
    <s v="RS"/>
    <x v="4"/>
    <s v="WAS"/>
    <s v="A"/>
    <n v="1"/>
    <n v="1"/>
    <n v="0"/>
    <n v="0"/>
    <n v="0"/>
    <n v="0"/>
    <n v="1502.5462868495256"/>
    <n v="1454.8119344455963"/>
    <n v="0.44799826027473316"/>
    <n v="81"/>
    <n v="77"/>
    <n v="0"/>
    <n v="4"/>
    <n v="1"/>
    <n v="0.29951830785506095"/>
    <n v="1"/>
    <n v="73"/>
    <n v="73"/>
    <n v="12.069427772136002"/>
    <n v="1514.6157146216615"/>
    <n v="1"/>
    <n v="0"/>
    <n v="0"/>
    <n v="0"/>
    <n v="0"/>
    <n v="0"/>
    <n v="0"/>
    <n v="0"/>
    <n v="0"/>
    <n v="0"/>
  </r>
  <r>
    <d v="2009-08-11T00:00:00"/>
    <n v="2009"/>
    <x v="21"/>
    <s v="R"/>
    <s v="RS"/>
    <x v="2"/>
    <s v="DET"/>
    <s v="H"/>
    <n v="1"/>
    <n v="1"/>
    <n v="0"/>
    <n v="0"/>
    <n v="0"/>
    <n v="0"/>
    <n v="1454.8119344455963"/>
    <n v="1502.5462868495256"/>
    <n v="0.55200173972526689"/>
    <n v="77"/>
    <n v="81"/>
    <n v="0"/>
    <n v="-4"/>
    <n v="0"/>
    <n v="0.29951830785506095"/>
    <n v="1"/>
    <n v="72.7"/>
    <n v="72.7"/>
    <n v="-12.019827384031338"/>
    <n v="1442.792107061565"/>
    <n v="0"/>
    <n v="1"/>
    <n v="0"/>
    <n v="0"/>
    <n v="0"/>
    <n v="0"/>
    <n v="0"/>
    <n v="0"/>
    <n v="0"/>
    <n v="0"/>
  </r>
  <r>
    <d v="2009-08-13T00:00:00"/>
    <n v="2009"/>
    <x v="20"/>
    <s v="R"/>
    <s v="RS"/>
    <x v="4"/>
    <s v="ATL"/>
    <s v="A"/>
    <n v="1"/>
    <n v="4"/>
    <n v="-3"/>
    <n v="3"/>
    <n v="-16"/>
    <n v="16"/>
    <n v="1514.6157146216615"/>
    <n v="1476.8896183294105"/>
    <n v="0.38922268223686485"/>
    <n v="75"/>
    <n v="80"/>
    <n v="0"/>
    <n v="-5"/>
    <n v="0"/>
    <n v="0.32164399841457048"/>
    <n v="1"/>
    <n v="72.849999999999994"/>
    <n v="72.849999999999994"/>
    <n v="-9.1201745335783109"/>
    <n v="1505.4955400880831"/>
    <n v="0"/>
    <n v="1"/>
    <n v="0"/>
    <n v="0"/>
    <n v="0"/>
    <n v="0"/>
    <n v="0"/>
    <n v="0"/>
    <n v="0"/>
    <n v="0"/>
  </r>
  <r>
    <d v="2009-08-13T00:00:00"/>
    <n v="2009"/>
    <x v="22"/>
    <s v="R"/>
    <s v="RS"/>
    <x v="1"/>
    <s v="DET"/>
    <s v="H"/>
    <n v="4"/>
    <n v="1"/>
    <n v="3"/>
    <n v="-3"/>
    <n v="16"/>
    <n v="-16"/>
    <n v="1476.8896183294105"/>
    <n v="1514.6157146216615"/>
    <n v="0.61077731776313515"/>
    <n v="80"/>
    <n v="75"/>
    <n v="0"/>
    <n v="5"/>
    <n v="1"/>
    <n v="0.32164399841457048"/>
    <n v="1"/>
    <n v="72.55"/>
    <n v="72.55"/>
    <n v="9.0826171916418197"/>
    <n v="1485.9722355210524"/>
    <n v="1"/>
    <n v="0"/>
    <n v="0"/>
    <n v="0"/>
    <n v="0"/>
    <n v="0"/>
    <n v="0"/>
    <n v="0"/>
    <n v="0"/>
    <n v="0"/>
  </r>
  <r>
    <d v="2009-08-13T00:00:00"/>
    <n v="2009"/>
    <x v="22"/>
    <s v="R"/>
    <s v="RS"/>
    <x v="10"/>
    <s v="CON"/>
    <s v="A"/>
    <n v="4"/>
    <n v="3"/>
    <n v="1"/>
    <n v="-1"/>
    <n v="8"/>
    <n v="-8"/>
    <n v="1546.4462232144504"/>
    <n v="1539.0987873047184"/>
    <n v="0.41358995970685719"/>
    <n v="53"/>
    <n v="64"/>
    <n v="0"/>
    <n v="-11"/>
    <n v="0"/>
    <n v="0.43715930361955824"/>
    <n v="1"/>
    <n v="72.55"/>
    <n v="72.55"/>
    <n v="-13.11738089572656"/>
    <n v="1533.3288423187239"/>
    <n v="0"/>
    <n v="1"/>
    <n v="0"/>
    <n v="0"/>
    <n v="0"/>
    <n v="0"/>
    <n v="0"/>
    <n v="0"/>
    <n v="0"/>
    <n v="0"/>
  </r>
  <r>
    <d v="2009-08-13T00:00:00"/>
    <n v="2009"/>
    <x v="21"/>
    <s v="R"/>
    <s v="RS"/>
    <x v="3"/>
    <s v="SEA"/>
    <s v="H"/>
    <n v="3"/>
    <n v="4"/>
    <n v="-1"/>
    <n v="1"/>
    <n v="-8"/>
    <n v="8"/>
    <n v="1539.0987873047184"/>
    <n v="1546.4462232144504"/>
    <n v="0.58641004029314281"/>
    <n v="64"/>
    <n v="53"/>
    <n v="0"/>
    <n v="11"/>
    <n v="1"/>
    <n v="0.43715930361955824"/>
    <n v="1"/>
    <n v="72.7"/>
    <n v="72.7"/>
    <n v="13.144501600541986"/>
    <n v="1552.2432889052604"/>
    <n v="1"/>
    <n v="0"/>
    <n v="0"/>
    <n v="0"/>
    <n v="0"/>
    <n v="0"/>
    <n v="0"/>
    <n v="0"/>
    <n v="0"/>
    <n v="0"/>
  </r>
  <r>
    <d v="2009-08-13T00:00:00"/>
    <n v="2009"/>
    <x v="22"/>
    <s v="R"/>
    <s v="RS"/>
    <x v="0"/>
    <s v="MIN"/>
    <s v="A"/>
    <n v="2"/>
    <n v="3"/>
    <n v="-1"/>
    <n v="1"/>
    <n v="-8"/>
    <n v="8"/>
    <n v="1609.4018033511509"/>
    <n v="1474.0635310490186"/>
    <n v="0.55068121194813702"/>
    <n v="91"/>
    <n v="81"/>
    <n v="0"/>
    <n v="10"/>
    <n v="1"/>
    <n v="0.38024495345540166"/>
    <n v="1"/>
    <n v="72.55"/>
    <n v="72.55"/>
    <n v="12.395254679665284"/>
    <n v="1621.7970580308161"/>
    <n v="1"/>
    <n v="0"/>
    <n v="0"/>
    <n v="0"/>
    <n v="0"/>
    <n v="0"/>
    <n v="0"/>
    <n v="0"/>
    <n v="0"/>
    <n v="0"/>
  </r>
  <r>
    <d v="2009-08-13T00:00:00"/>
    <n v="2009"/>
    <x v="22"/>
    <s v="R"/>
    <s v="RS"/>
    <x v="7"/>
    <s v="IND"/>
    <s v="H"/>
    <n v="3"/>
    <n v="2"/>
    <n v="1"/>
    <n v="-1"/>
    <n v="8"/>
    <n v="-8"/>
    <n v="1474.0635310490186"/>
    <n v="1609.4018033511509"/>
    <n v="0.44931878805186293"/>
    <n v="81"/>
    <n v="91"/>
    <n v="0"/>
    <n v="-10"/>
    <n v="0"/>
    <n v="0.38024495345540166"/>
    <n v="1"/>
    <n v="72.55"/>
    <n v="72.55"/>
    <n v="-12.395254679665284"/>
    <n v="1461.6682763693534"/>
    <n v="0"/>
    <n v="1"/>
    <n v="0"/>
    <n v="0"/>
    <n v="0"/>
    <n v="0"/>
    <n v="0"/>
    <n v="0"/>
    <n v="0"/>
    <n v="0"/>
  </r>
  <r>
    <d v="2009-08-13T00:00:00"/>
    <n v="2009"/>
    <x v="22"/>
    <s v="R"/>
    <s v="RS"/>
    <x v="8"/>
    <s v="PHX"/>
    <s v="A"/>
    <n v="1"/>
    <n v="4"/>
    <n v="-3"/>
    <n v="3"/>
    <n v="-16"/>
    <n v="16"/>
    <n v="1487.1746506833831"/>
    <n v="1590.4671038164568"/>
    <n v="0.22056981854150423"/>
    <n v="83"/>
    <n v="95"/>
    <n v="0"/>
    <n v="-12"/>
    <n v="0"/>
    <n v="0.41997890064967691"/>
    <n v="1"/>
    <n v="72.55"/>
    <n v="72.55"/>
    <n v="-6.7206453017934544"/>
    <n v="1480.4540053815897"/>
    <n v="0"/>
    <n v="1"/>
    <n v="0"/>
    <n v="0"/>
    <n v="0"/>
    <n v="0"/>
    <n v="0"/>
    <n v="0"/>
    <n v="0"/>
    <n v="0"/>
  </r>
  <r>
    <d v="2009-08-13T00:00:00"/>
    <n v="2009"/>
    <x v="23"/>
    <s v="R"/>
    <s v="RS"/>
    <x v="9"/>
    <s v="SAS"/>
    <s v="H"/>
    <n v="4"/>
    <n v="1"/>
    <n v="3"/>
    <n v="-3"/>
    <n v="16"/>
    <n v="-16"/>
    <n v="1590.4671038164568"/>
    <n v="1487.1746506833831"/>
    <n v="0.77943018145849574"/>
    <n v="95"/>
    <n v="83"/>
    <n v="0"/>
    <n v="12"/>
    <n v="1"/>
    <n v="0.41997890064967691"/>
    <n v="1"/>
    <n v="72.400000000000006"/>
    <n v="72.400000000000006"/>
    <n v="6.7067501013073212"/>
    <n v="1597.1738539177641"/>
    <n v="1"/>
    <n v="0"/>
    <n v="0"/>
    <n v="0"/>
    <n v="0"/>
    <n v="0"/>
    <n v="0"/>
    <n v="0"/>
    <n v="0"/>
    <n v="0"/>
  </r>
  <r>
    <d v="2009-08-14T00:00:00"/>
    <n v="2009"/>
    <x v="23"/>
    <s v="R"/>
    <s v="RS"/>
    <x v="11"/>
    <s v="LAS"/>
    <s v="A"/>
    <n v="2"/>
    <n v="2"/>
    <n v="0"/>
    <n v="0"/>
    <n v="0"/>
    <n v="0"/>
    <n v="1420.8389530564496"/>
    <n v="1499.6984086324769"/>
    <n v="0.28140674254122233"/>
    <n v="85"/>
    <n v="79"/>
    <n v="0"/>
    <n v="6"/>
    <n v="1"/>
    <n v="0.32961942101708136"/>
    <n v="1"/>
    <n v="72.400000000000006"/>
    <n v="72.400000000000006"/>
    <n v="17.148830047252673"/>
    <n v="1437.9877831037022"/>
    <n v="1"/>
    <n v="0"/>
    <n v="0"/>
    <n v="0"/>
    <n v="0"/>
    <n v="0"/>
    <n v="0"/>
    <n v="0"/>
    <n v="0"/>
    <n v="0"/>
  </r>
  <r>
    <d v="2009-08-14T00:00:00"/>
    <n v="2009"/>
    <x v="20"/>
    <s v="R"/>
    <s v="RS"/>
    <x v="5"/>
    <s v="SAC"/>
    <s v="H"/>
    <n v="2"/>
    <n v="2"/>
    <n v="0"/>
    <n v="0"/>
    <n v="0"/>
    <n v="0"/>
    <n v="1499.6984086324769"/>
    <n v="1420.8389530564496"/>
    <n v="0.71859325745877778"/>
    <n v="79"/>
    <n v="85"/>
    <n v="0"/>
    <n v="-6"/>
    <n v="0"/>
    <n v="0.32961942101708136"/>
    <n v="1"/>
    <n v="72.849999999999994"/>
    <n v="72.849999999999994"/>
    <n v="-17.255418079314328"/>
    <n v="1482.4429905531626"/>
    <n v="0"/>
    <n v="1"/>
    <n v="0"/>
    <n v="0"/>
    <n v="0"/>
    <n v="0"/>
    <n v="0"/>
    <n v="0"/>
    <n v="0"/>
    <n v="0"/>
  </r>
  <r>
    <d v="2009-08-14T00:00:00"/>
    <n v="2009"/>
    <x v="23"/>
    <s v="R"/>
    <s v="RS"/>
    <x v="6"/>
    <s v="NYL"/>
    <s v="A"/>
    <n v="4"/>
    <n v="2"/>
    <n v="2"/>
    <n v="-2"/>
    <n v="16"/>
    <n v="-16"/>
    <n v="1449.6077621399472"/>
    <n v="1465.9811794832244"/>
    <n v="0.40285361446240125"/>
    <n v="88"/>
    <n v="77"/>
    <n v="0"/>
    <n v="11"/>
    <n v="1"/>
    <n v="0.43391540523957733"/>
    <n v="1"/>
    <n v="72.400000000000006"/>
    <n v="72.400000000000006"/>
    <n v="18.759637548835673"/>
    <n v="1468.3673996887828"/>
    <n v="1"/>
    <n v="0"/>
    <n v="0"/>
    <n v="0"/>
    <n v="0"/>
    <n v="0"/>
    <n v="0"/>
    <n v="0"/>
    <n v="0"/>
    <n v="0"/>
  </r>
  <r>
    <d v="2009-08-14T00:00:00"/>
    <n v="2009"/>
    <x v="22"/>
    <s v="R"/>
    <s v="RS"/>
    <x v="12"/>
    <s v="CHI"/>
    <s v="H"/>
    <n v="2"/>
    <n v="4"/>
    <n v="-2"/>
    <n v="2"/>
    <n v="-16"/>
    <n v="16"/>
    <n v="1465.9811794832244"/>
    <n v="1449.6077621399472"/>
    <n v="0.5971463855375988"/>
    <n v="77"/>
    <n v="88"/>
    <n v="0"/>
    <n v="-11"/>
    <n v="0"/>
    <n v="0.43391540523957733"/>
    <n v="1"/>
    <n v="72.55"/>
    <n v="72.55"/>
    <n v="-18.798504201215859"/>
    <n v="1447.1826752820086"/>
    <n v="0"/>
    <n v="1"/>
    <n v="0"/>
    <n v="0"/>
    <n v="0"/>
    <n v="0"/>
    <n v="0"/>
    <n v="0"/>
    <n v="0"/>
    <n v="0"/>
  </r>
  <r>
    <d v="2009-08-14T00:00:00"/>
    <n v="2009"/>
    <x v="22"/>
    <s v="R"/>
    <s v="RS"/>
    <x v="3"/>
    <s v="WAS"/>
    <s v="A"/>
    <n v="0"/>
    <n v="2"/>
    <n v="-2"/>
    <n v="2"/>
    <n v="-16"/>
    <n v="16"/>
    <n v="1552.2432889052604"/>
    <n v="1442.792107061565"/>
    <n v="0.49057660905641676"/>
    <n v="89"/>
    <n v="91"/>
    <n v="1"/>
    <n v="-2"/>
    <n v="0"/>
    <n v="0.22090829386029942"/>
    <n v="1"/>
    <n v="72.55"/>
    <n v="72.55"/>
    <n v="-7.8624206463814703"/>
    <n v="1544.380868258879"/>
    <n v="0"/>
    <n v="1"/>
    <n v="0"/>
    <n v="0"/>
    <n v="0"/>
    <n v="0"/>
    <n v="0"/>
    <n v="0"/>
    <n v="0"/>
    <n v="0"/>
  </r>
  <r>
    <d v="2009-08-14T00:00:00"/>
    <n v="2009"/>
    <x v="22"/>
    <s v="R"/>
    <s v="RS"/>
    <x v="2"/>
    <s v="CON"/>
    <s v="H"/>
    <n v="2"/>
    <n v="0"/>
    <n v="2"/>
    <n v="-2"/>
    <n v="16"/>
    <n v="-16"/>
    <n v="1442.792107061565"/>
    <n v="1552.2432889052604"/>
    <n v="0.50942339094358335"/>
    <n v="91"/>
    <n v="89"/>
    <n v="1"/>
    <n v="2"/>
    <n v="1"/>
    <n v="0.22090829386029942"/>
    <n v="1"/>
    <n v="72.55"/>
    <n v="72.55"/>
    <n v="7.8624206463814685"/>
    <n v="1450.6545277079465"/>
    <n v="1"/>
    <n v="0"/>
    <n v="0"/>
    <n v="0"/>
    <n v="0"/>
    <n v="0"/>
    <n v="0"/>
    <n v="0"/>
    <n v="0"/>
    <n v="0"/>
  </r>
  <r>
    <d v="2009-08-15T00:00:00"/>
    <n v="2009"/>
    <x v="23"/>
    <s v="R"/>
    <s v="RS"/>
    <x v="10"/>
    <s v="ATL"/>
    <s v="A"/>
    <n v="1"/>
    <n v="1"/>
    <n v="0"/>
    <n v="0"/>
    <n v="0"/>
    <n v="0"/>
    <n v="1533.3288423187239"/>
    <n v="1485.9722355210524"/>
    <n v="0.44746058184259774"/>
    <n v="79"/>
    <n v="88"/>
    <n v="0"/>
    <n v="-9"/>
    <n v="0"/>
    <n v="0.3905585859904076"/>
    <n v="1"/>
    <n v="72.400000000000006"/>
    <n v="72.400000000000006"/>
    <n v="-12.652593022276438"/>
    <n v="1520.6762492964474"/>
    <n v="0"/>
    <n v="1"/>
    <n v="0"/>
    <n v="0"/>
    <n v="0"/>
    <n v="0"/>
    <n v="0"/>
    <n v="0"/>
    <n v="0"/>
    <n v="0"/>
  </r>
  <r>
    <d v="2009-08-15T00:00:00"/>
    <n v="2009"/>
    <x v="23"/>
    <s v="R"/>
    <s v="RS"/>
    <x v="1"/>
    <s v="SEA"/>
    <s v="H"/>
    <n v="1"/>
    <n v="1"/>
    <n v="0"/>
    <n v="0"/>
    <n v="0"/>
    <n v="0"/>
    <n v="1485.9722355210524"/>
    <n v="1533.3288423187239"/>
    <n v="0.55253941815740226"/>
    <n v="88"/>
    <n v="79"/>
    <n v="0"/>
    <n v="9"/>
    <n v="1"/>
    <n v="0.3905585859904076"/>
    <n v="1"/>
    <n v="72.400000000000006"/>
    <n v="72.400000000000006"/>
    <n v="12.652593022276438"/>
    <n v="1498.6248285433289"/>
    <n v="1"/>
    <n v="0"/>
    <n v="0"/>
    <n v="0"/>
    <n v="0"/>
    <n v="0"/>
    <n v="0"/>
    <n v="0"/>
    <n v="0"/>
    <n v="0"/>
  </r>
  <r>
    <d v="2009-08-15T00:00:00"/>
    <n v="2009"/>
    <x v="23"/>
    <s v="R"/>
    <s v="RS"/>
    <x v="7"/>
    <s v="CHI"/>
    <s v="A"/>
    <n v="1"/>
    <n v="0"/>
    <n v="1"/>
    <n v="-1"/>
    <n v="8"/>
    <n v="-8"/>
    <n v="1461.6682763693534"/>
    <n v="1468.3673996887828"/>
    <n v="0.39412568216795762"/>
    <n v="76"/>
    <n v="79"/>
    <n v="0"/>
    <n v="-3"/>
    <n v="0"/>
    <n v="0.28857253526509036"/>
    <n v="1"/>
    <n v="72.400000000000006"/>
    <n v="72.400000000000006"/>
    <n v="-8.23433054569945"/>
    <n v="1453.4339458236539"/>
    <n v="0"/>
    <n v="1"/>
    <n v="0"/>
    <n v="0"/>
    <n v="0"/>
    <n v="0"/>
    <n v="0"/>
    <n v="0"/>
    <n v="0"/>
    <n v="0"/>
  </r>
  <r>
    <d v="2009-08-15T00:00:00"/>
    <n v="2009"/>
    <x v="24"/>
    <s v="R"/>
    <s v="RS"/>
    <x v="6"/>
    <s v="MIN"/>
    <s v="H"/>
    <n v="0"/>
    <n v="1"/>
    <n v="-1"/>
    <n v="1"/>
    <n v="-8"/>
    <n v="8"/>
    <n v="1468.3673996887828"/>
    <n v="1461.6682763693534"/>
    <n v="0.60587431783204249"/>
    <n v="79"/>
    <n v="76"/>
    <n v="0"/>
    <n v="3"/>
    <n v="1"/>
    <n v="0.28857253526509036"/>
    <n v="1"/>
    <n v="72.25"/>
    <n v="72.25"/>
    <n v="8.2172704686020044"/>
    <n v="1476.5846701573848"/>
    <n v="1"/>
    <n v="0"/>
    <n v="0"/>
    <n v="0"/>
    <n v="0"/>
    <n v="0"/>
    <n v="0"/>
    <n v="0"/>
    <n v="0"/>
    <n v="0"/>
  </r>
  <r>
    <d v="2009-08-15T00:00:00"/>
    <n v="2009"/>
    <x v="21"/>
    <s v="R"/>
    <s v="RS"/>
    <x v="4"/>
    <s v="IND"/>
    <s v="A"/>
    <n v="1"/>
    <n v="1"/>
    <n v="0"/>
    <n v="0"/>
    <n v="0"/>
    <n v="0"/>
    <n v="1505.4955400880831"/>
    <n v="1621.7970580308161"/>
    <n v="0.23993640045021777"/>
    <n v="59"/>
    <n v="82"/>
    <n v="0"/>
    <n v="-23"/>
    <n v="0"/>
    <n v="0.56096974212138462"/>
    <n v="1"/>
    <n v="72.7"/>
    <n v="72.7"/>
    <n v="-9.7852063118788841"/>
    <n v="1495.7103337762042"/>
    <n v="0"/>
    <n v="1"/>
    <n v="0"/>
    <n v="0"/>
    <n v="0"/>
    <n v="0"/>
    <n v="0"/>
    <n v="0"/>
    <n v="0"/>
    <n v="0"/>
  </r>
  <r>
    <d v="2009-08-15T00:00:00"/>
    <n v="2009"/>
    <x v="23"/>
    <s v="R"/>
    <s v="RS"/>
    <x v="0"/>
    <s v="DET"/>
    <s v="H"/>
    <n v="1"/>
    <n v="1"/>
    <n v="0"/>
    <n v="0"/>
    <n v="0"/>
    <n v="0"/>
    <n v="1621.7970580308161"/>
    <n v="1505.4955400880831"/>
    <n v="0.7600635995497822"/>
    <n v="82"/>
    <n v="59"/>
    <n v="0"/>
    <n v="23"/>
    <n v="1"/>
    <n v="0.56096974212138462"/>
    <n v="1"/>
    <n v="72.400000000000006"/>
    <n v="72.400000000000006"/>
    <n v="9.7448271936730588"/>
    <n v="1631.5418852244891"/>
    <n v="1"/>
    <n v="0"/>
    <n v="0"/>
    <n v="0"/>
    <n v="0"/>
    <n v="0"/>
    <n v="0"/>
    <n v="0"/>
    <n v="0"/>
    <n v="0"/>
  </r>
  <r>
    <d v="2009-08-15T00:00:00"/>
    <n v="2009"/>
    <x v="21"/>
    <s v="R"/>
    <s v="RS"/>
    <x v="5"/>
    <s v="SAC"/>
    <s v="A"/>
    <n v="0"/>
    <n v="0"/>
    <n v="0"/>
    <n v="0"/>
    <n v="0"/>
    <n v="0"/>
    <n v="1482.4429905531626"/>
    <n v="1437.9877831037022"/>
    <n v="0.44333495217377705"/>
    <n v="78"/>
    <n v="61"/>
    <n v="0"/>
    <n v="17"/>
    <n v="1"/>
    <n v="0.51342184039544458"/>
    <n v="1"/>
    <n v="72.7"/>
    <n v="72.7"/>
    <n v="20.777950315727676"/>
    <n v="1503.2209408688902"/>
    <n v="1"/>
    <n v="0"/>
    <n v="0"/>
    <n v="0"/>
    <n v="0"/>
    <n v="0"/>
    <n v="0"/>
    <n v="0"/>
    <n v="0"/>
    <n v="0"/>
  </r>
  <r>
    <d v="2009-08-15T00:00:00"/>
    <n v="2009"/>
    <x v="24"/>
    <s v="R"/>
    <s v="RS"/>
    <x v="11"/>
    <s v="LAS"/>
    <s v="H"/>
    <n v="0"/>
    <n v="0"/>
    <n v="0"/>
    <n v="0"/>
    <n v="0"/>
    <n v="0"/>
    <n v="1437.9877831037022"/>
    <n v="1482.4429905531626"/>
    <n v="0.55666504782622295"/>
    <n v="61"/>
    <n v="78"/>
    <n v="0"/>
    <n v="-17"/>
    <n v="0"/>
    <n v="0.51342184039544458"/>
    <n v="1"/>
    <n v="72.25"/>
    <n v="72.25"/>
    <n v="-20.649338518725234"/>
    <n v="1417.338444584977"/>
    <n v="0"/>
    <n v="1"/>
    <n v="0"/>
    <n v="0"/>
    <n v="0"/>
    <n v="0"/>
    <n v="0"/>
    <n v="0"/>
    <n v="0"/>
    <n v="0"/>
  </r>
  <r>
    <d v="2009-08-15T00:00:00"/>
    <n v="2009"/>
    <x v="24"/>
    <s v="R"/>
    <s v="RS"/>
    <x v="9"/>
    <s v="SAS"/>
    <s v="A"/>
    <n v="1"/>
    <n v="1"/>
    <n v="0"/>
    <n v="0"/>
    <n v="0"/>
    <n v="0"/>
    <n v="1597.1738539177641"/>
    <n v="1480.4540053815897"/>
    <n v="0.54694893269745537"/>
    <n v="89"/>
    <n v="106"/>
    <n v="0"/>
    <n v="-17"/>
    <n v="0"/>
    <n v="0.4852440582624386"/>
    <n v="1"/>
    <n v="72.25"/>
    <n v="72.25"/>
    <n v="-19.175418752979535"/>
    <n v="1577.9984351647845"/>
    <n v="0"/>
    <n v="1"/>
    <n v="0"/>
    <n v="0"/>
    <n v="0"/>
    <n v="0"/>
    <n v="0"/>
    <n v="0"/>
    <n v="0"/>
    <n v="0"/>
  </r>
  <r>
    <d v="2009-08-15T00:00:00"/>
    <n v="2009"/>
    <x v="23"/>
    <s v="R"/>
    <s v="RS"/>
    <x v="8"/>
    <s v="PHX"/>
    <s v="H"/>
    <n v="1"/>
    <n v="1"/>
    <n v="0"/>
    <n v="0"/>
    <n v="0"/>
    <n v="0"/>
    <n v="1480.4540053815897"/>
    <n v="1597.1738539177641"/>
    <n v="0.45305106730254469"/>
    <n v="106"/>
    <n v="89"/>
    <n v="0"/>
    <n v="17"/>
    <n v="1"/>
    <n v="0.4852440582624386"/>
    <n v="1"/>
    <n v="72.400000000000006"/>
    <n v="72.400000000000006"/>
    <n v="19.215229310944196"/>
    <n v="1499.6692346925338"/>
    <n v="1"/>
    <n v="0"/>
    <n v="0"/>
    <n v="0"/>
    <n v="0"/>
    <n v="0"/>
    <n v="0"/>
    <n v="0"/>
    <n v="0"/>
    <n v="0"/>
  </r>
  <r>
    <d v="2009-08-16T00:00:00"/>
    <n v="2009"/>
    <x v="23"/>
    <s v="R"/>
    <s v="RS"/>
    <x v="12"/>
    <s v="WAS"/>
    <s v="A"/>
    <n v="1"/>
    <n v="1"/>
    <n v="0"/>
    <n v="0"/>
    <n v="0"/>
    <n v="0"/>
    <n v="1447.1826752820086"/>
    <n v="1450.6545277079465"/>
    <n v="0.37671182691786609"/>
    <n v="60"/>
    <n v="59"/>
    <n v="0"/>
    <n v="1"/>
    <n v="1"/>
    <n v="0.24347524586278965"/>
    <n v="1"/>
    <n v="72.400000000000006"/>
    <n v="72.400000000000006"/>
    <n v="10.987079461760811"/>
    <n v="1458.1697547437695"/>
    <n v="1"/>
    <n v="0"/>
    <n v="0"/>
    <n v="0"/>
    <n v="0"/>
    <n v="0"/>
    <n v="0"/>
    <n v="0"/>
    <n v="0"/>
    <n v="0"/>
  </r>
  <r>
    <d v="2009-08-16T00:00:00"/>
    <n v="2009"/>
    <x v="23"/>
    <s v="R"/>
    <s v="RS"/>
    <x v="2"/>
    <s v="NYL"/>
    <s v="H"/>
    <n v="1"/>
    <n v="1"/>
    <n v="0"/>
    <n v="0"/>
    <n v="0"/>
    <n v="0"/>
    <n v="1450.6545277079465"/>
    <n v="1447.1826752820086"/>
    <n v="0.6232881730821338"/>
    <n v="59"/>
    <n v="60"/>
    <n v="0"/>
    <n v="-1"/>
    <n v="0"/>
    <n v="0.24347524586278965"/>
    <n v="1"/>
    <n v="72.400000000000006"/>
    <n v="72.400000000000006"/>
    <n v="-10.987079461760807"/>
    <n v="1439.6674482461856"/>
    <n v="0"/>
    <n v="1"/>
    <n v="0"/>
    <n v="0"/>
    <n v="0"/>
    <n v="0"/>
    <n v="0"/>
    <n v="0"/>
    <n v="0"/>
    <n v="0"/>
  </r>
  <r>
    <d v="2009-08-18T00:00:00"/>
    <n v="2009"/>
    <x v="25"/>
    <s v="R"/>
    <s v="RS"/>
    <x v="9"/>
    <s v="CHI"/>
    <s v="A"/>
    <n v="2"/>
    <n v="2"/>
    <n v="0"/>
    <n v="0"/>
    <n v="0"/>
    <n v="0"/>
    <n v="1577.9984351647845"/>
    <n v="1476.5846701573848"/>
    <n v="0.52503945863470747"/>
    <n v="106"/>
    <n v="99"/>
    <n v="0"/>
    <n v="7"/>
    <n v="1"/>
    <n v="0.34126625899185781"/>
    <n v="1"/>
    <n v="72.099999999999994"/>
    <n v="72.099999999999994"/>
    <n v="11.686545313386674"/>
    <n v="1589.6849804781712"/>
    <n v="1"/>
    <n v="0"/>
    <n v="0"/>
    <n v="0"/>
    <n v="0"/>
    <n v="0"/>
    <n v="0"/>
    <n v="0"/>
    <n v="0"/>
    <n v="0"/>
  </r>
  <r>
    <d v="2009-08-18T00:00:00"/>
    <n v="2009"/>
    <x v="25"/>
    <s v="R"/>
    <s v="RS"/>
    <x v="6"/>
    <s v="PHX"/>
    <s v="H"/>
    <n v="2"/>
    <n v="2"/>
    <n v="0"/>
    <n v="0"/>
    <n v="0"/>
    <n v="0"/>
    <n v="1476.5846701573848"/>
    <n v="1577.9984351647845"/>
    <n v="0.47496054136529253"/>
    <n v="99"/>
    <n v="106"/>
    <n v="0"/>
    <n v="-7"/>
    <n v="0"/>
    <n v="0.34126625899185781"/>
    <n v="1"/>
    <n v="72.099999999999994"/>
    <n v="72.099999999999994"/>
    <n v="-11.686545313386674"/>
    <n v="1464.8981248439982"/>
    <n v="0"/>
    <n v="1"/>
    <n v="0"/>
    <n v="0"/>
    <n v="0"/>
    <n v="0"/>
    <n v="0"/>
    <n v="0"/>
    <n v="0"/>
    <n v="0"/>
  </r>
  <r>
    <d v="2009-08-18T00:00:00"/>
    <n v="2009"/>
    <x v="24"/>
    <s v="R"/>
    <s v="RS"/>
    <x v="10"/>
    <s v="DET"/>
    <s v="A"/>
    <n v="2"/>
    <n v="2"/>
    <n v="0"/>
    <n v="0"/>
    <n v="0"/>
    <n v="0"/>
    <n v="1520.6762492964474"/>
    <n v="1495.7103337762042"/>
    <n v="0.41585137822326473"/>
    <n v="79"/>
    <n v="75"/>
    <n v="0"/>
    <n v="4"/>
    <n v="1"/>
    <n v="0.30508545352132233"/>
    <n v="1"/>
    <n v="72.25"/>
    <n v="72.25"/>
    <n v="12.876051610099623"/>
    <n v="1533.5523009065471"/>
    <n v="1"/>
    <n v="0"/>
    <n v="0"/>
    <n v="0"/>
    <n v="0"/>
    <n v="0"/>
    <n v="0"/>
    <n v="0"/>
    <n v="0"/>
    <n v="0"/>
  </r>
  <r>
    <d v="2009-08-18T00:00:00"/>
    <n v="2009"/>
    <x v="22"/>
    <s v="R"/>
    <s v="RS"/>
    <x v="4"/>
    <s v="SEA"/>
    <s v="H"/>
    <n v="2"/>
    <n v="2"/>
    <n v="0"/>
    <n v="0"/>
    <n v="0"/>
    <n v="0"/>
    <n v="1495.7103337762042"/>
    <n v="1520.6762492964474"/>
    <n v="0.58414862177673532"/>
    <n v="75"/>
    <n v="79"/>
    <n v="0"/>
    <n v="-4"/>
    <n v="0"/>
    <n v="0.30508545352132233"/>
    <n v="1"/>
    <n v="72.55"/>
    <n v="72.55"/>
    <n v="-12.929516184259205"/>
    <n v="1482.7808175919449"/>
    <n v="0"/>
    <n v="1"/>
    <n v="0"/>
    <n v="0"/>
    <n v="0"/>
    <n v="0"/>
    <n v="0"/>
    <n v="0"/>
    <n v="0"/>
    <n v="0"/>
  </r>
  <r>
    <d v="2009-08-18T00:00:00"/>
    <n v="2009"/>
    <x v="24"/>
    <s v="R"/>
    <s v="RS"/>
    <x v="2"/>
    <s v="LAS"/>
    <s v="A"/>
    <n v="1"/>
    <n v="2"/>
    <n v="-1"/>
    <n v="1"/>
    <n v="-8"/>
    <n v="8"/>
    <n v="1439.6674482461856"/>
    <n v="1503.2209408688902"/>
    <n v="0.28059955156877897"/>
    <n v="69"/>
    <n v="72"/>
    <n v="0"/>
    <n v="-3"/>
    <n v="0"/>
    <n v="0.27558803592530429"/>
    <n v="1"/>
    <n v="72.25"/>
    <n v="72.25"/>
    <n v="-5.5870837793065773"/>
    <n v="1434.080364466879"/>
    <n v="0"/>
    <n v="1"/>
    <n v="0"/>
    <n v="0"/>
    <n v="0"/>
    <n v="0"/>
    <n v="0"/>
    <n v="0"/>
    <n v="0"/>
    <n v="0"/>
  </r>
  <r>
    <d v="2009-08-18T00:00:00"/>
    <n v="2009"/>
    <x v="22"/>
    <s v="R"/>
    <s v="RS"/>
    <x v="5"/>
    <s v="WAS"/>
    <s v="H"/>
    <n v="2"/>
    <n v="1"/>
    <n v="1"/>
    <n v="-1"/>
    <n v="8"/>
    <n v="-8"/>
    <n v="1503.2209408688902"/>
    <n v="1439.6674482461856"/>
    <n v="0.71940044843122108"/>
    <n v="72"/>
    <n v="69"/>
    <n v="0"/>
    <n v="3"/>
    <n v="1"/>
    <n v="0.27558803592530429"/>
    <n v="1"/>
    <n v="72.55"/>
    <n v="72.55"/>
    <n v="5.610282743096084"/>
    <n v="1508.8312236119864"/>
    <n v="1"/>
    <n v="0"/>
    <n v="0"/>
    <n v="0"/>
    <n v="0"/>
    <n v="0"/>
    <n v="0"/>
    <n v="0"/>
    <n v="0"/>
    <n v="0"/>
  </r>
  <r>
    <d v="2009-08-19T00:00:00"/>
    <n v="2009"/>
    <x v="24"/>
    <s v="R"/>
    <s v="RS"/>
    <x v="12"/>
    <s v="CON"/>
    <s v="A"/>
    <n v="2"/>
    <n v="4"/>
    <n v="-2"/>
    <n v="2"/>
    <n v="-16"/>
    <n v="16"/>
    <n v="1458.1697547437695"/>
    <n v="1544.380868258879"/>
    <n v="0.2379374637595997"/>
    <n v="69"/>
    <n v="74"/>
    <n v="0"/>
    <n v="-5"/>
    <n v="0"/>
    <n v="0.30951930547816758"/>
    <n v="1"/>
    <n v="72.25"/>
    <n v="72.25"/>
    <n v="-5.3209407338003016"/>
    <n v="1452.8488140099691"/>
    <n v="0"/>
    <n v="1"/>
    <n v="0"/>
    <n v="0"/>
    <n v="0"/>
    <n v="0"/>
    <n v="0"/>
    <n v="0"/>
    <n v="0"/>
    <n v="0"/>
  </r>
  <r>
    <d v="2009-08-19T00:00:00"/>
    <n v="2009"/>
    <x v="23"/>
    <s v="R"/>
    <s v="RS"/>
    <x v="3"/>
    <s v="NYL"/>
    <s v="H"/>
    <n v="4"/>
    <n v="2"/>
    <n v="2"/>
    <n v="-2"/>
    <n v="16"/>
    <n v="-16"/>
    <n v="1544.380868258879"/>
    <n v="1458.1697547437695"/>
    <n v="0.76206253624040021"/>
    <n v="74"/>
    <n v="69"/>
    <n v="0"/>
    <n v="5"/>
    <n v="1"/>
    <n v="0.30951930547816758"/>
    <n v="1"/>
    <n v="72.400000000000006"/>
    <n v="72.400000000000006"/>
    <n v="5.331987669579819"/>
    <n v="1549.7128559284588"/>
    <n v="1"/>
    <n v="0"/>
    <n v="0"/>
    <n v="0"/>
    <n v="0"/>
    <n v="0"/>
    <n v="0"/>
    <n v="0"/>
    <n v="0"/>
    <n v="0"/>
  </r>
  <r>
    <d v="2009-08-19T00:00:00"/>
    <n v="2009"/>
    <x v="24"/>
    <s v="R"/>
    <s v="RS"/>
    <x v="7"/>
    <s v="LAS"/>
    <s v="A"/>
    <n v="3"/>
    <n v="0"/>
    <n v="3"/>
    <n v="-3"/>
    <n v="16"/>
    <n v="-16"/>
    <n v="1453.4339458236539"/>
    <n v="1508.8312236119864"/>
    <n v="0.35018447515901319"/>
    <n v="63"/>
    <n v="78"/>
    <n v="0"/>
    <n v="-15"/>
    <n v="0"/>
    <n v="0.48065870806855132"/>
    <n v="1"/>
    <n v="72.25"/>
    <n v="72.25"/>
    <n v="-12.161063458276738"/>
    <n v="1441.2728823653772"/>
    <n v="0"/>
    <n v="1"/>
    <n v="0"/>
    <n v="0"/>
    <n v="0"/>
    <n v="0"/>
    <n v="0"/>
    <n v="0"/>
    <n v="0"/>
    <n v="0"/>
  </r>
  <r>
    <d v="2009-08-19T00:00:00"/>
    <n v="2009"/>
    <x v="23"/>
    <s v="R"/>
    <s v="RS"/>
    <x v="5"/>
    <s v="MIN"/>
    <s v="H"/>
    <n v="0"/>
    <n v="3"/>
    <n v="-3"/>
    <n v="3"/>
    <n v="-16"/>
    <n v="16"/>
    <n v="1508.8312236119864"/>
    <n v="1453.4339458236539"/>
    <n v="0.64981552484098681"/>
    <n v="78"/>
    <n v="63"/>
    <n v="0"/>
    <n v="15"/>
    <n v="1"/>
    <n v="0.48065870806855132"/>
    <n v="1"/>
    <n v="72.400000000000006"/>
    <n v="72.400000000000006"/>
    <n v="12.186311340889079"/>
    <n v="1521.0175349528754"/>
    <n v="1"/>
    <n v="0"/>
    <n v="0"/>
    <n v="0"/>
    <n v="0"/>
    <n v="0"/>
    <n v="0"/>
    <n v="0"/>
    <n v="0"/>
    <n v="0"/>
  </r>
  <r>
    <d v="2009-08-20T00:00:00"/>
    <n v="2009"/>
    <x v="24"/>
    <s v="R"/>
    <s v="RS"/>
    <x v="8"/>
    <s v="ATL"/>
    <s v="A"/>
    <n v="4"/>
    <n v="4"/>
    <n v="0"/>
    <n v="0"/>
    <n v="0"/>
    <n v="0"/>
    <n v="1499.6692346925338"/>
    <n v="1498.6248285433289"/>
    <n v="0.3828353638026577"/>
    <n v="87"/>
    <n v="93"/>
    <n v="0"/>
    <n v="-6"/>
    <n v="0"/>
    <n v="0.3509752937951095"/>
    <n v="1"/>
    <n v="72.25"/>
    <n v="72.25"/>
    <n v="-9.7079257471487193"/>
    <n v="1489.9613089453851"/>
    <n v="0"/>
    <n v="1"/>
    <n v="0"/>
    <n v="0"/>
    <n v="0"/>
    <n v="0"/>
    <n v="0"/>
    <n v="0"/>
    <n v="0"/>
    <n v="0"/>
  </r>
  <r>
    <d v="2009-08-20T00:00:00"/>
    <n v="2009"/>
    <x v="24"/>
    <s v="R"/>
    <s v="RS"/>
    <x v="1"/>
    <s v="SAS"/>
    <s v="H"/>
    <n v="4"/>
    <n v="4"/>
    <n v="0"/>
    <n v="0"/>
    <n v="0"/>
    <n v="0"/>
    <n v="1498.6248285433289"/>
    <n v="1499.6692346925338"/>
    <n v="0.6171646361973423"/>
    <n v="93"/>
    <n v="87"/>
    <n v="0"/>
    <n v="6"/>
    <n v="1"/>
    <n v="0.3509752937951095"/>
    <n v="1"/>
    <n v="72.25"/>
    <n v="72.25"/>
    <n v="9.7079257471487193"/>
    <n v="1508.3327542904776"/>
    <n v="1"/>
    <n v="0"/>
    <n v="0"/>
    <n v="0"/>
    <n v="0"/>
    <n v="0"/>
    <n v="0"/>
    <n v="0"/>
    <n v="0"/>
    <n v="0"/>
  </r>
  <r>
    <d v="2009-08-20T00:00:00"/>
    <n v="2009"/>
    <x v="24"/>
    <s v="R"/>
    <s v="RS"/>
    <x v="0"/>
    <s v="SAC"/>
    <s v="A"/>
    <n v="4"/>
    <n v="4"/>
    <n v="0"/>
    <n v="0"/>
    <n v="0"/>
    <n v="0"/>
    <n v="1631.5418852244891"/>
    <n v="1417.338444584977"/>
    <n v="0.67907219447482292"/>
    <n v="62"/>
    <n v="67"/>
    <n v="0"/>
    <n v="-5"/>
    <n v="0"/>
    <n v="0.28150629471914634"/>
    <n v="1"/>
    <n v="72.25"/>
    <n v="72.25"/>
    <n v="-13.811533780893653"/>
    <n v="1617.7303514435955"/>
    <n v="0"/>
    <n v="1"/>
    <n v="0"/>
    <n v="0"/>
    <n v="0"/>
    <n v="0"/>
    <n v="0"/>
    <n v="0"/>
    <n v="0"/>
    <n v="0"/>
  </r>
  <r>
    <d v="2009-08-20T00:00:00"/>
    <n v="2009"/>
    <x v="25"/>
    <s v="R"/>
    <s v="RS"/>
    <x v="11"/>
    <s v="IND"/>
    <s v="H"/>
    <n v="4"/>
    <n v="4"/>
    <n v="0"/>
    <n v="0"/>
    <n v="0"/>
    <n v="0"/>
    <n v="1417.338444584977"/>
    <n v="1631.5418852244891"/>
    <n v="0.32092780552517708"/>
    <n v="67"/>
    <n v="62"/>
    <n v="0"/>
    <n v="5"/>
    <n v="1"/>
    <n v="0.28150629471914634"/>
    <n v="1"/>
    <n v="72.099999999999994"/>
    <n v="72.099999999999994"/>
    <n v="13.782859316296641"/>
    <n v="1431.1213039012737"/>
    <n v="1"/>
    <n v="0"/>
    <n v="0"/>
    <n v="0"/>
    <n v="0"/>
    <n v="0"/>
    <n v="0"/>
    <n v="0"/>
    <n v="0"/>
    <n v="0"/>
  </r>
  <r>
    <d v="2009-08-21T00:00:00"/>
    <n v="2009"/>
    <x v="24"/>
    <s v="R"/>
    <s v="RS"/>
    <x v="3"/>
    <s v="NYL"/>
    <s v="A"/>
    <n v="1"/>
    <n v="1"/>
    <n v="0"/>
    <n v="0"/>
    <n v="0"/>
    <n v="0"/>
    <n v="1549.7128559284588"/>
    <n v="1452.8488140099691"/>
    <n v="0.51850438934669452"/>
    <n v="83"/>
    <n v="85"/>
    <n v="1"/>
    <n v="-2"/>
    <n v="0"/>
    <n v="0.22305239186562664"/>
    <n v="1"/>
    <n v="72.25"/>
    <n v="72.25"/>
    <n v="-8.3559757960948087"/>
    <n v="1541.356880132364"/>
    <n v="0"/>
    <n v="1"/>
    <n v="0"/>
    <n v="0"/>
    <n v="0"/>
    <n v="0"/>
    <n v="0"/>
    <n v="0"/>
    <n v="0"/>
    <n v="0"/>
  </r>
  <r>
    <d v="2009-08-21T00:00:00"/>
    <n v="2009"/>
    <x v="25"/>
    <s v="R"/>
    <s v="RS"/>
    <x v="12"/>
    <s v="CON"/>
    <s v="H"/>
    <n v="1"/>
    <n v="1"/>
    <n v="0"/>
    <n v="0"/>
    <n v="0"/>
    <n v="0"/>
    <n v="1452.8488140099691"/>
    <n v="1549.7128559284588"/>
    <n v="0.48149561065330543"/>
    <n v="85"/>
    <n v="83"/>
    <n v="1"/>
    <n v="2"/>
    <n v="1"/>
    <n v="0.22305239186562664"/>
    <n v="1"/>
    <n v="72.099999999999994"/>
    <n v="72.099999999999994"/>
    <n v="8.3386277494593166"/>
    <n v="1461.1874417594286"/>
    <n v="1"/>
    <n v="0"/>
    <n v="0"/>
    <n v="0"/>
    <n v="0"/>
    <n v="0"/>
    <n v="0"/>
    <n v="0"/>
    <n v="0"/>
    <n v="0"/>
  </r>
  <r>
    <d v="2009-08-21T00:00:00"/>
    <n v="2009"/>
    <x v="25"/>
    <s v="R"/>
    <s v="RS"/>
    <x v="2"/>
    <s v="PHX"/>
    <s v="A"/>
    <n v="2"/>
    <n v="2"/>
    <n v="0"/>
    <n v="0"/>
    <n v="0"/>
    <n v="0"/>
    <n v="1434.080364466879"/>
    <n v="1589.6849804781712"/>
    <n v="0.20112545632302994"/>
    <n v="91"/>
    <n v="81"/>
    <n v="0"/>
    <n v="10"/>
    <n v="1"/>
    <n v="0.37456027605803843"/>
    <n v="1"/>
    <n v="72.099999999999994"/>
    <n v="72.099999999999994"/>
    <n v="21.574242879269285"/>
    <n v="1455.6546073461484"/>
    <n v="1"/>
    <n v="0"/>
    <n v="0"/>
    <n v="0"/>
    <n v="0"/>
    <n v="0"/>
    <n v="0"/>
    <n v="0"/>
    <n v="0"/>
    <n v="0"/>
  </r>
  <r>
    <d v="2009-08-21T00:00:00"/>
    <n v="2009"/>
    <x v="26"/>
    <s v="R"/>
    <s v="RS"/>
    <x v="9"/>
    <s v="WAS"/>
    <s v="H"/>
    <n v="2"/>
    <n v="2"/>
    <n v="0"/>
    <n v="0"/>
    <n v="0"/>
    <n v="0"/>
    <n v="1589.6849804781712"/>
    <n v="1434.080364466879"/>
    <n v="0.79887454367697008"/>
    <n v="81"/>
    <n v="91"/>
    <n v="0"/>
    <n v="-10"/>
    <n v="0"/>
    <n v="0.37456027605803843"/>
    <n v="1"/>
    <n v="71.95"/>
    <n v="71.95"/>
    <n v="-21.529358878826979"/>
    <n v="1568.1556215993442"/>
    <n v="0"/>
    <n v="1"/>
    <n v="0"/>
    <n v="0"/>
    <n v="0"/>
    <n v="0"/>
    <n v="0"/>
    <n v="0"/>
    <n v="0"/>
    <n v="0"/>
  </r>
  <r>
    <d v="2009-08-21T00:00:00"/>
    <n v="2009"/>
    <x v="24"/>
    <s v="R"/>
    <s v="RS"/>
    <x v="5"/>
    <s v="SAS"/>
    <s v="A"/>
    <n v="1"/>
    <n v="0"/>
    <n v="1"/>
    <n v="-1"/>
    <n v="8"/>
    <n v="-8"/>
    <n v="1521.0175349528754"/>
    <n v="1489.9613089453851"/>
    <n v="0.44703311115393424"/>
    <n v="67"/>
    <n v="66"/>
    <n v="1"/>
    <n v="1"/>
    <n v="1"/>
    <n v="0.21421770920876879"/>
    <n v="1"/>
    <n v="72.25"/>
    <n v="72.25"/>
    <n v="8.5583954392263202"/>
    <n v="1529.5759303921018"/>
    <n v="1"/>
    <n v="0"/>
    <n v="0"/>
    <n v="0"/>
    <n v="0"/>
    <n v="0"/>
    <n v="0"/>
    <n v="0"/>
    <n v="0"/>
    <n v="0"/>
  </r>
  <r>
    <d v="2009-08-21T00:00:00"/>
    <n v="2009"/>
    <x v="25"/>
    <s v="R"/>
    <s v="RS"/>
    <x v="8"/>
    <s v="LAS"/>
    <s v="H"/>
    <n v="0"/>
    <n v="1"/>
    <n v="-1"/>
    <n v="1"/>
    <n v="-8"/>
    <n v="8"/>
    <n v="1489.9613089453851"/>
    <n v="1521.0175349528754"/>
    <n v="0.55296688884606571"/>
    <n v="66"/>
    <n v="67"/>
    <n v="1"/>
    <n v="-1"/>
    <n v="0"/>
    <n v="0.21421770920876879"/>
    <n v="1"/>
    <n v="72.099999999999994"/>
    <n v="72.099999999999994"/>
    <n v="-8.5406271441967831"/>
    <n v="1481.4206818011883"/>
    <n v="0"/>
    <n v="1"/>
    <n v="0"/>
    <n v="0"/>
    <n v="0"/>
    <n v="0"/>
    <n v="0"/>
    <n v="0"/>
    <n v="0"/>
    <n v="0"/>
  </r>
  <r>
    <d v="2009-08-22T00:00:00"/>
    <n v="2009"/>
    <x v="23"/>
    <s v="R"/>
    <s v="RS"/>
    <x v="4"/>
    <s v="CHI"/>
    <s v="A"/>
    <n v="3"/>
    <n v="3"/>
    <n v="0"/>
    <n v="0"/>
    <n v="0"/>
    <n v="0"/>
    <n v="1482.7808175919449"/>
    <n v="1464.8981248439982"/>
    <n v="0.40598175476899495"/>
    <n v="76"/>
    <n v="67"/>
    <n v="0"/>
    <n v="9"/>
    <n v="1"/>
    <n v="0.40001047348614821"/>
    <n v="1"/>
    <n v="72.400000000000006"/>
    <n v="72.400000000000006"/>
    <n v="17.203218814280802"/>
    <n v="1499.9840364062256"/>
    <n v="1"/>
    <n v="0"/>
    <n v="0"/>
    <n v="0"/>
    <n v="0"/>
    <n v="0"/>
    <n v="0"/>
    <n v="0"/>
    <n v="0"/>
    <n v="0"/>
  </r>
  <r>
    <d v="2009-08-22T00:00:00"/>
    <n v="2009"/>
    <x v="26"/>
    <s v="R"/>
    <s v="RS"/>
    <x v="6"/>
    <s v="DET"/>
    <s v="H"/>
    <n v="3"/>
    <n v="3"/>
    <n v="0"/>
    <n v="0"/>
    <n v="0"/>
    <n v="0"/>
    <n v="1464.8981248439982"/>
    <n v="1482.7808175919449"/>
    <n v="0.59401824523100499"/>
    <n v="67"/>
    <n v="76"/>
    <n v="0"/>
    <n v="-9"/>
    <n v="0"/>
    <n v="0.40001047348614821"/>
    <n v="1"/>
    <n v="71.95"/>
    <n v="71.95"/>
    <n v="-17.096292730490383"/>
    <n v="1447.8018321135078"/>
    <n v="0"/>
    <n v="1"/>
    <n v="0"/>
    <n v="0"/>
    <n v="0"/>
    <n v="0"/>
    <n v="0"/>
    <n v="0"/>
    <n v="0"/>
    <n v="0"/>
  </r>
  <r>
    <d v="2009-08-22T00:00:00"/>
    <n v="2009"/>
    <x v="25"/>
    <s v="R"/>
    <s v="RS"/>
    <x v="7"/>
    <s v="CON"/>
    <s v="A"/>
    <n v="2"/>
    <n v="0"/>
    <n v="2"/>
    <n v="-2"/>
    <n v="16"/>
    <n v="-16"/>
    <n v="1441.2728823653772"/>
    <n v="1541.356880132364"/>
    <n v="0.29411824332233683"/>
    <n v="94"/>
    <n v="98"/>
    <n v="0"/>
    <n v="-4"/>
    <n v="0"/>
    <n v="0.28745779697815854"/>
    <n v="1"/>
    <n v="72.099999999999994"/>
    <n v="72.099999999999994"/>
    <n v="-6.0958085821374475"/>
    <n v="1435.1770737832398"/>
    <n v="0"/>
    <n v="1"/>
    <n v="0"/>
    <n v="0"/>
    <n v="0"/>
    <n v="0"/>
    <n v="0"/>
    <n v="0"/>
    <n v="0"/>
    <n v="0"/>
  </r>
  <r>
    <d v="2009-08-22T00:00:00"/>
    <n v="2009"/>
    <x v="25"/>
    <s v="R"/>
    <s v="RS"/>
    <x v="3"/>
    <s v="MIN"/>
    <s v="H"/>
    <n v="0"/>
    <n v="2"/>
    <n v="-2"/>
    <n v="2"/>
    <n v="-16"/>
    <n v="16"/>
    <n v="1541.356880132364"/>
    <n v="1441.2728823653772"/>
    <n v="0.70588175667766317"/>
    <n v="98"/>
    <n v="94"/>
    <n v="0"/>
    <n v="4"/>
    <n v="1"/>
    <n v="0.28745779697815854"/>
    <n v="1"/>
    <n v="72.099999999999994"/>
    <n v="72.099999999999994"/>
    <n v="6.0958085821374475"/>
    <n v="1547.4526887145014"/>
    <n v="1"/>
    <n v="0"/>
    <n v="0"/>
    <n v="0"/>
    <n v="0"/>
    <n v="0"/>
    <n v="0"/>
    <n v="0"/>
    <n v="0"/>
    <n v="0"/>
  </r>
  <r>
    <d v="2009-08-22T00:00:00"/>
    <n v="2009"/>
    <x v="26"/>
    <s v="R"/>
    <s v="RS"/>
    <x v="2"/>
    <s v="SAC"/>
    <s v="A"/>
    <n v="0"/>
    <n v="1"/>
    <n v="-1"/>
    <n v="1"/>
    <n v="-8"/>
    <n v="8"/>
    <n v="1455.6546073461484"/>
    <n v="1431.1213039012737"/>
    <n v="0.39307107923421247"/>
    <n v="60"/>
    <n v="82"/>
    <n v="0"/>
    <n v="-22"/>
    <n v="0"/>
    <n v="0.58999408472742387"/>
    <n v="1"/>
    <n v="71.95"/>
    <n v="71.95"/>
    <n v="-16.685896556462634"/>
    <n v="1438.9687107896857"/>
    <n v="0"/>
    <n v="1"/>
    <n v="0"/>
    <n v="0"/>
    <n v="0"/>
    <n v="0"/>
    <n v="0"/>
    <n v="0"/>
    <n v="0"/>
    <n v="0"/>
  </r>
  <r>
    <d v="2009-08-22T00:00:00"/>
    <n v="2009"/>
    <x v="26"/>
    <s v="R"/>
    <s v="RS"/>
    <x v="11"/>
    <s v="WAS"/>
    <s v="H"/>
    <n v="1"/>
    <n v="0"/>
    <n v="1"/>
    <n v="-1"/>
    <n v="8"/>
    <n v="-8"/>
    <n v="1431.1213039012737"/>
    <n v="1455.6546073461484"/>
    <n v="0.60692892076578753"/>
    <n v="82"/>
    <n v="60"/>
    <n v="0"/>
    <n v="22"/>
    <n v="1"/>
    <n v="0.58999408472742387"/>
    <n v="1"/>
    <n v="71.95"/>
    <n v="71.95"/>
    <n v="16.685896556462634"/>
    <n v="1447.8072004577364"/>
    <n v="1"/>
    <n v="0"/>
    <n v="0"/>
    <n v="0"/>
    <n v="0"/>
    <n v="0"/>
    <n v="0"/>
    <n v="0"/>
    <n v="0"/>
    <n v="0"/>
  </r>
  <r>
    <d v="2009-08-22T00:00:00"/>
    <n v="2009"/>
    <x v="25"/>
    <s v="R"/>
    <s v="RS"/>
    <x v="0"/>
    <s v="SEA"/>
    <s v="A"/>
    <n v="1"/>
    <n v="3"/>
    <n v="-2"/>
    <n v="2"/>
    <n v="-16"/>
    <n v="16"/>
    <n v="1617.7303514435955"/>
    <n v="1533.5523009065471"/>
    <n v="0.45433216305691676"/>
    <n v="60"/>
    <n v="74"/>
    <n v="0"/>
    <n v="-14"/>
    <n v="0"/>
    <n v="0.45564532425719151"/>
    <n v="1"/>
    <n v="72.099999999999994"/>
    <n v="72.099999999999994"/>
    <n v="-14.925732887046534"/>
    <n v="1602.804618556549"/>
    <n v="0"/>
    <n v="1"/>
    <n v="0"/>
    <n v="0"/>
    <n v="0"/>
    <n v="0"/>
    <n v="0"/>
    <n v="0"/>
    <n v="0"/>
    <n v="0"/>
  </r>
  <r>
    <d v="2009-08-22T00:00:00"/>
    <n v="2009"/>
    <x v="25"/>
    <s v="R"/>
    <s v="RS"/>
    <x v="10"/>
    <s v="IND"/>
    <s v="H"/>
    <n v="3"/>
    <n v="1"/>
    <n v="2"/>
    <n v="-2"/>
    <n v="16"/>
    <n v="-16"/>
    <n v="1533.5523009065471"/>
    <n v="1617.7303514435955"/>
    <n v="0.5456678369430833"/>
    <n v="74"/>
    <n v="60"/>
    <n v="0"/>
    <n v="14"/>
    <n v="1"/>
    <n v="0.45564532425719151"/>
    <n v="1"/>
    <n v="72.099999999999994"/>
    <n v="72.099999999999994"/>
    <n v="14.925732887046532"/>
    <n v="1548.4780337935936"/>
    <n v="1"/>
    <n v="0"/>
    <n v="0"/>
    <n v="0"/>
    <n v="0"/>
    <n v="0"/>
    <n v="0"/>
    <n v="0"/>
    <n v="0"/>
    <n v="0"/>
  </r>
  <r>
    <d v="2009-08-23T00:00:00"/>
    <n v="2009"/>
    <x v="25"/>
    <s v="R"/>
    <s v="RS"/>
    <x v="5"/>
    <s v="ATL"/>
    <s v="A"/>
    <n v="1"/>
    <n v="2"/>
    <n v="-1"/>
    <n v="1"/>
    <n v="-8"/>
    <n v="8"/>
    <n v="1529.5759303921018"/>
    <n v="1508.3327542904776"/>
    <n v="0.38856202210174662"/>
    <n v="91"/>
    <n v="87"/>
    <n v="0"/>
    <n v="4"/>
    <n v="1"/>
    <n v="0.30601545146611869"/>
    <n v="1"/>
    <n v="72.099999999999994"/>
    <n v="72.099999999999994"/>
    <n v="13.490592704089664"/>
    <n v="1543.0665230961915"/>
    <n v="1"/>
    <n v="0"/>
    <n v="0"/>
    <n v="0"/>
    <n v="0"/>
    <n v="0"/>
    <n v="0"/>
    <n v="0"/>
    <n v="0"/>
    <n v="0"/>
  </r>
  <r>
    <d v="2009-08-23T00:00:00"/>
    <n v="2009"/>
    <x v="25"/>
    <s v="R"/>
    <s v="RS"/>
    <x v="1"/>
    <s v="LAS"/>
    <s v="H"/>
    <n v="2"/>
    <n v="1"/>
    <n v="1"/>
    <n v="-1"/>
    <n v="8"/>
    <n v="-8"/>
    <n v="1508.3327542904776"/>
    <n v="1529.5759303921018"/>
    <n v="0.61143797789825349"/>
    <n v="87"/>
    <n v="91"/>
    <n v="0"/>
    <n v="-4"/>
    <n v="0"/>
    <n v="0.30601545146611869"/>
    <n v="1"/>
    <n v="72.099999999999994"/>
    <n v="72.099999999999994"/>
    <n v="-13.490592704089666"/>
    <n v="1494.8421615863879"/>
    <n v="0"/>
    <n v="1"/>
    <n v="0"/>
    <n v="0"/>
    <n v="0"/>
    <n v="0"/>
    <n v="0"/>
    <n v="0"/>
    <n v="0"/>
    <n v="0"/>
  </r>
  <r>
    <d v="2009-08-23T00:00:00"/>
    <n v="2009"/>
    <x v="26"/>
    <s v="R"/>
    <s v="RS"/>
    <x v="8"/>
    <s v="DET"/>
    <s v="A"/>
    <n v="1"/>
    <n v="0"/>
    <n v="1"/>
    <n v="-1"/>
    <n v="8"/>
    <n v="-8"/>
    <n v="1481.4206818011883"/>
    <n v="1499.9840364062256"/>
    <n v="0.37794055800494264"/>
    <n v="84"/>
    <n v="99"/>
    <n v="0"/>
    <n v="-15"/>
    <n v="0"/>
    <n v="0.49518774003350596"/>
    <n v="1"/>
    <n v="71.95"/>
    <n v="71.95"/>
    <n v="-13.465552640014547"/>
    <n v="1467.9551291611738"/>
    <n v="0"/>
    <n v="1"/>
    <n v="0"/>
    <n v="0"/>
    <n v="0"/>
    <n v="0"/>
    <n v="0"/>
    <n v="0"/>
    <n v="0"/>
    <n v="0"/>
  </r>
  <r>
    <d v="2009-08-23T00:00:00"/>
    <n v="2009"/>
    <x v="24"/>
    <s v="R"/>
    <s v="RS"/>
    <x v="4"/>
    <s v="SAS"/>
    <s v="H"/>
    <n v="0"/>
    <n v="1"/>
    <n v="-1"/>
    <n v="1"/>
    <n v="-8"/>
    <n v="8"/>
    <n v="1499.9840364062256"/>
    <n v="1481.4206818011883"/>
    <n v="0.62205944199505736"/>
    <n v="99"/>
    <n v="84"/>
    <n v="0"/>
    <n v="15"/>
    <n v="1"/>
    <n v="0.49518774003350596"/>
    <n v="1"/>
    <n v="72.25"/>
    <n v="72.25"/>
    <n v="13.521698099250187"/>
    <n v="1513.5057345054759"/>
    <n v="1"/>
    <n v="0"/>
    <n v="0"/>
    <n v="0"/>
    <n v="0"/>
    <n v="0"/>
    <n v="0"/>
    <n v="0"/>
    <n v="0"/>
    <n v="0"/>
  </r>
  <r>
    <d v="2009-08-23T00:00:00"/>
    <n v="2009"/>
    <x v="26"/>
    <s v="R"/>
    <s v="RS"/>
    <x v="7"/>
    <s v="NYL"/>
    <s v="A"/>
    <n v="0"/>
    <n v="1"/>
    <n v="-1"/>
    <n v="1"/>
    <n v="-8"/>
    <n v="8"/>
    <n v="1435.1770737832398"/>
    <n v="1461.1874417594286"/>
    <n v="0.32621069384362295"/>
    <n v="67"/>
    <n v="80"/>
    <n v="0"/>
    <n v="-13"/>
    <n v="0"/>
    <n v="0.4620291325203072"/>
    <n v="1"/>
    <n v="71.95"/>
    <n v="71.95"/>
    <n v="-10.844220818275225"/>
    <n v="1424.3328529649646"/>
    <n v="0"/>
    <n v="1"/>
    <n v="0"/>
    <n v="0"/>
    <n v="0"/>
    <n v="0"/>
    <n v="0"/>
    <n v="0"/>
    <n v="0"/>
    <n v="0"/>
  </r>
  <r>
    <d v="2009-08-23T00:00:00"/>
    <n v="2009"/>
    <x v="26"/>
    <s v="R"/>
    <s v="RS"/>
    <x v="12"/>
    <s v="MIN"/>
    <s v="H"/>
    <n v="1"/>
    <n v="0"/>
    <n v="1"/>
    <n v="-1"/>
    <n v="8"/>
    <n v="-8"/>
    <n v="1461.1874417594286"/>
    <n v="1435.1770737832398"/>
    <n v="0.673789306156377"/>
    <n v="80"/>
    <n v="67"/>
    <n v="0"/>
    <n v="13"/>
    <n v="1"/>
    <n v="0.4620291325203072"/>
    <n v="1"/>
    <n v="71.95"/>
    <n v="71.95"/>
    <n v="10.844220818275227"/>
    <n v="1472.0316625777039"/>
    <n v="1"/>
    <n v="0"/>
    <n v="0"/>
    <n v="0"/>
    <n v="0"/>
    <n v="0"/>
    <n v="0"/>
    <n v="0"/>
    <n v="0"/>
    <n v="0"/>
  </r>
  <r>
    <d v="2009-08-25T00:00:00"/>
    <n v="2009"/>
    <x v="27"/>
    <s v="R"/>
    <s v="RS"/>
    <x v="11"/>
    <s v="ATL"/>
    <s v="A"/>
    <n v="2"/>
    <n v="1"/>
    <n v="1"/>
    <n v="-1"/>
    <n v="8"/>
    <n v="-8"/>
    <n v="1447.8072004577364"/>
    <n v="1494.8421615863879"/>
    <n v="0.34024682747303936"/>
    <n v="83"/>
    <n v="103"/>
    <n v="0"/>
    <n v="-20"/>
    <n v="0"/>
    <n v="0.55320408186971171"/>
    <n v="1"/>
    <n v="71.8"/>
    <n v="71.8"/>
    <n v="-13.514622046933695"/>
    <n v="1434.2925784108027"/>
    <n v="0"/>
    <n v="1"/>
    <n v="0"/>
    <n v="0"/>
    <n v="0"/>
    <n v="0"/>
    <n v="0"/>
    <n v="0"/>
    <n v="0"/>
    <n v="0"/>
  </r>
  <r>
    <d v="2009-08-25T00:00:00"/>
    <n v="2009"/>
    <x v="26"/>
    <s v="R"/>
    <s v="RS"/>
    <x v="1"/>
    <s v="SAC"/>
    <s v="H"/>
    <n v="1"/>
    <n v="2"/>
    <n v="-1"/>
    <n v="1"/>
    <n v="-8"/>
    <n v="8"/>
    <n v="1494.8421615863879"/>
    <n v="1447.8072004577364"/>
    <n v="0.65975317252696064"/>
    <n v="103"/>
    <n v="83"/>
    <n v="0"/>
    <n v="20"/>
    <n v="1"/>
    <n v="0.55320408186971171"/>
    <n v="1"/>
    <n v="71.95"/>
    <n v="71.95"/>
    <n v="13.542855937003891"/>
    <n v="1508.3850175233918"/>
    <n v="1"/>
    <n v="0"/>
    <n v="0"/>
    <n v="0"/>
    <n v="0"/>
    <n v="0"/>
    <n v="0"/>
    <n v="0"/>
    <n v="0"/>
    <n v="0"/>
  </r>
  <r>
    <d v="2009-08-25T00:00:00"/>
    <n v="2009"/>
    <x v="25"/>
    <s v="R"/>
    <s v="RS"/>
    <x v="4"/>
    <s v="CON"/>
    <s v="A"/>
    <n v="1"/>
    <n v="2"/>
    <n v="-1"/>
    <n v="1"/>
    <n v="-8"/>
    <n v="8"/>
    <n v="1513.5057345054759"/>
    <n v="1547.4526887145014"/>
    <n v="0.31624971103540639"/>
    <n v="90"/>
    <n v="70"/>
    <n v="0"/>
    <n v="20"/>
    <n v="1"/>
    <n v="0.55907170756203106"/>
    <n v="1"/>
    <n v="72.099999999999994"/>
    <n v="72.099999999999994"/>
    <n v="27.561338339177411"/>
    <n v="1541.0670728446532"/>
    <n v="1"/>
    <n v="0"/>
    <n v="0"/>
    <n v="0"/>
    <n v="0"/>
    <n v="0"/>
    <n v="0"/>
    <n v="0"/>
    <n v="0"/>
    <n v="0"/>
  </r>
  <r>
    <d v="2009-08-25T00:00:00"/>
    <n v="2009"/>
    <x v="26"/>
    <s v="R"/>
    <s v="RS"/>
    <x v="3"/>
    <s v="DET"/>
    <s v="H"/>
    <n v="2"/>
    <n v="1"/>
    <n v="1"/>
    <n v="-1"/>
    <n v="8"/>
    <n v="-8"/>
    <n v="1547.4526887145014"/>
    <n v="1513.5057345054759"/>
    <n v="0.68375028896459367"/>
    <n v="70"/>
    <n v="90"/>
    <n v="0"/>
    <n v="-20"/>
    <n v="0"/>
    <n v="0.55907170756203106"/>
    <n v="1"/>
    <n v="71.95"/>
    <n v="71.95"/>
    <n v="-27.503998522937788"/>
    <n v="1519.9486901915636"/>
    <n v="0"/>
    <n v="1"/>
    <n v="0"/>
    <n v="0"/>
    <n v="0"/>
    <n v="0"/>
    <n v="0"/>
    <n v="0"/>
    <n v="0"/>
    <n v="0"/>
  </r>
  <r>
    <d v="2009-08-25T00:00:00"/>
    <n v="2009"/>
    <x v="27"/>
    <s v="R"/>
    <s v="RS"/>
    <x v="6"/>
    <s v="LAS"/>
    <s v="A"/>
    <n v="2"/>
    <n v="1"/>
    <n v="1"/>
    <n v="-1"/>
    <n v="8"/>
    <n v="-8"/>
    <n v="1447.8018321135078"/>
    <n v="1543.0665230961915"/>
    <n v="0.28093526704798"/>
    <n v="63"/>
    <n v="75"/>
    <n v="0"/>
    <n v="-12"/>
    <n v="0"/>
    <n v="0.42258183636317959"/>
    <n v="1"/>
    <n v="71.8"/>
    <n v="71.8"/>
    <n v="-8.5239625272690631"/>
    <n v="1439.2778695862387"/>
    <n v="0"/>
    <n v="1"/>
    <n v="0"/>
    <n v="0"/>
    <n v="0"/>
    <n v="0"/>
    <n v="0"/>
    <n v="0"/>
    <n v="0"/>
    <n v="0"/>
  </r>
  <r>
    <d v="2009-08-25T00:00:00"/>
    <n v="2009"/>
    <x v="26"/>
    <s v="R"/>
    <s v="RS"/>
    <x v="5"/>
    <s v="CHI"/>
    <s v="H"/>
    <n v="1"/>
    <n v="2"/>
    <n v="-1"/>
    <n v="1"/>
    <n v="-8"/>
    <n v="8"/>
    <n v="1543.0665230961915"/>
    <n v="1447.8018321135078"/>
    <n v="0.71906473295202"/>
    <n v="75"/>
    <n v="63"/>
    <n v="0"/>
    <n v="12"/>
    <n v="1"/>
    <n v="0.42258183636317959"/>
    <n v="1"/>
    <n v="71.95"/>
    <n v="71.95"/>
    <n v="8.5417702484263103"/>
    <n v="1551.6082933446178"/>
    <n v="1"/>
    <n v="0"/>
    <n v="0"/>
    <n v="0"/>
    <n v="0"/>
    <n v="0"/>
    <n v="0"/>
    <n v="0"/>
    <n v="0"/>
    <n v="0"/>
  </r>
  <r>
    <d v="2009-08-25T00:00:00"/>
    <n v="2009"/>
    <x v="27"/>
    <s v="R"/>
    <s v="RS"/>
    <x v="2"/>
    <s v="SEA"/>
    <s v="A"/>
    <n v="2"/>
    <n v="2"/>
    <n v="0"/>
    <n v="0"/>
    <n v="0"/>
    <n v="0"/>
    <n v="1438.9687107896857"/>
    <n v="1548.4780337935936"/>
    <n v="0.24713908896855946"/>
    <n v="68"/>
    <n v="78"/>
    <n v="0"/>
    <n v="-10"/>
    <n v="0"/>
    <n v="0.38774495933636466"/>
    <n v="1"/>
    <n v="71.8"/>
    <n v="71.8"/>
    <n v="-6.8803740049823929"/>
    <n v="1432.0883367847034"/>
    <n v="0"/>
    <n v="1"/>
    <n v="0"/>
    <n v="0"/>
    <n v="0"/>
    <n v="0"/>
    <n v="0"/>
    <n v="0"/>
    <n v="0"/>
    <n v="0"/>
  </r>
  <r>
    <d v="2009-08-25T00:00:00"/>
    <n v="2009"/>
    <x v="26"/>
    <s v="R"/>
    <s v="RS"/>
    <x v="10"/>
    <s v="WAS"/>
    <s v="H"/>
    <n v="2"/>
    <n v="2"/>
    <n v="0"/>
    <n v="0"/>
    <n v="0"/>
    <n v="0"/>
    <n v="1548.4780337935936"/>
    <n v="1438.9687107896857"/>
    <n v="0.75286091103144048"/>
    <n v="78"/>
    <n v="68"/>
    <n v="0"/>
    <n v="10"/>
    <n v="1"/>
    <n v="0.38774495933636466"/>
    <n v="1"/>
    <n v="71.95"/>
    <n v="71.95"/>
    <n v="6.8947480453827756"/>
    <n v="1555.3727818389764"/>
    <n v="1"/>
    <n v="0"/>
    <n v="0"/>
    <n v="0"/>
    <n v="0"/>
    <n v="0"/>
    <n v="0"/>
    <n v="0"/>
    <n v="0"/>
    <n v="0"/>
  </r>
  <r>
    <d v="2009-08-27T00:00:00"/>
    <n v="2009"/>
    <x v="27"/>
    <s v="R"/>
    <s v="RS"/>
    <x v="1"/>
    <s v="DET"/>
    <s v="A"/>
    <n v="1"/>
    <n v="1"/>
    <n v="0"/>
    <n v="0"/>
    <n v="0"/>
    <n v="0"/>
    <n v="1508.3850175233918"/>
    <n v="1541.0670728446532"/>
    <n v="0.33812167970700618"/>
    <n v="83"/>
    <n v="87"/>
    <n v="0"/>
    <n v="-4"/>
    <n v="0"/>
    <n v="0.30317572992271435"/>
    <n v="1"/>
    <n v="71.8"/>
    <n v="71.8"/>
    <n v="-7.3602386100367667"/>
    <n v="1501.024778913355"/>
    <n v="0"/>
    <n v="1"/>
    <n v="0"/>
    <n v="0"/>
    <n v="0"/>
    <n v="0"/>
    <n v="0"/>
    <n v="0"/>
    <n v="0"/>
    <n v="0"/>
  </r>
  <r>
    <d v="2009-08-27T00:00:00"/>
    <n v="2009"/>
    <x v="26"/>
    <s v="R"/>
    <s v="RS"/>
    <x v="4"/>
    <s v="ATL"/>
    <s v="H"/>
    <n v="1"/>
    <n v="1"/>
    <n v="0"/>
    <n v="0"/>
    <n v="0"/>
    <n v="0"/>
    <n v="1541.0670728446532"/>
    <n v="1508.3850175233918"/>
    <n v="0.66187832029299387"/>
    <n v="87"/>
    <n v="83"/>
    <n v="0"/>
    <n v="4"/>
    <n v="1"/>
    <n v="0.30317572992271435"/>
    <n v="1"/>
    <n v="71.95"/>
    <n v="71.95"/>
    <n v="7.3756151530939462"/>
    <n v="1548.4426879977473"/>
    <n v="1"/>
    <n v="0"/>
    <n v="0"/>
    <n v="0"/>
    <n v="0"/>
    <n v="0"/>
    <n v="0"/>
    <n v="0"/>
    <n v="0"/>
    <n v="0"/>
  </r>
  <r>
    <d v="2009-08-27T00:00:00"/>
    <n v="2009"/>
    <x v="27"/>
    <s v="R"/>
    <s v="RS"/>
    <x v="8"/>
    <s v="IND"/>
    <s v="A"/>
    <n v="3"/>
    <n v="4"/>
    <n v="-1"/>
    <n v="1"/>
    <n v="-8"/>
    <n v="8"/>
    <n v="1467.9551291611738"/>
    <n v="1602.804618556549"/>
    <n v="0.20555953757899534"/>
    <n v="66"/>
    <n v="77"/>
    <n v="0"/>
    <n v="-11"/>
    <n v="0"/>
    <n v="0.39540275402002661"/>
    <n v="1"/>
    <n v="71.8"/>
    <n v="71.8"/>
    <n v="-5.8358183622601256"/>
    <n v="1462.1193107989136"/>
    <n v="0"/>
    <n v="1"/>
    <n v="0"/>
    <n v="0"/>
    <n v="0"/>
    <n v="0"/>
    <n v="0"/>
    <n v="0"/>
    <n v="0"/>
    <n v="0"/>
  </r>
  <r>
    <d v="2009-08-27T00:00:00"/>
    <n v="2009"/>
    <x v="26"/>
    <s v="R"/>
    <s v="RS"/>
    <x v="0"/>
    <s v="SAS"/>
    <s v="H"/>
    <n v="4"/>
    <n v="3"/>
    <n v="1"/>
    <n v="-1"/>
    <n v="8"/>
    <n v="-8"/>
    <n v="1602.804618556549"/>
    <n v="1467.9551291611738"/>
    <n v="0.79444046242100463"/>
    <n v="77"/>
    <n v="66"/>
    <n v="0"/>
    <n v="11"/>
    <n v="1"/>
    <n v="0.39540275402002661"/>
    <n v="1"/>
    <n v="71.95"/>
    <n v="71.95"/>
    <n v="5.8480101833511995"/>
    <n v="1608.6526287399001"/>
    <n v="1"/>
    <n v="0"/>
    <n v="0"/>
    <n v="0"/>
    <n v="0"/>
    <n v="0"/>
    <n v="0"/>
    <n v="0"/>
    <n v="0"/>
    <n v="0"/>
  </r>
  <r>
    <d v="2009-08-27T00:00:00"/>
    <n v="2009"/>
    <x v="27"/>
    <s v="R"/>
    <s v="RS"/>
    <x v="9"/>
    <s v="LAS"/>
    <s v="A"/>
    <n v="5"/>
    <n v="1"/>
    <n v="4"/>
    <n v="-4"/>
    <n v="16"/>
    <n v="-16"/>
    <n v="1568.1556215993442"/>
    <n v="1551.6082933446178"/>
    <n v="0.44915585096926736"/>
    <n v="98"/>
    <n v="90"/>
    <n v="0"/>
    <n v="8"/>
    <n v="1"/>
    <n v="0.38303371449765561"/>
    <n v="1"/>
    <n v="71.8"/>
    <n v="71.8"/>
    <n v="15.149217020800494"/>
    <n v="1583.3048386201447"/>
    <n v="1"/>
    <n v="0"/>
    <n v="0"/>
    <n v="0"/>
    <n v="0"/>
    <n v="0"/>
    <n v="0"/>
    <n v="0"/>
    <n v="0"/>
    <n v="0"/>
  </r>
  <r>
    <d v="2009-08-27T00:00:00"/>
    <n v="2009"/>
    <x v="27"/>
    <s v="R"/>
    <s v="RS"/>
    <x v="5"/>
    <s v="PHX"/>
    <s v="H"/>
    <n v="1"/>
    <n v="5"/>
    <n v="-4"/>
    <n v="4"/>
    <n v="-16"/>
    <n v="16"/>
    <n v="1551.6082933446178"/>
    <n v="1568.1556215993442"/>
    <n v="0.55084414903073264"/>
    <n v="90"/>
    <n v="98"/>
    <n v="0"/>
    <n v="-8"/>
    <n v="0"/>
    <n v="0.38303371449765561"/>
    <n v="1"/>
    <n v="71.8"/>
    <n v="71.8"/>
    <n v="-15.149217020800494"/>
    <n v="1536.4590763238173"/>
    <n v="0"/>
    <n v="1"/>
    <n v="0"/>
    <n v="0"/>
    <n v="0"/>
    <n v="0"/>
    <n v="0"/>
    <n v="0"/>
    <n v="0"/>
    <n v="0"/>
  </r>
  <r>
    <d v="2009-08-27T00:00:00"/>
    <n v="2009"/>
    <x v="27"/>
    <s v="R"/>
    <s v="RS"/>
    <x v="3"/>
    <s v="SEA"/>
    <s v="A"/>
    <n v="1"/>
    <n v="1"/>
    <n v="0"/>
    <n v="0"/>
    <n v="0"/>
    <n v="0"/>
    <n v="1519.9486901915636"/>
    <n v="1555.3727818389764"/>
    <n v="0.33459827276186993"/>
    <n v="74"/>
    <n v="86"/>
    <n v="0"/>
    <n v="-12"/>
    <n v="0"/>
    <n v="0.44305055680269417"/>
    <n v="1"/>
    <n v="71.8"/>
    <n v="71.8"/>
    <n v="-10.643915685559893"/>
    <n v="1509.3047745060037"/>
    <n v="0"/>
    <n v="1"/>
    <n v="0"/>
    <n v="0"/>
    <n v="0"/>
    <n v="0"/>
    <n v="0"/>
    <n v="0"/>
    <n v="0"/>
    <n v="0"/>
  </r>
  <r>
    <d v="2009-08-27T00:00:00"/>
    <n v="2009"/>
    <x v="27"/>
    <s v="R"/>
    <s v="RS"/>
    <x v="10"/>
    <s v="CON"/>
    <s v="H"/>
    <n v="1"/>
    <n v="1"/>
    <n v="0"/>
    <n v="0"/>
    <n v="0"/>
    <n v="0"/>
    <n v="1555.3727818389764"/>
    <n v="1519.9486901915636"/>
    <n v="0.66540172723813007"/>
    <n v="86"/>
    <n v="74"/>
    <n v="0"/>
    <n v="12"/>
    <n v="1"/>
    <n v="0.44305055680269417"/>
    <n v="1"/>
    <n v="71.8"/>
    <n v="71.8"/>
    <n v="10.643915685559893"/>
    <n v="1566.0166975245363"/>
    <n v="1"/>
    <n v="0"/>
    <n v="0"/>
    <n v="0"/>
    <n v="0"/>
    <n v="0"/>
    <n v="0"/>
    <n v="0"/>
    <n v="0"/>
    <n v="0"/>
  </r>
  <r>
    <d v="2009-08-28T00:00:00"/>
    <n v="2009"/>
    <x v="27"/>
    <s v="R"/>
    <s v="RS"/>
    <x v="12"/>
    <s v="CHI"/>
    <s v="A"/>
    <n v="4"/>
    <n v="2"/>
    <n v="2"/>
    <n v="-2"/>
    <n v="16"/>
    <n v="-16"/>
    <n v="1472.0316625777039"/>
    <n v="1439.2778695862387"/>
    <n v="0.47233077788331201"/>
    <n v="77"/>
    <n v="96"/>
    <n v="0"/>
    <n v="-19"/>
    <n v="0"/>
    <n v="0.54607261490079251"/>
    <n v="1"/>
    <n v="71.8"/>
    <n v="71.8"/>
    <n v="-18.519151633738947"/>
    <n v="1453.5125109439648"/>
    <n v="0"/>
    <n v="1"/>
    <n v="0"/>
    <n v="0"/>
    <n v="0"/>
    <n v="0"/>
    <n v="0"/>
    <n v="0"/>
    <n v="0"/>
    <n v="0"/>
  </r>
  <r>
    <d v="2009-08-28T00:00:00"/>
    <n v="2009"/>
    <x v="28"/>
    <s v="R"/>
    <s v="RS"/>
    <x v="6"/>
    <s v="NYL"/>
    <s v="H"/>
    <n v="2"/>
    <n v="4"/>
    <n v="-2"/>
    <n v="2"/>
    <n v="-16"/>
    <n v="16"/>
    <n v="1439.2778695862387"/>
    <n v="1472.0316625777039"/>
    <n v="0.5276692221166881"/>
    <n v="96"/>
    <n v="77"/>
    <n v="0"/>
    <n v="19"/>
    <n v="1"/>
    <n v="0.54607261490079251"/>
    <n v="1"/>
    <n v="71.650000000000006"/>
    <n v="71.650000000000006"/>
    <n v="18.480462598292416"/>
    <n v="1457.7583321845311"/>
    <n v="1"/>
    <n v="0"/>
    <n v="0"/>
    <n v="0"/>
    <n v="0"/>
    <n v="0"/>
    <n v="0"/>
    <n v="0"/>
    <n v="0"/>
    <n v="0"/>
  </r>
  <r>
    <d v="2009-08-28T00:00:00"/>
    <n v="2009"/>
    <x v="28"/>
    <s v="R"/>
    <s v="RS"/>
    <x v="11"/>
    <s v="MIN"/>
    <s v="A"/>
    <n v="2"/>
    <n v="4"/>
    <n v="-2"/>
    <n v="2"/>
    <n v="-16"/>
    <n v="16"/>
    <n v="1434.2925784108027"/>
    <n v="1424.3328529649646"/>
    <n v="0.35196410585681942"/>
    <n v="95"/>
    <n v="100"/>
    <n v="0"/>
    <n v="-5"/>
    <n v="0"/>
    <n v="0.32902514206148914"/>
    <n v="1"/>
    <n v="71.650000000000006"/>
    <n v="71.650000000000006"/>
    <n v="-8.2974311109905923"/>
    <n v="1425.9951472998121"/>
    <n v="0"/>
    <n v="1"/>
    <n v="0"/>
    <n v="0"/>
    <n v="0"/>
    <n v="0"/>
    <n v="0"/>
    <n v="0"/>
    <n v="0"/>
    <n v="0"/>
  </r>
  <r>
    <d v="2009-08-28T00:00:00"/>
    <n v="2009"/>
    <x v="27"/>
    <s v="R"/>
    <s v="RS"/>
    <x v="7"/>
    <s v="SAC"/>
    <s v="H"/>
    <n v="4"/>
    <n v="2"/>
    <n v="2"/>
    <n v="-2"/>
    <n v="16"/>
    <n v="-16"/>
    <n v="1424.3328529649646"/>
    <n v="1434.2925784108027"/>
    <n v="0.64803589414318052"/>
    <n v="100"/>
    <n v="95"/>
    <n v="0"/>
    <n v="5"/>
    <n v="1"/>
    <n v="0.32902514206148914"/>
    <n v="1"/>
    <n v="71.8"/>
    <n v="71.8"/>
    <n v="8.3148018669801047"/>
    <n v="1432.6476548319447"/>
    <n v="1"/>
    <n v="0"/>
    <n v="0"/>
    <n v="0"/>
    <n v="0"/>
    <n v="0"/>
    <n v="0"/>
    <n v="0"/>
    <n v="0"/>
    <n v="0"/>
  </r>
  <r>
    <d v="2009-08-29T00:00:00"/>
    <n v="2009"/>
    <x v="29"/>
    <s v="R"/>
    <s v="RS"/>
    <x v="11"/>
    <s v="IND"/>
    <s v="A"/>
    <n v="0"/>
    <n v="1"/>
    <n v="-1"/>
    <n v="1"/>
    <n v="-8"/>
    <n v="8"/>
    <n v="1425.9951472998121"/>
    <n v="1608.6526287399001"/>
    <n v="0.16422702333729275"/>
    <n v="79"/>
    <n v="78"/>
    <n v="0"/>
    <n v="1"/>
    <n v="1"/>
    <n v="0.21192204800654293"/>
    <n v="1"/>
    <n v="71.5"/>
    <n v="71.5"/>
    <n v="12.663988543126315"/>
    <n v="1438.6591358429384"/>
    <n v="1"/>
    <n v="0"/>
    <n v="0"/>
    <n v="0"/>
    <n v="0"/>
    <n v="0"/>
    <n v="0"/>
    <n v="0"/>
    <n v="0"/>
    <n v="0"/>
  </r>
  <r>
    <d v="2009-08-29T00:00:00"/>
    <n v="2009"/>
    <x v="27"/>
    <s v="R"/>
    <s v="RS"/>
    <x v="0"/>
    <s v="SAC"/>
    <s v="H"/>
    <n v="1"/>
    <n v="0"/>
    <n v="1"/>
    <n v="-1"/>
    <n v="8"/>
    <n v="-8"/>
    <n v="1608.6526287399001"/>
    <n v="1425.9951472998121"/>
    <n v="0.83577297666270733"/>
    <n v="78"/>
    <n v="79"/>
    <n v="0"/>
    <n v="-1"/>
    <n v="0"/>
    <n v="0.21192204800654293"/>
    <n v="1"/>
    <n v="71.8"/>
    <n v="71.8"/>
    <n v="-12.717124159391181"/>
    <n v="1595.9355045805089"/>
    <n v="0"/>
    <n v="1"/>
    <n v="0"/>
    <n v="0"/>
    <n v="0"/>
    <n v="0"/>
    <n v="0"/>
    <n v="0"/>
    <n v="0"/>
    <n v="0"/>
  </r>
  <r>
    <d v="2009-08-29T00:00:00"/>
    <n v="2009"/>
    <x v="28"/>
    <s v="R"/>
    <s v="RS"/>
    <x v="3"/>
    <s v="PHX"/>
    <s v="A"/>
    <n v="1"/>
    <n v="1"/>
    <n v="0"/>
    <n v="0"/>
    <n v="0"/>
    <n v="0"/>
    <n v="1509.3047745060037"/>
    <n v="1583.3048386201447"/>
    <n v="0.28709776705587342"/>
    <n v="84"/>
    <n v="95"/>
    <n v="0"/>
    <n v="-11"/>
    <n v="0"/>
    <n v="0.41428817719578259"/>
    <n v="1"/>
    <n v="71.650000000000006"/>
    <n v="71.650000000000006"/>
    <n v="-8.5221377388134236"/>
    <n v="1500.7826367671903"/>
    <n v="0"/>
    <n v="1"/>
    <n v="0"/>
    <n v="0"/>
    <n v="0"/>
    <n v="0"/>
    <n v="0"/>
    <n v="0"/>
    <n v="0"/>
    <n v="0"/>
  </r>
  <r>
    <d v="2009-08-29T00:00:00"/>
    <n v="2009"/>
    <x v="28"/>
    <s v="R"/>
    <s v="RS"/>
    <x v="9"/>
    <s v="CON"/>
    <s v="H"/>
    <n v="1"/>
    <n v="1"/>
    <n v="0"/>
    <n v="0"/>
    <n v="0"/>
    <n v="0"/>
    <n v="1583.3048386201447"/>
    <n v="1509.3047745060037"/>
    <n v="0.71290223294412658"/>
    <n v="95"/>
    <n v="84"/>
    <n v="0"/>
    <n v="11"/>
    <n v="1"/>
    <n v="0.41428817719578259"/>
    <n v="1"/>
    <n v="71.650000000000006"/>
    <n v="71.650000000000006"/>
    <n v="8.5221377388134236"/>
    <n v="1591.8269763589581"/>
    <n v="1"/>
    <n v="0"/>
    <n v="0"/>
    <n v="0"/>
    <n v="0"/>
    <n v="0"/>
    <n v="0"/>
    <n v="0"/>
    <n v="0"/>
    <n v="0"/>
  </r>
  <r>
    <d v="2009-08-29T00:00:00"/>
    <n v="2009"/>
    <x v="27"/>
    <s v="R"/>
    <s v="RS"/>
    <x v="4"/>
    <s v="SAS"/>
    <s v="A"/>
    <n v="1"/>
    <n v="1"/>
    <n v="0"/>
    <n v="0"/>
    <n v="0"/>
    <n v="0"/>
    <n v="1548.4426879977473"/>
    <n v="1462.1193107989136"/>
    <n v="0.50334355872473724"/>
    <n v="88"/>
    <n v="100"/>
    <n v="1"/>
    <n v="-12"/>
    <n v="0"/>
    <n v="0.38296730608707358"/>
    <n v="1"/>
    <n v="71.8"/>
    <n v="71.8"/>
    <n v="-13.840464298574501"/>
    <n v="1534.6022236991728"/>
    <n v="0"/>
    <n v="1"/>
    <n v="0"/>
    <n v="0"/>
    <n v="0"/>
    <n v="0"/>
    <n v="0"/>
    <n v="0"/>
    <n v="0"/>
    <n v="0"/>
  </r>
  <r>
    <d v="2009-08-29T00:00:00"/>
    <n v="2009"/>
    <x v="28"/>
    <s v="R"/>
    <s v="RS"/>
    <x v="8"/>
    <s v="DET"/>
    <s v="H"/>
    <n v="1"/>
    <n v="1"/>
    <n v="0"/>
    <n v="0"/>
    <n v="0"/>
    <n v="0"/>
    <n v="1462.1193107989136"/>
    <n v="1548.4426879977473"/>
    <n v="0.49665644127526282"/>
    <n v="100"/>
    <n v="88"/>
    <n v="1"/>
    <n v="12"/>
    <n v="1"/>
    <n v="0.38296730608707358"/>
    <n v="1"/>
    <n v="71.650000000000006"/>
    <n v="71.650000000000006"/>
    <n v="13.81154967956634"/>
    <n v="1475.9308604784799"/>
    <n v="1"/>
    <n v="0"/>
    <n v="0"/>
    <n v="0"/>
    <n v="0"/>
    <n v="0"/>
    <n v="0"/>
    <n v="0"/>
    <n v="0"/>
    <n v="0"/>
  </r>
  <r>
    <d v="2009-08-29T00:00:00"/>
    <n v="2009"/>
    <x v="28"/>
    <s v="R"/>
    <s v="RS"/>
    <x v="1"/>
    <s v="SEA"/>
    <s v="A"/>
    <n v="1"/>
    <n v="1"/>
    <n v="0"/>
    <n v="0"/>
    <n v="0"/>
    <n v="0"/>
    <n v="1501.024778913355"/>
    <n v="1566.0166975245363"/>
    <n v="0.29782712641017078"/>
    <n v="84"/>
    <n v="91"/>
    <n v="1"/>
    <n v="-7"/>
    <n v="0"/>
    <n v="0.3159828457441598"/>
    <n v="1"/>
    <n v="71.650000000000006"/>
    <n v="71.650000000000006"/>
    <n v="-6.7428570398581682"/>
    <n v="1494.2819218734969"/>
    <n v="0"/>
    <n v="1"/>
    <n v="0"/>
    <n v="0"/>
    <n v="0"/>
    <n v="0"/>
    <n v="0"/>
    <n v="0"/>
    <n v="0"/>
    <n v="0"/>
  </r>
  <r>
    <d v="2009-08-29T00:00:00"/>
    <n v="2009"/>
    <x v="28"/>
    <s v="R"/>
    <s v="RS"/>
    <x v="10"/>
    <s v="ATL"/>
    <s v="H"/>
    <n v="1"/>
    <n v="1"/>
    <n v="0"/>
    <n v="0"/>
    <n v="0"/>
    <n v="0"/>
    <n v="1566.0166975245363"/>
    <n v="1501.024778913355"/>
    <n v="0.70217287358982916"/>
    <n v="91"/>
    <n v="84"/>
    <n v="1"/>
    <n v="7"/>
    <n v="1"/>
    <n v="0.3159828457441598"/>
    <n v="1"/>
    <n v="71.650000000000006"/>
    <n v="71.650000000000006"/>
    <n v="6.7428570398581691"/>
    <n v="1572.7595545643944"/>
    <n v="1"/>
    <n v="0"/>
    <n v="0"/>
    <n v="0"/>
    <n v="0"/>
    <n v="0"/>
    <n v="0"/>
    <n v="0"/>
    <n v="0"/>
    <n v="0"/>
  </r>
  <r>
    <d v="2009-08-30T00:00:00"/>
    <n v="2009"/>
    <x v="29"/>
    <s v="R"/>
    <s v="RS"/>
    <x v="3"/>
    <s v="LAS"/>
    <s v="A"/>
    <n v="0"/>
    <n v="2"/>
    <n v="-2"/>
    <n v="2"/>
    <n v="-16"/>
    <n v="16"/>
    <n v="1500.7826367671903"/>
    <n v="1536.4590763238173"/>
    <n v="0.294605557322486"/>
    <n v="81"/>
    <n v="91"/>
    <n v="0"/>
    <n v="-10"/>
    <n v="0"/>
    <n v="0.41091310228503553"/>
    <n v="1"/>
    <n v="71.5"/>
    <n v="71.5"/>
    <n v="-8.6555957709503133"/>
    <n v="1492.1270409962399"/>
    <n v="0"/>
    <n v="1"/>
    <n v="0"/>
    <n v="0"/>
    <n v="0"/>
    <n v="0"/>
    <n v="0"/>
    <n v="0"/>
    <n v="0"/>
    <n v="0"/>
  </r>
  <r>
    <d v="2009-08-30T00:00:00"/>
    <n v="2009"/>
    <x v="28"/>
    <s v="R"/>
    <s v="RS"/>
    <x v="5"/>
    <s v="CON"/>
    <s v="H"/>
    <n v="2"/>
    <n v="0"/>
    <n v="2"/>
    <n v="-2"/>
    <n v="16"/>
    <n v="-16"/>
    <n v="1536.4590763238173"/>
    <n v="1500.7826367671903"/>
    <n v="0.70539444267751406"/>
    <n v="91"/>
    <n v="81"/>
    <n v="0"/>
    <n v="10"/>
    <n v="1"/>
    <n v="0.41091310228503553"/>
    <n v="1"/>
    <n v="71.650000000000006"/>
    <n v="71.650000000000006"/>
    <n v="8.6737543634767817"/>
    <n v="1545.132830687294"/>
    <n v="1"/>
    <n v="0"/>
    <n v="0"/>
    <n v="0"/>
    <n v="0"/>
    <n v="0"/>
    <n v="0"/>
    <n v="0"/>
    <n v="0"/>
    <n v="0"/>
  </r>
  <r>
    <d v="2009-08-30T00:00:00"/>
    <n v="2009"/>
    <x v="29"/>
    <s v="R"/>
    <s v="RS"/>
    <x v="6"/>
    <s v="NYL"/>
    <s v="A"/>
    <n v="1"/>
    <n v="1"/>
    <n v="0"/>
    <n v="0"/>
    <n v="0"/>
    <n v="0"/>
    <n v="1457.7583321845311"/>
    <n v="1453.5125109439648"/>
    <n v="0.38719888604485542"/>
    <n v="63"/>
    <n v="77"/>
    <n v="0"/>
    <n v="-14"/>
    <n v="0"/>
    <n v="0.48588893888636797"/>
    <n v="1"/>
    <n v="71.5"/>
    <n v="71.5"/>
    <n v="-13.451699395299775"/>
    <n v="1444.3066327892313"/>
    <n v="0"/>
    <n v="1"/>
    <n v="0"/>
    <n v="0"/>
    <n v="0"/>
    <n v="0"/>
    <n v="0"/>
    <n v="0"/>
    <n v="0"/>
    <n v="0"/>
  </r>
  <r>
    <d v="2009-08-30T00:00:00"/>
    <n v="2009"/>
    <x v="28"/>
    <s v="R"/>
    <s v="RS"/>
    <x v="12"/>
    <s v="CHI"/>
    <s v="H"/>
    <n v="1"/>
    <n v="1"/>
    <n v="0"/>
    <n v="0"/>
    <n v="0"/>
    <n v="0"/>
    <n v="1453.5125109439648"/>
    <n v="1457.7583321845311"/>
    <n v="0.61280111395514458"/>
    <n v="77"/>
    <n v="63"/>
    <n v="0"/>
    <n v="14"/>
    <n v="1"/>
    <n v="0.48588893888636797"/>
    <n v="1"/>
    <n v="71.650000000000006"/>
    <n v="71.650000000000006"/>
    <n v="13.479919743681524"/>
    <n v="1466.9924306876462"/>
    <n v="1"/>
    <n v="0"/>
    <n v="0"/>
    <n v="0"/>
    <n v="0"/>
    <n v="0"/>
    <n v="0"/>
    <n v="0"/>
    <n v="0"/>
    <n v="0"/>
  </r>
  <r>
    <d v="2009-08-30T00:00:00"/>
    <n v="2009"/>
    <x v="28"/>
    <s v="R"/>
    <s v="RS"/>
    <x v="7"/>
    <s v="WAS"/>
    <s v="A"/>
    <n v="1"/>
    <n v="4"/>
    <n v="-3"/>
    <n v="3"/>
    <n v="-16"/>
    <n v="16"/>
    <n v="1432.6476548319447"/>
    <n v="1432.0883367847034"/>
    <n v="0.33972274894943316"/>
    <n v="75"/>
    <n v="81"/>
    <n v="0"/>
    <n v="-6"/>
    <n v="0"/>
    <n v="0.35111710597926721"/>
    <n v="1"/>
    <n v="71.650000000000006"/>
    <n v="71.650000000000006"/>
    <n v="-8.5465888641878642"/>
    <n v="1424.1010659677568"/>
    <n v="0"/>
    <n v="1"/>
    <n v="0"/>
    <n v="0"/>
    <n v="0"/>
    <n v="0"/>
    <n v="0"/>
    <n v="0"/>
    <n v="0"/>
    <n v="0"/>
  </r>
  <r>
    <d v="2009-08-30T00:00:00"/>
    <n v="2009"/>
    <x v="28"/>
    <s v="R"/>
    <s v="RS"/>
    <x v="2"/>
    <s v="MIN"/>
    <s v="H"/>
    <n v="4"/>
    <n v="1"/>
    <n v="3"/>
    <n v="-3"/>
    <n v="16"/>
    <n v="-16"/>
    <n v="1432.0883367847034"/>
    <n v="1432.6476548319447"/>
    <n v="0.66027725105056689"/>
    <n v="81"/>
    <n v="75"/>
    <n v="0"/>
    <n v="6"/>
    <n v="1"/>
    <n v="0.35111710597926721"/>
    <n v="1"/>
    <n v="71.650000000000006"/>
    <n v="71.650000000000006"/>
    <n v="8.5465888641878625"/>
    <n v="1440.6349256488913"/>
    <n v="1"/>
    <n v="0"/>
    <n v="0"/>
    <n v="0"/>
    <n v="0"/>
    <n v="0"/>
    <n v="0"/>
    <n v="0"/>
    <n v="0"/>
    <n v="0"/>
  </r>
  <r>
    <d v="2009-09-01T00:00:00"/>
    <n v="2009"/>
    <x v="29"/>
    <s v="R"/>
    <s v="RS"/>
    <x v="9"/>
    <s v="DET"/>
    <s v="A"/>
    <n v="2"/>
    <n v="2"/>
    <n v="0"/>
    <n v="0"/>
    <n v="0"/>
    <n v="0"/>
    <n v="1591.8269763589581"/>
    <n v="1534.6022236991728"/>
    <n v="0.46154342359629635"/>
    <n v="99"/>
    <n v="101"/>
    <n v="0"/>
    <n v="-2"/>
    <n v="0"/>
    <n v="0.25565006120952483"/>
    <n v="1"/>
    <n v="71.5"/>
    <n v="71.5"/>
    <n v="-8.4365427212671467"/>
    <n v="1583.3904336376909"/>
    <n v="0"/>
    <n v="1"/>
    <n v="0"/>
    <n v="0"/>
    <n v="0"/>
    <n v="0"/>
    <n v="0"/>
    <n v="0"/>
    <n v="0"/>
    <n v="0"/>
  </r>
  <r>
    <d v="2009-09-01T00:00:00"/>
    <n v="2009"/>
    <x v="28"/>
    <s v="R"/>
    <s v="RS"/>
    <x v="4"/>
    <s v="PHX"/>
    <s v="H"/>
    <n v="2"/>
    <n v="2"/>
    <n v="0"/>
    <n v="0"/>
    <n v="0"/>
    <n v="0"/>
    <n v="1534.6022236991728"/>
    <n v="1591.8269763589581"/>
    <n v="0.5384565764037037"/>
    <n v="101"/>
    <n v="99"/>
    <n v="0"/>
    <n v="2"/>
    <n v="1"/>
    <n v="0.25565006120952483"/>
    <n v="1"/>
    <n v="71.650000000000006"/>
    <n v="71.650000000000006"/>
    <n v="8.4542417619411339"/>
    <n v="1543.0564654611139"/>
    <n v="1"/>
    <n v="0"/>
    <n v="0"/>
    <n v="0"/>
    <n v="0"/>
    <n v="0"/>
    <n v="0"/>
    <n v="0"/>
    <n v="0"/>
    <n v="0"/>
  </r>
  <r>
    <d v="2009-09-01T00:00:00"/>
    <n v="2009"/>
    <x v="29"/>
    <s v="R"/>
    <s v="RS"/>
    <x v="1"/>
    <s v="LAS"/>
    <s v="A"/>
    <n v="2"/>
    <n v="1"/>
    <n v="1"/>
    <n v="-1"/>
    <n v="8"/>
    <n v="-8"/>
    <n v="1494.2819218734969"/>
    <n v="1545.132830687294"/>
    <n v="0.33533328263894502"/>
    <n v="84"/>
    <n v="79"/>
    <n v="0"/>
    <n v="5"/>
    <n v="1"/>
    <n v="0.31826908206912441"/>
    <n v="1"/>
    <n v="71.5"/>
    <n v="71.5"/>
    <n v="15.125314920172681"/>
    <n v="1509.4072367936697"/>
    <n v="1"/>
    <n v="0"/>
    <n v="0"/>
    <n v="0"/>
    <n v="0"/>
    <n v="0"/>
    <n v="0"/>
    <n v="0"/>
    <n v="0"/>
    <n v="0"/>
  </r>
  <r>
    <d v="2009-09-01T00:00:00"/>
    <n v="2009"/>
    <x v="29"/>
    <s v="R"/>
    <s v="RS"/>
    <x v="5"/>
    <s v="ATL"/>
    <s v="H"/>
    <n v="1"/>
    <n v="2"/>
    <n v="-1"/>
    <n v="1"/>
    <n v="-8"/>
    <n v="8"/>
    <n v="1545.132830687294"/>
    <n v="1494.2819218734969"/>
    <n v="0.66466671736105498"/>
    <n v="79"/>
    <n v="84"/>
    <n v="0"/>
    <n v="-5"/>
    <n v="0"/>
    <n v="0.31826908206912441"/>
    <n v="1"/>
    <n v="71.5"/>
    <n v="71.5"/>
    <n v="-15.125314920172681"/>
    <n v="1530.0075157671213"/>
    <n v="0"/>
    <n v="1"/>
    <n v="0"/>
    <n v="0"/>
    <n v="0"/>
    <n v="0"/>
    <n v="0"/>
    <n v="0"/>
    <n v="0"/>
    <n v="0"/>
  </r>
  <r>
    <d v="2009-09-01T00:00:00"/>
    <n v="2009"/>
    <x v="29"/>
    <s v="R"/>
    <s v="RS"/>
    <x v="10"/>
    <s v="NYL"/>
    <s v="A"/>
    <n v="2"/>
    <n v="1"/>
    <n v="1"/>
    <n v="-1"/>
    <n v="8"/>
    <n v="-8"/>
    <n v="1572.7595545643944"/>
    <n v="1466.9924306876462"/>
    <n v="0.55413819148085952"/>
    <n v="65"/>
    <n v="58"/>
    <n v="0"/>
    <n v="7"/>
    <n v="1"/>
    <n v="0.3401284952449955"/>
    <n v="1"/>
    <n v="71.5"/>
    <n v="71.5"/>
    <n v="10.84299688034617"/>
    <n v="1583.6025514447406"/>
    <n v="1"/>
    <n v="0"/>
    <n v="0"/>
    <n v="0"/>
    <n v="0"/>
    <n v="0"/>
    <n v="0"/>
    <n v="0"/>
    <n v="0"/>
    <n v="0"/>
  </r>
  <r>
    <d v="2009-09-01T00:00:00"/>
    <n v="2009"/>
    <x v="29"/>
    <s v="R"/>
    <s v="RS"/>
    <x v="12"/>
    <s v="SEA"/>
    <s v="H"/>
    <n v="1"/>
    <n v="2"/>
    <n v="-1"/>
    <n v="1"/>
    <n v="-8"/>
    <n v="8"/>
    <n v="1466.9924306876462"/>
    <n v="1572.7595545643944"/>
    <n v="0.44586180851914048"/>
    <n v="58"/>
    <n v="65"/>
    <n v="0"/>
    <n v="-7"/>
    <n v="0"/>
    <n v="0.3401284952449955"/>
    <n v="1"/>
    <n v="71.5"/>
    <n v="71.5"/>
    <n v="-10.84299688034617"/>
    <n v="1456.1494338073001"/>
    <n v="0"/>
    <n v="1"/>
    <n v="0"/>
    <n v="0"/>
    <n v="0"/>
    <n v="0"/>
    <n v="0"/>
    <n v="0"/>
    <n v="0"/>
    <n v="0"/>
  </r>
  <r>
    <d v="2009-09-01T00:00:00"/>
    <n v="2009"/>
    <x v="30"/>
    <s v="R"/>
    <s v="RS"/>
    <x v="3"/>
    <s v="SAC"/>
    <s v="A"/>
    <n v="1"/>
    <n v="2"/>
    <n v="-1"/>
    <n v="1"/>
    <n v="-8"/>
    <n v="8"/>
    <n v="1492.1270409962399"/>
    <n v="1438.6591358429384"/>
    <n v="0.43343247088987336"/>
    <n v="70"/>
    <n v="90"/>
    <n v="0"/>
    <n v="-20"/>
    <n v="0"/>
    <n v="0.55036497376152249"/>
    <n v="1"/>
    <n v="71.349999999999994"/>
    <n v="71.349999999999994"/>
    <n v="-17.020260700941531"/>
    <n v="1475.1067802952984"/>
    <n v="0"/>
    <n v="1"/>
    <n v="0"/>
    <n v="0"/>
    <n v="0"/>
    <n v="0"/>
    <n v="0"/>
    <n v="0"/>
    <n v="0"/>
    <n v="0"/>
  </r>
  <r>
    <d v="2009-09-01T00:00:00"/>
    <n v="2009"/>
    <x v="30"/>
    <s v="R"/>
    <s v="RS"/>
    <x v="11"/>
    <s v="CON"/>
    <s v="H"/>
    <n v="2"/>
    <n v="1"/>
    <n v="1"/>
    <n v="-1"/>
    <n v="8"/>
    <n v="-8"/>
    <n v="1438.6591358429384"/>
    <n v="1492.1270409962399"/>
    <n v="0.56656752911012653"/>
    <n v="90"/>
    <n v="70"/>
    <n v="0"/>
    <n v="20"/>
    <n v="1"/>
    <n v="0.55036497376152249"/>
    <n v="1"/>
    <n v="71.349999999999994"/>
    <n v="71.349999999999994"/>
    <n v="17.020260700941535"/>
    <n v="1455.6793965438799"/>
    <n v="1"/>
    <n v="0"/>
    <n v="0"/>
    <n v="0"/>
    <n v="0"/>
    <n v="0"/>
    <n v="0"/>
    <n v="0"/>
    <n v="0"/>
    <n v="0"/>
  </r>
  <r>
    <d v="2009-09-01T00:00:00"/>
    <n v="2009"/>
    <x v="29"/>
    <s v="R"/>
    <s v="RS"/>
    <x v="7"/>
    <s v="SAS"/>
    <s v="A"/>
    <n v="1"/>
    <n v="2"/>
    <n v="-1"/>
    <n v="1"/>
    <n v="-8"/>
    <n v="8"/>
    <n v="1424.1010659677568"/>
    <n v="1475.9308604784799"/>
    <n v="0.29442213689141661"/>
    <n v="82"/>
    <n v="84"/>
    <n v="1"/>
    <n v="-2"/>
    <n v="0"/>
    <n v="0.23107664296127725"/>
    <n v="1"/>
    <n v="71.5"/>
    <n v="71.5"/>
    <n v="-4.8644366489543227"/>
    <n v="1419.2366293188024"/>
    <n v="0"/>
    <n v="1"/>
    <n v="0"/>
    <n v="0"/>
    <n v="0"/>
    <n v="0"/>
    <n v="0"/>
    <n v="0"/>
    <n v="0"/>
    <n v="0"/>
  </r>
  <r>
    <d v="2009-09-01T00:00:00"/>
    <n v="2009"/>
    <x v="29"/>
    <s v="R"/>
    <s v="RS"/>
    <x v="8"/>
    <s v="MIN"/>
    <s v="H"/>
    <n v="2"/>
    <n v="1"/>
    <n v="1"/>
    <n v="-1"/>
    <n v="8"/>
    <n v="-8"/>
    <n v="1475.9308604784799"/>
    <n v="1424.1010659677568"/>
    <n v="0.7055778631085835"/>
    <n v="84"/>
    <n v="82"/>
    <n v="1"/>
    <n v="2"/>
    <n v="1"/>
    <n v="0.23107664296127725"/>
    <n v="1"/>
    <n v="71.5"/>
    <n v="71.5"/>
    <n v="4.8644366489543209"/>
    <n v="1480.7952971274342"/>
    <n v="1"/>
    <n v="0"/>
    <n v="0"/>
    <n v="0"/>
    <n v="0"/>
    <n v="0"/>
    <n v="0"/>
    <n v="0"/>
    <n v="0"/>
    <n v="0"/>
  </r>
  <r>
    <d v="2009-09-02T00:00:00"/>
    <n v="2009"/>
    <x v="30"/>
    <s v="R"/>
    <s v="RS"/>
    <x v="9"/>
    <s v="IND"/>
    <s v="A"/>
    <n v="0"/>
    <n v="3"/>
    <n v="-3"/>
    <n v="3"/>
    <n v="-16"/>
    <n v="16"/>
    <n v="1583.3904336376909"/>
    <n v="1595.9355045805089"/>
    <n v="0.32301181695449188"/>
    <n v="106"/>
    <n v="90"/>
    <n v="0"/>
    <n v="16"/>
    <n v="1"/>
    <n v="0.51242898398238257"/>
    <n v="1"/>
    <n v="71.349999999999994"/>
    <n v="71.349999999999994"/>
    <n v="24.751911971614444"/>
    <n v="1608.1423456093053"/>
    <n v="1"/>
    <n v="0"/>
    <n v="0"/>
    <n v="0"/>
    <n v="0"/>
    <n v="0"/>
    <n v="0"/>
    <n v="0"/>
    <n v="0"/>
    <n v="0"/>
  </r>
  <r>
    <d v="2009-09-02T00:00:00"/>
    <n v="2009"/>
    <x v="28"/>
    <s v="R"/>
    <s v="RS"/>
    <x v="0"/>
    <s v="PHX"/>
    <s v="H"/>
    <n v="3"/>
    <n v="0"/>
    <n v="3"/>
    <n v="-3"/>
    <n v="16"/>
    <n v="-16"/>
    <n v="1595.9355045805089"/>
    <n v="1583.3904336376909"/>
    <n v="0.67698818304550812"/>
    <n v="90"/>
    <n v="106"/>
    <n v="0"/>
    <n v="-16"/>
    <n v="0"/>
    <n v="0.51242898398238257"/>
    <n v="1"/>
    <n v="71.650000000000006"/>
    <n v="71.650000000000006"/>
    <n v="-24.855984481656275"/>
    <n v="1571.0795200988525"/>
    <n v="0"/>
    <n v="1"/>
    <n v="0"/>
    <n v="0"/>
    <n v="0"/>
    <n v="0"/>
    <n v="0"/>
    <n v="0"/>
    <n v="0"/>
    <n v="0"/>
  </r>
  <r>
    <d v="2009-09-03T00:00:00"/>
    <n v="2009"/>
    <x v="30"/>
    <s v="R"/>
    <s v="RS"/>
    <x v="10"/>
    <s v="WAS"/>
    <s v="A"/>
    <n v="1"/>
    <n v="3"/>
    <n v="-2"/>
    <n v="2"/>
    <n v="-16"/>
    <n v="16"/>
    <n v="1583.6025514447406"/>
    <n v="1440.6349256488913"/>
    <n v="0.53873178173613023"/>
    <n v="67"/>
    <n v="78"/>
    <n v="0"/>
    <n v="-11"/>
    <n v="0"/>
    <n v="0.39301257466752326"/>
    <n v="1"/>
    <n v="71.349999999999994"/>
    <n v="71.349999999999994"/>
    <n v="-15.106818813877416"/>
    <n v="1568.4957326308631"/>
    <n v="0"/>
    <n v="1"/>
    <n v="0"/>
    <n v="0"/>
    <n v="0"/>
    <n v="0"/>
    <n v="0"/>
    <n v="0"/>
    <n v="0"/>
    <n v="0"/>
  </r>
  <r>
    <d v="2009-09-03T00:00:00"/>
    <n v="2009"/>
    <x v="29"/>
    <s v="R"/>
    <s v="RS"/>
    <x v="2"/>
    <s v="SEA"/>
    <s v="H"/>
    <n v="3"/>
    <n v="1"/>
    <n v="2"/>
    <n v="-2"/>
    <n v="16"/>
    <n v="-16"/>
    <n v="1440.6349256488913"/>
    <n v="1583.6025514447406"/>
    <n v="0.46126821826386988"/>
    <n v="78"/>
    <n v="67"/>
    <n v="0"/>
    <n v="11"/>
    <n v="1"/>
    <n v="0.39301257466752326"/>
    <n v="1"/>
    <n v="71.5"/>
    <n v="71.5"/>
    <n v="15.138578068566716"/>
    <n v="1455.773503717458"/>
    <n v="1"/>
    <n v="0"/>
    <n v="0"/>
    <n v="0"/>
    <n v="0"/>
    <n v="0"/>
    <n v="0"/>
    <n v="0"/>
    <n v="0"/>
    <n v="0"/>
  </r>
  <r>
    <d v="2009-09-04T00:00:00"/>
    <n v="2009"/>
    <x v="30"/>
    <s v="R"/>
    <s v="RS"/>
    <x v="2"/>
    <s v="CHI"/>
    <s v="A"/>
    <n v="0"/>
    <n v="4"/>
    <n v="-4"/>
    <n v="4"/>
    <n v="-16"/>
    <n v="16"/>
    <n v="1455.773503717458"/>
    <n v="1444.3066327892313"/>
    <n v="0.35394546735949506"/>
    <n v="86"/>
    <n v="92"/>
    <n v="0"/>
    <n v="-6"/>
    <n v="0"/>
    <n v="0.34795579097116225"/>
    <n v="1"/>
    <n v="71.349999999999994"/>
    <n v="71.349999999999994"/>
    <n v="-8.7872787102263921"/>
    <n v="1446.9862250072315"/>
    <n v="0"/>
    <n v="1"/>
    <n v="0"/>
    <n v="0"/>
    <n v="0"/>
    <n v="0"/>
    <n v="0"/>
    <n v="0"/>
    <n v="0"/>
    <n v="0"/>
  </r>
  <r>
    <d v="2009-09-04T00:00:00"/>
    <n v="2009"/>
    <x v="30"/>
    <s v="R"/>
    <s v="RS"/>
    <x v="6"/>
    <s v="WAS"/>
    <s v="H"/>
    <n v="4"/>
    <n v="0"/>
    <n v="4"/>
    <n v="-4"/>
    <n v="16"/>
    <n v="-16"/>
    <n v="1444.3066327892313"/>
    <n v="1455.773503717458"/>
    <n v="0.64605453264050494"/>
    <n v="92"/>
    <n v="86"/>
    <n v="0"/>
    <n v="6"/>
    <n v="1"/>
    <n v="0.34795579097116225"/>
    <n v="1"/>
    <n v="71.349999999999994"/>
    <n v="71.349999999999994"/>
    <n v="8.7872787102263921"/>
    <n v="1453.0939114994578"/>
    <n v="1"/>
    <n v="0"/>
    <n v="0"/>
    <n v="0"/>
    <n v="0"/>
    <n v="0"/>
    <n v="0"/>
    <n v="0"/>
    <n v="0"/>
    <n v="0"/>
  </r>
  <r>
    <d v="2009-09-04T00:00:00"/>
    <n v="2009"/>
    <x v="30"/>
    <s v="R"/>
    <s v="RS"/>
    <x v="12"/>
    <s v="CON"/>
    <s v="A"/>
    <n v="2"/>
    <n v="2"/>
    <n v="0"/>
    <n v="0"/>
    <n v="0"/>
    <n v="0"/>
    <n v="1456.1494338073001"/>
    <n v="1475.1067802952984"/>
    <n v="0.35602243773244419"/>
    <n v="85"/>
    <n v="88"/>
    <n v="1"/>
    <n v="-3"/>
    <n v="0"/>
    <n v="0.25710350217712918"/>
    <n v="1"/>
    <n v="71.349999999999994"/>
    <n v="71.349999999999994"/>
    <n v="-6.5309948226782986"/>
    <n v="1449.6184389846217"/>
    <n v="0"/>
    <n v="1"/>
    <n v="0"/>
    <n v="0"/>
    <n v="0"/>
    <n v="0"/>
    <n v="0"/>
    <n v="0"/>
    <n v="0"/>
    <n v="0"/>
  </r>
  <r>
    <d v="2009-09-04T00:00:00"/>
    <n v="2009"/>
    <x v="31"/>
    <s v="R"/>
    <s v="RS"/>
    <x v="3"/>
    <s v="NYL"/>
    <s v="H"/>
    <n v="2"/>
    <n v="2"/>
    <n v="0"/>
    <n v="0"/>
    <n v="0"/>
    <n v="0"/>
    <n v="1475.1067802952984"/>
    <n v="1456.1494338073001"/>
    <n v="0.64397756226755587"/>
    <n v="88"/>
    <n v="85"/>
    <n v="1"/>
    <n v="3"/>
    <n v="1"/>
    <n v="0.25710350217712918"/>
    <n v="1"/>
    <n v="71.2"/>
    <n v="71.2"/>
    <n v="6.5172646303391009"/>
    <n v="1481.6240449256375"/>
    <n v="1"/>
    <n v="0"/>
    <n v="0"/>
    <n v="0"/>
    <n v="0"/>
    <n v="0"/>
    <n v="0"/>
    <n v="0"/>
    <n v="0"/>
    <n v="0"/>
  </r>
  <r>
    <d v="2009-09-04T00:00:00"/>
    <n v="2009"/>
    <x v="29"/>
    <s v="R"/>
    <s v="RS"/>
    <x v="0"/>
    <s v="DET"/>
    <s v="A"/>
    <n v="1"/>
    <n v="2"/>
    <n v="-1"/>
    <n v="1"/>
    <n v="-8"/>
    <n v="8"/>
    <n v="1571.0795200988525"/>
    <n v="1543.0564654611139"/>
    <n v="0.3978737005158271"/>
    <n v="63"/>
    <n v="70"/>
    <n v="1"/>
    <n v="-7"/>
    <n v="0"/>
    <n v="0.32549531116420283"/>
    <n v="1"/>
    <n v="71.5"/>
    <n v="71.5"/>
    <n v="-9.2596807126718179"/>
    <n v="1561.8198393861808"/>
    <n v="0"/>
    <n v="1"/>
    <n v="0"/>
    <n v="0"/>
    <n v="0"/>
    <n v="0"/>
    <n v="0"/>
    <n v="0"/>
    <n v="0"/>
    <n v="0"/>
  </r>
  <r>
    <d v="2009-09-04T00:00:00"/>
    <n v="2009"/>
    <x v="29"/>
    <s v="R"/>
    <s v="RS"/>
    <x v="4"/>
    <s v="IND"/>
    <s v="H"/>
    <n v="2"/>
    <n v="1"/>
    <n v="1"/>
    <n v="-1"/>
    <n v="8"/>
    <n v="-8"/>
    <n v="1543.0564654611139"/>
    <n v="1571.0795200988525"/>
    <n v="0.60212629948417284"/>
    <n v="70"/>
    <n v="63"/>
    <n v="1"/>
    <n v="7"/>
    <n v="1"/>
    <n v="0.32549531116420283"/>
    <n v="1"/>
    <n v="71.5"/>
    <n v="71.5"/>
    <n v="9.2596807126718179"/>
    <n v="1552.3161461737857"/>
    <n v="1"/>
    <n v="0"/>
    <n v="0"/>
    <n v="0"/>
    <n v="0"/>
    <n v="0"/>
    <n v="0"/>
    <n v="0"/>
    <n v="0"/>
    <n v="0"/>
  </r>
  <r>
    <d v="2009-09-04T00:00:00"/>
    <n v="2009"/>
    <x v="30"/>
    <s v="R"/>
    <s v="RS"/>
    <x v="1"/>
    <s v="SAC"/>
    <s v="A"/>
    <n v="2"/>
    <n v="2"/>
    <n v="0"/>
    <n v="0"/>
    <n v="0"/>
    <n v="0"/>
    <n v="1509.4072367936697"/>
    <n v="1455.6793965438799"/>
    <n v="0.45654477067337312"/>
    <n v="98"/>
    <n v="90"/>
    <n v="0"/>
    <n v="8"/>
    <n v="1"/>
    <n v="0.37167447913636992"/>
    <n v="1"/>
    <n v="71.349999999999994"/>
    <n v="71.349999999999994"/>
    <n v="14.411875143620511"/>
    <n v="1523.8191119372902"/>
    <n v="1"/>
    <n v="0"/>
    <n v="0"/>
    <n v="0"/>
    <n v="0"/>
    <n v="0"/>
    <n v="0"/>
    <n v="0"/>
    <n v="0"/>
    <n v="0"/>
  </r>
  <r>
    <d v="2009-09-04T00:00:00"/>
    <n v="2009"/>
    <x v="31"/>
    <s v="R"/>
    <s v="RS"/>
    <x v="11"/>
    <s v="ATL"/>
    <s v="H"/>
    <n v="2"/>
    <n v="2"/>
    <n v="0"/>
    <n v="0"/>
    <n v="0"/>
    <n v="0"/>
    <n v="1455.6793965438799"/>
    <n v="1509.4072367936697"/>
    <n v="0.54345522932662682"/>
    <n v="90"/>
    <n v="98"/>
    <n v="0"/>
    <n v="-8"/>
    <n v="0"/>
    <n v="0.37167447913636992"/>
    <n v="1"/>
    <n v="71.2"/>
    <n v="71.2"/>
    <n v="-14.381576877726427"/>
    <n v="1441.2978196661534"/>
    <n v="0"/>
    <n v="1"/>
    <n v="0"/>
    <n v="0"/>
    <n v="0"/>
    <n v="0"/>
    <n v="0"/>
    <n v="0"/>
    <n v="0"/>
    <n v="0"/>
  </r>
  <r>
    <d v="2009-09-05T00:00:00"/>
    <n v="2009"/>
    <x v="31"/>
    <s v="R"/>
    <s v="RS"/>
    <x v="10"/>
    <s v="MIN"/>
    <s v="A"/>
    <n v="1"/>
    <n v="3"/>
    <n v="-2"/>
    <n v="2"/>
    <n v="-16"/>
    <n v="16"/>
    <n v="1568.4957326308631"/>
    <n v="1419.2366293188024"/>
    <n v="0.5477180277132323"/>
    <n v="68"/>
    <n v="76"/>
    <n v="0"/>
    <n v="-8"/>
    <n v="0"/>
    <n v="0.34535890168149092"/>
    <n v="1"/>
    <n v="71.2"/>
    <n v="71.2"/>
    <n v="-13.468141909532235"/>
    <n v="1555.0275907213309"/>
    <n v="0"/>
    <n v="1"/>
    <n v="0"/>
    <n v="0"/>
    <n v="0"/>
    <n v="0"/>
    <n v="0"/>
    <n v="0"/>
    <n v="0"/>
    <n v="0"/>
  </r>
  <r>
    <d v="2009-09-05T00:00:00"/>
    <n v="2009"/>
    <x v="30"/>
    <s v="R"/>
    <s v="RS"/>
    <x v="7"/>
    <s v="SEA"/>
    <s v="H"/>
    <n v="3"/>
    <n v="1"/>
    <n v="2"/>
    <n v="-2"/>
    <n v="16"/>
    <n v="-16"/>
    <n v="1419.2366293188024"/>
    <n v="1568.4957326308631"/>
    <n v="0.45228197228676775"/>
    <n v="76"/>
    <n v="68"/>
    <n v="0"/>
    <n v="8"/>
    <n v="1"/>
    <n v="0.34535890168149092"/>
    <n v="1"/>
    <n v="71.349999999999994"/>
    <n v="71.349999999999994"/>
    <n v="13.496515804004565"/>
    <n v="1432.7331451228069"/>
    <n v="1"/>
    <n v="0"/>
    <n v="0"/>
    <n v="0"/>
    <n v="0"/>
    <n v="0"/>
    <n v="0"/>
    <n v="0"/>
    <n v="0"/>
    <n v="0"/>
  </r>
  <r>
    <d v="2009-09-05T00:00:00"/>
    <n v="2009"/>
    <x v="31"/>
    <s v="R"/>
    <s v="RS"/>
    <x v="1"/>
    <s v="PHX"/>
    <s v="A"/>
    <n v="0"/>
    <n v="2"/>
    <n v="-2"/>
    <n v="2"/>
    <n v="-16"/>
    <n v="16"/>
    <n v="1523.8191119372902"/>
    <n v="1608.1423456093053"/>
    <n v="0.2399136042705817"/>
    <n v="82"/>
    <n v="100"/>
    <n v="0"/>
    <n v="-18"/>
    <n v="0"/>
    <n v="0.51093112804277363"/>
    <n v="1"/>
    <n v="71.2"/>
    <n v="71.2"/>
    <n v="-8.7276481865496436"/>
    <n v="1515.0914637507406"/>
    <n v="0"/>
    <n v="1"/>
    <n v="0"/>
    <n v="0"/>
    <n v="0"/>
    <n v="0"/>
    <n v="0"/>
    <n v="0"/>
    <n v="0"/>
    <n v="0"/>
  </r>
  <r>
    <d v="2009-09-05T00:00:00"/>
    <n v="2009"/>
    <x v="31"/>
    <s v="R"/>
    <s v="RS"/>
    <x v="9"/>
    <s v="ATL"/>
    <s v="H"/>
    <n v="2"/>
    <n v="0"/>
    <n v="2"/>
    <n v="-2"/>
    <n v="16"/>
    <n v="-16"/>
    <n v="1608.1423456093053"/>
    <n v="1523.8191119372902"/>
    <n v="0.76008639572941827"/>
    <n v="100"/>
    <n v="82"/>
    <n v="0"/>
    <n v="18"/>
    <n v="1"/>
    <n v="0.51093112804277363"/>
    <n v="1"/>
    <n v="71.2"/>
    <n v="71.2"/>
    <n v="8.7276481865496454"/>
    <n v="1616.869993795855"/>
    <n v="1"/>
    <n v="0"/>
    <n v="0"/>
    <n v="0"/>
    <n v="0"/>
    <n v="0"/>
    <n v="0"/>
    <n v="0"/>
    <n v="0"/>
    <n v="0"/>
  </r>
  <r>
    <d v="2009-09-05T00:00:00"/>
    <n v="2009"/>
    <x v="30"/>
    <s v="R"/>
    <s v="RS"/>
    <x v="5"/>
    <s v="SAS"/>
    <s v="A"/>
    <n v="3"/>
    <n v="3"/>
    <n v="0"/>
    <n v="0"/>
    <n v="0"/>
    <n v="0"/>
    <n v="1530.0075157671213"/>
    <n v="1480.7952971274342"/>
    <n v="0.45010299394907799"/>
    <n v="72"/>
    <n v="89"/>
    <n v="0"/>
    <n v="-17"/>
    <n v="0"/>
    <n v="0.51146672548092076"/>
    <n v="1"/>
    <n v="71.349999999999994"/>
    <n v="71.349999999999994"/>
    <n v="-16.425676462100345"/>
    <n v="1513.5818393050208"/>
    <n v="0"/>
    <n v="1"/>
    <n v="0"/>
    <n v="0"/>
    <n v="0"/>
    <n v="0"/>
    <n v="0"/>
    <n v="0"/>
    <n v="0"/>
    <n v="0"/>
  </r>
  <r>
    <d v="2009-09-05T00:00:00"/>
    <n v="2009"/>
    <x v="30"/>
    <s v="R"/>
    <s v="RS"/>
    <x v="8"/>
    <s v="LAS"/>
    <s v="H"/>
    <n v="3"/>
    <n v="3"/>
    <n v="0"/>
    <n v="0"/>
    <n v="0"/>
    <n v="0"/>
    <n v="1480.7952971274342"/>
    <n v="1530.0075157671213"/>
    <n v="0.54989700605092207"/>
    <n v="89"/>
    <n v="72"/>
    <n v="0"/>
    <n v="17"/>
    <n v="1"/>
    <n v="0.51146672548092076"/>
    <n v="1"/>
    <n v="71.349999999999994"/>
    <n v="71.349999999999994"/>
    <n v="16.425676462100345"/>
    <n v="1497.2209735895347"/>
    <n v="1"/>
    <n v="0"/>
    <n v="0"/>
    <n v="0"/>
    <n v="0"/>
    <n v="0"/>
    <n v="0"/>
    <n v="0"/>
    <n v="0"/>
    <n v="0"/>
  </r>
  <r>
    <d v="2009-09-06T00:00:00"/>
    <n v="2009"/>
    <x v="31"/>
    <s v="R"/>
    <s v="RS"/>
    <x v="6"/>
    <s v="DET"/>
    <s v="A"/>
    <n v="1"/>
    <n v="1"/>
    <n v="0"/>
    <n v="0"/>
    <n v="0"/>
    <n v="0"/>
    <n v="1453.0939114994578"/>
    <n v="1552.3161461737857"/>
    <n v="0.25832130113022422"/>
    <n v="75"/>
    <n v="84"/>
    <n v="0"/>
    <n v="-9"/>
    <n v="0"/>
    <n v="0.37496728394492707"/>
    <n v="1"/>
    <n v="71.2"/>
    <n v="71.2"/>
    <n v="-6.89657701089829"/>
    <n v="1446.1973344885596"/>
    <n v="0"/>
    <n v="1"/>
    <n v="0"/>
    <n v="0"/>
    <n v="0"/>
    <n v="0"/>
    <n v="0"/>
    <n v="0"/>
    <n v="0"/>
    <n v="0"/>
  </r>
  <r>
    <d v="2009-09-06T00:00:00"/>
    <n v="2009"/>
    <x v="30"/>
    <s v="R"/>
    <s v="RS"/>
    <x v="4"/>
    <s v="CHI"/>
    <s v="H"/>
    <n v="1"/>
    <n v="1"/>
    <n v="0"/>
    <n v="0"/>
    <n v="0"/>
    <n v="0"/>
    <n v="1552.3161461737857"/>
    <n v="1453.0939114994578"/>
    <n v="0.74167869886977589"/>
    <n v="84"/>
    <n v="75"/>
    <n v="0"/>
    <n v="9"/>
    <n v="1"/>
    <n v="0.37496728394492707"/>
    <n v="1"/>
    <n v="71.349999999999994"/>
    <n v="71.349999999999994"/>
    <n v="6.911106316398774"/>
    <n v="1559.2272524901844"/>
    <n v="1"/>
    <n v="0"/>
    <n v="0"/>
    <n v="0"/>
    <n v="0"/>
    <n v="0"/>
    <n v="0"/>
    <n v="0"/>
    <n v="0"/>
    <n v="0"/>
  </r>
  <r>
    <d v="2009-09-06T00:00:00"/>
    <n v="2009"/>
    <x v="31"/>
    <s v="R"/>
    <s v="RS"/>
    <x v="2"/>
    <s v="IND"/>
    <s v="A"/>
    <n v="1"/>
    <n v="1"/>
    <n v="0"/>
    <n v="0"/>
    <n v="0"/>
    <n v="0"/>
    <n v="1446.9862250072315"/>
    <n v="1561.8198393861808"/>
    <n v="0.24148077318825689"/>
    <n v="61"/>
    <n v="72"/>
    <n v="0"/>
    <n v="-11"/>
    <n v="0"/>
    <n v="0.40142201913392755"/>
    <n v="1"/>
    <n v="71.2"/>
    <n v="71.2"/>
    <n v="-6.9018218083339482"/>
    <n v="1440.0844031988975"/>
    <n v="0"/>
    <n v="1"/>
    <n v="0"/>
    <n v="0"/>
    <n v="0"/>
    <n v="0"/>
    <n v="0"/>
    <n v="0"/>
    <n v="0"/>
    <n v="0"/>
  </r>
  <r>
    <d v="2009-09-06T00:00:00"/>
    <n v="2009"/>
    <x v="30"/>
    <s v="R"/>
    <s v="RS"/>
    <x v="0"/>
    <s v="WAS"/>
    <s v="H"/>
    <n v="1"/>
    <n v="1"/>
    <n v="0"/>
    <n v="0"/>
    <n v="0"/>
    <n v="0"/>
    <n v="1561.8198393861808"/>
    <n v="1446.9862250072315"/>
    <n v="0.75851922681174311"/>
    <n v="72"/>
    <n v="61"/>
    <n v="0"/>
    <n v="11"/>
    <n v="1"/>
    <n v="0.40142201913392755"/>
    <n v="1"/>
    <n v="71.349999999999994"/>
    <n v="71.349999999999994"/>
    <n v="6.9163621632672347"/>
    <n v="1568.736201549448"/>
    <n v="1"/>
    <n v="0"/>
    <n v="0"/>
    <n v="0"/>
    <n v="0"/>
    <n v="0"/>
    <n v="0"/>
    <n v="0"/>
    <n v="0"/>
    <n v="0"/>
  </r>
  <r>
    <d v="2009-09-08T00:00:00"/>
    <n v="2009"/>
    <x v="31"/>
    <s v="R"/>
    <s v="RS"/>
    <x v="8"/>
    <s v="LAS"/>
    <s v="A"/>
    <n v="2"/>
    <n v="2"/>
    <n v="0"/>
    <n v="0"/>
    <n v="0"/>
    <n v="0"/>
    <n v="1497.2209735895347"/>
    <n v="1513.5818393050208"/>
    <n v="0.35945656515575292"/>
    <n v="68"/>
    <n v="76"/>
    <n v="0"/>
    <n v="-8"/>
    <n v="0"/>
    <n v="0.38309243180847424"/>
    <n v="1"/>
    <n v="71.2"/>
    <n v="71.2"/>
    <n v="-9.8046023848627524"/>
    <n v="1487.4163712046718"/>
    <n v="0"/>
    <n v="1"/>
    <n v="0"/>
    <n v="0"/>
    <n v="0"/>
    <n v="0"/>
    <n v="0"/>
    <n v="0"/>
    <n v="0"/>
    <n v="0"/>
  </r>
  <r>
    <d v="2009-09-08T00:00:00"/>
    <n v="2009"/>
    <x v="31"/>
    <s v="R"/>
    <s v="RS"/>
    <x v="5"/>
    <s v="SAS"/>
    <s v="H"/>
    <n v="2"/>
    <n v="2"/>
    <n v="0"/>
    <n v="0"/>
    <n v="0"/>
    <n v="0"/>
    <n v="1513.5818393050208"/>
    <n v="1497.2209735895347"/>
    <n v="0.64054343484424703"/>
    <n v="76"/>
    <n v="68"/>
    <n v="0"/>
    <n v="8"/>
    <n v="1"/>
    <n v="0.38309243180847424"/>
    <n v="1"/>
    <n v="71.2"/>
    <n v="71.2"/>
    <n v="9.8046023848627541"/>
    <n v="1523.3864416898837"/>
    <n v="1"/>
    <n v="0"/>
    <n v="0"/>
    <n v="0"/>
    <n v="0"/>
    <n v="0"/>
    <n v="0"/>
    <n v="0"/>
    <n v="0"/>
    <n v="0"/>
  </r>
  <r>
    <d v="2009-09-08T00:00:00"/>
    <n v="2009"/>
    <x v="31"/>
    <s v="R"/>
    <s v="RS"/>
    <x v="0"/>
    <s v="NYL"/>
    <s v="A"/>
    <n v="1"/>
    <n v="3"/>
    <n v="-2"/>
    <n v="2"/>
    <n v="-16"/>
    <n v="16"/>
    <n v="1568.736201549448"/>
    <n v="1449.6184389846217"/>
    <n v="0.50448670057154454"/>
    <n v="69"/>
    <n v="63"/>
    <n v="0"/>
    <n v="6"/>
    <n v="1"/>
    <n v="0.31955972792722825"/>
    <n v="1"/>
    <n v="71.2"/>
    <n v="71.2"/>
    <n v="11.274241974657246"/>
    <n v="1580.0104435241053"/>
    <n v="1"/>
    <n v="0"/>
    <n v="0"/>
    <n v="0"/>
    <n v="0"/>
    <n v="0"/>
    <n v="0"/>
    <n v="0"/>
    <n v="0"/>
    <n v="0"/>
  </r>
  <r>
    <d v="2009-09-08T00:00:00"/>
    <n v="2009"/>
    <x v="31"/>
    <s v="R"/>
    <s v="RS"/>
    <x v="12"/>
    <s v="IND"/>
    <s v="H"/>
    <n v="3"/>
    <n v="1"/>
    <n v="2"/>
    <n v="-2"/>
    <n v="16"/>
    <n v="-16"/>
    <n v="1449.6184389846217"/>
    <n v="1568.736201549448"/>
    <n v="0.49551329942845551"/>
    <n v="63"/>
    <n v="69"/>
    <n v="0"/>
    <n v="-6"/>
    <n v="0"/>
    <n v="0.31955972792722825"/>
    <n v="1"/>
    <n v="71.2"/>
    <n v="71.2"/>
    <n v="-11.274241974657247"/>
    <n v="1438.3441970099643"/>
    <n v="0"/>
    <n v="1"/>
    <n v="0"/>
    <n v="0"/>
    <n v="0"/>
    <n v="0"/>
    <n v="0"/>
    <n v="0"/>
    <n v="0"/>
    <n v="0"/>
  </r>
  <r>
    <d v="2009-09-09T00:00:00"/>
    <n v="2009"/>
    <x v="31"/>
    <s v="R"/>
    <s v="RS"/>
    <x v="4"/>
    <s v="MIN"/>
    <s v="A"/>
    <n v="2"/>
    <n v="3"/>
    <n v="-1"/>
    <n v="1"/>
    <n v="-8"/>
    <n v="8"/>
    <n v="1559.2272524901844"/>
    <n v="1432.7331451228069"/>
    <n v="0.53805435193757334"/>
    <n v="72"/>
    <n v="75"/>
    <n v="0"/>
    <n v="-3"/>
    <n v="0"/>
    <n v="0.26251170162341986"/>
    <n v="1"/>
    <n v="71.2"/>
    <n v="71.2"/>
    <n v="-10.056684120702938"/>
    <n v="1549.1705683694813"/>
    <n v="0"/>
    <n v="1"/>
    <n v="0"/>
    <n v="0"/>
    <n v="0"/>
    <n v="0"/>
    <n v="0"/>
    <n v="0"/>
    <n v="0"/>
    <n v="0"/>
  </r>
  <r>
    <d v="2009-09-09T00:00:00"/>
    <n v="2009"/>
    <x v="31"/>
    <s v="R"/>
    <s v="RS"/>
    <x v="7"/>
    <s v="DET"/>
    <s v="H"/>
    <n v="3"/>
    <n v="2"/>
    <n v="1"/>
    <n v="-1"/>
    <n v="8"/>
    <n v="-8"/>
    <n v="1432.7331451228069"/>
    <n v="1559.2272524901844"/>
    <n v="0.46194564806242666"/>
    <n v="75"/>
    <n v="72"/>
    <n v="0"/>
    <n v="3"/>
    <n v="1"/>
    <n v="0.26251170162341986"/>
    <n v="1"/>
    <n v="71.2"/>
    <n v="71.2"/>
    <n v="10.056684120702938"/>
    <n v="1442.78982924351"/>
    <n v="1"/>
    <n v="0"/>
    <n v="0"/>
    <n v="0"/>
    <n v="0"/>
    <n v="0"/>
    <n v="0"/>
    <n v="0"/>
    <n v="0"/>
    <n v="0"/>
  </r>
  <r>
    <d v="2009-09-10T00:00:00"/>
    <n v="2009"/>
    <x v="32"/>
    <s v="R"/>
    <s v="RS"/>
    <x v="0"/>
    <s v="CHI"/>
    <s v="A"/>
    <n v="1"/>
    <n v="3"/>
    <n v="-2"/>
    <n v="2"/>
    <n v="-16"/>
    <n v="16"/>
    <n v="1580.0104435241053"/>
    <n v="1446.1973344885596"/>
    <n v="0.52561268634600788"/>
    <n v="79"/>
    <n v="86"/>
    <n v="0"/>
    <n v="-7"/>
    <n v="0"/>
    <n v="0.33297663966260216"/>
    <n v="1"/>
    <n v="71.05"/>
    <n v="71.05"/>
    <n v="-12.434939807813592"/>
    <n v="1567.5755037162917"/>
    <n v="0"/>
    <n v="1"/>
    <n v="0"/>
    <n v="0"/>
    <n v="0"/>
    <n v="0"/>
    <n v="0"/>
    <n v="0"/>
    <n v="0"/>
    <n v="0"/>
  </r>
  <r>
    <d v="2009-09-10T00:00:00"/>
    <n v="2009"/>
    <x v="32"/>
    <s v="R"/>
    <s v="RS"/>
    <x v="6"/>
    <s v="IND"/>
    <s v="H"/>
    <n v="3"/>
    <n v="1"/>
    <n v="2"/>
    <n v="-2"/>
    <n v="16"/>
    <n v="-16"/>
    <n v="1446.1973344885596"/>
    <n v="1580.0104435241053"/>
    <n v="0.47438731365399217"/>
    <n v="86"/>
    <n v="79"/>
    <n v="0"/>
    <n v="7"/>
    <n v="1"/>
    <n v="0.33297663966260216"/>
    <n v="1"/>
    <n v="71.05"/>
    <n v="71.05"/>
    <n v="12.43493980781359"/>
    <n v="1458.6322742963732"/>
    <n v="1"/>
    <n v="0"/>
    <n v="0"/>
    <n v="0"/>
    <n v="0"/>
    <n v="0"/>
    <n v="0"/>
    <n v="0"/>
    <n v="0"/>
    <n v="0"/>
  </r>
  <r>
    <d v="2009-09-10T00:00:00"/>
    <n v="2009"/>
    <x v="32"/>
    <s v="R"/>
    <s v="RS"/>
    <x v="12"/>
    <s v="DET"/>
    <s v="A"/>
    <n v="1"/>
    <n v="0"/>
    <n v="1"/>
    <n v="-1"/>
    <n v="8"/>
    <n v="-8"/>
    <n v="1438.3441970099643"/>
    <n v="1549.1705683694813"/>
    <n v="0.26319901935221951"/>
    <n v="87"/>
    <n v="94"/>
    <n v="1"/>
    <n v="-7"/>
    <n v="0"/>
    <n v="0.30493416597315054"/>
    <n v="1"/>
    <n v="71.05"/>
    <n v="71.05"/>
    <n v="-5.7023574337020877"/>
    <n v="1432.6418395762623"/>
    <n v="0"/>
    <n v="1"/>
    <n v="0"/>
    <n v="0"/>
    <n v="0"/>
    <n v="0"/>
    <n v="0"/>
    <n v="0"/>
    <n v="0"/>
    <n v="0"/>
  </r>
  <r>
    <d v="2009-09-10T00:00:00"/>
    <n v="2009"/>
    <x v="32"/>
    <s v="R"/>
    <s v="RS"/>
    <x v="4"/>
    <s v="NYL"/>
    <s v="H"/>
    <n v="0"/>
    <n v="1"/>
    <n v="-1"/>
    <n v="1"/>
    <n v="-8"/>
    <n v="8"/>
    <n v="1549.1705683694813"/>
    <n v="1438.3441970099643"/>
    <n v="0.73680098064778055"/>
    <n v="94"/>
    <n v="87"/>
    <n v="1"/>
    <n v="7"/>
    <n v="1"/>
    <n v="0.30493416597315054"/>
    <n v="1"/>
    <n v="71.05"/>
    <n v="71.05"/>
    <n v="5.7023574337020868"/>
    <n v="1554.8729258031833"/>
    <n v="1"/>
    <n v="0"/>
    <n v="0"/>
    <n v="0"/>
    <n v="0"/>
    <n v="0"/>
    <n v="0"/>
    <n v="0"/>
    <n v="0"/>
    <n v="0"/>
  </r>
  <r>
    <d v="2009-09-10T00:00:00"/>
    <n v="2009"/>
    <x v="32"/>
    <s v="R"/>
    <s v="RS"/>
    <x v="8"/>
    <s v="SAC"/>
    <s v="A"/>
    <n v="1"/>
    <n v="5"/>
    <n v="-4"/>
    <n v="4"/>
    <n v="-16"/>
    <n v="16"/>
    <n v="1487.4163712046718"/>
    <n v="1441.2978196661534"/>
    <n v="0.40076708148519502"/>
    <n v="80"/>
    <n v="71"/>
    <n v="0"/>
    <n v="9"/>
    <n v="1"/>
    <n v="0.39094661737858954"/>
    <n v="1"/>
    <n v="71.05"/>
    <n v="71.05"/>
    <n v="16.644747262709433"/>
    <n v="1504.0611184673812"/>
    <n v="1"/>
    <n v="0"/>
    <n v="0"/>
    <n v="0"/>
    <n v="0"/>
    <n v="0"/>
    <n v="0"/>
    <n v="0"/>
    <n v="0"/>
    <n v="0"/>
  </r>
  <r>
    <d v="2009-09-10T00:00:00"/>
    <n v="2009"/>
    <x v="32"/>
    <s v="R"/>
    <s v="RS"/>
    <x v="11"/>
    <s v="SAS"/>
    <s v="H"/>
    <n v="5"/>
    <n v="1"/>
    <n v="4"/>
    <n v="-4"/>
    <n v="16"/>
    <n v="-16"/>
    <n v="1441.2978196661534"/>
    <n v="1487.4163712046718"/>
    <n v="0.59923291851480498"/>
    <n v="71"/>
    <n v="80"/>
    <n v="0"/>
    <n v="-9"/>
    <n v="0"/>
    <n v="0.39094661737858954"/>
    <n v="1"/>
    <n v="71.05"/>
    <n v="71.05"/>
    <n v="-16.644747262709433"/>
    <n v="1424.653072403444"/>
    <n v="0"/>
    <n v="1"/>
    <n v="0"/>
    <n v="0"/>
    <n v="0"/>
    <n v="0"/>
    <n v="0"/>
    <n v="0"/>
    <n v="0"/>
    <n v="0"/>
  </r>
  <r>
    <d v="2009-09-10T00:00:00"/>
    <n v="2009"/>
    <x v="32"/>
    <s v="R"/>
    <s v="RS"/>
    <x v="9"/>
    <s v="SEA"/>
    <s v="A"/>
    <n v="4"/>
    <n v="4"/>
    <n v="0"/>
    <n v="0"/>
    <n v="0"/>
    <n v="0"/>
    <n v="1616.869993795855"/>
    <n v="1555.0275907213309"/>
    <n v="0.46815581540356044"/>
    <n v="92"/>
    <n v="84"/>
    <n v="1"/>
    <n v="8"/>
    <n v="1"/>
    <n v="0.33235590813988319"/>
    <n v="1"/>
    <n v="71.05"/>
    <n v="71.05"/>
    <n v="12.558908622041063"/>
    <n v="1629.4289024178961"/>
    <n v="1"/>
    <n v="0"/>
    <n v="0"/>
    <n v="0"/>
    <n v="0"/>
    <n v="0"/>
    <n v="0"/>
    <n v="0"/>
    <n v="0"/>
    <n v="0"/>
  </r>
  <r>
    <d v="2009-09-10T00:00:00"/>
    <n v="2009"/>
    <x v="32"/>
    <s v="R"/>
    <s v="RS"/>
    <x v="10"/>
    <s v="PHX"/>
    <s v="H"/>
    <n v="4"/>
    <n v="4"/>
    <n v="0"/>
    <n v="0"/>
    <n v="0"/>
    <n v="0"/>
    <n v="1555.0275907213309"/>
    <n v="1616.869993795855"/>
    <n v="0.53184418459643956"/>
    <n v="84"/>
    <n v="92"/>
    <n v="1"/>
    <n v="-8"/>
    <n v="0"/>
    <n v="0.33235590813988319"/>
    <n v="1"/>
    <n v="71.05"/>
    <n v="71.05"/>
    <n v="-12.558908622041063"/>
    <n v="1542.4686820992897"/>
    <n v="0"/>
    <n v="1"/>
    <n v="0"/>
    <n v="0"/>
    <n v="0"/>
    <n v="0"/>
    <n v="0"/>
    <n v="0"/>
    <n v="0"/>
    <n v="0"/>
  </r>
  <r>
    <d v="2009-09-11T00:00:00"/>
    <n v="2009"/>
    <x v="32"/>
    <s v="R"/>
    <s v="RS"/>
    <x v="3"/>
    <s v="ATL"/>
    <s v="A"/>
    <n v="6"/>
    <n v="5"/>
    <n v="1"/>
    <n v="-1"/>
    <n v="8"/>
    <n v="-8"/>
    <n v="1481.6240449256375"/>
    <n v="1515.0914637507406"/>
    <n v="0.35799124381545228"/>
    <n v="64"/>
    <n v="88"/>
    <n v="0"/>
    <n v="-24"/>
    <n v="0"/>
    <n v="0.61137984338173468"/>
    <n v="1"/>
    <n v="71.05"/>
    <n v="71.05"/>
    <n v="-15.550616202419372"/>
    <n v="1466.0734287232181"/>
    <n v="0"/>
    <n v="1"/>
    <n v="0"/>
    <n v="0"/>
    <n v="0"/>
    <n v="0"/>
    <n v="0"/>
    <n v="0"/>
    <n v="0"/>
    <n v="0"/>
  </r>
  <r>
    <d v="2009-09-11T00:00:00"/>
    <n v="2009"/>
    <x v="32"/>
    <s v="R"/>
    <s v="RS"/>
    <x v="1"/>
    <s v="CON"/>
    <s v="H"/>
    <n v="5"/>
    <n v="6"/>
    <n v="-1"/>
    <n v="1"/>
    <n v="-8"/>
    <n v="8"/>
    <n v="1515.0914637507406"/>
    <n v="1481.6240449256375"/>
    <n v="0.64200875618454767"/>
    <n v="88"/>
    <n v="64"/>
    <n v="0"/>
    <n v="24"/>
    <n v="1"/>
    <n v="0.61137984338173468"/>
    <n v="1"/>
    <n v="71.05"/>
    <n v="71.05"/>
    <n v="15.550616202419375"/>
    <n v="1530.64207995316"/>
    <n v="1"/>
    <n v="0"/>
    <n v="0"/>
    <n v="0"/>
    <n v="0"/>
    <n v="0"/>
    <n v="0"/>
    <n v="0"/>
    <n v="0"/>
    <n v="0"/>
  </r>
  <r>
    <d v="2009-09-11T00:00:00"/>
    <n v="2009"/>
    <x v="32"/>
    <s v="R"/>
    <s v="RS"/>
    <x v="7"/>
    <s v="LAS"/>
    <s v="A"/>
    <n v="1"/>
    <n v="2"/>
    <n v="-1"/>
    <n v="1"/>
    <n v="-8"/>
    <n v="8"/>
    <n v="1442.78982924351"/>
    <n v="1523.3864416898837"/>
    <n v="0.2612276313822805"/>
    <n v="61"/>
    <n v="90"/>
    <n v="0"/>
    <n v="-29"/>
    <n v="0"/>
    <n v="0.64785080325040378"/>
    <n v="1"/>
    <n v="71.05"/>
    <n v="71.05"/>
    <n v="-12.024255514918078"/>
    <n v="1430.765573728592"/>
    <n v="0"/>
    <n v="1"/>
    <n v="0"/>
    <n v="0"/>
    <n v="0"/>
    <n v="0"/>
    <n v="0"/>
    <n v="0"/>
    <n v="0"/>
    <n v="0"/>
  </r>
  <r>
    <d v="2009-09-11T00:00:00"/>
    <n v="2009"/>
    <x v="32"/>
    <s v="R"/>
    <s v="RS"/>
    <x v="5"/>
    <s v="MIN"/>
    <s v="H"/>
    <n v="2"/>
    <n v="1"/>
    <n v="1"/>
    <n v="-1"/>
    <n v="8"/>
    <n v="-8"/>
    <n v="1523.3864416898837"/>
    <n v="1442.78982924351"/>
    <n v="0.73877236861771955"/>
    <n v="90"/>
    <n v="61"/>
    <n v="0"/>
    <n v="29"/>
    <n v="1"/>
    <n v="0.64785080325040378"/>
    <n v="1"/>
    <n v="71.05"/>
    <n v="71.05"/>
    <n v="12.024255514918075"/>
    <n v="1535.4106972048016"/>
    <n v="1"/>
    <n v="0"/>
    <n v="0"/>
    <n v="0"/>
    <n v="0"/>
    <n v="0"/>
    <n v="0"/>
    <n v="0"/>
    <n v="0"/>
    <n v="0"/>
  </r>
  <r>
    <d v="2009-09-12T00:00:00"/>
    <n v="2009"/>
    <x v="33"/>
    <s v="R"/>
    <s v="RS"/>
    <x v="4"/>
    <s v="CHI"/>
    <s v="A"/>
    <n v="1"/>
    <n v="1"/>
    <n v="0"/>
    <n v="0"/>
    <n v="0"/>
    <n v="0"/>
    <n v="1554.8729258031833"/>
    <n v="1458.6322742963732"/>
    <n v="0.51760842865023848"/>
    <n v="80"/>
    <n v="69"/>
    <n v="0"/>
    <n v="11"/>
    <n v="1"/>
    <n v="0.40717991963576733"/>
    <n v="1"/>
    <n v="70.900000000000006"/>
    <n v="70.900000000000006"/>
    <n v="13.926189432991372"/>
    <n v="1568.7991152361747"/>
    <n v="1"/>
    <n v="0"/>
    <n v="0"/>
    <n v="0"/>
    <n v="0"/>
    <n v="0"/>
    <n v="0"/>
    <n v="0"/>
    <n v="0"/>
    <n v="0"/>
  </r>
  <r>
    <d v="2009-09-12T00:00:00"/>
    <n v="2009"/>
    <x v="33"/>
    <s v="R"/>
    <s v="RS"/>
    <x v="6"/>
    <s v="DET"/>
    <s v="H"/>
    <n v="1"/>
    <n v="1"/>
    <n v="0"/>
    <n v="0"/>
    <n v="0"/>
    <n v="0"/>
    <n v="1458.6322742963732"/>
    <n v="1554.8729258031833"/>
    <n v="0.48239157134976152"/>
    <n v="69"/>
    <n v="80"/>
    <n v="0"/>
    <n v="-11"/>
    <n v="0"/>
    <n v="0.40717991963576733"/>
    <n v="1"/>
    <n v="70.900000000000006"/>
    <n v="70.900000000000006"/>
    <n v="-13.926189432991372"/>
    <n v="1444.7060848633819"/>
    <n v="0"/>
    <n v="1"/>
    <n v="0"/>
    <n v="0"/>
    <n v="0"/>
    <n v="0"/>
    <n v="0"/>
    <n v="0"/>
    <n v="0"/>
    <n v="0"/>
  </r>
  <r>
    <d v="2009-09-12T00:00:00"/>
    <n v="2009"/>
    <x v="33"/>
    <s v="R"/>
    <s v="RS"/>
    <x v="10"/>
    <s v="SAS"/>
    <s v="A"/>
    <n v="1"/>
    <n v="1"/>
    <n v="0"/>
    <n v="0"/>
    <n v="0"/>
    <n v="0"/>
    <n v="1542.4686820992897"/>
    <n v="1504.0611184673812"/>
    <n v="0.43476125432155843"/>
    <n v="64"/>
    <n v="55"/>
    <n v="0"/>
    <n v="9"/>
    <n v="1"/>
    <n v="0.3933808601329663"/>
    <n v="1"/>
    <n v="70.900000000000006"/>
    <n v="70.900000000000006"/>
    <n v="15.764905970442422"/>
    <n v="1558.2335880697321"/>
    <n v="1"/>
    <n v="0"/>
    <n v="0"/>
    <n v="0"/>
    <n v="0"/>
    <n v="0"/>
    <n v="0"/>
    <n v="0"/>
    <n v="0"/>
    <n v="0"/>
  </r>
  <r>
    <d v="2009-09-12T00:00:00"/>
    <n v="2009"/>
    <x v="33"/>
    <s v="R"/>
    <s v="RS"/>
    <x v="8"/>
    <s v="SEA"/>
    <s v="H"/>
    <n v="1"/>
    <n v="1"/>
    <n v="0"/>
    <n v="0"/>
    <n v="0"/>
    <n v="0"/>
    <n v="1504.0611184673812"/>
    <n v="1542.4686820992897"/>
    <n v="0.56523874567844157"/>
    <n v="55"/>
    <n v="64"/>
    <n v="0"/>
    <n v="-9"/>
    <n v="0"/>
    <n v="0.3933808601329663"/>
    <n v="1"/>
    <n v="70.900000000000006"/>
    <n v="70.900000000000006"/>
    <n v="-15.764905970442422"/>
    <n v="1488.2962124969388"/>
    <n v="0"/>
    <n v="1"/>
    <n v="0"/>
    <n v="0"/>
    <n v="0"/>
    <n v="0"/>
    <n v="0"/>
    <n v="0"/>
    <n v="0"/>
    <n v="0"/>
  </r>
  <r>
    <d v="2009-09-12T00:00:00"/>
    <n v="2009"/>
    <x v="33"/>
    <s v="R"/>
    <s v="RS"/>
    <x v="1"/>
    <s v="WAS"/>
    <s v="A"/>
    <n v="0"/>
    <n v="5"/>
    <n v="-5"/>
    <n v="5"/>
    <n v="-16"/>
    <n v="16"/>
    <n v="1530.64207995316"/>
    <n v="1440.0844031988975"/>
    <n v="0.46345086148677095"/>
    <n v="64"/>
    <n v="82"/>
    <n v="0"/>
    <n v="-18"/>
    <n v="0"/>
    <n v="0.5084629151964154"/>
    <n v="1"/>
    <n v="70.900000000000006"/>
    <n v="70.900000000000006"/>
    <n v="-16.707413144203429"/>
    <n v="1513.9346668089565"/>
    <n v="0"/>
    <n v="1"/>
    <n v="0"/>
    <n v="0"/>
    <n v="0"/>
    <n v="0"/>
    <n v="0"/>
    <n v="0"/>
    <n v="0"/>
    <n v="0"/>
  </r>
  <r>
    <d v="2009-09-12T00:00:00"/>
    <n v="2009"/>
    <x v="32"/>
    <s v="R"/>
    <s v="RS"/>
    <x v="2"/>
    <s v="ATL"/>
    <s v="H"/>
    <n v="5"/>
    <n v="0"/>
    <n v="5"/>
    <n v="-5"/>
    <n v="16"/>
    <n v="-16"/>
    <n v="1440.0844031988975"/>
    <n v="1530.64207995316"/>
    <n v="0.53654913851322905"/>
    <n v="82"/>
    <n v="64"/>
    <n v="0"/>
    <n v="18"/>
    <n v="1"/>
    <n v="0.5084629151964154"/>
    <n v="1"/>
    <n v="71.05"/>
    <n v="71.05"/>
    <n v="16.742760280615702"/>
    <n v="1456.8271634795133"/>
    <n v="1"/>
    <n v="0"/>
    <n v="0"/>
    <n v="0"/>
    <n v="0"/>
    <n v="0"/>
    <n v="0"/>
    <n v="0"/>
    <n v="0"/>
    <n v="0"/>
  </r>
  <r>
    <d v="2009-09-13T00:00:00"/>
    <n v="2009"/>
    <x v="33"/>
    <s v="R"/>
    <s v="RS"/>
    <x v="0"/>
    <s v="CON"/>
    <s v="A"/>
    <n v="2"/>
    <n v="1"/>
    <n v="1"/>
    <n v="-1"/>
    <n v="8"/>
    <n v="-8"/>
    <n v="1567.5755037162917"/>
    <n v="1466.0734287232181"/>
    <n v="0.54806448413336117"/>
    <n v="85"/>
    <n v="95"/>
    <n v="0"/>
    <n v="-10"/>
    <n v="0"/>
    <n v="0.39013048765323172"/>
    <n v="1"/>
    <n v="70.900000000000006"/>
    <n v="70.900000000000006"/>
    <n v="-15.159601510239884"/>
    <n v="1552.4159022060519"/>
    <n v="0"/>
    <n v="1"/>
    <n v="0"/>
    <n v="0"/>
    <n v="0"/>
    <n v="0"/>
    <n v="0"/>
    <n v="0"/>
    <n v="0"/>
    <n v="0"/>
  </r>
  <r>
    <d v="2009-09-13T00:00:00"/>
    <n v="2009"/>
    <x v="33"/>
    <s v="R"/>
    <s v="RS"/>
    <x v="3"/>
    <s v="IND"/>
    <s v="H"/>
    <n v="1"/>
    <n v="2"/>
    <n v="-1"/>
    <n v="1"/>
    <n v="-8"/>
    <n v="8"/>
    <n v="1466.0734287232181"/>
    <n v="1567.5755037162917"/>
    <n v="0.45193551586663872"/>
    <n v="95"/>
    <n v="85"/>
    <n v="0"/>
    <n v="10"/>
    <n v="1"/>
    <n v="0.39013048765323172"/>
    <n v="1"/>
    <n v="70.900000000000006"/>
    <n v="70.900000000000006"/>
    <n v="15.159601510239886"/>
    <n v="1481.2330302334578"/>
    <n v="1"/>
    <n v="0"/>
    <n v="0"/>
    <n v="0"/>
    <n v="0"/>
    <n v="0"/>
    <n v="0"/>
    <n v="0"/>
    <n v="0"/>
    <n v="0"/>
  </r>
  <r>
    <d v="2009-09-13T00:00:00"/>
    <n v="2009"/>
    <x v="33"/>
    <s v="R"/>
    <s v="RS"/>
    <x v="2"/>
    <s v="NYL"/>
    <s v="A"/>
    <n v="0"/>
    <n v="2"/>
    <n v="-2"/>
    <n v="2"/>
    <n v="-16"/>
    <n v="16"/>
    <n v="1456.8271634795133"/>
    <n v="1432.6418395762623"/>
    <n v="0.3708603297565452"/>
    <n v="65"/>
    <n v="86"/>
    <n v="0"/>
    <n v="-21"/>
    <n v="0"/>
    <n v="0.57694822306226545"/>
    <n v="1"/>
    <n v="70.900000000000006"/>
    <n v="70.900000000000006"/>
    <n v="-15.170275065444313"/>
    <n v="1441.656888414069"/>
    <n v="0"/>
    <n v="1"/>
    <n v="0"/>
    <n v="0"/>
    <n v="0"/>
    <n v="0"/>
    <n v="0"/>
    <n v="0"/>
    <n v="0"/>
    <n v="0"/>
  </r>
  <r>
    <d v="2009-09-13T00:00:00"/>
    <n v="2009"/>
    <x v="33"/>
    <s v="R"/>
    <s v="RS"/>
    <x v="12"/>
    <s v="WAS"/>
    <s v="H"/>
    <n v="2"/>
    <n v="0"/>
    <n v="2"/>
    <n v="-2"/>
    <n v="16"/>
    <n v="-16"/>
    <n v="1432.6418395762623"/>
    <n v="1456.8271634795133"/>
    <n v="0.62913967024345474"/>
    <n v="86"/>
    <n v="65"/>
    <n v="0"/>
    <n v="21"/>
    <n v="1"/>
    <n v="0.57694822306226545"/>
    <n v="1"/>
    <n v="70.900000000000006"/>
    <n v="70.900000000000006"/>
    <n v="15.170275065444317"/>
    <n v="1447.8121146417066"/>
    <n v="1"/>
    <n v="0"/>
    <n v="0"/>
    <n v="0"/>
    <n v="0"/>
    <n v="0"/>
    <n v="0"/>
    <n v="0"/>
    <n v="0"/>
    <n v="0"/>
  </r>
  <r>
    <d v="2009-09-13T00:00:00"/>
    <n v="2009"/>
    <x v="33"/>
    <s v="R"/>
    <s v="RS"/>
    <x v="5"/>
    <s v="PHX"/>
    <s v="A"/>
    <n v="1"/>
    <n v="2"/>
    <n v="-1"/>
    <n v="1"/>
    <n v="-8"/>
    <n v="8"/>
    <n v="1535.4106972048016"/>
    <n v="1629.4289024178961"/>
    <n v="0.24659445180369088"/>
    <n v="81"/>
    <n v="78"/>
    <n v="0"/>
    <n v="3"/>
    <n v="1"/>
    <n v="0.26909994304222784"/>
    <n v="1"/>
    <n v="70.900000000000006"/>
    <n v="70.900000000000006"/>
    <n v="14.37436455860936"/>
    <n v="1549.785061763411"/>
    <n v="1"/>
    <n v="0"/>
    <n v="0"/>
    <n v="0"/>
    <n v="0"/>
    <n v="0"/>
    <n v="0"/>
    <n v="0"/>
    <n v="0"/>
    <n v="0"/>
  </r>
  <r>
    <d v="2009-09-13T00:00:00"/>
    <n v="2009"/>
    <x v="33"/>
    <s v="R"/>
    <s v="RS"/>
    <x v="9"/>
    <s v="LAS"/>
    <s v="H"/>
    <n v="2"/>
    <n v="1"/>
    <n v="1"/>
    <n v="-1"/>
    <n v="8"/>
    <n v="-8"/>
    <n v="1629.4289024178961"/>
    <n v="1535.4106972048016"/>
    <n v="0.75340554819630912"/>
    <n v="78"/>
    <n v="81"/>
    <n v="0"/>
    <n v="-3"/>
    <n v="0"/>
    <n v="0.26909994304222784"/>
    <n v="1"/>
    <n v="70.900000000000006"/>
    <n v="70.900000000000006"/>
    <n v="-14.37436455860936"/>
    <n v="1615.0545378592867"/>
    <n v="0"/>
    <n v="1"/>
    <n v="0"/>
    <n v="0"/>
    <n v="0"/>
    <n v="0"/>
    <n v="0"/>
    <n v="0"/>
    <n v="0"/>
    <n v="0"/>
  </r>
  <r>
    <d v="2009-09-13T00:00:00"/>
    <n v="2009"/>
    <x v="33"/>
    <s v="R"/>
    <s v="RS"/>
    <x v="7"/>
    <s v="SAC"/>
    <s v="A"/>
    <n v="1"/>
    <n v="2"/>
    <n v="-1"/>
    <n v="1"/>
    <n v="-8"/>
    <n v="8"/>
    <n v="1430.765573728592"/>
    <n v="1424.653072403444"/>
    <n v="0.36808060727427117"/>
    <n v="66"/>
    <n v="88"/>
    <n v="0"/>
    <n v="-22"/>
    <n v="0"/>
    <n v="0.59900498899599941"/>
    <n v="1"/>
    <n v="70.900000000000006"/>
    <n v="70.900000000000006"/>
    <n v="-15.632182315796562"/>
    <n v="1415.1333914127954"/>
    <n v="0"/>
    <n v="1"/>
    <n v="0"/>
    <n v="0"/>
    <n v="0"/>
    <n v="0"/>
    <n v="0"/>
    <n v="0"/>
    <n v="0"/>
    <n v="0"/>
  </r>
  <r>
    <d v="2009-09-13T00:00:00"/>
    <n v="2009"/>
    <x v="33"/>
    <s v="R"/>
    <s v="RS"/>
    <x v="11"/>
    <s v="MIN"/>
    <s v="H"/>
    <n v="2"/>
    <n v="1"/>
    <n v="1"/>
    <n v="-1"/>
    <n v="8"/>
    <n v="-8"/>
    <n v="1424.653072403444"/>
    <n v="1430.765573728592"/>
    <n v="0.63191939272572883"/>
    <n v="88"/>
    <n v="66"/>
    <n v="0"/>
    <n v="22"/>
    <n v="1"/>
    <n v="0.59900498899599941"/>
    <n v="1"/>
    <n v="70.900000000000006"/>
    <n v="70.900000000000006"/>
    <n v="15.632182315796562"/>
    <n v="1440.2852547192406"/>
    <n v="1"/>
    <n v="0"/>
    <n v="0"/>
    <n v="0"/>
    <n v="0"/>
    <n v="0"/>
    <n v="0"/>
    <n v="0"/>
    <n v="0"/>
    <n v="0"/>
  </r>
  <r>
    <d v="2009-09-16T00:00:00"/>
    <n v="2009"/>
    <x v="34"/>
    <s v="P"/>
    <n v="1"/>
    <x v="1"/>
    <s v="DET"/>
    <s v="A"/>
    <n v="3"/>
    <n v="3"/>
    <n v="0"/>
    <n v="0"/>
    <n v="0"/>
    <n v="0"/>
    <n v="1513.9346668089565"/>
    <n v="1568.7991152361747"/>
    <n v="0.31016072127143518"/>
    <n v="89"/>
    <n v="94"/>
    <n v="0"/>
    <n v="-5"/>
    <n v="0"/>
    <n v="0.31725113501499236"/>
    <n v="1.1000000000000001"/>
    <n v="70.75"/>
    <n v="77.825000000000003"/>
    <n v="-7.6578897899630816"/>
    <n v="1506.2767770189935"/>
    <n v="0"/>
    <n v="0"/>
    <n v="0"/>
    <n v="1"/>
    <n v="0"/>
    <n v="0"/>
    <n v="0"/>
    <n v="0"/>
    <n v="0"/>
    <n v="0"/>
  </r>
  <r>
    <d v="2009-09-16T00:00:00"/>
    <n v="2009"/>
    <x v="34"/>
    <s v="P"/>
    <n v="1"/>
    <x v="4"/>
    <s v="ATL"/>
    <s v="H"/>
    <n v="3"/>
    <n v="3"/>
    <n v="0"/>
    <n v="0"/>
    <n v="0"/>
    <n v="0"/>
    <n v="1568.7991152361747"/>
    <n v="1513.9346668089565"/>
    <n v="0.68983927872856488"/>
    <n v="94"/>
    <n v="89"/>
    <n v="0"/>
    <n v="5"/>
    <n v="1"/>
    <n v="0.31725113501499236"/>
    <n v="1.1000000000000001"/>
    <n v="70.75"/>
    <n v="77.825000000000003"/>
    <n v="7.6578897899630798"/>
    <n v="1576.4570050261377"/>
    <n v="0"/>
    <n v="0"/>
    <n v="1"/>
    <n v="0"/>
    <n v="0"/>
    <n v="0"/>
    <n v="0"/>
    <n v="0"/>
    <n v="0"/>
    <n v="0"/>
  </r>
  <r>
    <d v="2009-09-16T00:00:00"/>
    <n v="2009"/>
    <x v="34"/>
    <s v="P"/>
    <n v="1"/>
    <x v="10"/>
    <s v="LAS"/>
    <s v="A"/>
    <n v="3"/>
    <n v="2"/>
    <n v="1"/>
    <n v="-1"/>
    <n v="8"/>
    <n v="-8"/>
    <n v="1558.2335880697321"/>
    <n v="1549.785061763411"/>
    <n v="0.41512806664288354"/>
    <n v="63"/>
    <n v="70"/>
    <n v="0"/>
    <n v="-7"/>
    <n v="0"/>
    <n v="0.36751967280069731"/>
    <n v="1.1000000000000001"/>
    <n v="70.75"/>
    <n v="77.825000000000003"/>
    <n v="-11.873583682428311"/>
    <n v="1546.3600043873039"/>
    <n v="0"/>
    <n v="0"/>
    <n v="0"/>
    <n v="1"/>
    <n v="0"/>
    <n v="0"/>
    <n v="0"/>
    <n v="0"/>
    <n v="0"/>
    <n v="0"/>
  </r>
  <r>
    <d v="2009-09-16T00:00:00"/>
    <n v="2009"/>
    <x v="34"/>
    <s v="P"/>
    <n v="1"/>
    <x v="5"/>
    <s v="SEA"/>
    <s v="H"/>
    <n v="2"/>
    <n v="3"/>
    <n v="-1"/>
    <n v="1"/>
    <n v="-8"/>
    <n v="8"/>
    <n v="1549.785061763411"/>
    <n v="1558.2335880697321"/>
    <n v="0.58487193335711651"/>
    <n v="70"/>
    <n v="63"/>
    <n v="0"/>
    <n v="7"/>
    <n v="1"/>
    <n v="0.36751967280069731"/>
    <n v="1.1000000000000001"/>
    <n v="70.75"/>
    <n v="77.825000000000003"/>
    <n v="11.873583682428309"/>
    <n v="1561.6586454458393"/>
    <n v="0"/>
    <n v="0"/>
    <n v="1"/>
    <n v="0"/>
    <n v="0"/>
    <n v="0"/>
    <n v="0"/>
    <n v="0"/>
    <n v="0"/>
    <n v="0"/>
  </r>
  <r>
    <d v="2009-09-17T00:00:00"/>
    <n v="2009"/>
    <x v="34"/>
    <s v="P"/>
    <n v="1"/>
    <x v="9"/>
    <s v="SAS"/>
    <s v="A"/>
    <n v="3"/>
    <n v="4"/>
    <n v="-1"/>
    <n v="1"/>
    <n v="-8"/>
    <n v="8"/>
    <n v="1615.0545378592867"/>
    <n v="1488.2962124969388"/>
    <n v="0.53843236769083891"/>
    <n v="91"/>
    <n v="92"/>
    <n v="0"/>
    <n v="-1"/>
    <n v="0"/>
    <n v="0.22085077557612257"/>
    <n v="1.1000000000000001"/>
    <n v="70.75"/>
    <n v="77.825000000000003"/>
    <n v="-9.2544202569351963"/>
    <n v="1605.8001176023515"/>
    <n v="0"/>
    <n v="0"/>
    <n v="0"/>
    <n v="1"/>
    <n v="0"/>
    <n v="0"/>
    <n v="0"/>
    <n v="0"/>
    <n v="0"/>
    <n v="0"/>
  </r>
  <r>
    <d v="2009-09-17T00:00:00"/>
    <n v="2009"/>
    <x v="34"/>
    <s v="P"/>
    <n v="1"/>
    <x v="8"/>
    <s v="PHX"/>
    <s v="H"/>
    <n v="4"/>
    <n v="3"/>
    <n v="1"/>
    <n v="-1"/>
    <n v="8"/>
    <n v="-8"/>
    <n v="1488.2962124969388"/>
    <n v="1615.0545378592867"/>
    <n v="0.46156763230916115"/>
    <n v="92"/>
    <n v="91"/>
    <n v="0"/>
    <n v="1"/>
    <n v="1"/>
    <n v="0.22085077557612257"/>
    <n v="1.1000000000000001"/>
    <n v="70.75"/>
    <n v="77.825000000000003"/>
    <n v="9.2544202569351963"/>
    <n v="1497.550632753874"/>
    <n v="0"/>
    <n v="0"/>
    <n v="1"/>
    <n v="0"/>
    <n v="0"/>
    <n v="0"/>
    <n v="0"/>
    <n v="0"/>
    <n v="0"/>
    <n v="0"/>
  </r>
  <r>
    <d v="2009-09-17T00:00:00"/>
    <n v="2009"/>
    <x v="34"/>
    <s v="P"/>
    <n v="1"/>
    <x v="0"/>
    <s v="WAS"/>
    <s v="A"/>
    <n v="3"/>
    <n v="3"/>
    <n v="0"/>
    <n v="0"/>
    <n v="0"/>
    <n v="0"/>
    <n v="1552.4159022060519"/>
    <n v="1441.656888414069"/>
    <n v="0.53843335256715519"/>
    <n v="88"/>
    <n v="79"/>
    <n v="0"/>
    <n v="9"/>
    <n v="1"/>
    <n v="0.37166697115996677"/>
    <n v="1.1000000000000001"/>
    <n v="70.75"/>
    <n v="77.825000000000003"/>
    <n v="13.350806982884434"/>
    <n v="1565.7667091889364"/>
    <n v="0"/>
    <n v="0"/>
    <n v="1"/>
    <n v="0"/>
    <n v="0"/>
    <n v="0"/>
    <n v="0"/>
    <n v="0"/>
    <n v="0"/>
    <n v="0"/>
  </r>
  <r>
    <d v="2009-09-17T00:00:00"/>
    <n v="2009"/>
    <x v="34"/>
    <s v="P"/>
    <n v="1"/>
    <x v="2"/>
    <s v="IND"/>
    <s v="H"/>
    <n v="3"/>
    <n v="3"/>
    <n v="0"/>
    <n v="0"/>
    <n v="0"/>
    <n v="0"/>
    <n v="1441.656888414069"/>
    <n v="1552.4159022060519"/>
    <n v="0.46156664743284481"/>
    <n v="79"/>
    <n v="88"/>
    <n v="0"/>
    <n v="-9"/>
    <n v="0"/>
    <n v="0.37166697115996677"/>
    <n v="1.1000000000000001"/>
    <n v="70.75"/>
    <n v="77.825000000000003"/>
    <n v="-13.350806982884434"/>
    <n v="1428.3060814311846"/>
    <n v="0"/>
    <n v="0"/>
    <n v="0"/>
    <n v="1"/>
    <n v="0"/>
    <n v="0"/>
    <n v="0"/>
    <n v="0"/>
    <n v="0"/>
    <n v="0"/>
  </r>
  <r>
    <d v="2009-09-18T00:00:00"/>
    <n v="2009"/>
    <x v="35"/>
    <s v="P"/>
    <n v="1"/>
    <x v="4"/>
    <s v="ATL"/>
    <s v="A"/>
    <n v="1"/>
    <n v="1"/>
    <n v="0"/>
    <n v="0"/>
    <n v="0"/>
    <n v="0"/>
    <n v="1576.4570050261377"/>
    <n v="1506.2767770189935"/>
    <n v="0.4801222316189217"/>
    <n v="94"/>
    <n v="79"/>
    <n v="0"/>
    <n v="15"/>
    <n v="1"/>
    <n v="0.47506457772630534"/>
    <n v="1.1000000000000001"/>
    <n v="70.599999999999994"/>
    <n v="77.66"/>
    <n v="19.180118301157783"/>
    <n v="1595.6371233272955"/>
    <n v="0"/>
    <n v="0"/>
    <n v="1"/>
    <n v="0"/>
    <n v="0"/>
    <n v="0"/>
    <n v="0"/>
    <n v="0"/>
    <n v="0"/>
    <n v="0"/>
  </r>
  <r>
    <d v="2009-09-18T00:00:00"/>
    <n v="2009"/>
    <x v="35"/>
    <s v="P"/>
    <n v="1"/>
    <x v="1"/>
    <s v="DET"/>
    <s v="H"/>
    <n v="1"/>
    <n v="1"/>
    <n v="0"/>
    <n v="0"/>
    <n v="0"/>
    <n v="0"/>
    <n v="1506.2767770189935"/>
    <n v="1576.4570050261377"/>
    <n v="0.51987776838107835"/>
    <n v="79"/>
    <n v="94"/>
    <n v="0"/>
    <n v="-15"/>
    <n v="0"/>
    <n v="0.47506457772630534"/>
    <n v="1.1000000000000001"/>
    <n v="70.599999999999994"/>
    <n v="77.66"/>
    <n v="-19.180118301157787"/>
    <n v="1487.0966587178357"/>
    <n v="0"/>
    <n v="0"/>
    <n v="0"/>
    <n v="1"/>
    <n v="0"/>
    <n v="0"/>
    <n v="0"/>
    <n v="0"/>
    <n v="0"/>
    <n v="0"/>
  </r>
  <r>
    <d v="2009-09-18T00:00:00"/>
    <n v="2009"/>
    <x v="35"/>
    <s v="P"/>
    <n v="1"/>
    <x v="5"/>
    <s v="SEA"/>
    <s v="A"/>
    <n v="1"/>
    <n v="1"/>
    <n v="0"/>
    <n v="0"/>
    <n v="0"/>
    <n v="0"/>
    <n v="1561.6586454458393"/>
    <n v="1546.3600043873039"/>
    <n v="0.4023995677753931"/>
    <n v="74"/>
    <n v="75"/>
    <n v="0"/>
    <n v="-1"/>
    <n v="0"/>
    <n v="0.24110584448867073"/>
    <n v="1.1000000000000001"/>
    <n v="70.599999999999994"/>
    <n v="77.66"/>
    <n v="-7.5346421318207311"/>
    <n v="1554.1240033140186"/>
    <n v="0"/>
    <n v="0"/>
    <n v="0"/>
    <n v="1"/>
    <n v="0"/>
    <n v="0"/>
    <n v="0"/>
    <n v="0"/>
    <n v="0"/>
    <n v="0"/>
  </r>
  <r>
    <d v="2009-09-18T00:00:00"/>
    <n v="2009"/>
    <x v="35"/>
    <s v="P"/>
    <n v="1"/>
    <x v="10"/>
    <s v="LAS"/>
    <s v="H"/>
    <n v="1"/>
    <n v="1"/>
    <n v="0"/>
    <n v="0"/>
    <n v="0"/>
    <n v="0"/>
    <n v="1546.3600043873039"/>
    <n v="1561.6586454458393"/>
    <n v="0.59760043222460679"/>
    <n v="75"/>
    <n v="74"/>
    <n v="0"/>
    <n v="1"/>
    <n v="1"/>
    <n v="0.24110584448867073"/>
    <n v="1.1000000000000001"/>
    <n v="70.599999999999994"/>
    <n v="77.66"/>
    <n v="7.5346421318207337"/>
    <n v="1553.8946465191245"/>
    <n v="0"/>
    <n v="0"/>
    <n v="1"/>
    <n v="0"/>
    <n v="0"/>
    <n v="0"/>
    <n v="0"/>
    <n v="0"/>
    <n v="0"/>
    <n v="0"/>
  </r>
  <r>
    <d v="2009-09-19T00:00:00"/>
    <n v="2009"/>
    <x v="35"/>
    <s v="P"/>
    <n v="1"/>
    <x v="2"/>
    <s v="IND"/>
    <s v="A"/>
    <n v="1"/>
    <n v="1"/>
    <n v="0"/>
    <n v="0"/>
    <n v="0"/>
    <n v="0"/>
    <n v="1428.3060814311846"/>
    <n v="1565.7667091889364"/>
    <n v="0.21843158251400582"/>
    <n v="74"/>
    <n v="81"/>
    <n v="1"/>
    <n v="-7"/>
    <n v="0"/>
    <n v="0.29886169206808555"/>
    <n v="1.1000000000000001"/>
    <n v="70.599999999999994"/>
    <n v="77.66"/>
    <n v="-5.0697094403977196"/>
    <n v="1423.2363719907869"/>
    <n v="0"/>
    <n v="0"/>
    <n v="0"/>
    <n v="1"/>
    <n v="0"/>
    <n v="0"/>
    <n v="0"/>
    <n v="0"/>
    <n v="0"/>
    <n v="0"/>
  </r>
  <r>
    <d v="2009-09-19T00:00:00"/>
    <n v="2009"/>
    <x v="35"/>
    <s v="P"/>
    <n v="1"/>
    <x v="0"/>
    <s v="WAS"/>
    <s v="H"/>
    <n v="1"/>
    <n v="1"/>
    <n v="0"/>
    <n v="0"/>
    <n v="0"/>
    <n v="0"/>
    <n v="1565.7667091889364"/>
    <n v="1428.3060814311846"/>
    <n v="0.78156841748599426"/>
    <n v="81"/>
    <n v="74"/>
    <n v="1"/>
    <n v="7"/>
    <n v="1"/>
    <n v="0.29886169206808555"/>
    <n v="1.1000000000000001"/>
    <n v="70.599999999999994"/>
    <n v="77.66"/>
    <n v="5.0697094403977179"/>
    <n v="1570.836418629334"/>
    <n v="0"/>
    <n v="0"/>
    <n v="1"/>
    <n v="0"/>
    <n v="0"/>
    <n v="0"/>
    <n v="0"/>
    <n v="0"/>
    <n v="0"/>
    <n v="0"/>
  </r>
  <r>
    <d v="2009-09-19T00:00:00"/>
    <n v="2009"/>
    <x v="35"/>
    <s v="P"/>
    <n v="1"/>
    <x v="8"/>
    <s v="PHX"/>
    <s v="A"/>
    <n v="1"/>
    <n v="1"/>
    <n v="0"/>
    <n v="0"/>
    <n v="0"/>
    <n v="0"/>
    <n v="1497.550632753874"/>
    <n v="1605.8001176023515"/>
    <n v="0.24849091834139933"/>
    <n v="78"/>
    <n v="106"/>
    <n v="0"/>
    <n v="-28"/>
    <n v="0"/>
    <n v="0.62289922642672857"/>
    <n v="1.1000000000000001"/>
    <n v="70.599999999999994"/>
    <n v="77.66"/>
    <n v="-12.020587630821117"/>
    <n v="1485.5300451230528"/>
    <n v="0"/>
    <n v="0"/>
    <n v="0"/>
    <n v="1"/>
    <n v="0"/>
    <n v="0"/>
    <n v="0"/>
    <n v="0"/>
    <n v="0"/>
    <n v="0"/>
  </r>
  <r>
    <d v="2009-09-19T00:00:00"/>
    <n v="2009"/>
    <x v="35"/>
    <s v="P"/>
    <n v="1"/>
    <x v="9"/>
    <s v="SAS"/>
    <s v="H"/>
    <n v="1"/>
    <n v="1"/>
    <n v="0"/>
    <n v="0"/>
    <n v="0"/>
    <n v="0"/>
    <n v="1605.8001176023515"/>
    <n v="1497.550632753874"/>
    <n v="0.75150908165860075"/>
    <n v="106"/>
    <n v="78"/>
    <n v="0"/>
    <n v="28"/>
    <n v="1"/>
    <n v="0.62289922642672857"/>
    <n v="1.1000000000000001"/>
    <n v="70.599999999999994"/>
    <n v="77.66"/>
    <n v="12.020587630821113"/>
    <n v="1617.8207052331727"/>
    <n v="0"/>
    <n v="0"/>
    <n v="1"/>
    <n v="0"/>
    <n v="0"/>
    <n v="0"/>
    <n v="0"/>
    <n v="0"/>
    <n v="0"/>
    <n v="0"/>
  </r>
  <r>
    <d v="2009-09-20T00:00:00"/>
    <n v="2009"/>
    <x v="36"/>
    <s v="P"/>
    <n v="1"/>
    <x v="5"/>
    <s v="SEA"/>
    <s v="A"/>
    <n v="1"/>
    <n v="1"/>
    <n v="0"/>
    <n v="0"/>
    <n v="0"/>
    <n v="0"/>
    <n v="1554.1240033140186"/>
    <n v="1553.8946465191245"/>
    <n v="0.38172743151703159"/>
    <n v="75"/>
    <n v="64"/>
    <n v="0"/>
    <n v="11"/>
    <n v="1"/>
    <n v="0.43975192018183018"/>
    <n v="1.1000000000000001"/>
    <n v="70.45"/>
    <n v="77.495000000000005"/>
    <n v="21.069848129179725"/>
    <n v="1575.1938514431984"/>
    <n v="0"/>
    <n v="0"/>
    <n v="1"/>
    <n v="0"/>
    <n v="0"/>
    <n v="0"/>
    <n v="0"/>
    <n v="0"/>
    <n v="0"/>
    <n v="0"/>
  </r>
  <r>
    <d v="2009-09-20T00:00:00"/>
    <n v="2009"/>
    <x v="36"/>
    <s v="P"/>
    <n v="1"/>
    <x v="10"/>
    <s v="LAS"/>
    <s v="H"/>
    <n v="1"/>
    <n v="1"/>
    <n v="0"/>
    <n v="0"/>
    <n v="0"/>
    <n v="0"/>
    <n v="1553.8946465191245"/>
    <n v="1554.1240033140186"/>
    <n v="0.61827256848296852"/>
    <n v="64"/>
    <n v="75"/>
    <n v="0"/>
    <n v="-11"/>
    <n v="0"/>
    <n v="0.43975192018183018"/>
    <n v="1.1000000000000001"/>
    <n v="70.45"/>
    <n v="77.495000000000005"/>
    <n v="-21.069848129179729"/>
    <n v="1532.8247983899448"/>
    <n v="0"/>
    <n v="0"/>
    <n v="0"/>
    <n v="1"/>
    <n v="0"/>
    <n v="0"/>
    <n v="0"/>
    <n v="0"/>
    <n v="0"/>
    <n v="0"/>
  </r>
  <r>
    <d v="2009-09-21T00:00:00"/>
    <n v="2009"/>
    <x v="36"/>
    <s v="P"/>
    <n v="1"/>
    <x v="8"/>
    <s v="PHX"/>
    <s v="A"/>
    <n v="1"/>
    <n v="1"/>
    <n v="0"/>
    <n v="0"/>
    <n v="0"/>
    <n v="0"/>
    <n v="1485.5300451230528"/>
    <n v="1617.8207052331727"/>
    <n v="0.22355486397210231"/>
    <n v="92"/>
    <n v="100"/>
    <n v="0"/>
    <n v="-8"/>
    <n v="0"/>
    <n v="0.34975749358258756"/>
    <n v="1.1000000000000001"/>
    <n v="70.45"/>
    <n v="77.495000000000005"/>
    <n v="-6.0593331898891023"/>
    <n v="1479.4707119331638"/>
    <n v="0"/>
    <n v="0"/>
    <n v="0"/>
    <n v="1"/>
    <n v="0"/>
    <n v="0"/>
    <n v="0"/>
    <n v="0"/>
    <n v="0"/>
    <n v="0"/>
  </r>
  <r>
    <d v="2009-09-21T00:00:00"/>
    <n v="2009"/>
    <x v="36"/>
    <s v="P"/>
    <n v="1"/>
    <x v="9"/>
    <s v="SAS"/>
    <s v="H"/>
    <n v="1"/>
    <n v="1"/>
    <n v="0"/>
    <n v="0"/>
    <n v="0"/>
    <n v="0"/>
    <n v="1617.8207052331727"/>
    <n v="1485.5300451230528"/>
    <n v="0.77644513602789766"/>
    <n v="100"/>
    <n v="92"/>
    <n v="0"/>
    <n v="8"/>
    <n v="1"/>
    <n v="0.34975749358258756"/>
    <n v="1.1000000000000001"/>
    <n v="70.45"/>
    <n v="77.495000000000005"/>
    <n v="6.0593331898891032"/>
    <n v="1623.8800384230617"/>
    <n v="0"/>
    <n v="0"/>
    <n v="1"/>
    <n v="0"/>
    <n v="0"/>
    <n v="0"/>
    <n v="0"/>
    <n v="0"/>
    <n v="0"/>
    <n v="0"/>
  </r>
  <r>
    <d v="2009-09-23T00:00:00"/>
    <n v="2009"/>
    <x v="36"/>
    <s v="P"/>
    <n v="2"/>
    <x v="0"/>
    <s v="DET"/>
    <s v="A"/>
    <n v="3"/>
    <n v="4"/>
    <n v="-1"/>
    <n v="1"/>
    <n v="-8"/>
    <n v="8"/>
    <n v="1570.836418629334"/>
    <n v="1595.6371233272955"/>
    <n v="0.32774307438971084"/>
    <n v="56"/>
    <n v="72"/>
    <n v="0"/>
    <n v="-16"/>
    <n v="0"/>
    <n v="0.50730150329991763"/>
    <n v="1.2"/>
    <n v="70.45"/>
    <n v="84.54"/>
    <n v="-14.056005423399492"/>
    <n v="1556.7804132059346"/>
    <n v="0"/>
    <n v="0"/>
    <n v="0"/>
    <n v="0"/>
    <n v="0"/>
    <n v="1"/>
    <n v="0"/>
    <n v="0"/>
    <n v="0"/>
    <n v="0"/>
  </r>
  <r>
    <d v="2009-09-23T00:00:00"/>
    <n v="2009"/>
    <x v="36"/>
    <s v="P"/>
    <n v="2"/>
    <x v="4"/>
    <s v="IND"/>
    <s v="H"/>
    <n v="4"/>
    <n v="3"/>
    <n v="1"/>
    <n v="-1"/>
    <n v="8"/>
    <n v="-8"/>
    <n v="1595.6371233272955"/>
    <n v="1570.836418629334"/>
    <n v="0.67225692561028916"/>
    <n v="72"/>
    <n v="56"/>
    <n v="0"/>
    <n v="16"/>
    <n v="1"/>
    <n v="0.50730150329991763"/>
    <n v="1.2"/>
    <n v="70.45"/>
    <n v="84.54"/>
    <n v="14.056005423399492"/>
    <n v="1609.693128750695"/>
    <n v="0"/>
    <n v="0"/>
    <n v="0"/>
    <n v="0"/>
    <n v="1"/>
    <n v="0"/>
    <n v="0"/>
    <n v="0"/>
    <n v="0"/>
    <n v="0"/>
  </r>
  <r>
    <d v="2009-09-23T00:00:00"/>
    <n v="2009"/>
    <x v="37"/>
    <s v="P"/>
    <n v="2"/>
    <x v="9"/>
    <s v="LAS"/>
    <s v="A"/>
    <n v="1"/>
    <n v="2"/>
    <n v="-1"/>
    <n v="1"/>
    <n v="-8"/>
    <n v="8"/>
    <n v="1623.8800384230617"/>
    <n v="1575.1938514431984"/>
    <n v="0.42668578659143613"/>
    <n v="103"/>
    <n v="94"/>
    <n v="0"/>
    <n v="9"/>
    <n v="1"/>
    <n v="0.39014272573557951"/>
    <n v="1.2"/>
    <n v="70.3"/>
    <n v="84.36"/>
    <n v="18.869169846633994"/>
    <n v="1642.7492082696956"/>
    <n v="0"/>
    <n v="0"/>
    <n v="0"/>
    <n v="0"/>
    <n v="1"/>
    <n v="0"/>
    <n v="0"/>
    <n v="0"/>
    <n v="0"/>
    <n v="0"/>
  </r>
  <r>
    <d v="2009-09-23T00:00:00"/>
    <n v="2009"/>
    <x v="37"/>
    <s v="P"/>
    <n v="2"/>
    <x v="5"/>
    <s v="PHX"/>
    <s v="H"/>
    <n v="2"/>
    <n v="1"/>
    <n v="1"/>
    <n v="-1"/>
    <n v="8"/>
    <n v="-8"/>
    <n v="1575.1938514431984"/>
    <n v="1623.8800384230617"/>
    <n v="0.57331421340856392"/>
    <n v="94"/>
    <n v="103"/>
    <n v="0"/>
    <n v="-9"/>
    <n v="0"/>
    <n v="0.39014272573557951"/>
    <n v="1.2"/>
    <n v="70.3"/>
    <n v="84.36"/>
    <n v="-18.869169846633998"/>
    <n v="1556.3246815965645"/>
    <n v="0"/>
    <n v="0"/>
    <n v="0"/>
    <n v="0"/>
    <n v="0"/>
    <n v="1"/>
    <n v="0"/>
    <n v="0"/>
    <n v="0"/>
    <n v="0"/>
  </r>
  <r>
    <d v="2009-09-25T00:00:00"/>
    <n v="2009"/>
    <x v="37"/>
    <s v="P"/>
    <n v="2"/>
    <x v="4"/>
    <s v="IND"/>
    <s v="A"/>
    <n v="1"/>
    <n v="1"/>
    <n v="0"/>
    <n v="0"/>
    <n v="0"/>
    <n v="0"/>
    <n v="1609.693128750695"/>
    <n v="1556.7804132059346"/>
    <n v="0.45538081201049152"/>
    <n v="75"/>
    <n v="79"/>
    <n v="0"/>
    <n v="-4"/>
    <n v="0"/>
    <n v="0.29828038078627361"/>
    <n v="1.2"/>
    <n v="70.3"/>
    <n v="84.36"/>
    <n v="-11.45871682710049"/>
    <n v="1598.2344119235945"/>
    <n v="0"/>
    <n v="0"/>
    <n v="0"/>
    <n v="0"/>
    <n v="0"/>
    <n v="1"/>
    <n v="0"/>
    <n v="0"/>
    <n v="0"/>
    <n v="0"/>
  </r>
  <r>
    <d v="2009-09-25T00:00:00"/>
    <n v="2009"/>
    <x v="37"/>
    <s v="P"/>
    <n v="2"/>
    <x v="0"/>
    <s v="DET"/>
    <s v="H"/>
    <n v="1"/>
    <n v="1"/>
    <n v="0"/>
    <n v="0"/>
    <n v="0"/>
    <n v="0"/>
    <n v="1556.7804132059346"/>
    <n v="1609.693128750695"/>
    <n v="0.54461918798950837"/>
    <n v="79"/>
    <n v="75"/>
    <n v="0"/>
    <n v="4"/>
    <n v="1"/>
    <n v="0.29828038078627361"/>
    <n v="1.2"/>
    <n v="70.3"/>
    <n v="84.36"/>
    <n v="11.458716827100492"/>
    <n v="1568.2391300330351"/>
    <n v="0"/>
    <n v="0"/>
    <n v="0"/>
    <n v="0"/>
    <n v="1"/>
    <n v="0"/>
    <n v="0"/>
    <n v="0"/>
    <n v="0"/>
    <n v="0"/>
  </r>
  <r>
    <d v="2009-09-25T00:00:00"/>
    <n v="2009"/>
    <x v="38"/>
    <s v="P"/>
    <n v="2"/>
    <x v="5"/>
    <s v="PHX"/>
    <s v="A"/>
    <n v="1"/>
    <n v="1"/>
    <n v="0"/>
    <n v="0"/>
    <n v="0"/>
    <n v="0"/>
    <n v="1556.3246815965645"/>
    <n v="1642.7492082696956"/>
    <n v="0.27268499044872335"/>
    <n v="87"/>
    <n v="76"/>
    <n v="0"/>
    <n v="11"/>
    <n v="1"/>
    <n v="0.41028692578967574"/>
    <n v="1.2"/>
    <n v="70.150000000000006"/>
    <n v="84.18"/>
    <n v="25.11997191643939"/>
    <n v="1581.4446535130039"/>
    <n v="0"/>
    <n v="0"/>
    <n v="0"/>
    <n v="0"/>
    <n v="1"/>
    <n v="0"/>
    <n v="0"/>
    <n v="0"/>
    <n v="0"/>
    <n v="0"/>
  </r>
  <r>
    <d v="2009-09-25T00:00:00"/>
    <n v="2009"/>
    <x v="38"/>
    <s v="P"/>
    <n v="2"/>
    <x v="9"/>
    <s v="LAS"/>
    <s v="H"/>
    <n v="1"/>
    <n v="1"/>
    <n v="0"/>
    <n v="0"/>
    <n v="0"/>
    <n v="0"/>
    <n v="1642.7492082696956"/>
    <n v="1556.3246815965645"/>
    <n v="0.7273150095512767"/>
    <n v="76"/>
    <n v="87"/>
    <n v="0"/>
    <n v="-11"/>
    <n v="0"/>
    <n v="0.41028692578967574"/>
    <n v="1.2"/>
    <n v="70.150000000000006"/>
    <n v="84.18"/>
    <n v="-25.119971916439393"/>
    <n v="1617.6292363532561"/>
    <n v="0"/>
    <n v="0"/>
    <n v="0"/>
    <n v="0"/>
    <n v="0"/>
    <n v="1"/>
    <n v="0"/>
    <n v="0"/>
    <n v="0"/>
    <n v="0"/>
  </r>
  <r>
    <d v="2009-09-26T00:00:00"/>
    <n v="2009"/>
    <x v="38"/>
    <s v="P"/>
    <n v="2"/>
    <x v="4"/>
    <s v="IND"/>
    <s v="A"/>
    <n v="0"/>
    <n v="0"/>
    <n v="0"/>
    <n v="0"/>
    <n v="0"/>
    <n v="0"/>
    <n v="1598.2344119235945"/>
    <n v="1568.2391300330351"/>
    <n v="0.42290089569967337"/>
    <n v="67"/>
    <n v="72"/>
    <n v="0"/>
    <n v="-5"/>
    <n v="0"/>
    <n v="0.3236656078400465"/>
    <n v="1.2"/>
    <n v="70.150000000000006"/>
    <n v="84.18"/>
    <n v="-11.522430064453024"/>
    <n v="1586.7119818591416"/>
    <n v="0"/>
    <n v="0"/>
    <n v="0"/>
    <n v="0"/>
    <n v="0"/>
    <n v="1"/>
    <n v="0"/>
    <n v="0"/>
    <n v="0"/>
    <n v="0"/>
  </r>
  <r>
    <d v="2009-09-26T00:00:00"/>
    <n v="2009"/>
    <x v="38"/>
    <s v="P"/>
    <n v="2"/>
    <x v="0"/>
    <s v="DET"/>
    <s v="H"/>
    <n v="0"/>
    <n v="0"/>
    <n v="0"/>
    <n v="0"/>
    <n v="0"/>
    <n v="0"/>
    <n v="1568.2391300330351"/>
    <n v="1598.2344119235945"/>
    <n v="0.57709910430032663"/>
    <n v="72"/>
    <n v="67"/>
    <n v="0"/>
    <n v="5"/>
    <n v="1"/>
    <n v="0.3236656078400465"/>
    <n v="1.2"/>
    <n v="70.150000000000006"/>
    <n v="84.18"/>
    <n v="11.522430064453024"/>
    <n v="1579.761560097488"/>
    <n v="0"/>
    <n v="0"/>
    <n v="0"/>
    <n v="0"/>
    <n v="1"/>
    <n v="0"/>
    <n v="0"/>
    <n v="0"/>
    <n v="0"/>
    <n v="0"/>
  </r>
  <r>
    <d v="2009-09-26T00:00:00"/>
    <n v="2009"/>
    <x v="39"/>
    <s v="P"/>
    <n v="2"/>
    <x v="5"/>
    <s v="PHX"/>
    <s v="A"/>
    <n v="0"/>
    <n v="0"/>
    <n v="0"/>
    <n v="0"/>
    <n v="0"/>
    <n v="0"/>
    <n v="1581.4446535130039"/>
    <n v="1617.6292363532561"/>
    <n v="0.333624309760785"/>
    <n v="74"/>
    <n v="85"/>
    <n v="0"/>
    <n v="-11"/>
    <n v="0"/>
    <n v="0.42696145190265961"/>
    <n v="1.2"/>
    <n v="70"/>
    <n v="84"/>
    <n v="-11.965356453580942"/>
    <n v="1569.4792970594231"/>
    <n v="0"/>
    <n v="0"/>
    <n v="0"/>
    <n v="0"/>
    <n v="0"/>
    <n v="1"/>
    <n v="0"/>
    <n v="0"/>
    <n v="0"/>
    <n v="0"/>
  </r>
  <r>
    <d v="2009-09-26T00:00:00"/>
    <n v="2009"/>
    <x v="39"/>
    <s v="P"/>
    <n v="2"/>
    <x v="9"/>
    <s v="LAS"/>
    <s v="H"/>
    <n v="0"/>
    <n v="0"/>
    <n v="0"/>
    <n v="0"/>
    <n v="0"/>
    <n v="0"/>
    <n v="1617.6292363532561"/>
    <n v="1581.4446535130039"/>
    <n v="0.66637569023921506"/>
    <n v="85"/>
    <n v="74"/>
    <n v="0"/>
    <n v="11"/>
    <n v="1"/>
    <n v="0.42696145190265961"/>
    <n v="1.2"/>
    <n v="70"/>
    <n v="84"/>
    <n v="11.96535645358094"/>
    <n v="1629.594592806837"/>
    <n v="0"/>
    <n v="0"/>
    <n v="0"/>
    <n v="0"/>
    <n v="1"/>
    <n v="0"/>
    <n v="0"/>
    <n v="0"/>
    <n v="0"/>
    <n v="0"/>
  </r>
  <r>
    <d v="2009-09-29T00:00:00"/>
    <n v="2009"/>
    <x v="39"/>
    <s v="P"/>
    <n v="3"/>
    <x v="0"/>
    <s v="PHX"/>
    <s v="A"/>
    <n v="2"/>
    <n v="2"/>
    <n v="0"/>
    <n v="0"/>
    <n v="0"/>
    <n v="0"/>
    <n v="1579.761560097488"/>
    <n v="1629.594592806837"/>
    <n v="0.31639153230582212"/>
    <n v="116"/>
    <n v="120"/>
    <n v="1"/>
    <n v="-4"/>
    <n v="0"/>
    <n v="0.26911382952254542"/>
    <n v="1.35"/>
    <n v="70"/>
    <n v="94.5"/>
    <n v="-8.0462343358523007"/>
    <n v="1571.7153257616358"/>
    <n v="0"/>
    <n v="0"/>
    <n v="0"/>
    <n v="0"/>
    <n v="0"/>
    <n v="0"/>
    <n v="0"/>
    <n v="1"/>
    <n v="0"/>
    <n v="0"/>
  </r>
  <r>
    <d v="2009-09-29T00:00:00"/>
    <n v="2009"/>
    <x v="40"/>
    <s v="P"/>
    <n v="3"/>
    <x v="9"/>
    <s v="IND"/>
    <s v="H"/>
    <n v="2"/>
    <n v="2"/>
    <n v="0"/>
    <n v="0"/>
    <n v="0"/>
    <n v="0"/>
    <n v="1629.594592806837"/>
    <n v="1579.761560097488"/>
    <n v="0.68360846769417782"/>
    <n v="120"/>
    <n v="116"/>
    <n v="1"/>
    <n v="4"/>
    <n v="1"/>
    <n v="0.26911382952254542"/>
    <n v="1.35"/>
    <n v="69.849999999999994"/>
    <n v="94.297499999999999"/>
    <n v="8.0289924051326178"/>
    <n v="1637.6235852119696"/>
    <n v="0"/>
    <n v="0"/>
    <n v="0"/>
    <n v="0"/>
    <n v="0"/>
    <n v="0"/>
    <n v="1"/>
    <n v="0"/>
    <n v="0"/>
    <n v="0"/>
  </r>
  <r>
    <d v="2009-10-01T00:00:00"/>
    <n v="2009"/>
    <x v="40"/>
    <s v="P"/>
    <n v="3"/>
    <x v="0"/>
    <s v="PHX"/>
    <s v="A"/>
    <n v="1"/>
    <n v="1"/>
    <n v="0"/>
    <n v="0"/>
    <n v="0"/>
    <n v="0"/>
    <n v="1571.7153257616358"/>
    <n v="1637.6235852119696"/>
    <n v="0.29672518848200857"/>
    <n v="93"/>
    <n v="84"/>
    <n v="0"/>
    <n v="9"/>
    <n v="1"/>
    <n v="0.38483502176391687"/>
    <n v="1.35"/>
    <n v="69.849999999999994"/>
    <n v="94.297499999999999"/>
    <n v="25.521125896550302"/>
    <n v="1597.2364516581861"/>
    <n v="0"/>
    <n v="0"/>
    <n v="0"/>
    <n v="0"/>
    <n v="0"/>
    <n v="0"/>
    <n v="1"/>
    <n v="0"/>
    <n v="0"/>
    <n v="0"/>
  </r>
  <r>
    <d v="2009-10-01T00:00:00"/>
    <n v="2009"/>
    <x v="41"/>
    <s v="P"/>
    <n v="3"/>
    <x v="9"/>
    <s v="IND"/>
    <s v="H"/>
    <n v="1"/>
    <n v="1"/>
    <n v="0"/>
    <n v="0"/>
    <n v="0"/>
    <n v="0"/>
    <n v="1637.6235852119696"/>
    <n v="1571.7153257616358"/>
    <n v="0.70327481151799143"/>
    <n v="84"/>
    <n v="93"/>
    <n v="0"/>
    <n v="-9"/>
    <n v="0"/>
    <n v="0.38483502176391687"/>
    <n v="1.35"/>
    <n v="69.7"/>
    <n v="94.095000000000013"/>
    <n v="-25.466320329127509"/>
    <n v="1612.1572648828421"/>
    <n v="0"/>
    <n v="0"/>
    <n v="0"/>
    <n v="0"/>
    <n v="0"/>
    <n v="0"/>
    <n v="0"/>
    <n v="1"/>
    <n v="0"/>
    <n v="0"/>
  </r>
  <r>
    <d v="2009-10-04T00:00:00"/>
    <n v="2009"/>
    <x v="42"/>
    <s v="P"/>
    <n v="3"/>
    <x v="9"/>
    <s v="IND"/>
    <s v="A"/>
    <n v="2"/>
    <n v="2"/>
    <n v="0"/>
    <n v="0"/>
    <n v="0"/>
    <n v="0"/>
    <n v="1612.1572648828421"/>
    <n v="1597.2364516581861"/>
    <n v="0.40187665927410826"/>
    <n v="85"/>
    <n v="86"/>
    <n v="0"/>
    <n v="-1"/>
    <n v="0"/>
    <n v="0.24118082591788589"/>
    <n v="1.35"/>
    <n v="69.55"/>
    <n v="93.892499999999998"/>
    <n v="-9.1005253609353307"/>
    <n v="1603.0567395219068"/>
    <n v="0"/>
    <n v="0"/>
    <n v="0"/>
    <n v="0"/>
    <n v="0"/>
    <n v="0"/>
    <n v="0"/>
    <n v="1"/>
    <n v="0"/>
    <n v="0"/>
  </r>
  <r>
    <d v="2009-10-04T00:00:00"/>
    <n v="2009"/>
    <x v="41"/>
    <s v="P"/>
    <n v="3"/>
    <x v="0"/>
    <s v="PHX"/>
    <s v="H"/>
    <n v="2"/>
    <n v="2"/>
    <n v="0"/>
    <n v="0"/>
    <n v="0"/>
    <n v="0"/>
    <n v="1597.2364516581861"/>
    <n v="1612.1572648828421"/>
    <n v="0.59812334072589168"/>
    <n v="86"/>
    <n v="85"/>
    <n v="0"/>
    <n v="1"/>
    <n v="1"/>
    <n v="0.24118082591788589"/>
    <n v="1.35"/>
    <n v="69.7"/>
    <n v="94.095000000000013"/>
    <n v="9.1201526622170075"/>
    <n v="1606.356604320403"/>
    <n v="0"/>
    <n v="0"/>
    <n v="0"/>
    <n v="0"/>
    <n v="0"/>
    <n v="0"/>
    <n v="1"/>
    <n v="0"/>
    <n v="0"/>
    <n v="0"/>
  </r>
  <r>
    <d v="2009-10-07T00:00:00"/>
    <n v="2009"/>
    <x v="43"/>
    <s v="P"/>
    <n v="3"/>
    <x v="9"/>
    <s v="IND"/>
    <s v="A"/>
    <n v="2"/>
    <n v="2"/>
    <n v="0"/>
    <n v="0"/>
    <n v="0"/>
    <n v="0"/>
    <n v="1603.0567395219068"/>
    <n v="1606.356604320403"/>
    <n v="0.37694431678112977"/>
    <n v="90"/>
    <n v="77"/>
    <n v="0"/>
    <n v="13"/>
    <n v="1"/>
    <n v="0.4707492482530935"/>
    <n v="1.35"/>
    <n v="69.400000000000006"/>
    <n v="93.690000000000012"/>
    <n v="27.479557554245993"/>
    <n v="1630.5362970761528"/>
    <n v="0"/>
    <n v="0"/>
    <n v="0"/>
    <n v="0"/>
    <n v="0"/>
    <n v="0"/>
    <n v="1"/>
    <n v="0"/>
    <n v="0"/>
    <n v="0"/>
  </r>
  <r>
    <d v="2009-10-07T00:00:00"/>
    <n v="2009"/>
    <x v="42"/>
    <s v="P"/>
    <n v="3"/>
    <x v="0"/>
    <s v="PHX"/>
    <s v="H"/>
    <n v="2"/>
    <n v="2"/>
    <n v="0"/>
    <n v="0"/>
    <n v="0"/>
    <n v="0"/>
    <n v="1606.356604320403"/>
    <n v="1603.0567395219068"/>
    <n v="0.62305568321887028"/>
    <n v="77"/>
    <n v="90"/>
    <n v="0"/>
    <n v="-13"/>
    <n v="0"/>
    <n v="0.4707492482530935"/>
    <n v="1.35"/>
    <n v="69.55"/>
    <n v="93.892499999999998"/>
    <n v="-27.538951410631245"/>
    <n v="1578.8176529097718"/>
    <n v="0"/>
    <n v="0"/>
    <n v="0"/>
    <n v="0"/>
    <n v="0"/>
    <n v="0"/>
    <n v="0"/>
    <n v="1"/>
    <n v="0"/>
    <n v="0"/>
  </r>
  <r>
    <d v="2009-10-09T00:00:00"/>
    <n v="2009"/>
    <x v="43"/>
    <s v="P"/>
    <n v="3"/>
    <x v="0"/>
    <s v="PHX"/>
    <s v="A"/>
    <n v="1"/>
    <n v="1"/>
    <n v="0"/>
    <n v="0"/>
    <n v="0"/>
    <n v="0"/>
    <n v="1578.8176529097718"/>
    <n v="1630.5362970761528"/>
    <n v="0.31404853784780734"/>
    <n v="86"/>
    <n v="94"/>
    <n v="0"/>
    <n v="-8"/>
    <n v="0"/>
    <n v="0.37227107239737472"/>
    <n v="1.35"/>
    <n v="69.400000000000006"/>
    <n v="93.690000000000012"/>
    <n v="-10.953409013475969"/>
    <n v="1567.8642438962959"/>
    <n v="0"/>
    <n v="0"/>
    <n v="0"/>
    <n v="0"/>
    <n v="0"/>
    <n v="0"/>
    <n v="0"/>
    <n v="1"/>
    <n v="0"/>
    <n v="0"/>
  </r>
  <r>
    <d v="2009-10-09T00:00:00"/>
    <n v="2009"/>
    <x v="44"/>
    <s v="P"/>
    <n v="3"/>
    <x v="9"/>
    <s v="IND"/>
    <s v="H"/>
    <n v="1"/>
    <n v="1"/>
    <n v="0"/>
    <n v="0"/>
    <n v="0"/>
    <n v="0"/>
    <n v="1630.5362970761528"/>
    <n v="1578.8176529097718"/>
    <n v="0.68595146215219271"/>
    <n v="94"/>
    <n v="86"/>
    <n v="0"/>
    <n v="8"/>
    <n v="1"/>
    <n v="0.37227107239737472"/>
    <n v="1.35"/>
    <n v="69.25"/>
    <n v="93.487500000000011"/>
    <n v="10.929734498317156"/>
    <n v="1641.46603157447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7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8">
        <item m="1" x="38"/>
        <item x="1"/>
        <item m="1" x="49"/>
        <item m="1" x="26"/>
        <item m="1" x="24"/>
        <item m="1" x="37"/>
        <item m="1" x="53"/>
        <item m="1" x="14"/>
        <item x="6"/>
        <item m="1" x="39"/>
        <item m="1" x="15"/>
        <item x="3"/>
        <item m="1" x="28"/>
        <item m="1" x="32"/>
        <item x="4"/>
        <item m="1" x="54"/>
        <item m="1" x="34"/>
        <item m="1" x="13"/>
        <item x="0"/>
        <item m="1" x="48"/>
        <item m="1" x="47"/>
        <item m="1" x="23"/>
        <item m="1" x="22"/>
        <item m="1" x="56"/>
        <item x="5"/>
        <item m="1" x="55"/>
        <item m="1" x="25"/>
        <item m="1" x="17"/>
        <item m="1" x="33"/>
        <item x="7"/>
        <item m="1" x="41"/>
        <item m="1" x="20"/>
        <item m="1" x="29"/>
        <item m="1" x="42"/>
        <item m="1" x="50"/>
        <item x="12"/>
        <item m="1" x="43"/>
        <item m="1" x="31"/>
        <item m="1" x="19"/>
        <item m="1" x="27"/>
        <item x="9"/>
        <item m="1" x="45"/>
        <item m="1" x="18"/>
        <item m="1" x="30"/>
        <item x="11"/>
        <item x="8"/>
        <item m="1" x="40"/>
        <item x="10"/>
        <item m="1" x="51"/>
        <item m="1" x="46"/>
        <item m="1" x="52"/>
        <item m="1" x="44"/>
        <item m="1" x="21"/>
        <item m="1" x="16"/>
        <item m="1" x="36"/>
        <item x="2"/>
        <item m="1" x="35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4">
    <i>
      <x v="1"/>
    </i>
    <i>
      <x v="8"/>
    </i>
    <i>
      <x v="11"/>
    </i>
    <i>
      <x v="14"/>
    </i>
    <i>
      <x v="18"/>
    </i>
    <i>
      <x v="24"/>
    </i>
    <i>
      <x v="29"/>
    </i>
    <i>
      <x v="35"/>
    </i>
    <i>
      <x v="40"/>
    </i>
    <i>
      <x v="44"/>
    </i>
    <i>
      <x v="45"/>
    </i>
    <i>
      <x v="47"/>
    </i>
    <i>
      <x v="5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57">
      <pivotArea outline="0" collapsedLevelsAreSubtotals="1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9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4" totalsRowShown="0">
  <autoFilter ref="A1:D14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4">
    <sortCondition ref="C14"/>
  </sortState>
  <tableColumns count="4">
    <tableColumn id="1" xr3:uid="{8C17ECDF-4459-4994-A3F5-8E8FEDF92B6F}" name="TeamID"/>
    <tableColumn id="4" xr3:uid="{789F069E-DAF9-4B19-A6DB-107BA6995CE5}" name="Logo" dataDxfId="60"/>
    <tableColumn id="5" xr3:uid="{A9DA91BA-5529-4913-978B-19C8EF225B29}" name="TeamName" dataDxfId="59"/>
    <tableColumn id="2" xr3:uid="{AA4C8157-DB69-4779-8EEE-6F419B992D71}" name="PreSeasonElo" dataDxfId="5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85" totalsRowShown="0" headerRowDxfId="55" dataDxfId="54">
  <autoFilter ref="A1:AL485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3"/>
    <tableColumn id="21" xr3:uid="{D754AB95-C77C-4DD5-B1B9-A24A4FEE7279}" name="Season" dataDxfId="52"/>
    <tableColumn id="19" xr3:uid="{4C42B78B-6AFC-42C3-A5F4-3266E247C458}" name="GamesPlayed" dataDxfId="51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50"/>
    <tableColumn id="14" xr3:uid="{EFA83923-8CCA-4DC9-BC85-5D86949A45D9}" name="Round" dataDxfId="49"/>
    <tableColumn id="2" xr3:uid="{6E102E51-A49B-416B-8CD2-B93B2A4EA389}" name="Team" dataDxfId="48"/>
    <tableColumn id="3" xr3:uid="{19101345-1C34-4AF3-88E6-76A7F19B7FE6}" name="Opponent" dataDxfId="47"/>
    <tableColumn id="16" xr3:uid="{4CBCDF29-B095-48DF-8EF6-06DC7D78C844}" name="HomeAway" dataDxfId="46"/>
    <tableColumn id="32" xr3:uid="{E3FA53E3-DAD6-4BC2-969A-C53F4798E86D}" name="DaysOff" dataDxfId="45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4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3">
      <calculatedColumnFormula>Games[[#This Row],[DaysOff]]-Games[[#This Row],[OppDaysOff]]</calculatedColumnFormula>
    </tableColumn>
    <tableColumn id="35" xr3:uid="{3F2DB366-7372-41BA-8B0C-09F9BA7EA850}" name="OppRestDiff" dataDxfId="42">
      <calculatedColumnFormula>Games[[#This Row],[OppDaysOff]]-Games[[#This Row],[DaysOff]]</calculatedColumnFormula>
    </tableColumn>
    <tableColumn id="36" xr3:uid="{BDD0FD2C-608F-4CCC-867B-4481F0F4B802}" name="RestAdj" dataDxfId="41">
      <calculatedColumnFormula>MAX(-16, MIN(16, Games[[#This Row],[RestDiff]]*8))</calculatedColumnFormula>
    </tableColumn>
    <tableColumn id="37" xr3:uid="{5F89213A-4C28-428C-B766-3B05D4F530A5}" name="OppRestAdj" dataDxfId="40">
      <calculatedColumnFormula>MAX(-16, MIN(16, Games[[#This Row],[OppRestDiff]]*8))</calculatedColumnFormula>
    </tableColumn>
    <tableColumn id="4" xr3:uid="{68053CFA-948B-4F2C-A114-7C46ABD9EA33}" name="PreGmRate" dataDxfId="39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8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7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6"/>
    <tableColumn id="8" xr3:uid="{0CDDF0F9-2F1E-487C-96DD-90F70CE7DAFC}" name="PointsAgainst" dataDxfId="35"/>
    <tableColumn id="22" xr3:uid="{AB7B5B5C-5BAD-4213-990E-8EB9B177497C}" name="OT" dataDxfId="34"/>
    <tableColumn id="9" xr3:uid="{CE171F1D-5E5D-4800-A6DC-8F6DBD74C939}" name="MOV" dataDxfId="33">
      <calculatedColumnFormula>Games[[#This Row],[PointsFor]]-Games[[#This Row],[PointsAgainst]]</calculatedColumnFormula>
    </tableColumn>
    <tableColumn id="10" xr3:uid="{883A3911-25F6-4C39-9637-F1C42D6A1FC2}" name="Result" dataDxfId="32">
      <calculatedColumnFormula>IF(Games[[#This Row],[MOV]]&gt;0,1,IF(Games[[#This Row],[MOV]]=0,0.5,0))</calculatedColumnFormula>
    </tableColumn>
    <tableColumn id="15" xr3:uid="{00048431-5FD6-47EE-807E-5B63FD521193}" name="MOVMult" dataDxfId="31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30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9">
      <calculatedColumnFormula>MAX(kmin, kmax - 0.15 * MIN(Games[[#This Row],[GamesPlayed]], 82))</calculatedColumnFormula>
    </tableColumn>
    <tableColumn id="29" xr3:uid="{FBA5D644-15ED-4725-9E52-1D37FD0FAC64}" name="Keff" dataDxfId="28">
      <calculatedColumnFormula>Games[[#This Row],[K]]*Games[[#This Row],[POMult]]</calculatedColumnFormula>
    </tableColumn>
    <tableColumn id="11" xr3:uid="{309DAEBD-E62C-4090-89E9-A58FD32AB89B}" name="RatingChange" dataDxfId="27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6">
      <calculatedColumnFormula>Games[[#This Row],[PreGmRate]]+Games[[#This Row],[RatingChange]]</calculatedColumnFormula>
    </tableColumn>
    <tableColumn id="17" xr3:uid="{90B7BF87-E472-4474-A10D-555BD3BF8F04}" name="W" dataDxfId="25">
      <calculatedColumnFormula>IF(Games[[#This Row],[Type]]="R",IF(Games[[#This Row],[Result]]&gt;0.5,1,0),0)</calculatedColumnFormula>
    </tableColumn>
    <tableColumn id="18" xr3:uid="{29756EA1-783D-4C76-A7B8-F906AF0EC7E7}" name="L" dataDxfId="24">
      <calculatedColumnFormula>IF(Games[[#This Row],[Type]]="R",IF(Games[[#This Row],[Result]]&lt;0.5,1,0),0)</calculatedColumnFormula>
    </tableColumn>
    <tableColumn id="23" xr3:uid="{C253CFA7-28A4-4AE5-B131-DC1E8F2B73F8}" name="R1W" dataDxfId="23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2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1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20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9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8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7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6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6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87</v>
      </c>
      <c r="B2" s="8"/>
      <c r="C2" s="15" t="s">
        <v>88</v>
      </c>
      <c r="D2" s="13">
        <v>1288.8888762440156</v>
      </c>
      <c r="G2" t="s">
        <v>88</v>
      </c>
      <c r="H2" s="12">
        <v>1487.0966587178357</v>
      </c>
    </row>
    <row r="3" spans="1:8" x14ac:dyDescent="0.35">
      <c r="A3" t="s">
        <v>85</v>
      </c>
      <c r="B3" s="8"/>
      <c r="C3" s="15" t="s">
        <v>86</v>
      </c>
      <c r="D3" s="13">
        <v>1425.6616807808737</v>
      </c>
      <c r="G3" t="s">
        <v>86</v>
      </c>
      <c r="H3" s="12">
        <v>1444.7060848633819</v>
      </c>
    </row>
    <row r="4" spans="1:8" x14ac:dyDescent="0.35">
      <c r="A4" t="s">
        <v>84</v>
      </c>
      <c r="B4" s="8"/>
      <c r="C4" s="15" t="s">
        <v>83</v>
      </c>
      <c r="D4" s="13">
        <v>1551.1433939555254</v>
      </c>
      <c r="G4" t="s">
        <v>83</v>
      </c>
      <c r="H4" s="12">
        <v>1481.2330302334578</v>
      </c>
    </row>
    <row r="5" spans="1:8" x14ac:dyDescent="0.35">
      <c r="A5" t="s">
        <v>73</v>
      </c>
      <c r="B5" s="8"/>
      <c r="C5" s="15" t="s">
        <v>74</v>
      </c>
      <c r="D5" s="13">
        <v>1668.817246462655</v>
      </c>
      <c r="G5" t="s">
        <v>74</v>
      </c>
      <c r="H5" s="12">
        <v>1586.7119818591416</v>
      </c>
    </row>
    <row r="6" spans="1:8" x14ac:dyDescent="0.35">
      <c r="A6" t="s">
        <v>77</v>
      </c>
      <c r="B6" s="8"/>
      <c r="C6" s="15" t="s">
        <v>78</v>
      </c>
      <c r="D6" s="13">
        <v>1500.0402050940038</v>
      </c>
      <c r="G6" t="s">
        <v>78</v>
      </c>
      <c r="H6" s="12">
        <v>1567.8642438962959</v>
      </c>
    </row>
    <row r="7" spans="1:8" x14ac:dyDescent="0.35">
      <c r="A7" t="s">
        <v>68</v>
      </c>
      <c r="B7" s="8"/>
      <c r="C7" s="15" t="s">
        <v>69</v>
      </c>
      <c r="D7" s="13">
        <v>1569.7113585408222</v>
      </c>
      <c r="G7" t="s">
        <v>69</v>
      </c>
      <c r="H7" s="12">
        <v>1569.4792970594231</v>
      </c>
    </row>
    <row r="8" spans="1:8" x14ac:dyDescent="0.35">
      <c r="A8" t="s">
        <v>75</v>
      </c>
      <c r="B8" s="8"/>
      <c r="C8" s="15" t="s">
        <v>76</v>
      </c>
      <c r="D8" s="13">
        <v>1479.0684035880174</v>
      </c>
      <c r="G8" t="s">
        <v>76</v>
      </c>
      <c r="H8" s="12">
        <v>1415.1333914127954</v>
      </c>
    </row>
    <row r="9" spans="1:8" x14ac:dyDescent="0.35">
      <c r="A9" t="s">
        <v>65</v>
      </c>
      <c r="B9" s="8"/>
      <c r="C9" s="15" t="s">
        <v>66</v>
      </c>
      <c r="D9" s="13">
        <v>1535.8517119571684</v>
      </c>
      <c r="G9" t="s">
        <v>66</v>
      </c>
      <c r="H9" s="12">
        <v>1447.8121146417066</v>
      </c>
    </row>
    <row r="10" spans="1:8" x14ac:dyDescent="0.35">
      <c r="A10" t="s">
        <v>44</v>
      </c>
      <c r="B10" s="8"/>
      <c r="C10" s="15" t="s">
        <v>67</v>
      </c>
      <c r="D10" s="13">
        <v>1521.8949589939832</v>
      </c>
      <c r="G10" t="s">
        <v>67</v>
      </c>
      <c r="H10" s="12">
        <v>1641.46603157447</v>
      </c>
    </row>
    <row r="11" spans="1:8" x14ac:dyDescent="0.35">
      <c r="A11" t="s">
        <v>45</v>
      </c>
      <c r="B11" s="8"/>
      <c r="C11" s="15" t="s">
        <v>70</v>
      </c>
      <c r="D11" s="13">
        <v>1525.6723536247846</v>
      </c>
      <c r="G11" t="s">
        <v>70</v>
      </c>
      <c r="H11" s="12">
        <v>1440.2852547192406</v>
      </c>
    </row>
    <row r="12" spans="1:8" x14ac:dyDescent="0.35">
      <c r="A12" t="s">
        <v>82</v>
      </c>
      <c r="B12" s="8"/>
      <c r="C12" s="15" t="s">
        <v>81</v>
      </c>
      <c r="D12" s="13">
        <v>1570.9622863170709</v>
      </c>
      <c r="G12" t="s">
        <v>81</v>
      </c>
      <c r="H12" s="12">
        <v>1479.4707119331638</v>
      </c>
    </row>
    <row r="13" spans="1:8" x14ac:dyDescent="0.35">
      <c r="A13" t="s">
        <v>79</v>
      </c>
      <c r="B13" s="8"/>
      <c r="C13" s="15" t="s">
        <v>80</v>
      </c>
      <c r="D13" s="13">
        <v>1557.8475698479335</v>
      </c>
      <c r="G13" t="s">
        <v>80</v>
      </c>
      <c r="H13" s="12">
        <v>1532.8247983899448</v>
      </c>
    </row>
    <row r="14" spans="1:8" x14ac:dyDescent="0.35">
      <c r="A14" t="s">
        <v>71</v>
      </c>
      <c r="B14" s="8"/>
      <c r="C14" s="15" t="s">
        <v>72</v>
      </c>
      <c r="D14" s="13">
        <v>1339.4417599617552</v>
      </c>
      <c r="G14" t="s">
        <v>72</v>
      </c>
      <c r="H14" s="12">
        <v>1423.2363719907869</v>
      </c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  <row r="26" spans="2:4" x14ac:dyDescent="0.35">
      <c r="B26" s="8"/>
      <c r="C26" s="8"/>
      <c r="D26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7"/>
  <sheetViews>
    <sheetView workbookViewId="0">
      <selection activeCell="G2" sqref="G2:G14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4">_xlfn.SORTBY(A25:H37,G25:G37,-1)</f>
        <v>PHX</v>
      </c>
      <c r="B2">
        <v>0</v>
      </c>
      <c r="C2" t="str">
        <v>Phoenix Mercury</v>
      </c>
      <c r="D2" s="1">
        <v>23</v>
      </c>
      <c r="E2" s="1">
        <v>11</v>
      </c>
      <c r="F2" s="3">
        <v>0.67647058823529416</v>
      </c>
      <c r="G2" s="9">
        <v>1641.46603157447</v>
      </c>
      <c r="H2" s="1">
        <v>40095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DET</v>
      </c>
      <c r="B3">
        <v>0</v>
      </c>
      <c r="C3" t="str">
        <v>Detroit Shock</v>
      </c>
      <c r="D3" s="1">
        <v>18</v>
      </c>
      <c r="E3" s="1">
        <v>16</v>
      </c>
      <c r="F3" s="3">
        <v>0.52941176470588236</v>
      </c>
      <c r="G3" s="9">
        <v>1586.7119818591416</v>
      </c>
      <c r="H3" s="1">
        <v>40082</v>
      </c>
      <c r="O3" s="4"/>
      <c r="P3" s="4"/>
      <c r="Q3" s="1"/>
      <c r="AK3" t="s">
        <v>65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1447.8121146417066</v>
      </c>
      <c r="AY3" s="1">
        <f>_xlfn.MAXIFS(Games[Date], Games[Team], AK3)</f>
        <v>40069</v>
      </c>
      <c r="AZ3">
        <f t="shared" si="2"/>
        <v>0</v>
      </c>
    </row>
    <row r="4" spans="1:68" x14ac:dyDescent="0.35">
      <c r="A4" t="str">
        <v>LAS</v>
      </c>
      <c r="B4">
        <v>0</v>
      </c>
      <c r="C4" t="str">
        <v>Los Angeles Sparks</v>
      </c>
      <c r="D4" s="1">
        <v>18</v>
      </c>
      <c r="E4" s="1">
        <v>16</v>
      </c>
      <c r="F4" s="3">
        <v>0.52941176470588236</v>
      </c>
      <c r="G4" s="9">
        <v>1569.4792970594231</v>
      </c>
      <c r="H4" s="1">
        <v>40082</v>
      </c>
      <c r="O4" s="4"/>
      <c r="P4" s="4"/>
      <c r="Q4" s="1"/>
      <c r="AK4" t="s">
        <v>64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IND</v>
      </c>
      <c r="B5">
        <v>0</v>
      </c>
      <c r="C5" t="str">
        <v>Indiana Fever</v>
      </c>
      <c r="D5" s="1">
        <v>22</v>
      </c>
      <c r="E5" s="1">
        <v>12</v>
      </c>
      <c r="F5" s="3">
        <v>0.6470588235294118</v>
      </c>
      <c r="G5" s="9">
        <v>1567.8642438962959</v>
      </c>
      <c r="H5" s="1">
        <v>40095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SEA</v>
      </c>
      <c r="B6">
        <v>0</v>
      </c>
      <c r="C6" t="str">
        <v>Seattle Storm</v>
      </c>
      <c r="D6" s="1">
        <v>20</v>
      </c>
      <c r="E6" s="1">
        <v>14</v>
      </c>
      <c r="F6" s="3">
        <v>0.58823529411764708</v>
      </c>
      <c r="G6" s="9">
        <v>1532.8247983899448</v>
      </c>
      <c r="H6" s="1">
        <v>40076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2</v>
      </c>
      <c r="AO6" s="1">
        <f>_xlfn.XLOOKUP($AK6,StandingsPivot!$A$4:$A$33,StandingsPivot!E$4:E$33)</f>
        <v>1</v>
      </c>
      <c r="AP6" s="1">
        <f>_xlfn.XLOOKUP($AK6,StandingsPivot!$A$4:$A$33,StandingsPivot!F$4:F$33)</f>
        <v>2</v>
      </c>
      <c r="AQ6" s="1">
        <f>_xlfn.XLOOKUP($AK6,StandingsPivot!$A$4:$A$33,StandingsPivot!G$4:G$33)</f>
        <v>1</v>
      </c>
      <c r="AR6" s="1">
        <f>_xlfn.XLOOKUP($AK6,StandingsPivot!$A$4:$A$33,StandingsPivot!H$4:H$33)</f>
        <v>3</v>
      </c>
      <c r="AS6" s="1">
        <f>_xlfn.XLOOKUP($AK6,StandingsPivot!$A$4:$A$33,StandingsPivot!I$4:I$33)</f>
        <v>2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7</v>
      </c>
      <c r="AW6" s="1">
        <f t="shared" si="3"/>
        <v>4</v>
      </c>
      <c r="AX6" s="4" cm="1">
        <f t="array" ref="AX6">_xlfn.IFNA(INDEX(Games[PostGmRate], MATCH(1, (Games[Team]=AK6)*(Games[Date]=AY6), 0)),0)</f>
        <v>1641.46603157447</v>
      </c>
      <c r="AY6" s="1">
        <f>_xlfn.MAXIFS(Games[Date], Games[Team], AK6)</f>
        <v>40095</v>
      </c>
      <c r="AZ6">
        <f>SUM(AV6:AW6)</f>
        <v>11</v>
      </c>
      <c r="BO6" s="4"/>
      <c r="BP6" s="1"/>
    </row>
    <row r="7" spans="1:68" x14ac:dyDescent="0.35">
      <c r="A7" t="str">
        <v>ATL</v>
      </c>
      <c r="B7">
        <v>0</v>
      </c>
      <c r="C7" t="str">
        <v>Atlanta Dream</v>
      </c>
      <c r="D7" s="1">
        <v>18</v>
      </c>
      <c r="E7" s="1">
        <v>16</v>
      </c>
      <c r="F7" s="3">
        <v>0.52941176470588236</v>
      </c>
      <c r="G7" s="9">
        <v>1487.0966587178357</v>
      </c>
      <c r="H7" s="1">
        <v>40074</v>
      </c>
      <c r="AK7" t="s">
        <v>68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2</v>
      </c>
      <c r="AO7" s="1">
        <f>_xlfn.XLOOKUP($AK7,StandingsPivot!$A$4:$A$33,StandingsPivot!E$4:E$33)</f>
        <v>1</v>
      </c>
      <c r="AP7" s="1">
        <f>_xlfn.XLOOKUP($AK7,StandingsPivot!$A$4:$A$33,StandingsPivot!F$4:F$33)</f>
        <v>1</v>
      </c>
      <c r="AQ7" s="1">
        <f>_xlfn.XLOOKUP($AK7,StandingsPivot!$A$4:$A$33,StandingsPivot!G$4:G$33)</f>
        <v>2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3</v>
      </c>
      <c r="AW7" s="1">
        <f t="shared" si="3"/>
        <v>3</v>
      </c>
      <c r="AX7" s="4" cm="1">
        <f t="array" ref="AX7">_xlfn.IFNA(INDEX(Games[PostGmRate], MATCH(1, (Games[Team]=AK7)*(Games[Date]=AY7), 0)),0)</f>
        <v>1569.4792970594231</v>
      </c>
      <c r="AY7" s="1">
        <f>_xlfn.MAXIFS(Games[Date], Games[Team], AK7)</f>
        <v>40082</v>
      </c>
      <c r="AZ7">
        <f>SUM(AV7:AW7)</f>
        <v>6</v>
      </c>
      <c r="BO7" s="4"/>
      <c r="BP7" s="1"/>
    </row>
    <row r="8" spans="1:68" x14ac:dyDescent="0.35">
      <c r="A8" t="str">
        <v>CON</v>
      </c>
      <c r="B8">
        <v>0</v>
      </c>
      <c r="C8" t="str">
        <v>Connecticut Sun</v>
      </c>
      <c r="D8" s="1">
        <v>16</v>
      </c>
      <c r="E8" s="1">
        <v>18</v>
      </c>
      <c r="F8" s="3">
        <v>0.47058823529411764</v>
      </c>
      <c r="G8" s="9">
        <v>1481.2330302334578</v>
      </c>
      <c r="H8" s="1">
        <v>40069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0</v>
      </c>
      <c r="AO8" s="1">
        <f>_xlfn.XLOOKUP($AK8,StandingsPivot!$A$4:$A$33,StandingsPivot!E$4:E$33)</f>
        <v>0</v>
      </c>
      <c r="AP8" s="1">
        <f>_xlfn.XLOOKUP($AK8,StandingsPivot!$A$4:$A$33,StandingsPivot!F$4:F$33)</f>
        <v>0</v>
      </c>
      <c r="AQ8" s="1">
        <f>_xlfn.XLOOKUP($AK8,StandingsPivot!$A$4:$A$33,StandingsPivot!G$4:G$33)</f>
        <v>0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0</v>
      </c>
      <c r="AW8" s="1">
        <f t="shared" si="3"/>
        <v>0</v>
      </c>
      <c r="AX8" s="4" cm="1">
        <f t="array" ref="AX8">_xlfn.IFNA(INDEX(Games[PostGmRate], MATCH(1, (Games[Team]=AK8)*(Games[Date]=AY8), 0)),0)</f>
        <v>1440.2852547192406</v>
      </c>
      <c r="AY8" s="1">
        <f>_xlfn.MAXIFS(Games[Date], Games[Team], AK8)</f>
        <v>40069</v>
      </c>
      <c r="AZ8">
        <f>SUM(AV8:AW8)</f>
        <v>0</v>
      </c>
      <c r="BO8" s="4"/>
      <c r="BP8" s="1"/>
    </row>
    <row r="9" spans="1:68" x14ac:dyDescent="0.35">
      <c r="A9" t="str">
        <v>SAS</v>
      </c>
      <c r="B9">
        <v>0</v>
      </c>
      <c r="C9" t="str">
        <v>San Antonio Silver Stars</v>
      </c>
      <c r="D9" s="1">
        <v>15</v>
      </c>
      <c r="E9" s="1">
        <v>19</v>
      </c>
      <c r="F9" s="3">
        <v>0.44117647058823528</v>
      </c>
      <c r="G9" s="9">
        <v>1479.4707119331638</v>
      </c>
      <c r="H9" s="1">
        <v>40077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NYL</v>
      </c>
      <c r="B10">
        <v>0</v>
      </c>
      <c r="C10" t="str">
        <v>New York Liberty</v>
      </c>
      <c r="D10" s="1">
        <v>13</v>
      </c>
      <c r="E10" s="1">
        <v>21</v>
      </c>
      <c r="F10" s="3">
        <v>0.38235294117647056</v>
      </c>
      <c r="G10" s="9">
        <v>1447.8121146417066</v>
      </c>
      <c r="H10" s="1">
        <v>40069</v>
      </c>
      <c r="O10" s="3"/>
      <c r="P10" s="4"/>
      <c r="Q10" s="1"/>
      <c r="AX10" s="4"/>
      <c r="BO10" s="4"/>
      <c r="BP10" s="1"/>
    </row>
    <row r="11" spans="1:68" x14ac:dyDescent="0.35">
      <c r="A11" t="str">
        <v>CHI</v>
      </c>
      <c r="B11">
        <v>0</v>
      </c>
      <c r="C11" t="str">
        <v>Chicago Sky</v>
      </c>
      <c r="D11" s="1">
        <v>16</v>
      </c>
      <c r="E11" s="1">
        <v>18</v>
      </c>
      <c r="F11" s="3">
        <v>0.47058823529411764</v>
      </c>
      <c r="G11" s="9">
        <v>1444.7060848633819</v>
      </c>
      <c r="H11" s="1">
        <v>40068</v>
      </c>
      <c r="O11" s="3"/>
      <c r="P11" s="4"/>
      <c r="Q11" s="1"/>
      <c r="AX11" s="4"/>
      <c r="BO11" s="4"/>
      <c r="BP11" s="1"/>
    </row>
    <row r="12" spans="1:68" x14ac:dyDescent="0.35">
      <c r="A12" t="str">
        <v>SAC</v>
      </c>
      <c r="B12">
        <v>0</v>
      </c>
      <c r="C12" t="str">
        <v>Sacramento Monarchs</v>
      </c>
      <c r="D12" s="1">
        <v>12</v>
      </c>
      <c r="E12" s="1">
        <v>22</v>
      </c>
      <c r="F12" s="3">
        <v>0.35294117647058826</v>
      </c>
      <c r="G12" s="9">
        <v>1440.2852547192406</v>
      </c>
      <c r="H12" s="1">
        <v>40069</v>
      </c>
      <c r="O12" s="3"/>
      <c r="P12" s="4"/>
      <c r="Q12" s="1"/>
      <c r="AX12" s="4"/>
      <c r="BO12" s="4"/>
      <c r="BP12" s="1"/>
    </row>
    <row r="13" spans="1:68" x14ac:dyDescent="0.35">
      <c r="A13" t="str">
        <v>WAS</v>
      </c>
      <c r="B13">
        <v>0</v>
      </c>
      <c r="C13" t="str">
        <v>Washington Mystics</v>
      </c>
      <c r="D13" s="1">
        <v>16</v>
      </c>
      <c r="E13" s="1">
        <v>18</v>
      </c>
      <c r="F13" s="3">
        <v>0.47058823529411764</v>
      </c>
      <c r="G13" s="9">
        <v>1423.2363719907869</v>
      </c>
      <c r="H13" s="1">
        <v>40075</v>
      </c>
      <c r="AX13" s="4"/>
      <c r="BO13" s="4"/>
      <c r="BP13" s="1"/>
    </row>
    <row r="14" spans="1:68" x14ac:dyDescent="0.35">
      <c r="A14" t="str">
        <v>MIN</v>
      </c>
      <c r="B14">
        <v>0</v>
      </c>
      <c r="C14" t="str">
        <v>Minnesota Lynx</v>
      </c>
      <c r="D14" s="1">
        <v>14</v>
      </c>
      <c r="E14" s="1">
        <v>20</v>
      </c>
      <c r="F14" s="3">
        <v>0.41176470588235292</v>
      </c>
      <c r="G14" s="9">
        <v>1415.1333914127954</v>
      </c>
      <c r="H14" s="1">
        <v>40069</v>
      </c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87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18</v>
      </c>
      <c r="E25" s="1">
        <f>_xlfn.XLOOKUP($A25,StandingsPivot!$A$4:$A$35,StandingsPivot!C$4:C$35)</f>
        <v>16</v>
      </c>
      <c r="F25" s="3">
        <f>(D25)/(D25+E25)</f>
        <v>0.52941176470588236</v>
      </c>
      <c r="G25" s="9" cm="1">
        <f t="array" ref="G25">INDEX(Games[PostGmRate], MATCH(1, (Games[Team]=A25)*(Games[Date]=H25), 0))</f>
        <v>1487.0966587178357</v>
      </c>
      <c r="H25" s="1">
        <f>_xlfn.MAXIFS(Games[Date], Games[Team], A25)</f>
        <v>40074</v>
      </c>
      <c r="AR25" s="3"/>
      <c r="AS25" s="4"/>
      <c r="BD25" s="1"/>
      <c r="BG25" s="3"/>
      <c r="BH25" s="4"/>
    </row>
    <row r="26" spans="1:60" x14ac:dyDescent="0.35">
      <c r="A26" t="s">
        <v>85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16</v>
      </c>
      <c r="E26" s="1">
        <f>_xlfn.XLOOKUP($A26,StandingsPivot!$A$4:$A$35,StandingsPivot!C$4:C$35)</f>
        <v>18</v>
      </c>
      <c r="F26" s="3">
        <f>(D26)/(D26+E26)</f>
        <v>0.47058823529411764</v>
      </c>
      <c r="G26" s="9" cm="1">
        <f t="array" ref="G26">INDEX(Games[PostGmRate], MATCH(1, (Games[Team]=A26)*(Games[Date]=H26), 0))</f>
        <v>1444.7060848633819</v>
      </c>
      <c r="H26" s="1">
        <f>_xlfn.MAXIFS(Games[Date], Games[Team], A26)</f>
        <v>40068</v>
      </c>
      <c r="AR26" s="3"/>
      <c r="AS26" s="4"/>
      <c r="BD26" s="1"/>
      <c r="BG26" s="3"/>
      <c r="BH26" s="4"/>
    </row>
    <row r="27" spans="1:60" x14ac:dyDescent="0.35">
      <c r="A27" t="s">
        <v>84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16</v>
      </c>
      <c r="E27" s="1">
        <f>_xlfn.XLOOKUP($A27,StandingsPivot!$A$4:$A$35,StandingsPivot!C$4:C$35)</f>
        <v>18</v>
      </c>
      <c r="F27" s="3">
        <f>(D27)/(D27+E27)</f>
        <v>0.47058823529411764</v>
      </c>
      <c r="G27" s="9" cm="1">
        <f t="array" ref="G27">INDEX(Games[PostGmRate], MATCH(1, (Games[Team]=A27)*(Games[Date]=H27), 0))</f>
        <v>1481.2330302334578</v>
      </c>
      <c r="H27" s="1">
        <f>_xlfn.MAXIFS(Games[Date], Games[Team], A27)</f>
        <v>40069</v>
      </c>
      <c r="AR27" s="3"/>
      <c r="AS27" s="4"/>
      <c r="BD27" s="1"/>
      <c r="BG27" s="3"/>
      <c r="BH27" s="4"/>
    </row>
    <row r="28" spans="1:60" x14ac:dyDescent="0.35">
      <c r="A28" t="s">
        <v>73</v>
      </c>
      <c r="B28">
        <f>_xlfn.XLOOKUP(A28,ConfDiv[TeamID],ConfDiv[Logo])</f>
        <v>0</v>
      </c>
      <c r="C28" t="str">
        <f>_xlfn.XLOOKUP(A28,ConfDiv[TeamID],ConfDiv[TeamName])</f>
        <v>Detroit Shock</v>
      </c>
      <c r="D28" s="1">
        <f>_xlfn.XLOOKUP($A28,StandingsPivot!$A$4:$A$35,StandingsPivot!B$4:B$35)</f>
        <v>18</v>
      </c>
      <c r="E28" s="1">
        <f>_xlfn.XLOOKUP($A28,StandingsPivot!$A$4:$A$35,StandingsPivot!C$4:C$35)</f>
        <v>16</v>
      </c>
      <c r="F28" s="3">
        <f>(D28)/(D28+E28)</f>
        <v>0.52941176470588236</v>
      </c>
      <c r="G28" s="9" cm="1">
        <f t="array" ref="G28">INDEX(Games[PostGmRate], MATCH(1, (Games[Team]=A28)*(Games[Date]=H28), 0))</f>
        <v>1586.7119818591416</v>
      </c>
      <c r="H28" s="1">
        <f>_xlfn.MAXIFS(Games[Date], Games[Team], A28)</f>
        <v>40082</v>
      </c>
      <c r="AR28" s="3"/>
      <c r="AS28" s="4"/>
      <c r="BD28" s="1"/>
      <c r="BG28" s="3"/>
      <c r="BH28" s="4"/>
    </row>
    <row r="29" spans="1:60" x14ac:dyDescent="0.35">
      <c r="A29" t="s">
        <v>77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22</v>
      </c>
      <c r="E29" s="1">
        <f>_xlfn.XLOOKUP($A29,StandingsPivot!$A$4:$A$35,StandingsPivot!C$4:C$35)</f>
        <v>12</v>
      </c>
      <c r="F29" s="3">
        <f>(D29)/(D29+E29)</f>
        <v>0.6470588235294118</v>
      </c>
      <c r="G29" s="9" cm="1">
        <f t="array" ref="G29">INDEX(Games[PostGmRate], MATCH(1, (Games[Team]=A29)*(Games[Date]=H29), 0))</f>
        <v>1567.8642438962959</v>
      </c>
      <c r="H29" s="1">
        <f>_xlfn.MAXIFS(Games[Date], Games[Team], A29)</f>
        <v>40095</v>
      </c>
      <c r="AR29" s="3"/>
      <c r="AS29" s="4"/>
      <c r="BD29" s="1"/>
      <c r="BG29" s="3"/>
      <c r="BH29" s="4"/>
    </row>
    <row r="30" spans="1:60" x14ac:dyDescent="0.35">
      <c r="A30" t="s">
        <v>68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18</v>
      </c>
      <c r="E30" s="1">
        <f>_xlfn.XLOOKUP($A30,StandingsPivot!$A$4:$A$35,StandingsPivot!C$4:C$35)</f>
        <v>16</v>
      </c>
      <c r="F30" s="3">
        <f>(D30)/(D30+E30)</f>
        <v>0.52941176470588236</v>
      </c>
      <c r="G30" s="9" cm="1">
        <f t="array" ref="G30">INDEX(Games[PostGmRate], MATCH(1, (Games[Team]=A30)*(Games[Date]=H30), 0))</f>
        <v>1569.4792970594231</v>
      </c>
      <c r="H30" s="1">
        <f>_xlfn.MAXIFS(Games[Date], Games[Team], A30)</f>
        <v>40082</v>
      </c>
      <c r="AR30" s="3"/>
      <c r="AS30" s="4"/>
      <c r="BD30" s="1"/>
      <c r="BG30" s="3"/>
      <c r="BH30" s="4"/>
    </row>
    <row r="31" spans="1:60" x14ac:dyDescent="0.35">
      <c r="A31" t="s">
        <v>75</v>
      </c>
      <c r="B31">
        <f>_xlfn.XLOOKUP(A31,ConfDiv[TeamID],ConfDiv[Logo])</f>
        <v>0</v>
      </c>
      <c r="C31" t="str">
        <f>_xlfn.XLOOKUP(A31,ConfDiv[TeamID],ConfDiv[TeamName])</f>
        <v>Minnesota Lynx</v>
      </c>
      <c r="D31" s="1">
        <f>_xlfn.XLOOKUP($A31,StandingsPivot!$A$4:$A$35,StandingsPivot!B$4:B$35)</f>
        <v>14</v>
      </c>
      <c r="E31" s="1">
        <f>_xlfn.XLOOKUP($A31,StandingsPivot!$A$4:$A$35,StandingsPivot!C$4:C$35)</f>
        <v>20</v>
      </c>
      <c r="F31" s="3">
        <f>(D31)/(D31+E31)</f>
        <v>0.41176470588235292</v>
      </c>
      <c r="G31" s="9" cm="1">
        <f t="array" ref="G31">INDEX(Games[PostGmRate], MATCH(1, (Games[Team]=A31)*(Games[Date]=H31), 0))</f>
        <v>1415.1333914127954</v>
      </c>
      <c r="H31" s="1">
        <f>_xlfn.MAXIFS(Games[Date], Games[Team], A31)</f>
        <v>40069</v>
      </c>
      <c r="AR31" s="3"/>
      <c r="AS31" s="4"/>
      <c r="BD31" s="1"/>
      <c r="BG31" s="3"/>
      <c r="BH31" s="4"/>
    </row>
    <row r="32" spans="1:60" x14ac:dyDescent="0.35">
      <c r="A32" t="s">
        <v>65</v>
      </c>
      <c r="B32">
        <f>_xlfn.XLOOKUP(A32,ConfDiv[TeamID],ConfDiv[Logo])</f>
        <v>0</v>
      </c>
      <c r="C32" t="str">
        <f>_xlfn.XLOOKUP(A32,ConfDiv[TeamID],ConfDiv[TeamName])</f>
        <v>New York Liberty</v>
      </c>
      <c r="D32" s="1">
        <f>_xlfn.XLOOKUP($A32,StandingsPivot!$A$4:$A$35,StandingsPivot!B$4:B$35)</f>
        <v>13</v>
      </c>
      <c r="E32" s="1">
        <f>_xlfn.XLOOKUP($A32,StandingsPivot!$A$4:$A$35,StandingsPivot!C$4:C$35)</f>
        <v>21</v>
      </c>
      <c r="F32" s="3">
        <f>(D32)/(D32+E32)</f>
        <v>0.38235294117647056</v>
      </c>
      <c r="G32" s="9" cm="1">
        <f t="array" ref="G32">INDEX(Games[PostGmRate], MATCH(1, (Games[Team]=A32)*(Games[Date]=H32), 0))</f>
        <v>1447.8121146417066</v>
      </c>
      <c r="H32" s="1">
        <f>_xlfn.MAXIFS(Games[Date], Games[Team], A32)</f>
        <v>40069</v>
      </c>
    </row>
    <row r="33" spans="1:8" x14ac:dyDescent="0.35">
      <c r="A33" t="s">
        <v>44</v>
      </c>
      <c r="B33">
        <f>_xlfn.XLOOKUP(A33,ConfDiv[TeamID],ConfDiv[Logo])</f>
        <v>0</v>
      </c>
      <c r="C33" t="str">
        <f>_xlfn.XLOOKUP(A33,ConfDiv[TeamID],ConfDiv[TeamName])</f>
        <v>Phoenix Mercury</v>
      </c>
      <c r="D33" s="1">
        <f>_xlfn.XLOOKUP($A33,StandingsPivot!$A$4:$A$35,StandingsPivot!B$4:B$35)</f>
        <v>23</v>
      </c>
      <c r="E33" s="1">
        <f>_xlfn.XLOOKUP($A33,StandingsPivot!$A$4:$A$35,StandingsPivot!C$4:C$35)</f>
        <v>11</v>
      </c>
      <c r="F33" s="3">
        <f>(D33)/(D33+E33)</f>
        <v>0.67647058823529416</v>
      </c>
      <c r="G33" s="9" cm="1">
        <f t="array" ref="G33">INDEX(Games[PostGmRate], MATCH(1, (Games[Team]=A33)*(Games[Date]=H33), 0))</f>
        <v>1641.46603157447</v>
      </c>
      <c r="H33" s="1">
        <f>_xlfn.MAXIFS(Games[Date], Games[Team], A33)</f>
        <v>40095</v>
      </c>
    </row>
    <row r="34" spans="1:8" x14ac:dyDescent="0.35">
      <c r="A34" t="s">
        <v>45</v>
      </c>
      <c r="B34">
        <f>_xlfn.XLOOKUP(A34,ConfDiv[TeamID],ConfDiv[Logo])</f>
        <v>0</v>
      </c>
      <c r="C34" t="str">
        <f>_xlfn.XLOOKUP(A34,ConfDiv[TeamID],ConfDiv[TeamName])</f>
        <v>Sacramento Monarchs</v>
      </c>
      <c r="D34" s="1">
        <f>_xlfn.XLOOKUP($A34,StandingsPivot!$A$4:$A$35,StandingsPivot!B$4:B$35)</f>
        <v>12</v>
      </c>
      <c r="E34" s="1">
        <f>_xlfn.XLOOKUP($A34,StandingsPivot!$A$4:$A$35,StandingsPivot!C$4:C$35)</f>
        <v>22</v>
      </c>
      <c r="F34" s="3">
        <f>(D34)/(D34+E34)</f>
        <v>0.35294117647058826</v>
      </c>
      <c r="G34" s="9" cm="1">
        <f t="array" ref="G34">INDEX(Games[PostGmRate], MATCH(1, (Games[Team]=A34)*(Games[Date]=H34), 0))</f>
        <v>1440.2852547192406</v>
      </c>
      <c r="H34" s="1">
        <f>_xlfn.MAXIFS(Games[Date], Games[Team], A34)</f>
        <v>40069</v>
      </c>
    </row>
    <row r="35" spans="1:8" x14ac:dyDescent="0.35">
      <c r="A35" t="s">
        <v>82</v>
      </c>
      <c r="B35">
        <f>_xlfn.XLOOKUP(A35,ConfDiv[TeamID],ConfDiv[Logo])</f>
        <v>0</v>
      </c>
      <c r="C35" t="str">
        <f>_xlfn.XLOOKUP(A35,ConfDiv[TeamID],ConfDiv[TeamName])</f>
        <v>San Antonio Silver Stars</v>
      </c>
      <c r="D35" s="1">
        <f>_xlfn.XLOOKUP($A35,StandingsPivot!$A$4:$A$35,StandingsPivot!B$4:B$35)</f>
        <v>15</v>
      </c>
      <c r="E35" s="1">
        <f>_xlfn.XLOOKUP($A35,StandingsPivot!$A$4:$A$35,StandingsPivot!C$4:C$35)</f>
        <v>19</v>
      </c>
      <c r="F35" s="3">
        <f>(D35)/(D35+E35)</f>
        <v>0.44117647058823528</v>
      </c>
      <c r="G35" s="9" cm="1">
        <f t="array" ref="G35">INDEX(Games[PostGmRate], MATCH(1, (Games[Team]=A35)*(Games[Date]=H35), 0))</f>
        <v>1479.4707119331638</v>
      </c>
      <c r="H35" s="1">
        <f>_xlfn.MAXIFS(Games[Date], Games[Team], A35)</f>
        <v>40077</v>
      </c>
    </row>
    <row r="36" spans="1:8" x14ac:dyDescent="0.35">
      <c r="A36" t="s">
        <v>79</v>
      </c>
      <c r="B36">
        <f>_xlfn.XLOOKUP(A36,ConfDiv[TeamID],ConfDiv[Logo])</f>
        <v>0</v>
      </c>
      <c r="C36" t="str">
        <f>_xlfn.XLOOKUP(A36,ConfDiv[TeamID],ConfDiv[TeamName])</f>
        <v>Seattle Storm</v>
      </c>
      <c r="D36" s="1">
        <f>_xlfn.XLOOKUP($A36,StandingsPivot!$A$4:$A$35,StandingsPivot!B$4:B$35)</f>
        <v>20</v>
      </c>
      <c r="E36" s="1">
        <f>_xlfn.XLOOKUP($A36,StandingsPivot!$A$4:$A$35,StandingsPivot!C$4:C$35)</f>
        <v>14</v>
      </c>
      <c r="F36" s="3">
        <f>(D36)/(D36+E36)</f>
        <v>0.58823529411764708</v>
      </c>
      <c r="G36" s="9" cm="1">
        <f t="array" ref="G36">INDEX(Games[PostGmRate], MATCH(1, (Games[Team]=A36)*(Games[Date]=H36), 0))</f>
        <v>1532.8247983899448</v>
      </c>
      <c r="H36" s="1">
        <f>_xlfn.MAXIFS(Games[Date], Games[Team], A36)</f>
        <v>40076</v>
      </c>
    </row>
    <row r="37" spans="1:8" x14ac:dyDescent="0.35">
      <c r="A37" t="s">
        <v>71</v>
      </c>
      <c r="B37">
        <f>_xlfn.XLOOKUP(A37,ConfDiv[TeamID],ConfDiv[Logo])</f>
        <v>0</v>
      </c>
      <c r="C37" t="str">
        <f>_xlfn.XLOOKUP(A37,ConfDiv[TeamID],ConfDiv[TeamName])</f>
        <v>Washington Mystics</v>
      </c>
      <c r="D37" s="1">
        <f>_xlfn.XLOOKUP($A37,StandingsPivot!$A$4:$A$35,StandingsPivot!B$4:B$35)</f>
        <v>16</v>
      </c>
      <c r="E37" s="1">
        <f>_xlfn.XLOOKUP($A37,StandingsPivot!$A$4:$A$35,StandingsPivot!C$4:C$35)</f>
        <v>18</v>
      </c>
      <c r="F37" s="3">
        <f>(D37)/(D37+E37)</f>
        <v>0.47058823529411764</v>
      </c>
      <c r="G37" s="9" cm="1">
        <f t="array" ref="G37">INDEX(Games[PostGmRate], MATCH(1, (Games[Team]=A37)*(Games[Date]=H37), 0))</f>
        <v>1423.2363719907869</v>
      </c>
      <c r="H37" s="1">
        <f>_xlfn.MAXIFS(Games[Date], Games[Team], A37)</f>
        <v>40075</v>
      </c>
    </row>
  </sheetData>
  <sortState xmlns:xlrd2="http://schemas.microsoft.com/office/spreadsheetml/2017/richdata2" ref="A25:G37">
    <sortCondition ref="A25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87</v>
      </c>
      <c r="B4" s="2">
        <v>18</v>
      </c>
      <c r="C4" s="2">
        <v>16</v>
      </c>
      <c r="D4" s="2">
        <v>0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85</v>
      </c>
      <c r="B5" s="2">
        <v>16</v>
      </c>
      <c r="C5" s="2">
        <v>18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84</v>
      </c>
      <c r="B6" s="2">
        <v>16</v>
      </c>
      <c r="C6" s="2">
        <v>18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73</v>
      </c>
      <c r="B7" s="2">
        <v>18</v>
      </c>
      <c r="C7" s="2">
        <v>16</v>
      </c>
      <c r="D7" s="2">
        <v>2</v>
      </c>
      <c r="E7" s="2">
        <v>0</v>
      </c>
      <c r="F7" s="2">
        <v>1</v>
      </c>
      <c r="G7" s="2">
        <v>2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77</v>
      </c>
      <c r="B8" s="2">
        <v>22</v>
      </c>
      <c r="C8" s="2">
        <v>12</v>
      </c>
      <c r="D8" s="2">
        <v>2</v>
      </c>
      <c r="E8" s="2">
        <v>0</v>
      </c>
      <c r="F8" s="2">
        <v>2</v>
      </c>
      <c r="G8" s="2">
        <v>1</v>
      </c>
      <c r="H8" s="2">
        <v>2</v>
      </c>
      <c r="I8" s="2">
        <v>3</v>
      </c>
      <c r="J8" s="2">
        <v>0</v>
      </c>
      <c r="K8" s="2">
        <v>0</v>
      </c>
    </row>
    <row r="9" spans="1:11" x14ac:dyDescent="0.35">
      <c r="A9" s="6" t="s">
        <v>68</v>
      </c>
      <c r="B9" s="2">
        <v>18</v>
      </c>
      <c r="C9" s="2">
        <v>16</v>
      </c>
      <c r="D9" s="2">
        <v>2</v>
      </c>
      <c r="E9" s="2">
        <v>1</v>
      </c>
      <c r="F9" s="2">
        <v>1</v>
      </c>
      <c r="G9" s="2">
        <v>2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75</v>
      </c>
      <c r="B10" s="2">
        <v>14</v>
      </c>
      <c r="C10" s="2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65</v>
      </c>
      <c r="B11" s="2">
        <v>13</v>
      </c>
      <c r="C11" s="2">
        <v>21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44</v>
      </c>
      <c r="B12" s="2">
        <v>23</v>
      </c>
      <c r="C12" s="2">
        <v>11</v>
      </c>
      <c r="D12" s="2">
        <v>2</v>
      </c>
      <c r="E12" s="2">
        <v>1</v>
      </c>
      <c r="F12" s="2">
        <v>2</v>
      </c>
      <c r="G12" s="2">
        <v>1</v>
      </c>
      <c r="H12" s="2">
        <v>3</v>
      </c>
      <c r="I12" s="2">
        <v>2</v>
      </c>
      <c r="J12" s="2">
        <v>0</v>
      </c>
      <c r="K12" s="2">
        <v>0</v>
      </c>
    </row>
    <row r="13" spans="1:11" x14ac:dyDescent="0.35">
      <c r="A13" s="6" t="s">
        <v>45</v>
      </c>
      <c r="B13" s="2">
        <v>12</v>
      </c>
      <c r="C13" s="2">
        <v>22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82</v>
      </c>
      <c r="B14" s="2">
        <v>15</v>
      </c>
      <c r="C14" s="2">
        <v>19</v>
      </c>
      <c r="D14" s="2">
        <v>1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79</v>
      </c>
      <c r="B15" s="2">
        <v>20</v>
      </c>
      <c r="C15" s="2">
        <v>14</v>
      </c>
      <c r="D15" s="2">
        <v>1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71</v>
      </c>
      <c r="B16" s="2">
        <v>16</v>
      </c>
      <c r="C16" s="2">
        <v>18</v>
      </c>
      <c r="D16" s="2">
        <v>0</v>
      </c>
      <c r="E16" s="2">
        <v>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20</v>
      </c>
      <c r="B17" s="2">
        <v>221</v>
      </c>
      <c r="C17" s="2">
        <v>221</v>
      </c>
      <c r="D17" s="2">
        <v>10</v>
      </c>
      <c r="E17" s="2">
        <v>10</v>
      </c>
      <c r="F17" s="2">
        <v>6</v>
      </c>
      <c r="G17" s="2">
        <v>6</v>
      </c>
      <c r="H17" s="2">
        <v>5</v>
      </c>
      <c r="I17" s="2">
        <v>5</v>
      </c>
      <c r="J17" s="2">
        <v>0</v>
      </c>
      <c r="K17" s="2">
        <v>0</v>
      </c>
    </row>
    <row r="18" spans="1:11" x14ac:dyDescent="0.35">
      <c r="B18"/>
      <c r="C18"/>
      <c r="D18"/>
    </row>
    <row r="19" spans="1:11" x14ac:dyDescent="0.35">
      <c r="B19"/>
      <c r="C19"/>
      <c r="D19"/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9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>
        <v>45</v>
      </c>
    </row>
    <row r="49" spans="1:1" x14ac:dyDescent="0.35">
      <c r="A49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85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39970</v>
      </c>
      <c r="B2" s="2">
        <v>2009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77</v>
      </c>
      <c r="G2" s="1" t="s">
        <v>87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1500.0201025470019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1394.4444381220078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0.53101002515090912</v>
      </c>
      <c r="R2" s="1">
        <v>86</v>
      </c>
      <c r="S2" s="1">
        <v>87</v>
      </c>
      <c r="T2" s="1">
        <v>1</v>
      </c>
      <c r="U2" s="1">
        <f>Games[[#This Row],[PointsFor]]-Games[[#This Row],[PointsAgainst]]</f>
        <v>-1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0.20199062515358901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-8.1355987106307328</v>
      </c>
      <c r="AB2" s="4">
        <f>Games[[#This Row],[PreGmRate]]+Games[[#This Row],[RatingChange]]</f>
        <v>1491.8845038363711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39970</v>
      </c>
      <c r="B3" s="2">
        <v>2009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87</v>
      </c>
      <c r="G3" s="1" t="s">
        <v>77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1394.4444381220078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1500.0201025470019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0.46898997484909088</v>
      </c>
      <c r="R3" s="1">
        <v>87</v>
      </c>
      <c r="S3" s="1">
        <v>86</v>
      </c>
      <c r="T3" s="1">
        <v>1</v>
      </c>
      <c r="U3" s="1">
        <f>Games[[#This Row],[PointsFor]]-Games[[#This Row],[PointsAgainst]]</f>
        <v>1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0.20199062515358901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8.1355987106307328</v>
      </c>
      <c r="AB3" s="4">
        <f>Games[[#This Row],[PreGmRate]]+Games[[#This Row],[RatingChange]]</f>
        <v>1402.5800368326386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39970</v>
      </c>
      <c r="B4" s="2">
        <v>2009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71</v>
      </c>
      <c r="G4" s="1" t="s">
        <v>84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1419.7208799808777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1525.5716969777627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0.25107838334150606</v>
      </c>
      <c r="R4" s="1">
        <v>82</v>
      </c>
      <c r="S4" s="1">
        <v>70</v>
      </c>
      <c r="T4" s="1">
        <v>0</v>
      </c>
      <c r="U4" s="1">
        <f>Games[[#This Row],[PointsFor]]-Games[[#This Row],[PointsAgainst]]</f>
        <v>12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0.4191560969809881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23.81045743626073</v>
      </c>
      <c r="AB4" s="4">
        <f>Games[[#This Row],[PreGmRate]]+Games[[#This Row],[RatingChange]]</f>
        <v>1443.5313374171385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39970</v>
      </c>
      <c r="B5" s="2">
        <v>2009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84</v>
      </c>
      <c r="G5" s="1" t="s">
        <v>71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1525.5716969777627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1419.7208799808777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0.74892161665849388</v>
      </c>
      <c r="R5" s="1">
        <v>70</v>
      </c>
      <c r="S5" s="1">
        <v>82</v>
      </c>
      <c r="T5" s="1">
        <v>0</v>
      </c>
      <c r="U5" s="1">
        <f>Games[[#This Row],[PointsFor]]-Games[[#This Row],[PointsAgainst]]</f>
        <v>-12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0.4191560969809881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-23.810457436260727</v>
      </c>
      <c r="AB5" s="4">
        <f>Games[[#This Row],[PreGmRate]]+Games[[#This Row],[RatingChange]]</f>
        <v>1501.7612395415019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39970</v>
      </c>
      <c r="B6" s="2">
        <v>2009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73</v>
      </c>
      <c r="G6" s="1" t="s">
        <v>68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1584.4086232313275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1534.8556792704112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0.45058850121041705</v>
      </c>
      <c r="R6" s="1">
        <v>58</v>
      </c>
      <c r="S6" s="1">
        <v>78</v>
      </c>
      <c r="T6" s="1">
        <v>0</v>
      </c>
      <c r="U6" s="1">
        <f>Games[[#This Row],[PointsFor]]-Games[[#This Row],[PointsAgainst]]</f>
        <v>-20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0.55208931647492077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-18.86883265635187</v>
      </c>
      <c r="AB6" s="4">
        <f>Games[[#This Row],[PreGmRate]]+Games[[#This Row],[RatingChange]]</f>
        <v>1565.5397905749755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39970</v>
      </c>
      <c r="B7" s="2">
        <v>2009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68</v>
      </c>
      <c r="G7" s="1" t="s">
        <v>73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1534.8556792704112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1584.4086232313275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0.54941149878958295</v>
      </c>
      <c r="R7" s="1">
        <v>78</v>
      </c>
      <c r="S7" s="1">
        <v>58</v>
      </c>
      <c r="T7" s="1">
        <v>0</v>
      </c>
      <c r="U7" s="1">
        <f>Games[[#This Row],[PointsFor]]-Games[[#This Row],[PointsAgainst]]</f>
        <v>20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0.55208931647492077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18.86883265635187</v>
      </c>
      <c r="AB7" s="4">
        <f>Games[[#This Row],[PreGmRate]]+Games[[#This Row],[RatingChange]]</f>
        <v>1553.7245119267632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39970</v>
      </c>
      <c r="B8" s="2">
        <v>2009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85</v>
      </c>
      <c r="G8" s="1" t="s">
        <v>75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1462.8308403904368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1489.5342017940088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0.34586623356128265</v>
      </c>
      <c r="R8" s="1">
        <v>85</v>
      </c>
      <c r="S8" s="1">
        <v>102</v>
      </c>
      <c r="T8" s="1">
        <v>0</v>
      </c>
      <c r="U8" s="1">
        <f>Games[[#This Row],[PointsFor]]-Games[[#This Row],[PointsAgainst]]</f>
        <v>-17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0.52085166063892085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-13.663998409992145</v>
      </c>
      <c r="AB8" s="4">
        <f>Games[[#This Row],[PreGmRate]]+Games[[#This Row],[RatingChange]]</f>
        <v>1449.1668419804446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39970</v>
      </c>
      <c r="B9" s="2">
        <v>2009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75</v>
      </c>
      <c r="G9" s="1" t="s">
        <v>85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1489.5342017940088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1462.8308403904368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0.65413376643871735</v>
      </c>
      <c r="R9" s="1">
        <v>102</v>
      </c>
      <c r="S9" s="1">
        <v>85</v>
      </c>
      <c r="T9" s="1">
        <v>0</v>
      </c>
      <c r="U9" s="1">
        <f>Games[[#This Row],[PointsFor]]-Games[[#This Row],[PointsAgainst]]</f>
        <v>17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0.52085166063892085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13.663998409992145</v>
      </c>
      <c r="AB9" s="4">
        <f>Games[[#This Row],[PreGmRate]]+Games[[#This Row],[RatingChange]]</f>
        <v>1503.1982002040011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39970</v>
      </c>
      <c r="B10" s="2">
        <v>2009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82</v>
      </c>
      <c r="G10" s="1" t="s">
        <v>44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1535.4811431585354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1510.9474794969915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0.41524706385483062</v>
      </c>
      <c r="R10" s="1">
        <v>79</v>
      </c>
      <c r="S10" s="1">
        <v>90</v>
      </c>
      <c r="T10" s="1">
        <v>0</v>
      </c>
      <c r="U10" s="1">
        <f>Games[[#This Row],[PointsFor]]-Games[[#This Row],[PointsAgainst]]</f>
        <v>-11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0.43102380928503431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-13.575737009853688</v>
      </c>
      <c r="AB10" s="4">
        <f>Games[[#This Row],[PreGmRate]]+Games[[#This Row],[RatingChange]]</f>
        <v>1521.9054061486818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39970</v>
      </c>
      <c r="B11" s="2">
        <v>2009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44</v>
      </c>
      <c r="G11" s="1" t="s">
        <v>82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1510.9474794969915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1535.4811431585354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0.58475293614516932</v>
      </c>
      <c r="R11" s="1">
        <v>90</v>
      </c>
      <c r="S11" s="1">
        <v>79</v>
      </c>
      <c r="T11" s="1">
        <v>0</v>
      </c>
      <c r="U11" s="1">
        <f>Games[[#This Row],[PointsFor]]-Games[[#This Row],[PointsAgainst]]</f>
        <v>11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0.43102380928503431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13.57573700985369</v>
      </c>
      <c r="AB11" s="4">
        <f>Games[[#This Row],[PreGmRate]]+Games[[#This Row],[RatingChange]]</f>
        <v>1524.5232165068451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39970</v>
      </c>
      <c r="B12" s="2">
        <v>2009</v>
      </c>
      <c r="C12" s="2">
        <f>COUNTIFS(Games[Team],Games[[#This Row],[Team]],Games[Season],Games[[#This Row],[Season]],Games[Date],"&lt;=" &amp; Games[[#This Row],[Date]])</f>
        <v>1</v>
      </c>
      <c r="D12" s="2" t="s">
        <v>23</v>
      </c>
      <c r="E12" s="2" t="s">
        <v>29</v>
      </c>
      <c r="F12" s="1" t="s">
        <v>79</v>
      </c>
      <c r="G12" s="1" t="s">
        <v>45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1528.9237849239667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1512.8361768123923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0.40349220194546187</v>
      </c>
      <c r="R12" s="1">
        <v>71</v>
      </c>
      <c r="S12" s="1">
        <v>61</v>
      </c>
      <c r="T12" s="1">
        <v>0</v>
      </c>
      <c r="U12" s="1">
        <f>Games[[#This Row],[PointsFor]]-Games[[#This Row],[PointsAgainst]]</f>
        <v>10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0.41753212170891135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18.891289481878637</v>
      </c>
      <c r="AB12" s="4">
        <f>Games[[#This Row],[PreGmRate]]+Games[[#This Row],[RatingChange]]</f>
        <v>1547.8150744058453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39970</v>
      </c>
      <c r="B13" s="2">
        <v>2009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45</v>
      </c>
      <c r="G13" s="1" t="s">
        <v>79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1512.8361768123923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1528.9237849239667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0.59650779805453813</v>
      </c>
      <c r="R13" s="1">
        <v>61</v>
      </c>
      <c r="S13" s="1">
        <v>71</v>
      </c>
      <c r="T13" s="1">
        <v>0</v>
      </c>
      <c r="U13" s="1">
        <f>Games[[#This Row],[PointsFor]]-Games[[#This Row],[PointsAgainst]]</f>
        <v>-10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0.41753212170891135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-18.891289481878637</v>
      </c>
      <c r="AB13" s="4">
        <f>Games[[#This Row],[PreGmRate]]+Games[[#This Row],[RatingChange]]</f>
        <v>1493.9448873305137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39971</v>
      </c>
      <c r="B14" s="2">
        <v>2009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75</v>
      </c>
      <c r="G14" s="1" t="s">
        <v>77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1503.1982002040011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1491.8845038363711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0.39689584995825028</v>
      </c>
      <c r="R14" s="1">
        <v>96</v>
      </c>
      <c r="S14" s="1">
        <v>74</v>
      </c>
      <c r="T14" s="1">
        <v>0</v>
      </c>
      <c r="U14" s="1">
        <f>Games[[#This Row],[PointsFor]]-Games[[#This Row],[PointsAgainst]]</f>
        <v>22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0.59643295353686887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27.230137045130601</v>
      </c>
      <c r="AB14" s="4">
        <f>Games[[#This Row],[PreGmRate]]+Games[[#This Row],[RatingChange]]</f>
        <v>1530.4283372491316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39971</v>
      </c>
      <c r="B15" s="2">
        <v>2009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77</v>
      </c>
      <c r="G15" s="1" t="s">
        <v>75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1491.8845038363711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1503.1982002040011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0.60310415004174978</v>
      </c>
      <c r="R15" s="1">
        <v>74</v>
      </c>
      <c r="S15" s="1">
        <v>96</v>
      </c>
      <c r="T15" s="1">
        <v>0</v>
      </c>
      <c r="U15" s="1">
        <f>Games[[#This Row],[PointsFor]]-Games[[#This Row],[PointsAgainst]]</f>
        <v>-22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0.59643295353686887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-27.230137045130601</v>
      </c>
      <c r="AB15" s="4">
        <f>Games[[#This Row],[PreGmRate]]+Games[[#This Row],[RatingChange]]</f>
        <v>1464.6543667912406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39971</v>
      </c>
      <c r="B16" s="2">
        <v>2009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84</v>
      </c>
      <c r="G16" s="1" t="s">
        <v>65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-1</v>
      </c>
      <c r="L16" s="2">
        <f>Games[[#This Row],[OppDaysOff]]-Games[[#This Row],[DaysOff]]</f>
        <v>1</v>
      </c>
      <c r="M16" s="1">
        <f>MAX(-16, MIN(16, Games[[#This Row],[RestDiff]]*8))</f>
        <v>-8</v>
      </c>
      <c r="N16" s="1">
        <f>MAX(-16, MIN(16, Games[[#This Row],[OppRestDiff]]*8))</f>
        <v>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1501.7612395415019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1517.9258559785842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0.33878860174331582</v>
      </c>
      <c r="R16" s="1">
        <v>66</v>
      </c>
      <c r="S16" s="1">
        <v>57</v>
      </c>
      <c r="T16" s="1">
        <v>0</v>
      </c>
      <c r="U16" s="1">
        <f>Games[[#This Row],[PointsFor]]-Games[[#This Row],[PointsAgainst]]</f>
        <v>9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0.40057556846531944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20.050290472144194</v>
      </c>
      <c r="AB16" s="4">
        <f>Games[[#This Row],[PreGmRate]]+Games[[#This Row],[RatingChange]]</f>
        <v>1521.8115300136462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39971</v>
      </c>
      <c r="B17" s="2">
        <v>2009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65</v>
      </c>
      <c r="G17" s="1" t="s">
        <v>84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" s="2">
        <f>Games[[#This Row],[DaysOff]]-Games[[#This Row],[OppDaysOff]]</f>
        <v>1</v>
      </c>
      <c r="L17" s="2">
        <f>Games[[#This Row],[OppDaysOff]]-Games[[#This Row],[DaysOff]]</f>
        <v>-1</v>
      </c>
      <c r="M17" s="1">
        <f>MAX(-16, MIN(16, Games[[#This Row],[RestDiff]]*8))</f>
        <v>8</v>
      </c>
      <c r="N17" s="1">
        <f>MAX(-16, MIN(16, Games[[#This Row],[OppRestDiff]]*8))</f>
        <v>-8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1517.9258559785842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1501.7612395415019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0.66121139825668429</v>
      </c>
      <c r="R17" s="1">
        <v>57</v>
      </c>
      <c r="S17" s="1">
        <v>66</v>
      </c>
      <c r="T17" s="1">
        <v>0</v>
      </c>
      <c r="U17" s="1">
        <f>Games[[#This Row],[PointsFor]]-Games[[#This Row],[PointsAgainst]]</f>
        <v>-9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0.40057556846531944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-20.090020241904057</v>
      </c>
      <c r="AB17" s="4">
        <f>Games[[#This Row],[PreGmRate]]+Games[[#This Row],[RatingChange]]</f>
        <v>1497.8358357366801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39971</v>
      </c>
      <c r="B18" s="2">
        <v>2009</v>
      </c>
      <c r="C18" s="2">
        <f>COUNTIFS(Games[Team],Games[[#This Row],[Team]],Games[Season],Games[[#This Row],[Season]],Games[Date],"&lt;=" &amp; Games[[#This Row],[Date]])</f>
        <v>2</v>
      </c>
      <c r="D18" s="2" t="s">
        <v>23</v>
      </c>
      <c r="E18" s="2" t="s">
        <v>29</v>
      </c>
      <c r="F18" s="1" t="s">
        <v>45</v>
      </c>
      <c r="G18" s="1" t="s">
        <v>79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1493.9448873305137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1547.8150744058453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0.31138664066900207</v>
      </c>
      <c r="R18" s="1">
        <v>70</v>
      </c>
      <c r="S18" s="1">
        <v>80</v>
      </c>
      <c r="T18" s="1">
        <v>0</v>
      </c>
      <c r="U18" s="1">
        <f>Games[[#This Row],[PointsFor]]-Games[[#This Row],[PointsAgainst]]</f>
        <v>-10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0.40495072331457799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-9.5454857744642592</v>
      </c>
      <c r="AB18" s="4">
        <f>Games[[#This Row],[PreGmRate]]+Games[[#This Row],[RatingChange]]</f>
        <v>1484.3994015560495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39971</v>
      </c>
      <c r="B19" s="2">
        <v>2009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79</v>
      </c>
      <c r="G19" s="1" t="s">
        <v>45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1547.8150744058453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1493.9448873305137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0.68861335933099788</v>
      </c>
      <c r="R19" s="1">
        <v>80</v>
      </c>
      <c r="S19" s="1">
        <v>70</v>
      </c>
      <c r="T19" s="1">
        <v>0</v>
      </c>
      <c r="U19" s="1">
        <f>Games[[#This Row],[PointsFor]]-Games[[#This Row],[PointsAgainst]]</f>
        <v>10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0.40495072331457799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9.5454857744642609</v>
      </c>
      <c r="AB19" s="4">
        <f>Games[[#This Row],[PreGmRate]]+Games[[#This Row],[RatingChange]]</f>
        <v>1557.3605601803094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39971</v>
      </c>
      <c r="B20" s="2">
        <v>2009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87</v>
      </c>
      <c r="G20" s="1" t="s">
        <v>71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1402.5800368326386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1443.5313374171385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0.32755210105140542</v>
      </c>
      <c r="R20" s="1">
        <v>71</v>
      </c>
      <c r="S20" s="1">
        <v>77</v>
      </c>
      <c r="T20" s="1">
        <v>0</v>
      </c>
      <c r="U20" s="1">
        <f>Games[[#This Row],[PointsFor]]-Games[[#This Row],[PointsAgainst]]</f>
        <v>-6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0.33968852211254552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-8.4228126664605387</v>
      </c>
      <c r="AB20" s="4">
        <f>Games[[#This Row],[PreGmRate]]+Games[[#This Row],[RatingChange]]</f>
        <v>1394.1572241661781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39971</v>
      </c>
      <c r="B21" s="2">
        <v>2009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71</v>
      </c>
      <c r="G21" s="1" t="s">
        <v>87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1443.5313374171385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1402.5800368326386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0.67244789894859458</v>
      </c>
      <c r="R21" s="1">
        <v>77</v>
      </c>
      <c r="S21" s="1">
        <v>71</v>
      </c>
      <c r="T21" s="1">
        <v>0</v>
      </c>
      <c r="U21" s="1">
        <f>Games[[#This Row],[PointsFor]]-Games[[#This Row],[PointsAgainst]]</f>
        <v>6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0.33968852211254552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8.4228126664605387</v>
      </c>
      <c r="AB21" s="4">
        <f>Games[[#This Row],[PreGmRate]]+Games[[#This Row],[RatingChange]]</f>
        <v>1451.954150083599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39972</v>
      </c>
      <c r="B22" s="2">
        <v>2009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68</v>
      </c>
      <c r="G22" s="1" t="s">
        <v>73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1553.7245119267632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1565.5397905749755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0.3655032298649698</v>
      </c>
      <c r="R22" s="1">
        <v>52</v>
      </c>
      <c r="S22" s="1">
        <v>81</v>
      </c>
      <c r="T22" s="1">
        <v>0</v>
      </c>
      <c r="U22" s="1">
        <f>Games[[#This Row],[PointsFor]]-Games[[#This Row],[PointsAgainst]]</f>
        <v>-29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0.68462211908946458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-18.942531799349887</v>
      </c>
      <c r="AB22" s="4">
        <f>Games[[#This Row],[PreGmRate]]+Games[[#This Row],[RatingChange]]</f>
        <v>1534.7819801274134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39972</v>
      </c>
      <c r="B23" s="2">
        <v>2009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73</v>
      </c>
      <c r="G23" s="1" t="s">
        <v>68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1565.5397905749755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1553.7245119267632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0.63449677013503014</v>
      </c>
      <c r="R23" s="1">
        <v>81</v>
      </c>
      <c r="S23" s="1">
        <v>52</v>
      </c>
      <c r="T23" s="1">
        <v>0</v>
      </c>
      <c r="U23" s="1">
        <f>Games[[#This Row],[PointsFor]]-Games[[#This Row],[PointsAgainst]]</f>
        <v>29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0.68462211908946458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18.94253179934989</v>
      </c>
      <c r="AB23" s="4">
        <f>Games[[#This Row],[PreGmRate]]+Games[[#This Row],[RatingChange]]</f>
        <v>1584.4823223743253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39973</v>
      </c>
      <c r="B24" s="2">
        <v>2009</v>
      </c>
      <c r="C24" s="2">
        <f>COUNTIFS(Games[Team],Games[[#This Row],[Team]],Games[Season],Games[[#This Row],[Season]],Games[Date],"&lt;=" &amp; Games[[#This Row],[Date]])</f>
        <v>3</v>
      </c>
      <c r="D24" s="2" t="s">
        <v>23</v>
      </c>
      <c r="E24" s="2" t="s">
        <v>29</v>
      </c>
      <c r="F24" s="1" t="s">
        <v>79</v>
      </c>
      <c r="G24" s="1" t="s">
        <v>77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1557.3605601803094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1464.6543667912406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0.51252659763347219</v>
      </c>
      <c r="R24" s="1">
        <v>66</v>
      </c>
      <c r="S24" s="1">
        <v>73</v>
      </c>
      <c r="T24" s="1">
        <v>0</v>
      </c>
      <c r="U24" s="1">
        <f>Games[[#This Row],[PointsFor]]-Games[[#This Row],[PointsAgainst]]</f>
        <v>-7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0.34356500282575309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-13.303312558396632</v>
      </c>
      <c r="AB24" s="4">
        <f>Games[[#This Row],[PreGmRate]]+Games[[#This Row],[RatingChange]]</f>
        <v>1544.0572476219129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39973</v>
      </c>
      <c r="B25" s="2">
        <v>2009</v>
      </c>
      <c r="C25" s="2">
        <f>COUNTIFS(Games[Team],Games[[#This Row],[Team]],Games[Season],Games[[#This Row],[Season]],Games[Date],"&lt;=" &amp; Games[[#This Row],[Date]])</f>
        <v>3</v>
      </c>
      <c r="D25" s="2" t="s">
        <v>23</v>
      </c>
      <c r="E25" s="2" t="s">
        <v>29</v>
      </c>
      <c r="F25" s="1" t="s">
        <v>77</v>
      </c>
      <c r="G25" s="1" t="s">
        <v>79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1464.6543667912406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1557.3605601803094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0.48747340236652786</v>
      </c>
      <c r="R25" s="1">
        <v>73</v>
      </c>
      <c r="S25" s="1">
        <v>66</v>
      </c>
      <c r="T25" s="1">
        <v>0</v>
      </c>
      <c r="U25" s="1">
        <f>Games[[#This Row],[PointsFor]]-Games[[#This Row],[PointsAgainst]]</f>
        <v>7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0.34356500282575309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13.303312558396629</v>
      </c>
      <c r="AB25" s="4">
        <f>Games[[#This Row],[PreGmRate]]+Games[[#This Row],[RatingChange]]</f>
        <v>1477.9576793496371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39974</v>
      </c>
      <c r="B26" s="2">
        <v>2009</v>
      </c>
      <c r="C26" s="2">
        <f>COUNTIFS(Games[Team],Games[[#This Row],[Team]],Games[Season],Games[[#This Row],[Season]],Games[Date],"&lt;=" &amp; Games[[#This Row],[Date]])</f>
        <v>3</v>
      </c>
      <c r="D26" s="2" t="s">
        <v>23</v>
      </c>
      <c r="E26" s="2" t="s">
        <v>29</v>
      </c>
      <c r="F26" s="1" t="s">
        <v>71</v>
      </c>
      <c r="G26" s="1" t="s">
        <v>73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" s="2">
        <f>Games[[#This Row],[DaysOff]]-Games[[#This Row],[OppDaysOff]]</f>
        <v>1</v>
      </c>
      <c r="L26" s="2">
        <f>Games[[#This Row],[OppDaysOff]]-Games[[#This Row],[DaysOff]]</f>
        <v>-1</v>
      </c>
      <c r="M26" s="1">
        <f>MAX(-16, MIN(16, Games[[#This Row],[RestDiff]]*8))</f>
        <v>8</v>
      </c>
      <c r="N26" s="1">
        <f>MAX(-16, MIN(16, Games[[#This Row],[OppRestDiff]]*8))</f>
        <v>-8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1451.954150083599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1584.4823223743253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0.23969854208622399</v>
      </c>
      <c r="R26" s="1">
        <v>75</v>
      </c>
      <c r="S26" s="1">
        <v>69</v>
      </c>
      <c r="T26" s="1">
        <v>0</v>
      </c>
      <c r="U26" s="1">
        <f>Games[[#This Row],[PointsFor]]-Games[[#This Row],[PointsAgainst]]</f>
        <v>6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0.31634371570886427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18.171028242688713</v>
      </c>
      <c r="AB26" s="4">
        <f>Games[[#This Row],[PreGmRate]]+Games[[#This Row],[RatingChange]]</f>
        <v>1470.1251783262876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39974</v>
      </c>
      <c r="B27" s="2">
        <v>2009</v>
      </c>
      <c r="C27" s="2">
        <f>COUNTIFS(Games[Team],Games[[#This Row],[Team]],Games[Season],Games[[#This Row],[Season]],Games[Date],"&lt;=" &amp; Games[[#This Row],[Date]])</f>
        <v>3</v>
      </c>
      <c r="D27" s="2" t="s">
        <v>23</v>
      </c>
      <c r="E27" s="2" t="s">
        <v>29</v>
      </c>
      <c r="F27" s="1" t="s">
        <v>73</v>
      </c>
      <c r="G27" s="1" t="s">
        <v>71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" s="2">
        <f>Games[[#This Row],[DaysOff]]-Games[[#This Row],[OppDaysOff]]</f>
        <v>-1</v>
      </c>
      <c r="L27" s="2">
        <f>Games[[#This Row],[OppDaysOff]]-Games[[#This Row],[DaysOff]]</f>
        <v>1</v>
      </c>
      <c r="M27" s="1">
        <f>MAX(-16, MIN(16, Games[[#This Row],[RestDiff]]*8))</f>
        <v>-8</v>
      </c>
      <c r="N27" s="1">
        <f>MAX(-16, MIN(16, Games[[#This Row],[OppRestDiff]]*8))</f>
        <v>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1584.4823223743253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1451.954150083599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0.76030145791377612</v>
      </c>
      <c r="R27" s="1">
        <v>69</v>
      </c>
      <c r="S27" s="1">
        <v>75</v>
      </c>
      <c r="T27" s="1">
        <v>0</v>
      </c>
      <c r="U27" s="1">
        <f>Games[[#This Row],[PointsFor]]-Games[[#This Row],[PointsAgainst]]</f>
        <v>-6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0.31634371570886427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-18.171028242688717</v>
      </c>
      <c r="AB27" s="4">
        <f>Games[[#This Row],[PreGmRate]]+Games[[#This Row],[RatingChange]]</f>
        <v>1566.3112941316367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39974</v>
      </c>
      <c r="B28" s="2">
        <v>2009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68</v>
      </c>
      <c r="G28" s="1" t="s">
        <v>75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" s="2">
        <f>Games[[#This Row],[DaysOff]]-Games[[#This Row],[OppDaysOff]]</f>
        <v>-1</v>
      </c>
      <c r="L28" s="2">
        <f>Games[[#This Row],[OppDaysOff]]-Games[[#This Row],[DaysOff]]</f>
        <v>1</v>
      </c>
      <c r="M28" s="1">
        <f>MAX(-16, MIN(16, Games[[#This Row],[RestDiff]]*8))</f>
        <v>-8</v>
      </c>
      <c r="N28" s="1">
        <f>MAX(-16, MIN(16, Games[[#This Row],[OppRestDiff]]*8))</f>
        <v>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1534.7819801274134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1530.4283372491316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0.36572876701980367</v>
      </c>
      <c r="R28" s="1">
        <v>76</v>
      </c>
      <c r="S28" s="1">
        <v>87</v>
      </c>
      <c r="T28" s="1">
        <v>0</v>
      </c>
      <c r="U28" s="1">
        <f>Games[[#This Row],[PointsFor]]-Games[[#This Row],[PointsAgainst]]</f>
        <v>-11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0.43824599811709969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-12.109091183403256</v>
      </c>
      <c r="AB28" s="4">
        <f>Games[[#This Row],[PreGmRate]]+Games[[#This Row],[RatingChange]]</f>
        <v>1522.6728889440101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39974</v>
      </c>
      <c r="B29" s="2">
        <v>2009</v>
      </c>
      <c r="C29" s="2">
        <f>COUNTIFS(Games[Team],Games[[#This Row],[Team]],Games[Season],Games[[#This Row],[Season]],Games[Date],"&lt;=" &amp; Games[[#This Row],[Date]])</f>
        <v>3</v>
      </c>
      <c r="D29" s="2" t="s">
        <v>23</v>
      </c>
      <c r="E29" s="2" t="s">
        <v>29</v>
      </c>
      <c r="F29" s="1" t="s">
        <v>75</v>
      </c>
      <c r="G29" s="1" t="s">
        <v>68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1</v>
      </c>
      <c r="L29" s="2">
        <f>Games[[#This Row],[OppDaysOff]]-Games[[#This Row],[DaysOff]]</f>
        <v>-1</v>
      </c>
      <c r="M29" s="1">
        <f>MAX(-16, MIN(16, Games[[#This Row],[RestDiff]]*8))</f>
        <v>8</v>
      </c>
      <c r="N29" s="1">
        <f>MAX(-16, MIN(16, Games[[#This Row],[OppRestDiff]]*8))</f>
        <v>-8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1530.4283372491316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1534.7819801274134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0.63427123298019639</v>
      </c>
      <c r="R29" s="1">
        <v>87</v>
      </c>
      <c r="S29" s="1">
        <v>76</v>
      </c>
      <c r="T29" s="1">
        <v>0</v>
      </c>
      <c r="U29" s="1">
        <f>Games[[#This Row],[PointsFor]]-Games[[#This Row],[PointsAgainst]]</f>
        <v>11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0.43824599811709969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12.109091183403255</v>
      </c>
      <c r="AB29" s="4">
        <f>Games[[#This Row],[PreGmRate]]+Games[[#This Row],[RatingChange]]</f>
        <v>1542.5374284325349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39974</v>
      </c>
      <c r="B30" s="2">
        <v>2009</v>
      </c>
      <c r="C30" s="2">
        <f>COUNTIFS(Games[Team],Games[[#This Row],[Team]],Games[Season],Games[[#This Row],[Season]],Games[Date],"&lt;=" &amp; Games[[#This Row],[Date]])</f>
        <v>2</v>
      </c>
      <c r="D30" s="2" t="s">
        <v>23</v>
      </c>
      <c r="E30" s="2" t="s">
        <v>29</v>
      </c>
      <c r="F30" s="1" t="s">
        <v>65</v>
      </c>
      <c r="G30" s="1" t="s">
        <v>44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" s="2">
        <f>Games[[#This Row],[DaysOff]]-Games[[#This Row],[OppDaysOff]]</f>
        <v>-1</v>
      </c>
      <c r="L30" s="2">
        <f>Games[[#This Row],[OppDaysOff]]-Games[[#This Row],[DaysOff]]</f>
        <v>1</v>
      </c>
      <c r="M30" s="1">
        <f>MAX(-16, MIN(16, Games[[#This Row],[RestDiff]]*8))</f>
        <v>-8</v>
      </c>
      <c r="N30" s="1">
        <f>MAX(-16, MIN(16, Games[[#This Row],[OppRestDiff]]*8))</f>
        <v>8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1497.8358357366801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1524.5232165068451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0.3253546809869427</v>
      </c>
      <c r="R30" s="1">
        <v>84</v>
      </c>
      <c r="S30" s="1">
        <v>91</v>
      </c>
      <c r="T30" s="1">
        <v>0</v>
      </c>
      <c r="U30" s="1">
        <f>Games[[#This Row],[PointsFor]]-Games[[#This Row],[PointsAgainst]]</f>
        <v>-7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0.36205525054455334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75.7</v>
      </c>
      <c r="Z30" s="4">
        <f>Games[[#This Row],[K]]*Games[[#This Row],[POMult]]</f>
        <v>75.7</v>
      </c>
      <c r="AA30" s="4">
        <f>(Games[[#This Row],[Keff]]*Games[[#This Row],[MOVMult]])*(Games[[#This Row],[Result]]-Games[[#This Row],[ExpectedWin%]])</f>
        <v>-8.9171852499212072</v>
      </c>
      <c r="AB30" s="4">
        <f>Games[[#This Row],[PreGmRate]]+Games[[#This Row],[RatingChange]]</f>
        <v>1488.9186504867589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39974</v>
      </c>
      <c r="B31" s="2">
        <v>2009</v>
      </c>
      <c r="C31" s="2">
        <f>COUNTIFS(Games[Team],Games[[#This Row],[Team]],Games[Season],Games[[#This Row],[Season]],Games[Date],"&lt;=" &amp; Games[[#This Row],[Date]])</f>
        <v>2</v>
      </c>
      <c r="D31" s="2" t="s">
        <v>23</v>
      </c>
      <c r="E31" s="2" t="s">
        <v>29</v>
      </c>
      <c r="F31" s="1" t="s">
        <v>44</v>
      </c>
      <c r="G31" s="1" t="s">
        <v>65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1</v>
      </c>
      <c r="L31" s="2">
        <f>Games[[#This Row],[OppDaysOff]]-Games[[#This Row],[DaysOff]]</f>
        <v>-1</v>
      </c>
      <c r="M31" s="1">
        <f>MAX(-16, MIN(16, Games[[#This Row],[RestDiff]]*8))</f>
        <v>8</v>
      </c>
      <c r="N31" s="1">
        <f>MAX(-16, MIN(16, Games[[#This Row],[OppRestDiff]]*8))</f>
        <v>-8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1524.5232165068451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1497.8358357366801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0.67464531901305735</v>
      </c>
      <c r="R31" s="1">
        <v>91</v>
      </c>
      <c r="S31" s="1">
        <v>84</v>
      </c>
      <c r="T31" s="1">
        <v>0</v>
      </c>
      <c r="U31" s="1">
        <f>Games[[#This Row],[PointsFor]]-Games[[#This Row],[PointsAgainst]]</f>
        <v>7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0.36205525054455334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75.7</v>
      </c>
      <c r="Z31" s="4">
        <f>Games[[#This Row],[K]]*Games[[#This Row],[POMult]]</f>
        <v>75.7</v>
      </c>
      <c r="AA31" s="4">
        <f>(Games[[#This Row],[Keff]]*Games[[#This Row],[MOVMult]])*(Games[[#This Row],[Result]]-Games[[#This Row],[ExpectedWin%]])</f>
        <v>8.9171852499212054</v>
      </c>
      <c r="AB31" s="4">
        <f>Games[[#This Row],[PreGmRate]]+Games[[#This Row],[RatingChange]]</f>
        <v>1533.4404017567663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39976</v>
      </c>
      <c r="B32" s="2">
        <v>2009</v>
      </c>
      <c r="C32" s="2">
        <f>COUNTIFS(Games[Team],Games[[#This Row],[Team]],Games[Season],Games[[#This Row],[Season]],Games[Date],"&lt;=" &amp; Games[[#This Row],[Date]])</f>
        <v>3</v>
      </c>
      <c r="D32" s="2" t="s">
        <v>23</v>
      </c>
      <c r="E32" s="2" t="s">
        <v>29</v>
      </c>
      <c r="F32" s="1" t="s">
        <v>87</v>
      </c>
      <c r="G32" s="1" t="s">
        <v>85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" s="2">
        <f>Games[[#This Row],[DaysOff]]-Games[[#This Row],[OppDaysOff]]</f>
        <v>-1</v>
      </c>
      <c r="L32" s="2">
        <f>Games[[#This Row],[OppDaysOff]]-Games[[#This Row],[DaysOff]]</f>
        <v>1</v>
      </c>
      <c r="M32" s="1">
        <f>MAX(-16, MIN(16, Games[[#This Row],[RestDiff]]*8))</f>
        <v>-8</v>
      </c>
      <c r="N32" s="1">
        <f>MAX(-16, MIN(16, Games[[#This Row],[OppRestDiff]]*8))</f>
        <v>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1394.1572241661781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1449.1668419804446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0.29063395498078864</v>
      </c>
      <c r="R32" s="1">
        <v>73</v>
      </c>
      <c r="S32" s="1">
        <v>81</v>
      </c>
      <c r="T32" s="1">
        <v>0</v>
      </c>
      <c r="U32" s="1">
        <f>Games[[#This Row],[PointsFor]]-Games[[#This Row],[PointsAgainst]]</f>
        <v>-8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0.37129487725772031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-8.1526683923666639</v>
      </c>
      <c r="AB32" s="4">
        <f>Games[[#This Row],[PreGmRate]]+Games[[#This Row],[RatingChange]]</f>
        <v>1386.0045557738115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39976</v>
      </c>
      <c r="B33" s="2">
        <v>2009</v>
      </c>
      <c r="C33" s="2">
        <f>COUNTIFS(Games[Team],Games[[#This Row],[Team]],Games[Season],Games[[#This Row],[Season]],Games[Date],"&lt;=" &amp; Games[[#This Row],[Date]])</f>
        <v>2</v>
      </c>
      <c r="D33" s="2" t="s">
        <v>23</v>
      </c>
      <c r="E33" s="2" t="s">
        <v>29</v>
      </c>
      <c r="F33" s="1" t="s">
        <v>85</v>
      </c>
      <c r="G33" s="1" t="s">
        <v>87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" s="2">
        <f>Games[[#This Row],[DaysOff]]-Games[[#This Row],[OppDaysOff]]</f>
        <v>1</v>
      </c>
      <c r="L33" s="2">
        <f>Games[[#This Row],[OppDaysOff]]-Games[[#This Row],[DaysOff]]</f>
        <v>-1</v>
      </c>
      <c r="M33" s="1">
        <f>MAX(-16, MIN(16, Games[[#This Row],[RestDiff]]*8))</f>
        <v>8</v>
      </c>
      <c r="N33" s="1">
        <f>MAX(-16, MIN(16, Games[[#This Row],[OppRestDiff]]*8))</f>
        <v>-8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1449.1668419804446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1394.1572241661781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0.7093660450192113</v>
      </c>
      <c r="R33" s="1">
        <v>81</v>
      </c>
      <c r="S33" s="1">
        <v>73</v>
      </c>
      <c r="T33" s="1">
        <v>0</v>
      </c>
      <c r="U33" s="1">
        <f>Games[[#This Row],[PointsFor]]-Games[[#This Row],[PointsAgainst]]</f>
        <v>8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0.37129487725772031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75.7</v>
      </c>
      <c r="Z33" s="4">
        <f>Games[[#This Row],[K]]*Games[[#This Row],[POMult]]</f>
        <v>75.7</v>
      </c>
      <c r="AA33" s="4">
        <f>(Games[[#This Row],[Keff]]*Games[[#This Row],[MOVMult]])*(Games[[#This Row],[Result]]-Games[[#This Row],[ExpectedWin%]])</f>
        <v>8.1688550271628948</v>
      </c>
      <c r="AB33" s="4">
        <f>Games[[#This Row],[PreGmRate]]+Games[[#This Row],[RatingChange]]</f>
        <v>1457.3356970076075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39976</v>
      </c>
      <c r="B34" s="2">
        <v>2009</v>
      </c>
      <c r="C34" s="2">
        <f>COUNTIFS(Games[Team],Games[[#This Row],[Team]],Games[Season],Games[[#This Row],[Season]],Games[Date],"&lt;=" &amp; Games[[#This Row],[Date]])</f>
        <v>4</v>
      </c>
      <c r="D34" s="2" t="s">
        <v>23</v>
      </c>
      <c r="E34" s="2" t="s">
        <v>29</v>
      </c>
      <c r="F34" s="1" t="s">
        <v>68</v>
      </c>
      <c r="G34" s="1" t="s">
        <v>77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-1</v>
      </c>
      <c r="L34" s="2">
        <f>Games[[#This Row],[OppDaysOff]]-Games[[#This Row],[DaysOff]]</f>
        <v>1</v>
      </c>
      <c r="M34" s="1">
        <f>MAX(-16, MIN(16, Games[[#This Row],[RestDiff]]*8))</f>
        <v>-8</v>
      </c>
      <c r="N34" s="1">
        <f>MAX(-16, MIN(16, Games[[#This Row],[OppRestDiff]]*8))</f>
        <v>8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1522.6728889440101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1477.9576793496371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0.42110355430728086</v>
      </c>
      <c r="R34" s="1">
        <v>61</v>
      </c>
      <c r="S34" s="1">
        <v>73</v>
      </c>
      <c r="T34" s="1">
        <v>0</v>
      </c>
      <c r="U34" s="1">
        <f>Games[[#This Row],[PointsFor]]-Games[[#This Row],[PointsAgainst]]</f>
        <v>-12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0.43974342682790929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75.400000000000006</v>
      </c>
      <c r="Z34" s="4">
        <f>Games[[#This Row],[K]]*Games[[#This Row],[POMult]]</f>
        <v>75.400000000000006</v>
      </c>
      <c r="AA34" s="4">
        <f>(Games[[#This Row],[Keff]]*Games[[#This Row],[MOVMult]])*(Games[[#This Row],[Result]]-Games[[#This Row],[ExpectedWin%]])</f>
        <v>-13.962385009545422</v>
      </c>
      <c r="AB34" s="4">
        <f>Games[[#This Row],[PreGmRate]]+Games[[#This Row],[RatingChange]]</f>
        <v>1508.7105039344647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39976</v>
      </c>
      <c r="B35" s="2">
        <v>2009</v>
      </c>
      <c r="C35" s="2">
        <f>COUNTIFS(Games[Team],Games[[#This Row],[Team]],Games[Season],Games[[#This Row],[Season]],Games[Date],"&lt;=" &amp; Games[[#This Row],[Date]])</f>
        <v>4</v>
      </c>
      <c r="D35" s="2" t="s">
        <v>23</v>
      </c>
      <c r="E35" s="2" t="s">
        <v>29</v>
      </c>
      <c r="F35" s="1" t="s">
        <v>77</v>
      </c>
      <c r="G35" s="1" t="s">
        <v>68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1</v>
      </c>
      <c r="L35" s="2">
        <f>Games[[#This Row],[OppDaysOff]]-Games[[#This Row],[DaysOff]]</f>
        <v>-1</v>
      </c>
      <c r="M35" s="1">
        <f>MAX(-16, MIN(16, Games[[#This Row],[RestDiff]]*8))</f>
        <v>8</v>
      </c>
      <c r="N35" s="1">
        <f>MAX(-16, MIN(16, Games[[#This Row],[OppRestDiff]]*8))</f>
        <v>-8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1477.9576793496371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1522.6728889440101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0.57889644569271925</v>
      </c>
      <c r="R35" s="1">
        <v>73</v>
      </c>
      <c r="S35" s="1">
        <v>61</v>
      </c>
      <c r="T35" s="1">
        <v>0</v>
      </c>
      <c r="U35" s="1">
        <f>Games[[#This Row],[PointsFor]]-Games[[#This Row],[PointsAgainst]]</f>
        <v>12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0.43974342682790929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13.962385009545418</v>
      </c>
      <c r="AB35" s="4">
        <f>Games[[#This Row],[PreGmRate]]+Games[[#This Row],[RatingChange]]</f>
        <v>1491.9200643591826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39976</v>
      </c>
      <c r="B36" s="2">
        <v>2009</v>
      </c>
      <c r="C36" s="2">
        <f>COUNTIFS(Games[Team],Games[[#This Row],[Team]],Games[Season],Games[[#This Row],[Season]],Games[Date],"&lt;=" &amp; Games[[#This Row],[Date]])</f>
        <v>4</v>
      </c>
      <c r="D36" s="2" t="s">
        <v>23</v>
      </c>
      <c r="E36" s="2" t="s">
        <v>29</v>
      </c>
      <c r="F36" s="1" t="s">
        <v>79</v>
      </c>
      <c r="G36" s="1" t="s">
        <v>75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" s="2">
        <f>Games[[#This Row],[DaysOff]]-Games[[#This Row],[OppDaysOff]]</f>
        <v>1</v>
      </c>
      <c r="L36" s="2">
        <f>Games[[#This Row],[OppDaysOff]]-Games[[#This Row],[DaysOff]]</f>
        <v>-1</v>
      </c>
      <c r="M36" s="1">
        <f>MAX(-16, MIN(16, Games[[#This Row],[RestDiff]]*8))</f>
        <v>8</v>
      </c>
      <c r="N36" s="1">
        <f>MAX(-16, MIN(16, Games[[#This Row],[OppRestDiff]]*8))</f>
        <v>-8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1544.0572476219129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1542.5374284325349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0.40547810124079076</v>
      </c>
      <c r="R36" s="1">
        <v>88</v>
      </c>
      <c r="S36" s="1">
        <v>71</v>
      </c>
      <c r="T36" s="1">
        <v>0</v>
      </c>
      <c r="U36" s="1">
        <f>Games[[#This Row],[PointsFor]]-Games[[#This Row],[PointsAgainst]]</f>
        <v>17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0.53176857567731184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23.837563973736543</v>
      </c>
      <c r="AB36" s="4">
        <f>Games[[#This Row],[PreGmRate]]+Games[[#This Row],[RatingChange]]</f>
        <v>1567.8948115956493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39976</v>
      </c>
      <c r="B37" s="2">
        <v>2009</v>
      </c>
      <c r="C37" s="2">
        <f>COUNTIFS(Games[Team],Games[[#This Row],[Team]],Games[Season],Games[[#This Row],[Season]],Games[Date],"&lt;=" &amp; Games[[#This Row],[Date]])</f>
        <v>4</v>
      </c>
      <c r="D37" s="2" t="s">
        <v>23</v>
      </c>
      <c r="E37" s="2" t="s">
        <v>29</v>
      </c>
      <c r="F37" s="1" t="s">
        <v>75</v>
      </c>
      <c r="G37" s="1" t="s">
        <v>79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-1</v>
      </c>
      <c r="L37" s="2">
        <f>Games[[#This Row],[OppDaysOff]]-Games[[#This Row],[DaysOff]]</f>
        <v>1</v>
      </c>
      <c r="M37" s="1">
        <f>MAX(-16, MIN(16, Games[[#This Row],[RestDiff]]*8))</f>
        <v>-8</v>
      </c>
      <c r="N37" s="1">
        <f>MAX(-16, MIN(16, Games[[#This Row],[OppRestDiff]]*8))</f>
        <v>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1542.5374284325349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1544.0572476219129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0.59452189875920913</v>
      </c>
      <c r="R37" s="1">
        <v>71</v>
      </c>
      <c r="S37" s="1">
        <v>88</v>
      </c>
      <c r="T37" s="1">
        <v>0</v>
      </c>
      <c r="U37" s="1">
        <f>Games[[#This Row],[PointsFor]]-Games[[#This Row],[PointsAgainst]]</f>
        <v>-17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0.53176857567731184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-23.837563973736536</v>
      </c>
      <c r="AB37" s="4">
        <f>Games[[#This Row],[PreGmRate]]+Games[[#This Row],[RatingChange]]</f>
        <v>1518.6998644587984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39976</v>
      </c>
      <c r="B38" s="2">
        <v>2009</v>
      </c>
      <c r="C38" s="2">
        <f>COUNTIFS(Games[Team],Games[[#This Row],[Team]],Games[Season],Games[[#This Row],[Season]],Games[Date],"&lt;=" &amp; Games[[#This Row],[Date]])</f>
        <v>3</v>
      </c>
      <c r="D38" s="2" t="s">
        <v>23</v>
      </c>
      <c r="E38" s="2" t="s">
        <v>29</v>
      </c>
      <c r="F38" s="1" t="s">
        <v>44</v>
      </c>
      <c r="G38" s="1" t="s">
        <v>45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" s="2">
        <f>Games[[#This Row],[DaysOff]]-Games[[#This Row],[OppDaysOff]]</f>
        <v>-3</v>
      </c>
      <c r="L38" s="2">
        <f>Games[[#This Row],[OppDaysOff]]-Games[[#This Row],[DaysOff]]</f>
        <v>3</v>
      </c>
      <c r="M38" s="1">
        <f>MAX(-16, MIN(16, Games[[#This Row],[RestDiff]]*8))</f>
        <v>-16</v>
      </c>
      <c r="N38" s="1">
        <f>MAX(-16, MIN(16, Games[[#This Row],[OppRestDiff]]*8))</f>
        <v>16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1533.4404017567663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1484.3994015560495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0.40481382470014043</v>
      </c>
      <c r="R38" s="1">
        <v>71</v>
      </c>
      <c r="S38" s="1">
        <v>90</v>
      </c>
      <c r="T38" s="1">
        <v>0</v>
      </c>
      <c r="U38" s="1">
        <f>Games[[#This Row],[PointsFor]]-Games[[#This Row],[PointsAgainst]]</f>
        <v>-19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0.53895195366648729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-16.483136487932107</v>
      </c>
      <c r="AB38" s="4">
        <f>Games[[#This Row],[PreGmRate]]+Games[[#This Row],[RatingChange]]</f>
        <v>1516.9572652688341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39976</v>
      </c>
      <c r="B39" s="2">
        <v>2009</v>
      </c>
      <c r="C39" s="2">
        <f>COUNTIFS(Games[Team],Games[[#This Row],[Team]],Games[Season],Games[[#This Row],[Season]],Games[Date],"&lt;=" &amp; Games[[#This Row],[Date]])</f>
        <v>3</v>
      </c>
      <c r="D39" s="2" t="s">
        <v>23</v>
      </c>
      <c r="E39" s="2" t="s">
        <v>29</v>
      </c>
      <c r="F39" s="1" t="s">
        <v>45</v>
      </c>
      <c r="G39" s="1" t="s">
        <v>44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3</v>
      </c>
      <c r="L39" s="2">
        <f>Games[[#This Row],[OppDaysOff]]-Games[[#This Row],[DaysOff]]</f>
        <v>-3</v>
      </c>
      <c r="M39" s="1">
        <f>MAX(-16, MIN(16, Games[[#This Row],[RestDiff]]*8))</f>
        <v>16</v>
      </c>
      <c r="N39" s="1">
        <f>MAX(-16, MIN(16, Games[[#This Row],[OppRestDiff]]*8))</f>
        <v>-16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1484.3994015560495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1533.4404017567663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0.59518617529985951</v>
      </c>
      <c r="R39" s="1">
        <v>90</v>
      </c>
      <c r="S39" s="1">
        <v>71</v>
      </c>
      <c r="T39" s="1">
        <v>0</v>
      </c>
      <c r="U39" s="1">
        <f>Games[[#This Row],[PointsFor]]-Games[[#This Row],[PointsAgainst]]</f>
        <v>19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0.53895195366648729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16.483136487932111</v>
      </c>
      <c r="AB39" s="4">
        <f>Games[[#This Row],[PreGmRate]]+Games[[#This Row],[RatingChange]]</f>
        <v>1500.8825380439816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39977</v>
      </c>
      <c r="B40" s="2">
        <v>2009</v>
      </c>
      <c r="C40" s="2">
        <f>COUNTIFS(Games[Team],Games[[#This Row],[Team]],Games[Season],Games[[#This Row],[Season]],Games[Date],"&lt;=" &amp; Games[[#This Row],[Date]])</f>
        <v>4</v>
      </c>
      <c r="D40" s="2" t="s">
        <v>23</v>
      </c>
      <c r="E40" s="2" t="s">
        <v>29</v>
      </c>
      <c r="F40" s="1" t="s">
        <v>45</v>
      </c>
      <c r="G40" s="1" t="s">
        <v>44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1500.8825380439816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1516.9572652688341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0.35983590410273197</v>
      </c>
      <c r="R40" s="1">
        <v>104</v>
      </c>
      <c r="S40" s="1">
        <v>115</v>
      </c>
      <c r="T40" s="1">
        <v>1</v>
      </c>
      <c r="U40" s="1">
        <f>Games[[#This Row],[PointsFor]]-Games[[#This Row],[PointsAgainst]]</f>
        <v>-11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0.39061978449488005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-10.598150357885364</v>
      </c>
      <c r="AB40" s="4">
        <f>Games[[#This Row],[PreGmRate]]+Games[[#This Row],[RatingChange]]</f>
        <v>1490.2843876860964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39977</v>
      </c>
      <c r="B41" s="2">
        <v>2009</v>
      </c>
      <c r="C41" s="2">
        <f>COUNTIFS(Games[Team],Games[[#This Row],[Team]],Games[Season],Games[[#This Row],[Season]],Games[Date],"&lt;=" &amp; Games[[#This Row],[Date]])</f>
        <v>4</v>
      </c>
      <c r="D41" s="2" t="s">
        <v>23</v>
      </c>
      <c r="E41" s="2" t="s">
        <v>29</v>
      </c>
      <c r="F41" s="1" t="s">
        <v>44</v>
      </c>
      <c r="G41" s="1" t="s">
        <v>45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1516.9572652688341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1500.8825380439816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0.64016409589726808</v>
      </c>
      <c r="R41" s="1">
        <v>115</v>
      </c>
      <c r="S41" s="1">
        <v>104</v>
      </c>
      <c r="T41" s="1">
        <v>1</v>
      </c>
      <c r="U41" s="1">
        <f>Games[[#This Row],[PointsFor]]-Games[[#This Row],[PointsAgainst]]</f>
        <v>11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0.39061978449488005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10.598150357885363</v>
      </c>
      <c r="AB41" s="4">
        <f>Games[[#This Row],[PreGmRate]]+Games[[#This Row],[RatingChange]]</f>
        <v>1527.5554156267194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39977</v>
      </c>
      <c r="B42" s="2">
        <v>2009</v>
      </c>
      <c r="C42" s="2">
        <f>COUNTIFS(Games[Team],Games[[#This Row],[Team]],Games[Season],Games[[#This Row],[Season]],Games[Date],"&lt;=" &amp; Games[[#This Row],[Date]])</f>
        <v>3</v>
      </c>
      <c r="D42" s="2" t="s">
        <v>23</v>
      </c>
      <c r="E42" s="2" t="s">
        <v>29</v>
      </c>
      <c r="F42" s="1" t="s">
        <v>65</v>
      </c>
      <c r="G42" s="1" t="s">
        <v>82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2" s="2">
        <f>Games[[#This Row],[DaysOff]]-Games[[#This Row],[OppDaysOff]]</f>
        <v>-4</v>
      </c>
      <c r="L42" s="2">
        <f>Games[[#This Row],[OppDaysOff]]-Games[[#This Row],[DaysOff]]</f>
        <v>4</v>
      </c>
      <c r="M42" s="1">
        <f>MAX(-16, MIN(16, Games[[#This Row],[RestDiff]]*8))</f>
        <v>-16</v>
      </c>
      <c r="N42" s="1">
        <f>MAX(-16, MIN(16, Games[[#This Row],[OppRestDiff]]*8))</f>
        <v>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1488.9186504867589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1521.9054061486818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0.29783334174404047</v>
      </c>
      <c r="R42" s="1">
        <v>60</v>
      </c>
      <c r="S42" s="1">
        <v>63</v>
      </c>
      <c r="T42" s="1">
        <v>0</v>
      </c>
      <c r="U42" s="1">
        <f>Games[[#This Row],[PointsFor]]-Games[[#This Row],[PointsAgainst]]</f>
        <v>-3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0.28242008579525196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75.55</v>
      </c>
      <c r="Z42" s="4">
        <f>Games[[#This Row],[K]]*Games[[#This Row],[POMult]]</f>
        <v>75.55</v>
      </c>
      <c r="AA42" s="4">
        <f>(Games[[#This Row],[Keff]]*Games[[#This Row],[MOVMult]])*(Games[[#This Row],[Result]]-Games[[#This Row],[ExpectedWin%]])</f>
        <v>-6.3548216094633094</v>
      </c>
      <c r="AB42" s="4">
        <f>Games[[#This Row],[PreGmRate]]+Games[[#This Row],[RatingChange]]</f>
        <v>1482.5638288772957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39977</v>
      </c>
      <c r="B43" s="2">
        <v>2009</v>
      </c>
      <c r="C43" s="2">
        <f>COUNTIFS(Games[Team],Games[[#This Row],[Team]],Games[Season],Games[[#This Row],[Season]],Games[Date],"&lt;=" &amp; Games[[#This Row],[Date]])</f>
        <v>2</v>
      </c>
      <c r="D43" s="2" t="s">
        <v>23</v>
      </c>
      <c r="E43" s="2" t="s">
        <v>29</v>
      </c>
      <c r="F43" s="1" t="s">
        <v>82</v>
      </c>
      <c r="G43" s="1" t="s">
        <v>65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" s="2">
        <f>Games[[#This Row],[DaysOff]]-Games[[#This Row],[OppDaysOff]]</f>
        <v>4</v>
      </c>
      <c r="L43" s="2">
        <f>Games[[#This Row],[OppDaysOff]]-Games[[#This Row],[DaysOff]]</f>
        <v>-4</v>
      </c>
      <c r="M43" s="1">
        <f>MAX(-16, MIN(16, Games[[#This Row],[RestDiff]]*8))</f>
        <v>16</v>
      </c>
      <c r="N43" s="1">
        <f>MAX(-16, MIN(16, Games[[#This Row],[OppRestDiff]]*8))</f>
        <v>-16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1521.9054061486818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1488.9186504867589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0.70216665825595947</v>
      </c>
      <c r="R43" s="1">
        <v>63</v>
      </c>
      <c r="S43" s="1">
        <v>60</v>
      </c>
      <c r="T43" s="1">
        <v>0</v>
      </c>
      <c r="U43" s="1">
        <f>Games[[#This Row],[PointsFor]]-Games[[#This Row],[PointsAgainst]]</f>
        <v>3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0.28242008579525196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75.7</v>
      </c>
      <c r="Z43" s="4">
        <f>Games[[#This Row],[K]]*Games[[#This Row],[POMult]]</f>
        <v>75.7</v>
      </c>
      <c r="AA43" s="4">
        <f>(Games[[#This Row],[Keff]]*Games[[#This Row],[MOVMult]])*(Games[[#This Row],[Result]]-Games[[#This Row],[ExpectedWin%]])</f>
        <v>6.3674387271525159</v>
      </c>
      <c r="AB43" s="4">
        <f>Games[[#This Row],[PreGmRate]]+Games[[#This Row],[RatingChange]]</f>
        <v>1528.2728448758344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39978</v>
      </c>
      <c r="B44" s="2">
        <v>2009</v>
      </c>
      <c r="C44" s="2">
        <f>COUNTIFS(Games[Team],Games[[#This Row],[Team]],Games[Season],Games[[#This Row],[Season]],Games[Date],"&lt;=" &amp; Games[[#This Row],[Date]])</f>
        <v>5</v>
      </c>
      <c r="D44" s="2" t="s">
        <v>23</v>
      </c>
      <c r="E44" s="2" t="s">
        <v>29</v>
      </c>
      <c r="F44" s="1" t="s">
        <v>79</v>
      </c>
      <c r="G44" s="1" t="s">
        <v>85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1567.8948115956493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1457.3356970076075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0.53814736161427723</v>
      </c>
      <c r="R44" s="1">
        <v>57</v>
      </c>
      <c r="S44" s="1">
        <v>64</v>
      </c>
      <c r="T44" s="1">
        <v>0</v>
      </c>
      <c r="U44" s="1">
        <f>Games[[#This Row],[PointsFor]]-Games[[#This Row],[PointsAgainst]]</f>
        <v>-7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0.33888483322951085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75.25</v>
      </c>
      <c r="Z44" s="4">
        <f>Games[[#This Row],[K]]*Games[[#This Row],[POMult]]</f>
        <v>75.25</v>
      </c>
      <c r="AA44" s="4">
        <f>(Games[[#This Row],[Keff]]*Games[[#This Row],[MOVMult]])*(Games[[#This Row],[Result]]-Games[[#This Row],[ExpectedWin%]])</f>
        <v>-13.72334091174006</v>
      </c>
      <c r="AB44" s="4">
        <f>Games[[#This Row],[PreGmRate]]+Games[[#This Row],[RatingChange]]</f>
        <v>1554.1714706839093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39978</v>
      </c>
      <c r="B45" s="2">
        <v>2009</v>
      </c>
      <c r="C45" s="2">
        <f>COUNTIFS(Games[Team],Games[[#This Row],[Team]],Games[Season],Games[[#This Row],[Season]],Games[Date],"&lt;=" &amp; Games[[#This Row],[Date]])</f>
        <v>3</v>
      </c>
      <c r="D45" s="2" t="s">
        <v>23</v>
      </c>
      <c r="E45" s="2" t="s">
        <v>29</v>
      </c>
      <c r="F45" s="1" t="s">
        <v>85</v>
      </c>
      <c r="G45" s="1" t="s">
        <v>79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1457.3356970076075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1567.8948115956493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0.46185263838572271</v>
      </c>
      <c r="R45" s="1">
        <v>64</v>
      </c>
      <c r="S45" s="1">
        <v>57</v>
      </c>
      <c r="T45" s="1">
        <v>0</v>
      </c>
      <c r="U45" s="1">
        <f>Games[[#This Row],[PointsFor]]-Games[[#This Row],[PointsAgainst]]</f>
        <v>7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0.33888483322951085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13.778051905408129</v>
      </c>
      <c r="AB45" s="4">
        <f>Games[[#This Row],[PreGmRate]]+Games[[#This Row],[RatingChange]]</f>
        <v>1471.1137489130156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39978</v>
      </c>
      <c r="B46" s="2">
        <v>2009</v>
      </c>
      <c r="C46" s="2">
        <f>COUNTIFS(Games[Team],Games[[#This Row],[Team]],Games[Season],Games[[#This Row],[Season]],Games[Date],"&lt;=" &amp; Games[[#This Row],[Date]])</f>
        <v>4</v>
      </c>
      <c r="D46" s="2" t="s">
        <v>23</v>
      </c>
      <c r="E46" s="2" t="s">
        <v>29</v>
      </c>
      <c r="F46" s="1" t="s">
        <v>87</v>
      </c>
      <c r="G46" s="1" t="s">
        <v>84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6" s="2">
        <f>Games[[#This Row],[DaysOff]]-Games[[#This Row],[OppDaysOff]]</f>
        <v>-5</v>
      </c>
      <c r="L46" s="2">
        <f>Games[[#This Row],[OppDaysOff]]-Games[[#This Row],[DaysOff]]</f>
        <v>5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1386.0045557738115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1521.8115300136462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0.19007584003832917</v>
      </c>
      <c r="R46" s="1">
        <v>67</v>
      </c>
      <c r="S46" s="1">
        <v>62</v>
      </c>
      <c r="T46" s="1">
        <v>0</v>
      </c>
      <c r="U46" s="1">
        <f>Games[[#This Row],[PointsFor]]-Games[[#This Row],[PointsAgainst]]</f>
        <v>5</v>
      </c>
      <c r="V46" s="1">
        <f>IF(Games[[#This Row],[MOV]]&gt;0,1,IF(Games[[#This Row],[MOV]]=0,0.5,0))</f>
        <v>1</v>
      </c>
      <c r="W46" s="4">
        <f>((ABS(Games[[#This Row],[MOV]])+5)^0.6)/(12+0.01*(ABS(Games[[#This Row],[PreGmRate]]-Games[[#This Row],[OppPreGmRate]])))*IF(Games[[#This Row],[OT]]=1,0.9,1)</f>
        <v>0.29802746821264903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18.200025371557555</v>
      </c>
      <c r="AB46" s="4">
        <f>Games[[#This Row],[PreGmRate]]+Games[[#This Row],[RatingChange]]</f>
        <v>1404.204581145369</v>
      </c>
      <c r="AC46" s="2">
        <f>IF(Games[[#This Row],[Type]]="R",IF(Games[[#This Row],[Result]]&gt;0.5,1,0),0)</f>
        <v>1</v>
      </c>
      <c r="AD46" s="2">
        <f>IF(Games[[#This Row],[Type]]="R",IF(Games[[#This Row],[Result]]&lt;0.5,1,0),0)</f>
        <v>0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39978</v>
      </c>
      <c r="B47" s="2">
        <v>2009</v>
      </c>
      <c r="C47" s="2">
        <f>COUNTIFS(Games[Team],Games[[#This Row],[Team]],Games[Season],Games[[#This Row],[Season]],Games[Date],"&lt;=" &amp; Games[[#This Row],[Date]])</f>
        <v>3</v>
      </c>
      <c r="D47" s="2" t="s">
        <v>23</v>
      </c>
      <c r="E47" s="2" t="s">
        <v>29</v>
      </c>
      <c r="F47" s="1" t="s">
        <v>84</v>
      </c>
      <c r="G47" s="1" t="s">
        <v>87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6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5</v>
      </c>
      <c r="L47" s="2">
        <f>Games[[#This Row],[OppDaysOff]]-Games[[#This Row],[DaysOff]]</f>
        <v>-5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1521.8115300136462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1386.0045557738115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0.80992415996167089</v>
      </c>
      <c r="R47" s="1">
        <v>62</v>
      </c>
      <c r="S47" s="1">
        <v>67</v>
      </c>
      <c r="T47" s="1">
        <v>0</v>
      </c>
      <c r="U47" s="1">
        <f>Games[[#This Row],[PointsFor]]-Games[[#This Row],[PointsAgainst]]</f>
        <v>-5</v>
      </c>
      <c r="V47" s="1">
        <f>IF(Games[[#This Row],[MOV]]&gt;0,1,IF(Games[[#This Row],[MOV]]=0,0.5,0))</f>
        <v>0</v>
      </c>
      <c r="W47" s="4">
        <f>((ABS(Games[[#This Row],[MOV]])+5)^0.6)/(12+0.01*(ABS(Games[[#This Row],[PreGmRate]]-Games[[#This Row],[OppPreGmRate]])))*IF(Games[[#This Row],[OT]]=1,0.9,1)</f>
        <v>0.29802746821264903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75.55</v>
      </c>
      <c r="Z47" s="4">
        <f>Games[[#This Row],[K]]*Games[[#This Row],[POMult]]</f>
        <v>75.55</v>
      </c>
      <c r="AA47" s="4">
        <f>(Games[[#This Row],[Keff]]*Games[[#This Row],[MOVMult]])*(Games[[#This Row],[Result]]-Games[[#This Row],[ExpectedWin%]])</f>
        <v>-18.236232318583198</v>
      </c>
      <c r="AB47" s="4">
        <f>Games[[#This Row],[PreGmRate]]+Games[[#This Row],[RatingChange]]</f>
        <v>1503.575297695063</v>
      </c>
      <c r="AC47" s="2">
        <f>IF(Games[[#This Row],[Type]]="R",IF(Games[[#This Row],[Result]]&gt;0.5,1,0),0)</f>
        <v>0</v>
      </c>
      <c r="AD47" s="2">
        <f>IF(Games[[#This Row],[Type]]="R",IF(Games[[#This Row],[Result]]&lt;0.5,1,0),0)</f>
        <v>1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39980</v>
      </c>
      <c r="B48" s="2">
        <v>2009</v>
      </c>
      <c r="C48" s="2">
        <f>COUNTIFS(Games[Team],Games[[#This Row],[Team]],Games[Season],Games[[#This Row],[Season]],Games[Date],"&lt;=" &amp; Games[[#This Row],[Date]])</f>
        <v>4</v>
      </c>
      <c r="D48" s="2" t="s">
        <v>23</v>
      </c>
      <c r="E48" s="2" t="s">
        <v>29</v>
      </c>
      <c r="F48" s="1" t="s">
        <v>84</v>
      </c>
      <c r="G48" s="1" t="s">
        <v>85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1503.575297695063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1471.1137489130156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0.42636948676238623</v>
      </c>
      <c r="R48" s="1">
        <v>75</v>
      </c>
      <c r="S48" s="1">
        <v>78</v>
      </c>
      <c r="T48" s="1">
        <v>0</v>
      </c>
      <c r="U48" s="1">
        <f>Games[[#This Row],[PointsFor]]-Games[[#This Row],[PointsAgainst]]</f>
        <v>-3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0.28254043760032149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-9.0831832512428896</v>
      </c>
      <c r="AB48" s="4">
        <f>Games[[#This Row],[PreGmRate]]+Games[[#This Row],[RatingChange]]</f>
        <v>1494.4921144438201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39980</v>
      </c>
      <c r="B49" s="2">
        <v>2009</v>
      </c>
      <c r="C49" s="2">
        <f>COUNTIFS(Games[Team],Games[[#This Row],[Team]],Games[Season],Games[[#This Row],[Season]],Games[Date],"&lt;=" &amp; Games[[#This Row],[Date]])</f>
        <v>4</v>
      </c>
      <c r="D49" s="2" t="s">
        <v>23</v>
      </c>
      <c r="E49" s="2" t="s">
        <v>29</v>
      </c>
      <c r="F49" s="1" t="s">
        <v>85</v>
      </c>
      <c r="G49" s="1" t="s">
        <v>84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1471.1137489130156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1503.575297695063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0.57363051323761372</v>
      </c>
      <c r="R49" s="1">
        <v>78</v>
      </c>
      <c r="S49" s="1">
        <v>75</v>
      </c>
      <c r="T49" s="1">
        <v>0</v>
      </c>
      <c r="U49" s="1">
        <f>Games[[#This Row],[PointsFor]]-Games[[#This Row],[PointsAgainst]]</f>
        <v>3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0.28254043760032149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9.0831832512428914</v>
      </c>
      <c r="AB49" s="4">
        <f>Games[[#This Row],[PreGmRate]]+Games[[#This Row],[RatingChange]]</f>
        <v>1480.1969321642584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39980</v>
      </c>
      <c r="B50" s="2">
        <v>2009</v>
      </c>
      <c r="C50" s="2">
        <f>COUNTIFS(Games[Team],Games[[#This Row],[Team]],Games[Season],Games[[#This Row],[Season]],Games[Date],"&lt;=" &amp; Games[[#This Row],[Date]])</f>
        <v>5</v>
      </c>
      <c r="D50" s="2" t="s">
        <v>23</v>
      </c>
      <c r="E50" s="2" t="s">
        <v>29</v>
      </c>
      <c r="F50" s="1" t="s">
        <v>75</v>
      </c>
      <c r="G50" s="1" t="s">
        <v>45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" s="2">
        <f>Games[[#This Row],[DaysOff]]-Games[[#This Row],[OppDaysOff]]</f>
        <v>1</v>
      </c>
      <c r="L50" s="2">
        <f>Games[[#This Row],[OppDaysOff]]-Games[[#This Row],[DaysOff]]</f>
        <v>-1</v>
      </c>
      <c r="M50" s="1">
        <f>MAX(-16, MIN(16, Games[[#This Row],[RestDiff]]*8))</f>
        <v>8</v>
      </c>
      <c r="N50" s="1">
        <f>MAX(-16, MIN(16, Games[[#This Row],[OppRestDiff]]*8))</f>
        <v>-8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1518.6998644587984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1490.2843876860964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0.44327851023082693</v>
      </c>
      <c r="R50" s="1">
        <v>86</v>
      </c>
      <c r="S50" s="1">
        <v>83</v>
      </c>
      <c r="T50" s="1">
        <v>0</v>
      </c>
      <c r="U50" s="1">
        <f>Games[[#This Row],[PointsFor]]-Games[[#This Row],[PointsAgainst]]</f>
        <v>3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0.28347105022910912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11.875535510596123</v>
      </c>
      <c r="AB50" s="4">
        <f>Games[[#This Row],[PreGmRate]]+Games[[#This Row],[RatingChange]]</f>
        <v>1530.5753999693945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39980</v>
      </c>
      <c r="B51" s="2">
        <v>2009</v>
      </c>
      <c r="C51" s="2">
        <f>COUNTIFS(Games[Team],Games[[#This Row],[Team]],Games[Season],Games[[#This Row],[Season]],Games[Date],"&lt;=" &amp; Games[[#This Row],[Date]])</f>
        <v>5</v>
      </c>
      <c r="D51" s="2" t="s">
        <v>23</v>
      </c>
      <c r="E51" s="2" t="s">
        <v>29</v>
      </c>
      <c r="F51" s="1" t="s">
        <v>45</v>
      </c>
      <c r="G51" s="1" t="s">
        <v>75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1" s="2">
        <f>Games[[#This Row],[DaysOff]]-Games[[#This Row],[OppDaysOff]]</f>
        <v>-1</v>
      </c>
      <c r="L51" s="2">
        <f>Games[[#This Row],[OppDaysOff]]-Games[[#This Row],[DaysOff]]</f>
        <v>1</v>
      </c>
      <c r="M51" s="1">
        <f>MAX(-16, MIN(16, Games[[#This Row],[RestDiff]]*8))</f>
        <v>-8</v>
      </c>
      <c r="N51" s="1">
        <f>MAX(-16, MIN(16, Games[[#This Row],[OppRestDiff]]*8))</f>
        <v>8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1490.2843876860964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1518.6998644587984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0.55672148976917302</v>
      </c>
      <c r="R51" s="1">
        <v>83</v>
      </c>
      <c r="S51" s="1">
        <v>86</v>
      </c>
      <c r="T51" s="1">
        <v>0</v>
      </c>
      <c r="U51" s="1">
        <f>Games[[#This Row],[PointsFor]]-Games[[#This Row],[PointsAgainst]]</f>
        <v>-3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0.28347105022910912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-11.875535510596123</v>
      </c>
      <c r="AB51" s="4">
        <f>Games[[#This Row],[PreGmRate]]+Games[[#This Row],[RatingChange]]</f>
        <v>1478.4088521755002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39981</v>
      </c>
      <c r="B52" s="2">
        <v>2009</v>
      </c>
      <c r="C52" s="2">
        <f>COUNTIFS(Games[Team],Games[[#This Row],[Team]],Games[Season],Games[[#This Row],[Season]],Games[Date],"&lt;=" &amp; Games[[#This Row],[Date]])</f>
        <v>6</v>
      </c>
      <c r="D52" s="2" t="s">
        <v>23</v>
      </c>
      <c r="E52" s="2" t="s">
        <v>29</v>
      </c>
      <c r="F52" s="1" t="s">
        <v>75</v>
      </c>
      <c r="G52" s="1" t="s">
        <v>44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" s="2">
        <f>Games[[#This Row],[DaysOff]]-Games[[#This Row],[OppDaysOff]]</f>
        <v>-3</v>
      </c>
      <c r="L52" s="2">
        <f>Games[[#This Row],[OppDaysOff]]-Games[[#This Row],[DaysOff]]</f>
        <v>3</v>
      </c>
      <c r="M52" s="1">
        <f>MAX(-16, MIN(16, Games[[#This Row],[RestDiff]]*8))</f>
        <v>-16</v>
      </c>
      <c r="N52" s="1">
        <f>MAX(-16, MIN(16, Games[[#This Row],[OppRestDiff]]*8))</f>
        <v>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1530.5753999693945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1527.5554156267194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0.34290723387414745</v>
      </c>
      <c r="R52" s="1">
        <v>80</v>
      </c>
      <c r="S52" s="1">
        <v>104</v>
      </c>
      <c r="T52" s="1">
        <v>0</v>
      </c>
      <c r="U52" s="1">
        <f>Games[[#This Row],[PointsFor]]-Games[[#This Row],[PointsAgainst]]</f>
        <v>-24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0.62685335834201494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75.099999999999994</v>
      </c>
      <c r="Z52" s="4">
        <f>Games[[#This Row],[K]]*Games[[#This Row],[POMult]]</f>
        <v>75.099999999999994</v>
      </c>
      <c r="AA52" s="4">
        <f>(Games[[#This Row],[Keff]]*Games[[#This Row],[MOVMult]])*(Games[[#This Row],[Result]]-Games[[#This Row],[ExpectedWin%]])</f>
        <v>-16.142936591648883</v>
      </c>
      <c r="AB52" s="4">
        <f>Games[[#This Row],[PreGmRate]]+Games[[#This Row],[RatingChange]]</f>
        <v>1514.4324633777458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39981</v>
      </c>
      <c r="B53" s="2">
        <v>2009</v>
      </c>
      <c r="C53" s="2">
        <f>COUNTIFS(Games[Team],Games[[#This Row],[Team]],Games[Season],Games[[#This Row],[Season]],Games[Date],"&lt;=" &amp; Games[[#This Row],[Date]])</f>
        <v>5</v>
      </c>
      <c r="D53" s="2" t="s">
        <v>23</v>
      </c>
      <c r="E53" s="2" t="s">
        <v>29</v>
      </c>
      <c r="F53" s="1" t="s">
        <v>44</v>
      </c>
      <c r="G53" s="1" t="s">
        <v>75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3" s="2">
        <f>Games[[#This Row],[DaysOff]]-Games[[#This Row],[OppDaysOff]]</f>
        <v>3</v>
      </c>
      <c r="L53" s="2">
        <f>Games[[#This Row],[OppDaysOff]]-Games[[#This Row],[DaysOff]]</f>
        <v>-3</v>
      </c>
      <c r="M53" s="1">
        <f>MAX(-16, MIN(16, Games[[#This Row],[RestDiff]]*8))</f>
        <v>16</v>
      </c>
      <c r="N53" s="1">
        <f>MAX(-16, MIN(16, Games[[#This Row],[OppRestDiff]]*8))</f>
        <v>-16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1527.5554156267194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1530.5753999693945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0.65709276612585255</v>
      </c>
      <c r="R53" s="1">
        <v>104</v>
      </c>
      <c r="S53" s="1">
        <v>80</v>
      </c>
      <c r="T53" s="1">
        <v>0</v>
      </c>
      <c r="U53" s="1">
        <f>Games[[#This Row],[PointsFor]]-Games[[#This Row],[PointsAgainst]]</f>
        <v>24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0.62685335834201494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16.175179474321951</v>
      </c>
      <c r="AB53" s="4">
        <f>Games[[#This Row],[PreGmRate]]+Games[[#This Row],[RatingChange]]</f>
        <v>1543.7305951010414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39983</v>
      </c>
      <c r="B54" s="2">
        <v>2009</v>
      </c>
      <c r="C54" s="2">
        <f>COUNTIFS(Games[Team],Games[[#This Row],[Team]],Games[Season],Games[[#This Row],[Season]],Games[Date],"&lt;=" &amp; Games[[#This Row],[Date]])</f>
        <v>4</v>
      </c>
      <c r="D54" s="2" t="s">
        <v>23</v>
      </c>
      <c r="E54" s="2" t="s">
        <v>29</v>
      </c>
      <c r="F54" s="1" t="s">
        <v>71</v>
      </c>
      <c r="G54" s="1" t="s">
        <v>87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8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4" s="2">
        <f>Games[[#This Row],[DaysOff]]-Games[[#This Row],[OppDaysOff]]</f>
        <v>4</v>
      </c>
      <c r="L54" s="2">
        <f>Games[[#This Row],[OppDaysOff]]-Games[[#This Row],[DaysOff]]</f>
        <v>-4</v>
      </c>
      <c r="M54" s="1">
        <f>MAX(-16, MIN(16, Games[[#This Row],[RestDiff]]*8))</f>
        <v>16</v>
      </c>
      <c r="N54" s="1">
        <f>MAX(-16, MIN(16, Games[[#This Row],[OppRestDiff]]*8))</f>
        <v>-16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1470.1251783262876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1404.204581145369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0.5200226364855306</v>
      </c>
      <c r="R54" s="1">
        <v>81</v>
      </c>
      <c r="S54" s="1">
        <v>93</v>
      </c>
      <c r="T54" s="1">
        <v>0</v>
      </c>
      <c r="U54" s="1">
        <f>Games[[#This Row],[PointsFor]]-Games[[#This Row],[PointsAgainst]]</f>
        <v>-12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0.43237730147590275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75.400000000000006</v>
      </c>
      <c r="Z54" s="4">
        <f>Games[[#This Row],[K]]*Games[[#This Row],[POMult]]</f>
        <v>75.400000000000006</v>
      </c>
      <c r="AA54" s="4">
        <f>(Games[[#This Row],[Keff]]*Games[[#This Row],[MOVMult]])*(Games[[#This Row],[Result]]-Games[[#This Row],[ExpectedWin%]])</f>
        <v>-16.953387213957853</v>
      </c>
      <c r="AB54" s="4">
        <f>Games[[#This Row],[PreGmRate]]+Games[[#This Row],[RatingChange]]</f>
        <v>1453.1717911123296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39983</v>
      </c>
      <c r="B55" s="2">
        <v>2009</v>
      </c>
      <c r="C55" s="2">
        <f>COUNTIFS(Games[Team],Games[[#This Row],[Team]],Games[Season],Games[[#This Row],[Season]],Games[Date],"&lt;=" &amp; Games[[#This Row],[Date]])</f>
        <v>5</v>
      </c>
      <c r="D55" s="2" t="s">
        <v>23</v>
      </c>
      <c r="E55" s="2" t="s">
        <v>29</v>
      </c>
      <c r="F55" s="1" t="s">
        <v>87</v>
      </c>
      <c r="G55" s="1" t="s">
        <v>71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4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55" s="2">
        <f>Games[[#This Row],[DaysOff]]-Games[[#This Row],[OppDaysOff]]</f>
        <v>-4</v>
      </c>
      <c r="L55" s="2">
        <f>Games[[#This Row],[OppDaysOff]]-Games[[#This Row],[DaysOff]]</f>
        <v>4</v>
      </c>
      <c r="M55" s="1">
        <f>MAX(-16, MIN(16, Games[[#This Row],[RestDiff]]*8))</f>
        <v>-16</v>
      </c>
      <c r="N55" s="1">
        <f>MAX(-16, MIN(16, Games[[#This Row],[OppRestDiff]]*8))</f>
        <v>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1404.204581145369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1470.1251783262876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0.47997736351446935</v>
      </c>
      <c r="R55" s="1">
        <v>93</v>
      </c>
      <c r="S55" s="1">
        <v>81</v>
      </c>
      <c r="T55" s="1">
        <v>0</v>
      </c>
      <c r="U55" s="1">
        <f>Games[[#This Row],[PointsFor]]-Games[[#This Row],[PointsAgainst]]</f>
        <v>12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0.43237730147590275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16.919660316317358</v>
      </c>
      <c r="AB55" s="4">
        <f>Games[[#This Row],[PreGmRate]]+Games[[#This Row],[RatingChange]]</f>
        <v>1421.1242414616863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39983</v>
      </c>
      <c r="B56" s="2">
        <v>2009</v>
      </c>
      <c r="C56" s="2">
        <f>COUNTIFS(Games[Team],Games[[#This Row],[Team]],Games[Season],Games[[#This Row],[Season]],Games[Date],"&lt;=" &amp; Games[[#This Row],[Date]])</f>
        <v>5</v>
      </c>
      <c r="D56" s="2" t="s">
        <v>23</v>
      </c>
      <c r="E56" s="2" t="s">
        <v>29</v>
      </c>
      <c r="F56" s="1" t="s">
        <v>85</v>
      </c>
      <c r="G56" s="1" t="s">
        <v>84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1480.1969321642584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1494.4921144438201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0.36219899638451697</v>
      </c>
      <c r="R56" s="1">
        <v>61</v>
      </c>
      <c r="S56" s="1">
        <v>91</v>
      </c>
      <c r="T56" s="1">
        <v>0</v>
      </c>
      <c r="U56" s="1">
        <f>Games[[#This Row],[PointsFor]]-Games[[#This Row],[PointsAgainst]]</f>
        <v>-30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0.69521087116974012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75.25</v>
      </c>
      <c r="Z56" s="4">
        <f>Games[[#This Row],[K]]*Games[[#This Row],[POMult]]</f>
        <v>75.25</v>
      </c>
      <c r="AA56" s="4">
        <f>(Games[[#This Row],[Keff]]*Games[[#This Row],[MOVMult]])*(Games[[#This Row],[Result]]-Games[[#This Row],[ExpectedWin%]])</f>
        <v>-18.94830215594974</v>
      </c>
      <c r="AB56" s="4">
        <f>Games[[#This Row],[PreGmRate]]+Games[[#This Row],[RatingChange]]</f>
        <v>1461.2486300083087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39983</v>
      </c>
      <c r="B57" s="2">
        <v>2009</v>
      </c>
      <c r="C57" s="2">
        <f>COUNTIFS(Games[Team],Games[[#This Row],[Team]],Games[Season],Games[[#This Row],[Season]],Games[Date],"&lt;=" &amp; Games[[#This Row],[Date]])</f>
        <v>5</v>
      </c>
      <c r="D57" s="2" t="s">
        <v>23</v>
      </c>
      <c r="E57" s="2" t="s">
        <v>29</v>
      </c>
      <c r="F57" s="1" t="s">
        <v>84</v>
      </c>
      <c r="G57" s="1" t="s">
        <v>85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1494.4921144438201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1480.1969321642584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0.63780100361548298</v>
      </c>
      <c r="R57" s="1">
        <v>91</v>
      </c>
      <c r="S57" s="1">
        <v>61</v>
      </c>
      <c r="T57" s="1">
        <v>0</v>
      </c>
      <c r="U57" s="1">
        <f>Games[[#This Row],[PointsFor]]-Games[[#This Row],[PointsAgainst]]</f>
        <v>30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0.69521087116974012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18.948302155949744</v>
      </c>
      <c r="AB57" s="4">
        <f>Games[[#This Row],[PreGmRate]]+Games[[#This Row],[RatingChange]]</f>
        <v>1513.4404165997698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39983</v>
      </c>
      <c r="B58" s="2">
        <v>2009</v>
      </c>
      <c r="C58" s="2">
        <f>COUNTIFS(Games[Team],Games[[#This Row],[Team]],Games[Season],Games[[#This Row],[Season]],Games[Date],"&lt;=" &amp; Games[[#This Row],[Date]])</f>
        <v>5</v>
      </c>
      <c r="D58" s="2" t="s">
        <v>23</v>
      </c>
      <c r="E58" s="2" t="s">
        <v>29</v>
      </c>
      <c r="F58" s="1" t="s">
        <v>77</v>
      </c>
      <c r="G58" s="1" t="s">
        <v>73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6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58" s="2">
        <f>Games[[#This Row],[DaysOff]]-Games[[#This Row],[OppDaysOff]]</f>
        <v>-2</v>
      </c>
      <c r="L58" s="2">
        <f>Games[[#This Row],[OppDaysOff]]-Games[[#This Row],[DaysOff]]</f>
        <v>2</v>
      </c>
      <c r="M58" s="1">
        <f>MAX(-16, MIN(16, Games[[#This Row],[RestDiff]]*8))</f>
        <v>-16</v>
      </c>
      <c r="N58" s="1">
        <f>MAX(-16, MIN(16, Games[[#This Row],[OppRestDiff]]*8))</f>
        <v>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1491.9200643591826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1566.3112941316367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0.25049387532267631</v>
      </c>
      <c r="R58" s="1">
        <v>66</v>
      </c>
      <c r="S58" s="1">
        <v>54</v>
      </c>
      <c r="T58" s="1">
        <v>0</v>
      </c>
      <c r="U58" s="1">
        <f>Games[[#This Row],[PointsFor]]-Games[[#This Row],[PointsAgainst]]</f>
        <v>12</v>
      </c>
      <c r="V58" s="1">
        <f>IF(Games[[#This Row],[MOV]]&gt;0,1,IF(Games[[#This Row],[MOV]]=0,0.5,0))</f>
        <v>1</v>
      </c>
      <c r="W58" s="4">
        <f>((ABS(Games[[#This Row],[MOV]])+5)^0.6)/(12+0.01*(ABS(Games[[#This Row],[PreGmRate]]-Games[[#This Row],[OppPreGmRate]])))*IF(Games[[#This Row],[OT]]=1,0.9,1)</f>
        <v>0.42950337298663033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24.224134498884393</v>
      </c>
      <c r="AB58" s="4">
        <f>Games[[#This Row],[PreGmRate]]+Games[[#This Row],[RatingChange]]</f>
        <v>1516.1441988580671</v>
      </c>
      <c r="AC58" s="2">
        <f>IF(Games[[#This Row],[Type]]="R",IF(Games[[#This Row],[Result]]&gt;0.5,1,0),0)</f>
        <v>1</v>
      </c>
      <c r="AD58" s="2">
        <f>IF(Games[[#This Row],[Type]]="R",IF(Games[[#This Row],[Result]]&lt;0.5,1,0),0)</f>
        <v>0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39983</v>
      </c>
      <c r="B59" s="2">
        <v>2009</v>
      </c>
      <c r="C59" s="2">
        <f>COUNTIFS(Games[Team],Games[[#This Row],[Team]],Games[Season],Games[[#This Row],[Season]],Games[Date],"&lt;=" &amp; Games[[#This Row],[Date]])</f>
        <v>4</v>
      </c>
      <c r="D59" s="2" t="s">
        <v>23</v>
      </c>
      <c r="E59" s="2" t="s">
        <v>29</v>
      </c>
      <c r="F59" s="1" t="s">
        <v>73</v>
      </c>
      <c r="G59" s="1" t="s">
        <v>77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8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9" s="2">
        <f>Games[[#This Row],[DaysOff]]-Games[[#This Row],[OppDaysOff]]</f>
        <v>2</v>
      </c>
      <c r="L59" s="2">
        <f>Games[[#This Row],[OppDaysOff]]-Games[[#This Row],[DaysOff]]</f>
        <v>-2</v>
      </c>
      <c r="M59" s="1">
        <f>MAX(-16, MIN(16, Games[[#This Row],[RestDiff]]*8))</f>
        <v>16</v>
      </c>
      <c r="N59" s="1">
        <f>MAX(-16, MIN(16, Games[[#This Row],[OppRestDiff]]*8))</f>
        <v>-16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1566.3112941316367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1491.9200643591826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0.74950612467732369</v>
      </c>
      <c r="R59" s="1">
        <v>54</v>
      </c>
      <c r="S59" s="1">
        <v>66</v>
      </c>
      <c r="T59" s="1">
        <v>0</v>
      </c>
      <c r="U59" s="1">
        <f>Games[[#This Row],[PointsFor]]-Games[[#This Row],[PointsAgainst]]</f>
        <v>-12</v>
      </c>
      <c r="V59" s="1">
        <f>IF(Games[[#This Row],[MOV]]&gt;0,1,IF(Games[[#This Row],[MOV]]=0,0.5,0))</f>
        <v>0</v>
      </c>
      <c r="W59" s="4">
        <f>((ABS(Games[[#This Row],[MOV]])+5)^0.6)/(12+0.01*(ABS(Games[[#This Row],[PreGmRate]]-Games[[#This Row],[OppPreGmRate]])))*IF(Games[[#This Row],[OT]]=1,0.9,1)</f>
        <v>0.42950337298663033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75.400000000000006</v>
      </c>
      <c r="Z59" s="4">
        <f>Games[[#This Row],[K]]*Games[[#This Row],[POMult]]</f>
        <v>75.400000000000006</v>
      </c>
      <c r="AA59" s="4">
        <f>(Games[[#This Row],[Keff]]*Games[[#This Row],[MOVMult]])*(Games[[#This Row],[Result]]-Games[[#This Row],[ExpectedWin%]])</f>
        <v>-24.27242181017785</v>
      </c>
      <c r="AB59" s="4">
        <f>Games[[#This Row],[PreGmRate]]+Games[[#This Row],[RatingChange]]</f>
        <v>1542.0388723214589</v>
      </c>
      <c r="AC59" s="2">
        <f>IF(Games[[#This Row],[Type]]="R",IF(Games[[#This Row],[Result]]&gt;0.5,1,0),0)</f>
        <v>0</v>
      </c>
      <c r="AD59" s="2">
        <f>IF(Games[[#This Row],[Type]]="R",IF(Games[[#This Row],[Result]]&lt;0.5,1,0),0)</f>
        <v>1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39983</v>
      </c>
      <c r="B60" s="2">
        <v>2009</v>
      </c>
      <c r="C60" s="2">
        <f>COUNTIFS(Games[Team],Games[[#This Row],[Team]],Games[Season],Games[[#This Row],[Season]],Games[Date],"&lt;=" &amp; Games[[#This Row],[Date]])</f>
        <v>3</v>
      </c>
      <c r="D60" s="2" t="s">
        <v>23</v>
      </c>
      <c r="E60" s="2" t="s">
        <v>29</v>
      </c>
      <c r="F60" s="1" t="s">
        <v>82</v>
      </c>
      <c r="G60" s="1" t="s">
        <v>65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5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1528.2728448758344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1482.5638288772957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0.44511687387825088</v>
      </c>
      <c r="R60" s="1">
        <v>61</v>
      </c>
      <c r="S60" s="1">
        <v>77</v>
      </c>
      <c r="T60" s="1">
        <v>0</v>
      </c>
      <c r="U60" s="1">
        <f>Games[[#This Row],[PointsFor]]-Games[[#This Row],[PointsAgainst]]</f>
        <v>-16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0.49878682000066948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75.55</v>
      </c>
      <c r="Z60" s="4">
        <f>Games[[#This Row],[K]]*Games[[#This Row],[POMult]]</f>
        <v>75.55</v>
      </c>
      <c r="AA60" s="4">
        <f>(Games[[#This Row],[Keff]]*Games[[#This Row],[MOVMult]])*(Games[[#This Row],[Result]]-Games[[#This Row],[ExpectedWin%]])</f>
        <v>-16.773492390305591</v>
      </c>
      <c r="AB60" s="4">
        <f>Games[[#This Row],[PreGmRate]]+Games[[#This Row],[RatingChange]]</f>
        <v>1511.4993524855288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39983</v>
      </c>
      <c r="B61" s="2">
        <v>2009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65</v>
      </c>
      <c r="G61" s="1" t="s">
        <v>82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5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1482.5638288772957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1528.2728448758344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0.55488312612174917</v>
      </c>
      <c r="R61" s="1">
        <v>77</v>
      </c>
      <c r="S61" s="1">
        <v>61</v>
      </c>
      <c r="T61" s="1">
        <v>0</v>
      </c>
      <c r="U61" s="1">
        <f>Games[[#This Row],[PointsFor]]-Games[[#This Row],[PointsAgainst]]</f>
        <v>16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0.49878682000066948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16.740189625798035</v>
      </c>
      <c r="AB61" s="4">
        <f>Games[[#This Row],[PreGmRate]]+Games[[#This Row],[RatingChange]]</f>
        <v>1499.3040185030936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39983</v>
      </c>
      <c r="B62" s="2">
        <v>2009</v>
      </c>
      <c r="C62" s="2">
        <f>COUNTIFS(Games[Team],Games[[#This Row],[Team]],Games[Season],Games[[#This Row],[Season]],Games[Date],"&lt;=" &amp; Games[[#This Row],[Date]])</f>
        <v>5</v>
      </c>
      <c r="D62" s="2" t="s">
        <v>23</v>
      </c>
      <c r="E62" s="2" t="s">
        <v>29</v>
      </c>
      <c r="F62" s="1" t="s">
        <v>68</v>
      </c>
      <c r="G62" s="1" t="s">
        <v>44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6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5</v>
      </c>
      <c r="L62" s="2">
        <f>Games[[#This Row],[OppDaysOff]]-Games[[#This Row],[DaysOff]]</f>
        <v>-5</v>
      </c>
      <c r="M62" s="1">
        <f>MAX(-16, MIN(16, Games[[#This Row],[RestDiff]]*8))</f>
        <v>16</v>
      </c>
      <c r="N62" s="1">
        <f>MAX(-16, MIN(16, Games[[#This Row],[OppRestDiff]]*8))</f>
        <v>-16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1508.7105039344647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1543.7305951010414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0.37732263087736456</v>
      </c>
      <c r="R62" s="1">
        <v>80</v>
      </c>
      <c r="S62" s="1">
        <v>89</v>
      </c>
      <c r="T62" s="1">
        <v>0</v>
      </c>
      <c r="U62" s="1">
        <f>Games[[#This Row],[PointsFor]]-Games[[#This Row],[PointsAgainst]]</f>
        <v>-9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0.39445984406336554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-11.20010661684417</v>
      </c>
      <c r="AB62" s="4">
        <f>Games[[#This Row],[PreGmRate]]+Games[[#This Row],[RatingChange]]</f>
        <v>1497.5103973176206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39983</v>
      </c>
      <c r="B63" s="2">
        <v>2009</v>
      </c>
      <c r="C63" s="2">
        <f>COUNTIFS(Games[Team],Games[[#This Row],[Team]],Games[Season],Games[[#This Row],[Season]],Games[Date],"&lt;=" &amp; Games[[#This Row],[Date]])</f>
        <v>6</v>
      </c>
      <c r="D63" s="2" t="s">
        <v>23</v>
      </c>
      <c r="E63" s="2" t="s">
        <v>29</v>
      </c>
      <c r="F63" s="1" t="s">
        <v>44</v>
      </c>
      <c r="G63" s="1" t="s">
        <v>68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3" s="2">
        <f>Games[[#This Row],[DaysOff]]-Games[[#This Row],[OppDaysOff]]</f>
        <v>-5</v>
      </c>
      <c r="L63" s="2">
        <f>Games[[#This Row],[OppDaysOff]]-Games[[#This Row],[DaysOff]]</f>
        <v>5</v>
      </c>
      <c r="M63" s="1">
        <f>MAX(-16, MIN(16, Games[[#This Row],[RestDiff]]*8))</f>
        <v>-16</v>
      </c>
      <c r="N63" s="1">
        <f>MAX(-16, MIN(16, Games[[#This Row],[OppRestDiff]]*8))</f>
        <v>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1543.7305951010414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1508.7105039344647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0.62267736912263549</v>
      </c>
      <c r="R63" s="1">
        <v>89</v>
      </c>
      <c r="S63" s="1">
        <v>80</v>
      </c>
      <c r="T63" s="1">
        <v>0</v>
      </c>
      <c r="U63" s="1">
        <f>Games[[#This Row],[PointsFor]]-Games[[#This Row],[PointsAgainst]]</f>
        <v>9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0.39445984406336554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11.177780822923548</v>
      </c>
      <c r="AB63" s="4">
        <f>Games[[#This Row],[PreGmRate]]+Games[[#This Row],[RatingChange]]</f>
        <v>1554.908375923965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39983</v>
      </c>
      <c r="B64" s="2">
        <v>2009</v>
      </c>
      <c r="C64" s="2">
        <f>COUNTIFS(Games[Team],Games[[#This Row],[Team]],Games[Season],Games[[#This Row],[Season]],Games[Date],"&lt;=" &amp; Games[[#This Row],[Date]])</f>
        <v>7</v>
      </c>
      <c r="D64" s="2" t="s">
        <v>23</v>
      </c>
      <c r="E64" s="2" t="s">
        <v>29</v>
      </c>
      <c r="F64" s="1" t="s">
        <v>75</v>
      </c>
      <c r="G64" s="1" t="s">
        <v>79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4" s="2">
        <f>Games[[#This Row],[DaysOff]]-Games[[#This Row],[OppDaysOff]]</f>
        <v>-3</v>
      </c>
      <c r="L64" s="2">
        <f>Games[[#This Row],[OppDaysOff]]-Games[[#This Row],[DaysOff]]</f>
        <v>3</v>
      </c>
      <c r="M64" s="1">
        <f>MAX(-16, MIN(16, Games[[#This Row],[RestDiff]]*8))</f>
        <v>-16</v>
      </c>
      <c r="N64" s="1">
        <f>MAX(-16, MIN(16, Games[[#This Row],[OppRestDiff]]*8))</f>
        <v>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1514.4324633777458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1554.1714706839093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0.28976908722749362</v>
      </c>
      <c r="R64" s="1">
        <v>62</v>
      </c>
      <c r="S64" s="1">
        <v>90</v>
      </c>
      <c r="T64" s="1">
        <v>0</v>
      </c>
      <c r="U64" s="1">
        <f>Games[[#This Row],[PointsFor]]-Games[[#This Row],[PointsAgainst]]</f>
        <v>-28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0.65732189378795181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74.95</v>
      </c>
      <c r="Z64" s="4">
        <f>Games[[#This Row],[K]]*Games[[#This Row],[POMult]]</f>
        <v>74.95</v>
      </c>
      <c r="AA64" s="4">
        <f>(Games[[#This Row],[Keff]]*Games[[#This Row],[MOVMult]])*(Games[[#This Row],[Result]]-Games[[#This Row],[ExpectedWin%]])</f>
        <v>-14.275843810059794</v>
      </c>
      <c r="AB64" s="4">
        <f>Games[[#This Row],[PreGmRate]]+Games[[#This Row],[RatingChange]]</f>
        <v>1500.156619567686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39983</v>
      </c>
      <c r="B65" s="2">
        <v>2009</v>
      </c>
      <c r="C65" s="2">
        <f>COUNTIFS(Games[Team],Games[[#This Row],[Team]],Games[Season],Games[[#This Row],[Season]],Games[Date],"&lt;=" &amp; Games[[#This Row],[Date]])</f>
        <v>6</v>
      </c>
      <c r="D65" s="2" t="s">
        <v>23</v>
      </c>
      <c r="E65" s="2" t="s">
        <v>29</v>
      </c>
      <c r="F65" s="1" t="s">
        <v>79</v>
      </c>
      <c r="G65" s="1" t="s">
        <v>75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3</v>
      </c>
      <c r="L65" s="2">
        <f>Games[[#This Row],[OppDaysOff]]-Games[[#This Row],[DaysOff]]</f>
        <v>-3</v>
      </c>
      <c r="M65" s="1">
        <f>MAX(-16, MIN(16, Games[[#This Row],[RestDiff]]*8))</f>
        <v>16</v>
      </c>
      <c r="N65" s="1">
        <f>MAX(-16, MIN(16, Games[[#This Row],[OppRestDiff]]*8))</f>
        <v>-16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1554.1714706839093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1514.4324633777458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0.71023091277250638</v>
      </c>
      <c r="R65" s="1">
        <v>90</v>
      </c>
      <c r="S65" s="1">
        <v>62</v>
      </c>
      <c r="T65" s="1">
        <v>0</v>
      </c>
      <c r="U65" s="1">
        <f>Games[[#This Row],[PointsFor]]-Games[[#This Row],[PointsAgainst]]</f>
        <v>28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0.65732189378795181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75.099999999999994</v>
      </c>
      <c r="Z65" s="4">
        <f>Games[[#This Row],[K]]*Games[[#This Row],[POMult]]</f>
        <v>75.099999999999994</v>
      </c>
      <c r="AA65" s="4">
        <f>(Games[[#This Row],[Keff]]*Games[[#This Row],[MOVMult]])*(Games[[#This Row],[Result]]-Games[[#This Row],[ExpectedWin%]])</f>
        <v>14.30441454483643</v>
      </c>
      <c r="AB65" s="4">
        <f>Games[[#This Row],[PreGmRate]]+Games[[#This Row],[RatingChange]]</f>
        <v>1568.4758852287457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39984</v>
      </c>
      <c r="B66" s="2">
        <v>2009</v>
      </c>
      <c r="C66" s="2">
        <f>COUNTIFS(Games[Team],Games[[#This Row],[Team]],Games[Season],Games[[#This Row],[Season]],Games[Date],"&lt;=" &amp; Games[[#This Row],[Date]])</f>
        <v>6</v>
      </c>
      <c r="D66" s="2" t="s">
        <v>23</v>
      </c>
      <c r="E66" s="2" t="s">
        <v>29</v>
      </c>
      <c r="F66" s="1" t="s">
        <v>85</v>
      </c>
      <c r="G66" s="1" t="s">
        <v>71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1461.2486300083087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1453.1717911123296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0.39244439406195308</v>
      </c>
      <c r="R66" s="1">
        <v>72</v>
      </c>
      <c r="S66" s="1">
        <v>81</v>
      </c>
      <c r="T66" s="1">
        <v>0</v>
      </c>
      <c r="U66" s="1">
        <f>Games[[#This Row],[PointsFor]]-Games[[#This Row],[PointsAgainst]]</f>
        <v>-9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0.40325732345129295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-11.885031304061863</v>
      </c>
      <c r="AB66" s="4">
        <f>Games[[#This Row],[PreGmRate]]+Games[[#This Row],[RatingChange]]</f>
        <v>1449.3635987042469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39984</v>
      </c>
      <c r="B67" s="2">
        <v>2009</v>
      </c>
      <c r="C67" s="2">
        <f>COUNTIFS(Games[Team],Games[[#This Row],[Team]],Games[Season],Games[[#This Row],[Season]],Games[Date],"&lt;=" &amp; Games[[#This Row],[Date]])</f>
        <v>5</v>
      </c>
      <c r="D67" s="2" t="s">
        <v>23</v>
      </c>
      <c r="E67" s="2" t="s">
        <v>29</v>
      </c>
      <c r="F67" s="1" t="s">
        <v>71</v>
      </c>
      <c r="G67" s="1" t="s">
        <v>85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1453.1717911123296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1461.2486300083087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0.60755560593804692</v>
      </c>
      <c r="R67" s="1">
        <v>81</v>
      </c>
      <c r="S67" s="1">
        <v>72</v>
      </c>
      <c r="T67" s="1">
        <v>0</v>
      </c>
      <c r="U67" s="1">
        <f>Games[[#This Row],[PointsFor]]-Games[[#This Row],[PointsAgainst]]</f>
        <v>9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0.40325732345129295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11.908769715454797</v>
      </c>
      <c r="AB67" s="4">
        <f>Games[[#This Row],[PreGmRate]]+Games[[#This Row],[RatingChange]]</f>
        <v>1465.0805608277844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39985</v>
      </c>
      <c r="B68" s="2">
        <v>2009</v>
      </c>
      <c r="C68" s="2">
        <f>COUNTIFS(Games[Team],Games[[#This Row],[Team]],Games[Season],Games[[#This Row],[Season]],Games[Date],"&lt;=" &amp; Games[[#This Row],[Date]])</f>
        <v>5</v>
      </c>
      <c r="D68" s="2" t="s">
        <v>23</v>
      </c>
      <c r="E68" s="2" t="s">
        <v>29</v>
      </c>
      <c r="F68" s="1" t="s">
        <v>65</v>
      </c>
      <c r="G68" s="1" t="s">
        <v>87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1499.3040185030936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1421.1242414616863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0.49162480928340457</v>
      </c>
      <c r="R68" s="1">
        <v>93</v>
      </c>
      <c r="S68" s="1">
        <v>81</v>
      </c>
      <c r="T68" s="1">
        <v>0</v>
      </c>
      <c r="U68" s="1">
        <f>Games[[#This Row],[PointsFor]]-Games[[#This Row],[PointsAgainst]]</f>
        <v>12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0.42823031745879125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16.382050615482775</v>
      </c>
      <c r="AB68" s="4">
        <f>Games[[#This Row],[PreGmRate]]+Games[[#This Row],[RatingChange]]</f>
        <v>1515.6860691185764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39985</v>
      </c>
      <c r="B69" s="2">
        <v>2009</v>
      </c>
      <c r="C69" s="2">
        <f>COUNTIFS(Games[Team],Games[[#This Row],[Team]],Games[Season],Games[[#This Row],[Season]],Games[Date],"&lt;=" &amp; Games[[#This Row],[Date]])</f>
        <v>6</v>
      </c>
      <c r="D69" s="2" t="s">
        <v>23</v>
      </c>
      <c r="E69" s="2" t="s">
        <v>29</v>
      </c>
      <c r="F69" s="1" t="s">
        <v>87</v>
      </c>
      <c r="G69" s="1" t="s">
        <v>65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1421.1242414616863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1499.3040185030936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0.50837519071659543</v>
      </c>
      <c r="R69" s="1">
        <v>81</v>
      </c>
      <c r="S69" s="1">
        <v>93</v>
      </c>
      <c r="T69" s="1">
        <v>0</v>
      </c>
      <c r="U69" s="1">
        <f>Games[[#This Row],[PointsFor]]-Games[[#This Row],[PointsAgainst]]</f>
        <v>-12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0.42823031745879125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75.099999999999994</v>
      </c>
      <c r="Z69" s="4">
        <f>Games[[#This Row],[K]]*Games[[#This Row],[POMult]]</f>
        <v>75.099999999999994</v>
      </c>
      <c r="AA69" s="4">
        <f>(Games[[#This Row],[Keff]]*Games[[#This Row],[MOVMult]])*(Games[[#This Row],[Result]]-Games[[#This Row],[ExpectedWin%]])</f>
        <v>-16.349395365086465</v>
      </c>
      <c r="AB69" s="4">
        <f>Games[[#This Row],[PreGmRate]]+Games[[#This Row],[RatingChange]]</f>
        <v>1404.7748460966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39985</v>
      </c>
      <c r="B70" s="2">
        <v>2009</v>
      </c>
      <c r="C70" s="2">
        <f>COUNTIFS(Games[Team],Games[[#This Row],[Team]],Games[Season],Games[[#This Row],[Season]],Games[Date],"&lt;=" &amp; Games[[#This Row],[Date]])</f>
        <v>4</v>
      </c>
      <c r="D70" s="2" t="s">
        <v>23</v>
      </c>
      <c r="E70" s="2" t="s">
        <v>29</v>
      </c>
      <c r="F70" s="1" t="s">
        <v>82</v>
      </c>
      <c r="G70" s="1" t="s">
        <v>84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1511.4993524855288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1513.4404165997698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0.37878310418969874</v>
      </c>
      <c r="R70" s="1">
        <v>58</v>
      </c>
      <c r="S70" s="1">
        <v>71</v>
      </c>
      <c r="T70" s="1">
        <v>0</v>
      </c>
      <c r="U70" s="1">
        <f>Games[[#This Row],[PointsFor]]-Games[[#This Row],[PointsAgainst]]</f>
        <v>-13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0.47128143275010143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75.400000000000006</v>
      </c>
      <c r="Z70" s="4">
        <f>Games[[#This Row],[K]]*Games[[#This Row],[POMult]]</f>
        <v>75.400000000000006</v>
      </c>
      <c r="AA70" s="4">
        <f>(Games[[#This Row],[Keff]]*Games[[#This Row],[MOVMult]])*(Games[[#This Row],[Result]]-Games[[#This Row],[ExpectedWin%]])</f>
        <v>-13.459913680921533</v>
      </c>
      <c r="AB70" s="4">
        <f>Games[[#This Row],[PreGmRate]]+Games[[#This Row],[RatingChange]]</f>
        <v>1498.0394388046072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39985</v>
      </c>
      <c r="B71" s="2">
        <v>2009</v>
      </c>
      <c r="C71" s="2">
        <f>COUNTIFS(Games[Team],Games[[#This Row],[Team]],Games[Season],Games[[#This Row],[Season]],Games[Date],"&lt;=" &amp; Games[[#This Row],[Date]])</f>
        <v>6</v>
      </c>
      <c r="D71" s="2" t="s">
        <v>23</v>
      </c>
      <c r="E71" s="2" t="s">
        <v>29</v>
      </c>
      <c r="F71" s="1" t="s">
        <v>84</v>
      </c>
      <c r="G71" s="1" t="s">
        <v>82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1513.4404165997698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1511.4993524855288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0.62121689581030137</v>
      </c>
      <c r="R71" s="1">
        <v>71</v>
      </c>
      <c r="S71" s="1">
        <v>58</v>
      </c>
      <c r="T71" s="1">
        <v>0</v>
      </c>
      <c r="U71" s="1">
        <f>Games[[#This Row],[PointsFor]]-Games[[#This Row],[PointsAgainst]]</f>
        <v>13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0.47128143275010143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13.406359647708314</v>
      </c>
      <c r="AB71" s="4">
        <f>Games[[#This Row],[PreGmRate]]+Games[[#This Row],[RatingChange]]</f>
        <v>1526.8467762474781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39985</v>
      </c>
      <c r="B72" s="2">
        <v>2009</v>
      </c>
      <c r="C72" s="2">
        <f>COUNTIFS(Games[Team],Games[[#This Row],[Team]],Games[Season],Games[[#This Row],[Season]],Games[Date],"&lt;=" &amp; Games[[#This Row],[Date]])</f>
        <v>5</v>
      </c>
      <c r="D72" s="2" t="s">
        <v>23</v>
      </c>
      <c r="E72" s="2" t="s">
        <v>29</v>
      </c>
      <c r="F72" s="1" t="s">
        <v>73</v>
      </c>
      <c r="G72" s="1" t="s">
        <v>77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1542.0388723214589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1516.1441988580671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0.41715069226900814</v>
      </c>
      <c r="R72" s="1">
        <v>70</v>
      </c>
      <c r="S72" s="1">
        <v>82</v>
      </c>
      <c r="T72" s="1">
        <v>0</v>
      </c>
      <c r="U72" s="1">
        <f>Games[[#This Row],[PointsFor]]-Games[[#This Row],[PointsAgainst]]</f>
        <v>-12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0.44649458353992449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75.25</v>
      </c>
      <c r="Z72" s="4">
        <f>Games[[#This Row],[K]]*Games[[#This Row],[POMult]]</f>
        <v>75.25</v>
      </c>
      <c r="AA72" s="4">
        <f>(Games[[#This Row],[Keff]]*Games[[#This Row],[MOVMult]])*(Games[[#This Row],[Result]]-Games[[#This Row],[ExpectedWin%]])</f>
        <v>-14.01572822750766</v>
      </c>
      <c r="AB72" s="4">
        <f>Games[[#This Row],[PreGmRate]]+Games[[#This Row],[RatingChange]]</f>
        <v>1528.0231440939513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39985</v>
      </c>
      <c r="B73" s="2">
        <v>2009</v>
      </c>
      <c r="C73" s="2">
        <f>COUNTIFS(Games[Team],Games[[#This Row],[Team]],Games[Season],Games[[#This Row],[Season]],Games[Date],"&lt;=" &amp; Games[[#This Row],[Date]])</f>
        <v>6</v>
      </c>
      <c r="D73" s="2" t="s">
        <v>23</v>
      </c>
      <c r="E73" s="2" t="s">
        <v>29</v>
      </c>
      <c r="F73" s="1" t="s">
        <v>77</v>
      </c>
      <c r="G73" s="1" t="s">
        <v>73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1516.1441988580671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1542.0388723214589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0.58284930773099186</v>
      </c>
      <c r="R73" s="1">
        <v>82</v>
      </c>
      <c r="S73" s="1">
        <v>70</v>
      </c>
      <c r="T73" s="1">
        <v>0</v>
      </c>
      <c r="U73" s="1">
        <f>Games[[#This Row],[PointsFor]]-Games[[#This Row],[PointsAgainst]]</f>
        <v>12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0.44649458353992449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75.099999999999994</v>
      </c>
      <c r="Z73" s="4">
        <f>Games[[#This Row],[K]]*Games[[#This Row],[POMult]]</f>
        <v>75.099999999999994</v>
      </c>
      <c r="AA73" s="4">
        <f>(Games[[#This Row],[Keff]]*Games[[#This Row],[MOVMult]])*(Games[[#This Row],[Result]]-Games[[#This Row],[ExpectedWin%]])</f>
        <v>13.987789898814951</v>
      </c>
      <c r="AB73" s="4">
        <f>Games[[#This Row],[PreGmRate]]+Games[[#This Row],[RatingChange]]</f>
        <v>1530.131988756882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39985</v>
      </c>
      <c r="B74" s="2">
        <v>2009</v>
      </c>
      <c r="C74" s="2">
        <f>COUNTIFS(Games[Team],Games[[#This Row],[Team]],Games[Season],Games[[#This Row],[Season]],Games[Date],"&lt;=" &amp; Games[[#This Row],[Date]])</f>
        <v>6</v>
      </c>
      <c r="D74" s="2" t="s">
        <v>23</v>
      </c>
      <c r="E74" s="2" t="s">
        <v>29</v>
      </c>
      <c r="F74" s="1" t="s">
        <v>45</v>
      </c>
      <c r="G74" s="1" t="s">
        <v>68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3</v>
      </c>
      <c r="L74" s="2">
        <f>Games[[#This Row],[OppDaysOff]]-Games[[#This Row],[DaysOff]]</f>
        <v>-3</v>
      </c>
      <c r="M74" s="1">
        <f>MAX(-16, MIN(16, Games[[#This Row],[RestDiff]]*8))</f>
        <v>16</v>
      </c>
      <c r="N74" s="1">
        <f>MAX(-16, MIN(16, Games[[#This Row],[OppRestDiff]]*8))</f>
        <v>-16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1478.4088521755002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1497.5103973176206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0.39908156391147365</v>
      </c>
      <c r="R74" s="1">
        <v>47</v>
      </c>
      <c r="S74" s="1">
        <v>67</v>
      </c>
      <c r="T74" s="1">
        <v>0</v>
      </c>
      <c r="U74" s="1">
        <f>Games[[#This Row],[PointsFor]]-Games[[#This Row],[PointsAgainst]]</f>
        <v>-20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0.56587971156265271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-16.959995236742397</v>
      </c>
      <c r="AB74" s="4">
        <f>Games[[#This Row],[PreGmRate]]+Games[[#This Row],[RatingChange]]</f>
        <v>1461.4488569387579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39985</v>
      </c>
      <c r="B75" s="2">
        <v>2009</v>
      </c>
      <c r="C75" s="2">
        <f>COUNTIFS(Games[Team],Games[[#This Row],[Team]],Games[Season],Games[[#This Row],[Season]],Games[Date],"&lt;=" &amp; Games[[#This Row],[Date]])</f>
        <v>6</v>
      </c>
      <c r="D75" s="2" t="s">
        <v>23</v>
      </c>
      <c r="E75" s="2" t="s">
        <v>29</v>
      </c>
      <c r="F75" s="1" t="s">
        <v>68</v>
      </c>
      <c r="G75" s="1" t="s">
        <v>45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5" s="2">
        <f>Games[[#This Row],[DaysOff]]-Games[[#This Row],[OppDaysOff]]</f>
        <v>-3</v>
      </c>
      <c r="L75" s="2">
        <f>Games[[#This Row],[OppDaysOff]]-Games[[#This Row],[DaysOff]]</f>
        <v>3</v>
      </c>
      <c r="M75" s="1">
        <f>MAX(-16, MIN(16, Games[[#This Row],[RestDiff]]*8))</f>
        <v>-16</v>
      </c>
      <c r="N75" s="1">
        <f>MAX(-16, MIN(16, Games[[#This Row],[OppRestDiff]]*8))</f>
        <v>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1497.5103973176206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1478.4088521755002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0.60091843608852635</v>
      </c>
      <c r="R75" s="1">
        <v>67</v>
      </c>
      <c r="S75" s="1">
        <v>47</v>
      </c>
      <c r="T75" s="1">
        <v>0</v>
      </c>
      <c r="U75" s="1">
        <f>Games[[#This Row],[PointsFor]]-Games[[#This Row],[PointsAgainst]]</f>
        <v>20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0.56587971156265271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16.959995236742397</v>
      </c>
      <c r="AB75" s="4">
        <f>Games[[#This Row],[PreGmRate]]+Games[[#This Row],[RatingChange]]</f>
        <v>1514.4703925543629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39985</v>
      </c>
      <c r="B76" s="2">
        <v>2009</v>
      </c>
      <c r="C76" s="2">
        <f>COUNTIFS(Games[Team],Games[[#This Row],[Team]],Games[Season],Games[[#This Row],[Season]],Games[Date],"&lt;=" &amp; Games[[#This Row],[Date]])</f>
        <v>7</v>
      </c>
      <c r="D76" s="2" t="s">
        <v>23</v>
      </c>
      <c r="E76" s="2" t="s">
        <v>29</v>
      </c>
      <c r="F76" s="1" t="s">
        <v>79</v>
      </c>
      <c r="G76" s="1" t="s">
        <v>44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1568.4758852287457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1554.908375923965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0.40000554407641398</v>
      </c>
      <c r="R76" s="1">
        <v>93</v>
      </c>
      <c r="S76" s="1">
        <v>84</v>
      </c>
      <c r="T76" s="1">
        <v>0</v>
      </c>
      <c r="U76" s="1">
        <f>Games[[#This Row],[PointsFor]]-Games[[#This Row],[PointsAgainst]]</f>
        <v>9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0.40143282416630882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18.052267295968701</v>
      </c>
      <c r="AB76" s="4">
        <f>Games[[#This Row],[PreGmRate]]+Games[[#This Row],[RatingChange]]</f>
        <v>1586.5281525247144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39985</v>
      </c>
      <c r="B77" s="2">
        <v>2009</v>
      </c>
      <c r="C77" s="2">
        <f>COUNTIFS(Games[Team],Games[[#This Row],[Team]],Games[Season],Games[[#This Row],[Season]],Games[Date],"&lt;=" &amp; Games[[#This Row],[Date]])</f>
        <v>7</v>
      </c>
      <c r="D77" s="2" t="s">
        <v>23</v>
      </c>
      <c r="E77" s="2" t="s">
        <v>29</v>
      </c>
      <c r="F77" s="1" t="s">
        <v>44</v>
      </c>
      <c r="G77" s="1" t="s">
        <v>79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1554.908375923965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1568.4758852287457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0.59999445592358613</v>
      </c>
      <c r="R77" s="1">
        <v>84</v>
      </c>
      <c r="S77" s="1">
        <v>93</v>
      </c>
      <c r="T77" s="1">
        <v>0</v>
      </c>
      <c r="U77" s="1">
        <f>Games[[#This Row],[PointsFor]]-Games[[#This Row],[PointsAgainst]]</f>
        <v>-9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0.40143282416630882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-18.052267295968704</v>
      </c>
      <c r="AB77" s="4">
        <f>Games[[#This Row],[PreGmRate]]+Games[[#This Row],[RatingChange]]</f>
        <v>1536.8561086279963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39987</v>
      </c>
      <c r="B78" s="2">
        <v>2009</v>
      </c>
      <c r="C78" s="2">
        <f>COUNTIFS(Games[Team],Games[[#This Row],[Team]],Games[Season],Games[[#This Row],[Season]],Games[Date],"&lt;=" &amp; Games[[#This Row],[Date]])</f>
        <v>7</v>
      </c>
      <c r="D78" s="2" t="s">
        <v>23</v>
      </c>
      <c r="E78" s="2" t="s">
        <v>29</v>
      </c>
      <c r="F78" s="1" t="s">
        <v>85</v>
      </c>
      <c r="G78" s="1" t="s">
        <v>87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1</v>
      </c>
      <c r="L78" s="2">
        <f>Games[[#This Row],[OppDaysOff]]-Games[[#This Row],[DaysOff]]</f>
        <v>-1</v>
      </c>
      <c r="M78" s="1">
        <f>MAX(-16, MIN(16, Games[[#This Row],[RestDiff]]*8))</f>
        <v>8</v>
      </c>
      <c r="N78" s="1">
        <f>MAX(-16, MIN(16, Games[[#This Row],[OppRestDiff]]*8))</f>
        <v>-8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1449.3635987042469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1404.7748460966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0.46635940597878156</v>
      </c>
      <c r="R78" s="1">
        <v>99</v>
      </c>
      <c r="S78" s="1">
        <v>98</v>
      </c>
      <c r="T78" s="1">
        <v>1</v>
      </c>
      <c r="U78" s="1">
        <f>Games[[#This Row],[PointsFor]]-Games[[#This Row],[PointsAgainst]]</f>
        <v>1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0.21188850059104788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74.95</v>
      </c>
      <c r="Z78" s="4">
        <f>Games[[#This Row],[K]]*Games[[#This Row],[POMult]]</f>
        <v>74.95</v>
      </c>
      <c r="AA78" s="4">
        <f>(Games[[#This Row],[Keff]]*Games[[#This Row],[MOVMult]])*(Games[[#This Row],[Result]]-Games[[#This Row],[ExpectedWin%]])</f>
        <v>8.4747692838593238</v>
      </c>
      <c r="AB78" s="4">
        <f>Games[[#This Row],[PreGmRate]]+Games[[#This Row],[RatingChange]]</f>
        <v>1457.8383679881063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39987</v>
      </c>
      <c r="B79" s="2">
        <v>2009</v>
      </c>
      <c r="C79" s="2">
        <f>COUNTIFS(Games[Team],Games[[#This Row],[Team]],Games[Season],Games[[#This Row],[Season]],Games[Date],"&lt;=" &amp; Games[[#This Row],[Date]])</f>
        <v>7</v>
      </c>
      <c r="D79" s="2" t="s">
        <v>23</v>
      </c>
      <c r="E79" s="2" t="s">
        <v>29</v>
      </c>
      <c r="F79" s="1" t="s">
        <v>87</v>
      </c>
      <c r="G79" s="1" t="s">
        <v>85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9" s="2">
        <f>Games[[#This Row],[DaysOff]]-Games[[#This Row],[OppDaysOff]]</f>
        <v>-1</v>
      </c>
      <c r="L79" s="2">
        <f>Games[[#This Row],[OppDaysOff]]-Games[[#This Row],[DaysOff]]</f>
        <v>1</v>
      </c>
      <c r="M79" s="1">
        <f>MAX(-16, MIN(16, Games[[#This Row],[RestDiff]]*8))</f>
        <v>-8</v>
      </c>
      <c r="N79" s="1">
        <f>MAX(-16, MIN(16, Games[[#This Row],[OppRestDiff]]*8))</f>
        <v>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1404.7748460966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1449.3635987042469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0.53364059402121844</v>
      </c>
      <c r="R79" s="1">
        <v>98</v>
      </c>
      <c r="S79" s="1">
        <v>99</v>
      </c>
      <c r="T79" s="1">
        <v>1</v>
      </c>
      <c r="U79" s="1">
        <f>Games[[#This Row],[PointsFor]]-Games[[#This Row],[PointsAgainst]]</f>
        <v>-1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0.21188850059104788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-8.4747692838593238</v>
      </c>
      <c r="AB79" s="4">
        <f>Games[[#This Row],[PreGmRate]]+Games[[#This Row],[RatingChange]]</f>
        <v>1396.3000768127406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39987</v>
      </c>
      <c r="B80" s="2">
        <v>2009</v>
      </c>
      <c r="C80" s="2">
        <f>COUNTIFS(Games[Team],Games[[#This Row],[Team]],Games[Season],Games[[#This Row],[Season]],Games[Date],"&lt;=" &amp; Games[[#This Row],[Date]])</f>
        <v>6</v>
      </c>
      <c r="D80" s="2" t="s">
        <v>23</v>
      </c>
      <c r="E80" s="2" t="s">
        <v>29</v>
      </c>
      <c r="F80" s="1" t="s">
        <v>65</v>
      </c>
      <c r="G80" s="1" t="s">
        <v>75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0" s="2">
        <f>Games[[#This Row],[DaysOff]]-Games[[#This Row],[OppDaysOff]]</f>
        <v>-2</v>
      </c>
      <c r="L80" s="2">
        <f>Games[[#This Row],[OppDaysOff]]-Games[[#This Row],[DaysOff]]</f>
        <v>2</v>
      </c>
      <c r="M80" s="1">
        <f>MAX(-16, MIN(16, Games[[#This Row],[RestDiff]]*8))</f>
        <v>-16</v>
      </c>
      <c r="N80" s="1">
        <f>MAX(-16, MIN(16, Games[[#This Row],[OppRestDiff]]*8))</f>
        <v>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1515.6860691185764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1500.156619567686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0.35931120066366096</v>
      </c>
      <c r="R80" s="1">
        <v>57</v>
      </c>
      <c r="S80" s="1">
        <v>69</v>
      </c>
      <c r="T80" s="1">
        <v>0</v>
      </c>
      <c r="U80" s="1">
        <f>Games[[#This Row],[PointsFor]]-Games[[#This Row],[PointsAgainst]]</f>
        <v>-12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0.4503019913619401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-12.151071043229962</v>
      </c>
      <c r="AB80" s="4">
        <f>Games[[#This Row],[PreGmRate]]+Games[[#This Row],[RatingChange]]</f>
        <v>1503.5349980753465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39987</v>
      </c>
      <c r="B81" s="2">
        <v>2009</v>
      </c>
      <c r="C81" s="2">
        <f>COUNTIFS(Games[Team],Games[[#This Row],[Team]],Games[Season],Games[[#This Row],[Season]],Games[Date],"&lt;=" &amp; Games[[#This Row],[Date]])</f>
        <v>8</v>
      </c>
      <c r="D81" s="2" t="s">
        <v>23</v>
      </c>
      <c r="E81" s="2" t="s">
        <v>29</v>
      </c>
      <c r="F81" s="1" t="s">
        <v>75</v>
      </c>
      <c r="G81" s="1" t="s">
        <v>65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2</v>
      </c>
      <c r="L81" s="2">
        <f>Games[[#This Row],[OppDaysOff]]-Games[[#This Row],[DaysOff]]</f>
        <v>-2</v>
      </c>
      <c r="M81" s="1">
        <f>MAX(-16, MIN(16, Games[[#This Row],[RestDiff]]*8))</f>
        <v>16</v>
      </c>
      <c r="N81" s="1">
        <f>MAX(-16, MIN(16, Games[[#This Row],[OppRestDiff]]*8))</f>
        <v>-16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1500.156619567686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1515.6860691185764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0.64068879933633904</v>
      </c>
      <c r="R81" s="1">
        <v>69</v>
      </c>
      <c r="S81" s="1">
        <v>57</v>
      </c>
      <c r="T81" s="1">
        <v>0</v>
      </c>
      <c r="U81" s="1">
        <f>Games[[#This Row],[PointsFor]]-Games[[#This Row],[PointsAgainst]]</f>
        <v>12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0.4503019913619401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74.8</v>
      </c>
      <c r="Z81" s="4">
        <f>Games[[#This Row],[K]]*Games[[#This Row],[POMult]]</f>
        <v>74.8</v>
      </c>
      <c r="AA81" s="4">
        <f>(Games[[#This Row],[Keff]]*Games[[#This Row],[MOVMult]])*(Games[[#This Row],[Result]]-Games[[#This Row],[ExpectedWin%]])</f>
        <v>12.102531478476715</v>
      </c>
      <c r="AB81" s="4">
        <f>Games[[#This Row],[PreGmRate]]+Games[[#This Row],[RatingChange]]</f>
        <v>1512.2591510461627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39987</v>
      </c>
      <c r="B82" s="2">
        <v>2009</v>
      </c>
      <c r="C82" s="2">
        <f>COUNTIFS(Games[Team],Games[[#This Row],[Team]],Games[Season],Games[[#This Row],[Season]],Games[Date],"&lt;=" &amp; Games[[#This Row],[Date]])</f>
        <v>8</v>
      </c>
      <c r="D82" s="2" t="s">
        <v>23</v>
      </c>
      <c r="E82" s="2" t="s">
        <v>29</v>
      </c>
      <c r="F82" s="1" t="s">
        <v>44</v>
      </c>
      <c r="G82" s="1" t="s">
        <v>82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1536.8561086279963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1498.0394388046072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0.43534007099767313</v>
      </c>
      <c r="R82" s="1">
        <v>87</v>
      </c>
      <c r="S82" s="1">
        <v>91</v>
      </c>
      <c r="T82" s="1">
        <v>0</v>
      </c>
      <c r="U82" s="1">
        <f>Games[[#This Row],[PointsFor]]-Games[[#This Row],[PointsAgainst]]</f>
        <v>-4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0.3016744050900883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74.8</v>
      </c>
      <c r="Z82" s="4">
        <f>Games[[#This Row],[K]]*Games[[#This Row],[POMult]]</f>
        <v>74.8</v>
      </c>
      <c r="AA82" s="4">
        <f>(Games[[#This Row],[Keff]]*Games[[#This Row],[MOVMult]])*(Games[[#This Row],[Result]]-Games[[#This Row],[ExpectedWin%]])</f>
        <v>-9.8235555783714688</v>
      </c>
      <c r="AB82" s="4">
        <f>Games[[#This Row],[PreGmRate]]+Games[[#This Row],[RatingChange]]</f>
        <v>1527.0325530496248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39987</v>
      </c>
      <c r="B83" s="2">
        <v>2009</v>
      </c>
      <c r="C83" s="2">
        <f>COUNTIFS(Games[Team],Games[[#This Row],[Team]],Games[Season],Games[[#This Row],[Season]],Games[Date],"&lt;=" &amp; Games[[#This Row],[Date]])</f>
        <v>5</v>
      </c>
      <c r="D83" s="2" t="s">
        <v>23</v>
      </c>
      <c r="E83" s="2" t="s">
        <v>29</v>
      </c>
      <c r="F83" s="1" t="s">
        <v>82</v>
      </c>
      <c r="G83" s="1" t="s">
        <v>44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1498.0394388046072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1536.8561086279963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0.56465992900232687</v>
      </c>
      <c r="R83" s="1">
        <v>91</v>
      </c>
      <c r="S83" s="1">
        <v>87</v>
      </c>
      <c r="T83" s="1">
        <v>0</v>
      </c>
      <c r="U83" s="1">
        <f>Games[[#This Row],[PointsFor]]-Games[[#This Row],[PointsAgainst]]</f>
        <v>4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0.3016744050900883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75.25</v>
      </c>
      <c r="Z83" s="4">
        <f>Games[[#This Row],[K]]*Games[[#This Row],[POMult]]</f>
        <v>75.25</v>
      </c>
      <c r="AA83" s="4">
        <f>(Games[[#This Row],[Keff]]*Games[[#This Row],[MOVMult]])*(Games[[#This Row],[Result]]-Games[[#This Row],[ExpectedWin%]])</f>
        <v>9.8826545089900133</v>
      </c>
      <c r="AB83" s="4">
        <f>Games[[#This Row],[PreGmRate]]+Games[[#This Row],[RatingChange]]</f>
        <v>1507.9220933135973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39989</v>
      </c>
      <c r="B84" s="2">
        <v>2009</v>
      </c>
      <c r="C84" s="2">
        <f>COUNTIFS(Games[Team],Games[[#This Row],[Team]],Games[Season],Games[[#This Row],[Season]],Games[Date],"&lt;=" &amp; Games[[#This Row],[Date]])</f>
        <v>9</v>
      </c>
      <c r="D84" s="2" t="s">
        <v>23</v>
      </c>
      <c r="E84" s="2" t="s">
        <v>29</v>
      </c>
      <c r="F84" s="1" t="s">
        <v>44</v>
      </c>
      <c r="G84" s="1" t="s">
        <v>71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4" s="2">
        <f>Games[[#This Row],[DaysOff]]-Games[[#This Row],[OppDaysOff]]</f>
        <v>-3</v>
      </c>
      <c r="L84" s="2">
        <f>Games[[#This Row],[OppDaysOff]]-Games[[#This Row],[DaysOff]]</f>
        <v>3</v>
      </c>
      <c r="M84" s="1">
        <f>MAX(-16, MIN(16, Games[[#This Row],[RestDiff]]*8))</f>
        <v>-16</v>
      </c>
      <c r="N84" s="1">
        <f>MAX(-16, MIN(16, Games[[#This Row],[OppRestDiff]]*8))</f>
        <v>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1527.0325530496248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1465.0805608277844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0.42284007931226658</v>
      </c>
      <c r="R84" s="1">
        <v>93</v>
      </c>
      <c r="S84" s="1">
        <v>87</v>
      </c>
      <c r="T84" s="1">
        <v>0</v>
      </c>
      <c r="U84" s="1">
        <f>Games[[#This Row],[PointsFor]]-Games[[#This Row],[PointsAgainst]]</f>
        <v>6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0.33403561776309432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74.650000000000006</v>
      </c>
      <c r="Z84" s="4">
        <f>Games[[#This Row],[K]]*Games[[#This Row],[POMult]]</f>
        <v>74.650000000000006</v>
      </c>
      <c r="AA84" s="4">
        <f>(Games[[#This Row],[Keff]]*Games[[#This Row],[MOVMult]])*(Games[[#This Row],[Result]]-Games[[#This Row],[ExpectedWin%]])</f>
        <v>14.391920609397657</v>
      </c>
      <c r="AB84" s="4">
        <f>Games[[#This Row],[PreGmRate]]+Games[[#This Row],[RatingChange]]</f>
        <v>1541.4244736590224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39989</v>
      </c>
      <c r="B85" s="2">
        <v>2009</v>
      </c>
      <c r="C85" s="2">
        <f>COUNTIFS(Games[Team],Games[[#This Row],[Team]],Games[Season],Games[[#This Row],[Season]],Games[Date],"&lt;=" &amp; Games[[#This Row],[Date]])</f>
        <v>6</v>
      </c>
      <c r="D85" s="2" t="s">
        <v>23</v>
      </c>
      <c r="E85" s="2" t="s">
        <v>29</v>
      </c>
      <c r="F85" s="1" t="s">
        <v>71</v>
      </c>
      <c r="G85" s="1" t="s">
        <v>44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3</v>
      </c>
      <c r="L85" s="2">
        <f>Games[[#This Row],[OppDaysOff]]-Games[[#This Row],[DaysOff]]</f>
        <v>-3</v>
      </c>
      <c r="M85" s="1">
        <f>MAX(-16, MIN(16, Games[[#This Row],[RestDiff]]*8))</f>
        <v>16</v>
      </c>
      <c r="N85" s="1">
        <f>MAX(-16, MIN(16, Games[[#This Row],[OppRestDiff]]*8))</f>
        <v>-16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1465.0805608277844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1527.0325530496248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0.57715992068773336</v>
      </c>
      <c r="R85" s="1">
        <v>87</v>
      </c>
      <c r="S85" s="1">
        <v>93</v>
      </c>
      <c r="T85" s="1">
        <v>0</v>
      </c>
      <c r="U85" s="1">
        <f>Games[[#This Row],[PointsFor]]-Games[[#This Row],[PointsAgainst]]</f>
        <v>-6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0.33403561776309432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-14.478676996192416</v>
      </c>
      <c r="AB85" s="4">
        <f>Games[[#This Row],[PreGmRate]]+Games[[#This Row],[RatingChange]]</f>
        <v>1450.601883831592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39990</v>
      </c>
      <c r="B86" s="2">
        <v>2009</v>
      </c>
      <c r="C86" s="2">
        <f>COUNTIFS(Games[Team],Games[[#This Row],[Team]],Games[Season],Games[[#This Row],[Season]],Games[Date],"&lt;=" &amp; Games[[#This Row],[Date]])</f>
        <v>6</v>
      </c>
      <c r="D86" s="2" t="s">
        <v>23</v>
      </c>
      <c r="E86" s="2" t="s">
        <v>29</v>
      </c>
      <c r="F86" s="1" t="s">
        <v>73</v>
      </c>
      <c r="G86" s="1" t="s">
        <v>87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4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6" s="2">
        <f>Games[[#This Row],[DaysOff]]-Games[[#This Row],[OppDaysOff]]</f>
        <v>2</v>
      </c>
      <c r="L86" s="2">
        <f>Games[[#This Row],[OppDaysOff]]-Games[[#This Row],[DaysOff]]</f>
        <v>-2</v>
      </c>
      <c r="M86" s="1">
        <f>MAX(-16, MIN(16, Games[[#This Row],[RestDiff]]*8))</f>
        <v>16</v>
      </c>
      <c r="N86" s="1">
        <f>MAX(-16, MIN(16, Games[[#This Row],[OppRestDiff]]*8))</f>
        <v>-16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1528.0231440939513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1396.3000768127406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0.6127586188643328</v>
      </c>
      <c r="R86" s="1">
        <v>86</v>
      </c>
      <c r="S86" s="1">
        <v>96</v>
      </c>
      <c r="T86" s="1">
        <v>0</v>
      </c>
      <c r="U86" s="1">
        <f>Games[[#This Row],[PointsFor]]-Games[[#This Row],[PointsAgainst]]</f>
        <v>-10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0.38127719769497809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75.099999999999994</v>
      </c>
      <c r="Z86" s="4">
        <f>Games[[#This Row],[K]]*Games[[#This Row],[POMult]]</f>
        <v>75.099999999999994</v>
      </c>
      <c r="AA86" s="4">
        <f>(Games[[#This Row],[Keff]]*Games[[#This Row],[MOVMult]])*(Games[[#This Row],[Result]]-Games[[#This Row],[ExpectedWin%]])</f>
        <v>-17.545679768709249</v>
      </c>
      <c r="AB86" s="4">
        <f>Games[[#This Row],[PreGmRate]]+Games[[#This Row],[RatingChange]]</f>
        <v>1510.477464325242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39990</v>
      </c>
      <c r="B87" s="2">
        <v>2009</v>
      </c>
      <c r="C87" s="2">
        <f>COUNTIFS(Games[Team],Games[[#This Row],[Team]],Games[Season],Games[[#This Row],[Season]],Games[Date],"&lt;=" &amp; Games[[#This Row],[Date]])</f>
        <v>8</v>
      </c>
      <c r="D87" s="2" t="s">
        <v>23</v>
      </c>
      <c r="E87" s="2" t="s">
        <v>29</v>
      </c>
      <c r="F87" s="1" t="s">
        <v>87</v>
      </c>
      <c r="G87" s="1" t="s">
        <v>73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7" s="2">
        <f>Games[[#This Row],[DaysOff]]-Games[[#This Row],[OppDaysOff]]</f>
        <v>-2</v>
      </c>
      <c r="L87" s="2">
        <f>Games[[#This Row],[OppDaysOff]]-Games[[#This Row],[DaysOff]]</f>
        <v>2</v>
      </c>
      <c r="M87" s="1">
        <f>MAX(-16, MIN(16, Games[[#This Row],[RestDiff]]*8))</f>
        <v>-16</v>
      </c>
      <c r="N87" s="1">
        <f>MAX(-16, MIN(16, Games[[#This Row],[OppRestDiff]]*8))</f>
        <v>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1396.3000768127406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1528.0231440939513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0.3872413811356672</v>
      </c>
      <c r="R87" s="1">
        <v>96</v>
      </c>
      <c r="S87" s="1">
        <v>86</v>
      </c>
      <c r="T87" s="1">
        <v>0</v>
      </c>
      <c r="U87" s="1">
        <f>Games[[#This Row],[PointsFor]]-Games[[#This Row],[PointsAgainst]]</f>
        <v>10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0.38127719769497809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17.475590501990037</v>
      </c>
      <c r="AB87" s="4">
        <f>Games[[#This Row],[PreGmRate]]+Games[[#This Row],[RatingChange]]</f>
        <v>1413.7756673147305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39990</v>
      </c>
      <c r="B88" s="2">
        <v>2009</v>
      </c>
      <c r="C88" s="2">
        <f>COUNTIFS(Games[Team],Games[[#This Row],[Team]],Games[Season],Games[[#This Row],[Season]],Games[Date],"&lt;=" &amp; Games[[#This Row],[Date]])</f>
        <v>7</v>
      </c>
      <c r="D88" s="2" t="s">
        <v>23</v>
      </c>
      <c r="E88" s="2" t="s">
        <v>29</v>
      </c>
      <c r="F88" s="1" t="s">
        <v>77</v>
      </c>
      <c r="G88" s="1" t="s">
        <v>65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8" s="2">
        <f>Games[[#This Row],[DaysOff]]-Games[[#This Row],[OppDaysOff]]</f>
        <v>2</v>
      </c>
      <c r="L88" s="2">
        <f>Games[[#This Row],[OppDaysOff]]-Games[[#This Row],[DaysOff]]</f>
        <v>-2</v>
      </c>
      <c r="M88" s="1">
        <f>MAX(-16, MIN(16, Games[[#This Row],[RestDiff]]*8))</f>
        <v>16</v>
      </c>
      <c r="N88" s="1">
        <f>MAX(-16, MIN(16, Games[[#This Row],[OppRestDiff]]*8))</f>
        <v>-16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1530.131988756882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1503.5349980753465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0.46350713692859413</v>
      </c>
      <c r="R88" s="1">
        <v>82</v>
      </c>
      <c r="S88" s="1">
        <v>81</v>
      </c>
      <c r="T88" s="1">
        <v>1</v>
      </c>
      <c r="U88" s="1">
        <f>Games[[#This Row],[PointsFor]]-Games[[#This Row],[PointsAgainst]]</f>
        <v>1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0.2149964875553699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8.6450388828577776</v>
      </c>
      <c r="AB88" s="4">
        <f>Games[[#This Row],[PreGmRate]]+Games[[#This Row],[RatingChange]]</f>
        <v>1538.7770276397398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39990</v>
      </c>
      <c r="B89" s="2">
        <v>2009</v>
      </c>
      <c r="C89" s="2">
        <f>COUNTIFS(Games[Team],Games[[#This Row],[Team]],Games[Season],Games[[#This Row],[Season]],Games[Date],"&lt;=" &amp; Games[[#This Row],[Date]])</f>
        <v>7</v>
      </c>
      <c r="D89" s="2" t="s">
        <v>23</v>
      </c>
      <c r="E89" s="2" t="s">
        <v>29</v>
      </c>
      <c r="F89" s="1" t="s">
        <v>65</v>
      </c>
      <c r="G89" s="1" t="s">
        <v>77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9" s="2">
        <f>Games[[#This Row],[DaysOff]]-Games[[#This Row],[OppDaysOff]]</f>
        <v>-2</v>
      </c>
      <c r="L89" s="2">
        <f>Games[[#This Row],[OppDaysOff]]-Games[[#This Row],[DaysOff]]</f>
        <v>2</v>
      </c>
      <c r="M89" s="1">
        <f>MAX(-16, MIN(16, Games[[#This Row],[RestDiff]]*8))</f>
        <v>-16</v>
      </c>
      <c r="N89" s="1">
        <f>MAX(-16, MIN(16, Games[[#This Row],[OppRestDiff]]*8))</f>
        <v>16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1503.5349980753465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1530.131988756882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0.53649286307140587</v>
      </c>
      <c r="R89" s="1">
        <v>81</v>
      </c>
      <c r="S89" s="1">
        <v>82</v>
      </c>
      <c r="T89" s="1">
        <v>1</v>
      </c>
      <c r="U89" s="1">
        <f>Games[[#This Row],[PointsFor]]-Games[[#This Row],[PointsAgainst]]</f>
        <v>-1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0.2149964875553699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74.95</v>
      </c>
      <c r="Z89" s="4">
        <f>Games[[#This Row],[K]]*Games[[#This Row],[POMult]]</f>
        <v>74.95</v>
      </c>
      <c r="AA89" s="4">
        <f>(Games[[#This Row],[Keff]]*Games[[#This Row],[MOVMult]])*(Games[[#This Row],[Result]]-Games[[#This Row],[ExpectedWin%]])</f>
        <v>-8.6450388828577776</v>
      </c>
      <c r="AB89" s="4">
        <f>Games[[#This Row],[PreGmRate]]+Games[[#This Row],[RatingChange]]</f>
        <v>1494.8899591924887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39990</v>
      </c>
      <c r="B90" s="2">
        <v>2009</v>
      </c>
      <c r="C90" s="2">
        <f>COUNTIFS(Games[Team],Games[[#This Row],[Team]],Games[Season],Games[[#This Row],[Season]],Games[Date],"&lt;=" &amp; Games[[#This Row],[Date]])</f>
        <v>7</v>
      </c>
      <c r="D90" s="2" t="s">
        <v>23</v>
      </c>
      <c r="E90" s="2" t="s">
        <v>29</v>
      </c>
      <c r="F90" s="1" t="s">
        <v>45</v>
      </c>
      <c r="G90" s="1" t="s">
        <v>82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2</v>
      </c>
      <c r="L90" s="2">
        <f>Games[[#This Row],[OppDaysOff]]-Games[[#This Row],[DaysOff]]</f>
        <v>-2</v>
      </c>
      <c r="M90" s="1">
        <f>MAX(-16, MIN(16, Games[[#This Row],[RestDiff]]*8))</f>
        <v>16</v>
      </c>
      <c r="N90" s="1">
        <f>MAX(-16, MIN(16, Games[[#This Row],[OppRestDiff]]*8))</f>
        <v>-16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1461.4488569387579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1507.9220933135973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0.36196225252060926</v>
      </c>
      <c r="R90" s="1">
        <v>52</v>
      </c>
      <c r="S90" s="1">
        <v>62</v>
      </c>
      <c r="T90" s="1">
        <v>0</v>
      </c>
      <c r="U90" s="1">
        <f>Games[[#This Row],[PointsFor]]-Games[[#This Row],[PointsAgainst]]</f>
        <v>-10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0.40735382387789065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-11.051130739396177</v>
      </c>
      <c r="AB90" s="4">
        <f>Games[[#This Row],[PreGmRate]]+Games[[#This Row],[RatingChange]]</f>
        <v>1450.3977261993616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39990</v>
      </c>
      <c r="B91" s="2">
        <v>2009</v>
      </c>
      <c r="C91" s="2">
        <f>COUNTIFS(Games[Team],Games[[#This Row],[Team]],Games[Season],Games[[#This Row],[Season]],Games[Date],"&lt;=" &amp; Games[[#This Row],[Date]])</f>
        <v>6</v>
      </c>
      <c r="D91" s="2" t="s">
        <v>23</v>
      </c>
      <c r="E91" s="2" t="s">
        <v>29</v>
      </c>
      <c r="F91" s="1" t="s">
        <v>82</v>
      </c>
      <c r="G91" s="1" t="s">
        <v>45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1" s="2">
        <f>Games[[#This Row],[DaysOff]]-Games[[#This Row],[OppDaysOff]]</f>
        <v>-2</v>
      </c>
      <c r="L91" s="2">
        <f>Games[[#This Row],[OppDaysOff]]-Games[[#This Row],[DaysOff]]</f>
        <v>2</v>
      </c>
      <c r="M91" s="1">
        <f>MAX(-16, MIN(16, Games[[#This Row],[RestDiff]]*8))</f>
        <v>-16</v>
      </c>
      <c r="N91" s="1">
        <f>MAX(-16, MIN(16, Games[[#This Row],[OppRestDiff]]*8))</f>
        <v>16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1507.9220933135973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1461.4488569387579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0.63803774747939068</v>
      </c>
      <c r="R91" s="1">
        <v>62</v>
      </c>
      <c r="S91" s="1">
        <v>52</v>
      </c>
      <c r="T91" s="1">
        <v>0</v>
      </c>
      <c r="U91" s="1">
        <f>Games[[#This Row],[PointsFor]]-Games[[#This Row],[PointsAgainst]]</f>
        <v>10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0.40735382387789065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75.099999999999994</v>
      </c>
      <c r="Z91" s="4">
        <f>Games[[#This Row],[K]]*Games[[#This Row],[POMult]]</f>
        <v>75.099999999999994</v>
      </c>
      <c r="AA91" s="4">
        <f>(Games[[#This Row],[Keff]]*Games[[#This Row],[MOVMult]])*(Games[[#This Row],[Result]]-Games[[#This Row],[ExpectedWin%]])</f>
        <v>11.073247745545737</v>
      </c>
      <c r="AB91" s="4">
        <f>Games[[#This Row],[PreGmRate]]+Games[[#This Row],[RatingChange]]</f>
        <v>1518.9953410591431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39990</v>
      </c>
      <c r="B92" s="2">
        <v>2009</v>
      </c>
      <c r="C92" s="2">
        <f>COUNTIFS(Games[Team],Games[[#This Row],[Team]],Games[Season],Games[[#This Row],[Season]],Games[Date],"&lt;=" &amp; Games[[#This Row],[Date]])</f>
        <v>7</v>
      </c>
      <c r="D92" s="2" t="s">
        <v>23</v>
      </c>
      <c r="E92" s="2" t="s">
        <v>29</v>
      </c>
      <c r="F92" s="1" t="s">
        <v>68</v>
      </c>
      <c r="G92" s="1" t="s">
        <v>79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1514.4703925543629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1586.5281525247144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0.28939160759299237</v>
      </c>
      <c r="R92" s="1">
        <v>67</v>
      </c>
      <c r="S92" s="1">
        <v>69</v>
      </c>
      <c r="T92" s="1">
        <v>0</v>
      </c>
      <c r="U92" s="1">
        <f>Games[[#This Row],[PointsFor]]-Games[[#This Row],[PointsAgainst]]</f>
        <v>-2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0.25266901793759355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-5.4803659820782169</v>
      </c>
      <c r="AB92" s="4">
        <f>Games[[#This Row],[PreGmRate]]+Games[[#This Row],[RatingChange]]</f>
        <v>1508.9900265722847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39990</v>
      </c>
      <c r="B93" s="2">
        <v>2009</v>
      </c>
      <c r="C93" s="2">
        <f>COUNTIFS(Games[Team],Games[[#This Row],[Team]],Games[Season],Games[[#This Row],[Season]],Games[Date],"&lt;=" &amp; Games[[#This Row],[Date]])</f>
        <v>8</v>
      </c>
      <c r="D93" s="2" t="s">
        <v>23</v>
      </c>
      <c r="E93" s="2" t="s">
        <v>29</v>
      </c>
      <c r="F93" s="1" t="s">
        <v>79</v>
      </c>
      <c r="G93" s="1" t="s">
        <v>68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1586.5281525247144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1514.4703925543629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0.71060839240700768</v>
      </c>
      <c r="R93" s="1">
        <v>69</v>
      </c>
      <c r="S93" s="1">
        <v>67</v>
      </c>
      <c r="T93" s="1">
        <v>0</v>
      </c>
      <c r="U93" s="1">
        <f>Games[[#This Row],[PointsFor]]-Games[[#This Row],[PointsAgainst]]</f>
        <v>2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0.25266901793759355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5.4693979380847297</v>
      </c>
      <c r="AB93" s="4">
        <f>Games[[#This Row],[PreGmRate]]+Games[[#This Row],[RatingChange]]</f>
        <v>1591.9975504627992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39991</v>
      </c>
      <c r="B94" s="2">
        <v>2009</v>
      </c>
      <c r="C94" s="2">
        <f>COUNTIFS(Games[Team],Games[[#This Row],[Team]],Games[Season],Games[[#This Row],[Season]],Games[Date],"&lt;=" &amp; Games[[#This Row],[Date]])</f>
        <v>7</v>
      </c>
      <c r="D94" s="2" t="s">
        <v>23</v>
      </c>
      <c r="E94" s="2" t="s">
        <v>29</v>
      </c>
      <c r="F94" s="1" t="s">
        <v>71</v>
      </c>
      <c r="G94" s="1" t="s">
        <v>85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4" s="2">
        <f>Games[[#This Row],[DaysOff]]-Games[[#This Row],[OppDaysOff]]</f>
        <v>-2</v>
      </c>
      <c r="L94" s="2">
        <f>Games[[#This Row],[OppDaysOff]]-Games[[#This Row],[DaysOff]]</f>
        <v>2</v>
      </c>
      <c r="M94" s="1">
        <f>MAX(-16, MIN(16, Games[[#This Row],[RestDiff]]*8))</f>
        <v>-16</v>
      </c>
      <c r="N94" s="1">
        <f>MAX(-16, MIN(16, Games[[#This Row],[OppRestDiff]]*8))</f>
        <v>16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1450.601883831592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1457.8383679881063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0.32973005529724708</v>
      </c>
      <c r="R94" s="1">
        <v>63</v>
      </c>
      <c r="S94" s="1">
        <v>68</v>
      </c>
      <c r="T94" s="1">
        <v>0</v>
      </c>
      <c r="U94" s="1">
        <f>Games[[#This Row],[PointsFor]]-Games[[#This Row],[PointsAgainst]]</f>
        <v>-5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0.32976734531979562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74.95</v>
      </c>
      <c r="Z94" s="4">
        <f>Games[[#This Row],[K]]*Games[[#This Row],[POMult]]</f>
        <v>74.95</v>
      </c>
      <c r="AA94" s="4">
        <f>(Games[[#This Row],[Keff]]*Games[[#This Row],[MOVMult]])*(Games[[#This Row],[Result]]-Games[[#This Row],[ExpectedWin%]])</f>
        <v>-8.1496286653138181</v>
      </c>
      <c r="AB94" s="4">
        <f>Games[[#This Row],[PreGmRate]]+Games[[#This Row],[RatingChange]]</f>
        <v>1442.4522551662781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39991</v>
      </c>
      <c r="B95" s="2">
        <v>2009</v>
      </c>
      <c r="C95" s="2">
        <f>COUNTIFS(Games[Team],Games[[#This Row],[Team]],Games[Season],Games[[#This Row],[Season]],Games[Date],"&lt;=" &amp; Games[[#This Row],[Date]])</f>
        <v>8</v>
      </c>
      <c r="D95" s="2" t="s">
        <v>23</v>
      </c>
      <c r="E95" s="2" t="s">
        <v>29</v>
      </c>
      <c r="F95" s="1" t="s">
        <v>85</v>
      </c>
      <c r="G95" s="1" t="s">
        <v>71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2</v>
      </c>
      <c r="L95" s="2">
        <f>Games[[#This Row],[OppDaysOff]]-Games[[#This Row],[DaysOff]]</f>
        <v>-2</v>
      </c>
      <c r="M95" s="1">
        <f>MAX(-16, MIN(16, Games[[#This Row],[RestDiff]]*8))</f>
        <v>16</v>
      </c>
      <c r="N95" s="1">
        <f>MAX(-16, MIN(16, Games[[#This Row],[OppRestDiff]]*8))</f>
        <v>-16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1457.8383679881063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1450.601883831592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0.67026994470275292</v>
      </c>
      <c r="R95" s="1">
        <v>68</v>
      </c>
      <c r="S95" s="1">
        <v>63</v>
      </c>
      <c r="T95" s="1">
        <v>0</v>
      </c>
      <c r="U95" s="1">
        <f>Games[[#This Row],[PointsFor]]-Games[[#This Row],[PointsAgainst]]</f>
        <v>5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0.32976734531979562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8.1333185345626884</v>
      </c>
      <c r="AB95" s="4">
        <f>Games[[#This Row],[PreGmRate]]+Games[[#This Row],[RatingChange]]</f>
        <v>1465.971686522669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39991</v>
      </c>
      <c r="B96" s="2">
        <v>2009</v>
      </c>
      <c r="C96" s="2">
        <f>COUNTIFS(Games[Team],Games[[#This Row],[Team]],Games[Season],Games[[#This Row],[Season]],Games[Date],"&lt;=" &amp; Games[[#This Row],[Date]])</f>
        <v>9</v>
      </c>
      <c r="D96" s="2" t="s">
        <v>23</v>
      </c>
      <c r="E96" s="2" t="s">
        <v>29</v>
      </c>
      <c r="F96" s="1" t="s">
        <v>87</v>
      </c>
      <c r="G96" s="1" t="s">
        <v>84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6" s="2">
        <f>Games[[#This Row],[DaysOff]]-Games[[#This Row],[OppDaysOff]]</f>
        <v>-5</v>
      </c>
      <c r="L96" s="2">
        <f>Games[[#This Row],[OppDaysOff]]-Games[[#This Row],[DaysOff]]</f>
        <v>5</v>
      </c>
      <c r="M96" s="1">
        <f>MAX(-16, MIN(16, Games[[#This Row],[RestDiff]]*8))</f>
        <v>-16</v>
      </c>
      <c r="N96" s="1">
        <f>MAX(-16, MIN(16, Games[[#This Row],[OppRestDiff]]*8))</f>
        <v>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1413.7756673147305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1526.8467762474781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0.21104476730252303</v>
      </c>
      <c r="R96" s="1">
        <v>68</v>
      </c>
      <c r="S96" s="1">
        <v>82</v>
      </c>
      <c r="T96" s="1">
        <v>0</v>
      </c>
      <c r="U96" s="1">
        <f>Games[[#This Row],[PointsFor]]-Games[[#This Row],[PointsAgainst]]</f>
        <v>-14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0.44561922066544413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74.650000000000006</v>
      </c>
      <c r="Z96" s="4">
        <f>Games[[#This Row],[K]]*Games[[#This Row],[POMult]]</f>
        <v>74.650000000000006</v>
      </c>
      <c r="AA96" s="4">
        <f>(Games[[#This Row],[Keff]]*Games[[#This Row],[MOVMult]])*(Games[[#This Row],[Result]]-Games[[#This Row],[ExpectedWin%]])</f>
        <v>-7.0205043931594702</v>
      </c>
      <c r="AB96" s="4">
        <f>Games[[#This Row],[PreGmRate]]+Games[[#This Row],[RatingChange]]</f>
        <v>1406.7551629215711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39991</v>
      </c>
      <c r="B97" s="2">
        <v>2009</v>
      </c>
      <c r="C97" s="2">
        <f>COUNTIFS(Games[Team],Games[[#This Row],[Team]],Games[Season],Games[[#This Row],[Season]],Games[Date],"&lt;=" &amp; Games[[#This Row],[Date]])</f>
        <v>7</v>
      </c>
      <c r="D97" s="2" t="s">
        <v>23</v>
      </c>
      <c r="E97" s="2" t="s">
        <v>29</v>
      </c>
      <c r="F97" s="1" t="s">
        <v>84</v>
      </c>
      <c r="G97" s="1" t="s">
        <v>87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5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7" s="2">
        <f>Games[[#This Row],[DaysOff]]-Games[[#This Row],[OppDaysOff]]</f>
        <v>5</v>
      </c>
      <c r="L97" s="2">
        <f>Games[[#This Row],[OppDaysOff]]-Games[[#This Row],[DaysOff]]</f>
        <v>-5</v>
      </c>
      <c r="M97" s="1">
        <f>MAX(-16, MIN(16, Games[[#This Row],[RestDiff]]*8))</f>
        <v>16</v>
      </c>
      <c r="N97" s="1">
        <f>MAX(-16, MIN(16, Games[[#This Row],[OppRestDiff]]*8))</f>
        <v>-16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1526.8467762474781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1413.7756673147305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0.78895523269747703</v>
      </c>
      <c r="R97" s="1">
        <v>82</v>
      </c>
      <c r="S97" s="1">
        <v>68</v>
      </c>
      <c r="T97" s="1">
        <v>0</v>
      </c>
      <c r="U97" s="1">
        <f>Games[[#This Row],[PointsFor]]-Games[[#This Row],[PointsAgainst]]</f>
        <v>14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0.44561922066544413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7.048718074578729</v>
      </c>
      <c r="AB97" s="4">
        <f>Games[[#This Row],[PreGmRate]]+Games[[#This Row],[RatingChange]]</f>
        <v>1533.8954943220569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39991</v>
      </c>
      <c r="B98" s="2">
        <v>2009</v>
      </c>
      <c r="C98" s="2">
        <f>COUNTIFS(Games[Team],Games[[#This Row],[Team]],Games[Season],Games[[#This Row],[Season]],Games[Date],"&lt;=" &amp; Games[[#This Row],[Date]])</f>
        <v>8</v>
      </c>
      <c r="D98" s="2" t="s">
        <v>23</v>
      </c>
      <c r="E98" s="2" t="s">
        <v>29</v>
      </c>
      <c r="F98" s="1" t="s">
        <v>65</v>
      </c>
      <c r="G98" s="1" t="s">
        <v>77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1494.8899591924887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1538.7770276397398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0.3238406622210051</v>
      </c>
      <c r="R98" s="1">
        <v>54</v>
      </c>
      <c r="S98" s="1">
        <v>63</v>
      </c>
      <c r="T98" s="1">
        <v>0</v>
      </c>
      <c r="U98" s="1">
        <f>Games[[#This Row],[PointsFor]]-Games[[#This Row],[PointsAgainst]]</f>
        <v>-9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0.39164795979816913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-9.4869987924591417</v>
      </c>
      <c r="AB98" s="4">
        <f>Games[[#This Row],[PreGmRate]]+Games[[#This Row],[RatingChange]]</f>
        <v>1485.4029604000295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39991</v>
      </c>
      <c r="B99" s="2">
        <v>2009</v>
      </c>
      <c r="C99" s="2">
        <f>COUNTIFS(Games[Team],Games[[#This Row],[Team]],Games[Season],Games[[#This Row],[Season]],Games[Date],"&lt;=" &amp; Games[[#This Row],[Date]])</f>
        <v>8</v>
      </c>
      <c r="D99" s="2" t="s">
        <v>23</v>
      </c>
      <c r="E99" s="2" t="s">
        <v>29</v>
      </c>
      <c r="F99" s="1" t="s">
        <v>77</v>
      </c>
      <c r="G99" s="1" t="s">
        <v>65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1538.7770276397398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1494.8899591924887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0.67615933777899495</v>
      </c>
      <c r="R99" s="1">
        <v>63</v>
      </c>
      <c r="S99" s="1">
        <v>54</v>
      </c>
      <c r="T99" s="1">
        <v>0</v>
      </c>
      <c r="U99" s="1">
        <f>Games[[#This Row],[PointsFor]]-Games[[#This Row],[PointsAgainst]]</f>
        <v>9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0.39164795979816913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9.4869987924591399</v>
      </c>
      <c r="AB99" s="4">
        <f>Games[[#This Row],[PreGmRate]]+Games[[#This Row],[RatingChange]]</f>
        <v>1548.264026432199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39991</v>
      </c>
      <c r="B100" s="2">
        <v>2009</v>
      </c>
      <c r="C100" s="2">
        <f>COUNTIFS(Games[Team],Games[[#This Row],[Team]],Games[Season],Games[[#This Row],[Season]],Games[Date],"&lt;=" &amp; Games[[#This Row],[Date]])</f>
        <v>10</v>
      </c>
      <c r="D100" s="2" t="s">
        <v>23</v>
      </c>
      <c r="E100" s="2" t="s">
        <v>29</v>
      </c>
      <c r="F100" s="1" t="s">
        <v>44</v>
      </c>
      <c r="G100" s="1" t="s">
        <v>75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0" s="2">
        <f>Games[[#This Row],[DaysOff]]-Games[[#This Row],[OppDaysOff]]</f>
        <v>-2</v>
      </c>
      <c r="L100" s="2">
        <f>Games[[#This Row],[OppDaysOff]]-Games[[#This Row],[DaysOff]]</f>
        <v>2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1541.4244736590224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1512.2591510461627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0.3775734325723859</v>
      </c>
      <c r="R100" s="1">
        <v>80</v>
      </c>
      <c r="S100" s="1">
        <v>109</v>
      </c>
      <c r="T100" s="1">
        <v>0</v>
      </c>
      <c r="U100" s="1">
        <f>Games[[#This Row],[PointsFor]]-Games[[#This Row],[PointsAgainst]]</f>
        <v>-29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0.67495846876769794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74.5</v>
      </c>
      <c r="Z100" s="4">
        <f>Games[[#This Row],[K]]*Games[[#This Row],[POMult]]</f>
        <v>74.5</v>
      </c>
      <c r="AA100" s="4">
        <f>(Games[[#This Row],[Keff]]*Games[[#This Row],[MOVMult]])*(Games[[#This Row],[Result]]-Games[[#This Row],[ExpectedWin%]])</f>
        <v>-18.986055749283381</v>
      </c>
      <c r="AB100" s="4">
        <f>Games[[#This Row],[PreGmRate]]+Games[[#This Row],[RatingChange]]</f>
        <v>1522.438417909739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39991</v>
      </c>
      <c r="B101" s="2">
        <v>2009</v>
      </c>
      <c r="C101" s="2">
        <f>COUNTIFS(Games[Team],Games[[#This Row],[Team]],Games[Season],Games[[#This Row],[Season]],Games[Date],"&lt;=" &amp; Games[[#This Row],[Date]])</f>
        <v>9</v>
      </c>
      <c r="D101" s="2" t="s">
        <v>23</v>
      </c>
      <c r="E101" s="2" t="s">
        <v>29</v>
      </c>
      <c r="F101" s="1" t="s">
        <v>75</v>
      </c>
      <c r="G101" s="1" t="s">
        <v>44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2</v>
      </c>
      <c r="L101" s="2">
        <f>Games[[#This Row],[OppDaysOff]]-Games[[#This Row],[DaysOff]]</f>
        <v>-2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1512.2591510461627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1541.4244736590224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0.62242656742761404</v>
      </c>
      <c r="R101" s="1">
        <v>109</v>
      </c>
      <c r="S101" s="1">
        <v>80</v>
      </c>
      <c r="T101" s="1">
        <v>0</v>
      </c>
      <c r="U101" s="1">
        <f>Games[[#This Row],[PointsFor]]-Games[[#This Row],[PointsAgainst]]</f>
        <v>29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0.67495846876769794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19.024282707167849</v>
      </c>
      <c r="AB101" s="4">
        <f>Games[[#This Row],[PreGmRate]]+Games[[#This Row],[RatingChange]]</f>
        <v>1531.2834337533307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39992</v>
      </c>
      <c r="B102" s="2">
        <v>2009</v>
      </c>
      <c r="C102" s="2">
        <f>COUNTIFS(Games[Team],Games[[#This Row],[Team]],Games[Season],Games[[#This Row],[Season]],Games[Date],"&lt;=" &amp; Games[[#This Row],[Date]])</f>
        <v>8</v>
      </c>
      <c r="D102" s="2" t="s">
        <v>23</v>
      </c>
      <c r="E102" s="2" t="s">
        <v>29</v>
      </c>
      <c r="F102" s="1" t="s">
        <v>45</v>
      </c>
      <c r="G102" s="1" t="s">
        <v>73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1450.3977261993616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1510.477464325242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0.3037741424132484</v>
      </c>
      <c r="R102" s="1">
        <v>72</v>
      </c>
      <c r="S102" s="1">
        <v>86</v>
      </c>
      <c r="T102" s="1">
        <v>0</v>
      </c>
      <c r="U102" s="1">
        <f>Games[[#This Row],[PointsFor]]-Games[[#This Row],[PointsAgainst]]</f>
        <v>-14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0.46435928341422766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-10.551313663190909</v>
      </c>
      <c r="AB102" s="4">
        <f>Games[[#This Row],[PreGmRate]]+Games[[#This Row],[RatingChange]]</f>
        <v>1439.8464125361706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39992</v>
      </c>
      <c r="B103" s="2">
        <v>2009</v>
      </c>
      <c r="C103" s="2">
        <f>COUNTIFS(Games[Team],Games[[#This Row],[Team]],Games[Season],Games[[#This Row],[Season]],Games[Date],"&lt;=" &amp; Games[[#This Row],[Date]])</f>
        <v>7</v>
      </c>
      <c r="D103" s="2" t="s">
        <v>23</v>
      </c>
      <c r="E103" s="2" t="s">
        <v>29</v>
      </c>
      <c r="F103" s="1" t="s">
        <v>73</v>
      </c>
      <c r="G103" s="1" t="s">
        <v>45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1510.477464325242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1450.3977261993616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0.6962258575867516</v>
      </c>
      <c r="R103" s="1">
        <v>86</v>
      </c>
      <c r="S103" s="1">
        <v>72</v>
      </c>
      <c r="T103" s="1">
        <v>0</v>
      </c>
      <c r="U103" s="1">
        <f>Games[[#This Row],[PointsFor]]-Games[[#This Row],[PointsAgainst]]</f>
        <v>14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0.46435928341422766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74.95</v>
      </c>
      <c r="Z103" s="4">
        <f>Games[[#This Row],[K]]*Games[[#This Row],[POMult]]</f>
        <v>74.95</v>
      </c>
      <c r="AA103" s="4">
        <f>(Games[[#This Row],[Keff]]*Games[[#This Row],[MOVMult]])*(Games[[#This Row],[Result]]-Games[[#This Row],[ExpectedWin%]])</f>
        <v>10.572472714654529</v>
      </c>
      <c r="AB103" s="4">
        <f>Games[[#This Row],[PreGmRate]]+Games[[#This Row],[RatingChange]]</f>
        <v>1521.0499370398966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39992</v>
      </c>
      <c r="B104" s="2">
        <v>2009</v>
      </c>
      <c r="C104" s="2">
        <f>COUNTIFS(Games[Team],Games[[#This Row],[Team]],Games[Season],Games[[#This Row],[Season]],Games[Date],"&lt;=" &amp; Games[[#This Row],[Date]])</f>
        <v>9</v>
      </c>
      <c r="D104" s="2" t="s">
        <v>23</v>
      </c>
      <c r="E104" s="2" t="s">
        <v>29</v>
      </c>
      <c r="F104" s="1" t="s">
        <v>79</v>
      </c>
      <c r="G104" s="1" t="s">
        <v>68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1591.9975504627992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1508.9900265722847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0.49857171595065891</v>
      </c>
      <c r="R104" s="1">
        <v>55</v>
      </c>
      <c r="S104" s="1">
        <v>82</v>
      </c>
      <c r="T104" s="1">
        <v>0</v>
      </c>
      <c r="U104" s="1">
        <f>Games[[#This Row],[PointsFor]]-Games[[#This Row],[PointsAgainst]]</f>
        <v>-27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0.6235349248569706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-23.206958900978492</v>
      </c>
      <c r="AB104" s="4">
        <f>Games[[#This Row],[PreGmRate]]+Games[[#This Row],[RatingChange]]</f>
        <v>1568.7905915618207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39992</v>
      </c>
      <c r="B105" s="2">
        <v>2009</v>
      </c>
      <c r="C105" s="2">
        <f>COUNTIFS(Games[Team],Games[[#This Row],[Team]],Games[Season],Games[[#This Row],[Season]],Games[Date],"&lt;=" &amp; Games[[#This Row],[Date]])</f>
        <v>8</v>
      </c>
      <c r="D105" s="2" t="s">
        <v>23</v>
      </c>
      <c r="E105" s="2" t="s">
        <v>29</v>
      </c>
      <c r="F105" s="1" t="s">
        <v>68</v>
      </c>
      <c r="G105" s="1" t="s">
        <v>79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1508.9900265722847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1591.9975504627992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0.50142828404934103</v>
      </c>
      <c r="R105" s="1">
        <v>82</v>
      </c>
      <c r="S105" s="1">
        <v>55</v>
      </c>
      <c r="T105" s="1">
        <v>0</v>
      </c>
      <c r="U105" s="1">
        <f>Games[[#This Row],[PointsFor]]-Games[[#This Row],[PointsAgainst]]</f>
        <v>27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0.6235349248569706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23.253590432594656</v>
      </c>
      <c r="AB105" s="4">
        <f>Games[[#This Row],[PreGmRate]]+Games[[#This Row],[RatingChange]]</f>
        <v>1532.2436170048793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39994</v>
      </c>
      <c r="B106" s="2">
        <v>2009</v>
      </c>
      <c r="C106" s="2">
        <f>COUNTIFS(Games[Team],Games[[#This Row],[Team]],Games[Season],Games[[#This Row],[Season]],Games[Date],"&lt;=" &amp; Games[[#This Row],[Date]])</f>
        <v>10</v>
      </c>
      <c r="D106" s="2" t="s">
        <v>23</v>
      </c>
      <c r="E106" s="2" t="s">
        <v>29</v>
      </c>
      <c r="F106" s="1" t="s">
        <v>75</v>
      </c>
      <c r="G106" s="1" t="s">
        <v>87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1531.2834337533307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1406.7551629215711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0.55806175684385528</v>
      </c>
      <c r="R106" s="1">
        <v>91</v>
      </c>
      <c r="S106" s="1">
        <v>85</v>
      </c>
      <c r="T106" s="1">
        <v>0</v>
      </c>
      <c r="U106" s="1">
        <f>Games[[#This Row],[PointsFor]]-Games[[#This Row],[PointsAgainst]]</f>
        <v>6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0.31825437221092978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74.5</v>
      </c>
      <c r="Z106" s="4">
        <f>Games[[#This Row],[K]]*Games[[#This Row],[POMult]]</f>
        <v>74.5</v>
      </c>
      <c r="AA106" s="4">
        <f>(Games[[#This Row],[Keff]]*Games[[#This Row],[MOVMult]])*(Games[[#This Row],[Result]]-Games[[#This Row],[ExpectedWin%]])</f>
        <v>10.478333970808675</v>
      </c>
      <c r="AB106" s="4">
        <f>Games[[#This Row],[PreGmRate]]+Games[[#This Row],[RatingChange]]</f>
        <v>1541.7617677241394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39994</v>
      </c>
      <c r="B107" s="2">
        <v>2009</v>
      </c>
      <c r="C107" s="2">
        <f>COUNTIFS(Games[Team],Games[[#This Row],[Team]],Games[Season],Games[[#This Row],[Season]],Games[Date],"&lt;=" &amp; Games[[#This Row],[Date]])</f>
        <v>10</v>
      </c>
      <c r="D107" s="2" t="s">
        <v>23</v>
      </c>
      <c r="E107" s="2" t="s">
        <v>29</v>
      </c>
      <c r="F107" s="1" t="s">
        <v>87</v>
      </c>
      <c r="G107" s="1" t="s">
        <v>75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1406.7551629215711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1531.2834337533307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0.44193824315614472</v>
      </c>
      <c r="R107" s="1">
        <v>85</v>
      </c>
      <c r="S107" s="1">
        <v>91</v>
      </c>
      <c r="T107" s="1">
        <v>0</v>
      </c>
      <c r="U107" s="1">
        <f>Games[[#This Row],[PointsFor]]-Games[[#This Row],[PointsAgainst]]</f>
        <v>-6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0.31825437221092978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74.5</v>
      </c>
      <c r="Z107" s="4">
        <f>Games[[#This Row],[K]]*Games[[#This Row],[POMult]]</f>
        <v>74.5</v>
      </c>
      <c r="AA107" s="4">
        <f>(Games[[#This Row],[Keff]]*Games[[#This Row],[MOVMult]])*(Games[[#This Row],[Result]]-Games[[#This Row],[ExpectedWin%]])</f>
        <v>-10.478333970808675</v>
      </c>
      <c r="AB107" s="4">
        <f>Games[[#This Row],[PreGmRate]]+Games[[#This Row],[RatingChange]]</f>
        <v>1396.2768289507624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39994</v>
      </c>
      <c r="B108" s="2">
        <v>2009</v>
      </c>
      <c r="C108" s="2">
        <f>COUNTIFS(Games[Team],Games[[#This Row],[Team]],Games[Season],Games[[#This Row],[Season]],Games[Date],"&lt;=" &amp; Games[[#This Row],[Date]])</f>
        <v>9</v>
      </c>
      <c r="D108" s="2" t="s">
        <v>23</v>
      </c>
      <c r="E108" s="2" t="s">
        <v>29</v>
      </c>
      <c r="F108" s="1" t="s">
        <v>45</v>
      </c>
      <c r="G108" s="1" t="s">
        <v>85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8" s="2">
        <f>Games[[#This Row],[DaysOff]]-Games[[#This Row],[OppDaysOff]]</f>
        <v>-1</v>
      </c>
      <c r="L108" s="2">
        <f>Games[[#This Row],[OppDaysOff]]-Games[[#This Row],[DaysOff]]</f>
        <v>1</v>
      </c>
      <c r="M108" s="1">
        <f>MAX(-16, MIN(16, Games[[#This Row],[RestDiff]]*8))</f>
        <v>-8</v>
      </c>
      <c r="N108" s="1">
        <f>MAX(-16, MIN(16, Games[[#This Row],[OppRestDiff]]*8))</f>
        <v>8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1439.8464125361706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1465.971686522669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0.32606532517451836</v>
      </c>
      <c r="R108" s="1">
        <v>72</v>
      </c>
      <c r="S108" s="1">
        <v>74</v>
      </c>
      <c r="T108" s="1">
        <v>0</v>
      </c>
      <c r="U108" s="1">
        <f>Games[[#This Row],[PointsFor]]-Games[[#This Row],[PointsAgainst]]</f>
        <v>-2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0.26213437712331433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-6.3805542928893519</v>
      </c>
      <c r="AB108" s="4">
        <f>Games[[#This Row],[PreGmRate]]+Games[[#This Row],[RatingChange]]</f>
        <v>1433.4658582432812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39994</v>
      </c>
      <c r="B109" s="2">
        <v>2009</v>
      </c>
      <c r="C109" s="2">
        <f>COUNTIFS(Games[Team],Games[[#This Row],[Team]],Games[Season],Games[[#This Row],[Season]],Games[Date],"&lt;=" &amp; Games[[#This Row],[Date]])</f>
        <v>9</v>
      </c>
      <c r="D109" s="2" t="s">
        <v>23</v>
      </c>
      <c r="E109" s="2" t="s">
        <v>29</v>
      </c>
      <c r="F109" s="1" t="s">
        <v>85</v>
      </c>
      <c r="G109" s="1" t="s">
        <v>45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1</v>
      </c>
      <c r="L109" s="2">
        <f>Games[[#This Row],[OppDaysOff]]-Games[[#This Row],[DaysOff]]</f>
        <v>-1</v>
      </c>
      <c r="M109" s="1">
        <f>MAX(-16, MIN(16, Games[[#This Row],[RestDiff]]*8))</f>
        <v>8</v>
      </c>
      <c r="N109" s="1">
        <f>MAX(-16, MIN(16, Games[[#This Row],[OppRestDiff]]*8))</f>
        <v>-8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1465.971686522669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1439.8464125361706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0.67393467482548164</v>
      </c>
      <c r="R109" s="1">
        <v>74</v>
      </c>
      <c r="S109" s="1">
        <v>72</v>
      </c>
      <c r="T109" s="1">
        <v>0</v>
      </c>
      <c r="U109" s="1">
        <f>Games[[#This Row],[PointsFor]]-Games[[#This Row],[PointsAgainst]]</f>
        <v>2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0.26213437712331433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6.3805542928893519</v>
      </c>
      <c r="AB109" s="4">
        <f>Games[[#This Row],[PreGmRate]]+Games[[#This Row],[RatingChange]]</f>
        <v>1472.3522408155584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39994</v>
      </c>
      <c r="B110" s="2">
        <v>2009</v>
      </c>
      <c r="C110" s="2">
        <f>COUNTIFS(Games[Team],Games[[#This Row],[Team]],Games[Season],Games[[#This Row],[Season]],Games[Date],"&lt;=" &amp; Games[[#This Row],[Date]])</f>
        <v>8</v>
      </c>
      <c r="D110" s="2" t="s">
        <v>23</v>
      </c>
      <c r="E110" s="2" t="s">
        <v>29</v>
      </c>
      <c r="F110" s="1" t="s">
        <v>71</v>
      </c>
      <c r="G110" s="1" t="s">
        <v>82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0" s="2">
        <f>Games[[#This Row],[DaysOff]]-Games[[#This Row],[OppDaysOff]]</f>
        <v>-1</v>
      </c>
      <c r="L110" s="2">
        <f>Games[[#This Row],[OppDaysOff]]-Games[[#This Row],[DaysOff]]</f>
        <v>1</v>
      </c>
      <c r="M110" s="1">
        <f>MAX(-16, MIN(16, Games[[#This Row],[RestDiff]]*8))</f>
        <v>-8</v>
      </c>
      <c r="N110" s="1">
        <f>MAX(-16, MIN(16, Games[[#This Row],[OppRestDiff]]*8))</f>
        <v>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1442.4522551662781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1518.9953410591431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0.26575582618699228</v>
      </c>
      <c r="R110" s="1">
        <v>84</v>
      </c>
      <c r="S110" s="1">
        <v>82</v>
      </c>
      <c r="T110" s="1">
        <v>0</v>
      </c>
      <c r="U110" s="1">
        <f>Games[[#This Row],[PointsFor]]-Games[[#This Row],[PointsAgainst]]</f>
        <v>2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0.25178122738160236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74.8</v>
      </c>
      <c r="Z110" s="4">
        <f>Games[[#This Row],[K]]*Games[[#This Row],[POMult]]</f>
        <v>74.8</v>
      </c>
      <c r="AA110" s="4">
        <f>(Games[[#This Row],[Keff]]*Games[[#This Row],[MOVMult]])*(Games[[#This Row],[Result]]-Games[[#This Row],[ExpectedWin%]])</f>
        <v>13.828193666176135</v>
      </c>
      <c r="AB110" s="4">
        <f>Games[[#This Row],[PreGmRate]]+Games[[#This Row],[RatingChange]]</f>
        <v>1456.2804488324541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39994</v>
      </c>
      <c r="B111" s="2">
        <v>2009</v>
      </c>
      <c r="C111" s="2">
        <f>COUNTIFS(Games[Team],Games[[#This Row],[Team]],Games[Season],Games[[#This Row],[Season]],Games[Date],"&lt;=" &amp; Games[[#This Row],[Date]])</f>
        <v>7</v>
      </c>
      <c r="D111" s="2" t="s">
        <v>23</v>
      </c>
      <c r="E111" s="2" t="s">
        <v>29</v>
      </c>
      <c r="F111" s="1" t="s">
        <v>82</v>
      </c>
      <c r="G111" s="1" t="s">
        <v>71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1" s="2">
        <f>Games[[#This Row],[DaysOff]]-Games[[#This Row],[OppDaysOff]]</f>
        <v>1</v>
      </c>
      <c r="L111" s="2">
        <f>Games[[#This Row],[OppDaysOff]]-Games[[#This Row],[DaysOff]]</f>
        <v>-1</v>
      </c>
      <c r="M111" s="1">
        <f>MAX(-16, MIN(16, Games[[#This Row],[RestDiff]]*8))</f>
        <v>8</v>
      </c>
      <c r="N111" s="1">
        <f>MAX(-16, MIN(16, Games[[#This Row],[OppRestDiff]]*8))</f>
        <v>-8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1518.9953410591431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1442.4522551662781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0.73424417381300777</v>
      </c>
      <c r="R111" s="1">
        <v>82</v>
      </c>
      <c r="S111" s="1">
        <v>84</v>
      </c>
      <c r="T111" s="1">
        <v>0</v>
      </c>
      <c r="U111" s="1">
        <f>Games[[#This Row],[PointsFor]]-Games[[#This Row],[PointsAgainst]]</f>
        <v>-2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0.25178122738160236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74.95</v>
      </c>
      <c r="Z111" s="4">
        <f>Games[[#This Row],[K]]*Games[[#This Row],[POMult]]</f>
        <v>74.95</v>
      </c>
      <c r="AA111" s="4">
        <f>(Games[[#This Row],[Keff]]*Games[[#This Row],[MOVMult]])*(Games[[#This Row],[Result]]-Games[[#This Row],[ExpectedWin%]])</f>
        <v>-13.855924001068203</v>
      </c>
      <c r="AB111" s="4">
        <f>Games[[#This Row],[PreGmRate]]+Games[[#This Row],[RatingChange]]</f>
        <v>1505.139417058075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39995</v>
      </c>
      <c r="B112" s="2">
        <v>2009</v>
      </c>
      <c r="C112" s="2">
        <f>COUNTIFS(Games[Team],Games[[#This Row],[Team]],Games[Season],Games[[#This Row],[Season]],Games[Date],"&lt;=" &amp; Games[[#This Row],[Date]])</f>
        <v>10</v>
      </c>
      <c r="D112" s="2" t="s">
        <v>23</v>
      </c>
      <c r="E112" s="2" t="s">
        <v>29</v>
      </c>
      <c r="F112" s="1" t="s">
        <v>79</v>
      </c>
      <c r="G112" s="1" t="s">
        <v>44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2" s="2">
        <f>Games[[#This Row],[DaysOff]]-Games[[#This Row],[OppDaysOff]]</f>
        <v>-1</v>
      </c>
      <c r="L112" s="2">
        <f>Games[[#This Row],[OppDaysOff]]-Games[[#This Row],[DaysOff]]</f>
        <v>1</v>
      </c>
      <c r="M112" s="1">
        <f>MAX(-16, MIN(16, Games[[#This Row],[RestDiff]]*8))</f>
        <v>-8</v>
      </c>
      <c r="N112" s="1">
        <f>MAX(-16, MIN(16, Games[[#This Row],[OppRestDiff]]*8))</f>
        <v>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1568.7905915618207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1522.438417909739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0.42340237137072484</v>
      </c>
      <c r="R112" s="1">
        <v>81</v>
      </c>
      <c r="S112" s="1">
        <v>93</v>
      </c>
      <c r="T112" s="1">
        <v>0</v>
      </c>
      <c r="U112" s="1">
        <f>Games[[#This Row],[PointsFor]]-Games[[#This Row],[PointsAgainst]]</f>
        <v>-12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0.43916586600718094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-13.852818247392623</v>
      </c>
      <c r="AB112" s="4">
        <f>Games[[#This Row],[PreGmRate]]+Games[[#This Row],[RatingChange]]</f>
        <v>1554.9377733144281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39995</v>
      </c>
      <c r="B113" s="2">
        <v>2009</v>
      </c>
      <c r="C113" s="2">
        <f>COUNTIFS(Games[Team],Games[[#This Row],[Team]],Games[Season],Games[[#This Row],[Season]],Games[Date],"&lt;=" &amp; Games[[#This Row],[Date]])</f>
        <v>11</v>
      </c>
      <c r="D113" s="2" t="s">
        <v>23</v>
      </c>
      <c r="E113" s="2" t="s">
        <v>29</v>
      </c>
      <c r="F113" s="1" t="s">
        <v>44</v>
      </c>
      <c r="G113" s="1" t="s">
        <v>79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3" s="2">
        <f>Games[[#This Row],[DaysOff]]-Games[[#This Row],[OppDaysOff]]</f>
        <v>1</v>
      </c>
      <c r="L113" s="2">
        <f>Games[[#This Row],[OppDaysOff]]-Games[[#This Row],[DaysOff]]</f>
        <v>-1</v>
      </c>
      <c r="M113" s="1">
        <f>MAX(-16, MIN(16, Games[[#This Row],[RestDiff]]*8))</f>
        <v>8</v>
      </c>
      <c r="N113" s="1">
        <f>MAX(-16, MIN(16, Games[[#This Row],[OppRestDiff]]*8))</f>
        <v>-8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1522.438417909739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1568.7905915618207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0.57659762862927522</v>
      </c>
      <c r="R113" s="1">
        <v>93</v>
      </c>
      <c r="S113" s="1">
        <v>81</v>
      </c>
      <c r="T113" s="1">
        <v>0</v>
      </c>
      <c r="U113" s="1">
        <f>Games[[#This Row],[PointsFor]]-Games[[#This Row],[PointsAgainst]]</f>
        <v>12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0.43916586600718094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74.349999999999994</v>
      </c>
      <c r="Z113" s="4">
        <f>Games[[#This Row],[K]]*Games[[#This Row],[POMult]]</f>
        <v>74.349999999999994</v>
      </c>
      <c r="AA113" s="4">
        <f>(Games[[#This Row],[Keff]]*Games[[#This Row],[MOVMult]])*(Games[[#This Row],[Result]]-Games[[#This Row],[ExpectedWin%]])</f>
        <v>13.824926667028741</v>
      </c>
      <c r="AB113" s="4">
        <f>Games[[#This Row],[PreGmRate]]+Games[[#This Row],[RatingChange]]</f>
        <v>1536.2633445767676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39996</v>
      </c>
      <c r="B114" s="2">
        <v>2009</v>
      </c>
      <c r="C114" s="2">
        <f>COUNTIFS(Games[Team],Games[[#This Row],[Team]],Games[Season],Games[[#This Row],[Season]],Games[Date],"&lt;=" &amp; Games[[#This Row],[Date]])</f>
        <v>8</v>
      </c>
      <c r="D114" s="2" t="s">
        <v>23</v>
      </c>
      <c r="E114" s="2" t="s">
        <v>29</v>
      </c>
      <c r="F114" s="1" t="s">
        <v>84</v>
      </c>
      <c r="G114" s="1" t="s">
        <v>77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1533.8954943220569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1548.264026432199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0.3621014610498644</v>
      </c>
      <c r="R114" s="1">
        <v>53</v>
      </c>
      <c r="S114" s="1">
        <v>67</v>
      </c>
      <c r="T114" s="1">
        <v>0</v>
      </c>
      <c r="U114" s="1">
        <f>Games[[#This Row],[PointsFor]]-Games[[#This Row],[PointsAgainst]]</f>
        <v>-14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0.48183867480835779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74.8</v>
      </c>
      <c r="Z114" s="4">
        <f>Games[[#This Row],[K]]*Games[[#This Row],[POMult]]</f>
        <v>74.8</v>
      </c>
      <c r="AA114" s="4">
        <f>(Games[[#This Row],[Keff]]*Games[[#This Row],[MOVMult]])*(Games[[#This Row],[Result]]-Games[[#This Row],[ExpectedWin%]])</f>
        <v>-13.050691712755077</v>
      </c>
      <c r="AB114" s="4">
        <f>Games[[#This Row],[PreGmRate]]+Games[[#This Row],[RatingChange]]</f>
        <v>1520.844802609302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39996</v>
      </c>
      <c r="B115" s="2">
        <v>2009</v>
      </c>
      <c r="C115" s="2">
        <f>COUNTIFS(Games[Team],Games[[#This Row],[Team]],Games[Season],Games[[#This Row],[Season]],Games[Date],"&lt;=" &amp; Games[[#This Row],[Date]])</f>
        <v>9</v>
      </c>
      <c r="D115" s="2" t="s">
        <v>23</v>
      </c>
      <c r="E115" s="2" t="s">
        <v>29</v>
      </c>
      <c r="F115" s="1" t="s">
        <v>77</v>
      </c>
      <c r="G115" s="1" t="s">
        <v>84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1548.264026432199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1533.8954943220569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0.63789853895013571</v>
      </c>
      <c r="R115" s="1">
        <v>67</v>
      </c>
      <c r="S115" s="1">
        <v>53</v>
      </c>
      <c r="T115" s="1">
        <v>0</v>
      </c>
      <c r="U115" s="1">
        <f>Games[[#This Row],[PointsFor]]-Games[[#This Row],[PointsAgainst]]</f>
        <v>14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0.48183867480835779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13.024520539534308</v>
      </c>
      <c r="AB115" s="4">
        <f>Games[[#This Row],[PreGmRate]]+Games[[#This Row],[RatingChange]]</f>
        <v>1561.2885469717332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39996</v>
      </c>
      <c r="B116" s="2">
        <v>2009</v>
      </c>
      <c r="C116" s="2">
        <f>COUNTIFS(Games[Team],Games[[#This Row],[Team]],Games[Season],Games[[#This Row],[Season]],Games[Date],"&lt;=" &amp; Games[[#This Row],[Date]])</f>
        <v>10</v>
      </c>
      <c r="D116" s="2" t="s">
        <v>23</v>
      </c>
      <c r="E116" s="2" t="s">
        <v>29</v>
      </c>
      <c r="F116" s="1" t="s">
        <v>45</v>
      </c>
      <c r="G116" s="1" t="s">
        <v>75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1433.4658582432812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1541.7617677241394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0.2484410161367471</v>
      </c>
      <c r="R116" s="1">
        <v>74</v>
      </c>
      <c r="S116" s="1">
        <v>68</v>
      </c>
      <c r="T116" s="1">
        <v>0</v>
      </c>
      <c r="U116" s="1">
        <f>Games[[#This Row],[PointsFor]]-Games[[#This Row],[PointsAgainst]]</f>
        <v>6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0.32220303545583889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18.040516651401024</v>
      </c>
      <c r="AB116" s="4">
        <f>Games[[#This Row],[PreGmRate]]+Games[[#This Row],[RatingChange]]</f>
        <v>1451.5063748946823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39996</v>
      </c>
      <c r="B117" s="2">
        <v>2009</v>
      </c>
      <c r="C117" s="2">
        <f>COUNTIFS(Games[Team],Games[[#This Row],[Team]],Games[Season],Games[[#This Row],[Season]],Games[Date],"&lt;=" &amp; Games[[#This Row],[Date]])</f>
        <v>11</v>
      </c>
      <c r="D117" s="2" t="s">
        <v>23</v>
      </c>
      <c r="E117" s="2" t="s">
        <v>29</v>
      </c>
      <c r="F117" s="1" t="s">
        <v>75</v>
      </c>
      <c r="G117" s="1" t="s">
        <v>45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1541.7617677241394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1433.4658582432812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0.75155898386325304</v>
      </c>
      <c r="R117" s="1">
        <v>68</v>
      </c>
      <c r="S117" s="1">
        <v>74</v>
      </c>
      <c r="T117" s="1">
        <v>0</v>
      </c>
      <c r="U117" s="1">
        <f>Games[[#This Row],[PointsFor]]-Games[[#This Row],[PointsAgainst]]</f>
        <v>-6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0.32220303545583889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-18.004193463512298</v>
      </c>
      <c r="AB117" s="4">
        <f>Games[[#This Row],[PreGmRate]]+Games[[#This Row],[RatingChange]]</f>
        <v>1523.7575742606271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39996</v>
      </c>
      <c r="B118" s="2">
        <v>2009</v>
      </c>
      <c r="C118" s="2">
        <f>COUNTIFS(Games[Team],Games[[#This Row],[Team]],Games[Season],Games[[#This Row],[Season]],Games[Date],"&lt;=" &amp; Games[[#This Row],[Date]])</f>
        <v>8</v>
      </c>
      <c r="D118" s="2" t="s">
        <v>23</v>
      </c>
      <c r="E118" s="2" t="s">
        <v>29</v>
      </c>
      <c r="F118" s="1" t="s">
        <v>73</v>
      </c>
      <c r="G118" s="1" t="s">
        <v>65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8" s="2">
        <f>Games[[#This Row],[DaysOff]]-Games[[#This Row],[OppDaysOff]]</f>
        <v>-1</v>
      </c>
      <c r="L118" s="2">
        <f>Games[[#This Row],[OppDaysOff]]-Games[[#This Row],[DaysOff]]</f>
        <v>1</v>
      </c>
      <c r="M118" s="1">
        <f>MAX(-16, MIN(16, Games[[#This Row],[RestDiff]]*8))</f>
        <v>-8</v>
      </c>
      <c r="N118" s="1">
        <f>MAX(-16, MIN(16, Games[[#This Row],[OppRestDiff]]*8))</f>
        <v>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1521.0499370398966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1485.4029604000295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0.40843330962837654</v>
      </c>
      <c r="R118" s="1">
        <v>64</v>
      </c>
      <c r="S118" s="1">
        <v>80</v>
      </c>
      <c r="T118" s="1">
        <v>0</v>
      </c>
      <c r="U118" s="1">
        <f>Games[[#This Row],[PointsFor]]-Games[[#This Row],[PointsAgainst]]</f>
        <v>-16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0.50284850809550163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74.8</v>
      </c>
      <c r="Z118" s="4">
        <f>Games[[#This Row],[K]]*Games[[#This Row],[POMult]]</f>
        <v>74.8</v>
      </c>
      <c r="AA118" s="4">
        <f>(Games[[#This Row],[Keff]]*Games[[#This Row],[MOVMult]])*(Games[[#This Row],[Result]]-Games[[#This Row],[ExpectedWin%]])</f>
        <v>-15.362430014154665</v>
      </c>
      <c r="AB118" s="4">
        <f>Games[[#This Row],[PreGmRate]]+Games[[#This Row],[RatingChange]]</f>
        <v>1505.687507025742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39996</v>
      </c>
      <c r="B119" s="2">
        <v>2009</v>
      </c>
      <c r="C119" s="2">
        <f>COUNTIFS(Games[Team],Games[[#This Row],[Team]],Games[Season],Games[[#This Row],[Season]],Games[Date],"&lt;=" &amp; Games[[#This Row],[Date]])</f>
        <v>9</v>
      </c>
      <c r="D119" s="2" t="s">
        <v>23</v>
      </c>
      <c r="E119" s="2" t="s">
        <v>29</v>
      </c>
      <c r="F119" s="1" t="s">
        <v>65</v>
      </c>
      <c r="G119" s="1" t="s">
        <v>73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9" s="2">
        <f>Games[[#This Row],[DaysOff]]-Games[[#This Row],[OppDaysOff]]</f>
        <v>1</v>
      </c>
      <c r="L119" s="2">
        <f>Games[[#This Row],[OppDaysOff]]-Games[[#This Row],[DaysOff]]</f>
        <v>-1</v>
      </c>
      <c r="M119" s="1">
        <f>MAX(-16, MIN(16, Games[[#This Row],[RestDiff]]*8))</f>
        <v>8</v>
      </c>
      <c r="N119" s="1">
        <f>MAX(-16, MIN(16, Games[[#This Row],[OppRestDiff]]*8))</f>
        <v>-8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1485.4029604000295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1521.0499370398966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0.59156669037162346</v>
      </c>
      <c r="R119" s="1">
        <v>80</v>
      </c>
      <c r="S119" s="1">
        <v>64</v>
      </c>
      <c r="T119" s="1">
        <v>0</v>
      </c>
      <c r="U119" s="1">
        <f>Games[[#This Row],[PointsFor]]-Games[[#This Row],[PointsAgainst]]</f>
        <v>16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0.50284850809550163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74.650000000000006</v>
      </c>
      <c r="Z119" s="4">
        <f>Games[[#This Row],[K]]*Games[[#This Row],[POMult]]</f>
        <v>74.650000000000006</v>
      </c>
      <c r="AA119" s="4">
        <f>(Games[[#This Row],[Keff]]*Games[[#This Row],[MOVMult]])*(Games[[#This Row],[Result]]-Games[[#This Row],[ExpectedWin%]])</f>
        <v>15.331623002094195</v>
      </c>
      <c r="AB119" s="4">
        <f>Games[[#This Row],[PreGmRate]]+Games[[#This Row],[RatingChange]]</f>
        <v>1500.7345834021237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39997</v>
      </c>
      <c r="B120" s="2">
        <v>2009</v>
      </c>
      <c r="C120" s="2">
        <f>COUNTIFS(Games[Team],Games[[#This Row],[Team]],Games[Season],Games[[#This Row],[Season]],Games[Date],"&lt;=" &amp; Games[[#This Row],[Date]])</f>
        <v>9</v>
      </c>
      <c r="D120" s="2" t="s">
        <v>23</v>
      </c>
      <c r="E120" s="2" t="s">
        <v>29</v>
      </c>
      <c r="F120" s="1" t="s">
        <v>71</v>
      </c>
      <c r="G120" s="1" t="s">
        <v>87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1456.2804488324541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1396.2768289507624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0.46552123992639727</v>
      </c>
      <c r="R120" s="1">
        <v>65</v>
      </c>
      <c r="S120" s="1">
        <v>72</v>
      </c>
      <c r="T120" s="1">
        <v>0</v>
      </c>
      <c r="U120" s="1">
        <f>Games[[#This Row],[PointsFor]]-Games[[#This Row],[PointsAgainst]]</f>
        <v>-7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0.35248200876302682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74.650000000000006</v>
      </c>
      <c r="Z120" s="4">
        <f>Games[[#This Row],[K]]*Games[[#This Row],[POMult]]</f>
        <v>74.650000000000006</v>
      </c>
      <c r="AA120" s="4">
        <f>(Games[[#This Row],[Keff]]*Games[[#This Row],[MOVMult]])*(Games[[#This Row],[Result]]-Games[[#This Row],[ExpectedWin%]])</f>
        <v>-12.249158881213473</v>
      </c>
      <c r="AB120" s="4">
        <f>Games[[#This Row],[PreGmRate]]+Games[[#This Row],[RatingChange]]</f>
        <v>1444.0312899512408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39997</v>
      </c>
      <c r="B121" s="2">
        <v>2009</v>
      </c>
      <c r="C121" s="2">
        <f>COUNTIFS(Games[Team],Games[[#This Row],[Team]],Games[Season],Games[[#This Row],[Season]],Games[Date],"&lt;=" &amp; Games[[#This Row],[Date]])</f>
        <v>11</v>
      </c>
      <c r="D121" s="2" t="s">
        <v>23</v>
      </c>
      <c r="E121" s="2" t="s">
        <v>29</v>
      </c>
      <c r="F121" s="1" t="s">
        <v>87</v>
      </c>
      <c r="G121" s="1" t="s">
        <v>71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1396.2768289507624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1456.2804488324541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0.53447876007360273</v>
      </c>
      <c r="R121" s="1">
        <v>72</v>
      </c>
      <c r="S121" s="1">
        <v>65</v>
      </c>
      <c r="T121" s="1">
        <v>0</v>
      </c>
      <c r="U121" s="1">
        <f>Games[[#This Row],[PointsFor]]-Games[[#This Row],[PointsAgainst]]</f>
        <v>7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0.35248200876302682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74.349999999999994</v>
      </c>
      <c r="Z121" s="4">
        <f>Games[[#This Row],[K]]*Games[[#This Row],[POMult]]</f>
        <v>74.349999999999994</v>
      </c>
      <c r="AA121" s="4">
        <f>(Games[[#This Row],[Keff]]*Games[[#This Row],[MOVMult]])*(Games[[#This Row],[Result]]-Games[[#This Row],[ExpectedWin%]])</f>
        <v>12.199932522682136</v>
      </c>
      <c r="AB121" s="4">
        <f>Games[[#This Row],[PreGmRate]]+Games[[#This Row],[RatingChange]]</f>
        <v>1408.4767614734444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39997</v>
      </c>
      <c r="B122" s="2">
        <v>2009</v>
      </c>
      <c r="C122" s="2">
        <f>COUNTIFS(Games[Team],Games[[#This Row],[Team]],Games[Season],Games[[#This Row],[Season]],Games[Date],"&lt;=" &amp; Games[[#This Row],[Date]])</f>
        <v>10</v>
      </c>
      <c r="D122" s="2" t="s">
        <v>23</v>
      </c>
      <c r="E122" s="2" t="s">
        <v>29</v>
      </c>
      <c r="F122" s="1" t="s">
        <v>85</v>
      </c>
      <c r="G122" s="1" t="s">
        <v>82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1472.3522408155584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1505.139417058075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0.33798626885323046</v>
      </c>
      <c r="R122" s="1">
        <v>72</v>
      </c>
      <c r="S122" s="1">
        <v>85</v>
      </c>
      <c r="T122" s="1">
        <v>0</v>
      </c>
      <c r="U122" s="1">
        <f>Games[[#This Row],[PointsFor]]-Games[[#This Row],[PointsAgainst]]</f>
        <v>-13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0.45948929198263111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-11.569929817454044</v>
      </c>
      <c r="AB122" s="4">
        <f>Games[[#This Row],[PreGmRate]]+Games[[#This Row],[RatingChange]]</f>
        <v>1460.7823109981043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39997</v>
      </c>
      <c r="B123" s="2">
        <v>2009</v>
      </c>
      <c r="C123" s="2">
        <f>COUNTIFS(Games[Team],Games[[#This Row],[Team]],Games[Season],Games[[#This Row],[Season]],Games[Date],"&lt;=" &amp; Games[[#This Row],[Date]])</f>
        <v>8</v>
      </c>
      <c r="D123" s="2" t="s">
        <v>23</v>
      </c>
      <c r="E123" s="2" t="s">
        <v>29</v>
      </c>
      <c r="F123" s="1" t="s">
        <v>82</v>
      </c>
      <c r="G123" s="1" t="s">
        <v>85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1505.139417058075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1472.3522408155584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0.66201373114676954</v>
      </c>
      <c r="R123" s="1">
        <v>85</v>
      </c>
      <c r="S123" s="1">
        <v>72</v>
      </c>
      <c r="T123" s="1">
        <v>0</v>
      </c>
      <c r="U123" s="1">
        <f>Games[[#This Row],[PointsFor]]-Games[[#This Row],[PointsAgainst]]</f>
        <v>13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0.45948929198263111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74.8</v>
      </c>
      <c r="Z123" s="4">
        <f>Games[[#This Row],[K]]*Games[[#This Row],[POMult]]</f>
        <v>74.8</v>
      </c>
      <c r="AA123" s="4">
        <f>(Games[[#This Row],[Keff]]*Games[[#This Row],[MOVMult]])*(Games[[#This Row],[Result]]-Games[[#This Row],[ExpectedWin%]])</f>
        <v>11.61652013886661</v>
      </c>
      <c r="AB123" s="4">
        <f>Games[[#This Row],[PreGmRate]]+Games[[#This Row],[RatingChange]]</f>
        <v>1516.7559371969417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39999</v>
      </c>
      <c r="B124" s="2">
        <v>2009</v>
      </c>
      <c r="C124" s="2">
        <f>COUNTIFS(Games[Team],Games[[#This Row],[Team]],Games[Season],Games[[#This Row],[Season]],Games[Date],"&lt;=" &amp; Games[[#This Row],[Date]])</f>
        <v>9</v>
      </c>
      <c r="D124" s="2" t="s">
        <v>23</v>
      </c>
      <c r="E124" s="2" t="s">
        <v>29</v>
      </c>
      <c r="F124" s="1" t="s">
        <v>84</v>
      </c>
      <c r="G124" s="1" t="s">
        <v>73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1520.844802609302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1505.687507025742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0.40220392153606799</v>
      </c>
      <c r="R124" s="1">
        <v>95</v>
      </c>
      <c r="S124" s="1">
        <v>92</v>
      </c>
      <c r="T124" s="1">
        <v>1</v>
      </c>
      <c r="U124" s="1">
        <f>Games[[#This Row],[PointsFor]]-Games[[#This Row],[PointsAgainst]]</f>
        <v>3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0.25790751857857236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74.650000000000006</v>
      </c>
      <c r="Z124" s="4">
        <f>Games[[#This Row],[K]]*Games[[#This Row],[POMult]]</f>
        <v>74.650000000000006</v>
      </c>
      <c r="AA124" s="4">
        <f>(Games[[#This Row],[Keff]]*Games[[#This Row],[MOVMult]])*(Games[[#This Row],[Result]]-Games[[#This Row],[ExpectedWin%]])</f>
        <v>11.509246104823147</v>
      </c>
      <c r="AB124" s="4">
        <f>Games[[#This Row],[PreGmRate]]+Games[[#This Row],[RatingChange]]</f>
        <v>1532.3540487141252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39999</v>
      </c>
      <c r="B125" s="2">
        <v>2009</v>
      </c>
      <c r="C125" s="2">
        <f>COUNTIFS(Games[Team],Games[[#This Row],[Team]],Games[Season],Games[[#This Row],[Season]],Games[Date],"&lt;=" &amp; Games[[#This Row],[Date]])</f>
        <v>9</v>
      </c>
      <c r="D125" s="2" t="s">
        <v>23</v>
      </c>
      <c r="E125" s="2" t="s">
        <v>29</v>
      </c>
      <c r="F125" s="1" t="s">
        <v>73</v>
      </c>
      <c r="G125" s="1" t="s">
        <v>84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1505.687507025742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1520.844802609302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0.59779607846393212</v>
      </c>
      <c r="R125" s="1">
        <v>92</v>
      </c>
      <c r="S125" s="1">
        <v>95</v>
      </c>
      <c r="T125" s="1">
        <v>1</v>
      </c>
      <c r="U125" s="1">
        <f>Games[[#This Row],[PointsFor]]-Games[[#This Row],[PointsAgainst]]</f>
        <v>-3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0.25790751857857236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74.650000000000006</v>
      </c>
      <c r="Z125" s="4">
        <f>Games[[#This Row],[K]]*Games[[#This Row],[POMult]]</f>
        <v>74.650000000000006</v>
      </c>
      <c r="AA125" s="4">
        <f>(Games[[#This Row],[Keff]]*Games[[#This Row],[MOVMult]])*(Games[[#This Row],[Result]]-Games[[#This Row],[ExpectedWin%]])</f>
        <v>-11.509246104823148</v>
      </c>
      <c r="AB125" s="4">
        <f>Games[[#This Row],[PreGmRate]]+Games[[#This Row],[RatingChange]]</f>
        <v>1494.1782609209188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39999</v>
      </c>
      <c r="B126" s="2">
        <v>2009</v>
      </c>
      <c r="C126" s="2">
        <f>COUNTIFS(Games[Team],Games[[#This Row],[Team]],Games[Season],Games[[#This Row],[Season]],Games[Date],"&lt;=" &amp; Games[[#This Row],[Date]])</f>
        <v>12</v>
      </c>
      <c r="D126" s="2" t="s">
        <v>23</v>
      </c>
      <c r="E126" s="2" t="s">
        <v>29</v>
      </c>
      <c r="F126" s="1" t="s">
        <v>87</v>
      </c>
      <c r="G126" s="1" t="s">
        <v>77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-1</v>
      </c>
      <c r="L126" s="2">
        <f>Games[[#This Row],[OppDaysOff]]-Games[[#This Row],[DaysOff]]</f>
        <v>1</v>
      </c>
      <c r="M126" s="1">
        <f>MAX(-16, MIN(16, Games[[#This Row],[RestDiff]]*8))</f>
        <v>-8</v>
      </c>
      <c r="N126" s="1">
        <f>MAX(-16, MIN(16, Games[[#This Row],[OppRestDiff]]*8))</f>
        <v>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1408.4767614734444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1561.2885469717332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0.1891869819829271</v>
      </c>
      <c r="R126" s="1">
        <v>74</v>
      </c>
      <c r="S126" s="1">
        <v>78</v>
      </c>
      <c r="T126" s="1">
        <v>0</v>
      </c>
      <c r="U126" s="1">
        <f>Games[[#This Row],[PointsFor]]-Games[[#This Row],[PointsAgainst]]</f>
        <v>-4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0.27625371532892218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74.2</v>
      </c>
      <c r="Z126" s="4">
        <f>Games[[#This Row],[K]]*Games[[#This Row],[POMult]]</f>
        <v>74.2</v>
      </c>
      <c r="AA126" s="4">
        <f>(Games[[#This Row],[Keff]]*Games[[#This Row],[MOVMult]])*(Games[[#This Row],[Result]]-Games[[#This Row],[ExpectedWin%]])</f>
        <v>-3.8779596145169912</v>
      </c>
      <c r="AB126" s="4">
        <f>Games[[#This Row],[PreGmRate]]+Games[[#This Row],[RatingChange]]</f>
        <v>1404.5988018589273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39999</v>
      </c>
      <c r="B127" s="2">
        <v>2009</v>
      </c>
      <c r="C127" s="2">
        <f>COUNTIFS(Games[Team],Games[[#This Row],[Team]],Games[Season],Games[[#This Row],[Season]],Games[Date],"&lt;=" &amp; Games[[#This Row],[Date]])</f>
        <v>10</v>
      </c>
      <c r="D127" s="2" t="s">
        <v>23</v>
      </c>
      <c r="E127" s="2" t="s">
        <v>29</v>
      </c>
      <c r="F127" s="1" t="s">
        <v>77</v>
      </c>
      <c r="G127" s="1" t="s">
        <v>87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1</v>
      </c>
      <c r="L127" s="2">
        <f>Games[[#This Row],[OppDaysOff]]-Games[[#This Row],[DaysOff]]</f>
        <v>-1</v>
      </c>
      <c r="M127" s="1">
        <f>MAX(-16, MIN(16, Games[[#This Row],[RestDiff]]*8))</f>
        <v>8</v>
      </c>
      <c r="N127" s="1">
        <f>MAX(-16, MIN(16, Games[[#This Row],[OppRestDiff]]*8))</f>
        <v>-8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1561.2885469717332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1408.4767614734444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0.81081301801707295</v>
      </c>
      <c r="R127" s="1">
        <v>78</v>
      </c>
      <c r="S127" s="1">
        <v>74</v>
      </c>
      <c r="T127" s="1">
        <v>0</v>
      </c>
      <c r="U127" s="1">
        <f>Games[[#This Row],[PointsFor]]-Games[[#This Row],[PointsAgainst]]</f>
        <v>4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0.27625371532892218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74.5</v>
      </c>
      <c r="Z127" s="4">
        <f>Games[[#This Row],[K]]*Games[[#This Row],[POMult]]</f>
        <v>74.5</v>
      </c>
      <c r="AA127" s="4">
        <f>(Games[[#This Row],[Keff]]*Games[[#This Row],[MOVMult]])*(Games[[#This Row],[Result]]-Games[[#This Row],[ExpectedWin%]])</f>
        <v>3.8936386965163847</v>
      </c>
      <c r="AB127" s="4">
        <f>Games[[#This Row],[PreGmRate]]+Games[[#This Row],[RatingChange]]</f>
        <v>1565.1821856682495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39999</v>
      </c>
      <c r="B128" s="2">
        <v>2009</v>
      </c>
      <c r="C128" s="2">
        <f>COUNTIFS(Games[Team],Games[[#This Row],[Team]],Games[Season],Games[[#This Row],[Season]],Games[Date],"&lt;=" &amp; Games[[#This Row],[Date]])</f>
        <v>12</v>
      </c>
      <c r="D128" s="2" t="s">
        <v>23</v>
      </c>
      <c r="E128" s="2" t="s">
        <v>29</v>
      </c>
      <c r="F128" s="1" t="s">
        <v>44</v>
      </c>
      <c r="G128" s="1" t="s">
        <v>68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28" s="2">
        <f>Games[[#This Row],[DaysOff]]-Games[[#This Row],[OppDaysOff]]</f>
        <v>-3</v>
      </c>
      <c r="L128" s="2">
        <f>Games[[#This Row],[OppDaysOff]]-Games[[#This Row],[DaysOff]]</f>
        <v>3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1536.2633445767676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1532.2436170048793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0.34420512753397914</v>
      </c>
      <c r="R128" s="1">
        <v>104</v>
      </c>
      <c r="S128" s="1">
        <v>89</v>
      </c>
      <c r="T128" s="1">
        <v>0</v>
      </c>
      <c r="U128" s="1">
        <f>Games[[#This Row],[PointsFor]]-Games[[#This Row],[PointsAgainst]]</f>
        <v>15</v>
      </c>
      <c r="V128" s="1">
        <f>IF(Games[[#This Row],[MOV]]&gt;0,1,IF(Games[[#This Row],[MOV]]=0,0.5,0))</f>
        <v>1</v>
      </c>
      <c r="W128" s="4">
        <f>((ABS(Games[[#This Row],[MOV]])+5)^0.6)/(12+0.01*(ABS(Games[[#This Row],[PreGmRate]]-Games[[#This Row],[OppPreGmRate]])))*IF(Games[[#This Row],[OT]]=1,0.9,1)</f>
        <v>0.50116922491910576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74.2</v>
      </c>
      <c r="Z128" s="4">
        <f>Games[[#This Row],[K]]*Games[[#This Row],[POMult]]</f>
        <v>74.2</v>
      </c>
      <c r="AA128" s="4">
        <f>(Games[[#This Row],[Keff]]*Games[[#This Row],[MOVMult]])*(Games[[#This Row],[Result]]-Games[[#This Row],[ExpectedWin%]])</f>
        <v>24.38688422912719</v>
      </c>
      <c r="AB128" s="4">
        <f>Games[[#This Row],[PreGmRate]]+Games[[#This Row],[RatingChange]]</f>
        <v>1560.6502288058948</v>
      </c>
      <c r="AC128" s="2">
        <f>IF(Games[[#This Row],[Type]]="R",IF(Games[[#This Row],[Result]]&gt;0.5,1,0),0)</f>
        <v>1</v>
      </c>
      <c r="AD128" s="2">
        <f>IF(Games[[#This Row],[Type]]="R",IF(Games[[#This Row],[Result]]&lt;0.5,1,0),0)</f>
        <v>0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39999</v>
      </c>
      <c r="B129" s="2">
        <v>2009</v>
      </c>
      <c r="C129" s="2">
        <f>COUNTIFS(Games[Team],Games[[#This Row],[Team]],Games[Season],Games[[#This Row],[Season]],Games[Date],"&lt;=" &amp; Games[[#This Row],[Date]])</f>
        <v>9</v>
      </c>
      <c r="D129" s="2" t="s">
        <v>23</v>
      </c>
      <c r="E129" s="2" t="s">
        <v>29</v>
      </c>
      <c r="F129" s="1" t="s">
        <v>68</v>
      </c>
      <c r="G129" s="1" t="s">
        <v>44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9" s="2">
        <f>Games[[#This Row],[DaysOff]]-Games[[#This Row],[OppDaysOff]]</f>
        <v>3</v>
      </c>
      <c r="L129" s="2">
        <f>Games[[#This Row],[OppDaysOff]]-Games[[#This Row],[DaysOff]]</f>
        <v>-3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1532.2436170048793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1536.2633445767676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0.65579487246602097</v>
      </c>
      <c r="R129" s="1">
        <v>89</v>
      </c>
      <c r="S129" s="1">
        <v>104</v>
      </c>
      <c r="T129" s="1">
        <v>0</v>
      </c>
      <c r="U129" s="1">
        <f>Games[[#This Row],[PointsFor]]-Games[[#This Row],[PointsAgainst]]</f>
        <v>-15</v>
      </c>
      <c r="V129" s="1">
        <f>IF(Games[[#This Row],[MOV]]&gt;0,1,IF(Games[[#This Row],[MOV]]=0,0.5,0))</f>
        <v>0</v>
      </c>
      <c r="W129" s="4">
        <f>((ABS(Games[[#This Row],[MOV]])+5)^0.6)/(12+0.01*(ABS(Games[[#This Row],[PreGmRate]]-Games[[#This Row],[OppPreGmRate]])))*IF(Games[[#This Row],[OT]]=1,0.9,1)</f>
        <v>0.50116922491910576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74.650000000000006</v>
      </c>
      <c r="Z129" s="4">
        <f>Games[[#This Row],[K]]*Games[[#This Row],[POMult]]</f>
        <v>74.650000000000006</v>
      </c>
      <c r="AA129" s="4">
        <f>(Games[[#This Row],[Keff]]*Games[[#This Row],[MOVMult]])*(Games[[#This Row],[Result]]-Games[[#This Row],[ExpectedWin%]])</f>
        <v>-24.534783122700063</v>
      </c>
      <c r="AB129" s="4">
        <f>Games[[#This Row],[PreGmRate]]+Games[[#This Row],[RatingChange]]</f>
        <v>1507.7088338821793</v>
      </c>
      <c r="AC129" s="2">
        <f>IF(Games[[#This Row],[Type]]="R",IF(Games[[#This Row],[Result]]&gt;0.5,1,0),0)</f>
        <v>0</v>
      </c>
      <c r="AD129" s="2">
        <f>IF(Games[[#This Row],[Type]]="R",IF(Games[[#This Row],[Result]]&lt;0.5,1,0),0)</f>
        <v>1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40001</v>
      </c>
      <c r="B130" s="2">
        <v>2009</v>
      </c>
      <c r="C130" s="2">
        <f>COUNTIFS(Games[Team],Games[[#This Row],[Team]],Games[Season],Games[[#This Row],[Season]],Games[Date],"&lt;=" &amp; Games[[#This Row],[Date]])</f>
        <v>10</v>
      </c>
      <c r="D130" s="2" t="s">
        <v>23</v>
      </c>
      <c r="E130" s="2" t="s">
        <v>29</v>
      </c>
      <c r="F130" s="1" t="s">
        <v>84</v>
      </c>
      <c r="G130" s="1" t="s">
        <v>87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0</v>
      </c>
      <c r="L130" s="2">
        <f>Games[[#This Row],[OppDaysOff]]-Games[[#This Row],[DaysOff]]</f>
        <v>0</v>
      </c>
      <c r="M130" s="1">
        <f>MAX(-16, MIN(16, Games[[#This Row],[RestDiff]]*8))</f>
        <v>0</v>
      </c>
      <c r="N130" s="1">
        <f>MAX(-16, MIN(16, Games[[#This Row],[OppRestDiff]]*8))</f>
        <v>0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1532.3540487141252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1404.5988018589273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0.56263805857068261</v>
      </c>
      <c r="R130" s="1">
        <v>67</v>
      </c>
      <c r="S130" s="1">
        <v>72</v>
      </c>
      <c r="T130" s="1">
        <v>0</v>
      </c>
      <c r="U130" s="1">
        <f>Games[[#This Row],[PointsFor]]-Games[[#This Row],[PointsAgainst]]</f>
        <v>-5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0.29983475606397963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74.5</v>
      </c>
      <c r="Z130" s="4">
        <f>Games[[#This Row],[K]]*Games[[#This Row],[POMult]]</f>
        <v>74.5</v>
      </c>
      <c r="AA130" s="4">
        <f>(Games[[#This Row],[Keff]]*Games[[#This Row],[MOVMult]])*(Games[[#This Row],[Result]]-Games[[#This Row],[ExpectedWin%]])</f>
        <v>-12.568034155766952</v>
      </c>
      <c r="AB130" s="4">
        <f>Games[[#This Row],[PreGmRate]]+Games[[#This Row],[RatingChange]]</f>
        <v>1519.7860145583581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40001</v>
      </c>
      <c r="B131" s="2">
        <v>2009</v>
      </c>
      <c r="C131" s="2">
        <f>COUNTIFS(Games[Team],Games[[#This Row],[Team]],Games[Season],Games[[#This Row],[Season]],Games[Date],"&lt;=" &amp; Games[[#This Row],[Date]])</f>
        <v>13</v>
      </c>
      <c r="D131" s="2" t="s">
        <v>23</v>
      </c>
      <c r="E131" s="2" t="s">
        <v>29</v>
      </c>
      <c r="F131" s="1" t="s">
        <v>87</v>
      </c>
      <c r="G131" s="1" t="s">
        <v>84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0</v>
      </c>
      <c r="L131" s="2">
        <f>Games[[#This Row],[OppDaysOff]]-Games[[#This Row],[DaysOff]]</f>
        <v>0</v>
      </c>
      <c r="M131" s="1">
        <f>MAX(-16, MIN(16, Games[[#This Row],[RestDiff]]*8))</f>
        <v>0</v>
      </c>
      <c r="N131" s="1">
        <f>MAX(-16, MIN(16, Games[[#This Row],[OppRestDiff]]*8))</f>
        <v>0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1404.5988018589273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1532.3540487141252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0.43736194142931728</v>
      </c>
      <c r="R131" s="1">
        <v>72</v>
      </c>
      <c r="S131" s="1">
        <v>67</v>
      </c>
      <c r="T131" s="1">
        <v>0</v>
      </c>
      <c r="U131" s="1">
        <f>Games[[#This Row],[PointsFor]]-Games[[#This Row],[PointsAgainst]]</f>
        <v>5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0.29983475606397963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74.05</v>
      </c>
      <c r="Z131" s="4">
        <f>Games[[#This Row],[K]]*Games[[#This Row],[POMult]]</f>
        <v>74.05</v>
      </c>
      <c r="AA131" s="4">
        <f>(Games[[#This Row],[Keff]]*Games[[#This Row],[MOVMult]])*(Games[[#This Row],[Result]]-Games[[#This Row],[ExpectedWin%]])</f>
        <v>12.49211985549722</v>
      </c>
      <c r="AB131" s="4">
        <f>Games[[#This Row],[PreGmRate]]+Games[[#This Row],[RatingChange]]</f>
        <v>1417.0909217144247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40001</v>
      </c>
      <c r="B132" s="2">
        <v>2009</v>
      </c>
      <c r="C132" s="2">
        <f>COUNTIFS(Games[Team],Games[[#This Row],[Team]],Games[Season],Games[[#This Row],[Season]],Games[Date],"&lt;=" &amp; Games[[#This Row],[Date]])</f>
        <v>10</v>
      </c>
      <c r="D132" s="2" t="s">
        <v>23</v>
      </c>
      <c r="E132" s="2" t="s">
        <v>29</v>
      </c>
      <c r="F132" s="1" t="s">
        <v>71</v>
      </c>
      <c r="G132" s="1" t="s">
        <v>75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2" s="2">
        <f>Games[[#This Row],[DaysOff]]-Games[[#This Row],[OppDaysOff]]</f>
        <v>-1</v>
      </c>
      <c r="L132" s="2">
        <f>Games[[#This Row],[OppDaysOff]]-Games[[#This Row],[DaysOff]]</f>
        <v>1</v>
      </c>
      <c r="M132" s="1">
        <f>MAX(-16, MIN(16, Games[[#This Row],[RestDiff]]*8))</f>
        <v>-8</v>
      </c>
      <c r="N132" s="1">
        <f>MAX(-16, MIN(16, Games[[#This Row],[OppRestDiff]]*8))</f>
        <v>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1444.0312899512408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1523.7575742606271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0.26219565823589708</v>
      </c>
      <c r="R132" s="1">
        <v>94</v>
      </c>
      <c r="S132" s="1">
        <v>96</v>
      </c>
      <c r="T132" s="1">
        <v>1</v>
      </c>
      <c r="U132" s="1">
        <f>Games[[#This Row],[PointsFor]]-Games[[#This Row],[PointsAgainst]]</f>
        <v>-2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0.22603945079595628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74.5</v>
      </c>
      <c r="Z132" s="4">
        <f>Games[[#This Row],[K]]*Games[[#This Row],[POMult]]</f>
        <v>74.5</v>
      </c>
      <c r="AA132" s="4">
        <f>(Games[[#This Row],[Keff]]*Games[[#This Row],[MOVMult]])*(Games[[#This Row],[Result]]-Games[[#This Row],[ExpectedWin%]])</f>
        <v>-4.4153589128601185</v>
      </c>
      <c r="AB132" s="4">
        <f>Games[[#This Row],[PreGmRate]]+Games[[#This Row],[RatingChange]]</f>
        <v>1439.6159310383807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40001</v>
      </c>
      <c r="B133" s="2">
        <v>2009</v>
      </c>
      <c r="C133" s="2">
        <f>COUNTIFS(Games[Team],Games[[#This Row],[Team]],Games[Season],Games[[#This Row],[Season]],Games[Date],"&lt;=" &amp; Games[[#This Row],[Date]])</f>
        <v>12</v>
      </c>
      <c r="D133" s="2" t="s">
        <v>23</v>
      </c>
      <c r="E133" s="2" t="s">
        <v>29</v>
      </c>
      <c r="F133" s="1" t="s">
        <v>75</v>
      </c>
      <c r="G133" s="1" t="s">
        <v>71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3" s="2">
        <f>Games[[#This Row],[DaysOff]]-Games[[#This Row],[OppDaysOff]]</f>
        <v>1</v>
      </c>
      <c r="L133" s="2">
        <f>Games[[#This Row],[OppDaysOff]]-Games[[#This Row],[DaysOff]]</f>
        <v>-1</v>
      </c>
      <c r="M133" s="1">
        <f>MAX(-16, MIN(16, Games[[#This Row],[RestDiff]]*8))</f>
        <v>8</v>
      </c>
      <c r="N133" s="1">
        <f>MAX(-16, MIN(16, Games[[#This Row],[OppRestDiff]]*8))</f>
        <v>-8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1523.7575742606271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1444.0312899512408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0.73780434176410292</v>
      </c>
      <c r="R133" s="1">
        <v>96</v>
      </c>
      <c r="S133" s="1">
        <v>94</v>
      </c>
      <c r="T133" s="1">
        <v>1</v>
      </c>
      <c r="U133" s="1">
        <f>Games[[#This Row],[PointsFor]]-Games[[#This Row],[PointsAgainst]]</f>
        <v>2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0.22603945079595628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4.3975789440835005</v>
      </c>
      <c r="AB133" s="4">
        <f>Games[[#This Row],[PreGmRate]]+Games[[#This Row],[RatingChange]]</f>
        <v>1528.1551532047106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40001</v>
      </c>
      <c r="B134" s="2">
        <v>2009</v>
      </c>
      <c r="C134" s="2">
        <f>COUNTIFS(Games[Team],Games[[#This Row],[Team]],Games[Season],Games[[#This Row],[Season]],Games[Date],"&lt;=" &amp; Games[[#This Row],[Date]])</f>
        <v>11</v>
      </c>
      <c r="D134" s="2" t="s">
        <v>23</v>
      </c>
      <c r="E134" s="2" t="s">
        <v>29</v>
      </c>
      <c r="F134" s="1" t="s">
        <v>85</v>
      </c>
      <c r="G134" s="1" t="s">
        <v>45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1460.7823109981043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1451.5063748946823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0.37232633093013257</v>
      </c>
      <c r="R134" s="1">
        <v>73</v>
      </c>
      <c r="S134" s="1">
        <v>83</v>
      </c>
      <c r="T134" s="1">
        <v>0</v>
      </c>
      <c r="U134" s="1">
        <f>Games[[#This Row],[PointsFor]]-Games[[#This Row],[PointsAgainst]]</f>
        <v>-10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0.41988401822900034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-11.62342367490513</v>
      </c>
      <c r="AB134" s="4">
        <f>Games[[#This Row],[PreGmRate]]+Games[[#This Row],[RatingChange]]</f>
        <v>1449.1588873231992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40001</v>
      </c>
      <c r="B135" s="2">
        <v>2009</v>
      </c>
      <c r="C135" s="2">
        <f>COUNTIFS(Games[Team],Games[[#This Row],[Team]],Games[Season],Games[[#This Row],[Season]],Games[Date],"&lt;=" &amp; Games[[#This Row],[Date]])</f>
        <v>11</v>
      </c>
      <c r="D135" s="2" t="s">
        <v>23</v>
      </c>
      <c r="E135" s="2" t="s">
        <v>29</v>
      </c>
      <c r="F135" s="1" t="s">
        <v>45</v>
      </c>
      <c r="G135" s="1" t="s">
        <v>85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1451.5063748946823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1460.7823109981043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0.62767366906986743</v>
      </c>
      <c r="R135" s="1">
        <v>83</v>
      </c>
      <c r="S135" s="1">
        <v>73</v>
      </c>
      <c r="T135" s="1">
        <v>0</v>
      </c>
      <c r="U135" s="1">
        <f>Games[[#This Row],[PointsFor]]-Games[[#This Row],[PointsAgainst]]</f>
        <v>10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0.41988401822900034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11.62342367490513</v>
      </c>
      <c r="AB135" s="4">
        <f>Games[[#This Row],[PreGmRate]]+Games[[#This Row],[RatingChange]]</f>
        <v>1463.1297985695874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40001</v>
      </c>
      <c r="B136" s="2">
        <v>2009</v>
      </c>
      <c r="C136" s="2">
        <f>COUNTIFS(Games[Team],Games[[#This Row],[Team]],Games[Season],Games[[#This Row],[Season]],Games[Date],"&lt;=" &amp; Games[[#This Row],[Date]])</f>
        <v>9</v>
      </c>
      <c r="D136" s="2" t="s">
        <v>23</v>
      </c>
      <c r="E136" s="2" t="s">
        <v>29</v>
      </c>
      <c r="F136" s="1" t="s">
        <v>82</v>
      </c>
      <c r="G136" s="1" t="s">
        <v>79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6" s="2">
        <f>Games[[#This Row],[DaysOff]]-Games[[#This Row],[OppDaysOff]]</f>
        <v>-2</v>
      </c>
      <c r="L136" s="2">
        <f>Games[[#This Row],[OppDaysOff]]-Games[[#This Row],[DaysOff]]</f>
        <v>2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1516.7559371969417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1554.9377733144281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0.29161733398641582</v>
      </c>
      <c r="R136" s="1">
        <v>53</v>
      </c>
      <c r="S136" s="1">
        <v>66</v>
      </c>
      <c r="T136" s="1">
        <v>0</v>
      </c>
      <c r="U136" s="1">
        <f>Games[[#This Row],[PointsFor]]-Games[[#This Row],[PointsAgainst]]</f>
        <v>-13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0.4574873336481351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74.650000000000006</v>
      </c>
      <c r="Z136" s="4">
        <f>Games[[#This Row],[K]]*Games[[#This Row],[POMult]]</f>
        <v>74.650000000000006</v>
      </c>
      <c r="AA136" s="4">
        <f>(Games[[#This Row],[Keff]]*Games[[#This Row],[MOVMult]])*(Games[[#This Row],[Result]]-Games[[#This Row],[ExpectedWin%]])</f>
        <v>-9.9591488100268712</v>
      </c>
      <c r="AB136" s="4">
        <f>Games[[#This Row],[PreGmRate]]+Games[[#This Row],[RatingChange]]</f>
        <v>1506.7967883869148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40001</v>
      </c>
      <c r="B137" s="2">
        <v>2009</v>
      </c>
      <c r="C137" s="2">
        <f>COUNTIFS(Games[Team],Games[[#This Row],[Team]],Games[Season],Games[[#This Row],[Season]],Games[Date],"&lt;=" &amp; Games[[#This Row],[Date]])</f>
        <v>11</v>
      </c>
      <c r="D137" s="2" t="s">
        <v>23</v>
      </c>
      <c r="E137" s="2" t="s">
        <v>29</v>
      </c>
      <c r="F137" s="1" t="s">
        <v>79</v>
      </c>
      <c r="G137" s="1" t="s">
        <v>82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7" s="2">
        <f>Games[[#This Row],[DaysOff]]-Games[[#This Row],[OppDaysOff]]</f>
        <v>2</v>
      </c>
      <c r="L137" s="2">
        <f>Games[[#This Row],[OppDaysOff]]-Games[[#This Row],[DaysOff]]</f>
        <v>-2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1554.9377733144281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1516.7559371969417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0.70838266601358424</v>
      </c>
      <c r="R137" s="1">
        <v>66</v>
      </c>
      <c r="S137" s="1">
        <v>53</v>
      </c>
      <c r="T137" s="1">
        <v>0</v>
      </c>
      <c r="U137" s="1">
        <f>Games[[#This Row],[PointsFor]]-Games[[#This Row],[PointsAgainst]]</f>
        <v>13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0.4574873336481351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9.919125439055561</v>
      </c>
      <c r="AB137" s="4">
        <f>Games[[#This Row],[PreGmRate]]+Games[[#This Row],[RatingChange]]</f>
        <v>1564.8568987534836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40002</v>
      </c>
      <c r="B138" s="2">
        <v>2009</v>
      </c>
      <c r="C138" s="2">
        <f>COUNTIFS(Games[Team],Games[[#This Row],[Team]],Games[Season],Games[[#This Row],[Season]],Games[Date],"&lt;=" &amp; Games[[#This Row],[Date]])</f>
        <v>12</v>
      </c>
      <c r="D138" s="2" t="s">
        <v>23</v>
      </c>
      <c r="E138" s="2" t="s">
        <v>29</v>
      </c>
      <c r="F138" s="1" t="s">
        <v>85</v>
      </c>
      <c r="G138" s="1" t="s">
        <v>44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8" s="2">
        <f>Games[[#This Row],[DaysOff]]-Games[[#This Row],[OppDaysOff]]</f>
        <v>-2</v>
      </c>
      <c r="L138" s="2">
        <f>Games[[#This Row],[OppDaysOff]]-Games[[#This Row],[DaysOff]]</f>
        <v>2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1449.1588873231992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1560.6502288058948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0.21256292020620415</v>
      </c>
      <c r="R138" s="1">
        <v>70</v>
      </c>
      <c r="S138" s="1">
        <v>90</v>
      </c>
      <c r="T138" s="1">
        <v>0</v>
      </c>
      <c r="U138" s="1">
        <f>Games[[#This Row],[PointsFor]]-Games[[#This Row],[PointsAgainst]]</f>
        <v>-20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0.52601554345809587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-8.2964058793549302</v>
      </c>
      <c r="AB138" s="4">
        <f>Games[[#This Row],[PreGmRate]]+Games[[#This Row],[RatingChange]]</f>
        <v>1440.8624814438442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40002</v>
      </c>
      <c r="B139" s="2">
        <v>2009</v>
      </c>
      <c r="C139" s="2">
        <f>COUNTIFS(Games[Team],Games[[#This Row],[Team]],Games[Season],Games[[#This Row],[Season]],Games[Date],"&lt;=" &amp; Games[[#This Row],[Date]])</f>
        <v>13</v>
      </c>
      <c r="D139" s="2" t="s">
        <v>23</v>
      </c>
      <c r="E139" s="2" t="s">
        <v>29</v>
      </c>
      <c r="F139" s="1" t="s">
        <v>44</v>
      </c>
      <c r="G139" s="1" t="s">
        <v>85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9" s="2">
        <f>Games[[#This Row],[DaysOff]]-Games[[#This Row],[OppDaysOff]]</f>
        <v>2</v>
      </c>
      <c r="L139" s="2">
        <f>Games[[#This Row],[OppDaysOff]]-Games[[#This Row],[DaysOff]]</f>
        <v>-2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1560.6502288058948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1449.1588873231992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0.78743707979379585</v>
      </c>
      <c r="R139" s="1">
        <v>90</v>
      </c>
      <c r="S139" s="1">
        <v>70</v>
      </c>
      <c r="T139" s="1">
        <v>0</v>
      </c>
      <c r="U139" s="1">
        <f>Games[[#This Row],[PointsFor]]-Games[[#This Row],[PointsAgainst]]</f>
        <v>20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0.52601554345809587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74.05</v>
      </c>
      <c r="Z139" s="4">
        <f>Games[[#This Row],[K]]*Games[[#This Row],[POMult]]</f>
        <v>74.05</v>
      </c>
      <c r="AA139" s="4">
        <f>(Games[[#This Row],[Keff]]*Games[[#This Row],[MOVMult]])*(Games[[#This Row],[Result]]-Games[[#This Row],[ExpectedWin%]])</f>
        <v>8.2796341693562354</v>
      </c>
      <c r="AB139" s="4">
        <f>Games[[#This Row],[PreGmRate]]+Games[[#This Row],[RatingChange]]</f>
        <v>1568.9298629752511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40003</v>
      </c>
      <c r="B140" s="2">
        <v>2009</v>
      </c>
      <c r="C140" s="2">
        <f>COUNTIFS(Games[Team],Games[[#This Row],[Team]],Games[Season],Games[[#This Row],[Season]],Games[Date],"&lt;=" &amp; Games[[#This Row],[Date]])</f>
        <v>10</v>
      </c>
      <c r="D140" s="2" t="s">
        <v>23</v>
      </c>
      <c r="E140" s="2" t="s">
        <v>29</v>
      </c>
      <c r="F140" s="1" t="s">
        <v>68</v>
      </c>
      <c r="G140" s="1" t="s">
        <v>65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40" s="2">
        <f>Games[[#This Row],[DaysOff]]-Games[[#This Row],[OppDaysOff]]</f>
        <v>-3</v>
      </c>
      <c r="L140" s="2">
        <f>Games[[#This Row],[OppDaysOff]]-Games[[#This Row],[DaysOff]]</f>
        <v>3</v>
      </c>
      <c r="M140" s="1">
        <f>MAX(-16, MIN(16, Games[[#This Row],[RestDiff]]*8))</f>
        <v>-16</v>
      </c>
      <c r="N140" s="1">
        <f>MAX(-16, MIN(16, Games[[#This Row],[OppRestDiff]]*8))</f>
        <v>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1507.7088338821793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1500.7345834021237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0.34805432499939853</v>
      </c>
      <c r="R140" s="1">
        <v>69</v>
      </c>
      <c r="S140" s="1">
        <v>60</v>
      </c>
      <c r="T140" s="1">
        <v>0</v>
      </c>
      <c r="U140" s="1">
        <f>Games[[#This Row],[PointsFor]]-Games[[#This Row],[PointsAgainst]]</f>
        <v>9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0.40362570484244265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74.5</v>
      </c>
      <c r="Z140" s="4">
        <f>Games[[#This Row],[K]]*Games[[#This Row],[POMult]]</f>
        <v>74.5</v>
      </c>
      <c r="AA140" s="4">
        <f>(Games[[#This Row],[Keff]]*Games[[#This Row],[MOVMult]])*(Games[[#This Row],[Result]]-Games[[#This Row],[ExpectedWin%]])</f>
        <v>19.604081428036935</v>
      </c>
      <c r="AB140" s="4">
        <f>Games[[#This Row],[PreGmRate]]+Games[[#This Row],[RatingChange]]</f>
        <v>1527.3129153102163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40003</v>
      </c>
      <c r="B141" s="2">
        <v>2009</v>
      </c>
      <c r="C141" s="2">
        <f>COUNTIFS(Games[Team],Games[[#This Row],[Team]],Games[Season],Games[[#This Row],[Season]],Games[Date],"&lt;=" &amp; Games[[#This Row],[Date]])</f>
        <v>10</v>
      </c>
      <c r="D141" s="2" t="s">
        <v>23</v>
      </c>
      <c r="E141" s="2" t="s">
        <v>29</v>
      </c>
      <c r="F141" s="1" t="s">
        <v>65</v>
      </c>
      <c r="G141" s="1" t="s">
        <v>68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6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1" s="2">
        <f>Games[[#This Row],[DaysOff]]-Games[[#This Row],[OppDaysOff]]</f>
        <v>3</v>
      </c>
      <c r="L141" s="2">
        <f>Games[[#This Row],[OppDaysOff]]-Games[[#This Row],[DaysOff]]</f>
        <v>-3</v>
      </c>
      <c r="M141" s="1">
        <f>MAX(-16, MIN(16, Games[[#This Row],[RestDiff]]*8))</f>
        <v>16</v>
      </c>
      <c r="N141" s="1">
        <f>MAX(-16, MIN(16, Games[[#This Row],[OppRestDiff]]*8))</f>
        <v>-16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1500.7345834021237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1507.7088338821793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0.65194567500060141</v>
      </c>
      <c r="R141" s="1">
        <v>60</v>
      </c>
      <c r="S141" s="1">
        <v>69</v>
      </c>
      <c r="T141" s="1">
        <v>0</v>
      </c>
      <c r="U141" s="1">
        <f>Games[[#This Row],[PointsFor]]-Games[[#This Row],[PointsAgainst]]</f>
        <v>-9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0.40362570484244265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74.5</v>
      </c>
      <c r="Z141" s="4">
        <f>Games[[#This Row],[K]]*Games[[#This Row],[POMult]]</f>
        <v>74.5</v>
      </c>
      <c r="AA141" s="4">
        <f>(Games[[#This Row],[Keff]]*Games[[#This Row],[MOVMult]])*(Games[[#This Row],[Result]]-Games[[#This Row],[ExpectedWin%]])</f>
        <v>-19.604081428036935</v>
      </c>
      <c r="AB141" s="4">
        <f>Games[[#This Row],[PreGmRate]]+Games[[#This Row],[RatingChange]]</f>
        <v>1481.1305019740867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40003</v>
      </c>
      <c r="B142" s="2">
        <v>2009</v>
      </c>
      <c r="C142" s="2">
        <f>COUNTIFS(Games[Team],Games[[#This Row],[Team]],Games[Season],Games[[#This Row],[Season]],Games[Date],"&lt;=" &amp; Games[[#This Row],[Date]])</f>
        <v>12</v>
      </c>
      <c r="D142" s="2" t="s">
        <v>23</v>
      </c>
      <c r="E142" s="2" t="s">
        <v>29</v>
      </c>
      <c r="F142" s="1" t="s">
        <v>45</v>
      </c>
      <c r="G142" s="1" t="s">
        <v>79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1463.1297985695874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1564.8568987534836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0.25556835421632668</v>
      </c>
      <c r="R142" s="1">
        <v>55</v>
      </c>
      <c r="S142" s="1">
        <v>66</v>
      </c>
      <c r="T142" s="1">
        <v>0</v>
      </c>
      <c r="U142" s="1">
        <f>Games[[#This Row],[PointsFor]]-Games[[#This Row],[PointsAgainst]]</f>
        <v>-11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0.40546375982692107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74.2</v>
      </c>
      <c r="Z142" s="4">
        <f>Games[[#This Row],[K]]*Games[[#This Row],[POMult]]</f>
        <v>74.2</v>
      </c>
      <c r="AA142" s="4">
        <f>(Games[[#This Row],[Keff]]*Games[[#This Row],[MOVMult]])*(Games[[#This Row],[Result]]-Games[[#This Row],[ExpectedWin%]])</f>
        <v>-7.6888789698650983</v>
      </c>
      <c r="AB142" s="4">
        <f>Games[[#This Row],[PreGmRate]]+Games[[#This Row],[RatingChange]]</f>
        <v>1455.4409195997223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40003</v>
      </c>
      <c r="B143" s="2">
        <v>2009</v>
      </c>
      <c r="C143" s="2">
        <f>COUNTIFS(Games[Team],Games[[#This Row],[Team]],Games[Season],Games[[#This Row],[Season]],Games[Date],"&lt;=" &amp; Games[[#This Row],[Date]])</f>
        <v>12</v>
      </c>
      <c r="D143" s="2" t="s">
        <v>23</v>
      </c>
      <c r="E143" s="2" t="s">
        <v>29</v>
      </c>
      <c r="F143" s="1" t="s">
        <v>79</v>
      </c>
      <c r="G143" s="1" t="s">
        <v>45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1564.8568987534836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1463.1297985695874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0.74443164578367338</v>
      </c>
      <c r="R143" s="1">
        <v>66</v>
      </c>
      <c r="S143" s="1">
        <v>55</v>
      </c>
      <c r="T143" s="1">
        <v>0</v>
      </c>
      <c r="U143" s="1">
        <f>Games[[#This Row],[PointsFor]]-Games[[#This Row],[PointsAgainst]]</f>
        <v>11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0.40546375982692107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7.6888789698650974</v>
      </c>
      <c r="AB143" s="4">
        <f>Games[[#This Row],[PreGmRate]]+Games[[#This Row],[RatingChange]]</f>
        <v>1572.5457777233487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40004</v>
      </c>
      <c r="B144" s="2">
        <v>2009</v>
      </c>
      <c r="C144" s="2">
        <f>COUNTIFS(Games[Team],Games[[#This Row],[Team]],Games[Season],Games[[#This Row],[Season]],Games[Date],"&lt;=" &amp; Games[[#This Row],[Date]])</f>
        <v>11</v>
      </c>
      <c r="D144" s="2" t="s">
        <v>23</v>
      </c>
      <c r="E144" s="2" t="s">
        <v>29</v>
      </c>
      <c r="F144" s="1" t="s">
        <v>77</v>
      </c>
      <c r="G144" s="1" t="s">
        <v>85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3</v>
      </c>
      <c r="L144" s="2">
        <f>Games[[#This Row],[OppDaysOff]]-Games[[#This Row],[DaysOff]]</f>
        <v>-3</v>
      </c>
      <c r="M144" s="1">
        <f>MAX(-16, MIN(16, Games[[#This Row],[RestDiff]]*8))</f>
        <v>16</v>
      </c>
      <c r="N144" s="1">
        <f>MAX(-16, MIN(16, Games[[#This Row],[OppRestDiff]]*8))</f>
        <v>-16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1565.1821856682495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1440.8624814438442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0.60259889497742725</v>
      </c>
      <c r="R144" s="1">
        <v>83</v>
      </c>
      <c r="S144" s="1">
        <v>54</v>
      </c>
      <c r="T144" s="1">
        <v>0</v>
      </c>
      <c r="U144" s="1">
        <f>Games[[#This Row],[PointsFor]]-Games[[#This Row],[PointsAgainst]]</f>
        <v>29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0.62646167792165375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74.349999999999994</v>
      </c>
      <c r="Z144" s="4">
        <f>Games[[#This Row],[K]]*Games[[#This Row],[POMult]]</f>
        <v>74.349999999999994</v>
      </c>
      <c r="AA144" s="4">
        <f>(Games[[#This Row],[Keff]]*Games[[#This Row],[MOVMult]])*(Games[[#This Row],[Result]]-Games[[#This Row],[ExpectedWin%]])</f>
        <v>18.509920463537785</v>
      </c>
      <c r="AB144" s="4">
        <f>Games[[#This Row],[PreGmRate]]+Games[[#This Row],[RatingChange]]</f>
        <v>1583.6921061317873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40004</v>
      </c>
      <c r="B145" s="2">
        <v>2009</v>
      </c>
      <c r="C145" s="2">
        <f>COUNTIFS(Games[Team],Games[[#This Row],[Team]],Games[Season],Games[[#This Row],[Season]],Games[Date],"&lt;=" &amp; Games[[#This Row],[Date]])</f>
        <v>13</v>
      </c>
      <c r="D145" s="2" t="s">
        <v>23</v>
      </c>
      <c r="E145" s="2" t="s">
        <v>29</v>
      </c>
      <c r="F145" s="1" t="s">
        <v>85</v>
      </c>
      <c r="G145" s="1" t="s">
        <v>77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5" s="2">
        <f>Games[[#This Row],[DaysOff]]-Games[[#This Row],[OppDaysOff]]</f>
        <v>-3</v>
      </c>
      <c r="L145" s="2">
        <f>Games[[#This Row],[OppDaysOff]]-Games[[#This Row],[DaysOff]]</f>
        <v>3</v>
      </c>
      <c r="M145" s="1">
        <f>MAX(-16, MIN(16, Games[[#This Row],[RestDiff]]*8))</f>
        <v>-16</v>
      </c>
      <c r="N145" s="1">
        <f>MAX(-16, MIN(16, Games[[#This Row],[OppRestDiff]]*8))</f>
        <v>16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1440.8624814438442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1565.1821856682495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0.3974011050225727</v>
      </c>
      <c r="R145" s="1">
        <v>54</v>
      </c>
      <c r="S145" s="1">
        <v>83</v>
      </c>
      <c r="T145" s="1">
        <v>0</v>
      </c>
      <c r="U145" s="1">
        <f>Games[[#This Row],[PointsFor]]-Games[[#This Row],[PointsAgainst]]</f>
        <v>-29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0.62646167792165375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74.05</v>
      </c>
      <c r="Z145" s="4">
        <f>Games[[#This Row],[K]]*Games[[#This Row],[POMult]]</f>
        <v>74.05</v>
      </c>
      <c r="AA145" s="4">
        <f>(Games[[#This Row],[Keff]]*Games[[#This Row],[MOVMult]])*(Games[[#This Row],[Result]]-Games[[#This Row],[ExpectedWin%]])</f>
        <v>-18.435233494619673</v>
      </c>
      <c r="AB145" s="4">
        <f>Games[[#This Row],[PreGmRate]]+Games[[#This Row],[RatingChange]]</f>
        <v>1422.4272479492245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40004</v>
      </c>
      <c r="B146" s="2">
        <v>2009</v>
      </c>
      <c r="C146" s="2">
        <f>COUNTIFS(Games[Team],Games[[#This Row],[Team]],Games[Season],Games[[#This Row],[Season]],Games[Date],"&lt;=" &amp; Games[[#This Row],[Date]])</f>
        <v>10</v>
      </c>
      <c r="D146" s="2" t="s">
        <v>23</v>
      </c>
      <c r="E146" s="2" t="s">
        <v>29</v>
      </c>
      <c r="F146" s="1" t="s">
        <v>82</v>
      </c>
      <c r="G146" s="1" t="s">
        <v>75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1506.7967883869148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1528.1551532047106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0.35285994886604904</v>
      </c>
      <c r="R146" s="1">
        <v>77</v>
      </c>
      <c r="S146" s="1">
        <v>61</v>
      </c>
      <c r="T146" s="1">
        <v>0</v>
      </c>
      <c r="U146" s="1">
        <f>Games[[#This Row],[PointsFor]]-Games[[#This Row],[PointsAgainst]]</f>
        <v>16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0.50873130821744306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74.5</v>
      </c>
      <c r="Z146" s="4">
        <f>Games[[#This Row],[K]]*Games[[#This Row],[POMult]]</f>
        <v>74.5</v>
      </c>
      <c r="AA146" s="4">
        <f>(Games[[#This Row],[Keff]]*Games[[#This Row],[MOVMult]])*(Games[[#This Row],[Result]]-Games[[#This Row],[ExpectedWin%]])</f>
        <v>24.526920158589196</v>
      </c>
      <c r="AB146" s="4">
        <f>Games[[#This Row],[PreGmRate]]+Games[[#This Row],[RatingChange]]</f>
        <v>1531.3237085455041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40004</v>
      </c>
      <c r="B147" s="2">
        <v>2009</v>
      </c>
      <c r="C147" s="2">
        <f>COUNTIFS(Games[Team],Games[[#This Row],[Team]],Games[Season],Games[[#This Row],[Season]],Games[Date],"&lt;=" &amp; Games[[#This Row],[Date]])</f>
        <v>13</v>
      </c>
      <c r="D147" s="2" t="s">
        <v>23</v>
      </c>
      <c r="E147" s="2" t="s">
        <v>29</v>
      </c>
      <c r="F147" s="1" t="s">
        <v>75</v>
      </c>
      <c r="G147" s="1" t="s">
        <v>82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1528.1551532047106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1506.7967883869148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0.6471400511339509</v>
      </c>
      <c r="R147" s="1">
        <v>61</v>
      </c>
      <c r="S147" s="1">
        <v>77</v>
      </c>
      <c r="T147" s="1">
        <v>0</v>
      </c>
      <c r="U147" s="1">
        <f>Games[[#This Row],[PointsFor]]-Games[[#This Row],[PointsAgainst]]</f>
        <v>-16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0.50873130821744306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74.05</v>
      </c>
      <c r="Z147" s="4">
        <f>Games[[#This Row],[K]]*Games[[#This Row],[POMult]]</f>
        <v>74.05</v>
      </c>
      <c r="AA147" s="4">
        <f>(Games[[#This Row],[Keff]]*Games[[#This Row],[MOVMult]])*(Games[[#This Row],[Result]]-Games[[#This Row],[ExpectedWin%]])</f>
        <v>-24.378770976423223</v>
      </c>
      <c r="AB147" s="4">
        <f>Games[[#This Row],[PreGmRate]]+Games[[#This Row],[RatingChange]]</f>
        <v>1503.7763822282873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40005</v>
      </c>
      <c r="B148" s="2">
        <v>2009</v>
      </c>
      <c r="C148" s="2">
        <f>COUNTIFS(Games[Team],Games[[#This Row],[Team]],Games[Season],Games[[#This Row],[Season]],Games[Date],"&lt;=" &amp; Games[[#This Row],[Date]])</f>
        <v>10</v>
      </c>
      <c r="D148" s="2" t="s">
        <v>23</v>
      </c>
      <c r="E148" s="2" t="s">
        <v>29</v>
      </c>
      <c r="F148" s="1" t="s">
        <v>73</v>
      </c>
      <c r="G148" s="1" t="s">
        <v>84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8" s="2">
        <f>Games[[#This Row],[DaysOff]]-Games[[#This Row],[OppDaysOff]]</f>
        <v>2</v>
      </c>
      <c r="L148" s="2">
        <f>Games[[#This Row],[OppDaysOff]]-Games[[#This Row],[DaysOff]]</f>
        <v>-2</v>
      </c>
      <c r="M148" s="1">
        <f>MAX(-16, MIN(16, Games[[#This Row],[RestDiff]]*8))</f>
        <v>16</v>
      </c>
      <c r="N148" s="1">
        <f>MAX(-16, MIN(16, Games[[#This Row],[OppRestDiff]]*8))</f>
        <v>-16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1494.1782609209188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1519.7860145583581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0.39013467797667012</v>
      </c>
      <c r="R148" s="1">
        <v>79</v>
      </c>
      <c r="S148" s="1">
        <v>77</v>
      </c>
      <c r="T148" s="1">
        <v>1</v>
      </c>
      <c r="U148" s="1">
        <f>Games[[#This Row],[PointsFor]]-Games[[#This Row],[PointsAgainst]]</f>
        <v>2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0.23602055846655096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74.5</v>
      </c>
      <c r="Z148" s="4">
        <f>Games[[#This Row],[K]]*Games[[#This Row],[POMult]]</f>
        <v>74.5</v>
      </c>
      <c r="AA148" s="4">
        <f>(Games[[#This Row],[Keff]]*Games[[#This Row],[MOVMult]])*(Games[[#This Row],[Result]]-Games[[#This Row],[ExpectedWin%]])</f>
        <v>10.72358616505303</v>
      </c>
      <c r="AB148" s="4">
        <f>Games[[#This Row],[PreGmRate]]+Games[[#This Row],[RatingChange]]</f>
        <v>1504.9018470859719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40005</v>
      </c>
      <c r="B149" s="2">
        <v>2009</v>
      </c>
      <c r="C149" s="2">
        <f>COUNTIFS(Games[Team],Games[[#This Row],[Team]],Games[Season],Games[[#This Row],[Season]],Games[Date],"&lt;=" &amp; Games[[#This Row],[Date]])</f>
        <v>11</v>
      </c>
      <c r="D149" s="2" t="s">
        <v>23</v>
      </c>
      <c r="E149" s="2" t="s">
        <v>29</v>
      </c>
      <c r="F149" s="1" t="s">
        <v>84</v>
      </c>
      <c r="G149" s="1" t="s">
        <v>73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9" s="2">
        <f>Games[[#This Row],[DaysOff]]-Games[[#This Row],[OppDaysOff]]</f>
        <v>-2</v>
      </c>
      <c r="L149" s="2">
        <f>Games[[#This Row],[OppDaysOff]]-Games[[#This Row],[DaysOff]]</f>
        <v>2</v>
      </c>
      <c r="M149" s="1">
        <f>MAX(-16, MIN(16, Games[[#This Row],[RestDiff]]*8))</f>
        <v>-16</v>
      </c>
      <c r="N149" s="1">
        <f>MAX(-16, MIN(16, Games[[#This Row],[OppRestDiff]]*8))</f>
        <v>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1519.7860145583581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1494.1782609209188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0.60986532202332988</v>
      </c>
      <c r="R149" s="1">
        <v>77</v>
      </c>
      <c r="S149" s="1">
        <v>79</v>
      </c>
      <c r="T149" s="1">
        <v>1</v>
      </c>
      <c r="U149" s="1">
        <f>Games[[#This Row],[PointsFor]]-Games[[#This Row],[PointsAgainst]]</f>
        <v>-2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0.23602055846655096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74.349999999999994</v>
      </c>
      <c r="Z149" s="4">
        <f>Games[[#This Row],[K]]*Games[[#This Row],[POMult]]</f>
        <v>74.349999999999994</v>
      </c>
      <c r="AA149" s="4">
        <f>(Games[[#This Row],[Keff]]*Games[[#This Row],[MOVMult]])*(Games[[#This Row],[Result]]-Games[[#This Row],[ExpectedWin%]])</f>
        <v>-10.701995051969028</v>
      </c>
      <c r="AB149" s="4">
        <f>Games[[#This Row],[PreGmRate]]+Games[[#This Row],[RatingChange]]</f>
        <v>1509.084019506389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40005</v>
      </c>
      <c r="B150" s="2">
        <v>2009</v>
      </c>
      <c r="C150" s="2">
        <f>COUNTIFS(Games[Team],Games[[#This Row],[Team]],Games[Season],Games[[#This Row],[Season]],Games[Date],"&lt;=" &amp; Games[[#This Row],[Date]])</f>
        <v>14</v>
      </c>
      <c r="D150" s="2" t="s">
        <v>23</v>
      </c>
      <c r="E150" s="2" t="s">
        <v>29</v>
      </c>
      <c r="F150" s="1" t="s">
        <v>87</v>
      </c>
      <c r="G150" s="1" t="s">
        <v>65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2</v>
      </c>
      <c r="L150" s="2">
        <f>Games[[#This Row],[OppDaysOff]]-Games[[#This Row],[DaysOff]]</f>
        <v>-2</v>
      </c>
      <c r="M150" s="1">
        <f>MAX(-16, MIN(16, Games[[#This Row],[RestDiff]]*8))</f>
        <v>16</v>
      </c>
      <c r="N150" s="1">
        <f>MAX(-16, MIN(16, Games[[#This Row],[OppRestDiff]]*8))</f>
        <v>-16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1417.0909217144247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1481.1305019740867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0.33894985588750293</v>
      </c>
      <c r="R150" s="1">
        <v>69</v>
      </c>
      <c r="S150" s="1">
        <v>71</v>
      </c>
      <c r="T150" s="1">
        <v>0</v>
      </c>
      <c r="U150" s="1">
        <f>Games[[#This Row],[PointsFor]]-Games[[#This Row],[PointsAgainst]]</f>
        <v>-2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0.25427177280760394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73.900000000000006</v>
      </c>
      <c r="Z150" s="4">
        <f>Games[[#This Row],[K]]*Games[[#This Row],[POMult]]</f>
        <v>73.900000000000006</v>
      </c>
      <c r="AA150" s="4">
        <f>(Games[[#This Row],[Keff]]*Games[[#This Row],[MOVMult]])*(Games[[#This Row],[Result]]-Games[[#This Row],[ExpectedWin%]])</f>
        <v>-6.3690996373804563</v>
      </c>
      <c r="AB150" s="4">
        <f>Games[[#This Row],[PreGmRate]]+Games[[#This Row],[RatingChange]]</f>
        <v>1410.7218220770442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40005</v>
      </c>
      <c r="B151" s="2">
        <v>2009</v>
      </c>
      <c r="C151" s="2">
        <f>COUNTIFS(Games[Team],Games[[#This Row],[Team]],Games[Season],Games[[#This Row],[Season]],Games[Date],"&lt;=" &amp; Games[[#This Row],[Date]])</f>
        <v>11</v>
      </c>
      <c r="D151" s="2" t="s">
        <v>23</v>
      </c>
      <c r="E151" s="2" t="s">
        <v>29</v>
      </c>
      <c r="F151" s="1" t="s">
        <v>65</v>
      </c>
      <c r="G151" s="1" t="s">
        <v>87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1" s="2">
        <f>Games[[#This Row],[DaysOff]]-Games[[#This Row],[OppDaysOff]]</f>
        <v>-2</v>
      </c>
      <c r="L151" s="2">
        <f>Games[[#This Row],[OppDaysOff]]-Games[[#This Row],[DaysOff]]</f>
        <v>2</v>
      </c>
      <c r="M151" s="1">
        <f>MAX(-16, MIN(16, Games[[#This Row],[RestDiff]]*8))</f>
        <v>-16</v>
      </c>
      <c r="N151" s="1">
        <f>MAX(-16, MIN(16, Games[[#This Row],[OppRestDiff]]*8))</f>
        <v>16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1481.1305019740867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1417.0909217144247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0.66105014411249707</v>
      </c>
      <c r="R151" s="1">
        <v>71</v>
      </c>
      <c r="S151" s="1">
        <v>69</v>
      </c>
      <c r="T151" s="1">
        <v>0</v>
      </c>
      <c r="U151" s="1">
        <f>Games[[#This Row],[PointsFor]]-Games[[#This Row],[PointsAgainst]]</f>
        <v>2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0.25427177280760394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74.349999999999994</v>
      </c>
      <c r="Z151" s="4">
        <f>Games[[#This Row],[K]]*Games[[#This Row],[POMult]]</f>
        <v>74.349999999999994</v>
      </c>
      <c r="AA151" s="4">
        <f>(Games[[#This Row],[Keff]]*Games[[#This Row],[MOVMult]])*(Games[[#This Row],[Result]]-Games[[#This Row],[ExpectedWin%]])</f>
        <v>6.407883058717684</v>
      </c>
      <c r="AB151" s="4">
        <f>Games[[#This Row],[PreGmRate]]+Games[[#This Row],[RatingChange]]</f>
        <v>1487.5383850328044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40005</v>
      </c>
      <c r="B152" s="2">
        <v>2009</v>
      </c>
      <c r="C152" s="2">
        <f>COUNTIFS(Games[Team],Games[[#This Row],[Team]],Games[Season],Games[[#This Row],[Season]],Games[Date],"&lt;=" &amp; Games[[#This Row],[Date]])</f>
        <v>14</v>
      </c>
      <c r="D152" s="2" t="s">
        <v>23</v>
      </c>
      <c r="E152" s="2" t="s">
        <v>29</v>
      </c>
      <c r="F152" s="1" t="s">
        <v>44</v>
      </c>
      <c r="G152" s="1" t="s">
        <v>45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1</v>
      </c>
      <c r="L152" s="2">
        <f>Games[[#This Row],[OppDaysOff]]-Games[[#This Row],[DaysOff]]</f>
        <v>-1</v>
      </c>
      <c r="M152" s="1">
        <f>MAX(-16, MIN(16, Games[[#This Row],[RestDiff]]*8))</f>
        <v>8</v>
      </c>
      <c r="N152" s="1">
        <f>MAX(-16, MIN(16, Games[[#This Row],[OppRestDiff]]*8))</f>
        <v>-8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1568.9298629752511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1455.4409195997223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0.56509233718683072</v>
      </c>
      <c r="R152" s="1">
        <v>107</v>
      </c>
      <c r="S152" s="1">
        <v>105</v>
      </c>
      <c r="T152" s="1">
        <v>0</v>
      </c>
      <c r="U152" s="1">
        <f>Games[[#This Row],[PointsFor]]-Games[[#This Row],[PointsAgainst]]</f>
        <v>2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0.24469911725759555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73.900000000000006</v>
      </c>
      <c r="Z152" s="4">
        <f>Games[[#This Row],[K]]*Games[[#This Row],[POMult]]</f>
        <v>73.900000000000006</v>
      </c>
      <c r="AA152" s="4">
        <f>(Games[[#This Row],[Keff]]*Games[[#This Row],[MOVMult]])*(Games[[#This Row],[Result]]-Games[[#This Row],[ExpectedWin%]])</f>
        <v>7.8645504151241497</v>
      </c>
      <c r="AB152" s="4">
        <f>Games[[#This Row],[PreGmRate]]+Games[[#This Row],[RatingChange]]</f>
        <v>1576.7944133903752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40005</v>
      </c>
      <c r="B153" s="2">
        <v>2009</v>
      </c>
      <c r="C153" s="2">
        <f>COUNTIFS(Games[Team],Games[[#This Row],[Team]],Games[Season],Games[[#This Row],[Season]],Games[Date],"&lt;=" &amp; Games[[#This Row],[Date]])</f>
        <v>13</v>
      </c>
      <c r="D153" s="2" t="s">
        <v>23</v>
      </c>
      <c r="E153" s="2" t="s">
        <v>29</v>
      </c>
      <c r="F153" s="1" t="s">
        <v>45</v>
      </c>
      <c r="G153" s="1" t="s">
        <v>44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3" s="2">
        <f>Games[[#This Row],[DaysOff]]-Games[[#This Row],[OppDaysOff]]</f>
        <v>-1</v>
      </c>
      <c r="L153" s="2">
        <f>Games[[#This Row],[OppDaysOff]]-Games[[#This Row],[DaysOff]]</f>
        <v>1</v>
      </c>
      <c r="M153" s="1">
        <f>MAX(-16, MIN(16, Games[[#This Row],[RestDiff]]*8))</f>
        <v>-8</v>
      </c>
      <c r="N153" s="1">
        <f>MAX(-16, MIN(16, Games[[#This Row],[OppRestDiff]]*8))</f>
        <v>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1455.4409195997223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1568.9298629752511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0.43490766281316934</v>
      </c>
      <c r="R153" s="1">
        <v>105</v>
      </c>
      <c r="S153" s="1">
        <v>107</v>
      </c>
      <c r="T153" s="1">
        <v>0</v>
      </c>
      <c r="U153" s="1">
        <f>Games[[#This Row],[PointsFor]]-Games[[#This Row],[PointsAgainst]]</f>
        <v>-2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0.24469911725759555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-7.8805136433009917</v>
      </c>
      <c r="AB153" s="4">
        <f>Games[[#This Row],[PreGmRate]]+Games[[#This Row],[RatingChange]]</f>
        <v>1447.5604059564214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40005</v>
      </c>
      <c r="B154" s="2">
        <v>2009</v>
      </c>
      <c r="C154" s="2">
        <f>COUNTIFS(Games[Team],Games[[#This Row],[Team]],Games[Season],Games[[#This Row],[Season]],Games[Date],"&lt;=" &amp; Games[[#This Row],[Date]])</f>
        <v>11</v>
      </c>
      <c r="D154" s="2" t="s">
        <v>23</v>
      </c>
      <c r="E154" s="2" t="s">
        <v>29</v>
      </c>
      <c r="F154" s="1" t="s">
        <v>68</v>
      </c>
      <c r="G154" s="1" t="s">
        <v>71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4" s="2">
        <f>Games[[#This Row],[DaysOff]]-Games[[#This Row],[OppDaysOff]]</f>
        <v>-2</v>
      </c>
      <c r="L154" s="2">
        <f>Games[[#This Row],[OppDaysOff]]-Games[[#This Row],[DaysOff]]</f>
        <v>2</v>
      </c>
      <c r="M154" s="1">
        <f>MAX(-16, MIN(16, Games[[#This Row],[RestDiff]]*8))</f>
        <v>-16</v>
      </c>
      <c r="N154" s="1">
        <f>MAX(-16, MIN(16, Games[[#This Row],[OppRestDiff]]*8))</f>
        <v>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1527.3129153102163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1439.6159310383807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0.45935854749433003</v>
      </c>
      <c r="R154" s="1">
        <v>63</v>
      </c>
      <c r="S154" s="1">
        <v>75</v>
      </c>
      <c r="T154" s="1">
        <v>0</v>
      </c>
      <c r="U154" s="1">
        <f>Games[[#This Row],[PointsFor]]-Games[[#This Row],[PointsAgainst]]</f>
        <v>-12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0.42506532078380715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74.349999999999994</v>
      </c>
      <c r="Z154" s="4">
        <f>Games[[#This Row],[K]]*Games[[#This Row],[POMult]]</f>
        <v>74.349999999999994</v>
      </c>
      <c r="AA154" s="4">
        <f>(Games[[#This Row],[Keff]]*Games[[#This Row],[MOVMult]])*(Games[[#This Row],[Result]]-Games[[#This Row],[ExpectedWin%]])</f>
        <v>-14.517386823485031</v>
      </c>
      <c r="AB154" s="4">
        <f>Games[[#This Row],[PreGmRate]]+Games[[#This Row],[RatingChange]]</f>
        <v>1512.7955284867312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40005</v>
      </c>
      <c r="B155" s="2">
        <v>2009</v>
      </c>
      <c r="C155" s="2">
        <f>COUNTIFS(Games[Team],Games[[#This Row],[Team]],Games[Season],Games[[#This Row],[Season]],Games[Date],"&lt;=" &amp; Games[[#This Row],[Date]])</f>
        <v>11</v>
      </c>
      <c r="D155" s="2" t="s">
        <v>23</v>
      </c>
      <c r="E155" s="2" t="s">
        <v>29</v>
      </c>
      <c r="F155" s="1" t="s">
        <v>71</v>
      </c>
      <c r="G155" s="1" t="s">
        <v>68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2</v>
      </c>
      <c r="L155" s="2">
        <f>Games[[#This Row],[OppDaysOff]]-Games[[#This Row],[DaysOff]]</f>
        <v>-2</v>
      </c>
      <c r="M155" s="1">
        <f>MAX(-16, MIN(16, Games[[#This Row],[RestDiff]]*8))</f>
        <v>16</v>
      </c>
      <c r="N155" s="1">
        <f>MAX(-16, MIN(16, Games[[#This Row],[OppRestDiff]]*8))</f>
        <v>-16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1439.6159310383807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1527.3129153102163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0.54064145250567008</v>
      </c>
      <c r="R155" s="1">
        <v>75</v>
      </c>
      <c r="S155" s="1">
        <v>63</v>
      </c>
      <c r="T155" s="1">
        <v>0</v>
      </c>
      <c r="U155" s="1">
        <f>Games[[#This Row],[PointsFor]]-Games[[#This Row],[PointsAgainst]]</f>
        <v>12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0.42506532078380715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74.349999999999994</v>
      </c>
      <c r="Z155" s="4">
        <f>Games[[#This Row],[K]]*Games[[#This Row],[POMult]]</f>
        <v>74.349999999999994</v>
      </c>
      <c r="AA155" s="4">
        <f>(Games[[#This Row],[Keff]]*Games[[#This Row],[MOVMult]])*(Games[[#This Row],[Result]]-Games[[#This Row],[ExpectedWin%]])</f>
        <v>14.517386823485028</v>
      </c>
      <c r="AB155" s="4">
        <f>Games[[#This Row],[PreGmRate]]+Games[[#This Row],[RatingChange]]</f>
        <v>1454.1333178618659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40006</v>
      </c>
      <c r="B156" s="2">
        <v>2009</v>
      </c>
      <c r="C156" s="2">
        <f>COUNTIFS(Games[Team],Games[[#This Row],[Team]],Games[Season],Games[[#This Row],[Season]],Games[Date],"&lt;=" &amp; Games[[#This Row],[Date]])</f>
        <v>14</v>
      </c>
      <c r="D156" s="2" t="s">
        <v>23</v>
      </c>
      <c r="E156" s="2" t="s">
        <v>29</v>
      </c>
      <c r="F156" s="1" t="s">
        <v>75</v>
      </c>
      <c r="G156" s="1" t="s">
        <v>82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1503.7763822282873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1531.3237085455041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0.34476791358838826</v>
      </c>
      <c r="R156" s="1">
        <v>83</v>
      </c>
      <c r="S156" s="1">
        <v>76</v>
      </c>
      <c r="T156" s="1">
        <v>0</v>
      </c>
      <c r="U156" s="1">
        <f>Games[[#This Row],[PointsFor]]-Games[[#This Row],[PointsAgainst]]</f>
        <v>7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0.36180161649410364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73.900000000000006</v>
      </c>
      <c r="Z156" s="4">
        <f>Games[[#This Row],[K]]*Games[[#This Row],[POMult]]</f>
        <v>73.900000000000006</v>
      </c>
      <c r="AA156" s="4">
        <f>(Games[[#This Row],[Keff]]*Games[[#This Row],[MOVMult]])*(Games[[#This Row],[Result]]-Games[[#This Row],[ExpectedWin%]])</f>
        <v>17.519031672342621</v>
      </c>
      <c r="AB156" s="4">
        <f>Games[[#This Row],[PreGmRate]]+Games[[#This Row],[RatingChange]]</f>
        <v>1521.2954139006299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40006</v>
      </c>
      <c r="B157" s="2">
        <v>2009</v>
      </c>
      <c r="C157" s="2">
        <f>COUNTIFS(Games[Team],Games[[#This Row],[Team]],Games[Season],Games[[#This Row],[Season]],Games[Date],"&lt;=" &amp; Games[[#This Row],[Date]])</f>
        <v>11</v>
      </c>
      <c r="D157" s="2" t="s">
        <v>23</v>
      </c>
      <c r="E157" s="2" t="s">
        <v>29</v>
      </c>
      <c r="F157" s="1" t="s">
        <v>82</v>
      </c>
      <c r="G157" s="1" t="s">
        <v>75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1531.3237085455041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1503.7763822282873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0.65523208641161168</v>
      </c>
      <c r="R157" s="1">
        <v>76</v>
      </c>
      <c r="S157" s="1">
        <v>83</v>
      </c>
      <c r="T157" s="1">
        <v>0</v>
      </c>
      <c r="U157" s="1">
        <f>Games[[#This Row],[PointsFor]]-Games[[#This Row],[PointsAgainst]]</f>
        <v>-7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0.36180161649410364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74.349999999999994</v>
      </c>
      <c r="Z157" s="4">
        <f>Games[[#This Row],[K]]*Games[[#This Row],[POMult]]</f>
        <v>74.349999999999994</v>
      </c>
      <c r="AA157" s="4">
        <f>(Games[[#This Row],[Keff]]*Games[[#This Row],[MOVMult]])*(Games[[#This Row],[Result]]-Games[[#This Row],[ExpectedWin%]])</f>
        <v>-17.625710484961754</v>
      </c>
      <c r="AB157" s="4">
        <f>Games[[#This Row],[PreGmRate]]+Games[[#This Row],[RatingChange]]</f>
        <v>1513.6979980605424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40006</v>
      </c>
      <c r="B158" s="2">
        <v>2009</v>
      </c>
      <c r="C158" s="2">
        <f>COUNTIFS(Games[Team],Games[[#This Row],[Team]],Games[Season],Games[[#This Row],[Season]],Games[Date],"&lt;=" &amp; Games[[#This Row],[Date]])</f>
        <v>14</v>
      </c>
      <c r="D158" s="2" t="s">
        <v>23</v>
      </c>
      <c r="E158" s="2" t="s">
        <v>29</v>
      </c>
      <c r="F158" s="1" t="s">
        <v>85</v>
      </c>
      <c r="G158" s="1" t="s">
        <v>79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-1</v>
      </c>
      <c r="L158" s="2">
        <f>Games[[#This Row],[OppDaysOff]]-Games[[#This Row],[DaysOff]]</f>
        <v>1</v>
      </c>
      <c r="M158" s="1">
        <f>MAX(-16, MIN(16, Games[[#This Row],[RestDiff]]*8))</f>
        <v>-8</v>
      </c>
      <c r="N158" s="1">
        <f>MAX(-16, MIN(16, Games[[#This Row],[OppRestDiff]]*8))</f>
        <v>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1422.4272479492245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1572.5457777233487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0.19157663208795031</v>
      </c>
      <c r="R158" s="1">
        <v>86</v>
      </c>
      <c r="S158" s="1">
        <v>81</v>
      </c>
      <c r="T158" s="1">
        <v>0</v>
      </c>
      <c r="U158" s="1">
        <f>Games[[#This Row],[PointsFor]]-Games[[#This Row],[PointsAgainst]]</f>
        <v>5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0.29486831102162625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17.616166205102761</v>
      </c>
      <c r="AB158" s="4">
        <f>Games[[#This Row],[PreGmRate]]+Games[[#This Row],[RatingChange]]</f>
        <v>1440.0434141543271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40006</v>
      </c>
      <c r="B159" s="2">
        <v>2009</v>
      </c>
      <c r="C159" s="2">
        <f>COUNTIFS(Games[Team],Games[[#This Row],[Team]],Games[Season],Games[[#This Row],[Season]],Games[Date],"&lt;=" &amp; Games[[#This Row],[Date]])</f>
        <v>13</v>
      </c>
      <c r="D159" s="2" t="s">
        <v>23</v>
      </c>
      <c r="E159" s="2" t="s">
        <v>29</v>
      </c>
      <c r="F159" s="1" t="s">
        <v>79</v>
      </c>
      <c r="G159" s="1" t="s">
        <v>85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1</v>
      </c>
      <c r="L159" s="2">
        <f>Games[[#This Row],[OppDaysOff]]-Games[[#This Row],[DaysOff]]</f>
        <v>-1</v>
      </c>
      <c r="M159" s="1">
        <f>MAX(-16, MIN(16, Games[[#This Row],[RestDiff]]*8))</f>
        <v>8</v>
      </c>
      <c r="N159" s="1">
        <f>MAX(-16, MIN(16, Games[[#This Row],[OppRestDiff]]*8))</f>
        <v>-8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1572.5457777233487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1422.4272479492245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0.80842336791204972</v>
      </c>
      <c r="R159" s="1">
        <v>81</v>
      </c>
      <c r="S159" s="1">
        <v>86</v>
      </c>
      <c r="T159" s="1">
        <v>0</v>
      </c>
      <c r="U159" s="1">
        <f>Games[[#This Row],[PointsFor]]-Games[[#This Row],[PointsAgainst]]</f>
        <v>-5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0.29486831102162625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74.05</v>
      </c>
      <c r="Z159" s="4">
        <f>Games[[#This Row],[K]]*Games[[#This Row],[POMult]]</f>
        <v>74.05</v>
      </c>
      <c r="AA159" s="4">
        <f>(Games[[#This Row],[Keff]]*Games[[#This Row],[MOVMult]])*(Games[[#This Row],[Result]]-Games[[#This Row],[ExpectedWin%]])</f>
        <v>-17.651922970065755</v>
      </c>
      <c r="AB159" s="4">
        <f>Games[[#This Row],[PreGmRate]]+Games[[#This Row],[RatingChange]]</f>
        <v>1554.893854753283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40008</v>
      </c>
      <c r="B160" s="2">
        <v>2009</v>
      </c>
      <c r="C160" s="2">
        <f>COUNTIFS(Games[Team],Games[[#This Row],[Team]],Games[Season],Games[[#This Row],[Season]],Games[Date],"&lt;=" &amp; Games[[#This Row],[Date]])</f>
        <v>12</v>
      </c>
      <c r="D160" s="2" t="s">
        <v>23</v>
      </c>
      <c r="E160" s="2" t="s">
        <v>29</v>
      </c>
      <c r="F160" s="1" t="s">
        <v>68</v>
      </c>
      <c r="G160" s="1" t="s">
        <v>84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1512.7955284867312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1509.084019506389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0.38646933868772793</v>
      </c>
      <c r="R160" s="1">
        <v>71</v>
      </c>
      <c r="S160" s="1">
        <v>82</v>
      </c>
      <c r="T160" s="1">
        <v>0</v>
      </c>
      <c r="U160" s="1">
        <f>Games[[#This Row],[PointsFor]]-Games[[#This Row],[PointsAgainst]]</f>
        <v>-11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0.43847978553952438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74.2</v>
      </c>
      <c r="Z160" s="4">
        <f>Games[[#This Row],[K]]*Games[[#This Row],[POMult]]</f>
        <v>74.2</v>
      </c>
      <c r="AA160" s="4">
        <f>(Games[[#This Row],[Keff]]*Games[[#This Row],[MOVMult]])*(Games[[#This Row],[Result]]-Games[[#This Row],[ExpectedWin%]])</f>
        <v>-12.57385726170844</v>
      </c>
      <c r="AB160" s="4">
        <f>Games[[#This Row],[PreGmRate]]+Games[[#This Row],[RatingChange]]</f>
        <v>1500.2216712250229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40008</v>
      </c>
      <c r="B161" s="2">
        <v>2009</v>
      </c>
      <c r="C161" s="2">
        <f>COUNTIFS(Games[Team],Games[[#This Row],[Team]],Games[Season],Games[[#This Row],[Season]],Games[Date],"&lt;=" &amp; Games[[#This Row],[Date]])</f>
        <v>12</v>
      </c>
      <c r="D161" s="2" t="s">
        <v>23</v>
      </c>
      <c r="E161" s="2" t="s">
        <v>29</v>
      </c>
      <c r="F161" s="1" t="s">
        <v>84</v>
      </c>
      <c r="G161" s="1" t="s">
        <v>68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1509.084019506389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1512.7955284867312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0.61353066131227207</v>
      </c>
      <c r="R161" s="1">
        <v>82</v>
      </c>
      <c r="S161" s="1">
        <v>71</v>
      </c>
      <c r="T161" s="1">
        <v>0</v>
      </c>
      <c r="U161" s="1">
        <f>Games[[#This Row],[PointsFor]]-Games[[#This Row],[PointsAgainst]]</f>
        <v>11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0.43847978553952438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74.2</v>
      </c>
      <c r="Z161" s="4">
        <f>Games[[#This Row],[K]]*Games[[#This Row],[POMult]]</f>
        <v>74.2</v>
      </c>
      <c r="AA161" s="4">
        <f>(Games[[#This Row],[Keff]]*Games[[#This Row],[MOVMult]])*(Games[[#This Row],[Result]]-Games[[#This Row],[ExpectedWin%]])</f>
        <v>12.57385726170844</v>
      </c>
      <c r="AB161" s="4">
        <f>Games[[#This Row],[PreGmRate]]+Games[[#This Row],[RatingChange]]</f>
        <v>1521.6578767680976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40009</v>
      </c>
      <c r="B162" s="2">
        <v>2009</v>
      </c>
      <c r="C162" s="2">
        <f>COUNTIFS(Games[Team],Games[[#This Row],[Team]],Games[Season],Games[[#This Row],[Season]],Games[Date],"&lt;=" &amp; Games[[#This Row],[Date]])</f>
        <v>15</v>
      </c>
      <c r="D162" s="2" t="s">
        <v>23</v>
      </c>
      <c r="E162" s="2" t="s">
        <v>29</v>
      </c>
      <c r="F162" s="1" t="s">
        <v>85</v>
      </c>
      <c r="G162" s="1" t="s">
        <v>77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2" s="2">
        <f>Games[[#This Row],[DaysOff]]-Games[[#This Row],[OppDaysOff]]</f>
        <v>-2</v>
      </c>
      <c r="L162" s="2">
        <f>Games[[#This Row],[OppDaysOff]]-Games[[#This Row],[DaysOff]]</f>
        <v>2</v>
      </c>
      <c r="M162" s="1">
        <f>MAX(-16, MIN(16, Games[[#This Row],[RestDiff]]*8))</f>
        <v>-16</v>
      </c>
      <c r="N162" s="1">
        <f>MAX(-16, MIN(16, Games[[#This Row],[OppRestDiff]]*8))</f>
        <v>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1440.0434141543271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1583.6921061317873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0.18322361337601081</v>
      </c>
      <c r="R162" s="1">
        <v>74</v>
      </c>
      <c r="S162" s="1">
        <v>84</v>
      </c>
      <c r="T162" s="1">
        <v>0</v>
      </c>
      <c r="U162" s="1">
        <f>Games[[#This Row],[PointsFor]]-Games[[#This Row],[PointsAgainst]]</f>
        <v>-10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0.37789315185613886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73.75</v>
      </c>
      <c r="Z162" s="4">
        <f>Games[[#This Row],[K]]*Games[[#This Row],[POMult]]</f>
        <v>73.75</v>
      </c>
      <c r="AA162" s="4">
        <f>(Games[[#This Row],[Keff]]*Games[[#This Row],[MOVMult]])*(Games[[#This Row],[Result]]-Games[[#This Row],[ExpectedWin%]])</f>
        <v>-5.1063724705434357</v>
      </c>
      <c r="AB162" s="4">
        <f>Games[[#This Row],[PreGmRate]]+Games[[#This Row],[RatingChange]]</f>
        <v>1434.9370416837837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40009</v>
      </c>
      <c r="B163" s="2">
        <v>2009</v>
      </c>
      <c r="C163" s="2">
        <f>COUNTIFS(Games[Team],Games[[#This Row],[Team]],Games[Season],Games[[#This Row],[Season]],Games[Date],"&lt;=" &amp; Games[[#This Row],[Date]])</f>
        <v>12</v>
      </c>
      <c r="D163" s="2" t="s">
        <v>23</v>
      </c>
      <c r="E163" s="2" t="s">
        <v>29</v>
      </c>
      <c r="F163" s="1" t="s">
        <v>77</v>
      </c>
      <c r="G163" s="1" t="s">
        <v>85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3" s="2">
        <f>Games[[#This Row],[DaysOff]]-Games[[#This Row],[OppDaysOff]]</f>
        <v>2</v>
      </c>
      <c r="L163" s="2">
        <f>Games[[#This Row],[OppDaysOff]]-Games[[#This Row],[DaysOff]]</f>
        <v>-2</v>
      </c>
      <c r="M163" s="1">
        <f>MAX(-16, MIN(16, Games[[#This Row],[RestDiff]]*8))</f>
        <v>16</v>
      </c>
      <c r="N163" s="1">
        <f>MAX(-16, MIN(16, Games[[#This Row],[OppRestDiff]]*8))</f>
        <v>-16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1583.6921061317873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1440.0434141543271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0.81677638662398921</v>
      </c>
      <c r="R163" s="1">
        <v>84</v>
      </c>
      <c r="S163" s="1">
        <v>74</v>
      </c>
      <c r="T163" s="1">
        <v>0</v>
      </c>
      <c r="U163" s="1">
        <f>Games[[#This Row],[PointsFor]]-Games[[#This Row],[PointsAgainst]]</f>
        <v>10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0.37789315185613886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74.2</v>
      </c>
      <c r="Z163" s="4">
        <f>Games[[#This Row],[K]]*Games[[#This Row],[POMult]]</f>
        <v>74.2</v>
      </c>
      <c r="AA163" s="4">
        <f>(Games[[#This Row],[Keff]]*Games[[#This Row],[MOVMult]])*(Games[[#This Row],[Result]]-Games[[#This Row],[ExpectedWin%]])</f>
        <v>5.1375299974823445</v>
      </c>
      <c r="AB163" s="4">
        <f>Games[[#This Row],[PreGmRate]]+Games[[#This Row],[RatingChange]]</f>
        <v>1588.8296361292696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40009</v>
      </c>
      <c r="B164" s="2">
        <v>2009</v>
      </c>
      <c r="C164" s="2">
        <f>COUNTIFS(Games[Team],Games[[#This Row],[Team]],Games[Season],Games[[#This Row],[Season]],Games[Date],"&lt;=" &amp; Games[[#This Row],[Date]])</f>
        <v>15</v>
      </c>
      <c r="D164" s="2" t="s">
        <v>23</v>
      </c>
      <c r="E164" s="2" t="s">
        <v>29</v>
      </c>
      <c r="F164" s="1" t="s">
        <v>87</v>
      </c>
      <c r="G164" s="1" t="s">
        <v>75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4" s="2">
        <f>Games[[#This Row],[DaysOff]]-Games[[#This Row],[OppDaysOff]]</f>
        <v>1</v>
      </c>
      <c r="L164" s="2">
        <f>Games[[#This Row],[OppDaysOff]]-Games[[#This Row],[DaysOff]]</f>
        <v>-1</v>
      </c>
      <c r="M164" s="1">
        <f>MAX(-16, MIN(16, Games[[#This Row],[RestDiff]]*8))</f>
        <v>8</v>
      </c>
      <c r="N164" s="1">
        <f>MAX(-16, MIN(16, Games[[#This Row],[OppRestDiff]]*8))</f>
        <v>-8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1410.7218220770442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1521.2954139006299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0.26348130036493422</v>
      </c>
      <c r="R164" s="1">
        <v>91</v>
      </c>
      <c r="S164" s="1">
        <v>77</v>
      </c>
      <c r="T164" s="1">
        <v>0</v>
      </c>
      <c r="U164" s="1">
        <f>Games[[#This Row],[PointsFor]]-Games[[#This Row],[PointsAgainst]]</f>
        <v>14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0.44646842259864861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73.75</v>
      </c>
      <c r="Z164" s="4">
        <f>Games[[#This Row],[K]]*Games[[#This Row],[POMult]]</f>
        <v>73.75</v>
      </c>
      <c r="AA164" s="4">
        <f>(Games[[#This Row],[Keff]]*Games[[#This Row],[MOVMult]])*(Games[[#This Row],[Result]]-Games[[#This Row],[ExpectedWin%]])</f>
        <v>24.251385225485084</v>
      </c>
      <c r="AB164" s="4">
        <f>Games[[#This Row],[PreGmRate]]+Games[[#This Row],[RatingChange]]</f>
        <v>1434.9732073025293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40009</v>
      </c>
      <c r="B165" s="2">
        <v>2009</v>
      </c>
      <c r="C165" s="2">
        <f>COUNTIFS(Games[Team],Games[[#This Row],[Team]],Games[Season],Games[[#This Row],[Season]],Games[Date],"&lt;=" &amp; Games[[#This Row],[Date]])</f>
        <v>15</v>
      </c>
      <c r="D165" s="2" t="s">
        <v>23</v>
      </c>
      <c r="E165" s="2" t="s">
        <v>29</v>
      </c>
      <c r="F165" s="1" t="s">
        <v>75</v>
      </c>
      <c r="G165" s="1" t="s">
        <v>87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5" s="2">
        <f>Games[[#This Row],[DaysOff]]-Games[[#This Row],[OppDaysOff]]</f>
        <v>-1</v>
      </c>
      <c r="L165" s="2">
        <f>Games[[#This Row],[OppDaysOff]]-Games[[#This Row],[DaysOff]]</f>
        <v>1</v>
      </c>
      <c r="M165" s="1">
        <f>MAX(-16, MIN(16, Games[[#This Row],[RestDiff]]*8))</f>
        <v>-8</v>
      </c>
      <c r="N165" s="1">
        <f>MAX(-16, MIN(16, Games[[#This Row],[OppRestDiff]]*8))</f>
        <v>8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1521.2954139006299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1410.7218220770442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0.73651869963506578</v>
      </c>
      <c r="R165" s="1">
        <v>77</v>
      </c>
      <c r="S165" s="1">
        <v>91</v>
      </c>
      <c r="T165" s="1">
        <v>0</v>
      </c>
      <c r="U165" s="1">
        <f>Games[[#This Row],[PointsFor]]-Games[[#This Row],[PointsAgainst]]</f>
        <v>-14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0.44646842259864861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73.75</v>
      </c>
      <c r="Z165" s="4">
        <f>Games[[#This Row],[K]]*Games[[#This Row],[POMult]]</f>
        <v>73.75</v>
      </c>
      <c r="AA165" s="4">
        <f>(Games[[#This Row],[Keff]]*Games[[#This Row],[MOVMult]])*(Games[[#This Row],[Result]]-Games[[#This Row],[ExpectedWin%]])</f>
        <v>-24.251385225485084</v>
      </c>
      <c r="AB165" s="4">
        <f>Games[[#This Row],[PreGmRate]]+Games[[#This Row],[RatingChange]]</f>
        <v>1497.0440286751448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40009</v>
      </c>
      <c r="B166" s="2">
        <v>2009</v>
      </c>
      <c r="C166" s="2">
        <f>COUNTIFS(Games[Team],Games[[#This Row],[Team]],Games[Season],Games[[#This Row],[Season]],Games[Date],"&lt;=" &amp; Games[[#This Row],[Date]])</f>
        <v>14</v>
      </c>
      <c r="D166" s="2" t="s">
        <v>23</v>
      </c>
      <c r="E166" s="2" t="s">
        <v>29</v>
      </c>
      <c r="F166" s="1" t="s">
        <v>45</v>
      </c>
      <c r="G166" s="1" t="s">
        <v>44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1447.5604059564214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1576.7944133903752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0.22662390768810586</v>
      </c>
      <c r="R166" s="1">
        <v>81</v>
      </c>
      <c r="S166" s="1">
        <v>100</v>
      </c>
      <c r="T166" s="1">
        <v>0</v>
      </c>
      <c r="U166" s="1">
        <f>Games[[#This Row],[PointsFor]]-Games[[#This Row],[PointsAgainst]]</f>
        <v>-19</v>
      </c>
      <c r="V166" s="1">
        <f>IF(Games[[#This Row],[MOV]]&gt;0,1,IF(Games[[#This Row],[MOV]]=0,0.5,0))</f>
        <v>0</v>
      </c>
      <c r="W166" s="4">
        <f>((ABS(Games[[#This Row],[MOV]])+5)^0.6)/(12+0.01*(ABS(Games[[#This Row],[PreGmRate]]-Games[[#This Row],[OppPreGmRate]])))*IF(Games[[#This Row],[OT]]=1,0.9,1)</f>
        <v>0.50643685273088979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73.900000000000006</v>
      </c>
      <c r="Z166" s="4">
        <f>Games[[#This Row],[K]]*Games[[#This Row],[POMult]]</f>
        <v>73.900000000000006</v>
      </c>
      <c r="AA166" s="4">
        <f>(Games[[#This Row],[Keff]]*Games[[#This Row],[MOVMult]])*(Games[[#This Row],[Result]]-Games[[#This Row],[ExpectedWin%]])</f>
        <v>-8.4815546238160486</v>
      </c>
      <c r="AB166" s="4">
        <f>Games[[#This Row],[PreGmRate]]+Games[[#This Row],[RatingChange]]</f>
        <v>1439.0788513326054</v>
      </c>
      <c r="AC166" s="2">
        <f>IF(Games[[#This Row],[Type]]="R",IF(Games[[#This Row],[Result]]&gt;0.5,1,0),0)</f>
        <v>0</v>
      </c>
      <c r="AD166" s="2">
        <f>IF(Games[[#This Row],[Type]]="R",IF(Games[[#This Row],[Result]]&lt;0.5,1,0),0)</f>
        <v>1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40009</v>
      </c>
      <c r="B167" s="2">
        <v>2009</v>
      </c>
      <c r="C167" s="2">
        <f>COUNTIFS(Games[Team],Games[[#This Row],[Team]],Games[Season],Games[[#This Row],[Season]],Games[Date],"&lt;=" &amp; Games[[#This Row],[Date]])</f>
        <v>15</v>
      </c>
      <c r="D167" s="2" t="s">
        <v>23</v>
      </c>
      <c r="E167" s="2" t="s">
        <v>29</v>
      </c>
      <c r="F167" s="1" t="s">
        <v>44</v>
      </c>
      <c r="G167" s="1" t="s">
        <v>45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1576.7944133903752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1447.5604059564214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0.77337609231189419</v>
      </c>
      <c r="R167" s="1">
        <v>100</v>
      </c>
      <c r="S167" s="1">
        <v>81</v>
      </c>
      <c r="T167" s="1">
        <v>0</v>
      </c>
      <c r="U167" s="1">
        <f>Games[[#This Row],[PointsFor]]-Games[[#This Row],[PointsAgainst]]</f>
        <v>19</v>
      </c>
      <c r="V167" s="1">
        <f>IF(Games[[#This Row],[MOV]]&gt;0,1,IF(Games[[#This Row],[MOV]]=0,0.5,0))</f>
        <v>1</v>
      </c>
      <c r="W167" s="4">
        <f>((ABS(Games[[#This Row],[MOV]])+5)^0.6)/(12+0.01*(ABS(Games[[#This Row],[PreGmRate]]-Games[[#This Row],[OppPreGmRate]])))*IF(Games[[#This Row],[OT]]=1,0.9,1)</f>
        <v>0.50643685273088979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73.75</v>
      </c>
      <c r="Z167" s="4">
        <f>Games[[#This Row],[K]]*Games[[#This Row],[POMult]]</f>
        <v>73.75</v>
      </c>
      <c r="AA167" s="4">
        <f>(Games[[#This Row],[Keff]]*Games[[#This Row],[MOVMult]])*(Games[[#This Row],[Result]]-Games[[#This Row],[ExpectedWin%]])</f>
        <v>8.4643390190315753</v>
      </c>
      <c r="AB167" s="4">
        <f>Games[[#This Row],[PreGmRate]]+Games[[#This Row],[RatingChange]]</f>
        <v>1585.2587524094067</v>
      </c>
      <c r="AC167" s="2">
        <f>IF(Games[[#This Row],[Type]]="R",IF(Games[[#This Row],[Result]]&gt;0.5,1,0),0)</f>
        <v>1</v>
      </c>
      <c r="AD167" s="2">
        <f>IF(Games[[#This Row],[Type]]="R",IF(Games[[#This Row],[Result]]&lt;0.5,1,0),0)</f>
        <v>0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40009</v>
      </c>
      <c r="B168" s="2">
        <v>2009</v>
      </c>
      <c r="C168" s="2">
        <f>COUNTIFS(Games[Team],Games[[#This Row],[Team]],Games[Season],Games[[#This Row],[Season]],Games[Date],"&lt;=" &amp; Games[[#This Row],[Date]])</f>
        <v>11</v>
      </c>
      <c r="D168" s="2" t="s">
        <v>23</v>
      </c>
      <c r="E168" s="2" t="s">
        <v>29</v>
      </c>
      <c r="F168" s="1" t="s">
        <v>73</v>
      </c>
      <c r="G168" s="1" t="s">
        <v>79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8" s="2">
        <f>Games[[#This Row],[DaysOff]]-Games[[#This Row],[OppDaysOff]]</f>
        <v>1</v>
      </c>
      <c r="L168" s="2">
        <f>Games[[#This Row],[OppDaysOff]]-Games[[#This Row],[DaysOff]]</f>
        <v>-1</v>
      </c>
      <c r="M168" s="1">
        <f>MAX(-16, MIN(16, Games[[#This Row],[RestDiff]]*8))</f>
        <v>8</v>
      </c>
      <c r="N168" s="1">
        <f>MAX(-16, MIN(16, Games[[#This Row],[OppRestDiff]]*8))</f>
        <v>-8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1504.9018470859719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1554.893854753283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0.33643617292656036</v>
      </c>
      <c r="R168" s="1">
        <v>66</v>
      </c>
      <c r="S168" s="1">
        <v>63</v>
      </c>
      <c r="T168" s="1">
        <v>0</v>
      </c>
      <c r="U168" s="1">
        <f>Games[[#This Row],[PointsFor]]-Games[[#This Row],[PointsAgainst]]</f>
        <v>3</v>
      </c>
      <c r="V168" s="1">
        <f>IF(Games[[#This Row],[MOV]]&gt;0,1,IF(Games[[#This Row],[MOV]]=0,0.5,0))</f>
        <v>1</v>
      </c>
      <c r="W168" s="4">
        <f>((ABS(Games[[#This Row],[MOV]])+5)^0.6)/(12+0.01*(ABS(Games[[#This Row],[PreGmRate]]-Games[[#This Row],[OppPreGmRate]])))*IF(Games[[#This Row],[OT]]=1,0.9,1)</f>
        <v>0.27857796144495783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74.349999999999994</v>
      </c>
      <c r="Z168" s="4">
        <f>Games[[#This Row],[K]]*Games[[#This Row],[POMult]]</f>
        <v>74.349999999999994</v>
      </c>
      <c r="AA168" s="4">
        <f>(Games[[#This Row],[Keff]]*Games[[#This Row],[MOVMult]])*(Games[[#This Row],[Result]]-Games[[#This Row],[ExpectedWin%]])</f>
        <v>13.743914099752422</v>
      </c>
      <c r="AB168" s="4">
        <f>Games[[#This Row],[PreGmRate]]+Games[[#This Row],[RatingChange]]</f>
        <v>1518.6457611857243</v>
      </c>
      <c r="AC168" s="2">
        <f>IF(Games[[#This Row],[Type]]="R",IF(Games[[#This Row],[Result]]&gt;0.5,1,0),0)</f>
        <v>1</v>
      </c>
      <c r="AD168" s="2">
        <f>IF(Games[[#This Row],[Type]]="R",IF(Games[[#This Row],[Result]]&lt;0.5,1,0),0)</f>
        <v>0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40009</v>
      </c>
      <c r="B169" s="2">
        <v>2009</v>
      </c>
      <c r="C169" s="2">
        <f>COUNTIFS(Games[Team],Games[[#This Row],[Team]],Games[Season],Games[[#This Row],[Season]],Games[Date],"&lt;=" &amp; Games[[#This Row],[Date]])</f>
        <v>14</v>
      </c>
      <c r="D169" s="2" t="s">
        <v>23</v>
      </c>
      <c r="E169" s="2" t="s">
        <v>29</v>
      </c>
      <c r="F169" s="1" t="s">
        <v>79</v>
      </c>
      <c r="G169" s="1" t="s">
        <v>73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9" s="2">
        <f>Games[[#This Row],[DaysOff]]-Games[[#This Row],[OppDaysOff]]</f>
        <v>-1</v>
      </c>
      <c r="L169" s="2">
        <f>Games[[#This Row],[OppDaysOff]]-Games[[#This Row],[DaysOff]]</f>
        <v>1</v>
      </c>
      <c r="M169" s="1">
        <f>MAX(-16, MIN(16, Games[[#This Row],[RestDiff]]*8))</f>
        <v>-8</v>
      </c>
      <c r="N169" s="1">
        <f>MAX(-16, MIN(16, Games[[#This Row],[OppRestDiff]]*8))</f>
        <v>8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1554.893854753283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1504.9018470859719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0.66356382707343964</v>
      </c>
      <c r="R169" s="1">
        <v>63</v>
      </c>
      <c r="S169" s="1">
        <v>66</v>
      </c>
      <c r="T169" s="1">
        <v>0</v>
      </c>
      <c r="U169" s="1">
        <f>Games[[#This Row],[PointsFor]]-Games[[#This Row],[PointsAgainst]]</f>
        <v>-3</v>
      </c>
      <c r="V169" s="1">
        <f>IF(Games[[#This Row],[MOV]]&gt;0,1,IF(Games[[#This Row],[MOV]]=0,0.5,0))</f>
        <v>0</v>
      </c>
      <c r="W169" s="4">
        <f>((ABS(Games[[#This Row],[MOV]])+5)^0.6)/(12+0.01*(ABS(Games[[#This Row],[PreGmRate]]-Games[[#This Row],[OppPreGmRate]])))*IF(Games[[#This Row],[OT]]=1,0.9,1)</f>
        <v>0.27857796144495783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-13.660729683546796</v>
      </c>
      <c r="AB169" s="4">
        <f>Games[[#This Row],[PreGmRate]]+Games[[#This Row],[RatingChange]]</f>
        <v>1541.2331250697362</v>
      </c>
      <c r="AC169" s="2">
        <f>IF(Games[[#This Row],[Type]]="R",IF(Games[[#This Row],[Result]]&gt;0.5,1,0),0)</f>
        <v>0</v>
      </c>
      <c r="AD169" s="2">
        <f>IF(Games[[#This Row],[Type]]="R",IF(Games[[#This Row],[Result]]&lt;0.5,1,0),0)</f>
        <v>1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40009</v>
      </c>
      <c r="B170" s="2">
        <v>2009</v>
      </c>
      <c r="C170" s="2">
        <f>COUNTIFS(Games[Team],Games[[#This Row],[Team]],Games[Season],Games[[#This Row],[Season]],Games[Date],"&lt;=" &amp; Games[[#This Row],[Date]])</f>
        <v>12</v>
      </c>
      <c r="D170" s="2" t="s">
        <v>23</v>
      </c>
      <c r="E170" s="2" t="s">
        <v>29</v>
      </c>
      <c r="F170" s="1" t="s">
        <v>82</v>
      </c>
      <c r="G170" s="1" t="s">
        <v>71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0" s="2">
        <f>Games[[#This Row],[DaysOff]]-Games[[#This Row],[OppDaysOff]]</f>
        <v>-1</v>
      </c>
      <c r="L170" s="2">
        <f>Games[[#This Row],[OppDaysOff]]-Games[[#This Row],[DaysOff]]</f>
        <v>1</v>
      </c>
      <c r="M170" s="1">
        <f>MAX(-16, MIN(16, Games[[#This Row],[RestDiff]]*8))</f>
        <v>-8</v>
      </c>
      <c r="N170" s="1">
        <f>MAX(-16, MIN(16, Games[[#This Row],[OppRestDiff]]*8))</f>
        <v>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1513.6979980605424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1454.1333178618659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0.44207021073074121</v>
      </c>
      <c r="R170" s="1">
        <v>79</v>
      </c>
      <c r="S170" s="1">
        <v>78</v>
      </c>
      <c r="T170" s="1">
        <v>0</v>
      </c>
      <c r="U170" s="1">
        <f>Games[[#This Row],[PointsFor]]-Games[[#This Row],[PointsAgainst]]</f>
        <v>1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0.23263244021111604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74.2</v>
      </c>
      <c r="Z170" s="4">
        <f>Games[[#This Row],[K]]*Games[[#This Row],[POMult]]</f>
        <v>74.2</v>
      </c>
      <c r="AA170" s="4">
        <f>(Games[[#This Row],[Keff]]*Games[[#This Row],[MOVMult]])*(Games[[#This Row],[Result]]-Games[[#This Row],[ExpectedWin%]])</f>
        <v>9.6306085711382607</v>
      </c>
      <c r="AB170" s="4">
        <f>Games[[#This Row],[PreGmRate]]+Games[[#This Row],[RatingChange]]</f>
        <v>1523.3286066316807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40009</v>
      </c>
      <c r="B171" s="2">
        <v>2009</v>
      </c>
      <c r="C171" s="2">
        <f>COUNTIFS(Games[Team],Games[[#This Row],[Team]],Games[Season],Games[[#This Row],[Season]],Games[Date],"&lt;=" &amp; Games[[#This Row],[Date]])</f>
        <v>12</v>
      </c>
      <c r="D171" s="2" t="s">
        <v>23</v>
      </c>
      <c r="E171" s="2" t="s">
        <v>29</v>
      </c>
      <c r="F171" s="1" t="s">
        <v>71</v>
      </c>
      <c r="G171" s="1" t="s">
        <v>82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1" s="2">
        <f>Games[[#This Row],[DaysOff]]-Games[[#This Row],[OppDaysOff]]</f>
        <v>1</v>
      </c>
      <c r="L171" s="2">
        <f>Games[[#This Row],[OppDaysOff]]-Games[[#This Row],[DaysOff]]</f>
        <v>-1</v>
      </c>
      <c r="M171" s="1">
        <f>MAX(-16, MIN(16, Games[[#This Row],[RestDiff]]*8))</f>
        <v>8</v>
      </c>
      <c r="N171" s="1">
        <f>MAX(-16, MIN(16, Games[[#This Row],[OppRestDiff]]*8))</f>
        <v>-8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1454.1333178618659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1513.6979980605424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0.55792978926925874</v>
      </c>
      <c r="R171" s="1">
        <v>78</v>
      </c>
      <c r="S171" s="1">
        <v>79</v>
      </c>
      <c r="T171" s="1">
        <v>0</v>
      </c>
      <c r="U171" s="1">
        <f>Games[[#This Row],[PointsFor]]-Games[[#This Row],[PointsAgainst]]</f>
        <v>-1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0.23263244021111604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74.2</v>
      </c>
      <c r="Z171" s="4">
        <f>Games[[#This Row],[K]]*Games[[#This Row],[POMult]]</f>
        <v>74.2</v>
      </c>
      <c r="AA171" s="4">
        <f>(Games[[#This Row],[Keff]]*Games[[#This Row],[MOVMult]])*(Games[[#This Row],[Result]]-Games[[#This Row],[ExpectedWin%]])</f>
        <v>-9.6306085711382607</v>
      </c>
      <c r="AB171" s="4">
        <f>Games[[#This Row],[PreGmRate]]+Games[[#This Row],[RatingChange]]</f>
        <v>1444.5027092907276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40011</v>
      </c>
      <c r="B172" s="2">
        <v>2009</v>
      </c>
      <c r="C172" s="2">
        <f>COUNTIFS(Games[Team],Games[[#This Row],[Team]],Games[Season],Games[[#This Row],[Season]],Games[Date],"&lt;=" &amp; Games[[#This Row],[Date]])</f>
        <v>16</v>
      </c>
      <c r="D172" s="2" t="s">
        <v>23</v>
      </c>
      <c r="E172" s="2" t="s">
        <v>29</v>
      </c>
      <c r="F172" s="1" t="s">
        <v>87</v>
      </c>
      <c r="G172" s="1" t="s">
        <v>77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1434.9732073025293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1588.8296361292696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0.20274724314910797</v>
      </c>
      <c r="R172" s="1">
        <v>79</v>
      </c>
      <c r="S172" s="1">
        <v>84</v>
      </c>
      <c r="T172" s="1">
        <v>0</v>
      </c>
      <c r="U172" s="1">
        <f>Games[[#This Row],[PointsFor]]-Games[[#This Row],[PointsAgainst]]</f>
        <v>-5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0.29405420107839592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73.599999999999994</v>
      </c>
      <c r="Z172" s="4">
        <f>Games[[#This Row],[K]]*Games[[#This Row],[POMult]]</f>
        <v>73.599999999999994</v>
      </c>
      <c r="AA172" s="4">
        <f>(Games[[#This Row],[Keff]]*Games[[#This Row],[MOVMult]])*(Games[[#This Row],[Result]]-Games[[#This Row],[ExpectedWin%]])</f>
        <v>-4.3879347453322852</v>
      </c>
      <c r="AB172" s="4">
        <f>Games[[#This Row],[PreGmRate]]+Games[[#This Row],[RatingChange]]</f>
        <v>1430.585272557197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40011</v>
      </c>
      <c r="B173" s="2">
        <v>2009</v>
      </c>
      <c r="C173" s="2">
        <f>COUNTIFS(Games[Team],Games[[#This Row],[Team]],Games[Season],Games[[#This Row],[Season]],Games[Date],"&lt;=" &amp; Games[[#This Row],[Date]])</f>
        <v>13</v>
      </c>
      <c r="D173" s="2" t="s">
        <v>23</v>
      </c>
      <c r="E173" s="2" t="s">
        <v>29</v>
      </c>
      <c r="F173" s="1" t="s">
        <v>77</v>
      </c>
      <c r="G173" s="1" t="s">
        <v>87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1588.8296361292696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1434.9732073025293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0.79725275685089203</v>
      </c>
      <c r="R173" s="1">
        <v>84</v>
      </c>
      <c r="S173" s="1">
        <v>79</v>
      </c>
      <c r="T173" s="1">
        <v>0</v>
      </c>
      <c r="U173" s="1">
        <f>Games[[#This Row],[PointsFor]]-Games[[#This Row],[PointsAgainst]]</f>
        <v>5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0.29405420107839592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74.05</v>
      </c>
      <c r="Z173" s="4">
        <f>Games[[#This Row],[K]]*Games[[#This Row],[POMult]]</f>
        <v>74.05</v>
      </c>
      <c r="AA173" s="4">
        <f>(Games[[#This Row],[Keff]]*Games[[#This Row],[MOVMult]])*(Games[[#This Row],[Result]]-Games[[#This Row],[ExpectedWin%]])</f>
        <v>4.4147631507045615</v>
      </c>
      <c r="AB173" s="4">
        <f>Games[[#This Row],[PreGmRate]]+Games[[#This Row],[RatingChange]]</f>
        <v>1593.2443992799742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40011</v>
      </c>
      <c r="B174" s="2">
        <v>2009</v>
      </c>
      <c r="C174" s="2">
        <f>COUNTIFS(Games[Team],Games[[#This Row],[Team]],Games[Season],Games[[#This Row],[Season]],Games[Date],"&lt;=" &amp; Games[[#This Row],[Date]])</f>
        <v>15</v>
      </c>
      <c r="D174" s="2" t="s">
        <v>23</v>
      </c>
      <c r="E174" s="2" t="s">
        <v>29</v>
      </c>
      <c r="F174" s="1" t="s">
        <v>79</v>
      </c>
      <c r="G174" s="1" t="s">
        <v>45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1541.2331250697362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1439.0788513326054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0.52610234869210148</v>
      </c>
      <c r="R174" s="1">
        <v>69</v>
      </c>
      <c r="S174" s="1">
        <v>56</v>
      </c>
      <c r="T174" s="1">
        <v>0</v>
      </c>
      <c r="U174" s="1">
        <f>Games[[#This Row],[PointsFor]]-Games[[#This Row],[PointsAgainst]]</f>
        <v>13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0.43501182479034917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73.75</v>
      </c>
      <c r="Z174" s="4">
        <f>Games[[#This Row],[K]]*Games[[#This Row],[POMult]]</f>
        <v>73.75</v>
      </c>
      <c r="AA174" s="4">
        <f>(Games[[#This Row],[Keff]]*Games[[#This Row],[MOVMult]])*(Games[[#This Row],[Result]]-Games[[#This Row],[ExpectedWin%]])</f>
        <v>15.203642301874078</v>
      </c>
      <c r="AB174" s="4">
        <f>Games[[#This Row],[PreGmRate]]+Games[[#This Row],[RatingChange]]</f>
        <v>1556.4367673716101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40011</v>
      </c>
      <c r="B175" s="2">
        <v>2009</v>
      </c>
      <c r="C175" s="2">
        <f>COUNTIFS(Games[Team],Games[[#This Row],[Team]],Games[Season],Games[[#This Row],[Season]],Games[Date],"&lt;=" &amp; Games[[#This Row],[Date]])</f>
        <v>15</v>
      </c>
      <c r="D175" s="2" t="s">
        <v>23</v>
      </c>
      <c r="E175" s="2" t="s">
        <v>29</v>
      </c>
      <c r="F175" s="1" t="s">
        <v>45</v>
      </c>
      <c r="G175" s="1" t="s">
        <v>79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1439.0788513326054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1541.2331250697362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0.47389765130789846</v>
      </c>
      <c r="R175" s="1">
        <v>56</v>
      </c>
      <c r="S175" s="1">
        <v>69</v>
      </c>
      <c r="T175" s="1">
        <v>0</v>
      </c>
      <c r="U175" s="1">
        <f>Games[[#This Row],[PointsFor]]-Games[[#This Row],[PointsAgainst]]</f>
        <v>-13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0.43501182479034917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73.75</v>
      </c>
      <c r="Z175" s="4">
        <f>Games[[#This Row],[K]]*Games[[#This Row],[POMult]]</f>
        <v>73.75</v>
      </c>
      <c r="AA175" s="4">
        <f>(Games[[#This Row],[Keff]]*Games[[#This Row],[MOVMult]])*(Games[[#This Row],[Result]]-Games[[#This Row],[ExpectedWin%]])</f>
        <v>-15.203642301874076</v>
      </c>
      <c r="AB175" s="4">
        <f>Games[[#This Row],[PreGmRate]]+Games[[#This Row],[RatingChange]]</f>
        <v>1423.8752090307314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40011</v>
      </c>
      <c r="B176" s="2">
        <v>2009</v>
      </c>
      <c r="C176" s="2">
        <f>COUNTIFS(Games[Team],Games[[#This Row],[Team]],Games[Season],Games[[#This Row],[Season]],Games[Date],"&lt;=" &amp; Games[[#This Row],[Date]])</f>
        <v>13</v>
      </c>
      <c r="D176" s="2" t="s">
        <v>23</v>
      </c>
      <c r="E176" s="2" t="s">
        <v>29</v>
      </c>
      <c r="F176" s="1" t="s">
        <v>84</v>
      </c>
      <c r="G176" s="1" t="s">
        <v>82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1</v>
      </c>
      <c r="L176" s="2">
        <f>Games[[#This Row],[OppDaysOff]]-Games[[#This Row],[DaysOff]]</f>
        <v>-1</v>
      </c>
      <c r="M176" s="1">
        <f>MAX(-16, MIN(16, Games[[#This Row],[RestDiff]]*8))</f>
        <v>8</v>
      </c>
      <c r="N176" s="1">
        <f>MAX(-16, MIN(16, Games[[#This Row],[OppRestDiff]]*8))</f>
        <v>-8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1521.6578767680976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1523.3286066316807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0.40105842039829109</v>
      </c>
      <c r="R176" s="1">
        <v>72</v>
      </c>
      <c r="S176" s="1">
        <v>64</v>
      </c>
      <c r="T176" s="1">
        <v>0</v>
      </c>
      <c r="U176" s="1">
        <f>Games[[#This Row],[PointsFor]]-Games[[#This Row],[PointsAgainst]]</f>
        <v>8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0.38777564471134762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74.05</v>
      </c>
      <c r="Z176" s="4">
        <f>Games[[#This Row],[K]]*Games[[#This Row],[POMult]]</f>
        <v>74.05</v>
      </c>
      <c r="AA176" s="4">
        <f>(Games[[#This Row],[Keff]]*Games[[#This Row],[MOVMult]])*(Games[[#This Row],[Result]]-Games[[#This Row],[ExpectedWin%]])</f>
        <v>17.198479578770659</v>
      </c>
      <c r="AB176" s="4">
        <f>Games[[#This Row],[PreGmRate]]+Games[[#This Row],[RatingChange]]</f>
        <v>1538.8563563468683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40011</v>
      </c>
      <c r="B177" s="2">
        <v>2009</v>
      </c>
      <c r="C177" s="2">
        <f>COUNTIFS(Games[Team],Games[[#This Row],[Team]],Games[Season],Games[[#This Row],[Season]],Games[Date],"&lt;=" &amp; Games[[#This Row],[Date]])</f>
        <v>13</v>
      </c>
      <c r="D177" s="2" t="s">
        <v>23</v>
      </c>
      <c r="E177" s="2" t="s">
        <v>29</v>
      </c>
      <c r="F177" s="1" t="s">
        <v>82</v>
      </c>
      <c r="G177" s="1" t="s">
        <v>84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7" s="2">
        <f>Games[[#This Row],[DaysOff]]-Games[[#This Row],[OppDaysOff]]</f>
        <v>-1</v>
      </c>
      <c r="L177" s="2">
        <f>Games[[#This Row],[OppDaysOff]]-Games[[#This Row],[DaysOff]]</f>
        <v>1</v>
      </c>
      <c r="M177" s="1">
        <f>MAX(-16, MIN(16, Games[[#This Row],[RestDiff]]*8))</f>
        <v>-8</v>
      </c>
      <c r="N177" s="1">
        <f>MAX(-16, MIN(16, Games[[#This Row],[OppRestDiff]]*8))</f>
        <v>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1523.3286066316807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1521.6578767680976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0.59894157960170891</v>
      </c>
      <c r="R177" s="1">
        <v>64</v>
      </c>
      <c r="S177" s="1">
        <v>72</v>
      </c>
      <c r="T177" s="1">
        <v>0</v>
      </c>
      <c r="U177" s="1">
        <f>Games[[#This Row],[PointsFor]]-Games[[#This Row],[PointsAgainst]]</f>
        <v>-8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0.38777564471134762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74.05</v>
      </c>
      <c r="Z177" s="4">
        <f>Games[[#This Row],[K]]*Games[[#This Row],[POMult]]</f>
        <v>74.05</v>
      </c>
      <c r="AA177" s="4">
        <f>(Games[[#This Row],[Keff]]*Games[[#This Row],[MOVMult]])*(Games[[#This Row],[Result]]-Games[[#This Row],[ExpectedWin%]])</f>
        <v>-17.198479578770659</v>
      </c>
      <c r="AB177" s="4">
        <f>Games[[#This Row],[PreGmRate]]+Games[[#This Row],[RatingChange]]</f>
        <v>1506.13012705291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40012</v>
      </c>
      <c r="B178" s="2">
        <v>2009</v>
      </c>
      <c r="C178" s="2">
        <f>COUNTIFS(Games[Team],Games[[#This Row],[Team]],Games[Season],Games[[#This Row],[Season]],Games[Date],"&lt;=" &amp; Games[[#This Row],[Date]])</f>
        <v>12</v>
      </c>
      <c r="D178" s="2" t="s">
        <v>23</v>
      </c>
      <c r="E178" s="2" t="s">
        <v>29</v>
      </c>
      <c r="F178" s="1" t="s">
        <v>73</v>
      </c>
      <c r="G178" s="1" t="s">
        <v>44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1518.6457611857243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1585.2587524094067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0.29587932467222566</v>
      </c>
      <c r="R178" s="1">
        <v>90</v>
      </c>
      <c r="S178" s="1">
        <v>97</v>
      </c>
      <c r="T178" s="1">
        <v>1</v>
      </c>
      <c r="U178" s="1">
        <f>Games[[#This Row],[PointsFor]]-Games[[#This Row],[PointsAgainst]]</f>
        <v>-7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0.31557843560404175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74.2</v>
      </c>
      <c r="Z178" s="4">
        <f>Games[[#This Row],[K]]*Games[[#This Row],[POMult]]</f>
        <v>74.2</v>
      </c>
      <c r="AA178" s="4">
        <f>(Games[[#This Row],[Keff]]*Games[[#This Row],[MOVMult]])*(Games[[#This Row],[Result]]-Games[[#This Row],[ExpectedWin%]])</f>
        <v>-6.9282865730469867</v>
      </c>
      <c r="AB178" s="4">
        <f>Games[[#This Row],[PreGmRate]]+Games[[#This Row],[RatingChange]]</f>
        <v>1511.7174746126773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40012</v>
      </c>
      <c r="B179" s="2">
        <v>2009</v>
      </c>
      <c r="C179" s="2">
        <f>COUNTIFS(Games[Team],Games[[#This Row],[Team]],Games[Season],Games[[#This Row],[Season]],Games[Date],"&lt;=" &amp; Games[[#This Row],[Date]])</f>
        <v>16</v>
      </c>
      <c r="D179" s="2" t="s">
        <v>23</v>
      </c>
      <c r="E179" s="2" t="s">
        <v>29</v>
      </c>
      <c r="F179" s="1" t="s">
        <v>44</v>
      </c>
      <c r="G179" s="1" t="s">
        <v>73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1585.2587524094067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1518.6457611857243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0.70412067532777434</v>
      </c>
      <c r="R179" s="1">
        <v>97</v>
      </c>
      <c r="S179" s="1">
        <v>90</v>
      </c>
      <c r="T179" s="1">
        <v>1</v>
      </c>
      <c r="U179" s="1">
        <f>Games[[#This Row],[PointsFor]]-Games[[#This Row],[PointsAgainst]]</f>
        <v>7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0.31557843560404175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73.599999999999994</v>
      </c>
      <c r="Z179" s="4">
        <f>Games[[#This Row],[K]]*Games[[#This Row],[POMult]]</f>
        <v>73.599999999999994</v>
      </c>
      <c r="AA179" s="4">
        <f>(Games[[#This Row],[Keff]]*Games[[#This Row],[MOVMult]])*(Games[[#This Row],[Result]]-Games[[#This Row],[ExpectedWin%]])</f>
        <v>6.8722626924024004</v>
      </c>
      <c r="AB179" s="4">
        <f>Games[[#This Row],[PreGmRate]]+Games[[#This Row],[RatingChange]]</f>
        <v>1592.1310151018092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40012</v>
      </c>
      <c r="B180" s="2">
        <v>2009</v>
      </c>
      <c r="C180" s="2">
        <f>COUNTIFS(Games[Team],Games[[#This Row],[Team]],Games[Season],Games[[#This Row],[Season]],Games[Date],"&lt;=" &amp; Games[[#This Row],[Date]])</f>
        <v>12</v>
      </c>
      <c r="D180" s="2" t="s">
        <v>23</v>
      </c>
      <c r="E180" s="2" t="s">
        <v>29</v>
      </c>
      <c r="F180" s="1" t="s">
        <v>65</v>
      </c>
      <c r="G180" s="1" t="s">
        <v>71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6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0" s="2">
        <f>Games[[#This Row],[DaysOff]]-Games[[#This Row],[OppDaysOff]]</f>
        <v>4</v>
      </c>
      <c r="L180" s="2">
        <f>Games[[#This Row],[OppDaysOff]]-Games[[#This Row],[DaysOff]]</f>
        <v>-4</v>
      </c>
      <c r="M180" s="1">
        <f>MAX(-16, MIN(16, Games[[#This Row],[RestDiff]]*8))</f>
        <v>16</v>
      </c>
      <c r="N180" s="1">
        <f>MAX(-16, MIN(16, Games[[#This Row],[OppRestDiff]]*8))</f>
        <v>-16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1487.5383850328044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1444.5027092907276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0.48710216232747083</v>
      </c>
      <c r="R180" s="1">
        <v>67</v>
      </c>
      <c r="S180" s="1">
        <v>68</v>
      </c>
      <c r="T180" s="1">
        <v>0</v>
      </c>
      <c r="U180" s="1">
        <f>Games[[#This Row],[PointsFor]]-Games[[#This Row],[PointsAgainst]]</f>
        <v>-1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0.23572582096923764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74.2</v>
      </c>
      <c r="Z180" s="4">
        <f>Games[[#This Row],[K]]*Games[[#This Row],[POMult]]</f>
        <v>74.2</v>
      </c>
      <c r="AA180" s="4">
        <f>(Games[[#This Row],[Keff]]*Games[[#This Row],[MOVMult]])*(Games[[#This Row],[Result]]-Games[[#This Row],[ExpectedWin%]])</f>
        <v>-8.5198337376016173</v>
      </c>
      <c r="AB180" s="4">
        <f>Games[[#This Row],[PreGmRate]]+Games[[#This Row],[RatingChange]]</f>
        <v>1479.0185512952028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40012</v>
      </c>
      <c r="B181" s="2">
        <v>2009</v>
      </c>
      <c r="C181" s="2">
        <f>COUNTIFS(Games[Team],Games[[#This Row],[Team]],Games[Season],Games[[#This Row],[Season]],Games[Date],"&lt;=" &amp; Games[[#This Row],[Date]])</f>
        <v>13</v>
      </c>
      <c r="D181" s="2" t="s">
        <v>23</v>
      </c>
      <c r="E181" s="2" t="s">
        <v>29</v>
      </c>
      <c r="F181" s="1" t="s">
        <v>71</v>
      </c>
      <c r="G181" s="1" t="s">
        <v>65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81" s="2">
        <f>Games[[#This Row],[DaysOff]]-Games[[#This Row],[OppDaysOff]]</f>
        <v>-4</v>
      </c>
      <c r="L181" s="2">
        <f>Games[[#This Row],[OppDaysOff]]-Games[[#This Row],[DaysOff]]</f>
        <v>4</v>
      </c>
      <c r="M181" s="1">
        <f>MAX(-16, MIN(16, Games[[#This Row],[RestDiff]]*8))</f>
        <v>-16</v>
      </c>
      <c r="N181" s="1">
        <f>MAX(-16, MIN(16, Games[[#This Row],[OppRestDiff]]*8))</f>
        <v>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1444.5027092907276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1487.5383850328044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0.51289783767252917</v>
      </c>
      <c r="R181" s="1">
        <v>68</v>
      </c>
      <c r="S181" s="1">
        <v>67</v>
      </c>
      <c r="T181" s="1">
        <v>0</v>
      </c>
      <c r="U181" s="1">
        <f>Games[[#This Row],[PointsFor]]-Games[[#This Row],[PointsAgainst]]</f>
        <v>1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0.23572582096923764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74.05</v>
      </c>
      <c r="Z181" s="4">
        <f>Games[[#This Row],[K]]*Games[[#This Row],[POMult]]</f>
        <v>74.05</v>
      </c>
      <c r="AA181" s="4">
        <f>(Games[[#This Row],[Keff]]*Games[[#This Row],[MOVMult]])*(Games[[#This Row],[Result]]-Games[[#This Row],[ExpectedWin%]])</f>
        <v>8.5026103540350348</v>
      </c>
      <c r="AB181" s="4">
        <f>Games[[#This Row],[PreGmRate]]+Games[[#This Row],[RatingChange]]</f>
        <v>1453.0053196447627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40013</v>
      </c>
      <c r="B182" s="2">
        <v>2009</v>
      </c>
      <c r="C182" s="2">
        <f>COUNTIFS(Games[Team],Games[[#This Row],[Team]],Games[Season],Games[[#This Row],[Season]],Games[Date],"&lt;=" &amp; Games[[#This Row],[Date]])</f>
        <v>14</v>
      </c>
      <c r="D182" s="2" t="s">
        <v>23</v>
      </c>
      <c r="E182" s="2" t="s">
        <v>29</v>
      </c>
      <c r="F182" s="1" t="s">
        <v>82</v>
      </c>
      <c r="G182" s="1" t="s">
        <v>85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2" s="2">
        <f>Games[[#This Row],[DaysOff]]-Games[[#This Row],[OppDaysOff]]</f>
        <v>-2</v>
      </c>
      <c r="L182" s="2">
        <f>Games[[#This Row],[OppDaysOff]]-Games[[#This Row],[DaysOff]]</f>
        <v>2</v>
      </c>
      <c r="M182" s="1">
        <f>MAX(-16, MIN(16, Games[[#This Row],[RestDiff]]*8))</f>
        <v>-16</v>
      </c>
      <c r="N182" s="1">
        <f>MAX(-16, MIN(16, Games[[#This Row],[OppRestDiff]]*8))</f>
        <v>16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1506.13012705291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1434.9370416837837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0.43587279166187948</v>
      </c>
      <c r="R182" s="1">
        <v>75</v>
      </c>
      <c r="S182" s="1">
        <v>85</v>
      </c>
      <c r="T182" s="1">
        <v>0</v>
      </c>
      <c r="U182" s="1">
        <f>Games[[#This Row],[PointsFor]]-Games[[#This Row],[PointsAgainst]]</f>
        <v>-10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0.39943234827406238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73.900000000000006</v>
      </c>
      <c r="Z182" s="4">
        <f>Games[[#This Row],[K]]*Games[[#This Row],[POMult]]</f>
        <v>73.900000000000006</v>
      </c>
      <c r="AA182" s="4">
        <f>(Games[[#This Row],[Keff]]*Games[[#This Row],[MOVMult]])*(Games[[#This Row],[Result]]-Games[[#This Row],[ExpectedWin%]])</f>
        <v>-12.866115092176173</v>
      </c>
      <c r="AB182" s="4">
        <f>Games[[#This Row],[PreGmRate]]+Games[[#This Row],[RatingChange]]</f>
        <v>1493.2640119607338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40013</v>
      </c>
      <c r="B183" s="2">
        <v>2009</v>
      </c>
      <c r="C183" s="2">
        <f>COUNTIFS(Games[Team],Games[[#This Row],[Team]],Games[Season],Games[[#This Row],[Season]],Games[Date],"&lt;=" &amp; Games[[#This Row],[Date]])</f>
        <v>16</v>
      </c>
      <c r="D183" s="2" t="s">
        <v>23</v>
      </c>
      <c r="E183" s="2" t="s">
        <v>29</v>
      </c>
      <c r="F183" s="1" t="s">
        <v>85</v>
      </c>
      <c r="G183" s="1" t="s">
        <v>82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2</v>
      </c>
      <c r="L183" s="2">
        <f>Games[[#This Row],[OppDaysOff]]-Games[[#This Row],[DaysOff]]</f>
        <v>-2</v>
      </c>
      <c r="M183" s="1">
        <f>MAX(-16, MIN(16, Games[[#This Row],[RestDiff]]*8))</f>
        <v>16</v>
      </c>
      <c r="N183" s="1">
        <f>MAX(-16, MIN(16, Games[[#This Row],[OppRestDiff]]*8))</f>
        <v>-16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1434.9370416837837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1506.13012705291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0.56412720833812058</v>
      </c>
      <c r="R183" s="1">
        <v>85</v>
      </c>
      <c r="S183" s="1">
        <v>75</v>
      </c>
      <c r="T183" s="1">
        <v>0</v>
      </c>
      <c r="U183" s="1">
        <f>Games[[#This Row],[PointsFor]]-Games[[#This Row],[PointsAgainst]]</f>
        <v>10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0.39943234827406238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12.813884584359487</v>
      </c>
      <c r="AB183" s="4">
        <f>Games[[#This Row],[PreGmRate]]+Games[[#This Row],[RatingChange]]</f>
        <v>1447.7509262681433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40013</v>
      </c>
      <c r="B184" s="2">
        <v>2009</v>
      </c>
      <c r="C184" s="2">
        <f>COUNTIFS(Games[Team],Games[[#This Row],[Team]],Games[Season],Games[[#This Row],[Season]],Games[Date],"&lt;=" &amp; Games[[#This Row],[Date]])</f>
        <v>14</v>
      </c>
      <c r="D184" s="2" t="s">
        <v>23</v>
      </c>
      <c r="E184" s="2" t="s">
        <v>29</v>
      </c>
      <c r="F184" s="1" t="s">
        <v>77</v>
      </c>
      <c r="G184" s="1" t="s">
        <v>84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1593.2443992799742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1538.8563563468683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0.45748785675078896</v>
      </c>
      <c r="R184" s="1">
        <v>61</v>
      </c>
      <c r="S184" s="1">
        <v>67</v>
      </c>
      <c r="T184" s="1">
        <v>0</v>
      </c>
      <c r="U184" s="1">
        <f>Games[[#This Row],[PointsFor]]-Games[[#This Row],[PointsAgainst]]</f>
        <v>-6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0.33604984971278917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73.900000000000006</v>
      </c>
      <c r="Z184" s="4">
        <f>Games[[#This Row],[K]]*Games[[#This Row],[POMult]]</f>
        <v>73.900000000000006</v>
      </c>
      <c r="AA184" s="4">
        <f>(Games[[#This Row],[Keff]]*Games[[#This Row],[MOVMult]])*(Games[[#This Row],[Result]]-Games[[#This Row],[ExpectedWin%]])</f>
        <v>-11.36129181493247</v>
      </c>
      <c r="AB184" s="4">
        <f>Games[[#This Row],[PreGmRate]]+Games[[#This Row],[RatingChange]]</f>
        <v>1581.8831074650418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40013</v>
      </c>
      <c r="B185" s="2">
        <v>2009</v>
      </c>
      <c r="C185" s="2">
        <f>COUNTIFS(Games[Team],Games[[#This Row],[Team]],Games[Season],Games[[#This Row],[Season]],Games[Date],"&lt;=" &amp; Games[[#This Row],[Date]])</f>
        <v>14</v>
      </c>
      <c r="D185" s="2" t="s">
        <v>23</v>
      </c>
      <c r="E185" s="2" t="s">
        <v>29</v>
      </c>
      <c r="F185" s="1" t="s">
        <v>84</v>
      </c>
      <c r="G185" s="1" t="s">
        <v>77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1538.8563563468683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1593.2443992799742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0.54251214324921104</v>
      </c>
      <c r="R185" s="1">
        <v>67</v>
      </c>
      <c r="S185" s="1">
        <v>61</v>
      </c>
      <c r="T185" s="1">
        <v>0</v>
      </c>
      <c r="U185" s="1">
        <f>Games[[#This Row],[PointsFor]]-Games[[#This Row],[PointsAgainst]]</f>
        <v>6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0.33604984971278917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73.900000000000006</v>
      </c>
      <c r="Z185" s="4">
        <f>Games[[#This Row],[K]]*Games[[#This Row],[POMult]]</f>
        <v>73.900000000000006</v>
      </c>
      <c r="AA185" s="4">
        <f>(Games[[#This Row],[Keff]]*Games[[#This Row],[MOVMult]])*(Games[[#This Row],[Result]]-Games[[#This Row],[ExpectedWin%]])</f>
        <v>11.36129181493247</v>
      </c>
      <c r="AB185" s="4">
        <f>Games[[#This Row],[PreGmRate]]+Games[[#This Row],[RatingChange]]</f>
        <v>1550.2176481618008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40013</v>
      </c>
      <c r="B186" s="2">
        <v>2009</v>
      </c>
      <c r="C186" s="2">
        <f>COUNTIFS(Games[Team],Games[[#This Row],[Team]],Games[Season],Games[[#This Row],[Season]],Games[Date],"&lt;=" &amp; Games[[#This Row],[Date]])</f>
        <v>17</v>
      </c>
      <c r="D186" s="2" t="s">
        <v>23</v>
      </c>
      <c r="E186" s="2" t="s">
        <v>29</v>
      </c>
      <c r="F186" s="1" t="s">
        <v>87</v>
      </c>
      <c r="G186" s="1" t="s">
        <v>65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6" s="2">
        <f>Games[[#This Row],[DaysOff]]-Games[[#This Row],[OppDaysOff]]</f>
        <v>1</v>
      </c>
      <c r="L186" s="2">
        <f>Games[[#This Row],[OppDaysOff]]-Games[[#This Row],[DaysOff]]</f>
        <v>-1</v>
      </c>
      <c r="M186" s="1">
        <f>MAX(-16, MIN(16, Games[[#This Row],[RestDiff]]*8))</f>
        <v>8</v>
      </c>
      <c r="N186" s="1">
        <f>MAX(-16, MIN(16, Games[[#This Row],[OppRestDiff]]*8))</f>
        <v>-8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1430.585272557197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1479.0185512952028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0.33844224535875767</v>
      </c>
      <c r="R186" s="1">
        <v>86</v>
      </c>
      <c r="S186" s="1">
        <v>89</v>
      </c>
      <c r="T186" s="1">
        <v>0</v>
      </c>
      <c r="U186" s="1">
        <f>Games[[#This Row],[PointsFor]]-Games[[#This Row],[PointsAgainst]]</f>
        <v>-3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0.27892577941406077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73.45</v>
      </c>
      <c r="Z186" s="4">
        <f>Games[[#This Row],[K]]*Games[[#This Row],[POMult]]</f>
        <v>73.45</v>
      </c>
      <c r="AA186" s="4">
        <f>(Games[[#This Row],[Keff]]*Games[[#This Row],[MOVMult]])*(Games[[#This Row],[Result]]-Games[[#This Row],[ExpectedWin%]])</f>
        <v>-6.9336996165365496</v>
      </c>
      <c r="AB186" s="4">
        <f>Games[[#This Row],[PreGmRate]]+Games[[#This Row],[RatingChange]]</f>
        <v>1423.6515729406603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40013</v>
      </c>
      <c r="B187" s="2">
        <v>2009</v>
      </c>
      <c r="C187" s="2">
        <f>COUNTIFS(Games[Team],Games[[#This Row],[Team]],Games[Season],Games[[#This Row],[Season]],Games[Date],"&lt;=" &amp; Games[[#This Row],[Date]])</f>
        <v>13</v>
      </c>
      <c r="D187" s="2" t="s">
        <v>23</v>
      </c>
      <c r="E187" s="2" t="s">
        <v>29</v>
      </c>
      <c r="F187" s="1" t="s">
        <v>65</v>
      </c>
      <c r="G187" s="1" t="s">
        <v>87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-1</v>
      </c>
      <c r="L187" s="2">
        <f>Games[[#This Row],[OppDaysOff]]-Games[[#This Row],[DaysOff]]</f>
        <v>1</v>
      </c>
      <c r="M187" s="1">
        <f>MAX(-16, MIN(16, Games[[#This Row],[RestDiff]]*8))</f>
        <v>-8</v>
      </c>
      <c r="N187" s="1">
        <f>MAX(-16, MIN(16, Games[[#This Row],[OppRestDiff]]*8))</f>
        <v>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1479.0185512952028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1430.585272557197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0.66155775464124233</v>
      </c>
      <c r="R187" s="1">
        <v>89</v>
      </c>
      <c r="S187" s="1">
        <v>86</v>
      </c>
      <c r="T187" s="1">
        <v>0</v>
      </c>
      <c r="U187" s="1">
        <f>Games[[#This Row],[PointsFor]]-Games[[#This Row],[PointsAgainst]]</f>
        <v>3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0.27892577941406077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74.05</v>
      </c>
      <c r="Z187" s="4">
        <f>Games[[#This Row],[K]]*Games[[#This Row],[POMult]]</f>
        <v>74.05</v>
      </c>
      <c r="AA187" s="4">
        <f>(Games[[#This Row],[Keff]]*Games[[#This Row],[MOVMult]])*(Games[[#This Row],[Result]]-Games[[#This Row],[ExpectedWin%]])</f>
        <v>6.9903397767805506</v>
      </c>
      <c r="AB187" s="4">
        <f>Games[[#This Row],[PreGmRate]]+Games[[#This Row],[RatingChange]]</f>
        <v>1486.0088910719833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40013</v>
      </c>
      <c r="B188" s="2">
        <v>2009</v>
      </c>
      <c r="C188" s="2">
        <f>COUNTIFS(Games[Team],Games[[#This Row],[Team]],Games[Season],Games[[#This Row],[Season]],Games[Date],"&lt;=" &amp; Games[[#This Row],[Date]])</f>
        <v>13</v>
      </c>
      <c r="D188" s="2" t="s">
        <v>23</v>
      </c>
      <c r="E188" s="2" t="s">
        <v>29</v>
      </c>
      <c r="F188" s="1" t="s">
        <v>73</v>
      </c>
      <c r="G188" s="1" t="s">
        <v>45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-1</v>
      </c>
      <c r="L188" s="2">
        <f>Games[[#This Row],[OppDaysOff]]-Games[[#This Row],[DaysOff]]</f>
        <v>1</v>
      </c>
      <c r="M188" s="1">
        <f>MAX(-16, MIN(16, Games[[#This Row],[RestDiff]]*8))</f>
        <v>-8</v>
      </c>
      <c r="N188" s="1">
        <f>MAX(-16, MIN(16, Games[[#This Row],[OppRestDiff]]*8))</f>
        <v>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1511.7174746126773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1423.8752090307314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0.48251075163907398</v>
      </c>
      <c r="R188" s="1">
        <v>69</v>
      </c>
      <c r="S188" s="1">
        <v>65</v>
      </c>
      <c r="T188" s="1">
        <v>0</v>
      </c>
      <c r="U188" s="1">
        <f>Games[[#This Row],[PointsFor]]-Games[[#This Row],[PointsAgainst]]</f>
        <v>4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0.29019025999723669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74.05</v>
      </c>
      <c r="Z188" s="4">
        <f>Games[[#This Row],[K]]*Games[[#This Row],[POMult]]</f>
        <v>74.05</v>
      </c>
      <c r="AA188" s="4">
        <f>(Games[[#This Row],[Keff]]*Games[[#This Row],[MOVMult]])*(Games[[#This Row],[Result]]-Games[[#This Row],[ExpectedWin%]])</f>
        <v>11.120113642021128</v>
      </c>
      <c r="AB188" s="4">
        <f>Games[[#This Row],[PreGmRate]]+Games[[#This Row],[RatingChange]]</f>
        <v>1522.8375882546984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40013</v>
      </c>
      <c r="B189" s="2">
        <v>2009</v>
      </c>
      <c r="C189" s="2">
        <f>COUNTIFS(Games[Team],Games[[#This Row],[Team]],Games[Season],Games[[#This Row],[Season]],Games[Date],"&lt;=" &amp; Games[[#This Row],[Date]])</f>
        <v>16</v>
      </c>
      <c r="D189" s="2" t="s">
        <v>23</v>
      </c>
      <c r="E189" s="2" t="s">
        <v>29</v>
      </c>
      <c r="F189" s="1" t="s">
        <v>45</v>
      </c>
      <c r="G189" s="1" t="s">
        <v>73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9" s="2">
        <f>Games[[#This Row],[DaysOff]]-Games[[#This Row],[OppDaysOff]]</f>
        <v>1</v>
      </c>
      <c r="L189" s="2">
        <f>Games[[#This Row],[OppDaysOff]]-Games[[#This Row],[DaysOff]]</f>
        <v>-1</v>
      </c>
      <c r="M189" s="1">
        <f>MAX(-16, MIN(16, Games[[#This Row],[RestDiff]]*8))</f>
        <v>8</v>
      </c>
      <c r="N189" s="1">
        <f>MAX(-16, MIN(16, Games[[#This Row],[OppRestDiff]]*8))</f>
        <v>-8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1423.8752090307314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1511.7174746126773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0.51748924836092602</v>
      </c>
      <c r="R189" s="1">
        <v>65</v>
      </c>
      <c r="S189" s="1">
        <v>69</v>
      </c>
      <c r="T189" s="1">
        <v>0</v>
      </c>
      <c r="U189" s="1">
        <f>Games[[#This Row],[PointsFor]]-Games[[#This Row],[PointsAgainst]]</f>
        <v>-4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0.29019025999723669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73.599999999999994</v>
      </c>
      <c r="Z189" s="4">
        <f>Games[[#This Row],[K]]*Games[[#This Row],[POMult]]</f>
        <v>73.599999999999994</v>
      </c>
      <c r="AA189" s="4">
        <f>(Games[[#This Row],[Keff]]*Games[[#This Row],[MOVMult]])*(Games[[#This Row],[Result]]-Games[[#This Row],[ExpectedWin%]])</f>
        <v>-11.052536989233694</v>
      </c>
      <c r="AB189" s="4">
        <f>Games[[#This Row],[PreGmRate]]+Games[[#This Row],[RatingChange]]</f>
        <v>1412.8226720414978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40013</v>
      </c>
      <c r="B190" s="2">
        <v>2009</v>
      </c>
      <c r="C190" s="2">
        <f>COUNTIFS(Games[Team],Games[[#This Row],[Team]],Games[Season],Games[[#This Row],[Season]],Games[Date],"&lt;=" &amp; Games[[#This Row],[Date]])</f>
        <v>16</v>
      </c>
      <c r="D190" s="2" t="s">
        <v>23</v>
      </c>
      <c r="E190" s="2" t="s">
        <v>29</v>
      </c>
      <c r="F190" s="1" t="s">
        <v>75</v>
      </c>
      <c r="G190" s="1" t="s">
        <v>79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2</v>
      </c>
      <c r="L190" s="2">
        <f>Games[[#This Row],[OppDaysOff]]-Games[[#This Row],[DaysOff]]</f>
        <v>-2</v>
      </c>
      <c r="M190" s="1">
        <f>MAX(-16, MIN(16, Games[[#This Row],[RestDiff]]*8))</f>
        <v>16</v>
      </c>
      <c r="N190" s="1">
        <f>MAX(-16, MIN(16, Games[[#This Row],[OppRestDiff]]*8))</f>
        <v>-16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1497.0440286751448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1556.4367673716101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0.34496896742985528</v>
      </c>
      <c r="R190" s="1">
        <v>69</v>
      </c>
      <c r="S190" s="1">
        <v>72</v>
      </c>
      <c r="T190" s="1">
        <v>0</v>
      </c>
      <c r="U190" s="1">
        <f>Games[[#This Row],[PointsFor]]-Games[[#This Row],[PointsAgainst]]</f>
        <v>-3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0.27649851759418198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-7.0202188369218055</v>
      </c>
      <c r="AB190" s="4">
        <f>Games[[#This Row],[PreGmRate]]+Games[[#This Row],[RatingChange]]</f>
        <v>1490.0238098382229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40013</v>
      </c>
      <c r="B191" s="2">
        <v>2009</v>
      </c>
      <c r="C191" s="2">
        <f>COUNTIFS(Games[Team],Games[[#This Row],[Team]],Games[Season],Games[[#This Row],[Season]],Games[Date],"&lt;=" &amp; Games[[#This Row],[Date]])</f>
        <v>16</v>
      </c>
      <c r="D191" s="2" t="s">
        <v>23</v>
      </c>
      <c r="E191" s="2" t="s">
        <v>29</v>
      </c>
      <c r="F191" s="1" t="s">
        <v>79</v>
      </c>
      <c r="G191" s="1" t="s">
        <v>75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1" s="2">
        <f>Games[[#This Row],[DaysOff]]-Games[[#This Row],[OppDaysOff]]</f>
        <v>-2</v>
      </c>
      <c r="L191" s="2">
        <f>Games[[#This Row],[OppDaysOff]]-Games[[#This Row],[DaysOff]]</f>
        <v>2</v>
      </c>
      <c r="M191" s="1">
        <f>MAX(-16, MIN(16, Games[[#This Row],[RestDiff]]*8))</f>
        <v>-16</v>
      </c>
      <c r="N191" s="1">
        <f>MAX(-16, MIN(16, Games[[#This Row],[OppRestDiff]]*8))</f>
        <v>16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1556.4367673716101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1497.0440286751448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0.65503103257014472</v>
      </c>
      <c r="R191" s="1">
        <v>72</v>
      </c>
      <c r="S191" s="1">
        <v>69</v>
      </c>
      <c r="T191" s="1">
        <v>0</v>
      </c>
      <c r="U191" s="1">
        <f>Games[[#This Row],[PointsFor]]-Games[[#This Row],[PointsAgainst]]</f>
        <v>3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0.27649851759418198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7.0202188369218055</v>
      </c>
      <c r="AB191" s="4">
        <f>Games[[#This Row],[PreGmRate]]+Games[[#This Row],[RatingChange]]</f>
        <v>1563.456986208532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40015</v>
      </c>
      <c r="B192" s="2">
        <v>2009</v>
      </c>
      <c r="C192" s="2">
        <f>COUNTIFS(Games[Team],Games[[#This Row],[Team]],Games[Season],Games[[#This Row],[Season]],Games[Date],"&lt;=" &amp; Games[[#This Row],[Date]])</f>
        <v>15</v>
      </c>
      <c r="D192" s="2" t="s">
        <v>23</v>
      </c>
      <c r="E192" s="2" t="s">
        <v>29</v>
      </c>
      <c r="F192" s="1" t="s">
        <v>77</v>
      </c>
      <c r="G192" s="1" t="s">
        <v>71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-1</v>
      </c>
      <c r="L192" s="2">
        <f>Games[[#This Row],[OppDaysOff]]-Games[[#This Row],[DaysOff]]</f>
        <v>1</v>
      </c>
      <c r="M192" s="1">
        <f>MAX(-16, MIN(16, Games[[#This Row],[RestDiff]]*8))</f>
        <v>-8</v>
      </c>
      <c r="N192" s="1">
        <f>MAX(-16, MIN(16, Games[[#This Row],[OppRestDiff]]*8))</f>
        <v>8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1581.8831074650418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1453.0053196447627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0.54146303981497934</v>
      </c>
      <c r="R192" s="1">
        <v>82</v>
      </c>
      <c r="S192" s="1">
        <v>70</v>
      </c>
      <c r="T192" s="1">
        <v>0</v>
      </c>
      <c r="U192" s="1">
        <f>Games[[#This Row],[PointsFor]]-Games[[#This Row],[PointsAgainst]]</f>
        <v>12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0.41189290445561627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73.75</v>
      </c>
      <c r="Z192" s="4">
        <f>Games[[#This Row],[K]]*Games[[#This Row],[POMult]]</f>
        <v>73.75</v>
      </c>
      <c r="AA192" s="4">
        <f>(Games[[#This Row],[Keff]]*Games[[#This Row],[MOVMult]])*(Games[[#This Row],[Result]]-Games[[#This Row],[ExpectedWin%]])</f>
        <v>13.929023874400736</v>
      </c>
      <c r="AB192" s="4">
        <f>Games[[#This Row],[PreGmRate]]+Games[[#This Row],[RatingChange]]</f>
        <v>1595.8121313394424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40015</v>
      </c>
      <c r="B193" s="2">
        <v>2009</v>
      </c>
      <c r="C193" s="2">
        <f>COUNTIFS(Games[Team],Games[[#This Row],[Team]],Games[Season],Games[[#This Row],[Season]],Games[Date],"&lt;=" &amp; Games[[#This Row],[Date]])</f>
        <v>14</v>
      </c>
      <c r="D193" s="2" t="s">
        <v>23</v>
      </c>
      <c r="E193" s="2" t="s">
        <v>29</v>
      </c>
      <c r="F193" s="1" t="s">
        <v>71</v>
      </c>
      <c r="G193" s="1" t="s">
        <v>77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1</v>
      </c>
      <c r="L193" s="2">
        <f>Games[[#This Row],[OppDaysOff]]-Games[[#This Row],[DaysOff]]</f>
        <v>-1</v>
      </c>
      <c r="M193" s="1">
        <f>MAX(-16, MIN(16, Games[[#This Row],[RestDiff]]*8))</f>
        <v>8</v>
      </c>
      <c r="N193" s="1">
        <f>MAX(-16, MIN(16, Games[[#This Row],[OppRestDiff]]*8))</f>
        <v>-8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1453.0053196447627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1581.8831074650418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0.4585369601850206</v>
      </c>
      <c r="R193" s="1">
        <v>70</v>
      </c>
      <c r="S193" s="1">
        <v>82</v>
      </c>
      <c r="T193" s="1">
        <v>0</v>
      </c>
      <c r="U193" s="1">
        <f>Games[[#This Row],[PointsFor]]-Games[[#This Row],[PointsAgainst]]</f>
        <v>-12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0.41189290445561627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73.900000000000006</v>
      </c>
      <c r="Z193" s="4">
        <f>Games[[#This Row],[K]]*Games[[#This Row],[POMult]]</f>
        <v>73.900000000000006</v>
      </c>
      <c r="AA193" s="4">
        <f>(Games[[#This Row],[Keff]]*Games[[#This Row],[MOVMult]])*(Games[[#This Row],[Result]]-Games[[#This Row],[ExpectedWin%]])</f>
        <v>-13.957354092450364</v>
      </c>
      <c r="AB193" s="4">
        <f>Games[[#This Row],[PreGmRate]]+Games[[#This Row],[RatingChange]]</f>
        <v>1439.0479655523125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40016</v>
      </c>
      <c r="B194" s="2">
        <v>2009</v>
      </c>
      <c r="C194" s="2">
        <f>COUNTIFS(Games[Team],Games[[#This Row],[Team]],Games[Season],Games[[#This Row],[Season]],Games[Date],"&lt;=" &amp; Games[[#This Row],[Date]])</f>
        <v>14</v>
      </c>
      <c r="D194" s="2" t="s">
        <v>23</v>
      </c>
      <c r="E194" s="2" t="s">
        <v>29</v>
      </c>
      <c r="F194" s="1" t="s">
        <v>65</v>
      </c>
      <c r="G194" s="1" t="s">
        <v>85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1486.0088910719833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1447.7509262681433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0.43454964138180335</v>
      </c>
      <c r="R194" s="1">
        <v>77</v>
      </c>
      <c r="S194" s="1">
        <v>70</v>
      </c>
      <c r="T194" s="1">
        <v>0</v>
      </c>
      <c r="U194" s="1">
        <f>Games[[#This Row],[PointsFor]]-Games[[#This Row],[PointsAgainst]]</f>
        <v>7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0.35867211809531235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73.900000000000006</v>
      </c>
      <c r="Z194" s="4">
        <f>Games[[#This Row],[K]]*Games[[#This Row],[POMult]]</f>
        <v>73.900000000000006</v>
      </c>
      <c r="AA194" s="4">
        <f>(Games[[#This Row],[Keff]]*Games[[#This Row],[MOVMult]])*(Games[[#This Row],[Result]]-Games[[#This Row],[ExpectedWin%]])</f>
        <v>14.987753429667018</v>
      </c>
      <c r="AB194" s="4">
        <f>Games[[#This Row],[PreGmRate]]+Games[[#This Row],[RatingChange]]</f>
        <v>1500.9966445016503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40016</v>
      </c>
      <c r="B195" s="2">
        <v>2009</v>
      </c>
      <c r="C195" s="2">
        <f>COUNTIFS(Games[Team],Games[[#This Row],[Team]],Games[Season],Games[[#This Row],[Season]],Games[Date],"&lt;=" &amp; Games[[#This Row],[Date]])</f>
        <v>17</v>
      </c>
      <c r="D195" s="2" t="s">
        <v>23</v>
      </c>
      <c r="E195" s="2" t="s">
        <v>29</v>
      </c>
      <c r="F195" s="1" t="s">
        <v>85</v>
      </c>
      <c r="G195" s="1" t="s">
        <v>65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1447.7509262681433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1486.0088910719833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0.5654503586181967</v>
      </c>
      <c r="R195" s="1">
        <v>70</v>
      </c>
      <c r="S195" s="1">
        <v>77</v>
      </c>
      <c r="T195" s="1">
        <v>0</v>
      </c>
      <c r="U195" s="1">
        <f>Games[[#This Row],[PointsFor]]-Games[[#This Row],[PointsAgainst]]</f>
        <v>-7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0.35867211809531235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73.45</v>
      </c>
      <c r="Z195" s="4">
        <f>Games[[#This Row],[K]]*Games[[#This Row],[POMult]]</f>
        <v>73.45</v>
      </c>
      <c r="AA195" s="4">
        <f>(Games[[#This Row],[Keff]]*Games[[#This Row],[MOVMult]])*(Games[[#This Row],[Result]]-Games[[#This Row],[ExpectedWin%]])</f>
        <v>-14.896488354655512</v>
      </c>
      <c r="AB195" s="4">
        <f>Games[[#This Row],[PreGmRate]]+Games[[#This Row],[RatingChange]]</f>
        <v>1432.8544379134878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40016</v>
      </c>
      <c r="B196" s="2">
        <v>2009</v>
      </c>
      <c r="C196" s="2">
        <f>COUNTIFS(Games[Team],Games[[#This Row],[Team]],Games[Season],Games[[#This Row],[Season]],Games[Date],"&lt;=" &amp; Games[[#This Row],[Date]])</f>
        <v>17</v>
      </c>
      <c r="D196" s="2" t="s">
        <v>23</v>
      </c>
      <c r="E196" s="2" t="s">
        <v>29</v>
      </c>
      <c r="F196" s="1" t="s">
        <v>45</v>
      </c>
      <c r="G196" s="1" t="s">
        <v>84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1412.8226720414978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1550.2176481618008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0.21849610779500747</v>
      </c>
      <c r="R196" s="1">
        <v>75</v>
      </c>
      <c r="S196" s="1">
        <v>83</v>
      </c>
      <c r="T196" s="1">
        <v>0</v>
      </c>
      <c r="U196" s="1">
        <f>Games[[#This Row],[PointsFor]]-Games[[#This Row],[PointsAgainst]]</f>
        <v>-8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0.3484226053812321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73.45</v>
      </c>
      <c r="Z196" s="4">
        <f>Games[[#This Row],[K]]*Games[[#This Row],[POMult]]</f>
        <v>73.45</v>
      </c>
      <c r="AA196" s="4">
        <f>(Games[[#This Row],[Keff]]*Games[[#This Row],[MOVMult]])*(Games[[#This Row],[Result]]-Games[[#This Row],[ExpectedWin%]])</f>
        <v>-5.5916738118970564</v>
      </c>
      <c r="AB196" s="4">
        <f>Games[[#This Row],[PreGmRate]]+Games[[#This Row],[RatingChange]]</f>
        <v>1407.2309982296008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40016</v>
      </c>
      <c r="B197" s="2">
        <v>2009</v>
      </c>
      <c r="C197" s="2">
        <f>COUNTIFS(Games[Team],Games[[#This Row],[Team]],Games[Season],Games[[#This Row],[Season]],Games[Date],"&lt;=" &amp; Games[[#This Row],[Date]])</f>
        <v>15</v>
      </c>
      <c r="D197" s="2" t="s">
        <v>23</v>
      </c>
      <c r="E197" s="2" t="s">
        <v>29</v>
      </c>
      <c r="F197" s="1" t="s">
        <v>84</v>
      </c>
      <c r="G197" s="1" t="s">
        <v>45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1550.2176481618008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1412.8226720414978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0.7815038922049925</v>
      </c>
      <c r="R197" s="1">
        <v>83</v>
      </c>
      <c r="S197" s="1">
        <v>75</v>
      </c>
      <c r="T197" s="1">
        <v>0</v>
      </c>
      <c r="U197" s="1">
        <f>Games[[#This Row],[PointsFor]]-Games[[#This Row],[PointsAgainst]]</f>
        <v>8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0.3484226053812321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73.75</v>
      </c>
      <c r="Z197" s="4">
        <f>Games[[#This Row],[K]]*Games[[#This Row],[POMult]]</f>
        <v>73.75</v>
      </c>
      <c r="AA197" s="4">
        <f>(Games[[#This Row],[Keff]]*Games[[#This Row],[MOVMult]])*(Games[[#This Row],[Result]]-Games[[#This Row],[ExpectedWin%]])</f>
        <v>5.6145125068401347</v>
      </c>
      <c r="AB197" s="4">
        <f>Games[[#This Row],[PreGmRate]]+Games[[#This Row],[RatingChange]]</f>
        <v>1555.8321606686409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40016</v>
      </c>
      <c r="B198" s="2">
        <v>2009</v>
      </c>
      <c r="C198" s="2">
        <f>COUNTIFS(Games[Team],Games[[#This Row],[Team]],Games[Season],Games[[#This Row],[Season]],Games[Date],"&lt;=" &amp; Games[[#This Row],[Date]])</f>
        <v>18</v>
      </c>
      <c r="D198" s="2" t="s">
        <v>23</v>
      </c>
      <c r="E198" s="2" t="s">
        <v>29</v>
      </c>
      <c r="F198" s="1" t="s">
        <v>87</v>
      </c>
      <c r="G198" s="1" t="s">
        <v>73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1423.6515729406603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1522.8375882546984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0.2583612490695093</v>
      </c>
      <c r="R198" s="1">
        <v>98</v>
      </c>
      <c r="S198" s="1">
        <v>95</v>
      </c>
      <c r="T198" s="1">
        <v>1</v>
      </c>
      <c r="U198" s="1">
        <f>Games[[#This Row],[PointsFor]]-Games[[#This Row],[PointsAgainst]]</f>
        <v>3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0.24122658271598646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73.3</v>
      </c>
      <c r="Z198" s="4">
        <f>Games[[#This Row],[K]]*Games[[#This Row],[POMult]]</f>
        <v>73.3</v>
      </c>
      <c r="AA198" s="4">
        <f>(Games[[#This Row],[Keff]]*Games[[#This Row],[MOVMult]])*(Games[[#This Row],[Result]]-Games[[#This Row],[ExpectedWin%]])</f>
        <v>13.113588543709202</v>
      </c>
      <c r="AB198" s="4">
        <f>Games[[#This Row],[PreGmRate]]+Games[[#This Row],[RatingChange]]</f>
        <v>1436.7651614843696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40016</v>
      </c>
      <c r="B199" s="2">
        <v>2009</v>
      </c>
      <c r="C199" s="2">
        <f>COUNTIFS(Games[Team],Games[[#This Row],[Team]],Games[Season],Games[[#This Row],[Season]],Games[Date],"&lt;=" &amp; Games[[#This Row],[Date]])</f>
        <v>14</v>
      </c>
      <c r="D199" s="2" t="s">
        <v>23</v>
      </c>
      <c r="E199" s="2" t="s">
        <v>29</v>
      </c>
      <c r="F199" s="1" t="s">
        <v>73</v>
      </c>
      <c r="G199" s="1" t="s">
        <v>87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1522.8375882546984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1423.6515729406603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0.7416387509304907</v>
      </c>
      <c r="R199" s="1">
        <v>95</v>
      </c>
      <c r="S199" s="1">
        <v>98</v>
      </c>
      <c r="T199" s="1">
        <v>1</v>
      </c>
      <c r="U199" s="1">
        <f>Games[[#This Row],[PointsFor]]-Games[[#This Row],[PointsAgainst]]</f>
        <v>-3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0.24122658271598646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73.900000000000006</v>
      </c>
      <c r="Z199" s="4">
        <f>Games[[#This Row],[K]]*Games[[#This Row],[POMult]]</f>
        <v>73.900000000000006</v>
      </c>
      <c r="AA199" s="4">
        <f>(Games[[#This Row],[Keff]]*Games[[#This Row],[MOVMult]])*(Games[[#This Row],[Result]]-Games[[#This Row],[ExpectedWin%]])</f>
        <v>-13.220930332607232</v>
      </c>
      <c r="AB199" s="4">
        <f>Games[[#This Row],[PreGmRate]]+Games[[#This Row],[RatingChange]]</f>
        <v>1509.6166579220912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40016</v>
      </c>
      <c r="B200" s="2">
        <v>2009</v>
      </c>
      <c r="C200" s="2">
        <f>COUNTIFS(Games[Team],Games[[#This Row],[Team]],Games[Season],Games[[#This Row],[Season]],Games[Date],"&lt;=" &amp; Games[[#This Row],[Date]])</f>
        <v>17</v>
      </c>
      <c r="D200" s="2" t="s">
        <v>23</v>
      </c>
      <c r="E200" s="2" t="s">
        <v>29</v>
      </c>
      <c r="F200" s="1" t="s">
        <v>75</v>
      </c>
      <c r="G200" s="1" t="s">
        <v>44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0" s="2">
        <f>Games[[#This Row],[DaysOff]]-Games[[#This Row],[OppDaysOff]]</f>
        <v>-1</v>
      </c>
      <c r="L200" s="2">
        <f>Games[[#This Row],[OppDaysOff]]-Games[[#This Row],[DaysOff]]</f>
        <v>1</v>
      </c>
      <c r="M200" s="1">
        <f>MAX(-16, MIN(16, Games[[#This Row],[RestDiff]]*8))</f>
        <v>-8</v>
      </c>
      <c r="N200" s="1">
        <f>MAX(-16, MIN(16, Games[[#This Row],[OppRestDiff]]*8))</f>
        <v>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1490.0238098382229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1592.1310151018092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0.2380459381561181</v>
      </c>
      <c r="R200" s="1">
        <v>99</v>
      </c>
      <c r="S200" s="1">
        <v>86</v>
      </c>
      <c r="T200" s="1">
        <v>0</v>
      </c>
      <c r="U200" s="1">
        <f>Games[[#This Row],[PointsFor]]-Games[[#This Row],[PointsAgainst]]</f>
        <v>13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0.43502754956514794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24.346545567358646</v>
      </c>
      <c r="AB200" s="4">
        <f>Games[[#This Row],[PreGmRate]]+Games[[#This Row],[RatingChange]]</f>
        <v>1514.3703554055814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40016</v>
      </c>
      <c r="B201" s="2">
        <v>2009</v>
      </c>
      <c r="C201" s="2">
        <f>COUNTIFS(Games[Team],Games[[#This Row],[Team]],Games[Season],Games[[#This Row],[Season]],Games[Date],"&lt;=" &amp; Games[[#This Row],[Date]])</f>
        <v>17</v>
      </c>
      <c r="D201" s="2" t="s">
        <v>23</v>
      </c>
      <c r="E201" s="2" t="s">
        <v>29</v>
      </c>
      <c r="F201" s="1" t="s">
        <v>44</v>
      </c>
      <c r="G201" s="1" t="s">
        <v>75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1" s="2">
        <f>Games[[#This Row],[DaysOff]]-Games[[#This Row],[OppDaysOff]]</f>
        <v>1</v>
      </c>
      <c r="L201" s="2">
        <f>Games[[#This Row],[OppDaysOff]]-Games[[#This Row],[DaysOff]]</f>
        <v>-1</v>
      </c>
      <c r="M201" s="1">
        <f>MAX(-16, MIN(16, Games[[#This Row],[RestDiff]]*8))</f>
        <v>8</v>
      </c>
      <c r="N201" s="1">
        <f>MAX(-16, MIN(16, Games[[#This Row],[OppRestDiff]]*8))</f>
        <v>-8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1592.1310151018092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1490.0238098382229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0.76195406184388192</v>
      </c>
      <c r="R201" s="1">
        <v>86</v>
      </c>
      <c r="S201" s="1">
        <v>99</v>
      </c>
      <c r="T201" s="1">
        <v>0</v>
      </c>
      <c r="U201" s="1">
        <f>Games[[#This Row],[PointsFor]]-Games[[#This Row],[PointsAgainst]]</f>
        <v>-13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0.43502754956514794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73.45</v>
      </c>
      <c r="Z201" s="4">
        <f>Games[[#This Row],[K]]*Games[[#This Row],[POMult]]</f>
        <v>73.45</v>
      </c>
      <c r="AA201" s="4">
        <f>(Games[[#This Row],[Keff]]*Games[[#This Row],[MOVMult]])*(Games[[#This Row],[Result]]-Games[[#This Row],[ExpectedWin%]])</f>
        <v>-24.346545567358646</v>
      </c>
      <c r="AB201" s="4">
        <f>Games[[#This Row],[PreGmRate]]+Games[[#This Row],[RatingChange]]</f>
        <v>1567.7844695344506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40016</v>
      </c>
      <c r="B202" s="2">
        <v>2009</v>
      </c>
      <c r="C202" s="2">
        <f>COUNTIFS(Games[Team],Games[[#This Row],[Team]],Games[Season],Games[[#This Row],[Season]],Games[Date],"&lt;=" &amp; Games[[#This Row],[Date]])</f>
        <v>13</v>
      </c>
      <c r="D202" s="2" t="s">
        <v>23</v>
      </c>
      <c r="E202" s="2" t="s">
        <v>29</v>
      </c>
      <c r="F202" s="1" t="s">
        <v>68</v>
      </c>
      <c r="G202" s="1" t="s">
        <v>79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7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5</v>
      </c>
      <c r="L202" s="2">
        <f>Games[[#This Row],[OppDaysOff]]-Games[[#This Row],[DaysOff]]</f>
        <v>-5</v>
      </c>
      <c r="M202" s="1">
        <f>MAX(-16, MIN(16, Games[[#This Row],[RestDiff]]*8))</f>
        <v>16</v>
      </c>
      <c r="N202" s="1">
        <f>MAX(-16, MIN(16, Games[[#This Row],[OppRestDiff]]*8))</f>
        <v>-16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1500.2216712250229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1563.456986208532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0.33998797702966588</v>
      </c>
      <c r="R202" s="1">
        <v>87</v>
      </c>
      <c r="S202" s="1">
        <v>98</v>
      </c>
      <c r="T202" s="1">
        <v>1</v>
      </c>
      <c r="U202" s="1">
        <f>Games[[#This Row],[PointsFor]]-Games[[#This Row],[PointsAgainst]]</f>
        <v>-11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0.37603670689371366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74.05</v>
      </c>
      <c r="Z202" s="4">
        <f>Games[[#This Row],[K]]*Games[[#This Row],[POMult]]</f>
        <v>74.05</v>
      </c>
      <c r="AA202" s="4">
        <f>(Games[[#This Row],[Keff]]*Games[[#This Row],[MOVMult]])*(Games[[#This Row],[Result]]-Games[[#This Row],[ExpectedWin%]])</f>
        <v>-9.4671413836244263</v>
      </c>
      <c r="AB202" s="4">
        <f>Games[[#This Row],[PreGmRate]]+Games[[#This Row],[RatingChange]]</f>
        <v>1490.7545298413984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40016</v>
      </c>
      <c r="B203" s="2">
        <v>2009</v>
      </c>
      <c r="C203" s="2">
        <f>COUNTIFS(Games[Team],Games[[#This Row],[Team]],Games[Season],Games[[#This Row],[Season]],Games[Date],"&lt;=" &amp; Games[[#This Row],[Date]])</f>
        <v>17</v>
      </c>
      <c r="D203" s="2" t="s">
        <v>23</v>
      </c>
      <c r="E203" s="2" t="s">
        <v>29</v>
      </c>
      <c r="F203" s="1" t="s">
        <v>79</v>
      </c>
      <c r="G203" s="1" t="s">
        <v>68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03" s="2">
        <f>Games[[#This Row],[DaysOff]]-Games[[#This Row],[OppDaysOff]]</f>
        <v>-5</v>
      </c>
      <c r="L203" s="2">
        <f>Games[[#This Row],[OppDaysOff]]-Games[[#This Row],[DaysOff]]</f>
        <v>5</v>
      </c>
      <c r="M203" s="1">
        <f>MAX(-16, MIN(16, Games[[#This Row],[RestDiff]]*8))</f>
        <v>-16</v>
      </c>
      <c r="N203" s="1">
        <f>MAX(-16, MIN(16, Games[[#This Row],[OppRestDiff]]*8))</f>
        <v>16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1563.456986208532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1500.2216712250229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0.66001202297033401</v>
      </c>
      <c r="R203" s="1">
        <v>98</v>
      </c>
      <c r="S203" s="1">
        <v>87</v>
      </c>
      <c r="T203" s="1">
        <v>1</v>
      </c>
      <c r="U203" s="1">
        <f>Games[[#This Row],[PointsFor]]-Games[[#This Row],[PointsAgainst]]</f>
        <v>11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0.37603670689371366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9.3904326080650158</v>
      </c>
      <c r="AB203" s="4">
        <f>Games[[#This Row],[PreGmRate]]+Games[[#This Row],[RatingChange]]</f>
        <v>1572.8474188165972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40017</v>
      </c>
      <c r="B204" s="2">
        <v>2009</v>
      </c>
      <c r="C204" s="2">
        <f>COUNTIFS(Games[Team],Games[[#This Row],[Team]],Games[Season],Games[[#This Row],[Season]],Games[Date],"&lt;=" &amp; Games[[#This Row],[Date]])</f>
        <v>18</v>
      </c>
      <c r="D204" s="2" t="s">
        <v>23</v>
      </c>
      <c r="E204" s="2" t="s">
        <v>29</v>
      </c>
      <c r="F204" s="1" t="s">
        <v>45</v>
      </c>
      <c r="G204" s="1" t="s">
        <v>65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1407.2309982296008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1500.9966445016503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0.26438484285839359</v>
      </c>
      <c r="R204" s="1">
        <v>88</v>
      </c>
      <c r="S204" s="1">
        <v>73</v>
      </c>
      <c r="T204" s="1">
        <v>0</v>
      </c>
      <c r="U204" s="1">
        <f>Games[[#This Row],[PointsFor]]-Games[[#This Row],[PointsAgainst]]</f>
        <v>15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0.4664041245748391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73.3</v>
      </c>
      <c r="Z204" s="4">
        <f>Games[[#This Row],[K]]*Games[[#This Row],[POMult]]</f>
        <v>73.3</v>
      </c>
      <c r="AA204" s="4">
        <f>(Games[[#This Row],[Keff]]*Games[[#This Row],[MOVMult]])*(Games[[#This Row],[Result]]-Games[[#This Row],[ExpectedWin%]])</f>
        <v>25.148786050531978</v>
      </c>
      <c r="AB204" s="4">
        <f>Games[[#This Row],[PreGmRate]]+Games[[#This Row],[RatingChange]]</f>
        <v>1432.3797842801328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40017</v>
      </c>
      <c r="B205" s="2">
        <v>2009</v>
      </c>
      <c r="C205" s="2">
        <f>COUNTIFS(Games[Team],Games[[#This Row],[Team]],Games[Season],Games[[#This Row],[Season]],Games[Date],"&lt;=" &amp; Games[[#This Row],[Date]])</f>
        <v>15</v>
      </c>
      <c r="D205" s="2" t="s">
        <v>23</v>
      </c>
      <c r="E205" s="2" t="s">
        <v>29</v>
      </c>
      <c r="F205" s="1" t="s">
        <v>65</v>
      </c>
      <c r="G205" s="1" t="s">
        <v>45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1500.9966445016503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1407.2309982296008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0.73561515714160641</v>
      </c>
      <c r="R205" s="1">
        <v>73</v>
      </c>
      <c r="S205" s="1">
        <v>88</v>
      </c>
      <c r="T205" s="1">
        <v>0</v>
      </c>
      <c r="U205" s="1">
        <f>Games[[#This Row],[PointsFor]]-Games[[#This Row],[PointsAgainst]]</f>
        <v>-15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0.4664041245748391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73.75</v>
      </c>
      <c r="Z205" s="4">
        <f>Games[[#This Row],[K]]*Games[[#This Row],[POMult]]</f>
        <v>73.75</v>
      </c>
      <c r="AA205" s="4">
        <f>(Games[[#This Row],[Keff]]*Games[[#This Row],[MOVMult]])*(Games[[#This Row],[Result]]-Games[[#This Row],[ExpectedWin%]])</f>
        <v>-25.303178325057754</v>
      </c>
      <c r="AB205" s="4">
        <f>Games[[#This Row],[PreGmRate]]+Games[[#This Row],[RatingChange]]</f>
        <v>1475.6934661765924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40017</v>
      </c>
      <c r="B206" s="2">
        <v>2009</v>
      </c>
      <c r="C206" s="2">
        <f>COUNTIFS(Games[Team],Games[[#This Row],[Team]],Games[Season],Games[[#This Row],[Season]],Games[Date],"&lt;=" &amp; Games[[#This Row],[Date]])</f>
        <v>16</v>
      </c>
      <c r="D206" s="2" t="s">
        <v>23</v>
      </c>
      <c r="E206" s="2" t="s">
        <v>29</v>
      </c>
      <c r="F206" s="1" t="s">
        <v>77</v>
      </c>
      <c r="G206" s="1" t="s">
        <v>82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6" s="2">
        <f>Games[[#This Row],[DaysOff]]-Games[[#This Row],[OppDaysOff]]</f>
        <v>-2</v>
      </c>
      <c r="L206" s="2">
        <f>Games[[#This Row],[OppDaysOff]]-Games[[#This Row],[DaysOff]]</f>
        <v>2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1595.8121313394424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1493.2640119607338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0.48065085513832678</v>
      </c>
      <c r="R206" s="1">
        <v>65</v>
      </c>
      <c r="S206" s="1">
        <v>84</v>
      </c>
      <c r="T206" s="1">
        <v>0</v>
      </c>
      <c r="U206" s="1">
        <f>Games[[#This Row],[PointsFor]]-Games[[#This Row],[PointsAgainst]]</f>
        <v>-19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0.5168124518799434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73.599999999999994</v>
      </c>
      <c r="Z206" s="4">
        <f>Games[[#This Row],[K]]*Games[[#This Row],[POMult]]</f>
        <v>73.599999999999994</v>
      </c>
      <c r="AA206" s="4">
        <f>(Games[[#This Row],[Keff]]*Games[[#This Row],[MOVMult]])*(Games[[#This Row],[Result]]-Games[[#This Row],[ExpectedWin%]])</f>
        <v>-18.282707134948136</v>
      </c>
      <c r="AB206" s="4">
        <f>Games[[#This Row],[PreGmRate]]+Games[[#This Row],[RatingChange]]</f>
        <v>1577.5294242044943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40017</v>
      </c>
      <c r="B207" s="2">
        <v>2009</v>
      </c>
      <c r="C207" s="2">
        <f>COUNTIFS(Games[Team],Games[[#This Row],[Team]],Games[Season],Games[[#This Row],[Season]],Games[Date],"&lt;=" &amp; Games[[#This Row],[Date]])</f>
        <v>15</v>
      </c>
      <c r="D207" s="2" t="s">
        <v>23</v>
      </c>
      <c r="E207" s="2" t="s">
        <v>29</v>
      </c>
      <c r="F207" s="1" t="s">
        <v>82</v>
      </c>
      <c r="G207" s="1" t="s">
        <v>77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2</v>
      </c>
      <c r="L207" s="2">
        <f>Games[[#This Row],[OppDaysOff]]-Games[[#This Row],[DaysOff]]</f>
        <v>-2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1493.2640119607338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1595.8121313394424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0.51934914486167316</v>
      </c>
      <c r="R207" s="1">
        <v>84</v>
      </c>
      <c r="S207" s="1">
        <v>65</v>
      </c>
      <c r="T207" s="1">
        <v>0</v>
      </c>
      <c r="U207" s="1">
        <f>Games[[#This Row],[PointsFor]]-Games[[#This Row],[PointsAgainst]]</f>
        <v>19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0.5168124518799434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73.75</v>
      </c>
      <c r="Z207" s="4">
        <f>Games[[#This Row],[K]]*Games[[#This Row],[POMult]]</f>
        <v>73.75</v>
      </c>
      <c r="AA207" s="4">
        <f>(Games[[#This Row],[Keff]]*Games[[#This Row],[MOVMult]])*(Games[[#This Row],[Result]]-Games[[#This Row],[ExpectedWin%]])</f>
        <v>18.319968086989476</v>
      </c>
      <c r="AB207" s="4">
        <f>Games[[#This Row],[PreGmRate]]+Games[[#This Row],[RatingChange]]</f>
        <v>1511.5839800477233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40017</v>
      </c>
      <c r="B208" s="2">
        <v>2009</v>
      </c>
      <c r="C208" s="2">
        <f>COUNTIFS(Games[Team],Games[[#This Row],[Team]],Games[Season],Games[[#This Row],[Season]],Games[Date],"&lt;=" &amp; Games[[#This Row],[Date]])</f>
        <v>18</v>
      </c>
      <c r="D208" s="2" t="s">
        <v>23</v>
      </c>
      <c r="E208" s="2" t="s">
        <v>29</v>
      </c>
      <c r="F208" s="1" t="s">
        <v>85</v>
      </c>
      <c r="G208" s="1" t="s">
        <v>71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-1</v>
      </c>
      <c r="L208" s="2">
        <f>Games[[#This Row],[OppDaysOff]]-Games[[#This Row],[DaysOff]]</f>
        <v>1</v>
      </c>
      <c r="M208" s="1">
        <f>MAX(-16, MIN(16, Games[[#This Row],[RestDiff]]*8))</f>
        <v>-8</v>
      </c>
      <c r="N208" s="1">
        <f>MAX(-16, MIN(16, Games[[#This Row],[OppRestDiff]]*8))</f>
        <v>8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1432.8544379134878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1439.0479655523125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0.35176291621506894</v>
      </c>
      <c r="R208" s="1">
        <v>64</v>
      </c>
      <c r="S208" s="1">
        <v>75</v>
      </c>
      <c r="T208" s="1">
        <v>0</v>
      </c>
      <c r="U208" s="1">
        <f>Games[[#This Row],[PointsFor]]-Games[[#This Row],[PointsAgainst]]</f>
        <v>-11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0.43757751323898653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-11.282595637915247</v>
      </c>
      <c r="AB208" s="4">
        <f>Games[[#This Row],[PreGmRate]]+Games[[#This Row],[RatingChange]]</f>
        <v>1421.5718422755726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40017</v>
      </c>
      <c r="B209" s="2">
        <v>2009</v>
      </c>
      <c r="C209" s="2">
        <f>COUNTIFS(Games[Team],Games[[#This Row],[Team]],Games[Season],Games[[#This Row],[Season]],Games[Date],"&lt;=" &amp; Games[[#This Row],[Date]])</f>
        <v>15</v>
      </c>
      <c r="D209" s="2" t="s">
        <v>23</v>
      </c>
      <c r="E209" s="2" t="s">
        <v>29</v>
      </c>
      <c r="F209" s="1" t="s">
        <v>71</v>
      </c>
      <c r="G209" s="1" t="s">
        <v>85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9" s="2">
        <f>Games[[#This Row],[DaysOff]]-Games[[#This Row],[OppDaysOff]]</f>
        <v>1</v>
      </c>
      <c r="L209" s="2">
        <f>Games[[#This Row],[OppDaysOff]]-Games[[#This Row],[DaysOff]]</f>
        <v>-1</v>
      </c>
      <c r="M209" s="1">
        <f>MAX(-16, MIN(16, Games[[#This Row],[RestDiff]]*8))</f>
        <v>8</v>
      </c>
      <c r="N209" s="1">
        <f>MAX(-16, MIN(16, Games[[#This Row],[OppRestDiff]]*8))</f>
        <v>-8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1439.0479655523125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1432.8544379134878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0.64823708378493106</v>
      </c>
      <c r="R209" s="1">
        <v>75</v>
      </c>
      <c r="S209" s="1">
        <v>64</v>
      </c>
      <c r="T209" s="1">
        <v>0</v>
      </c>
      <c r="U209" s="1">
        <f>Games[[#This Row],[PointsFor]]-Games[[#This Row],[PointsAgainst]]</f>
        <v>11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0.43757751323898653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73.75</v>
      </c>
      <c r="Z209" s="4">
        <f>Games[[#This Row],[K]]*Games[[#This Row],[POMult]]</f>
        <v>73.75</v>
      </c>
      <c r="AA209" s="4">
        <f>(Games[[#This Row],[Keff]]*Games[[#This Row],[MOVMult]])*(Games[[#This Row],[Result]]-Games[[#This Row],[ExpectedWin%]])</f>
        <v>11.351861231872432</v>
      </c>
      <c r="AB209" s="4">
        <f>Games[[#This Row],[PreGmRate]]+Games[[#This Row],[RatingChange]]</f>
        <v>1450.3998267841848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40020</v>
      </c>
      <c r="B210" s="2">
        <v>2009</v>
      </c>
      <c r="C210" s="2">
        <f>COUNTIFS(Games[Team],Games[[#This Row],[Team]],Games[Season],Games[[#This Row],[Season]],Games[Date],"&lt;=" &amp; Games[[#This Row],[Date]])</f>
        <v>18</v>
      </c>
      <c r="D210" s="2" t="s">
        <v>23</v>
      </c>
      <c r="E210" s="2" t="s">
        <v>29</v>
      </c>
      <c r="F210" s="1" t="s">
        <v>44</v>
      </c>
      <c r="G210" s="1" t="s">
        <v>65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0" s="2">
        <f>Games[[#This Row],[DaysOff]]-Games[[#This Row],[OppDaysOff]]</f>
        <v>1</v>
      </c>
      <c r="L210" s="2">
        <f>Games[[#This Row],[OppDaysOff]]-Games[[#This Row],[DaysOff]]</f>
        <v>-1</v>
      </c>
      <c r="M210" s="1">
        <f>MAX(-16, MIN(16, Games[[#This Row],[RestDiff]]*8))</f>
        <v>8</v>
      </c>
      <c r="N210" s="1">
        <f>MAX(-16, MIN(16, Games[[#This Row],[OppRestDiff]]*8))</f>
        <v>-8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1567.7844695344506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1475.6934661765924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0.53461428378771492</v>
      </c>
      <c r="R210" s="1">
        <v>94</v>
      </c>
      <c r="S210" s="1">
        <v>88</v>
      </c>
      <c r="T210" s="1">
        <v>0</v>
      </c>
      <c r="U210" s="1">
        <f>Games[[#This Row],[PointsFor]]-Games[[#This Row],[PointsAgainst]]</f>
        <v>6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0.32624398143297101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73.3</v>
      </c>
      <c r="Z210" s="4">
        <f>Games[[#This Row],[K]]*Games[[#This Row],[POMult]]</f>
        <v>73.3</v>
      </c>
      <c r="AA210" s="4">
        <f>(Games[[#This Row],[Keff]]*Games[[#This Row],[MOVMult]])*(Games[[#This Row],[Result]]-Games[[#This Row],[ExpectedWin%]])</f>
        <v>11.129086880704277</v>
      </c>
      <c r="AB210" s="4">
        <f>Games[[#This Row],[PreGmRate]]+Games[[#This Row],[RatingChange]]</f>
        <v>1578.913556415155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40020</v>
      </c>
      <c r="B211" s="2">
        <v>2009</v>
      </c>
      <c r="C211" s="2">
        <f>COUNTIFS(Games[Team],Games[[#This Row],[Team]],Games[Season],Games[[#This Row],[Season]],Games[Date],"&lt;=" &amp; Games[[#This Row],[Date]])</f>
        <v>16</v>
      </c>
      <c r="D211" s="2" t="s">
        <v>23</v>
      </c>
      <c r="E211" s="2" t="s">
        <v>29</v>
      </c>
      <c r="F211" s="1" t="s">
        <v>65</v>
      </c>
      <c r="G211" s="1" t="s">
        <v>44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1" s="2">
        <f>Games[[#This Row],[DaysOff]]-Games[[#This Row],[OppDaysOff]]</f>
        <v>-1</v>
      </c>
      <c r="L211" s="2">
        <f>Games[[#This Row],[OppDaysOff]]-Games[[#This Row],[DaysOff]]</f>
        <v>1</v>
      </c>
      <c r="M211" s="1">
        <f>MAX(-16, MIN(16, Games[[#This Row],[RestDiff]]*8))</f>
        <v>-8</v>
      </c>
      <c r="N211" s="1">
        <f>MAX(-16, MIN(16, Games[[#This Row],[OppRestDiff]]*8))</f>
        <v>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1475.6934661765924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1567.7844695344506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0.46538571621228514</v>
      </c>
      <c r="R211" s="1">
        <v>88</v>
      </c>
      <c r="S211" s="1">
        <v>94</v>
      </c>
      <c r="T211" s="1">
        <v>0</v>
      </c>
      <c r="U211" s="1">
        <f>Games[[#This Row],[PointsFor]]-Games[[#This Row],[PointsAgainst]]</f>
        <v>-6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0.32624398143297101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73.599999999999994</v>
      </c>
      <c r="Z211" s="4">
        <f>Games[[#This Row],[K]]*Games[[#This Row],[POMult]]</f>
        <v>73.599999999999994</v>
      </c>
      <c r="AA211" s="4">
        <f>(Games[[#This Row],[Keff]]*Games[[#This Row],[MOVMult]])*(Games[[#This Row],[Result]]-Games[[#This Row],[ExpectedWin%]])</f>
        <v>-11.174635667392018</v>
      </c>
      <c r="AB211" s="4">
        <f>Games[[#This Row],[PreGmRate]]+Games[[#This Row],[RatingChange]]</f>
        <v>1464.5188305092004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40020</v>
      </c>
      <c r="B212" s="2">
        <v>2009</v>
      </c>
      <c r="C212" s="2">
        <f>COUNTIFS(Games[Team],Games[[#This Row],[Team]],Games[Season],Games[[#This Row],[Season]],Games[Date],"&lt;=" &amp; Games[[#This Row],[Date]])</f>
        <v>19</v>
      </c>
      <c r="D212" s="2" t="s">
        <v>23</v>
      </c>
      <c r="E212" s="2" t="s">
        <v>29</v>
      </c>
      <c r="F212" s="1" t="s">
        <v>45</v>
      </c>
      <c r="G212" s="1" t="s">
        <v>71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1432.3797842801328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1450.3998267841848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0.35726043794481277</v>
      </c>
      <c r="R212" s="1">
        <v>73</v>
      </c>
      <c r="S212" s="1">
        <v>87</v>
      </c>
      <c r="T212" s="1">
        <v>0</v>
      </c>
      <c r="U212" s="1">
        <f>Games[[#This Row],[PointsFor]]-Games[[#This Row],[PointsAgainst]]</f>
        <v>-14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0.48039416743749919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73.150000000000006</v>
      </c>
      <c r="Z212" s="4">
        <f>Games[[#This Row],[K]]*Games[[#This Row],[POMult]]</f>
        <v>73.150000000000006</v>
      </c>
      <c r="AA212" s="4">
        <f>(Games[[#This Row],[Keff]]*Games[[#This Row],[MOVMult]])*(Games[[#This Row],[Result]]-Games[[#This Row],[ExpectedWin%]])</f>
        <v>-12.554429511671122</v>
      </c>
      <c r="AB212" s="4">
        <f>Games[[#This Row],[PreGmRate]]+Games[[#This Row],[RatingChange]]</f>
        <v>1419.8253547684617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40020</v>
      </c>
      <c r="B213" s="2">
        <v>2009</v>
      </c>
      <c r="C213" s="2">
        <f>COUNTIFS(Games[Team],Games[[#This Row],[Team]],Games[Season],Games[[#This Row],[Season]],Games[Date],"&lt;=" &amp; Games[[#This Row],[Date]])</f>
        <v>16</v>
      </c>
      <c r="D213" s="2" t="s">
        <v>23</v>
      </c>
      <c r="E213" s="2" t="s">
        <v>29</v>
      </c>
      <c r="F213" s="1" t="s">
        <v>71</v>
      </c>
      <c r="G213" s="1" t="s">
        <v>45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1450.3998267841848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1432.3797842801328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0.64273956205518723</v>
      </c>
      <c r="R213" s="1">
        <v>87</v>
      </c>
      <c r="S213" s="1">
        <v>73</v>
      </c>
      <c r="T213" s="1">
        <v>0</v>
      </c>
      <c r="U213" s="1">
        <f>Games[[#This Row],[PointsFor]]-Games[[#This Row],[PointsAgainst]]</f>
        <v>14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0.48039416743749919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73.599999999999994</v>
      </c>
      <c r="Z213" s="4">
        <f>Games[[#This Row],[K]]*Games[[#This Row],[POMult]]</f>
        <v>73.599999999999994</v>
      </c>
      <c r="AA213" s="4">
        <f>(Games[[#This Row],[Keff]]*Games[[#This Row],[MOVMult]])*(Games[[#This Row],[Result]]-Games[[#This Row],[ExpectedWin%]])</f>
        <v>12.631661135461304</v>
      </c>
      <c r="AB213" s="4">
        <f>Games[[#This Row],[PreGmRate]]+Games[[#This Row],[RatingChange]]</f>
        <v>1463.0314879196462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40022</v>
      </c>
      <c r="B214" s="2">
        <v>2009</v>
      </c>
      <c r="C214" s="2">
        <f>COUNTIFS(Games[Team],Games[[#This Row],[Team]],Games[Season],Games[[#This Row],[Season]],Games[Date],"&lt;=" &amp; Games[[#This Row],[Date]])</f>
        <v>19</v>
      </c>
      <c r="D214" s="2" t="s">
        <v>23</v>
      </c>
      <c r="E214" s="2" t="s">
        <v>29</v>
      </c>
      <c r="F214" s="1" t="s">
        <v>44</v>
      </c>
      <c r="G214" s="1" t="s">
        <v>84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4" s="2">
        <f>Games[[#This Row],[DaysOff]]-Games[[#This Row],[OppDaysOff]]</f>
        <v>-4</v>
      </c>
      <c r="L214" s="2">
        <f>Games[[#This Row],[OppDaysOff]]-Games[[#This Row],[DaysOff]]</f>
        <v>4</v>
      </c>
      <c r="M214" s="1">
        <f>MAX(-16, MIN(16, Games[[#This Row],[RestDiff]]*8))</f>
        <v>-16</v>
      </c>
      <c r="N214" s="1">
        <f>MAX(-16, MIN(16, Games[[#This Row],[OppRestDiff]]*8))</f>
        <v>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1578.913556415155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1555.8321606686409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0.36937884822433975</v>
      </c>
      <c r="R214" s="1">
        <v>95</v>
      </c>
      <c r="S214" s="1">
        <v>80</v>
      </c>
      <c r="T214" s="1">
        <v>0</v>
      </c>
      <c r="U214" s="1">
        <f>Games[[#This Row],[PointsFor]]-Games[[#This Row],[PointsAgainst]]</f>
        <v>15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0.49335852524043755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73.150000000000006</v>
      </c>
      <c r="Z214" s="4">
        <f>Games[[#This Row],[K]]*Games[[#This Row],[POMult]]</f>
        <v>73.150000000000006</v>
      </c>
      <c r="AA214" s="4">
        <f>(Games[[#This Row],[Keff]]*Games[[#This Row],[MOVMult]])*(Games[[#This Row],[Result]]-Games[[#This Row],[ExpectedWin%]])</f>
        <v>22.758597812272829</v>
      </c>
      <c r="AB214" s="4">
        <f>Games[[#This Row],[PreGmRate]]+Games[[#This Row],[RatingChange]]</f>
        <v>1601.6721542274279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40022</v>
      </c>
      <c r="B215" s="2">
        <v>2009</v>
      </c>
      <c r="C215" s="2">
        <f>COUNTIFS(Games[Team],Games[[#This Row],[Team]],Games[Season],Games[[#This Row],[Season]],Games[Date],"&lt;=" &amp; Games[[#This Row],[Date]])</f>
        <v>16</v>
      </c>
      <c r="D215" s="2" t="s">
        <v>23</v>
      </c>
      <c r="E215" s="2" t="s">
        <v>29</v>
      </c>
      <c r="F215" s="1" t="s">
        <v>84</v>
      </c>
      <c r="G215" s="1" t="s">
        <v>44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4</v>
      </c>
      <c r="L215" s="2">
        <f>Games[[#This Row],[OppDaysOff]]-Games[[#This Row],[DaysOff]]</f>
        <v>-4</v>
      </c>
      <c r="M215" s="1">
        <f>MAX(-16, MIN(16, Games[[#This Row],[RestDiff]]*8))</f>
        <v>16</v>
      </c>
      <c r="N215" s="1">
        <f>MAX(-16, MIN(16, Games[[#This Row],[OppRestDiff]]*8))</f>
        <v>-16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1555.8321606686409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1578.913556415155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0.63062115177566036</v>
      </c>
      <c r="R215" s="1">
        <v>80</v>
      </c>
      <c r="S215" s="1">
        <v>95</v>
      </c>
      <c r="T215" s="1">
        <v>0</v>
      </c>
      <c r="U215" s="1">
        <f>Games[[#This Row],[PointsFor]]-Games[[#This Row],[PointsAgainst]]</f>
        <v>-15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0.49335852524043755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73.599999999999994</v>
      </c>
      <c r="Z215" s="4">
        <f>Games[[#This Row],[K]]*Games[[#This Row],[POMult]]</f>
        <v>73.599999999999994</v>
      </c>
      <c r="AA215" s="4">
        <f>(Games[[#This Row],[Keff]]*Games[[#This Row],[MOVMult]])*(Games[[#This Row],[Result]]-Games[[#This Row],[ExpectedWin%]])</f>
        <v>-22.898602856914291</v>
      </c>
      <c r="AB215" s="4">
        <f>Games[[#This Row],[PreGmRate]]+Games[[#This Row],[RatingChange]]</f>
        <v>1532.9335578117266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40022</v>
      </c>
      <c r="B216" s="2">
        <v>2009</v>
      </c>
      <c r="C216" s="2">
        <f>COUNTIFS(Games[Team],Games[[#This Row],[Team]],Games[Season],Games[[#This Row],[Season]],Games[Date],"&lt;=" &amp; Games[[#This Row],[Date]])</f>
        <v>17</v>
      </c>
      <c r="D216" s="2" t="s">
        <v>23</v>
      </c>
      <c r="E216" s="2" t="s">
        <v>29</v>
      </c>
      <c r="F216" s="1" t="s">
        <v>71</v>
      </c>
      <c r="G216" s="1" t="s">
        <v>77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6" s="2">
        <f>Games[[#This Row],[DaysOff]]-Games[[#This Row],[OppDaysOff]]</f>
        <v>-3</v>
      </c>
      <c r="L216" s="2">
        <f>Games[[#This Row],[OppDaysOff]]-Games[[#This Row],[DaysOff]]</f>
        <v>3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1463.0314879196462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1577.5294242044943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0.2096804287997571</v>
      </c>
      <c r="R216" s="1">
        <v>81</v>
      </c>
      <c r="S216" s="1">
        <v>85</v>
      </c>
      <c r="T216" s="1">
        <v>0</v>
      </c>
      <c r="U216" s="1">
        <f>Games[[#This Row],[PointsFor]]-Games[[#This Row],[PointsAgainst]]</f>
        <v>-4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0.28430571974946889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73.45</v>
      </c>
      <c r="Z216" s="4">
        <f>Games[[#This Row],[K]]*Games[[#This Row],[POMult]]</f>
        <v>73.45</v>
      </c>
      <c r="AA216" s="4">
        <f>(Games[[#This Row],[Keff]]*Games[[#This Row],[MOVMult]])*(Games[[#This Row],[Result]]-Games[[#This Row],[ExpectedWin%]])</f>
        <v>-4.3786002069446122</v>
      </c>
      <c r="AB216" s="4">
        <f>Games[[#This Row],[PreGmRate]]+Games[[#This Row],[RatingChange]]</f>
        <v>1458.6528877127016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40022</v>
      </c>
      <c r="B217" s="2">
        <v>2009</v>
      </c>
      <c r="C217" s="2">
        <f>COUNTIFS(Games[Team],Games[[#This Row],[Team]],Games[Season],Games[[#This Row],[Season]],Games[Date],"&lt;=" &amp; Games[[#This Row],[Date]])</f>
        <v>17</v>
      </c>
      <c r="D217" s="2" t="s">
        <v>23</v>
      </c>
      <c r="E217" s="2" t="s">
        <v>29</v>
      </c>
      <c r="F217" s="1" t="s">
        <v>77</v>
      </c>
      <c r="G217" s="1" t="s">
        <v>71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3</v>
      </c>
      <c r="L217" s="2">
        <f>Games[[#This Row],[OppDaysOff]]-Games[[#This Row],[DaysOff]]</f>
        <v>-3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1577.5294242044943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1463.0314879196462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0.79031957120024299</v>
      </c>
      <c r="R217" s="1">
        <v>85</v>
      </c>
      <c r="S217" s="1">
        <v>81</v>
      </c>
      <c r="T217" s="1">
        <v>0</v>
      </c>
      <c r="U217" s="1">
        <f>Games[[#This Row],[PointsFor]]-Games[[#This Row],[PointsAgainst]]</f>
        <v>4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0.28430571974946889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4.3786002069446104</v>
      </c>
      <c r="AB217" s="4">
        <f>Games[[#This Row],[PreGmRate]]+Games[[#This Row],[RatingChange]]</f>
        <v>1581.9080244114389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40022</v>
      </c>
      <c r="B218" s="2">
        <v>2009</v>
      </c>
      <c r="C218" s="2">
        <f>COUNTIFS(Games[Team],Games[[#This Row],[Team]],Games[Season],Games[[#This Row],[Season]],Games[Date],"&lt;=" &amp; Games[[#This Row],[Date]])</f>
        <v>14</v>
      </c>
      <c r="D218" s="2" t="s">
        <v>23</v>
      </c>
      <c r="E218" s="2" t="s">
        <v>29</v>
      </c>
      <c r="F218" s="1" t="s">
        <v>68</v>
      </c>
      <c r="G218" s="1" t="s">
        <v>75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1490.7545298413984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1514.3703554055814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0.34989825042817957</v>
      </c>
      <c r="R218" s="1">
        <v>76</v>
      </c>
      <c r="S218" s="1">
        <v>70</v>
      </c>
      <c r="T218" s="1">
        <v>0</v>
      </c>
      <c r="U218" s="1">
        <f>Games[[#This Row],[PointsFor]]-Games[[#This Row],[PointsAgainst]]</f>
        <v>6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0.34450103088101885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73.900000000000006</v>
      </c>
      <c r="Z218" s="4">
        <f>Games[[#This Row],[K]]*Games[[#This Row],[POMult]]</f>
        <v>73.900000000000006</v>
      </c>
      <c r="AA218" s="4">
        <f>(Games[[#This Row],[Keff]]*Games[[#This Row],[MOVMult]])*(Games[[#This Row],[Result]]-Games[[#This Row],[ExpectedWin%]])</f>
        <v>16.550697422682909</v>
      </c>
      <c r="AB218" s="4">
        <f>Games[[#This Row],[PreGmRate]]+Games[[#This Row],[RatingChange]]</f>
        <v>1507.3052272640814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40022</v>
      </c>
      <c r="B219" s="2">
        <v>2009</v>
      </c>
      <c r="C219" s="2">
        <f>COUNTIFS(Games[Team],Games[[#This Row],[Team]],Games[Season],Games[[#This Row],[Season]],Games[Date],"&lt;=" &amp; Games[[#This Row],[Date]])</f>
        <v>18</v>
      </c>
      <c r="D219" s="2" t="s">
        <v>23</v>
      </c>
      <c r="E219" s="2" t="s">
        <v>29</v>
      </c>
      <c r="F219" s="1" t="s">
        <v>75</v>
      </c>
      <c r="G219" s="1" t="s">
        <v>68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1514.3703554055814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1490.7545298413984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0.65010174957182043</v>
      </c>
      <c r="R219" s="1">
        <v>70</v>
      </c>
      <c r="S219" s="1">
        <v>76</v>
      </c>
      <c r="T219" s="1">
        <v>0</v>
      </c>
      <c r="U219" s="1">
        <f>Games[[#This Row],[PointsFor]]-Games[[#This Row],[PointsAgainst]]</f>
        <v>-6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0.34450103088101885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-16.416320988939876</v>
      </c>
      <c r="AB219" s="4">
        <f>Games[[#This Row],[PreGmRate]]+Games[[#This Row],[RatingChange]]</f>
        <v>1497.9540344166417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40022</v>
      </c>
      <c r="B220" s="2">
        <v>2009</v>
      </c>
      <c r="C220" s="2">
        <f>COUNTIFS(Games[Team],Games[[#This Row],[Team]],Games[Season],Games[[#This Row],[Season]],Games[Date],"&lt;=" &amp; Games[[#This Row],[Date]])</f>
        <v>18</v>
      </c>
      <c r="D220" s="2" t="s">
        <v>23</v>
      </c>
      <c r="E220" s="2" t="s">
        <v>29</v>
      </c>
      <c r="F220" s="1" t="s">
        <v>79</v>
      </c>
      <c r="G220" s="1" t="s">
        <v>82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0" s="2">
        <f>Games[[#This Row],[DaysOff]]-Games[[#This Row],[OppDaysOff]]</f>
        <v>1</v>
      </c>
      <c r="L220" s="2">
        <f>Games[[#This Row],[OppDaysOff]]-Games[[#This Row],[DaysOff]]</f>
        <v>-1</v>
      </c>
      <c r="M220" s="1">
        <f>MAX(-16, MIN(16, Games[[#This Row],[RestDiff]]*8))</f>
        <v>8</v>
      </c>
      <c r="N220" s="1">
        <f>MAX(-16, MIN(16, Games[[#This Row],[OppRestDiff]]*8))</f>
        <v>-8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1572.8474188165972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1511.5839800477233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0.49030652379961215</v>
      </c>
      <c r="R220" s="1">
        <v>71</v>
      </c>
      <c r="S220" s="1">
        <v>74</v>
      </c>
      <c r="T220" s="1">
        <v>0</v>
      </c>
      <c r="U220" s="1">
        <f>Games[[#This Row],[PointsFor]]-Games[[#This Row],[PointsAgainst]]</f>
        <v>-3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0.27608841627752989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73.3</v>
      </c>
      <c r="Z220" s="4">
        <f>Games[[#This Row],[K]]*Games[[#This Row],[POMult]]</f>
        <v>73.3</v>
      </c>
      <c r="AA220" s="4">
        <f>(Games[[#This Row],[Keff]]*Games[[#This Row],[MOVMult]])*(Games[[#This Row],[Result]]-Games[[#This Row],[ExpectedWin%]])</f>
        <v>-9.9224708556793555</v>
      </c>
      <c r="AB220" s="4">
        <f>Games[[#This Row],[PreGmRate]]+Games[[#This Row],[RatingChange]]</f>
        <v>1562.9249479609177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40022</v>
      </c>
      <c r="B221" s="2">
        <v>2009</v>
      </c>
      <c r="C221" s="2">
        <f>COUNTIFS(Games[Team],Games[[#This Row],[Team]],Games[Season],Games[[#This Row],[Season]],Games[Date],"&lt;=" &amp; Games[[#This Row],[Date]])</f>
        <v>16</v>
      </c>
      <c r="D221" s="2" t="s">
        <v>23</v>
      </c>
      <c r="E221" s="2" t="s">
        <v>29</v>
      </c>
      <c r="F221" s="1" t="s">
        <v>82</v>
      </c>
      <c r="G221" s="1" t="s">
        <v>79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1" s="2">
        <f>Games[[#This Row],[DaysOff]]-Games[[#This Row],[OppDaysOff]]</f>
        <v>-1</v>
      </c>
      <c r="L221" s="2">
        <f>Games[[#This Row],[OppDaysOff]]-Games[[#This Row],[DaysOff]]</f>
        <v>1</v>
      </c>
      <c r="M221" s="1">
        <f>MAX(-16, MIN(16, Games[[#This Row],[RestDiff]]*8))</f>
        <v>-8</v>
      </c>
      <c r="N221" s="1">
        <f>MAX(-16, MIN(16, Games[[#This Row],[OppRestDiff]]*8))</f>
        <v>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1511.5839800477233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1572.8474188165972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0.50969347620038785</v>
      </c>
      <c r="R221" s="1">
        <v>74</v>
      </c>
      <c r="S221" s="1">
        <v>71</v>
      </c>
      <c r="T221" s="1">
        <v>0</v>
      </c>
      <c r="U221" s="1">
        <f>Games[[#This Row],[PointsFor]]-Games[[#This Row],[PointsAgainst]]</f>
        <v>3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0.27608841627752989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73.599999999999994</v>
      </c>
      <c r="Z221" s="4">
        <f>Games[[#This Row],[K]]*Games[[#This Row],[POMult]]</f>
        <v>73.599999999999994</v>
      </c>
      <c r="AA221" s="4">
        <f>(Games[[#This Row],[Keff]]*Games[[#This Row],[MOVMult]])*(Games[[#This Row],[Result]]-Games[[#This Row],[ExpectedWin%]])</f>
        <v>9.9630812411732688</v>
      </c>
      <c r="AB221" s="4">
        <f>Games[[#This Row],[PreGmRate]]+Games[[#This Row],[RatingChange]]</f>
        <v>1521.5470612888967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40023</v>
      </c>
      <c r="B222" s="2">
        <v>2009</v>
      </c>
      <c r="C222" s="2">
        <f>COUNTIFS(Games[Team],Games[[#This Row],[Team]],Games[Season],Games[[#This Row],[Season]],Games[Date],"&lt;=" &amp; Games[[#This Row],[Date]])</f>
        <v>15</v>
      </c>
      <c r="D222" s="2" t="s">
        <v>23</v>
      </c>
      <c r="E222" s="2" t="s">
        <v>29</v>
      </c>
      <c r="F222" s="1" t="s">
        <v>68</v>
      </c>
      <c r="G222" s="1" t="s">
        <v>85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2" s="2">
        <f>Games[[#This Row],[DaysOff]]-Games[[#This Row],[OppDaysOff]]</f>
        <v>-5</v>
      </c>
      <c r="L222" s="2">
        <f>Games[[#This Row],[OppDaysOff]]-Games[[#This Row],[DaysOff]]</f>
        <v>5</v>
      </c>
      <c r="M222" s="1">
        <f>MAX(-16, MIN(16, Games[[#This Row],[RestDiff]]*8))</f>
        <v>-16</v>
      </c>
      <c r="N222" s="1">
        <f>MAX(-16, MIN(16, Games[[#This Row],[OppRestDiff]]*8))</f>
        <v>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1507.3052272640814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1421.5718422755726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0.4565526899320741</v>
      </c>
      <c r="R222" s="1">
        <v>63</v>
      </c>
      <c r="S222" s="1">
        <v>75</v>
      </c>
      <c r="T222" s="1">
        <v>0</v>
      </c>
      <c r="U222" s="1">
        <f>Games[[#This Row],[PointsFor]]-Games[[#This Row],[PointsAgainst]]</f>
        <v>-12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0.42571448955316726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73.75</v>
      </c>
      <c r="Z222" s="4">
        <f>Games[[#This Row],[K]]*Games[[#This Row],[POMult]]</f>
        <v>73.75</v>
      </c>
      <c r="AA222" s="4">
        <f>(Games[[#This Row],[Keff]]*Games[[#This Row],[MOVMult]])*(Games[[#This Row],[Result]]-Games[[#This Row],[ExpectedWin%]])</f>
        <v>-14.33413078195618</v>
      </c>
      <c r="AB222" s="4">
        <f>Games[[#This Row],[PreGmRate]]+Games[[#This Row],[RatingChange]]</f>
        <v>1492.9710964821252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40023</v>
      </c>
      <c r="B223" s="2">
        <v>2009</v>
      </c>
      <c r="C223" s="2">
        <f>COUNTIFS(Games[Team],Games[[#This Row],[Team]],Games[Season],Games[[#This Row],[Season]],Games[Date],"&lt;=" &amp; Games[[#This Row],[Date]])</f>
        <v>19</v>
      </c>
      <c r="D223" s="2" t="s">
        <v>23</v>
      </c>
      <c r="E223" s="2" t="s">
        <v>29</v>
      </c>
      <c r="F223" s="1" t="s">
        <v>85</v>
      </c>
      <c r="G223" s="1" t="s">
        <v>68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3" s="2">
        <f>Games[[#This Row],[DaysOff]]-Games[[#This Row],[OppDaysOff]]</f>
        <v>5</v>
      </c>
      <c r="L223" s="2">
        <f>Games[[#This Row],[OppDaysOff]]-Games[[#This Row],[DaysOff]]</f>
        <v>-5</v>
      </c>
      <c r="M223" s="1">
        <f>MAX(-16, MIN(16, Games[[#This Row],[RestDiff]]*8))</f>
        <v>16</v>
      </c>
      <c r="N223" s="1">
        <f>MAX(-16, MIN(16, Games[[#This Row],[OppRestDiff]]*8))</f>
        <v>-16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1421.5718422755726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1507.3052272640814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0.54344731006792601</v>
      </c>
      <c r="R223" s="1">
        <v>75</v>
      </c>
      <c r="S223" s="1">
        <v>63</v>
      </c>
      <c r="T223" s="1">
        <v>0</v>
      </c>
      <c r="U223" s="1">
        <f>Games[[#This Row],[PointsFor]]-Games[[#This Row],[PointsAgainst]]</f>
        <v>12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0.42571448955316726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73.150000000000006</v>
      </c>
      <c r="Z223" s="4">
        <f>Games[[#This Row],[K]]*Games[[#This Row],[POMult]]</f>
        <v>73.150000000000006</v>
      </c>
      <c r="AA223" s="4">
        <f>(Games[[#This Row],[Keff]]*Games[[#This Row],[MOVMult]])*(Games[[#This Row],[Result]]-Games[[#This Row],[ExpectedWin%]])</f>
        <v>14.217514124747042</v>
      </c>
      <c r="AB223" s="4">
        <f>Games[[#This Row],[PreGmRate]]+Games[[#This Row],[RatingChange]]</f>
        <v>1435.7893564003198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40024</v>
      </c>
      <c r="B224" s="2">
        <v>2009</v>
      </c>
      <c r="C224" s="2">
        <f>COUNTIFS(Games[Team],Games[[#This Row],[Team]],Games[Season],Games[[#This Row],[Season]],Games[Date],"&lt;=" &amp; Games[[#This Row],[Date]])</f>
        <v>20</v>
      </c>
      <c r="D224" s="2" t="s">
        <v>23</v>
      </c>
      <c r="E224" s="2" t="s">
        <v>29</v>
      </c>
      <c r="F224" s="1" t="s">
        <v>44</v>
      </c>
      <c r="G224" s="1" t="s">
        <v>87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4" s="2">
        <f>Games[[#This Row],[DaysOff]]-Games[[#This Row],[OppDaysOff]]</f>
        <v>-6</v>
      </c>
      <c r="L224" s="2">
        <f>Games[[#This Row],[OppDaysOff]]-Games[[#This Row],[DaysOff]]</f>
        <v>6</v>
      </c>
      <c r="M224" s="1">
        <f>MAX(-16, MIN(16, Games[[#This Row],[RestDiff]]*8))</f>
        <v>-16</v>
      </c>
      <c r="N224" s="1">
        <f>MAX(-16, MIN(16, Games[[#This Row],[OppRestDiff]]*8))</f>
        <v>16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1601.6721542274279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1436.7651614843696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0.56992159784893726</v>
      </c>
      <c r="R224" s="1">
        <v>76</v>
      </c>
      <c r="S224" s="1">
        <v>106</v>
      </c>
      <c r="T224" s="1">
        <v>0</v>
      </c>
      <c r="U224" s="1">
        <f>Games[[#This Row],[PointsFor]]-Games[[#This Row],[PointsAgainst]]</f>
        <v>-30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0.61849724268260831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</v>
      </c>
      <c r="Z224" s="4">
        <f>Games[[#This Row],[K]]*Games[[#This Row],[POMult]]</f>
        <v>73</v>
      </c>
      <c r="AA224" s="4">
        <f>(Games[[#This Row],[Keff]]*Games[[#This Row],[MOVMult]])*(Games[[#This Row],[Result]]-Games[[#This Row],[ExpectedWin%]])</f>
        <v>-25.732130387482886</v>
      </c>
      <c r="AB224" s="4">
        <f>Games[[#This Row],[PreGmRate]]+Games[[#This Row],[RatingChange]]</f>
        <v>1575.9400238399451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40024</v>
      </c>
      <c r="B225" s="2">
        <v>2009</v>
      </c>
      <c r="C225" s="2">
        <f>COUNTIFS(Games[Team],Games[[#This Row],[Team]],Games[Season],Games[[#This Row],[Season]],Games[Date],"&lt;=" &amp; Games[[#This Row],[Date]])</f>
        <v>19</v>
      </c>
      <c r="D225" s="2" t="s">
        <v>23</v>
      </c>
      <c r="E225" s="2" t="s">
        <v>29</v>
      </c>
      <c r="F225" s="1" t="s">
        <v>87</v>
      </c>
      <c r="G225" s="1" t="s">
        <v>44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7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6</v>
      </c>
      <c r="L225" s="2">
        <f>Games[[#This Row],[OppDaysOff]]-Games[[#This Row],[DaysOff]]</f>
        <v>-6</v>
      </c>
      <c r="M225" s="1">
        <f>MAX(-16, MIN(16, Games[[#This Row],[RestDiff]]*8))</f>
        <v>16</v>
      </c>
      <c r="N225" s="1">
        <f>MAX(-16, MIN(16, Games[[#This Row],[OppRestDiff]]*8))</f>
        <v>-16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1436.7651614843696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1601.6721542274279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0.43007840215106274</v>
      </c>
      <c r="R225" s="1">
        <v>106</v>
      </c>
      <c r="S225" s="1">
        <v>76</v>
      </c>
      <c r="T225" s="1">
        <v>0</v>
      </c>
      <c r="U225" s="1">
        <f>Games[[#This Row],[PointsFor]]-Games[[#This Row],[PointsAgainst]]</f>
        <v>30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0.61849724268260831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73.150000000000006</v>
      </c>
      <c r="Z225" s="4">
        <f>Games[[#This Row],[K]]*Games[[#This Row],[POMult]]</f>
        <v>73.150000000000006</v>
      </c>
      <c r="AA225" s="4">
        <f>(Games[[#This Row],[Keff]]*Games[[#This Row],[MOVMult]])*(Games[[#This Row],[Result]]-Games[[#This Row],[ExpectedWin%]])</f>
        <v>25.785004628005112</v>
      </c>
      <c r="AB225" s="4">
        <f>Games[[#This Row],[PreGmRate]]+Games[[#This Row],[RatingChange]]</f>
        <v>1462.5501661123747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40024</v>
      </c>
      <c r="B226" s="2">
        <v>2009</v>
      </c>
      <c r="C226" s="2">
        <f>COUNTIFS(Games[Team],Games[[#This Row],[Team]],Games[Season],Games[[#This Row],[Season]],Games[Date],"&lt;=" &amp; Games[[#This Row],[Date]])</f>
        <v>17</v>
      </c>
      <c r="D226" s="2" t="s">
        <v>23</v>
      </c>
      <c r="E226" s="2" t="s">
        <v>29</v>
      </c>
      <c r="F226" s="1" t="s">
        <v>84</v>
      </c>
      <c r="G226" s="1" t="s">
        <v>77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1532.9335578117266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1581.9080244114389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0.31746146169829809</v>
      </c>
      <c r="R226" s="1">
        <v>85</v>
      </c>
      <c r="S226" s="1">
        <v>94</v>
      </c>
      <c r="T226" s="1">
        <v>1</v>
      </c>
      <c r="U226" s="1">
        <f>Games[[#This Row],[PointsFor]]-Games[[#This Row],[PointsAgainst]]</f>
        <v>-9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0.35104740812891433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73.45</v>
      </c>
      <c r="Z226" s="4">
        <f>Games[[#This Row],[K]]*Games[[#This Row],[POMult]]</f>
        <v>73.45</v>
      </c>
      <c r="AA226" s="4">
        <f>(Games[[#This Row],[Keff]]*Games[[#This Row],[MOVMult]])*(Games[[#This Row],[Result]]-Games[[#This Row],[ExpectedWin%]])</f>
        <v>-8.1855635121198045</v>
      </c>
      <c r="AB226" s="4">
        <f>Games[[#This Row],[PreGmRate]]+Games[[#This Row],[RatingChange]]</f>
        <v>1524.7479942996067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40024</v>
      </c>
      <c r="B227" s="2">
        <v>2009</v>
      </c>
      <c r="C227" s="2">
        <f>COUNTIFS(Games[Team],Games[[#This Row],[Team]],Games[Season],Games[[#This Row],[Season]],Games[Date],"&lt;=" &amp; Games[[#This Row],[Date]])</f>
        <v>18</v>
      </c>
      <c r="D227" s="2" t="s">
        <v>23</v>
      </c>
      <c r="E227" s="2" t="s">
        <v>29</v>
      </c>
      <c r="F227" s="1" t="s">
        <v>77</v>
      </c>
      <c r="G227" s="1" t="s">
        <v>84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1581.9080244114389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1532.9335578117266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0.68253853830170186</v>
      </c>
      <c r="R227" s="1">
        <v>94</v>
      </c>
      <c r="S227" s="1">
        <v>85</v>
      </c>
      <c r="T227" s="1">
        <v>1</v>
      </c>
      <c r="U227" s="1">
        <f>Games[[#This Row],[PointsFor]]-Games[[#This Row],[PointsAgainst]]</f>
        <v>9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0.35104740812891433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73.3</v>
      </c>
      <c r="Z227" s="4">
        <f>Games[[#This Row],[K]]*Games[[#This Row],[POMult]]</f>
        <v>73.3</v>
      </c>
      <c r="AA227" s="4">
        <f>(Games[[#This Row],[Keff]]*Games[[#This Row],[MOVMult]])*(Games[[#This Row],[Result]]-Games[[#This Row],[ExpectedWin%]])</f>
        <v>8.1688469086233049</v>
      </c>
      <c r="AB227" s="4">
        <f>Games[[#This Row],[PreGmRate]]+Games[[#This Row],[RatingChange]]</f>
        <v>1590.0768713200621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40024</v>
      </c>
      <c r="B228" s="2">
        <v>2009</v>
      </c>
      <c r="C228" s="2">
        <f>COUNTIFS(Games[Team],Games[[#This Row],[Team]],Games[Season],Games[[#This Row],[Season]],Games[Date],"&lt;=" &amp; Games[[#This Row],[Date]])</f>
        <v>18</v>
      </c>
      <c r="D228" s="2" t="s">
        <v>23</v>
      </c>
      <c r="E228" s="2" t="s">
        <v>29</v>
      </c>
      <c r="F228" s="1" t="s">
        <v>71</v>
      </c>
      <c r="G228" s="1" t="s">
        <v>65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8" s="2">
        <f>Games[[#This Row],[DaysOff]]-Games[[#This Row],[OppDaysOff]]</f>
        <v>-2</v>
      </c>
      <c r="L228" s="2">
        <f>Games[[#This Row],[OppDaysOff]]-Games[[#This Row],[DaysOff]]</f>
        <v>2</v>
      </c>
      <c r="M228" s="1">
        <f>MAX(-16, MIN(16, Games[[#This Row],[RestDiff]]*8))</f>
        <v>-16</v>
      </c>
      <c r="N228" s="1">
        <f>MAX(-16, MIN(16, Games[[#This Row],[OppRestDiff]]*8))</f>
        <v>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1458.6528877127016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1464.5188305092004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0.33147602887152505</v>
      </c>
      <c r="R228" s="1">
        <v>78</v>
      </c>
      <c r="S228" s="1">
        <v>75</v>
      </c>
      <c r="T228" s="1">
        <v>0</v>
      </c>
      <c r="U228" s="1">
        <f>Games[[#This Row],[PointsFor]]-Games[[#This Row],[PointsAgainst]]</f>
        <v>3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0.2887719214549665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73.3</v>
      </c>
      <c r="Z228" s="4">
        <f>Games[[#This Row],[K]]*Games[[#This Row],[POMult]]</f>
        <v>73.3</v>
      </c>
      <c r="AA228" s="4">
        <f>(Games[[#This Row],[Keff]]*Games[[#This Row],[MOVMult]])*(Games[[#This Row],[Result]]-Games[[#This Row],[ExpectedWin%]])</f>
        <v>14.150634758252062</v>
      </c>
      <c r="AB228" s="4">
        <f>Games[[#This Row],[PreGmRate]]+Games[[#This Row],[RatingChange]]</f>
        <v>1472.8035224709536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40024</v>
      </c>
      <c r="B229" s="2">
        <v>2009</v>
      </c>
      <c r="C229" s="2">
        <f>COUNTIFS(Games[Team],Games[[#This Row],[Team]],Games[Season],Games[[#This Row],[Season]],Games[Date],"&lt;=" &amp; Games[[#This Row],[Date]])</f>
        <v>17</v>
      </c>
      <c r="D229" s="2" t="s">
        <v>23</v>
      </c>
      <c r="E229" s="2" t="s">
        <v>29</v>
      </c>
      <c r="F229" s="1" t="s">
        <v>65</v>
      </c>
      <c r="G229" s="1" t="s">
        <v>71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2</v>
      </c>
      <c r="L229" s="2">
        <f>Games[[#This Row],[OppDaysOff]]-Games[[#This Row],[DaysOff]]</f>
        <v>-2</v>
      </c>
      <c r="M229" s="1">
        <f>MAX(-16, MIN(16, Games[[#This Row],[RestDiff]]*8))</f>
        <v>16</v>
      </c>
      <c r="N229" s="1">
        <f>MAX(-16, MIN(16, Games[[#This Row],[OppRestDiff]]*8))</f>
        <v>-16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1464.5188305092004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1458.6528877127016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0.66852397112847495</v>
      </c>
      <c r="R229" s="1">
        <v>75</v>
      </c>
      <c r="S229" s="1">
        <v>78</v>
      </c>
      <c r="T229" s="1">
        <v>0</v>
      </c>
      <c r="U229" s="1">
        <f>Games[[#This Row],[PointsFor]]-Games[[#This Row],[PointsAgainst]]</f>
        <v>-3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0.2887719214549665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73.45</v>
      </c>
      <c r="Z229" s="4">
        <f>Games[[#This Row],[K]]*Games[[#This Row],[POMult]]</f>
        <v>73.45</v>
      </c>
      <c r="AA229" s="4">
        <f>(Games[[#This Row],[Keff]]*Games[[#This Row],[MOVMult]])*(Games[[#This Row],[Result]]-Games[[#This Row],[ExpectedWin%]])</f>
        <v>-14.179592401004285</v>
      </c>
      <c r="AB229" s="4">
        <f>Games[[#This Row],[PreGmRate]]+Games[[#This Row],[RatingChange]]</f>
        <v>1450.339238108196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40024</v>
      </c>
      <c r="B230" s="2">
        <v>2009</v>
      </c>
      <c r="C230" s="2">
        <f>COUNTIFS(Games[Team],Games[[#This Row],[Team]],Games[Season],Games[[#This Row],[Season]],Games[Date],"&lt;=" &amp; Games[[#This Row],[Date]])</f>
        <v>17</v>
      </c>
      <c r="D230" s="2" t="s">
        <v>23</v>
      </c>
      <c r="E230" s="2" t="s">
        <v>29</v>
      </c>
      <c r="F230" s="1" t="s">
        <v>82</v>
      </c>
      <c r="G230" s="1" t="s">
        <v>45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0" s="2">
        <f>Games[[#This Row],[DaysOff]]-Games[[#This Row],[OppDaysOff]]</f>
        <v>-2</v>
      </c>
      <c r="L230" s="2">
        <f>Games[[#This Row],[OppDaysOff]]-Games[[#This Row],[DaysOff]]</f>
        <v>2</v>
      </c>
      <c r="M230" s="1">
        <f>MAX(-16, MIN(16, Games[[#This Row],[RestDiff]]*8))</f>
        <v>-16</v>
      </c>
      <c r="N230" s="1">
        <f>MAX(-16, MIN(16, Games[[#This Row],[OppRestDiff]]*8))</f>
        <v>16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1521.5470612888967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1419.8253547684617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0.47946344402231816</v>
      </c>
      <c r="R230" s="1">
        <v>93</v>
      </c>
      <c r="S230" s="1">
        <v>101</v>
      </c>
      <c r="T230" s="1">
        <v>1</v>
      </c>
      <c r="U230" s="1">
        <f>Games[[#This Row],[PointsFor]]-Games[[#This Row],[PointsAgainst]]</f>
        <v>-8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0.32217391451838895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73.45</v>
      </c>
      <c r="Z230" s="4">
        <f>Games[[#This Row],[K]]*Games[[#This Row],[POMult]]</f>
        <v>73.45</v>
      </c>
      <c r="AA230" s="4">
        <f>(Games[[#This Row],[Keff]]*Games[[#This Row],[MOVMult]])*(Games[[#This Row],[Result]]-Games[[#This Row],[ExpectedWin%]])</f>
        <v>-11.345866644510238</v>
      </c>
      <c r="AB230" s="4">
        <f>Games[[#This Row],[PreGmRate]]+Games[[#This Row],[RatingChange]]</f>
        <v>1510.2011946443863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40024</v>
      </c>
      <c r="B231" s="2">
        <v>2009</v>
      </c>
      <c r="C231" s="2">
        <f>COUNTIFS(Games[Team],Games[[#This Row],[Team]],Games[Season],Games[[#This Row],[Season]],Games[Date],"&lt;=" &amp; Games[[#This Row],[Date]])</f>
        <v>20</v>
      </c>
      <c r="D231" s="2" t="s">
        <v>23</v>
      </c>
      <c r="E231" s="2" t="s">
        <v>29</v>
      </c>
      <c r="F231" s="1" t="s">
        <v>45</v>
      </c>
      <c r="G231" s="1" t="s">
        <v>82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2</v>
      </c>
      <c r="L231" s="2">
        <f>Games[[#This Row],[OppDaysOff]]-Games[[#This Row],[DaysOff]]</f>
        <v>-2</v>
      </c>
      <c r="M231" s="1">
        <f>MAX(-16, MIN(16, Games[[#This Row],[RestDiff]]*8))</f>
        <v>16</v>
      </c>
      <c r="N231" s="1">
        <f>MAX(-16, MIN(16, Games[[#This Row],[OppRestDiff]]*8))</f>
        <v>-16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1419.8253547684617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1521.5470612888967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0.52053655597768189</v>
      </c>
      <c r="R231" s="1">
        <v>101</v>
      </c>
      <c r="S231" s="1">
        <v>93</v>
      </c>
      <c r="T231" s="1">
        <v>1</v>
      </c>
      <c r="U231" s="1">
        <f>Games[[#This Row],[PointsFor]]-Games[[#This Row],[PointsAgainst]]</f>
        <v>8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0.32217391451838895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</v>
      </c>
      <c r="Z231" s="4">
        <f>Games[[#This Row],[K]]*Games[[#This Row],[POMult]]</f>
        <v>73</v>
      </c>
      <c r="AA231" s="4">
        <f>(Games[[#This Row],[Keff]]*Games[[#This Row],[MOVMult]])*(Games[[#This Row],[Result]]-Games[[#This Row],[ExpectedWin%]])</f>
        <v>11.276354867927123</v>
      </c>
      <c r="AB231" s="4">
        <f>Games[[#This Row],[PreGmRate]]+Games[[#This Row],[RatingChange]]</f>
        <v>1431.1017096363887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40025</v>
      </c>
      <c r="B232" s="2">
        <v>2009</v>
      </c>
      <c r="C232" s="2">
        <f>COUNTIFS(Games[Team],Games[[#This Row],[Team]],Games[Season],Games[[#This Row],[Season]],Games[Date],"&lt;=" &amp; Games[[#This Row],[Date]])</f>
        <v>19</v>
      </c>
      <c r="D232" s="2" t="s">
        <v>23</v>
      </c>
      <c r="E232" s="2" t="s">
        <v>29</v>
      </c>
      <c r="F232" s="1" t="s">
        <v>75</v>
      </c>
      <c r="G232" s="1" t="s">
        <v>73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32" s="2">
        <f>Games[[#This Row],[DaysOff]]-Games[[#This Row],[OppDaysOff]]</f>
        <v>-6</v>
      </c>
      <c r="L232" s="2">
        <f>Games[[#This Row],[OppDaysOff]]-Games[[#This Row],[DaysOff]]</f>
        <v>6</v>
      </c>
      <c r="M232" s="1">
        <f>MAX(-16, MIN(16, Games[[#This Row],[RestDiff]]*8))</f>
        <v>-16</v>
      </c>
      <c r="N232" s="1">
        <f>MAX(-16, MIN(16, Games[[#This Row],[OppRestDiff]]*8))</f>
        <v>16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1497.9540344166417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1509.6166579220912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0.32412363505524999</v>
      </c>
      <c r="R232" s="1">
        <v>83</v>
      </c>
      <c r="S232" s="1">
        <v>91</v>
      </c>
      <c r="T232" s="1">
        <v>0</v>
      </c>
      <c r="U232" s="1">
        <f>Games[[#This Row],[PointsFor]]-Games[[#This Row],[PointsAgainst]]</f>
        <v>-8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0.38457787915871189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73.150000000000006</v>
      </c>
      <c r="Z232" s="4">
        <f>Games[[#This Row],[K]]*Games[[#This Row],[POMult]]</f>
        <v>73.150000000000006</v>
      </c>
      <c r="AA232" s="4">
        <f>(Games[[#This Row],[Keff]]*Games[[#This Row],[MOVMult]])*(Games[[#This Row],[Result]]-Games[[#This Row],[ExpectedWin%]])</f>
        <v>-9.1182045683207225</v>
      </c>
      <c r="AB232" s="4">
        <f>Games[[#This Row],[PreGmRate]]+Games[[#This Row],[RatingChange]]</f>
        <v>1488.8358298483208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40025</v>
      </c>
      <c r="B233" s="2">
        <v>2009</v>
      </c>
      <c r="C233" s="2">
        <f>COUNTIFS(Games[Team],Games[[#This Row],[Team]],Games[Season],Games[[#This Row],[Season]],Games[Date],"&lt;=" &amp; Games[[#This Row],[Date]])</f>
        <v>15</v>
      </c>
      <c r="D233" s="2" t="s">
        <v>23</v>
      </c>
      <c r="E233" s="2" t="s">
        <v>29</v>
      </c>
      <c r="F233" s="1" t="s">
        <v>73</v>
      </c>
      <c r="G233" s="1" t="s">
        <v>75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8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3" s="2">
        <f>Games[[#This Row],[DaysOff]]-Games[[#This Row],[OppDaysOff]]</f>
        <v>6</v>
      </c>
      <c r="L233" s="2">
        <f>Games[[#This Row],[OppDaysOff]]-Games[[#This Row],[DaysOff]]</f>
        <v>-6</v>
      </c>
      <c r="M233" s="1">
        <f>MAX(-16, MIN(16, Games[[#This Row],[RestDiff]]*8))</f>
        <v>16</v>
      </c>
      <c r="N233" s="1">
        <f>MAX(-16, MIN(16, Games[[#This Row],[OppRestDiff]]*8))</f>
        <v>-16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1509.6166579220912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1497.9540344166417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0.67587636494475001</v>
      </c>
      <c r="R233" s="1">
        <v>91</v>
      </c>
      <c r="S233" s="1">
        <v>83</v>
      </c>
      <c r="T233" s="1">
        <v>0</v>
      </c>
      <c r="U233" s="1">
        <f>Games[[#This Row],[PointsFor]]-Games[[#This Row],[PointsAgainst]]</f>
        <v>8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0.38457787915871189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73.75</v>
      </c>
      <c r="Z233" s="4">
        <f>Games[[#This Row],[K]]*Games[[#This Row],[POMult]]</f>
        <v>73.75</v>
      </c>
      <c r="AA233" s="4">
        <f>(Games[[#This Row],[Keff]]*Games[[#This Row],[MOVMult]])*(Games[[#This Row],[Result]]-Games[[#This Row],[ExpectedWin%]])</f>
        <v>9.192995036413576</v>
      </c>
      <c r="AB233" s="4">
        <f>Games[[#This Row],[PreGmRate]]+Games[[#This Row],[RatingChange]]</f>
        <v>1518.8096529585048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40026</v>
      </c>
      <c r="B234" s="2">
        <v>2009</v>
      </c>
      <c r="C234" s="2">
        <f>COUNTIFS(Games[Team],Games[[#This Row],[Team]],Games[Season],Games[[#This Row],[Season]],Games[Date],"&lt;=" &amp; Games[[#This Row],[Date]])</f>
        <v>18</v>
      </c>
      <c r="D234" s="2" t="s">
        <v>23</v>
      </c>
      <c r="E234" s="2" t="s">
        <v>29</v>
      </c>
      <c r="F234" s="1" t="s">
        <v>65</v>
      </c>
      <c r="G234" s="1" t="s">
        <v>87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1450.339238108196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1462.5501661123747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0.36497520594849014</v>
      </c>
      <c r="R234" s="1">
        <v>83</v>
      </c>
      <c r="S234" s="1">
        <v>89</v>
      </c>
      <c r="T234" s="1">
        <v>0</v>
      </c>
      <c r="U234" s="1">
        <f>Games[[#This Row],[PointsFor]]-Games[[#This Row],[PointsAgainst]]</f>
        <v>-6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0.34774221513018477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73.3</v>
      </c>
      <c r="Z234" s="4">
        <f>Games[[#This Row],[K]]*Games[[#This Row],[POMult]]</f>
        <v>73.3</v>
      </c>
      <c r="AA234" s="4">
        <f>(Games[[#This Row],[Keff]]*Games[[#This Row],[MOVMult]])*(Games[[#This Row],[Result]]-Games[[#This Row],[ExpectedWin%]])</f>
        <v>-9.3030371066162409</v>
      </c>
      <c r="AB234" s="4">
        <f>Games[[#This Row],[PreGmRate]]+Games[[#This Row],[RatingChange]]</f>
        <v>1441.0362010015797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40026</v>
      </c>
      <c r="B235" s="2">
        <v>2009</v>
      </c>
      <c r="C235" s="2">
        <f>COUNTIFS(Games[Team],Games[[#This Row],[Team]],Games[Season],Games[[#This Row],[Season]],Games[Date],"&lt;=" &amp; Games[[#This Row],[Date]])</f>
        <v>20</v>
      </c>
      <c r="D235" s="2" t="s">
        <v>23</v>
      </c>
      <c r="E235" s="2" t="s">
        <v>29</v>
      </c>
      <c r="F235" s="1" t="s">
        <v>87</v>
      </c>
      <c r="G235" s="1" t="s">
        <v>65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1462.5501661123747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1450.339238108196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0.63502479405150991</v>
      </c>
      <c r="R235" s="1">
        <v>89</v>
      </c>
      <c r="S235" s="1">
        <v>83</v>
      </c>
      <c r="T235" s="1">
        <v>0</v>
      </c>
      <c r="U235" s="1">
        <f>Games[[#This Row],[PointsFor]]-Games[[#This Row],[PointsAgainst]]</f>
        <v>6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0.34774221513018477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</v>
      </c>
      <c r="Z235" s="4">
        <f>Games[[#This Row],[K]]*Games[[#This Row],[POMult]]</f>
        <v>73</v>
      </c>
      <c r="AA235" s="4">
        <f>(Games[[#This Row],[Keff]]*Games[[#This Row],[MOVMult]])*(Games[[#This Row],[Result]]-Games[[#This Row],[ExpectedWin%]])</f>
        <v>9.264961920641003</v>
      </c>
      <c r="AB235" s="4">
        <f>Games[[#This Row],[PreGmRate]]+Games[[#This Row],[RatingChange]]</f>
        <v>1471.8151280330158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40026</v>
      </c>
      <c r="B236" s="2">
        <v>2009</v>
      </c>
      <c r="C236" s="2">
        <f>COUNTIFS(Games[Team],Games[[#This Row],[Team]],Games[Season],Games[[#This Row],[Season]],Games[Date],"&lt;=" &amp; Games[[#This Row],[Date]])</f>
        <v>18</v>
      </c>
      <c r="D236" s="2" t="s">
        <v>23</v>
      </c>
      <c r="E236" s="2" t="s">
        <v>29</v>
      </c>
      <c r="F236" s="1" t="s">
        <v>84</v>
      </c>
      <c r="G236" s="1" t="s">
        <v>85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6" s="2">
        <f>Games[[#This Row],[DaysOff]]-Games[[#This Row],[OppDaysOff]]</f>
        <v>-1</v>
      </c>
      <c r="L236" s="2">
        <f>Games[[#This Row],[OppDaysOff]]-Games[[#This Row],[DaysOff]]</f>
        <v>1</v>
      </c>
      <c r="M236" s="1">
        <f>MAX(-16, MIN(16, Games[[#This Row],[RestDiff]]*8))</f>
        <v>-8</v>
      </c>
      <c r="N236" s="1">
        <f>MAX(-16, MIN(16, Games[[#This Row],[OppRestDiff]]*8))</f>
        <v>8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1524.7479942996067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1435.7893564003198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0.48411554973905052</v>
      </c>
      <c r="R236" s="1">
        <v>72</v>
      </c>
      <c r="S236" s="1">
        <v>84</v>
      </c>
      <c r="T236" s="1">
        <v>0</v>
      </c>
      <c r="U236" s="1">
        <f>Games[[#This Row],[PointsFor]]-Games[[#This Row],[PointsAgainst]]</f>
        <v>-12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0.42464925995136288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73.3</v>
      </c>
      <c r="Z236" s="4">
        <f>Games[[#This Row],[K]]*Games[[#This Row],[POMult]]</f>
        <v>73.3</v>
      </c>
      <c r="AA236" s="4">
        <f>(Games[[#This Row],[Keff]]*Games[[#This Row],[MOVMult]])*(Games[[#This Row],[Result]]-Games[[#This Row],[ExpectedWin%]])</f>
        <v>-15.068963417695645</v>
      </c>
      <c r="AB236" s="4">
        <f>Games[[#This Row],[PreGmRate]]+Games[[#This Row],[RatingChange]]</f>
        <v>1509.6790308819111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40026</v>
      </c>
      <c r="B237" s="2">
        <v>2009</v>
      </c>
      <c r="C237" s="2">
        <f>COUNTIFS(Games[Team],Games[[#This Row],[Team]],Games[Season],Games[[#This Row],[Season]],Games[Date],"&lt;=" &amp; Games[[#This Row],[Date]])</f>
        <v>20</v>
      </c>
      <c r="D237" s="2" t="s">
        <v>23</v>
      </c>
      <c r="E237" s="2" t="s">
        <v>29</v>
      </c>
      <c r="F237" s="1" t="s">
        <v>85</v>
      </c>
      <c r="G237" s="1" t="s">
        <v>84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1</v>
      </c>
      <c r="L237" s="2">
        <f>Games[[#This Row],[OppDaysOff]]-Games[[#This Row],[DaysOff]]</f>
        <v>-1</v>
      </c>
      <c r="M237" s="1">
        <f>MAX(-16, MIN(16, Games[[#This Row],[RestDiff]]*8))</f>
        <v>8</v>
      </c>
      <c r="N237" s="1">
        <f>MAX(-16, MIN(16, Games[[#This Row],[OppRestDiff]]*8))</f>
        <v>-8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1435.7893564003198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1524.7479942996067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0.51588445026094942</v>
      </c>
      <c r="R237" s="1">
        <v>84</v>
      </c>
      <c r="S237" s="1">
        <v>72</v>
      </c>
      <c r="T237" s="1">
        <v>0</v>
      </c>
      <c r="U237" s="1">
        <f>Games[[#This Row],[PointsFor]]-Games[[#This Row],[PointsAgainst]]</f>
        <v>12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0.42464925995136288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</v>
      </c>
      <c r="Z237" s="4">
        <f>Games[[#This Row],[K]]*Games[[#This Row],[POMult]]</f>
        <v>73</v>
      </c>
      <c r="AA237" s="4">
        <f>(Games[[#This Row],[Keff]]*Games[[#This Row],[MOVMult]])*(Games[[#This Row],[Result]]-Games[[#This Row],[ExpectedWin%]])</f>
        <v>15.007289624717359</v>
      </c>
      <c r="AB237" s="4">
        <f>Games[[#This Row],[PreGmRate]]+Games[[#This Row],[RatingChange]]</f>
        <v>1450.796646025037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40026</v>
      </c>
      <c r="B238" s="2">
        <v>2009</v>
      </c>
      <c r="C238" s="2">
        <f>COUNTIFS(Games[Team],Games[[#This Row],[Team]],Games[Season],Games[[#This Row],[Season]],Games[Date],"&lt;=" &amp; Games[[#This Row],[Date]])</f>
        <v>21</v>
      </c>
      <c r="D238" s="2" t="s">
        <v>23</v>
      </c>
      <c r="E238" s="2" t="s">
        <v>29</v>
      </c>
      <c r="F238" s="1" t="s">
        <v>44</v>
      </c>
      <c r="G238" s="1" t="s">
        <v>75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8" s="2">
        <f>Games[[#This Row],[DaysOff]]-Games[[#This Row],[OppDaysOff]]</f>
        <v>1</v>
      </c>
      <c r="L238" s="2">
        <f>Games[[#This Row],[OppDaysOff]]-Games[[#This Row],[DaysOff]]</f>
        <v>-1</v>
      </c>
      <c r="M238" s="1">
        <f>MAX(-16, MIN(16, Games[[#This Row],[RestDiff]]*8))</f>
        <v>8</v>
      </c>
      <c r="N238" s="1">
        <f>MAX(-16, MIN(16, Games[[#This Row],[OppRestDiff]]*8))</f>
        <v>-8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1575.9400238399451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1488.8358298483208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0.52746547022024848</v>
      </c>
      <c r="R238" s="1">
        <v>87</v>
      </c>
      <c r="S238" s="1">
        <v>74</v>
      </c>
      <c r="T238" s="1">
        <v>0</v>
      </c>
      <c r="U238" s="1">
        <f>Games[[#This Row],[PointsFor]]-Games[[#This Row],[PointsAgainst]]</f>
        <v>13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0.44009840805524347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72.849999999999994</v>
      </c>
      <c r="Z238" s="4">
        <f>Games[[#This Row],[K]]*Games[[#This Row],[POMult]]</f>
        <v>72.849999999999994</v>
      </c>
      <c r="AA238" s="4">
        <f>(Games[[#This Row],[Keff]]*Games[[#This Row],[MOVMult]])*(Games[[#This Row],[Result]]-Games[[#This Row],[ExpectedWin%]])</f>
        <v>15.150009430279642</v>
      </c>
      <c r="AB238" s="4">
        <f>Games[[#This Row],[PreGmRate]]+Games[[#This Row],[RatingChange]]</f>
        <v>1591.0900332702247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40026</v>
      </c>
      <c r="B239" s="2">
        <v>2009</v>
      </c>
      <c r="C239" s="2">
        <f>COUNTIFS(Games[Team],Games[[#This Row],[Team]],Games[Season],Games[[#This Row],[Season]],Games[Date],"&lt;=" &amp; Games[[#This Row],[Date]])</f>
        <v>20</v>
      </c>
      <c r="D239" s="2" t="s">
        <v>23</v>
      </c>
      <c r="E239" s="2" t="s">
        <v>29</v>
      </c>
      <c r="F239" s="1" t="s">
        <v>75</v>
      </c>
      <c r="G239" s="1" t="s">
        <v>44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-1</v>
      </c>
      <c r="L239" s="2">
        <f>Games[[#This Row],[OppDaysOff]]-Games[[#This Row],[DaysOff]]</f>
        <v>1</v>
      </c>
      <c r="M239" s="1">
        <f>MAX(-16, MIN(16, Games[[#This Row],[RestDiff]]*8))</f>
        <v>-8</v>
      </c>
      <c r="N239" s="1">
        <f>MAX(-16, MIN(16, Games[[#This Row],[OppRestDiff]]*8))</f>
        <v>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1488.8358298483208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1575.9400238399451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0.47253452977975158</v>
      </c>
      <c r="R239" s="1">
        <v>74</v>
      </c>
      <c r="S239" s="1">
        <v>87</v>
      </c>
      <c r="T239" s="1">
        <v>0</v>
      </c>
      <c r="U239" s="1">
        <f>Games[[#This Row],[PointsFor]]-Games[[#This Row],[PointsAgainst]]</f>
        <v>-13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0.44009840805524347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</v>
      </c>
      <c r="Z239" s="4">
        <f>Games[[#This Row],[K]]*Games[[#This Row],[POMult]]</f>
        <v>73</v>
      </c>
      <c r="AA239" s="4">
        <f>(Games[[#This Row],[Keff]]*Games[[#This Row],[MOVMult]])*(Games[[#This Row],[Result]]-Games[[#This Row],[ExpectedWin%]])</f>
        <v>-15.181203684425725</v>
      </c>
      <c r="AB239" s="4">
        <f>Games[[#This Row],[PreGmRate]]+Games[[#This Row],[RatingChange]]</f>
        <v>1473.654626163895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40026</v>
      </c>
      <c r="B240" s="2">
        <v>2009</v>
      </c>
      <c r="C240" s="2">
        <f>COUNTIFS(Games[Team],Games[[#This Row],[Team]],Games[Season],Games[[#This Row],[Season]],Games[Date],"&lt;=" &amp; Games[[#This Row],[Date]])</f>
        <v>16</v>
      </c>
      <c r="D240" s="2" t="s">
        <v>23</v>
      </c>
      <c r="E240" s="2" t="s">
        <v>29</v>
      </c>
      <c r="F240" s="1" t="s">
        <v>68</v>
      </c>
      <c r="G240" s="1" t="s">
        <v>45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1</v>
      </c>
      <c r="L240" s="2">
        <f>Games[[#This Row],[OppDaysOff]]-Games[[#This Row],[DaysOff]]</f>
        <v>-1</v>
      </c>
      <c r="M240" s="1">
        <f>MAX(-16, MIN(16, Games[[#This Row],[RestDiff]]*8))</f>
        <v>8</v>
      </c>
      <c r="N240" s="1">
        <f>MAX(-16, MIN(16, Games[[#This Row],[OppRestDiff]]*8))</f>
        <v>-8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1492.9710964821252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1431.1017096363887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0.49117825401558768</v>
      </c>
      <c r="R240" s="1">
        <v>59</v>
      </c>
      <c r="S240" s="1">
        <v>56</v>
      </c>
      <c r="T240" s="1">
        <v>0</v>
      </c>
      <c r="U240" s="1">
        <f>Games[[#This Row],[PointsFor]]-Games[[#This Row],[PointsAgainst]]</f>
        <v>3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0.27595583897069337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73.599999999999994</v>
      </c>
      <c r="Z240" s="4">
        <f>Games[[#This Row],[K]]*Games[[#This Row],[POMult]]</f>
        <v>73.599999999999994</v>
      </c>
      <c r="AA240" s="4">
        <f>(Games[[#This Row],[Keff]]*Games[[#This Row],[MOVMult]])*(Games[[#This Row],[Result]]-Games[[#This Row],[ExpectedWin%]])</f>
        <v>10.334347620455087</v>
      </c>
      <c r="AB240" s="4">
        <f>Games[[#This Row],[PreGmRate]]+Games[[#This Row],[RatingChange]]</f>
        <v>1503.3054441025802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40026</v>
      </c>
      <c r="B241" s="2">
        <v>2009</v>
      </c>
      <c r="C241" s="2">
        <f>COUNTIFS(Games[Team],Games[[#This Row],[Team]],Games[Season],Games[[#This Row],[Season]],Games[Date],"&lt;=" &amp; Games[[#This Row],[Date]])</f>
        <v>21</v>
      </c>
      <c r="D241" s="2" t="s">
        <v>23</v>
      </c>
      <c r="E241" s="2" t="s">
        <v>29</v>
      </c>
      <c r="F241" s="1" t="s">
        <v>45</v>
      </c>
      <c r="G241" s="1" t="s">
        <v>68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1" s="2">
        <f>Games[[#This Row],[DaysOff]]-Games[[#This Row],[OppDaysOff]]</f>
        <v>-1</v>
      </c>
      <c r="L241" s="2">
        <f>Games[[#This Row],[OppDaysOff]]-Games[[#This Row],[DaysOff]]</f>
        <v>1</v>
      </c>
      <c r="M241" s="1">
        <f>MAX(-16, MIN(16, Games[[#This Row],[RestDiff]]*8))</f>
        <v>-8</v>
      </c>
      <c r="N241" s="1">
        <f>MAX(-16, MIN(16, Games[[#This Row],[OppRestDiff]]*8))</f>
        <v>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1431.1017096363887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1492.9710964821252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0.50882174598441232</v>
      </c>
      <c r="R241" s="1">
        <v>56</v>
      </c>
      <c r="S241" s="1">
        <v>59</v>
      </c>
      <c r="T241" s="1">
        <v>0</v>
      </c>
      <c r="U241" s="1">
        <f>Games[[#This Row],[PointsFor]]-Games[[#This Row],[PointsAgainst]]</f>
        <v>-3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0.27595583897069337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72.849999999999994</v>
      </c>
      <c r="Z241" s="4">
        <f>Games[[#This Row],[K]]*Games[[#This Row],[POMult]]</f>
        <v>72.849999999999994</v>
      </c>
      <c r="AA241" s="4">
        <f>(Games[[#This Row],[Keff]]*Games[[#This Row],[MOVMult]])*(Games[[#This Row],[Result]]-Games[[#This Row],[ExpectedWin%]])</f>
        <v>-10.229038371605341</v>
      </c>
      <c r="AB241" s="4">
        <f>Games[[#This Row],[PreGmRate]]+Games[[#This Row],[RatingChange]]</f>
        <v>1420.8726712647833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40026</v>
      </c>
      <c r="B242" s="2">
        <v>2009</v>
      </c>
      <c r="C242" s="2">
        <f>COUNTIFS(Games[Team],Games[[#This Row],[Team]],Games[Season],Games[[#This Row],[Season]],Games[Date],"&lt;=" &amp; Games[[#This Row],[Date]])</f>
        <v>18</v>
      </c>
      <c r="D242" s="2" t="s">
        <v>23</v>
      </c>
      <c r="E242" s="2" t="s">
        <v>29</v>
      </c>
      <c r="F242" s="1" t="s">
        <v>82</v>
      </c>
      <c r="G242" s="1" t="s">
        <v>79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2" s="2">
        <f>Games[[#This Row],[DaysOff]]-Games[[#This Row],[OppDaysOff]]</f>
        <v>-2</v>
      </c>
      <c r="L242" s="2">
        <f>Games[[#This Row],[OppDaysOff]]-Games[[#This Row],[DaysOff]]</f>
        <v>2</v>
      </c>
      <c r="M242" s="1">
        <f>MAX(-16, MIN(16, Games[[#This Row],[RestDiff]]*8))</f>
        <v>-16</v>
      </c>
      <c r="N242" s="1">
        <f>MAX(-16, MIN(16, Games[[#This Row],[OppRestDiff]]*8))</f>
        <v>16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1510.2011946443863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1562.9249479609177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0.27463102278961887</v>
      </c>
      <c r="R242" s="1">
        <v>82</v>
      </c>
      <c r="S242" s="1">
        <v>85</v>
      </c>
      <c r="T242" s="1">
        <v>1</v>
      </c>
      <c r="U242" s="1">
        <f>Games[[#This Row],[PointsFor]]-Games[[#This Row],[PointsAgainst]]</f>
        <v>-3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0.25017343365358613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73.3</v>
      </c>
      <c r="Z242" s="4">
        <f>Games[[#This Row],[K]]*Games[[#This Row],[POMult]]</f>
        <v>73.3</v>
      </c>
      <c r="AA242" s="4">
        <f>(Games[[#This Row],[Keff]]*Games[[#This Row],[MOVMult]])*(Games[[#This Row],[Result]]-Games[[#This Row],[ExpectedWin%]])</f>
        <v>-5.0361047908002128</v>
      </c>
      <c r="AB242" s="4">
        <f>Games[[#This Row],[PreGmRate]]+Games[[#This Row],[RatingChange]]</f>
        <v>1505.1650898535861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40026</v>
      </c>
      <c r="B243" s="2">
        <v>2009</v>
      </c>
      <c r="C243" s="2">
        <f>COUNTIFS(Games[Team],Games[[#This Row],[Team]],Games[Season],Games[[#This Row],[Season]],Games[Date],"&lt;=" &amp; Games[[#This Row],[Date]])</f>
        <v>19</v>
      </c>
      <c r="D243" s="2" t="s">
        <v>23</v>
      </c>
      <c r="E243" s="2" t="s">
        <v>29</v>
      </c>
      <c r="F243" s="1" t="s">
        <v>79</v>
      </c>
      <c r="G243" s="1" t="s">
        <v>82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2</v>
      </c>
      <c r="L243" s="2">
        <f>Games[[#This Row],[OppDaysOff]]-Games[[#This Row],[DaysOff]]</f>
        <v>-2</v>
      </c>
      <c r="M243" s="1">
        <f>MAX(-16, MIN(16, Games[[#This Row],[RestDiff]]*8))</f>
        <v>16</v>
      </c>
      <c r="N243" s="1">
        <f>MAX(-16, MIN(16, Games[[#This Row],[OppRestDiff]]*8))</f>
        <v>-16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1562.9249479609177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1510.2011946443863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0.72536897721038118</v>
      </c>
      <c r="R243" s="1">
        <v>85</v>
      </c>
      <c r="S243" s="1">
        <v>82</v>
      </c>
      <c r="T243" s="1">
        <v>1</v>
      </c>
      <c r="U243" s="1">
        <f>Games[[#This Row],[PointsFor]]-Games[[#This Row],[PointsAgainst]]</f>
        <v>3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0.25017343365358613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73.150000000000006</v>
      </c>
      <c r="Z243" s="4">
        <f>Games[[#This Row],[K]]*Games[[#This Row],[POMult]]</f>
        <v>73.150000000000006</v>
      </c>
      <c r="AA243" s="4">
        <f>(Games[[#This Row],[Keff]]*Games[[#This Row],[MOVMult]])*(Games[[#This Row],[Result]]-Games[[#This Row],[ExpectedWin%]])</f>
        <v>5.0257989829063519</v>
      </c>
      <c r="AB243" s="4">
        <f>Games[[#This Row],[PreGmRate]]+Games[[#This Row],[RatingChange]]</f>
        <v>1567.950746943824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40027</v>
      </c>
      <c r="B244" s="2">
        <v>2009</v>
      </c>
      <c r="C244" s="2">
        <f>COUNTIFS(Games[Team],Games[[#This Row],[Team]],Games[Season],Games[[#This Row],[Season]],Games[Date],"&lt;=" &amp; Games[[#This Row],[Date]])</f>
        <v>19</v>
      </c>
      <c r="D244" s="2" t="s">
        <v>23</v>
      </c>
      <c r="E244" s="2" t="s">
        <v>29</v>
      </c>
      <c r="F244" s="1" t="s">
        <v>84</v>
      </c>
      <c r="G244" s="1" t="s">
        <v>73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-1</v>
      </c>
      <c r="L244" s="2">
        <f>Games[[#This Row],[OppDaysOff]]-Games[[#This Row],[DaysOff]]</f>
        <v>1</v>
      </c>
      <c r="M244" s="1">
        <f>MAX(-16, MIN(16, Games[[#This Row],[RestDiff]]*8))</f>
        <v>-8</v>
      </c>
      <c r="N244" s="1">
        <f>MAX(-16, MIN(16, Games[[#This Row],[OppRestDiff]]*8))</f>
        <v>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1509.6790308819111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1518.8096529585048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0.34791735162729254</v>
      </c>
      <c r="R244" s="1">
        <v>83</v>
      </c>
      <c r="S244" s="1">
        <v>65</v>
      </c>
      <c r="T244" s="1">
        <v>0</v>
      </c>
      <c r="U244" s="1">
        <f>Games[[#This Row],[PointsFor]]-Games[[#This Row],[PointsAgainst]]</f>
        <v>18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0.54270457349315049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73.150000000000006</v>
      </c>
      <c r="Z244" s="4">
        <f>Games[[#This Row],[K]]*Games[[#This Row],[POMult]]</f>
        <v>73.150000000000006</v>
      </c>
      <c r="AA244" s="4">
        <f>(Games[[#This Row],[Keff]]*Games[[#This Row],[MOVMult]])*(Games[[#This Row],[Result]]-Games[[#This Row],[ExpectedWin%]])</f>
        <v>25.886924431754888</v>
      </c>
      <c r="AB244" s="4">
        <f>Games[[#This Row],[PreGmRate]]+Games[[#This Row],[RatingChange]]</f>
        <v>1535.5659553136659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40027</v>
      </c>
      <c r="B245" s="2">
        <v>2009</v>
      </c>
      <c r="C245" s="2">
        <f>COUNTIFS(Games[Team],Games[[#This Row],[Team]],Games[Season],Games[[#This Row],[Season]],Games[Date],"&lt;=" &amp; Games[[#This Row],[Date]])</f>
        <v>16</v>
      </c>
      <c r="D245" s="2" t="s">
        <v>23</v>
      </c>
      <c r="E245" s="2" t="s">
        <v>29</v>
      </c>
      <c r="F245" s="1" t="s">
        <v>73</v>
      </c>
      <c r="G245" s="1" t="s">
        <v>84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5" s="2">
        <f>Games[[#This Row],[DaysOff]]-Games[[#This Row],[OppDaysOff]]</f>
        <v>1</v>
      </c>
      <c r="L245" s="2">
        <f>Games[[#This Row],[OppDaysOff]]-Games[[#This Row],[DaysOff]]</f>
        <v>-1</v>
      </c>
      <c r="M245" s="1">
        <f>MAX(-16, MIN(16, Games[[#This Row],[RestDiff]]*8))</f>
        <v>8</v>
      </c>
      <c r="N245" s="1">
        <f>MAX(-16, MIN(16, Games[[#This Row],[OppRestDiff]]*8))</f>
        <v>-8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1518.8096529585048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1509.6790308819111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0.65208264837270746</v>
      </c>
      <c r="R245" s="1">
        <v>65</v>
      </c>
      <c r="S245" s="1">
        <v>83</v>
      </c>
      <c r="T245" s="1">
        <v>0</v>
      </c>
      <c r="U245" s="1">
        <f>Games[[#This Row],[PointsFor]]-Games[[#This Row],[PointsAgainst]]</f>
        <v>-18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0.54270457349315049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73.599999999999994</v>
      </c>
      <c r="Z245" s="4">
        <f>Games[[#This Row],[K]]*Games[[#This Row],[POMult]]</f>
        <v>73.599999999999994</v>
      </c>
      <c r="AA245" s="4">
        <f>(Games[[#This Row],[Keff]]*Games[[#This Row],[MOVMult]])*(Games[[#This Row],[Result]]-Games[[#This Row],[ExpectedWin%]])</f>
        <v>-26.046174137760215</v>
      </c>
      <c r="AB245" s="4">
        <f>Games[[#This Row],[PreGmRate]]+Games[[#This Row],[RatingChange]]</f>
        <v>1492.7634788207445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40027</v>
      </c>
      <c r="B246" s="2">
        <v>2009</v>
      </c>
      <c r="C246" s="2">
        <f>COUNTIFS(Games[Team],Games[[#This Row],[Team]],Games[Season],Games[[#This Row],[Season]],Games[Date],"&lt;=" &amp; Games[[#This Row],[Date]])</f>
        <v>19</v>
      </c>
      <c r="D246" s="2" t="s">
        <v>23</v>
      </c>
      <c r="E246" s="2" t="s">
        <v>29</v>
      </c>
      <c r="F246" s="1" t="s">
        <v>77</v>
      </c>
      <c r="G246" s="1" t="s">
        <v>71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1590.0768713200621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1472.8035224709536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0.54773834188578896</v>
      </c>
      <c r="R246" s="1">
        <v>87</v>
      </c>
      <c r="S246" s="1">
        <v>79</v>
      </c>
      <c r="T246" s="1">
        <v>0</v>
      </c>
      <c r="U246" s="1">
        <f>Games[[#This Row],[PointsFor]]-Games[[#This Row],[PointsAgainst]]</f>
        <v>8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0.35374483391069023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73.150000000000006</v>
      </c>
      <c r="Z246" s="4">
        <f>Games[[#This Row],[K]]*Games[[#This Row],[POMult]]</f>
        <v>73.150000000000006</v>
      </c>
      <c r="AA246" s="4">
        <f>(Games[[#This Row],[Keff]]*Games[[#This Row],[MOVMult]])*(Games[[#This Row],[Result]]-Games[[#This Row],[ExpectedWin%]])</f>
        <v>11.702919218536369</v>
      </c>
      <c r="AB246" s="4">
        <f>Games[[#This Row],[PreGmRate]]+Games[[#This Row],[RatingChange]]</f>
        <v>1601.7797905385985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40027</v>
      </c>
      <c r="B247" s="2">
        <v>2009</v>
      </c>
      <c r="C247" s="2">
        <f>COUNTIFS(Games[Team],Games[[#This Row],[Team]],Games[Season],Games[[#This Row],[Season]],Games[Date],"&lt;=" &amp; Games[[#This Row],[Date]])</f>
        <v>19</v>
      </c>
      <c r="D247" s="2" t="s">
        <v>23</v>
      </c>
      <c r="E247" s="2" t="s">
        <v>29</v>
      </c>
      <c r="F247" s="1" t="s">
        <v>71</v>
      </c>
      <c r="G247" s="1" t="s">
        <v>77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1472.8035224709536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1590.0768713200621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0.4522616581142111</v>
      </c>
      <c r="R247" s="1">
        <v>79</v>
      </c>
      <c r="S247" s="1">
        <v>87</v>
      </c>
      <c r="T247" s="1">
        <v>0</v>
      </c>
      <c r="U247" s="1">
        <f>Games[[#This Row],[PointsFor]]-Games[[#This Row],[PointsAgainst]]</f>
        <v>-8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0.35374483391069023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73.150000000000006</v>
      </c>
      <c r="Z247" s="4">
        <f>Games[[#This Row],[K]]*Games[[#This Row],[POMult]]</f>
        <v>73.150000000000006</v>
      </c>
      <c r="AA247" s="4">
        <f>(Games[[#This Row],[Keff]]*Games[[#This Row],[MOVMult]])*(Games[[#This Row],[Result]]-Games[[#This Row],[ExpectedWin%]])</f>
        <v>-11.702919218536371</v>
      </c>
      <c r="AB247" s="4">
        <f>Games[[#This Row],[PreGmRate]]+Games[[#This Row],[RatingChange]]</f>
        <v>1461.1006032524172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40029</v>
      </c>
      <c r="B248" s="2">
        <v>2009</v>
      </c>
      <c r="C248" s="2">
        <f>COUNTIFS(Games[Team],Games[[#This Row],[Team]],Games[Season],Games[[#This Row],[Season]],Games[Date],"&lt;=" &amp; Games[[#This Row],[Date]])</f>
        <v>19</v>
      </c>
      <c r="D248" s="2" t="s">
        <v>23</v>
      </c>
      <c r="E248" s="2" t="s">
        <v>29</v>
      </c>
      <c r="F248" s="1" t="s">
        <v>65</v>
      </c>
      <c r="G248" s="1" t="s">
        <v>73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1</v>
      </c>
      <c r="L248" s="2">
        <f>Games[[#This Row],[OppDaysOff]]-Games[[#This Row],[DaysOff]]</f>
        <v>-1</v>
      </c>
      <c r="M248" s="1">
        <f>MAX(-16, MIN(16, Games[[#This Row],[RestDiff]]*8))</f>
        <v>8</v>
      </c>
      <c r="N248" s="1">
        <f>MAX(-16, MIN(16, Games[[#This Row],[OppRestDiff]]*8))</f>
        <v>-8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1441.0362010015797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1492.7634788207445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0.33420981192232802</v>
      </c>
      <c r="R248" s="1">
        <v>64</v>
      </c>
      <c r="S248" s="1">
        <v>76</v>
      </c>
      <c r="T248" s="1">
        <v>0</v>
      </c>
      <c r="U248" s="1">
        <f>Games[[#This Row],[PointsFor]]-Games[[#This Row],[PointsAgainst]]</f>
        <v>-12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0.43728002208714706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73.150000000000006</v>
      </c>
      <c r="Z248" s="4">
        <f>Games[[#This Row],[K]]*Games[[#This Row],[POMult]]</f>
        <v>73.150000000000006</v>
      </c>
      <c r="AA248" s="4">
        <f>(Games[[#This Row],[Keff]]*Games[[#This Row],[MOVMult]])*(Games[[#This Row],[Result]]-Games[[#This Row],[ExpectedWin%]])</f>
        <v>-10.690380488647863</v>
      </c>
      <c r="AB248" s="4">
        <f>Games[[#This Row],[PreGmRate]]+Games[[#This Row],[RatingChange]]</f>
        <v>1430.3458205129318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40029</v>
      </c>
      <c r="B249" s="2">
        <v>2009</v>
      </c>
      <c r="C249" s="2">
        <f>COUNTIFS(Games[Team],Games[[#This Row],[Team]],Games[Season],Games[[#This Row],[Season]],Games[Date],"&lt;=" &amp; Games[[#This Row],[Date]])</f>
        <v>17</v>
      </c>
      <c r="D249" s="2" t="s">
        <v>23</v>
      </c>
      <c r="E249" s="2" t="s">
        <v>29</v>
      </c>
      <c r="F249" s="1" t="s">
        <v>73</v>
      </c>
      <c r="G249" s="1" t="s">
        <v>65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-1</v>
      </c>
      <c r="L249" s="2">
        <f>Games[[#This Row],[OppDaysOff]]-Games[[#This Row],[DaysOff]]</f>
        <v>1</v>
      </c>
      <c r="M249" s="1">
        <f>MAX(-16, MIN(16, Games[[#This Row],[RestDiff]]*8))</f>
        <v>-8</v>
      </c>
      <c r="N249" s="1">
        <f>MAX(-16, MIN(16, Games[[#This Row],[OppRestDiff]]*8))</f>
        <v>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1492.7634788207445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1441.0362010015797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0.66579018807767198</v>
      </c>
      <c r="R249" s="1">
        <v>76</v>
      </c>
      <c r="S249" s="1">
        <v>64</v>
      </c>
      <c r="T249" s="1">
        <v>0</v>
      </c>
      <c r="U249" s="1">
        <f>Games[[#This Row],[PointsFor]]-Games[[#This Row],[PointsAgainst]]</f>
        <v>12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0.43728002208714706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73.45</v>
      </c>
      <c r="Z249" s="4">
        <f>Games[[#This Row],[K]]*Games[[#This Row],[POMult]]</f>
        <v>73.45</v>
      </c>
      <c r="AA249" s="4">
        <f>(Games[[#This Row],[Keff]]*Games[[#This Row],[MOVMult]])*(Games[[#This Row],[Result]]-Games[[#This Row],[ExpectedWin%]])</f>
        <v>10.734223470829603</v>
      </c>
      <c r="AB249" s="4">
        <f>Games[[#This Row],[PreGmRate]]+Games[[#This Row],[RatingChange]]</f>
        <v>1503.4977022915741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40029</v>
      </c>
      <c r="B250" s="2">
        <v>2009</v>
      </c>
      <c r="C250" s="2">
        <f>COUNTIFS(Games[Team],Games[[#This Row],[Team]],Games[Season],Games[[#This Row],[Season]],Games[Date],"&lt;=" &amp; Games[[#This Row],[Date]])</f>
        <v>19</v>
      </c>
      <c r="D250" s="2" t="s">
        <v>23</v>
      </c>
      <c r="E250" s="2" t="s">
        <v>29</v>
      </c>
      <c r="F250" s="1" t="s">
        <v>82</v>
      </c>
      <c r="G250" s="1" t="s">
        <v>68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1505.1650898535861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1503.3054441025802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0.3839447738836913</v>
      </c>
      <c r="R250" s="1">
        <v>63</v>
      </c>
      <c r="S250" s="1">
        <v>59</v>
      </c>
      <c r="T250" s="1">
        <v>0</v>
      </c>
      <c r="U250" s="1">
        <f>Games[[#This Row],[PointsFor]]-Games[[#This Row],[PointsAgainst]]</f>
        <v>4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0.31095085287694246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73.150000000000006</v>
      </c>
      <c r="Z250" s="4">
        <f>Games[[#This Row],[K]]*Games[[#This Row],[POMult]]</f>
        <v>73.150000000000006</v>
      </c>
      <c r="AA250" s="4">
        <f>(Games[[#This Row],[Keff]]*Games[[#This Row],[MOVMult]])*(Games[[#This Row],[Result]]-Games[[#This Row],[ExpectedWin%]])</f>
        <v>14.012825987248986</v>
      </c>
      <c r="AB250" s="4">
        <f>Games[[#This Row],[PreGmRate]]+Games[[#This Row],[RatingChange]]</f>
        <v>1519.1779158408351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40029</v>
      </c>
      <c r="B251" s="2">
        <v>2009</v>
      </c>
      <c r="C251" s="2">
        <f>COUNTIFS(Games[Team],Games[[#This Row],[Team]],Games[Season],Games[[#This Row],[Season]],Games[Date],"&lt;=" &amp; Games[[#This Row],[Date]])</f>
        <v>17</v>
      </c>
      <c r="D251" s="2" t="s">
        <v>23</v>
      </c>
      <c r="E251" s="2" t="s">
        <v>29</v>
      </c>
      <c r="F251" s="1" t="s">
        <v>68</v>
      </c>
      <c r="G251" s="1" t="s">
        <v>82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1503.3054441025802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1505.1650898535861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0.6160552261163087</v>
      </c>
      <c r="R251" s="1">
        <v>59</v>
      </c>
      <c r="S251" s="1">
        <v>63</v>
      </c>
      <c r="T251" s="1">
        <v>0</v>
      </c>
      <c r="U251" s="1">
        <f>Games[[#This Row],[PointsFor]]-Games[[#This Row],[PointsAgainst]]</f>
        <v>-4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0.31095085287694246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73.45</v>
      </c>
      <c r="Z251" s="4">
        <f>Games[[#This Row],[K]]*Games[[#This Row],[POMult]]</f>
        <v>73.45</v>
      </c>
      <c r="AA251" s="4">
        <f>(Games[[#This Row],[Keff]]*Games[[#This Row],[MOVMult]])*(Games[[#This Row],[Result]]-Games[[#This Row],[ExpectedWin%]])</f>
        <v>-14.070294856643033</v>
      </c>
      <c r="AB251" s="4">
        <f>Games[[#This Row],[PreGmRate]]+Games[[#This Row],[RatingChange]]</f>
        <v>1489.2351492459372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40029</v>
      </c>
      <c r="B252" s="2">
        <v>2009</v>
      </c>
      <c r="C252" s="2">
        <f>COUNTIFS(Games[Team],Games[[#This Row],[Team]],Games[Season],Games[[#This Row],[Season]],Games[Date],"&lt;=" &amp; Games[[#This Row],[Date]])</f>
        <v>22</v>
      </c>
      <c r="D252" s="2" t="s">
        <v>23</v>
      </c>
      <c r="E252" s="2" t="s">
        <v>29</v>
      </c>
      <c r="F252" s="1" t="s">
        <v>44</v>
      </c>
      <c r="G252" s="1" t="s">
        <v>79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1591.0900332702247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1567.950746943824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0.41329938513076792</v>
      </c>
      <c r="R252" s="1">
        <v>101</v>
      </c>
      <c r="S252" s="1">
        <v>90</v>
      </c>
      <c r="T252" s="1">
        <v>1</v>
      </c>
      <c r="U252" s="1">
        <f>Games[[#This Row],[PointsFor]]-Games[[#This Row],[PointsAgainst]]</f>
        <v>11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0.38836365832458408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72.7</v>
      </c>
      <c r="Z252" s="4">
        <f>Games[[#This Row],[K]]*Games[[#This Row],[POMult]]</f>
        <v>72.7</v>
      </c>
      <c r="AA252" s="4">
        <f>(Games[[#This Row],[Keff]]*Games[[#This Row],[MOVMult]])*(Games[[#This Row],[Result]]-Games[[#This Row],[ExpectedWin%]])</f>
        <v>16.564927431488972</v>
      </c>
      <c r="AB252" s="4">
        <f>Games[[#This Row],[PreGmRate]]+Games[[#This Row],[RatingChange]]</f>
        <v>1607.6549607017137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40029</v>
      </c>
      <c r="B253" s="2">
        <v>2009</v>
      </c>
      <c r="C253" s="2">
        <f>COUNTIFS(Games[Team],Games[[#This Row],[Team]],Games[Season],Games[[#This Row],[Season]],Games[Date],"&lt;=" &amp; Games[[#This Row],[Date]])</f>
        <v>20</v>
      </c>
      <c r="D253" s="2" t="s">
        <v>23</v>
      </c>
      <c r="E253" s="2" t="s">
        <v>29</v>
      </c>
      <c r="F253" s="1" t="s">
        <v>79</v>
      </c>
      <c r="G253" s="1" t="s">
        <v>44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1567.950746943824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1591.0900332702247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0.58670061486923208</v>
      </c>
      <c r="R253" s="1">
        <v>90</v>
      </c>
      <c r="S253" s="1">
        <v>101</v>
      </c>
      <c r="T253" s="1">
        <v>1</v>
      </c>
      <c r="U253" s="1">
        <f>Games[[#This Row],[PointsFor]]-Games[[#This Row],[PointsAgainst]]</f>
        <v>-11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0.38836365832458408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</v>
      </c>
      <c r="Z253" s="4">
        <f>Games[[#This Row],[K]]*Games[[#This Row],[POMult]]</f>
        <v>73</v>
      </c>
      <c r="AA253" s="4">
        <f>(Games[[#This Row],[Keff]]*Games[[#This Row],[MOVMult]])*(Games[[#This Row],[Result]]-Games[[#This Row],[ExpectedWin%]])</f>
        <v>-16.633283390628542</v>
      </c>
      <c r="AB253" s="4">
        <f>Games[[#This Row],[PreGmRate]]+Games[[#This Row],[RatingChange]]</f>
        <v>1551.3174635531955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40030</v>
      </c>
      <c r="B254" s="2">
        <v>2009</v>
      </c>
      <c r="C254" s="2">
        <f>COUNTIFS(Games[Team],Games[[#This Row],[Team]],Games[Season],Games[[#This Row],[Season]],Games[Date],"&lt;=" &amp; Games[[#This Row],[Date]])</f>
        <v>21</v>
      </c>
      <c r="D254" s="2" t="s">
        <v>23</v>
      </c>
      <c r="E254" s="2" t="s">
        <v>29</v>
      </c>
      <c r="F254" s="1" t="s">
        <v>85</v>
      </c>
      <c r="G254" s="1" t="s">
        <v>77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4" s="2">
        <f>Games[[#This Row],[DaysOff]]-Games[[#This Row],[OppDaysOff]]</f>
        <v>1</v>
      </c>
      <c r="L254" s="2">
        <f>Games[[#This Row],[OppDaysOff]]-Games[[#This Row],[DaysOff]]</f>
        <v>-1</v>
      </c>
      <c r="M254" s="1">
        <f>MAX(-16, MIN(16, Games[[#This Row],[RestDiff]]*8))</f>
        <v>8</v>
      </c>
      <c r="N254" s="1">
        <f>MAX(-16, MIN(16, Games[[#This Row],[OppRestDiff]]*8))</f>
        <v>-8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1450.796646025037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1601.7797905385985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0.22087607625731834</v>
      </c>
      <c r="R254" s="1">
        <v>67</v>
      </c>
      <c r="S254" s="1">
        <v>76</v>
      </c>
      <c r="T254" s="1">
        <v>0</v>
      </c>
      <c r="U254" s="1">
        <f>Games[[#This Row],[PointsFor]]-Games[[#This Row],[PointsAgainst]]</f>
        <v>-9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0.36060097015651638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-5.8023660798336056</v>
      </c>
      <c r="AB254" s="4">
        <f>Games[[#This Row],[PreGmRate]]+Games[[#This Row],[RatingChange]]</f>
        <v>1444.9942799452035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40030</v>
      </c>
      <c r="B255" s="2">
        <v>2009</v>
      </c>
      <c r="C255" s="2">
        <f>COUNTIFS(Games[Team],Games[[#This Row],[Team]],Games[Season],Games[[#This Row],[Season]],Games[Date],"&lt;=" &amp; Games[[#This Row],[Date]])</f>
        <v>20</v>
      </c>
      <c r="D255" s="2" t="s">
        <v>23</v>
      </c>
      <c r="E255" s="2" t="s">
        <v>29</v>
      </c>
      <c r="F255" s="1" t="s">
        <v>77</v>
      </c>
      <c r="G255" s="1" t="s">
        <v>85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5" s="2">
        <f>Games[[#This Row],[DaysOff]]-Games[[#This Row],[OppDaysOff]]</f>
        <v>-1</v>
      </c>
      <c r="L255" s="2">
        <f>Games[[#This Row],[OppDaysOff]]-Games[[#This Row],[DaysOff]]</f>
        <v>1</v>
      </c>
      <c r="M255" s="1">
        <f>MAX(-16, MIN(16, Games[[#This Row],[RestDiff]]*8))</f>
        <v>-8</v>
      </c>
      <c r="N255" s="1">
        <f>MAX(-16, MIN(16, Games[[#This Row],[OppRestDiff]]*8))</f>
        <v>8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1601.7797905385985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1450.796646025037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0.77912392374268169</v>
      </c>
      <c r="R255" s="1">
        <v>76</v>
      </c>
      <c r="S255" s="1">
        <v>67</v>
      </c>
      <c r="T255" s="1">
        <v>0</v>
      </c>
      <c r="U255" s="1">
        <f>Games[[#This Row],[PointsFor]]-Games[[#This Row],[PointsAgainst]]</f>
        <v>9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0.36060097015651638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</v>
      </c>
      <c r="Z255" s="4">
        <f>Games[[#This Row],[K]]*Games[[#This Row],[POMult]]</f>
        <v>73</v>
      </c>
      <c r="AA255" s="4">
        <f>(Games[[#This Row],[Keff]]*Games[[#This Row],[MOVMult]])*(Games[[#This Row],[Result]]-Games[[#This Row],[ExpectedWin%]])</f>
        <v>5.8143132989410189</v>
      </c>
      <c r="AB255" s="4">
        <f>Games[[#This Row],[PreGmRate]]+Games[[#This Row],[RatingChange]]</f>
        <v>1607.5941038375395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40031</v>
      </c>
      <c r="B256" s="2">
        <v>2009</v>
      </c>
      <c r="C256" s="2">
        <f>COUNTIFS(Games[Team],Games[[#This Row],[Team]],Games[Season],Games[[#This Row],[Season]],Games[Date],"&lt;=" &amp; Games[[#This Row],[Date]])</f>
        <v>21</v>
      </c>
      <c r="D256" s="2" t="s">
        <v>23</v>
      </c>
      <c r="E256" s="2" t="s">
        <v>29</v>
      </c>
      <c r="F256" s="1" t="s">
        <v>79</v>
      </c>
      <c r="G256" s="1" t="s">
        <v>68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1551.3174635531955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1489.2351492459372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0.46849969004286812</v>
      </c>
      <c r="R256" s="1">
        <v>75</v>
      </c>
      <c r="S256" s="1">
        <v>79</v>
      </c>
      <c r="T256" s="1">
        <v>1</v>
      </c>
      <c r="U256" s="1">
        <f>Games[[#This Row],[PointsFor]]-Games[[#This Row],[PointsAgainst]]</f>
        <v>-4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0.26650191503618897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72.849999999999994</v>
      </c>
      <c r="Z256" s="4">
        <f>Games[[#This Row],[K]]*Games[[#This Row],[POMult]]</f>
        <v>72.849999999999994</v>
      </c>
      <c r="AA256" s="4">
        <f>(Games[[#This Row],[Keff]]*Games[[#This Row],[MOVMult]])*(Games[[#This Row],[Result]]-Games[[#This Row],[ExpectedWin%]])</f>
        <v>-9.0957643054022839</v>
      </c>
      <c r="AB256" s="4">
        <f>Games[[#This Row],[PreGmRate]]+Games[[#This Row],[RatingChange]]</f>
        <v>1542.2216992477931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40031</v>
      </c>
      <c r="B257" s="2">
        <v>2009</v>
      </c>
      <c r="C257" s="2">
        <f>COUNTIFS(Games[Team],Games[[#This Row],[Team]],Games[Season],Games[[#This Row],[Season]],Games[Date],"&lt;=" &amp; Games[[#This Row],[Date]])</f>
        <v>18</v>
      </c>
      <c r="D257" s="2" t="s">
        <v>23</v>
      </c>
      <c r="E257" s="2" t="s">
        <v>29</v>
      </c>
      <c r="F257" s="1" t="s">
        <v>68</v>
      </c>
      <c r="G257" s="1" t="s">
        <v>79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1489.2351492459372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1551.3174635531955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0.53150030995713182</v>
      </c>
      <c r="R257" s="1">
        <v>79</v>
      </c>
      <c r="S257" s="1">
        <v>75</v>
      </c>
      <c r="T257" s="1">
        <v>1</v>
      </c>
      <c r="U257" s="1">
        <f>Games[[#This Row],[PointsFor]]-Games[[#This Row],[PointsAgainst]]</f>
        <v>4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0.26650191503618897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73.3</v>
      </c>
      <c r="Z257" s="4">
        <f>Games[[#This Row],[K]]*Games[[#This Row],[POMult]]</f>
        <v>73.3</v>
      </c>
      <c r="AA257" s="4">
        <f>(Games[[#This Row],[Keff]]*Games[[#This Row],[MOVMult]])*(Games[[#This Row],[Result]]-Games[[#This Row],[ExpectedWin%]])</f>
        <v>9.1519495344679136</v>
      </c>
      <c r="AB257" s="4">
        <f>Games[[#This Row],[PreGmRate]]+Games[[#This Row],[RatingChange]]</f>
        <v>1498.387098780405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40031</v>
      </c>
      <c r="B258" s="2">
        <v>2009</v>
      </c>
      <c r="C258" s="2">
        <f>COUNTIFS(Games[Team],Games[[#This Row],[Team]],Games[Season],Games[[#This Row],[Season]],Games[Date],"&lt;=" &amp; Games[[#This Row],[Date]])</f>
        <v>21</v>
      </c>
      <c r="D258" s="2" t="s">
        <v>23</v>
      </c>
      <c r="E258" s="2" t="s">
        <v>29</v>
      </c>
      <c r="F258" s="1" t="s">
        <v>87</v>
      </c>
      <c r="G258" s="1" t="s">
        <v>82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3</v>
      </c>
      <c r="L258" s="2">
        <f>Games[[#This Row],[OppDaysOff]]-Games[[#This Row],[DaysOff]]</f>
        <v>-3</v>
      </c>
      <c r="M258" s="1">
        <f>MAX(-16, MIN(16, Games[[#This Row],[RestDiff]]*8))</f>
        <v>16</v>
      </c>
      <c r="N258" s="1">
        <f>MAX(-16, MIN(16, Games[[#This Row],[OppRestDiff]]*8))</f>
        <v>-16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1471.8151280330158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1519.1779158408351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0.36078049439462317</v>
      </c>
      <c r="R258" s="1">
        <v>92</v>
      </c>
      <c r="S258" s="1">
        <v>84</v>
      </c>
      <c r="T258" s="1">
        <v>0</v>
      </c>
      <c r="U258" s="1">
        <f>Games[[#This Row],[PointsFor]]-Games[[#This Row],[PointsAgainst]]</f>
        <v>8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0.37357106253148842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72.849999999999994</v>
      </c>
      <c r="Z258" s="4">
        <f>Games[[#This Row],[K]]*Games[[#This Row],[POMult]]</f>
        <v>72.849999999999994</v>
      </c>
      <c r="AA258" s="4">
        <f>(Games[[#This Row],[Keff]]*Games[[#This Row],[MOVMult]])*(Games[[#This Row],[Result]]-Games[[#This Row],[ExpectedWin%]])</f>
        <v>17.396136336204314</v>
      </c>
      <c r="AB258" s="4">
        <f>Games[[#This Row],[PreGmRate]]+Games[[#This Row],[RatingChange]]</f>
        <v>1489.2112643692201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40031</v>
      </c>
      <c r="B259" s="2">
        <v>2009</v>
      </c>
      <c r="C259" s="2">
        <f>COUNTIFS(Games[Team],Games[[#This Row],[Team]],Games[Season],Games[[#This Row],[Season]],Games[Date],"&lt;=" &amp; Games[[#This Row],[Date]])</f>
        <v>20</v>
      </c>
      <c r="D259" s="2" t="s">
        <v>23</v>
      </c>
      <c r="E259" s="2" t="s">
        <v>29</v>
      </c>
      <c r="F259" s="1" t="s">
        <v>82</v>
      </c>
      <c r="G259" s="1" t="s">
        <v>87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9" s="2">
        <f>Games[[#This Row],[DaysOff]]-Games[[#This Row],[OppDaysOff]]</f>
        <v>-3</v>
      </c>
      <c r="L259" s="2">
        <f>Games[[#This Row],[OppDaysOff]]-Games[[#This Row],[DaysOff]]</f>
        <v>3</v>
      </c>
      <c r="M259" s="1">
        <f>MAX(-16, MIN(16, Games[[#This Row],[RestDiff]]*8))</f>
        <v>-16</v>
      </c>
      <c r="N259" s="1">
        <f>MAX(-16, MIN(16, Games[[#This Row],[OppRestDiff]]*8))</f>
        <v>16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1519.1779158408351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1471.8151280330158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0.63921950560537688</v>
      </c>
      <c r="R259" s="1">
        <v>84</v>
      </c>
      <c r="S259" s="1">
        <v>92</v>
      </c>
      <c r="T259" s="1">
        <v>0</v>
      </c>
      <c r="U259" s="1">
        <f>Games[[#This Row],[PointsFor]]-Games[[#This Row],[PointsAgainst]]</f>
        <v>-8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0.37357106253148842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</v>
      </c>
      <c r="Z259" s="4">
        <f>Games[[#This Row],[K]]*Games[[#This Row],[POMult]]</f>
        <v>73</v>
      </c>
      <c r="AA259" s="4">
        <f>(Games[[#This Row],[Keff]]*Games[[#This Row],[MOVMult]])*(Games[[#This Row],[Result]]-Games[[#This Row],[ExpectedWin%]])</f>
        <v>-17.431955422689295</v>
      </c>
      <c r="AB259" s="4">
        <f>Games[[#This Row],[PreGmRate]]+Games[[#This Row],[RatingChange]]</f>
        <v>1501.7459604181458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40032</v>
      </c>
      <c r="B260" s="2">
        <v>2009</v>
      </c>
      <c r="C260" s="2">
        <f>COUNTIFS(Games[Team],Games[[#This Row],[Team]],Games[Season],Games[[#This Row],[Season]],Games[Date],"&lt;=" &amp; Games[[#This Row],[Date]])</f>
        <v>20</v>
      </c>
      <c r="D260" s="2" t="s">
        <v>23</v>
      </c>
      <c r="E260" s="2" t="s">
        <v>29</v>
      </c>
      <c r="F260" s="1" t="s">
        <v>84</v>
      </c>
      <c r="G260" s="1" t="s">
        <v>75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0" s="2">
        <f>Games[[#This Row],[DaysOff]]-Games[[#This Row],[OppDaysOff]]</f>
        <v>-1</v>
      </c>
      <c r="L260" s="2">
        <f>Games[[#This Row],[OppDaysOff]]-Games[[#This Row],[DaysOff]]</f>
        <v>1</v>
      </c>
      <c r="M260" s="1">
        <f>MAX(-16, MIN(16, Games[[#This Row],[RestDiff]]*8))</f>
        <v>-8</v>
      </c>
      <c r="N260" s="1">
        <f>MAX(-16, MIN(16, Games[[#This Row],[OppRestDiff]]*8))</f>
        <v>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1535.5659553136659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1473.654626163895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0.44540453627808357</v>
      </c>
      <c r="R260" s="1">
        <v>88</v>
      </c>
      <c r="S260" s="1">
        <v>95</v>
      </c>
      <c r="T260" s="1">
        <v>0</v>
      </c>
      <c r="U260" s="1">
        <f>Games[[#This Row],[PointsFor]]-Games[[#This Row],[PointsAgainst]]</f>
        <v>-7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0.35194913994775007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</v>
      </c>
      <c r="Z260" s="4">
        <f>Games[[#This Row],[K]]*Games[[#This Row],[POMult]]</f>
        <v>73</v>
      </c>
      <c r="AA260" s="4">
        <f>(Games[[#This Row],[Keff]]*Games[[#This Row],[MOVMult]])*(Games[[#This Row],[Result]]-Games[[#This Row],[ExpectedWin%]])</f>
        <v>-11.44346127344855</v>
      </c>
      <c r="AB260" s="4">
        <f>Games[[#This Row],[PreGmRate]]+Games[[#This Row],[RatingChange]]</f>
        <v>1524.1224940402174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40032</v>
      </c>
      <c r="B261" s="2">
        <v>2009</v>
      </c>
      <c r="C261" s="2">
        <f>COUNTIFS(Games[Team],Games[[#This Row],[Team]],Games[Season],Games[[#This Row],[Season]],Games[Date],"&lt;=" &amp; Games[[#This Row],[Date]])</f>
        <v>21</v>
      </c>
      <c r="D261" s="2" t="s">
        <v>23</v>
      </c>
      <c r="E261" s="2" t="s">
        <v>29</v>
      </c>
      <c r="F261" s="1" t="s">
        <v>75</v>
      </c>
      <c r="G261" s="1" t="s">
        <v>84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1" s="2">
        <f>Games[[#This Row],[DaysOff]]-Games[[#This Row],[OppDaysOff]]</f>
        <v>1</v>
      </c>
      <c r="L261" s="2">
        <f>Games[[#This Row],[OppDaysOff]]-Games[[#This Row],[DaysOff]]</f>
        <v>-1</v>
      </c>
      <c r="M261" s="1">
        <f>MAX(-16, MIN(16, Games[[#This Row],[RestDiff]]*8))</f>
        <v>8</v>
      </c>
      <c r="N261" s="1">
        <f>MAX(-16, MIN(16, Games[[#This Row],[OppRestDiff]]*8))</f>
        <v>-8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1473.654626163895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1535.5659553136659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0.55459546372191637</v>
      </c>
      <c r="R261" s="1">
        <v>95</v>
      </c>
      <c r="S261" s="1">
        <v>88</v>
      </c>
      <c r="T261" s="1">
        <v>0</v>
      </c>
      <c r="U261" s="1">
        <f>Games[[#This Row],[PointsFor]]-Games[[#This Row],[PointsAgainst]]</f>
        <v>7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0.35194913994775007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11.419947311927766</v>
      </c>
      <c r="AB261" s="4">
        <f>Games[[#This Row],[PreGmRate]]+Games[[#This Row],[RatingChange]]</f>
        <v>1485.0745734758227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40032</v>
      </c>
      <c r="B262" s="2">
        <v>2009</v>
      </c>
      <c r="C262" s="2">
        <f>COUNTIFS(Games[Team],Games[[#This Row],[Team]],Games[Season],Games[[#This Row],[Season]],Games[Date],"&lt;=" &amp; Games[[#This Row],[Date]])</f>
        <v>20</v>
      </c>
      <c r="D262" s="2" t="s">
        <v>23</v>
      </c>
      <c r="E262" s="2" t="s">
        <v>29</v>
      </c>
      <c r="F262" s="1" t="s">
        <v>65</v>
      </c>
      <c r="G262" s="1" t="s">
        <v>45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2" s="2">
        <f>Games[[#This Row],[DaysOff]]-Games[[#This Row],[OppDaysOff]]</f>
        <v>-3</v>
      </c>
      <c r="L262" s="2">
        <f>Games[[#This Row],[OppDaysOff]]-Games[[#This Row],[DaysOff]]</f>
        <v>3</v>
      </c>
      <c r="M262" s="1">
        <f>MAX(-16, MIN(16, Games[[#This Row],[RestDiff]]*8))</f>
        <v>-16</v>
      </c>
      <c r="N262" s="1">
        <f>MAX(-16, MIN(16, Games[[#This Row],[OppRestDiff]]*8))</f>
        <v>16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1430.3458205129318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1420.8726712647833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0.35132551356593023</v>
      </c>
      <c r="R262" s="1">
        <v>84</v>
      </c>
      <c r="S262" s="1">
        <v>66</v>
      </c>
      <c r="T262" s="1">
        <v>0</v>
      </c>
      <c r="U262" s="1">
        <f>Games[[#This Row],[PointsFor]]-Games[[#This Row],[PointsAgainst]]</f>
        <v>18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0.54255087759451559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</v>
      </c>
      <c r="Z262" s="4">
        <f>Games[[#This Row],[K]]*Games[[#This Row],[POMult]]</f>
        <v>73</v>
      </c>
      <c r="AA262" s="4">
        <f>(Games[[#This Row],[Keff]]*Games[[#This Row],[MOVMult]])*(Games[[#This Row],[Result]]-Games[[#This Row],[ExpectedWin%]])</f>
        <v>25.691540567822265</v>
      </c>
      <c r="AB262" s="4">
        <f>Games[[#This Row],[PreGmRate]]+Games[[#This Row],[RatingChange]]</f>
        <v>1456.0373610807542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40032</v>
      </c>
      <c r="B263" s="2">
        <v>2009</v>
      </c>
      <c r="C263" s="2">
        <f>COUNTIFS(Games[Team],Games[[#This Row],[Team]],Games[Season],Games[[#This Row],[Season]],Games[Date],"&lt;=" &amp; Games[[#This Row],[Date]])</f>
        <v>22</v>
      </c>
      <c r="D263" s="2" t="s">
        <v>23</v>
      </c>
      <c r="E263" s="2" t="s">
        <v>29</v>
      </c>
      <c r="F263" s="1" t="s">
        <v>45</v>
      </c>
      <c r="G263" s="1" t="s">
        <v>65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3" s="2">
        <f>Games[[#This Row],[DaysOff]]-Games[[#This Row],[OppDaysOff]]</f>
        <v>3</v>
      </c>
      <c r="L263" s="2">
        <f>Games[[#This Row],[OppDaysOff]]-Games[[#This Row],[DaysOff]]</f>
        <v>-3</v>
      </c>
      <c r="M263" s="1">
        <f>MAX(-16, MIN(16, Games[[#This Row],[RestDiff]]*8))</f>
        <v>16</v>
      </c>
      <c r="N263" s="1">
        <f>MAX(-16, MIN(16, Games[[#This Row],[OppRestDiff]]*8))</f>
        <v>-16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1420.8726712647833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1430.3458205129318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0.64867448643406977</v>
      </c>
      <c r="R263" s="1">
        <v>66</v>
      </c>
      <c r="S263" s="1">
        <v>84</v>
      </c>
      <c r="T263" s="1">
        <v>0</v>
      </c>
      <c r="U263" s="1">
        <f>Games[[#This Row],[PointsFor]]-Games[[#This Row],[PointsAgainst]]</f>
        <v>-18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0.54255087759451559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-25.585958894255874</v>
      </c>
      <c r="AB263" s="4">
        <f>Games[[#This Row],[PreGmRate]]+Games[[#This Row],[RatingChange]]</f>
        <v>1395.2867123705275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40032</v>
      </c>
      <c r="B264" s="2">
        <v>2009</v>
      </c>
      <c r="C264" s="2">
        <f>COUNTIFS(Games[Team],Games[[#This Row],[Team]],Games[Season],Games[[#This Row],[Season]],Games[Date],"&lt;=" &amp; Games[[#This Row],[Date]])</f>
        <v>18</v>
      </c>
      <c r="D264" s="2" t="s">
        <v>23</v>
      </c>
      <c r="E264" s="2" t="s">
        <v>29</v>
      </c>
      <c r="F264" s="1" t="s">
        <v>73</v>
      </c>
      <c r="G264" s="1" t="s">
        <v>71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4" s="2">
        <f>Games[[#This Row],[DaysOff]]-Games[[#This Row],[OppDaysOff]]</f>
        <v>-2</v>
      </c>
      <c r="L264" s="2">
        <f>Games[[#This Row],[OppDaysOff]]-Games[[#This Row],[DaysOff]]</f>
        <v>2</v>
      </c>
      <c r="M264" s="1">
        <f>MAX(-16, MIN(16, Games[[#This Row],[RestDiff]]*8))</f>
        <v>-16</v>
      </c>
      <c r="N264" s="1">
        <f>MAX(-16, MIN(16, Games[[#This Row],[OppRestDiff]]*8))</f>
        <v>16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1503.4977022915741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1461.1006032524172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0.39563354015793828</v>
      </c>
      <c r="R264" s="1">
        <v>66</v>
      </c>
      <c r="S264" s="1">
        <v>70</v>
      </c>
      <c r="T264" s="1">
        <v>0</v>
      </c>
      <c r="U264" s="1">
        <f>Games[[#This Row],[PointsFor]]-Games[[#This Row],[PointsAgainst]]</f>
        <v>-4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0.3008050181167371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73.3</v>
      </c>
      <c r="Z264" s="4">
        <f>Games[[#This Row],[K]]*Games[[#This Row],[POMult]]</f>
        <v>73.3</v>
      </c>
      <c r="AA264" s="4">
        <f>(Games[[#This Row],[Keff]]*Games[[#This Row],[MOVMult]])*(Games[[#This Row],[Result]]-Games[[#This Row],[ExpectedWin%]])</f>
        <v>-8.7233270239446536</v>
      </c>
      <c r="AB264" s="4">
        <f>Games[[#This Row],[PreGmRate]]+Games[[#This Row],[RatingChange]]</f>
        <v>1494.7743752676295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40032</v>
      </c>
      <c r="B265" s="2">
        <v>2009</v>
      </c>
      <c r="C265" s="2">
        <f>COUNTIFS(Games[Team],Games[[#This Row],[Team]],Games[Season],Games[[#This Row],[Season]],Games[Date],"&lt;=" &amp; Games[[#This Row],[Date]])</f>
        <v>20</v>
      </c>
      <c r="D265" s="2" t="s">
        <v>23</v>
      </c>
      <c r="E265" s="2" t="s">
        <v>29</v>
      </c>
      <c r="F265" s="1" t="s">
        <v>71</v>
      </c>
      <c r="G265" s="1" t="s">
        <v>73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2</v>
      </c>
      <c r="L265" s="2">
        <f>Games[[#This Row],[OppDaysOff]]-Games[[#This Row],[DaysOff]]</f>
        <v>-2</v>
      </c>
      <c r="M265" s="1">
        <f>MAX(-16, MIN(16, Games[[#This Row],[RestDiff]]*8))</f>
        <v>16</v>
      </c>
      <c r="N265" s="1">
        <f>MAX(-16, MIN(16, Games[[#This Row],[OppRestDiff]]*8))</f>
        <v>-16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1461.1006032524172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1503.4977022915741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0.60436645984206172</v>
      </c>
      <c r="R265" s="1">
        <v>70</v>
      </c>
      <c r="S265" s="1">
        <v>66</v>
      </c>
      <c r="T265" s="1">
        <v>0</v>
      </c>
      <c r="U265" s="1">
        <f>Games[[#This Row],[PointsFor]]-Games[[#This Row],[PointsAgainst]]</f>
        <v>4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0.3008050181167371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</v>
      </c>
      <c r="Z265" s="4">
        <f>Games[[#This Row],[K]]*Games[[#This Row],[POMult]]</f>
        <v>73</v>
      </c>
      <c r="AA265" s="4">
        <f>(Games[[#This Row],[Keff]]*Games[[#This Row],[MOVMult]])*(Games[[#This Row],[Result]]-Games[[#This Row],[ExpectedWin%]])</f>
        <v>8.6876244576802133</v>
      </c>
      <c r="AB265" s="4">
        <f>Games[[#This Row],[PreGmRate]]+Games[[#This Row],[RatingChange]]</f>
        <v>1469.7882277100973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40033</v>
      </c>
      <c r="B266" s="2">
        <v>2009</v>
      </c>
      <c r="C266" s="2">
        <f>COUNTIFS(Games[Team],Games[[#This Row],[Team]],Games[Season],Games[[#This Row],[Season]],Games[Date],"&lt;=" &amp; Games[[#This Row],[Date]])</f>
        <v>22</v>
      </c>
      <c r="D266" s="2" t="s">
        <v>23</v>
      </c>
      <c r="E266" s="2" t="s">
        <v>29</v>
      </c>
      <c r="F266" s="1" t="s">
        <v>85</v>
      </c>
      <c r="G266" s="1" t="s">
        <v>87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1</v>
      </c>
      <c r="L266" s="2">
        <f>Games[[#This Row],[OppDaysOff]]-Games[[#This Row],[DaysOff]]</f>
        <v>-1</v>
      </c>
      <c r="M266" s="1">
        <f>MAX(-16, MIN(16, Games[[#This Row],[RestDiff]]*8))</f>
        <v>8</v>
      </c>
      <c r="N266" s="1">
        <f>MAX(-16, MIN(16, Games[[#This Row],[OppRestDiff]]*8))</f>
        <v>-8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1444.9942799452035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1489.2112643692201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0.34389761058065915</v>
      </c>
      <c r="R266" s="1">
        <v>82</v>
      </c>
      <c r="S266" s="1">
        <v>80</v>
      </c>
      <c r="T266" s="1">
        <v>0</v>
      </c>
      <c r="U266" s="1">
        <f>Games[[#This Row],[PointsFor]]-Games[[#This Row],[PointsAgainst]]</f>
        <v>2</v>
      </c>
      <c r="V266" s="1">
        <f>IF(Games[[#This Row],[MOV]]&gt;0,1,IF(Games[[#This Row],[MOV]]=0,0.5,0))</f>
        <v>1</v>
      </c>
      <c r="W266" s="4">
        <f>((ABS(Games[[#This Row],[MOV]])+5)^0.6)/(12+0.01*(ABS(Games[[#This Row],[PreGmRate]]-Games[[#This Row],[OppPreGmRate]])))*IF(Games[[#This Row],[OT]]=1,0.9,1)</f>
        <v>0.25832277568562007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72.7</v>
      </c>
      <c r="Z266" s="4">
        <f>Games[[#This Row],[K]]*Games[[#This Row],[POMult]]</f>
        <v>72.7</v>
      </c>
      <c r="AA266" s="4">
        <f>(Games[[#This Row],[Keff]]*Games[[#This Row],[MOVMult]])*(Games[[#This Row],[Result]]-Games[[#This Row],[ExpectedWin%]])</f>
        <v>12.321646039809705</v>
      </c>
      <c r="AB266" s="4">
        <f>Games[[#This Row],[PreGmRate]]+Games[[#This Row],[RatingChange]]</f>
        <v>1457.3159259850131</v>
      </c>
      <c r="AC266" s="2">
        <f>IF(Games[[#This Row],[Type]]="R",IF(Games[[#This Row],[Result]]&gt;0.5,1,0),0)</f>
        <v>1</v>
      </c>
      <c r="AD266" s="2">
        <f>IF(Games[[#This Row],[Type]]="R",IF(Games[[#This Row],[Result]]&lt;0.5,1,0),0)</f>
        <v>0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40033</v>
      </c>
      <c r="B267" s="2">
        <v>2009</v>
      </c>
      <c r="C267" s="2">
        <f>COUNTIFS(Games[Team],Games[[#This Row],[Team]],Games[Season],Games[[#This Row],[Season]],Games[Date],"&lt;=" &amp; Games[[#This Row],[Date]])</f>
        <v>22</v>
      </c>
      <c r="D267" s="2" t="s">
        <v>23</v>
      </c>
      <c r="E267" s="2" t="s">
        <v>29</v>
      </c>
      <c r="F267" s="1" t="s">
        <v>87</v>
      </c>
      <c r="G267" s="1" t="s">
        <v>85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-1</v>
      </c>
      <c r="L267" s="2">
        <f>Games[[#This Row],[OppDaysOff]]-Games[[#This Row],[DaysOff]]</f>
        <v>1</v>
      </c>
      <c r="M267" s="1">
        <f>MAX(-16, MIN(16, Games[[#This Row],[RestDiff]]*8))</f>
        <v>-8</v>
      </c>
      <c r="N267" s="1">
        <f>MAX(-16, MIN(16, Games[[#This Row],[OppRestDiff]]*8))</f>
        <v>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1489.2112643692201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1444.9942799452035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0.65610238941934085</v>
      </c>
      <c r="R267" s="1">
        <v>80</v>
      </c>
      <c r="S267" s="1">
        <v>82</v>
      </c>
      <c r="T267" s="1">
        <v>0</v>
      </c>
      <c r="U267" s="1">
        <f>Games[[#This Row],[PointsFor]]-Games[[#This Row],[PointsAgainst]]</f>
        <v>-2</v>
      </c>
      <c r="V267" s="1">
        <f>IF(Games[[#This Row],[MOV]]&gt;0,1,IF(Games[[#This Row],[MOV]]=0,0.5,0))</f>
        <v>0</v>
      </c>
      <c r="W267" s="4">
        <f>((ABS(Games[[#This Row],[MOV]])+5)^0.6)/(12+0.01*(ABS(Games[[#This Row],[PreGmRate]]-Games[[#This Row],[OppPreGmRate]])))*IF(Games[[#This Row],[OT]]=1,0.9,1)</f>
        <v>0.25832277568562007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-12.321646039809705</v>
      </c>
      <c r="AB267" s="4">
        <f>Games[[#This Row],[PreGmRate]]+Games[[#This Row],[RatingChange]]</f>
        <v>1476.8896183294105</v>
      </c>
      <c r="AC267" s="2">
        <f>IF(Games[[#This Row],[Type]]="R",IF(Games[[#This Row],[Result]]&gt;0.5,1,0),0)</f>
        <v>0</v>
      </c>
      <c r="AD267" s="2">
        <f>IF(Games[[#This Row],[Type]]="R",IF(Games[[#This Row],[Result]]&lt;0.5,1,0),0)</f>
        <v>1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40033</v>
      </c>
      <c r="B268" s="2">
        <v>2009</v>
      </c>
      <c r="C268" s="2">
        <f>COUNTIFS(Games[Team],Games[[#This Row],[Team]],Games[Season],Games[[#This Row],[Season]],Games[Date],"&lt;=" &amp; Games[[#This Row],[Date]])</f>
        <v>21</v>
      </c>
      <c r="D268" s="2" t="s">
        <v>23</v>
      </c>
      <c r="E268" s="2" t="s">
        <v>29</v>
      </c>
      <c r="F268" s="1" t="s">
        <v>77</v>
      </c>
      <c r="G268" s="1" t="s">
        <v>44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8" s="2">
        <f>Games[[#This Row],[DaysOff]]-Games[[#This Row],[OppDaysOff]]</f>
        <v>-1</v>
      </c>
      <c r="L268" s="2">
        <f>Games[[#This Row],[OppDaysOff]]-Games[[#This Row],[DaysOff]]</f>
        <v>1</v>
      </c>
      <c r="M268" s="1">
        <f>MAX(-16, MIN(16, Games[[#This Row],[RestDiff]]*8))</f>
        <v>-8</v>
      </c>
      <c r="N268" s="1">
        <f>MAX(-16, MIN(16, Games[[#This Row],[OppRestDiff]]*8))</f>
        <v>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1607.5941038375395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1607.6549607017137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0.35985429674480113</v>
      </c>
      <c r="R268" s="1">
        <v>90</v>
      </c>
      <c r="S268" s="1">
        <v>83</v>
      </c>
      <c r="T268" s="1">
        <v>0</v>
      </c>
      <c r="U268" s="1">
        <f>Games[[#This Row],[PointsFor]]-Games[[#This Row],[PointsAgainst]]</f>
        <v>7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0.37008840380405106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72.849999999999994</v>
      </c>
      <c r="Z268" s="4">
        <f>Games[[#This Row],[K]]*Games[[#This Row],[POMult]]</f>
        <v>72.849999999999994</v>
      </c>
      <c r="AA268" s="4">
        <f>(Games[[#This Row],[Keff]]*Games[[#This Row],[MOVMult]])*(Games[[#This Row],[Result]]-Games[[#This Row],[ExpectedWin%]])</f>
        <v>17.258930035712932</v>
      </c>
      <c r="AB268" s="4">
        <f>Games[[#This Row],[PreGmRate]]+Games[[#This Row],[RatingChange]]</f>
        <v>1624.8530338732523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40033</v>
      </c>
      <c r="B269" s="2">
        <v>2009</v>
      </c>
      <c r="C269" s="2">
        <f>COUNTIFS(Games[Team],Games[[#This Row],[Team]],Games[Season],Games[[#This Row],[Season]],Games[Date],"&lt;=" &amp; Games[[#This Row],[Date]])</f>
        <v>23</v>
      </c>
      <c r="D269" s="2" t="s">
        <v>23</v>
      </c>
      <c r="E269" s="2" t="s">
        <v>29</v>
      </c>
      <c r="F269" s="1" t="s">
        <v>44</v>
      </c>
      <c r="G269" s="1" t="s">
        <v>77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9" s="2">
        <f>Games[[#This Row],[DaysOff]]-Games[[#This Row],[OppDaysOff]]</f>
        <v>1</v>
      </c>
      <c r="L269" s="2">
        <f>Games[[#This Row],[OppDaysOff]]-Games[[#This Row],[DaysOff]]</f>
        <v>-1</v>
      </c>
      <c r="M269" s="1">
        <f>MAX(-16, MIN(16, Games[[#This Row],[RestDiff]]*8))</f>
        <v>8</v>
      </c>
      <c r="N269" s="1">
        <f>MAX(-16, MIN(16, Games[[#This Row],[OppRestDiff]]*8))</f>
        <v>-8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1607.6549607017137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1607.5941038375395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0.64014570325519893</v>
      </c>
      <c r="R269" s="1">
        <v>83</v>
      </c>
      <c r="S269" s="1">
        <v>90</v>
      </c>
      <c r="T269" s="1">
        <v>0</v>
      </c>
      <c r="U269" s="1">
        <f>Games[[#This Row],[PointsFor]]-Games[[#This Row],[PointsAgainst]]</f>
        <v>-7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0.37008840380405106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72.55</v>
      </c>
      <c r="Z269" s="4">
        <f>Games[[#This Row],[K]]*Games[[#This Row],[POMult]]</f>
        <v>72.55</v>
      </c>
      <c r="AA269" s="4">
        <f>(Games[[#This Row],[Keff]]*Games[[#This Row],[MOVMult]])*(Games[[#This Row],[Result]]-Games[[#This Row],[ExpectedWin%]])</f>
        <v>-17.187856885257013</v>
      </c>
      <c r="AB269" s="4">
        <f>Games[[#This Row],[PreGmRate]]+Games[[#This Row],[RatingChange]]</f>
        <v>1590.4671038164568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40033</v>
      </c>
      <c r="B270" s="2">
        <v>2009</v>
      </c>
      <c r="C270" s="2">
        <f>COUNTIFS(Games[Team],Games[[#This Row],[Team]],Games[Season],Games[[#This Row],[Season]],Games[Date],"&lt;=" &amp; Games[[#This Row],[Date]])</f>
        <v>21</v>
      </c>
      <c r="D270" s="2" t="s">
        <v>23</v>
      </c>
      <c r="E270" s="2" t="s">
        <v>29</v>
      </c>
      <c r="F270" s="1" t="s">
        <v>65</v>
      </c>
      <c r="G270" s="1" t="s">
        <v>79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">
        <f>MAX(-16, MIN(16, Games[[#This Row],[RestDiff]]*8))</f>
        <v>-8</v>
      </c>
      <c r="N270" s="1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1456.0373610807542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1542.2216992477931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0.2550679161567726</v>
      </c>
      <c r="R270" s="1">
        <v>69</v>
      </c>
      <c r="S270" s="1">
        <v>70</v>
      </c>
      <c r="T270" s="1">
        <v>0</v>
      </c>
      <c r="U270" s="1">
        <f>Games[[#This Row],[PointsFor]]-Games[[#This Row],[PointsAgainst]]</f>
        <v>-1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0.22781773690070986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72.849999999999994</v>
      </c>
      <c r="Z270" s="4">
        <f>Games[[#This Row],[K]]*Games[[#This Row],[POMult]]</f>
        <v>72.849999999999994</v>
      </c>
      <c r="AA270" s="4">
        <f>(Games[[#This Row],[Keff]]*Games[[#This Row],[MOVMult]])*(Games[[#This Row],[Result]]-Games[[#This Row],[ExpectedWin%]])</f>
        <v>-4.2332403159693408</v>
      </c>
      <c r="AB270" s="4">
        <f>Games[[#This Row],[PreGmRate]]+Games[[#This Row],[RatingChange]]</f>
        <v>1451.8041207647848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40033</v>
      </c>
      <c r="B271" s="2">
        <v>2009</v>
      </c>
      <c r="C271" s="2">
        <f>COUNTIFS(Games[Team],Games[[#This Row],[Team]],Games[Season],Games[[#This Row],[Season]],Games[Date],"&lt;=" &amp; Games[[#This Row],[Date]])</f>
        <v>22</v>
      </c>
      <c r="D271" s="2" t="s">
        <v>23</v>
      </c>
      <c r="E271" s="2" t="s">
        <v>29</v>
      </c>
      <c r="F271" s="1" t="s">
        <v>79</v>
      </c>
      <c r="G271" s="1" t="s">
        <v>65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">
        <f>MAX(-16, MIN(16, Games[[#This Row],[RestDiff]]*8))</f>
        <v>8</v>
      </c>
      <c r="N271" s="1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1542.2216992477931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1456.0373610807542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0.7449320838432274</v>
      </c>
      <c r="R271" s="1">
        <v>70</v>
      </c>
      <c r="S271" s="1">
        <v>69</v>
      </c>
      <c r="T271" s="1">
        <v>0</v>
      </c>
      <c r="U271" s="1">
        <f>Games[[#This Row],[PointsFor]]-Games[[#This Row],[PointsAgainst]]</f>
        <v>1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0.22781773690070986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72.7</v>
      </c>
      <c r="Z271" s="4">
        <f>Games[[#This Row],[K]]*Games[[#This Row],[POMult]]</f>
        <v>72.7</v>
      </c>
      <c r="AA271" s="4">
        <f>(Games[[#This Row],[Keff]]*Games[[#This Row],[MOVMult]])*(Games[[#This Row],[Result]]-Games[[#This Row],[ExpectedWin%]])</f>
        <v>4.2245239666571193</v>
      </c>
      <c r="AB271" s="4">
        <f>Games[[#This Row],[PreGmRate]]+Games[[#This Row],[RatingChange]]</f>
        <v>1546.4462232144504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40034</v>
      </c>
      <c r="B272" s="2">
        <v>2009</v>
      </c>
      <c r="C272" s="2">
        <f>COUNTIFS(Games[Team],Games[[#This Row],[Team]],Games[Season],Games[[#This Row],[Season]],Games[Date],"&lt;=" &amp; Games[[#This Row],[Date]])</f>
        <v>21</v>
      </c>
      <c r="D272" s="2" t="s">
        <v>23</v>
      </c>
      <c r="E272" s="2" t="s">
        <v>29</v>
      </c>
      <c r="F272" s="1" t="s">
        <v>71</v>
      </c>
      <c r="G272" s="1" t="s">
        <v>84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1469.7882277100973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1524.1224940402174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0.31081410276908888</v>
      </c>
      <c r="R272" s="1">
        <v>67</v>
      </c>
      <c r="S272" s="1">
        <v>96</v>
      </c>
      <c r="T272" s="1">
        <v>0</v>
      </c>
      <c r="U272" s="1">
        <f>Games[[#This Row],[PointsFor]]-Games[[#This Row],[PointsAgainst]]</f>
        <v>-29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0.66141503607363206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72.849999999999994</v>
      </c>
      <c r="Z272" s="4">
        <f>Games[[#This Row],[K]]*Games[[#This Row],[POMult]]</f>
        <v>72.849999999999994</v>
      </c>
      <c r="AA272" s="4">
        <f>(Games[[#This Row],[Keff]]*Games[[#This Row],[MOVMult]])*(Games[[#This Row],[Result]]-Games[[#This Row],[ExpectedWin%]])</f>
        <v>-14.976293264501082</v>
      </c>
      <c r="AB272" s="4">
        <f>Games[[#This Row],[PreGmRate]]+Games[[#This Row],[RatingChange]]</f>
        <v>1454.8119344455963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40034</v>
      </c>
      <c r="B273" s="2">
        <v>2009</v>
      </c>
      <c r="C273" s="2">
        <f>COUNTIFS(Games[Team],Games[[#This Row],[Team]],Games[Season],Games[[#This Row],[Season]],Games[Date],"&lt;=" &amp; Games[[#This Row],[Date]])</f>
        <v>21</v>
      </c>
      <c r="D273" s="2" t="s">
        <v>23</v>
      </c>
      <c r="E273" s="2" t="s">
        <v>29</v>
      </c>
      <c r="F273" s="1" t="s">
        <v>84</v>
      </c>
      <c r="G273" s="1" t="s">
        <v>71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1524.1224940402174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1469.7882277100973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0.68918589723091117</v>
      </c>
      <c r="R273" s="1">
        <v>96</v>
      </c>
      <c r="S273" s="1">
        <v>67</v>
      </c>
      <c r="T273" s="1">
        <v>0</v>
      </c>
      <c r="U273" s="1">
        <f>Games[[#This Row],[PointsFor]]-Games[[#This Row],[PointsAgainst]]</f>
        <v>29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0.66141503607363206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72.849999999999994</v>
      </c>
      <c r="Z273" s="4">
        <f>Games[[#This Row],[K]]*Games[[#This Row],[POMult]]</f>
        <v>72.849999999999994</v>
      </c>
      <c r="AA273" s="4">
        <f>(Games[[#This Row],[Keff]]*Games[[#This Row],[MOVMult]])*(Games[[#This Row],[Result]]-Games[[#This Row],[ExpectedWin%]])</f>
        <v>14.976293264501081</v>
      </c>
      <c r="AB273" s="4">
        <f>Games[[#This Row],[PreGmRate]]+Games[[#This Row],[RatingChange]]</f>
        <v>1539.0987873047184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40034</v>
      </c>
      <c r="B274" s="2">
        <v>2009</v>
      </c>
      <c r="C274" s="2">
        <f>COUNTIFS(Games[Team],Games[[#This Row],[Team]],Games[Season],Games[[#This Row],[Season]],Games[Date],"&lt;=" &amp; Games[[#This Row],[Date]])</f>
        <v>23</v>
      </c>
      <c r="D274" s="2" t="s">
        <v>23</v>
      </c>
      <c r="E274" s="2" t="s">
        <v>29</v>
      </c>
      <c r="F274" s="1" t="s">
        <v>85</v>
      </c>
      <c r="G274" s="1" t="s">
        <v>73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-1</v>
      </c>
      <c r="L274" s="2">
        <f>Games[[#This Row],[OppDaysOff]]-Games[[#This Row],[DaysOff]]</f>
        <v>1</v>
      </c>
      <c r="M274" s="1">
        <f>MAX(-16, MIN(16, Games[[#This Row],[RestDiff]]*8))</f>
        <v>-8</v>
      </c>
      <c r="N274" s="1">
        <f>MAX(-16, MIN(16, Games[[#This Row],[OppRestDiff]]*8))</f>
        <v>8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1457.3159259850131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1494.7743752676295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0.31189508784275638</v>
      </c>
      <c r="R274" s="1">
        <v>58</v>
      </c>
      <c r="S274" s="1">
        <v>64</v>
      </c>
      <c r="T274" s="1">
        <v>0</v>
      </c>
      <c r="U274" s="1">
        <f>Games[[#This Row],[PointsFor]]-Games[[#This Row],[PointsAgainst]]</f>
        <v>-6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0.34064732723233238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72.55</v>
      </c>
      <c r="Z274" s="4">
        <f>Games[[#This Row],[K]]*Games[[#This Row],[POMult]]</f>
        <v>72.55</v>
      </c>
      <c r="AA274" s="4">
        <f>(Games[[#This Row],[Keff]]*Games[[#This Row],[MOVMult]])*(Games[[#This Row],[Result]]-Games[[#This Row],[ExpectedWin%]])</f>
        <v>-7.7081638450658412</v>
      </c>
      <c r="AB274" s="4">
        <f>Games[[#This Row],[PreGmRate]]+Games[[#This Row],[RatingChange]]</f>
        <v>1449.6077621399472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40034</v>
      </c>
      <c r="B275" s="2">
        <v>2009</v>
      </c>
      <c r="C275" s="2">
        <f>COUNTIFS(Games[Team],Games[[#This Row],[Team]],Games[Season],Games[[#This Row],[Season]],Games[Date],"&lt;=" &amp; Games[[#This Row],[Date]])</f>
        <v>19</v>
      </c>
      <c r="D275" s="2" t="s">
        <v>23</v>
      </c>
      <c r="E275" s="2" t="s">
        <v>29</v>
      </c>
      <c r="F275" s="1" t="s">
        <v>73</v>
      </c>
      <c r="G275" s="1" t="s">
        <v>85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5" s="2">
        <f>Games[[#This Row],[DaysOff]]-Games[[#This Row],[OppDaysOff]]</f>
        <v>1</v>
      </c>
      <c r="L275" s="2">
        <f>Games[[#This Row],[OppDaysOff]]-Games[[#This Row],[DaysOff]]</f>
        <v>-1</v>
      </c>
      <c r="M275" s="1">
        <f>MAX(-16, MIN(16, Games[[#This Row],[RestDiff]]*8))</f>
        <v>8</v>
      </c>
      <c r="N275" s="1">
        <f>MAX(-16, MIN(16, Games[[#This Row],[OppRestDiff]]*8))</f>
        <v>-8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1494.7743752676295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1457.3159259850131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0.68810491215724368</v>
      </c>
      <c r="R275" s="1">
        <v>64</v>
      </c>
      <c r="S275" s="1">
        <v>58</v>
      </c>
      <c r="T275" s="1">
        <v>0</v>
      </c>
      <c r="U275" s="1">
        <f>Games[[#This Row],[PointsFor]]-Games[[#This Row],[PointsAgainst]]</f>
        <v>6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0.34064732723233238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73.150000000000006</v>
      </c>
      <c r="Z275" s="4">
        <f>Games[[#This Row],[K]]*Games[[#This Row],[POMult]]</f>
        <v>73.150000000000006</v>
      </c>
      <c r="AA275" s="4">
        <f>(Games[[#This Row],[Keff]]*Games[[#This Row],[MOVMult]])*(Games[[#This Row],[Result]]-Games[[#This Row],[ExpectedWin%]])</f>
        <v>7.7719115818961573</v>
      </c>
      <c r="AB275" s="4">
        <f>Games[[#This Row],[PreGmRate]]+Games[[#This Row],[RatingChange]]</f>
        <v>1502.5462868495256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40034</v>
      </c>
      <c r="B276" s="2">
        <v>2009</v>
      </c>
      <c r="C276" s="2">
        <f>COUNTIFS(Games[Team],Games[[#This Row],[Team]],Games[Season],Games[[#This Row],[Season]],Games[Date],"&lt;=" &amp; Games[[#This Row],[Date]])</f>
        <v>21</v>
      </c>
      <c r="D276" s="2" t="s">
        <v>23</v>
      </c>
      <c r="E276" s="2" t="s">
        <v>29</v>
      </c>
      <c r="F276" s="1" t="s">
        <v>82</v>
      </c>
      <c r="G276" s="1" t="s">
        <v>75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1</v>
      </c>
      <c r="L276" s="2">
        <f>Games[[#This Row],[OppDaysOff]]-Games[[#This Row],[DaysOff]]</f>
        <v>-1</v>
      </c>
      <c r="M276" s="1">
        <f>MAX(-16, MIN(16, Games[[#This Row],[RestDiff]]*8))</f>
        <v>8</v>
      </c>
      <c r="N276" s="1">
        <f>MAX(-16, MIN(16, Games[[#This Row],[OppRestDiff]]*8))</f>
        <v>-8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1501.7459604181458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1485.0745734758227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0.42666494568103475</v>
      </c>
      <c r="R276" s="1">
        <v>89</v>
      </c>
      <c r="S276" s="1">
        <v>87</v>
      </c>
      <c r="T276" s="1">
        <v>0</v>
      </c>
      <c r="U276" s="1">
        <f>Games[[#This Row],[PointsFor]]-Games[[#This Row],[PointsAgainst]]</f>
        <v>2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0.26417123672099668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72.849999999999994</v>
      </c>
      <c r="Z276" s="4">
        <f>Games[[#This Row],[K]]*Games[[#This Row],[POMult]]</f>
        <v>72.849999999999994</v>
      </c>
      <c r="AA276" s="4">
        <f>(Games[[#This Row],[Keff]]*Games[[#This Row],[MOVMult]])*(Games[[#This Row],[Result]]-Games[[#This Row],[ExpectedWin%]])</f>
        <v>11.033761221357441</v>
      </c>
      <c r="AB276" s="4">
        <f>Games[[#This Row],[PreGmRate]]+Games[[#This Row],[RatingChange]]</f>
        <v>1512.7797216395034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40034</v>
      </c>
      <c r="B277" s="2">
        <v>2009</v>
      </c>
      <c r="C277" s="2">
        <f>COUNTIFS(Games[Team],Games[[#This Row],[Team]],Games[Season],Games[[#This Row],[Season]],Games[Date],"&lt;=" &amp; Games[[#This Row],[Date]])</f>
        <v>22</v>
      </c>
      <c r="D277" s="2" t="s">
        <v>23</v>
      </c>
      <c r="E277" s="2" t="s">
        <v>29</v>
      </c>
      <c r="F277" s="1" t="s">
        <v>75</v>
      </c>
      <c r="G277" s="1" t="s">
        <v>82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-1</v>
      </c>
      <c r="L277" s="2">
        <f>Games[[#This Row],[OppDaysOff]]-Games[[#This Row],[DaysOff]]</f>
        <v>1</v>
      </c>
      <c r="M277" s="1">
        <f>MAX(-16, MIN(16, Games[[#This Row],[RestDiff]]*8))</f>
        <v>-8</v>
      </c>
      <c r="N277" s="1">
        <f>MAX(-16, MIN(16, Games[[#This Row],[OppRestDiff]]*8))</f>
        <v>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1485.0745734758227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1501.7459604181458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0.57333505431896525</v>
      </c>
      <c r="R277" s="1">
        <v>87</v>
      </c>
      <c r="S277" s="1">
        <v>89</v>
      </c>
      <c r="T277" s="1">
        <v>0</v>
      </c>
      <c r="U277" s="1">
        <f>Games[[#This Row],[PointsFor]]-Games[[#This Row],[PointsAgainst]]</f>
        <v>-2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0.26417123672099668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72.7</v>
      </c>
      <c r="Z277" s="4">
        <f>Games[[#This Row],[K]]*Games[[#This Row],[POMult]]</f>
        <v>72.7</v>
      </c>
      <c r="AA277" s="4">
        <f>(Games[[#This Row],[Keff]]*Games[[#This Row],[MOVMult]])*(Games[[#This Row],[Result]]-Games[[#This Row],[ExpectedWin%]])</f>
        <v>-11.011042426804202</v>
      </c>
      <c r="AB277" s="4">
        <f>Games[[#This Row],[PreGmRate]]+Games[[#This Row],[RatingChange]]</f>
        <v>1474.0635310490186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40035</v>
      </c>
      <c r="B278" s="2">
        <v>2009</v>
      </c>
      <c r="C278" s="2">
        <f>COUNTIFS(Games[Team],Games[[#This Row],[Team]],Games[Season],Games[[#This Row],[Season]],Games[Date],"&lt;=" &amp; Games[[#This Row],[Date]])</f>
        <v>22</v>
      </c>
      <c r="D278" s="2" t="s">
        <v>23</v>
      </c>
      <c r="E278" s="2" t="s">
        <v>29</v>
      </c>
      <c r="F278" s="1" t="s">
        <v>77</v>
      </c>
      <c r="G278" s="1" t="s">
        <v>68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8" s="2">
        <f>Games[[#This Row],[DaysOff]]-Games[[#This Row],[OppDaysOff]]</f>
        <v>-2</v>
      </c>
      <c r="L278" s="2">
        <f>Games[[#This Row],[OppDaysOff]]-Games[[#This Row],[DaysOff]]</f>
        <v>2</v>
      </c>
      <c r="M278" s="1">
        <f>MAX(-16, MIN(16, Games[[#This Row],[RestDiff]]*8))</f>
        <v>-16</v>
      </c>
      <c r="N278" s="1">
        <f>MAX(-16, MIN(16, Games[[#This Row],[OppRestDiff]]*8))</f>
        <v>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1624.8530338732523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1498.387098780405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0.51505713723276747</v>
      </c>
      <c r="R278" s="1">
        <v>63</v>
      </c>
      <c r="S278" s="1">
        <v>75</v>
      </c>
      <c r="T278" s="1">
        <v>0</v>
      </c>
      <c r="U278" s="1">
        <f>Games[[#This Row],[PointsFor]]-Games[[#This Row],[PointsAgainst]]</f>
        <v>-12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0.41264183060497228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72.7</v>
      </c>
      <c r="Z278" s="4">
        <f>Games[[#This Row],[K]]*Games[[#This Row],[POMult]]</f>
        <v>72.7</v>
      </c>
      <c r="AA278" s="4">
        <f>(Games[[#This Row],[Keff]]*Games[[#This Row],[MOVMult]])*(Games[[#This Row],[Result]]-Games[[#This Row],[ExpectedWin%]])</f>
        <v>-15.451230522101485</v>
      </c>
      <c r="AB278" s="4">
        <f>Games[[#This Row],[PreGmRate]]+Games[[#This Row],[RatingChange]]</f>
        <v>1609.4018033511509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40035</v>
      </c>
      <c r="B279" s="2">
        <v>2009</v>
      </c>
      <c r="C279" s="2">
        <f>COUNTIFS(Games[Team],Games[[#This Row],[Team]],Games[Season],Games[[#This Row],[Season]],Games[Date],"&lt;=" &amp; Games[[#This Row],[Date]])</f>
        <v>19</v>
      </c>
      <c r="D279" s="2" t="s">
        <v>23</v>
      </c>
      <c r="E279" s="2" t="s">
        <v>29</v>
      </c>
      <c r="F279" s="1" t="s">
        <v>68</v>
      </c>
      <c r="G279" s="1" t="s">
        <v>77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2</v>
      </c>
      <c r="L279" s="2">
        <f>Games[[#This Row],[OppDaysOff]]-Games[[#This Row],[DaysOff]]</f>
        <v>-2</v>
      </c>
      <c r="M279" s="1">
        <f>MAX(-16, MIN(16, Games[[#This Row],[RestDiff]]*8))</f>
        <v>16</v>
      </c>
      <c r="N279" s="1">
        <f>MAX(-16, MIN(16, Games[[#This Row],[OppRestDiff]]*8))</f>
        <v>-16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1498.387098780405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1624.8530338732523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0.48494286276723259</v>
      </c>
      <c r="R279" s="1">
        <v>75</v>
      </c>
      <c r="S279" s="1">
        <v>63</v>
      </c>
      <c r="T279" s="1">
        <v>0</v>
      </c>
      <c r="U279" s="1">
        <f>Games[[#This Row],[PointsFor]]-Games[[#This Row],[PointsAgainst]]</f>
        <v>12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0.41264183060497228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73.150000000000006</v>
      </c>
      <c r="Z279" s="4">
        <f>Games[[#This Row],[K]]*Games[[#This Row],[POMult]]</f>
        <v>73.150000000000006</v>
      </c>
      <c r="AA279" s="4">
        <f>(Games[[#This Row],[Keff]]*Games[[#This Row],[MOVMult]])*(Games[[#This Row],[Result]]-Games[[#This Row],[ExpectedWin%]])</f>
        <v>15.546870876089733</v>
      </c>
      <c r="AB279" s="4">
        <f>Games[[#This Row],[PreGmRate]]+Games[[#This Row],[RatingChange]]</f>
        <v>1513.9339696564948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40036</v>
      </c>
      <c r="B280" s="2">
        <v>2009</v>
      </c>
      <c r="C280" s="2">
        <f>COUNTIFS(Games[Team],Games[[#This Row],[Team]],Games[Season],Games[[#This Row],[Season]],Games[Date],"&lt;=" &amp; Games[[#This Row],[Date]])</f>
        <v>22</v>
      </c>
      <c r="D280" s="2" t="s">
        <v>23</v>
      </c>
      <c r="E280" s="2" t="s">
        <v>29</v>
      </c>
      <c r="F280" s="1" t="s">
        <v>65</v>
      </c>
      <c r="G280" s="1" t="s">
        <v>68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0" s="2">
        <f>Games[[#This Row],[DaysOff]]-Games[[#This Row],[OppDaysOff]]</f>
        <v>2</v>
      </c>
      <c r="L280" s="2">
        <f>Games[[#This Row],[OppDaysOff]]-Games[[#This Row],[DaysOff]]</f>
        <v>-2</v>
      </c>
      <c r="M280" s="1">
        <f>MAX(-16, MIN(16, Games[[#This Row],[RestDiff]]*8))</f>
        <v>16</v>
      </c>
      <c r="N280" s="1">
        <f>MAX(-16, MIN(16, Games[[#This Row],[OppRestDiff]]*8))</f>
        <v>-16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1451.8041207647848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1513.9339696564948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0.34141738930520449</v>
      </c>
      <c r="R280" s="1">
        <v>65</v>
      </c>
      <c r="S280" s="1">
        <v>61</v>
      </c>
      <c r="T280" s="1">
        <v>0</v>
      </c>
      <c r="U280" s="1">
        <f>Games[[#This Row],[PointsFor]]-Games[[#This Row],[PointsAgainst]]</f>
        <v>4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0.29610208665362142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72.7</v>
      </c>
      <c r="Z280" s="4">
        <f>Games[[#This Row],[K]]*Games[[#This Row],[POMult]]</f>
        <v>72.7</v>
      </c>
      <c r="AA280" s="4">
        <f>(Games[[#This Row],[Keff]]*Games[[#This Row],[MOVMult]])*(Games[[#This Row],[Result]]-Games[[#This Row],[ExpectedWin%]])</f>
        <v>14.177058718439699</v>
      </c>
      <c r="AB280" s="4">
        <f>Games[[#This Row],[PreGmRate]]+Games[[#This Row],[RatingChange]]</f>
        <v>1465.9811794832244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40036</v>
      </c>
      <c r="B281" s="2">
        <v>2009</v>
      </c>
      <c r="C281" s="2">
        <f>COUNTIFS(Games[Team],Games[[#This Row],[Team]],Games[Season],Games[[#This Row],[Season]],Games[Date],"&lt;=" &amp; Games[[#This Row],[Date]])</f>
        <v>20</v>
      </c>
      <c r="D281" s="2" t="s">
        <v>23</v>
      </c>
      <c r="E281" s="2" t="s">
        <v>29</v>
      </c>
      <c r="F281" s="1" t="s">
        <v>68</v>
      </c>
      <c r="G281" s="1" t="s">
        <v>65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1" s="2">
        <f>Games[[#This Row],[DaysOff]]-Games[[#This Row],[OppDaysOff]]</f>
        <v>-2</v>
      </c>
      <c r="L281" s="2">
        <f>Games[[#This Row],[OppDaysOff]]-Games[[#This Row],[DaysOff]]</f>
        <v>2</v>
      </c>
      <c r="M281" s="1">
        <f>MAX(-16, MIN(16, Games[[#This Row],[RestDiff]]*8))</f>
        <v>-16</v>
      </c>
      <c r="N281" s="1">
        <f>MAX(-16, MIN(16, Games[[#This Row],[OppRestDiff]]*8))</f>
        <v>16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1513.9339696564948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1451.8041207647848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0.65858261069479551</v>
      </c>
      <c r="R281" s="1">
        <v>61</v>
      </c>
      <c r="S281" s="1">
        <v>65</v>
      </c>
      <c r="T281" s="1">
        <v>0</v>
      </c>
      <c r="U281" s="1">
        <f>Games[[#This Row],[PointsFor]]-Games[[#This Row],[PointsAgainst]]</f>
        <v>-4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0.29610208665362142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73</v>
      </c>
      <c r="Z281" s="4">
        <f>Games[[#This Row],[K]]*Games[[#This Row],[POMult]]</f>
        <v>73</v>
      </c>
      <c r="AA281" s="4">
        <f>(Games[[#This Row],[Keff]]*Games[[#This Row],[MOVMult]])*(Games[[#This Row],[Result]]-Games[[#This Row],[ExpectedWin%]])</f>
        <v>-14.235561024017857</v>
      </c>
      <c r="AB281" s="4">
        <f>Games[[#This Row],[PreGmRate]]+Games[[#This Row],[RatingChange]]</f>
        <v>1499.6984086324769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40036</v>
      </c>
      <c r="B282" s="2">
        <v>2009</v>
      </c>
      <c r="C282" s="2">
        <f>COUNTIFS(Games[Team],Games[[#This Row],[Team]],Games[Season],Games[[#This Row],[Season]],Games[Date],"&lt;=" &amp; Games[[#This Row],[Date]])</f>
        <v>23</v>
      </c>
      <c r="D282" s="2" t="s">
        <v>23</v>
      </c>
      <c r="E282" s="2" t="s">
        <v>29</v>
      </c>
      <c r="F282" s="1" t="s">
        <v>45</v>
      </c>
      <c r="G282" s="1" t="s">
        <v>82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2</v>
      </c>
      <c r="L282" s="2">
        <f>Games[[#This Row],[OppDaysOff]]-Games[[#This Row],[DaysOff]]</f>
        <v>-2</v>
      </c>
      <c r="M282" s="1">
        <f>MAX(-16, MIN(16, Games[[#This Row],[RestDiff]]*8))</f>
        <v>16</v>
      </c>
      <c r="N282" s="1">
        <f>MAX(-16, MIN(16, Games[[#This Row],[OppRestDiff]]*8))</f>
        <v>-16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1395.2867123705275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1512.7797216395034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0.27374976853677235</v>
      </c>
      <c r="R282" s="1">
        <v>90</v>
      </c>
      <c r="S282" s="1">
        <v>73</v>
      </c>
      <c r="T282" s="1">
        <v>0</v>
      </c>
      <c r="U282" s="1">
        <f>Games[[#This Row],[PointsFor]]-Games[[#This Row],[PointsAgainst]]</f>
        <v>17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0.48495929648455122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72.55</v>
      </c>
      <c r="Z282" s="4">
        <f>Games[[#This Row],[K]]*Games[[#This Row],[POMult]]</f>
        <v>72.55</v>
      </c>
      <c r="AA282" s="4">
        <f>(Games[[#This Row],[Keff]]*Games[[#This Row],[MOVMult]])*(Games[[#This Row],[Result]]-Games[[#This Row],[ExpectedWin%]])</f>
        <v>25.552240685921934</v>
      </c>
      <c r="AB282" s="4">
        <f>Games[[#This Row],[PreGmRate]]+Games[[#This Row],[RatingChange]]</f>
        <v>1420.8389530564496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40036</v>
      </c>
      <c r="B283" s="2">
        <v>2009</v>
      </c>
      <c r="C283" s="2">
        <f>COUNTIFS(Games[Team],Games[[#This Row],[Team]],Games[Season],Games[[#This Row],[Season]],Games[Date],"&lt;=" &amp; Games[[#This Row],[Date]])</f>
        <v>22</v>
      </c>
      <c r="D283" s="2" t="s">
        <v>23</v>
      </c>
      <c r="E283" s="2" t="s">
        <v>29</v>
      </c>
      <c r="F283" s="1" t="s">
        <v>82</v>
      </c>
      <c r="G283" s="1" t="s">
        <v>45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3" s="2">
        <f>Games[[#This Row],[DaysOff]]-Games[[#This Row],[OppDaysOff]]</f>
        <v>-2</v>
      </c>
      <c r="L283" s="2">
        <f>Games[[#This Row],[OppDaysOff]]-Games[[#This Row],[DaysOff]]</f>
        <v>2</v>
      </c>
      <c r="M283" s="1">
        <f>MAX(-16, MIN(16, Games[[#This Row],[RestDiff]]*8))</f>
        <v>-16</v>
      </c>
      <c r="N283" s="1">
        <f>MAX(-16, MIN(16, Games[[#This Row],[OppRestDiff]]*8))</f>
        <v>16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1512.7797216395034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1395.2867123705275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0.72625023146322765</v>
      </c>
      <c r="R283" s="1">
        <v>73</v>
      </c>
      <c r="S283" s="1">
        <v>90</v>
      </c>
      <c r="T283" s="1">
        <v>0</v>
      </c>
      <c r="U283" s="1">
        <f>Games[[#This Row],[PointsFor]]-Games[[#This Row],[PointsAgainst]]</f>
        <v>-17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0.48495929648455122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72.7</v>
      </c>
      <c r="Z283" s="4">
        <f>Games[[#This Row],[K]]*Games[[#This Row],[POMult]]</f>
        <v>72.7</v>
      </c>
      <c r="AA283" s="4">
        <f>(Games[[#This Row],[Keff]]*Games[[#This Row],[MOVMult]])*(Games[[#This Row],[Result]]-Games[[#This Row],[ExpectedWin%]])</f>
        <v>-25.605070956120258</v>
      </c>
      <c r="AB283" s="4">
        <f>Games[[#This Row],[PreGmRate]]+Games[[#This Row],[RatingChange]]</f>
        <v>1487.1746506833831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40036</v>
      </c>
      <c r="B284" s="2">
        <v>2009</v>
      </c>
      <c r="C284" s="2">
        <f>COUNTIFS(Games[Team],Games[[#This Row],[Team]],Games[Season],Games[[#This Row],[Season]],Games[Date],"&lt;=" &amp; Games[[#This Row],[Date]])</f>
        <v>20</v>
      </c>
      <c r="D284" s="2" t="s">
        <v>23</v>
      </c>
      <c r="E284" s="2" t="s">
        <v>29</v>
      </c>
      <c r="F284" s="1" t="s">
        <v>73</v>
      </c>
      <c r="G284" s="1" t="s">
        <v>71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1502.5462868495256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1454.8119344455963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0.44799826027473316</v>
      </c>
      <c r="R284" s="1">
        <v>81</v>
      </c>
      <c r="S284" s="1">
        <v>77</v>
      </c>
      <c r="T284" s="1">
        <v>0</v>
      </c>
      <c r="U284" s="1">
        <f>Games[[#This Row],[PointsFor]]-Games[[#This Row],[PointsAgainst]]</f>
        <v>4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0.29951830785506095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73</v>
      </c>
      <c r="Z284" s="4">
        <f>Games[[#This Row],[K]]*Games[[#This Row],[POMult]]</f>
        <v>73</v>
      </c>
      <c r="AA284" s="4">
        <f>(Games[[#This Row],[Keff]]*Games[[#This Row],[MOVMult]])*(Games[[#This Row],[Result]]-Games[[#This Row],[ExpectedWin%]])</f>
        <v>12.069427772136002</v>
      </c>
      <c r="AB284" s="4">
        <f>Games[[#This Row],[PreGmRate]]+Games[[#This Row],[RatingChange]]</f>
        <v>1514.6157146216615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40036</v>
      </c>
      <c r="B285" s="2">
        <v>2009</v>
      </c>
      <c r="C285" s="2">
        <f>COUNTIFS(Games[Team],Games[[#This Row],[Team]],Games[Season],Games[[#This Row],[Season]],Games[Date],"&lt;=" &amp; Games[[#This Row],[Date]])</f>
        <v>22</v>
      </c>
      <c r="D285" s="2" t="s">
        <v>23</v>
      </c>
      <c r="E285" s="2" t="s">
        <v>29</v>
      </c>
      <c r="F285" s="1" t="s">
        <v>71</v>
      </c>
      <c r="G285" s="1" t="s">
        <v>73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1454.8119344455963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1502.5462868495256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0.55200173972526689</v>
      </c>
      <c r="R285" s="1">
        <v>77</v>
      </c>
      <c r="S285" s="1">
        <v>81</v>
      </c>
      <c r="T285" s="1">
        <v>0</v>
      </c>
      <c r="U285" s="1">
        <f>Games[[#This Row],[PointsFor]]-Games[[#This Row],[PointsAgainst]]</f>
        <v>-4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0.29951830785506095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72.7</v>
      </c>
      <c r="Z285" s="4">
        <f>Games[[#This Row],[K]]*Games[[#This Row],[POMult]]</f>
        <v>72.7</v>
      </c>
      <c r="AA285" s="4">
        <f>(Games[[#This Row],[Keff]]*Games[[#This Row],[MOVMult]])*(Games[[#This Row],[Result]]-Games[[#This Row],[ExpectedWin%]])</f>
        <v>-12.019827384031338</v>
      </c>
      <c r="AB285" s="4">
        <f>Games[[#This Row],[PreGmRate]]+Games[[#This Row],[RatingChange]]</f>
        <v>1442.792107061565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40038</v>
      </c>
      <c r="B286" s="2">
        <v>2009</v>
      </c>
      <c r="C286" s="2">
        <f>COUNTIFS(Games[Team],Games[[#This Row],[Team]],Games[Season],Games[[#This Row],[Season]],Games[Date],"&lt;=" &amp; Games[[#This Row],[Date]])</f>
        <v>21</v>
      </c>
      <c r="D286" s="2" t="s">
        <v>23</v>
      </c>
      <c r="E286" s="2" t="s">
        <v>29</v>
      </c>
      <c r="F286" s="1" t="s">
        <v>73</v>
      </c>
      <c r="G286" s="1" t="s">
        <v>87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6" s="2">
        <f>Games[[#This Row],[DaysOff]]-Games[[#This Row],[OppDaysOff]]</f>
        <v>-3</v>
      </c>
      <c r="L286" s="2">
        <f>Games[[#This Row],[OppDaysOff]]-Games[[#This Row],[DaysOff]]</f>
        <v>3</v>
      </c>
      <c r="M286" s="1">
        <f>MAX(-16, MIN(16, Games[[#This Row],[RestDiff]]*8))</f>
        <v>-16</v>
      </c>
      <c r="N286" s="1">
        <f>MAX(-16, MIN(16, Games[[#This Row],[OppRestDiff]]*8))</f>
        <v>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1514.6157146216615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1476.8896183294105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0.38922268223686485</v>
      </c>
      <c r="R286" s="1">
        <v>75</v>
      </c>
      <c r="S286" s="1">
        <v>80</v>
      </c>
      <c r="T286" s="1">
        <v>0</v>
      </c>
      <c r="U286" s="1">
        <f>Games[[#This Row],[PointsFor]]-Games[[#This Row],[PointsAgainst]]</f>
        <v>-5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0.32164399841457048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72.849999999999994</v>
      </c>
      <c r="Z286" s="4">
        <f>Games[[#This Row],[K]]*Games[[#This Row],[POMult]]</f>
        <v>72.849999999999994</v>
      </c>
      <c r="AA286" s="4">
        <f>(Games[[#This Row],[Keff]]*Games[[#This Row],[MOVMult]])*(Games[[#This Row],[Result]]-Games[[#This Row],[ExpectedWin%]])</f>
        <v>-9.1201745335783109</v>
      </c>
      <c r="AB286" s="4">
        <f>Games[[#This Row],[PreGmRate]]+Games[[#This Row],[RatingChange]]</f>
        <v>1505.4955400880831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40038</v>
      </c>
      <c r="B287" s="2">
        <v>2009</v>
      </c>
      <c r="C287" s="2">
        <f>COUNTIFS(Games[Team],Games[[#This Row],[Team]],Games[Season],Games[[#This Row],[Season]],Games[Date],"&lt;=" &amp; Games[[#This Row],[Date]])</f>
        <v>23</v>
      </c>
      <c r="D287" s="2" t="s">
        <v>23</v>
      </c>
      <c r="E287" s="2" t="s">
        <v>29</v>
      </c>
      <c r="F287" s="1" t="s">
        <v>87</v>
      </c>
      <c r="G287" s="1" t="s">
        <v>73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3</v>
      </c>
      <c r="L287" s="2">
        <f>Games[[#This Row],[OppDaysOff]]-Games[[#This Row],[DaysOff]]</f>
        <v>-3</v>
      </c>
      <c r="M287" s="1">
        <f>MAX(-16, MIN(16, Games[[#This Row],[RestDiff]]*8))</f>
        <v>16</v>
      </c>
      <c r="N287" s="1">
        <f>MAX(-16, MIN(16, Games[[#This Row],[OppRestDiff]]*8))</f>
        <v>-16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1476.8896183294105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1514.6157146216615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0.61077731776313515</v>
      </c>
      <c r="R287" s="1">
        <v>80</v>
      </c>
      <c r="S287" s="1">
        <v>75</v>
      </c>
      <c r="T287" s="1">
        <v>0</v>
      </c>
      <c r="U287" s="1">
        <f>Games[[#This Row],[PointsFor]]-Games[[#This Row],[PointsAgainst]]</f>
        <v>5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0.32164399841457048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72.55</v>
      </c>
      <c r="Z287" s="4">
        <f>Games[[#This Row],[K]]*Games[[#This Row],[POMult]]</f>
        <v>72.55</v>
      </c>
      <c r="AA287" s="4">
        <f>(Games[[#This Row],[Keff]]*Games[[#This Row],[MOVMult]])*(Games[[#This Row],[Result]]-Games[[#This Row],[ExpectedWin%]])</f>
        <v>9.0826171916418197</v>
      </c>
      <c r="AB287" s="4">
        <f>Games[[#This Row],[PreGmRate]]+Games[[#This Row],[RatingChange]]</f>
        <v>1485.9722355210524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40038</v>
      </c>
      <c r="B288" s="2">
        <v>2009</v>
      </c>
      <c r="C288" s="2">
        <f>COUNTIFS(Games[Team],Games[[#This Row],[Team]],Games[Season],Games[[#This Row],[Season]],Games[Date],"&lt;=" &amp; Games[[#This Row],[Date]])</f>
        <v>23</v>
      </c>
      <c r="D288" s="2" t="s">
        <v>23</v>
      </c>
      <c r="E288" s="2" t="s">
        <v>29</v>
      </c>
      <c r="F288" s="1" t="s">
        <v>79</v>
      </c>
      <c r="G288" s="1" t="s">
        <v>84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8" s="2">
        <f>Games[[#This Row],[DaysOff]]-Games[[#This Row],[OppDaysOff]]</f>
        <v>1</v>
      </c>
      <c r="L288" s="2">
        <f>Games[[#This Row],[OppDaysOff]]-Games[[#This Row],[DaysOff]]</f>
        <v>-1</v>
      </c>
      <c r="M288" s="1">
        <f>MAX(-16, MIN(16, Games[[#This Row],[RestDiff]]*8))</f>
        <v>8</v>
      </c>
      <c r="N288" s="1">
        <f>MAX(-16, MIN(16, Games[[#This Row],[OppRestDiff]]*8))</f>
        <v>-8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1546.4462232144504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1539.0987873047184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0.41358995970685719</v>
      </c>
      <c r="R288" s="1">
        <v>53</v>
      </c>
      <c r="S288" s="1">
        <v>64</v>
      </c>
      <c r="T288" s="1">
        <v>0</v>
      </c>
      <c r="U288" s="1">
        <f>Games[[#This Row],[PointsFor]]-Games[[#This Row],[PointsAgainst]]</f>
        <v>-11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0.43715930361955824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72.55</v>
      </c>
      <c r="Z288" s="4">
        <f>Games[[#This Row],[K]]*Games[[#This Row],[POMult]]</f>
        <v>72.55</v>
      </c>
      <c r="AA288" s="4">
        <f>(Games[[#This Row],[Keff]]*Games[[#This Row],[MOVMult]])*(Games[[#This Row],[Result]]-Games[[#This Row],[ExpectedWin%]])</f>
        <v>-13.11738089572656</v>
      </c>
      <c r="AB288" s="4">
        <f>Games[[#This Row],[PreGmRate]]+Games[[#This Row],[RatingChange]]</f>
        <v>1533.3288423187239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40038</v>
      </c>
      <c r="B289" s="2">
        <v>2009</v>
      </c>
      <c r="C289" s="2">
        <f>COUNTIFS(Games[Team],Games[[#This Row],[Team]],Games[Season],Games[[#This Row],[Season]],Games[Date],"&lt;=" &amp; Games[[#This Row],[Date]])</f>
        <v>22</v>
      </c>
      <c r="D289" s="2" t="s">
        <v>23</v>
      </c>
      <c r="E289" s="2" t="s">
        <v>29</v>
      </c>
      <c r="F289" s="1" t="s">
        <v>84</v>
      </c>
      <c r="G289" s="1" t="s">
        <v>79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9" s="2">
        <f>Games[[#This Row],[DaysOff]]-Games[[#This Row],[OppDaysOff]]</f>
        <v>-1</v>
      </c>
      <c r="L289" s="2">
        <f>Games[[#This Row],[OppDaysOff]]-Games[[#This Row],[DaysOff]]</f>
        <v>1</v>
      </c>
      <c r="M289" s="1">
        <f>MAX(-16, MIN(16, Games[[#This Row],[RestDiff]]*8))</f>
        <v>-8</v>
      </c>
      <c r="N289" s="1">
        <f>MAX(-16, MIN(16, Games[[#This Row],[OppRestDiff]]*8))</f>
        <v>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1539.0987873047184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1546.4462232144504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0.58641004029314281</v>
      </c>
      <c r="R289" s="1">
        <v>64</v>
      </c>
      <c r="S289" s="1">
        <v>53</v>
      </c>
      <c r="T289" s="1">
        <v>0</v>
      </c>
      <c r="U289" s="1">
        <f>Games[[#This Row],[PointsFor]]-Games[[#This Row],[PointsAgainst]]</f>
        <v>11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0.43715930361955824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72.7</v>
      </c>
      <c r="Z289" s="4">
        <f>Games[[#This Row],[K]]*Games[[#This Row],[POMult]]</f>
        <v>72.7</v>
      </c>
      <c r="AA289" s="4">
        <f>(Games[[#This Row],[Keff]]*Games[[#This Row],[MOVMult]])*(Games[[#This Row],[Result]]-Games[[#This Row],[ExpectedWin%]])</f>
        <v>13.144501600541986</v>
      </c>
      <c r="AB289" s="4">
        <f>Games[[#This Row],[PreGmRate]]+Games[[#This Row],[RatingChange]]</f>
        <v>1552.2432889052604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40038</v>
      </c>
      <c r="B290" s="2">
        <v>2009</v>
      </c>
      <c r="C290" s="2">
        <f>COUNTIFS(Games[Team],Games[[#This Row],[Team]],Games[Season],Games[[#This Row],[Season]],Games[Date],"&lt;=" &amp; Games[[#This Row],[Date]])</f>
        <v>23</v>
      </c>
      <c r="D290" s="2" t="s">
        <v>23</v>
      </c>
      <c r="E290" s="2" t="s">
        <v>29</v>
      </c>
      <c r="F290" s="1" t="s">
        <v>77</v>
      </c>
      <c r="G290" s="1" t="s">
        <v>75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0" s="2">
        <f>Games[[#This Row],[DaysOff]]-Games[[#This Row],[OppDaysOff]]</f>
        <v>-1</v>
      </c>
      <c r="L290" s="2">
        <f>Games[[#This Row],[OppDaysOff]]-Games[[#This Row],[DaysOff]]</f>
        <v>1</v>
      </c>
      <c r="M290" s="1">
        <f>MAX(-16, MIN(16, Games[[#This Row],[RestDiff]]*8))</f>
        <v>-8</v>
      </c>
      <c r="N290" s="1">
        <f>MAX(-16, MIN(16, Games[[#This Row],[OppRestDiff]]*8))</f>
        <v>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1609.4018033511509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1474.0635310490186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0.55068121194813702</v>
      </c>
      <c r="R290" s="1">
        <v>91</v>
      </c>
      <c r="S290" s="1">
        <v>81</v>
      </c>
      <c r="T290" s="1">
        <v>0</v>
      </c>
      <c r="U290" s="1">
        <f>Games[[#This Row],[PointsFor]]-Games[[#This Row],[PointsAgainst]]</f>
        <v>10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0.38024495345540166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72.55</v>
      </c>
      <c r="Z290" s="4">
        <f>Games[[#This Row],[K]]*Games[[#This Row],[POMult]]</f>
        <v>72.55</v>
      </c>
      <c r="AA290" s="4">
        <f>(Games[[#This Row],[Keff]]*Games[[#This Row],[MOVMult]])*(Games[[#This Row],[Result]]-Games[[#This Row],[ExpectedWin%]])</f>
        <v>12.395254679665284</v>
      </c>
      <c r="AB290" s="4">
        <f>Games[[#This Row],[PreGmRate]]+Games[[#This Row],[RatingChange]]</f>
        <v>1621.7970580308161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40038</v>
      </c>
      <c r="B291" s="2">
        <v>2009</v>
      </c>
      <c r="C291" s="2">
        <f>COUNTIFS(Games[Team],Games[[#This Row],[Team]],Games[Season],Games[[#This Row],[Season]],Games[Date],"&lt;=" &amp; Games[[#This Row],[Date]])</f>
        <v>23</v>
      </c>
      <c r="D291" s="2" t="s">
        <v>23</v>
      </c>
      <c r="E291" s="2" t="s">
        <v>29</v>
      </c>
      <c r="F291" s="1" t="s">
        <v>75</v>
      </c>
      <c r="G291" s="1" t="s">
        <v>77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1</v>
      </c>
      <c r="L291" s="2">
        <f>Games[[#This Row],[OppDaysOff]]-Games[[#This Row],[DaysOff]]</f>
        <v>-1</v>
      </c>
      <c r="M291" s="1">
        <f>MAX(-16, MIN(16, Games[[#This Row],[RestDiff]]*8))</f>
        <v>8</v>
      </c>
      <c r="N291" s="1">
        <f>MAX(-16, MIN(16, Games[[#This Row],[OppRestDiff]]*8))</f>
        <v>-8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1474.0635310490186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1609.4018033511509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0.44931878805186293</v>
      </c>
      <c r="R291" s="1">
        <v>81</v>
      </c>
      <c r="S291" s="1">
        <v>91</v>
      </c>
      <c r="T291" s="1">
        <v>0</v>
      </c>
      <c r="U291" s="1">
        <f>Games[[#This Row],[PointsFor]]-Games[[#This Row],[PointsAgainst]]</f>
        <v>-10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0.38024495345540166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72.55</v>
      </c>
      <c r="Z291" s="4">
        <f>Games[[#This Row],[K]]*Games[[#This Row],[POMult]]</f>
        <v>72.55</v>
      </c>
      <c r="AA291" s="4">
        <f>(Games[[#This Row],[Keff]]*Games[[#This Row],[MOVMult]])*(Games[[#This Row],[Result]]-Games[[#This Row],[ExpectedWin%]])</f>
        <v>-12.395254679665284</v>
      </c>
      <c r="AB291" s="4">
        <f>Games[[#This Row],[PreGmRate]]+Games[[#This Row],[RatingChange]]</f>
        <v>1461.6682763693534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40038</v>
      </c>
      <c r="B292" s="2">
        <v>2009</v>
      </c>
      <c r="C292" s="2">
        <f>COUNTIFS(Games[Team],Games[[#This Row],[Team]],Games[Season],Games[[#This Row],[Season]],Games[Date],"&lt;=" &amp; Games[[#This Row],[Date]])</f>
        <v>23</v>
      </c>
      <c r="D292" s="2" t="s">
        <v>23</v>
      </c>
      <c r="E292" s="2" t="s">
        <v>29</v>
      </c>
      <c r="F292" s="1" t="s">
        <v>82</v>
      </c>
      <c r="G292" s="1" t="s">
        <v>44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2" s="2">
        <f>Games[[#This Row],[DaysOff]]-Games[[#This Row],[OppDaysOff]]</f>
        <v>-3</v>
      </c>
      <c r="L292" s="2">
        <f>Games[[#This Row],[OppDaysOff]]-Games[[#This Row],[DaysOff]]</f>
        <v>3</v>
      </c>
      <c r="M292" s="1">
        <f>MAX(-16, MIN(16, Games[[#This Row],[RestDiff]]*8))</f>
        <v>-16</v>
      </c>
      <c r="N292" s="1">
        <f>MAX(-16, MIN(16, Games[[#This Row],[OppRestDiff]]*8))</f>
        <v>16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1487.1746506833831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1590.4671038164568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0.22056981854150423</v>
      </c>
      <c r="R292" s="1">
        <v>83</v>
      </c>
      <c r="S292" s="1">
        <v>95</v>
      </c>
      <c r="T292" s="1">
        <v>0</v>
      </c>
      <c r="U292" s="1">
        <f>Games[[#This Row],[PointsFor]]-Games[[#This Row],[PointsAgainst]]</f>
        <v>-12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0.41997890064967691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72.55</v>
      </c>
      <c r="Z292" s="4">
        <f>Games[[#This Row],[K]]*Games[[#This Row],[POMult]]</f>
        <v>72.55</v>
      </c>
      <c r="AA292" s="4">
        <f>(Games[[#This Row],[Keff]]*Games[[#This Row],[MOVMult]])*(Games[[#This Row],[Result]]-Games[[#This Row],[ExpectedWin%]])</f>
        <v>-6.7206453017934544</v>
      </c>
      <c r="AB292" s="4">
        <f>Games[[#This Row],[PreGmRate]]+Games[[#This Row],[RatingChange]]</f>
        <v>1480.4540053815897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40038</v>
      </c>
      <c r="B293" s="2">
        <v>2009</v>
      </c>
      <c r="C293" s="2">
        <f>COUNTIFS(Games[Team],Games[[#This Row],[Team]],Games[Season],Games[[#This Row],[Season]],Games[Date],"&lt;=" &amp; Games[[#This Row],[Date]])</f>
        <v>24</v>
      </c>
      <c r="D293" s="2" t="s">
        <v>23</v>
      </c>
      <c r="E293" s="2" t="s">
        <v>29</v>
      </c>
      <c r="F293" s="1" t="s">
        <v>44</v>
      </c>
      <c r="G293" s="1" t="s">
        <v>82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3</v>
      </c>
      <c r="L293" s="2">
        <f>Games[[#This Row],[OppDaysOff]]-Games[[#This Row],[DaysOff]]</f>
        <v>-3</v>
      </c>
      <c r="M293" s="1">
        <f>MAX(-16, MIN(16, Games[[#This Row],[RestDiff]]*8))</f>
        <v>16</v>
      </c>
      <c r="N293" s="1">
        <f>MAX(-16, MIN(16, Games[[#This Row],[OppRestDiff]]*8))</f>
        <v>-16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1590.4671038164568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1487.1746506833831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0.77943018145849574</v>
      </c>
      <c r="R293" s="1">
        <v>95</v>
      </c>
      <c r="S293" s="1">
        <v>83</v>
      </c>
      <c r="T293" s="1">
        <v>0</v>
      </c>
      <c r="U293" s="1">
        <f>Games[[#This Row],[PointsFor]]-Games[[#This Row],[PointsAgainst]]</f>
        <v>12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0.41997890064967691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72.400000000000006</v>
      </c>
      <c r="Z293" s="4">
        <f>Games[[#This Row],[K]]*Games[[#This Row],[POMult]]</f>
        <v>72.400000000000006</v>
      </c>
      <c r="AA293" s="4">
        <f>(Games[[#This Row],[Keff]]*Games[[#This Row],[MOVMult]])*(Games[[#This Row],[Result]]-Games[[#This Row],[ExpectedWin%]])</f>
        <v>6.7067501013073212</v>
      </c>
      <c r="AB293" s="4">
        <f>Games[[#This Row],[PreGmRate]]+Games[[#This Row],[RatingChange]]</f>
        <v>1597.1738539177641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40039</v>
      </c>
      <c r="B294" s="2">
        <v>2009</v>
      </c>
      <c r="C294" s="2">
        <f>COUNTIFS(Games[Team],Games[[#This Row],[Team]],Games[Season],Games[[#This Row],[Season]],Games[Date],"&lt;=" &amp; Games[[#This Row],[Date]])</f>
        <v>24</v>
      </c>
      <c r="D294" s="2" t="s">
        <v>23</v>
      </c>
      <c r="E294" s="2" t="s">
        <v>29</v>
      </c>
      <c r="F294" s="1" t="s">
        <v>45</v>
      </c>
      <c r="G294" s="1" t="s">
        <v>68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1420.8389530564496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1499.6984086324769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0.28140674254122233</v>
      </c>
      <c r="R294" s="1">
        <v>85</v>
      </c>
      <c r="S294" s="1">
        <v>79</v>
      </c>
      <c r="T294" s="1">
        <v>0</v>
      </c>
      <c r="U294" s="1">
        <f>Games[[#This Row],[PointsFor]]-Games[[#This Row],[PointsAgainst]]</f>
        <v>6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0.32961942101708136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72.400000000000006</v>
      </c>
      <c r="Z294" s="4">
        <f>Games[[#This Row],[K]]*Games[[#This Row],[POMult]]</f>
        <v>72.400000000000006</v>
      </c>
      <c r="AA294" s="4">
        <f>(Games[[#This Row],[Keff]]*Games[[#This Row],[MOVMult]])*(Games[[#This Row],[Result]]-Games[[#This Row],[ExpectedWin%]])</f>
        <v>17.148830047252673</v>
      </c>
      <c r="AB294" s="4">
        <f>Games[[#This Row],[PreGmRate]]+Games[[#This Row],[RatingChange]]</f>
        <v>1437.9877831037022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40039</v>
      </c>
      <c r="B295" s="2">
        <v>2009</v>
      </c>
      <c r="C295" s="2">
        <f>COUNTIFS(Games[Team],Games[[#This Row],[Team]],Games[Season],Games[[#This Row],[Season]],Games[Date],"&lt;=" &amp; Games[[#This Row],[Date]])</f>
        <v>21</v>
      </c>
      <c r="D295" s="2" t="s">
        <v>23</v>
      </c>
      <c r="E295" s="2" t="s">
        <v>29</v>
      </c>
      <c r="F295" s="1" t="s">
        <v>68</v>
      </c>
      <c r="G295" s="1" t="s">
        <v>45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1499.6984086324769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1420.8389530564496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0.71859325745877778</v>
      </c>
      <c r="R295" s="1">
        <v>79</v>
      </c>
      <c r="S295" s="1">
        <v>85</v>
      </c>
      <c r="T295" s="1">
        <v>0</v>
      </c>
      <c r="U295" s="1">
        <f>Games[[#This Row],[PointsFor]]-Games[[#This Row],[PointsAgainst]]</f>
        <v>-6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0.32961942101708136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72.849999999999994</v>
      </c>
      <c r="Z295" s="4">
        <f>Games[[#This Row],[K]]*Games[[#This Row],[POMult]]</f>
        <v>72.849999999999994</v>
      </c>
      <c r="AA295" s="4">
        <f>(Games[[#This Row],[Keff]]*Games[[#This Row],[MOVMult]])*(Games[[#This Row],[Result]]-Games[[#This Row],[ExpectedWin%]])</f>
        <v>-17.255418079314328</v>
      </c>
      <c r="AB295" s="4">
        <f>Games[[#This Row],[PreGmRate]]+Games[[#This Row],[RatingChange]]</f>
        <v>1482.4429905531626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40039</v>
      </c>
      <c r="B296" s="2">
        <v>2009</v>
      </c>
      <c r="C296" s="2">
        <f>COUNTIFS(Games[Team],Games[[#This Row],[Team]],Games[Season],Games[[#This Row],[Season]],Games[Date],"&lt;=" &amp; Games[[#This Row],[Date]])</f>
        <v>24</v>
      </c>
      <c r="D296" s="2" t="s">
        <v>23</v>
      </c>
      <c r="E296" s="2" t="s">
        <v>29</v>
      </c>
      <c r="F296" s="1" t="s">
        <v>85</v>
      </c>
      <c r="G296" s="1" t="s">
        <v>65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6" s="2">
        <f>Games[[#This Row],[DaysOff]]-Games[[#This Row],[OppDaysOff]]</f>
        <v>2</v>
      </c>
      <c r="L296" s="2">
        <f>Games[[#This Row],[OppDaysOff]]-Games[[#This Row],[DaysOff]]</f>
        <v>-2</v>
      </c>
      <c r="M296" s="1">
        <f>MAX(-16, MIN(16, Games[[#This Row],[RestDiff]]*8))</f>
        <v>16</v>
      </c>
      <c r="N296" s="1">
        <f>MAX(-16, MIN(16, Games[[#This Row],[OppRestDiff]]*8))</f>
        <v>-16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1449.6077621399472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1465.9811794832244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0.40285361446240125</v>
      </c>
      <c r="R296" s="1">
        <v>88</v>
      </c>
      <c r="S296" s="1">
        <v>77</v>
      </c>
      <c r="T296" s="1">
        <v>0</v>
      </c>
      <c r="U296" s="1">
        <f>Games[[#This Row],[PointsFor]]-Games[[#This Row],[PointsAgainst]]</f>
        <v>11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0.43391540523957733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72.400000000000006</v>
      </c>
      <c r="Z296" s="4">
        <f>Games[[#This Row],[K]]*Games[[#This Row],[POMult]]</f>
        <v>72.400000000000006</v>
      </c>
      <c r="AA296" s="4">
        <f>(Games[[#This Row],[Keff]]*Games[[#This Row],[MOVMult]])*(Games[[#This Row],[Result]]-Games[[#This Row],[ExpectedWin%]])</f>
        <v>18.759637548835673</v>
      </c>
      <c r="AB296" s="4">
        <f>Games[[#This Row],[PreGmRate]]+Games[[#This Row],[RatingChange]]</f>
        <v>1468.3673996887828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40039</v>
      </c>
      <c r="B297" s="2">
        <v>2009</v>
      </c>
      <c r="C297" s="2">
        <f>COUNTIFS(Games[Team],Games[[#This Row],[Team]],Games[Season],Games[[#This Row],[Season]],Games[Date],"&lt;=" &amp; Games[[#This Row],[Date]])</f>
        <v>23</v>
      </c>
      <c r="D297" s="2" t="s">
        <v>23</v>
      </c>
      <c r="E297" s="2" t="s">
        <v>29</v>
      </c>
      <c r="F297" s="1" t="s">
        <v>65</v>
      </c>
      <c r="G297" s="1" t="s">
        <v>85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7" s="2">
        <f>Games[[#This Row],[DaysOff]]-Games[[#This Row],[OppDaysOff]]</f>
        <v>-2</v>
      </c>
      <c r="L297" s="2">
        <f>Games[[#This Row],[OppDaysOff]]-Games[[#This Row],[DaysOff]]</f>
        <v>2</v>
      </c>
      <c r="M297" s="1">
        <f>MAX(-16, MIN(16, Games[[#This Row],[RestDiff]]*8))</f>
        <v>-16</v>
      </c>
      <c r="N297" s="1">
        <f>MAX(-16, MIN(16, Games[[#This Row],[OppRestDiff]]*8))</f>
        <v>16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1465.9811794832244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1449.6077621399472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0.5971463855375988</v>
      </c>
      <c r="R297" s="1">
        <v>77</v>
      </c>
      <c r="S297" s="1">
        <v>88</v>
      </c>
      <c r="T297" s="1">
        <v>0</v>
      </c>
      <c r="U297" s="1">
        <f>Games[[#This Row],[PointsFor]]-Games[[#This Row],[PointsAgainst]]</f>
        <v>-11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0.43391540523957733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72.55</v>
      </c>
      <c r="Z297" s="4">
        <f>Games[[#This Row],[K]]*Games[[#This Row],[POMult]]</f>
        <v>72.55</v>
      </c>
      <c r="AA297" s="4">
        <f>(Games[[#This Row],[Keff]]*Games[[#This Row],[MOVMult]])*(Games[[#This Row],[Result]]-Games[[#This Row],[ExpectedWin%]])</f>
        <v>-18.798504201215859</v>
      </c>
      <c r="AB297" s="4">
        <f>Games[[#This Row],[PreGmRate]]+Games[[#This Row],[RatingChange]]</f>
        <v>1447.1826752820086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40039</v>
      </c>
      <c r="B298" s="2">
        <v>2009</v>
      </c>
      <c r="C298" s="2">
        <f>COUNTIFS(Games[Team],Games[[#This Row],[Team]],Games[Season],Games[[#This Row],[Season]],Games[Date],"&lt;=" &amp; Games[[#This Row],[Date]])</f>
        <v>23</v>
      </c>
      <c r="D298" s="2" t="s">
        <v>23</v>
      </c>
      <c r="E298" s="2" t="s">
        <v>29</v>
      </c>
      <c r="F298" s="1" t="s">
        <v>84</v>
      </c>
      <c r="G298" s="1" t="s">
        <v>71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-2</v>
      </c>
      <c r="L298" s="2">
        <f>Games[[#This Row],[OppDaysOff]]-Games[[#This Row],[DaysOff]]</f>
        <v>2</v>
      </c>
      <c r="M298" s="1">
        <f>MAX(-16, MIN(16, Games[[#This Row],[RestDiff]]*8))</f>
        <v>-16</v>
      </c>
      <c r="N298" s="1">
        <f>MAX(-16, MIN(16, Games[[#This Row],[OppRestDiff]]*8))</f>
        <v>16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1552.2432889052604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1442.792107061565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0.49057660905641676</v>
      </c>
      <c r="R298" s="1">
        <v>89</v>
      </c>
      <c r="S298" s="1">
        <v>91</v>
      </c>
      <c r="T298" s="1">
        <v>1</v>
      </c>
      <c r="U298" s="1">
        <f>Games[[#This Row],[PointsFor]]-Games[[#This Row],[PointsAgainst]]</f>
        <v>-2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0.22090829386029942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72.55</v>
      </c>
      <c r="Z298" s="4">
        <f>Games[[#This Row],[K]]*Games[[#This Row],[POMult]]</f>
        <v>72.55</v>
      </c>
      <c r="AA298" s="4">
        <f>(Games[[#This Row],[Keff]]*Games[[#This Row],[MOVMult]])*(Games[[#This Row],[Result]]-Games[[#This Row],[ExpectedWin%]])</f>
        <v>-7.8624206463814703</v>
      </c>
      <c r="AB298" s="4">
        <f>Games[[#This Row],[PreGmRate]]+Games[[#This Row],[RatingChange]]</f>
        <v>1544.380868258879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40039</v>
      </c>
      <c r="B299" s="2">
        <v>2009</v>
      </c>
      <c r="C299" s="2">
        <f>COUNTIFS(Games[Team],Games[[#This Row],[Team]],Games[Season],Games[[#This Row],[Season]],Games[Date],"&lt;=" &amp; Games[[#This Row],[Date]])</f>
        <v>23</v>
      </c>
      <c r="D299" s="2" t="s">
        <v>23</v>
      </c>
      <c r="E299" s="2" t="s">
        <v>29</v>
      </c>
      <c r="F299" s="1" t="s">
        <v>71</v>
      </c>
      <c r="G299" s="1" t="s">
        <v>84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9" s="2">
        <f>Games[[#This Row],[DaysOff]]-Games[[#This Row],[OppDaysOff]]</f>
        <v>2</v>
      </c>
      <c r="L299" s="2">
        <f>Games[[#This Row],[OppDaysOff]]-Games[[#This Row],[DaysOff]]</f>
        <v>-2</v>
      </c>
      <c r="M299" s="1">
        <f>MAX(-16, MIN(16, Games[[#This Row],[RestDiff]]*8))</f>
        <v>16</v>
      </c>
      <c r="N299" s="1">
        <f>MAX(-16, MIN(16, Games[[#This Row],[OppRestDiff]]*8))</f>
        <v>-16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1442.792107061565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1552.2432889052604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0.50942339094358335</v>
      </c>
      <c r="R299" s="1">
        <v>91</v>
      </c>
      <c r="S299" s="1">
        <v>89</v>
      </c>
      <c r="T299" s="1">
        <v>1</v>
      </c>
      <c r="U299" s="1">
        <f>Games[[#This Row],[PointsFor]]-Games[[#This Row],[PointsAgainst]]</f>
        <v>2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0.22090829386029942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72.55</v>
      </c>
      <c r="Z299" s="4">
        <f>Games[[#This Row],[K]]*Games[[#This Row],[POMult]]</f>
        <v>72.55</v>
      </c>
      <c r="AA299" s="4">
        <f>(Games[[#This Row],[Keff]]*Games[[#This Row],[MOVMult]])*(Games[[#This Row],[Result]]-Games[[#This Row],[ExpectedWin%]])</f>
        <v>7.8624206463814685</v>
      </c>
      <c r="AB299" s="4">
        <f>Games[[#This Row],[PreGmRate]]+Games[[#This Row],[RatingChange]]</f>
        <v>1450.6545277079465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40040</v>
      </c>
      <c r="B300" s="2">
        <v>2009</v>
      </c>
      <c r="C300" s="2">
        <f>COUNTIFS(Games[Team],Games[[#This Row],[Team]],Games[Season],Games[[#This Row],[Season]],Games[Date],"&lt;=" &amp; Games[[#This Row],[Date]])</f>
        <v>24</v>
      </c>
      <c r="D300" s="2" t="s">
        <v>23</v>
      </c>
      <c r="E300" s="2" t="s">
        <v>29</v>
      </c>
      <c r="F300" s="1" t="s">
        <v>79</v>
      </c>
      <c r="G300" s="1" t="s">
        <v>87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1533.3288423187239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1485.9722355210524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0.44746058184259774</v>
      </c>
      <c r="R300" s="1">
        <v>79</v>
      </c>
      <c r="S300" s="1">
        <v>88</v>
      </c>
      <c r="T300" s="1">
        <v>0</v>
      </c>
      <c r="U300" s="1">
        <f>Games[[#This Row],[PointsFor]]-Games[[#This Row],[PointsAgainst]]</f>
        <v>-9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0.3905585859904076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72.400000000000006</v>
      </c>
      <c r="Z300" s="4">
        <f>Games[[#This Row],[K]]*Games[[#This Row],[POMult]]</f>
        <v>72.400000000000006</v>
      </c>
      <c r="AA300" s="4">
        <f>(Games[[#This Row],[Keff]]*Games[[#This Row],[MOVMult]])*(Games[[#This Row],[Result]]-Games[[#This Row],[ExpectedWin%]])</f>
        <v>-12.652593022276438</v>
      </c>
      <c r="AB300" s="4">
        <f>Games[[#This Row],[PreGmRate]]+Games[[#This Row],[RatingChange]]</f>
        <v>1520.6762492964474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40040</v>
      </c>
      <c r="B301" s="2">
        <v>2009</v>
      </c>
      <c r="C301" s="2">
        <f>COUNTIFS(Games[Team],Games[[#This Row],[Team]],Games[Season],Games[[#This Row],[Season]],Games[Date],"&lt;=" &amp; Games[[#This Row],[Date]])</f>
        <v>24</v>
      </c>
      <c r="D301" s="2" t="s">
        <v>23</v>
      </c>
      <c r="E301" s="2" t="s">
        <v>29</v>
      </c>
      <c r="F301" s="1" t="s">
        <v>87</v>
      </c>
      <c r="G301" s="1" t="s">
        <v>79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1485.9722355210524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1533.3288423187239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0.55253941815740226</v>
      </c>
      <c r="R301" s="1">
        <v>88</v>
      </c>
      <c r="S301" s="1">
        <v>79</v>
      </c>
      <c r="T301" s="1">
        <v>0</v>
      </c>
      <c r="U301" s="1">
        <f>Games[[#This Row],[PointsFor]]-Games[[#This Row],[PointsAgainst]]</f>
        <v>9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0.3905585859904076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72.400000000000006</v>
      </c>
      <c r="Z301" s="4">
        <f>Games[[#This Row],[K]]*Games[[#This Row],[POMult]]</f>
        <v>72.400000000000006</v>
      </c>
      <c r="AA301" s="4">
        <f>(Games[[#This Row],[Keff]]*Games[[#This Row],[MOVMult]])*(Games[[#This Row],[Result]]-Games[[#This Row],[ExpectedWin%]])</f>
        <v>12.652593022276438</v>
      </c>
      <c r="AB301" s="4">
        <f>Games[[#This Row],[PreGmRate]]+Games[[#This Row],[RatingChange]]</f>
        <v>1498.6248285433289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40040</v>
      </c>
      <c r="B302" s="2">
        <v>2009</v>
      </c>
      <c r="C302" s="2">
        <f>COUNTIFS(Games[Team],Games[[#This Row],[Team]],Games[Season],Games[[#This Row],[Season]],Games[Date],"&lt;=" &amp; Games[[#This Row],[Date]])</f>
        <v>24</v>
      </c>
      <c r="D302" s="2" t="s">
        <v>23</v>
      </c>
      <c r="E302" s="2" t="s">
        <v>29</v>
      </c>
      <c r="F302" s="1" t="s">
        <v>75</v>
      </c>
      <c r="G302" s="1" t="s">
        <v>85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2" s="2">
        <f>Games[[#This Row],[DaysOff]]-Games[[#This Row],[OppDaysOff]]</f>
        <v>1</v>
      </c>
      <c r="L302" s="2">
        <f>Games[[#This Row],[OppDaysOff]]-Games[[#This Row],[DaysOff]]</f>
        <v>-1</v>
      </c>
      <c r="M302" s="1">
        <f>MAX(-16, MIN(16, Games[[#This Row],[RestDiff]]*8))</f>
        <v>8</v>
      </c>
      <c r="N302" s="1">
        <f>MAX(-16, MIN(16, Games[[#This Row],[OppRestDiff]]*8))</f>
        <v>-8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1461.6682763693534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1468.3673996887828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0.39412568216795762</v>
      </c>
      <c r="R302" s="1">
        <v>76</v>
      </c>
      <c r="S302" s="1">
        <v>79</v>
      </c>
      <c r="T302" s="1">
        <v>0</v>
      </c>
      <c r="U302" s="1">
        <f>Games[[#This Row],[PointsFor]]-Games[[#This Row],[PointsAgainst]]</f>
        <v>-3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0.28857253526509036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72.400000000000006</v>
      </c>
      <c r="Z302" s="4">
        <f>Games[[#This Row],[K]]*Games[[#This Row],[POMult]]</f>
        <v>72.400000000000006</v>
      </c>
      <c r="AA302" s="4">
        <f>(Games[[#This Row],[Keff]]*Games[[#This Row],[MOVMult]])*(Games[[#This Row],[Result]]-Games[[#This Row],[ExpectedWin%]])</f>
        <v>-8.23433054569945</v>
      </c>
      <c r="AB302" s="4">
        <f>Games[[#This Row],[PreGmRate]]+Games[[#This Row],[RatingChange]]</f>
        <v>1453.4339458236539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40040</v>
      </c>
      <c r="B303" s="2">
        <v>2009</v>
      </c>
      <c r="C303" s="2">
        <f>COUNTIFS(Games[Team],Games[[#This Row],[Team]],Games[Season],Games[[#This Row],[Season]],Games[Date],"&lt;=" &amp; Games[[#This Row],[Date]])</f>
        <v>25</v>
      </c>
      <c r="D303" s="2" t="s">
        <v>23</v>
      </c>
      <c r="E303" s="2" t="s">
        <v>29</v>
      </c>
      <c r="F303" s="1" t="s">
        <v>85</v>
      </c>
      <c r="G303" s="1" t="s">
        <v>75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-1</v>
      </c>
      <c r="L303" s="2">
        <f>Games[[#This Row],[OppDaysOff]]-Games[[#This Row],[DaysOff]]</f>
        <v>1</v>
      </c>
      <c r="M303" s="1">
        <f>MAX(-16, MIN(16, Games[[#This Row],[RestDiff]]*8))</f>
        <v>-8</v>
      </c>
      <c r="N303" s="1">
        <f>MAX(-16, MIN(16, Games[[#This Row],[OppRestDiff]]*8))</f>
        <v>8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1468.3673996887828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1461.6682763693534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0.60587431783204249</v>
      </c>
      <c r="R303" s="1">
        <v>79</v>
      </c>
      <c r="S303" s="1">
        <v>76</v>
      </c>
      <c r="T303" s="1">
        <v>0</v>
      </c>
      <c r="U303" s="1">
        <f>Games[[#This Row],[PointsFor]]-Games[[#This Row],[PointsAgainst]]</f>
        <v>3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0.28857253526509036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72.25</v>
      </c>
      <c r="Z303" s="4">
        <f>Games[[#This Row],[K]]*Games[[#This Row],[POMult]]</f>
        <v>72.25</v>
      </c>
      <c r="AA303" s="4">
        <f>(Games[[#This Row],[Keff]]*Games[[#This Row],[MOVMult]])*(Games[[#This Row],[Result]]-Games[[#This Row],[ExpectedWin%]])</f>
        <v>8.2172704686020044</v>
      </c>
      <c r="AB303" s="4">
        <f>Games[[#This Row],[PreGmRate]]+Games[[#This Row],[RatingChange]]</f>
        <v>1476.5846701573848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40040</v>
      </c>
      <c r="B304" s="2">
        <v>2009</v>
      </c>
      <c r="C304" s="2">
        <f>COUNTIFS(Games[Team],Games[[#This Row],[Team]],Games[Season],Games[[#This Row],[Season]],Games[Date],"&lt;=" &amp; Games[[#This Row],[Date]])</f>
        <v>22</v>
      </c>
      <c r="D304" s="2" t="s">
        <v>23</v>
      </c>
      <c r="E304" s="2" t="s">
        <v>29</v>
      </c>
      <c r="F304" s="1" t="s">
        <v>73</v>
      </c>
      <c r="G304" s="1" t="s">
        <v>77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1505.4955400880831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1621.7970580308161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0.23993640045021777</v>
      </c>
      <c r="R304" s="1">
        <v>59</v>
      </c>
      <c r="S304" s="1">
        <v>82</v>
      </c>
      <c r="T304" s="1">
        <v>0</v>
      </c>
      <c r="U304" s="1">
        <f>Games[[#This Row],[PointsFor]]-Games[[#This Row],[PointsAgainst]]</f>
        <v>-23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0.56096974212138462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72.7</v>
      </c>
      <c r="Z304" s="4">
        <f>Games[[#This Row],[K]]*Games[[#This Row],[POMult]]</f>
        <v>72.7</v>
      </c>
      <c r="AA304" s="4">
        <f>(Games[[#This Row],[Keff]]*Games[[#This Row],[MOVMult]])*(Games[[#This Row],[Result]]-Games[[#This Row],[ExpectedWin%]])</f>
        <v>-9.7852063118788841</v>
      </c>
      <c r="AB304" s="4">
        <f>Games[[#This Row],[PreGmRate]]+Games[[#This Row],[RatingChange]]</f>
        <v>1495.7103337762042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40040</v>
      </c>
      <c r="B305" s="2">
        <v>2009</v>
      </c>
      <c r="C305" s="2">
        <f>COUNTIFS(Games[Team],Games[[#This Row],[Team]],Games[Season],Games[[#This Row],[Season]],Games[Date],"&lt;=" &amp; Games[[#This Row],[Date]])</f>
        <v>24</v>
      </c>
      <c r="D305" s="2" t="s">
        <v>23</v>
      </c>
      <c r="E305" s="2" t="s">
        <v>29</v>
      </c>
      <c r="F305" s="1" t="s">
        <v>77</v>
      </c>
      <c r="G305" s="1" t="s">
        <v>73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1621.7970580308161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1505.4955400880831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0.7600635995497822</v>
      </c>
      <c r="R305" s="1">
        <v>82</v>
      </c>
      <c r="S305" s="1">
        <v>59</v>
      </c>
      <c r="T305" s="1">
        <v>0</v>
      </c>
      <c r="U305" s="1">
        <f>Games[[#This Row],[PointsFor]]-Games[[#This Row],[PointsAgainst]]</f>
        <v>23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0.56096974212138462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72.400000000000006</v>
      </c>
      <c r="Z305" s="4">
        <f>Games[[#This Row],[K]]*Games[[#This Row],[POMult]]</f>
        <v>72.400000000000006</v>
      </c>
      <c r="AA305" s="4">
        <f>(Games[[#This Row],[Keff]]*Games[[#This Row],[MOVMult]])*(Games[[#This Row],[Result]]-Games[[#This Row],[ExpectedWin%]])</f>
        <v>9.7448271936730588</v>
      </c>
      <c r="AB305" s="4">
        <f>Games[[#This Row],[PreGmRate]]+Games[[#This Row],[RatingChange]]</f>
        <v>1631.5418852244891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40040</v>
      </c>
      <c r="B306" s="2">
        <v>2009</v>
      </c>
      <c r="C306" s="2">
        <f>COUNTIFS(Games[Team],Games[[#This Row],[Team]],Games[Season],Games[[#This Row],[Season]],Games[Date],"&lt;=" &amp; Games[[#This Row],[Date]])</f>
        <v>22</v>
      </c>
      <c r="D306" s="2" t="s">
        <v>23</v>
      </c>
      <c r="E306" s="2" t="s">
        <v>29</v>
      </c>
      <c r="F306" s="1" t="s">
        <v>68</v>
      </c>
      <c r="G306" s="1" t="s">
        <v>45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1482.4429905531626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1437.9877831037022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0.44333495217377705</v>
      </c>
      <c r="R306" s="1">
        <v>78</v>
      </c>
      <c r="S306" s="1">
        <v>61</v>
      </c>
      <c r="T306" s="1">
        <v>0</v>
      </c>
      <c r="U306" s="1">
        <f>Games[[#This Row],[PointsFor]]-Games[[#This Row],[PointsAgainst]]</f>
        <v>17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0.51342184039544458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72.7</v>
      </c>
      <c r="Z306" s="4">
        <f>Games[[#This Row],[K]]*Games[[#This Row],[POMult]]</f>
        <v>72.7</v>
      </c>
      <c r="AA306" s="4">
        <f>(Games[[#This Row],[Keff]]*Games[[#This Row],[MOVMult]])*(Games[[#This Row],[Result]]-Games[[#This Row],[ExpectedWin%]])</f>
        <v>20.777950315727676</v>
      </c>
      <c r="AB306" s="4">
        <f>Games[[#This Row],[PreGmRate]]+Games[[#This Row],[RatingChange]]</f>
        <v>1503.2209408688902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40040</v>
      </c>
      <c r="B307" s="2">
        <v>2009</v>
      </c>
      <c r="C307" s="2">
        <f>COUNTIFS(Games[Team],Games[[#This Row],[Team]],Games[Season],Games[[#This Row],[Season]],Games[Date],"&lt;=" &amp; Games[[#This Row],[Date]])</f>
        <v>25</v>
      </c>
      <c r="D307" s="2" t="s">
        <v>23</v>
      </c>
      <c r="E307" s="2" t="s">
        <v>29</v>
      </c>
      <c r="F307" s="1" t="s">
        <v>45</v>
      </c>
      <c r="G307" s="1" t="s">
        <v>68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1437.9877831037022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1482.4429905531626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0.55666504782622295</v>
      </c>
      <c r="R307" s="1">
        <v>61</v>
      </c>
      <c r="S307" s="1">
        <v>78</v>
      </c>
      <c r="T307" s="1">
        <v>0</v>
      </c>
      <c r="U307" s="1">
        <f>Games[[#This Row],[PointsFor]]-Games[[#This Row],[PointsAgainst]]</f>
        <v>-17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0.51342184039544458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72.25</v>
      </c>
      <c r="Z307" s="4">
        <f>Games[[#This Row],[K]]*Games[[#This Row],[POMult]]</f>
        <v>72.25</v>
      </c>
      <c r="AA307" s="4">
        <f>(Games[[#This Row],[Keff]]*Games[[#This Row],[MOVMult]])*(Games[[#This Row],[Result]]-Games[[#This Row],[ExpectedWin%]])</f>
        <v>-20.649338518725234</v>
      </c>
      <c r="AB307" s="4">
        <f>Games[[#This Row],[PreGmRate]]+Games[[#This Row],[RatingChange]]</f>
        <v>1417.338444584977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40040</v>
      </c>
      <c r="B308" s="2">
        <v>2009</v>
      </c>
      <c r="C308" s="2">
        <f>COUNTIFS(Games[Team],Games[[#This Row],[Team]],Games[Season],Games[[#This Row],[Season]],Games[Date],"&lt;=" &amp; Games[[#This Row],[Date]])</f>
        <v>25</v>
      </c>
      <c r="D308" s="2" t="s">
        <v>23</v>
      </c>
      <c r="E308" s="2" t="s">
        <v>29</v>
      </c>
      <c r="F308" s="1" t="s">
        <v>44</v>
      </c>
      <c r="G308" s="1" t="s">
        <v>82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1597.1738539177641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1480.4540053815897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0.54694893269745537</v>
      </c>
      <c r="R308" s="1">
        <v>89</v>
      </c>
      <c r="S308" s="1">
        <v>106</v>
      </c>
      <c r="T308" s="1">
        <v>0</v>
      </c>
      <c r="U308" s="1">
        <f>Games[[#This Row],[PointsFor]]-Games[[#This Row],[PointsAgainst]]</f>
        <v>-17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0.4852440582624386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72.25</v>
      </c>
      <c r="Z308" s="4">
        <f>Games[[#This Row],[K]]*Games[[#This Row],[POMult]]</f>
        <v>72.25</v>
      </c>
      <c r="AA308" s="4">
        <f>(Games[[#This Row],[Keff]]*Games[[#This Row],[MOVMult]])*(Games[[#This Row],[Result]]-Games[[#This Row],[ExpectedWin%]])</f>
        <v>-19.175418752979535</v>
      </c>
      <c r="AB308" s="4">
        <f>Games[[#This Row],[PreGmRate]]+Games[[#This Row],[RatingChange]]</f>
        <v>1577.9984351647845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40040</v>
      </c>
      <c r="B309" s="2">
        <v>2009</v>
      </c>
      <c r="C309" s="2">
        <f>COUNTIFS(Games[Team],Games[[#This Row],[Team]],Games[Season],Games[[#This Row],[Season]],Games[Date],"&lt;=" &amp; Games[[#This Row],[Date]])</f>
        <v>24</v>
      </c>
      <c r="D309" s="2" t="s">
        <v>23</v>
      </c>
      <c r="E309" s="2" t="s">
        <v>29</v>
      </c>
      <c r="F309" s="1" t="s">
        <v>82</v>
      </c>
      <c r="G309" s="1" t="s">
        <v>44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1480.4540053815897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1597.1738539177641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0.45305106730254469</v>
      </c>
      <c r="R309" s="1">
        <v>106</v>
      </c>
      <c r="S309" s="1">
        <v>89</v>
      </c>
      <c r="T309" s="1">
        <v>0</v>
      </c>
      <c r="U309" s="1">
        <f>Games[[#This Row],[PointsFor]]-Games[[#This Row],[PointsAgainst]]</f>
        <v>17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0.4852440582624386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72.400000000000006</v>
      </c>
      <c r="Z309" s="4">
        <f>Games[[#This Row],[K]]*Games[[#This Row],[POMult]]</f>
        <v>72.400000000000006</v>
      </c>
      <c r="AA309" s="4">
        <f>(Games[[#This Row],[Keff]]*Games[[#This Row],[MOVMult]])*(Games[[#This Row],[Result]]-Games[[#This Row],[ExpectedWin%]])</f>
        <v>19.215229310944196</v>
      </c>
      <c r="AB309" s="4">
        <f>Games[[#This Row],[PreGmRate]]+Games[[#This Row],[RatingChange]]</f>
        <v>1499.6692346925338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40041</v>
      </c>
      <c r="B310" s="2">
        <v>2009</v>
      </c>
      <c r="C310" s="2">
        <f>COUNTIFS(Games[Team],Games[[#This Row],[Team]],Games[Season],Games[[#This Row],[Season]],Games[Date],"&lt;=" &amp; Games[[#This Row],[Date]])</f>
        <v>24</v>
      </c>
      <c r="D310" s="2" t="s">
        <v>23</v>
      </c>
      <c r="E310" s="2" t="s">
        <v>29</v>
      </c>
      <c r="F310" s="1" t="s">
        <v>65</v>
      </c>
      <c r="G310" s="1" t="s">
        <v>71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1447.1826752820086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1450.6545277079465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0.37671182691786609</v>
      </c>
      <c r="R310" s="1">
        <v>60</v>
      </c>
      <c r="S310" s="1">
        <v>59</v>
      </c>
      <c r="T310" s="1">
        <v>0</v>
      </c>
      <c r="U310" s="1">
        <f>Games[[#This Row],[PointsFor]]-Games[[#This Row],[PointsAgainst]]</f>
        <v>1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0.24347524586278965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72.400000000000006</v>
      </c>
      <c r="Z310" s="4">
        <f>Games[[#This Row],[K]]*Games[[#This Row],[POMult]]</f>
        <v>72.400000000000006</v>
      </c>
      <c r="AA310" s="4">
        <f>(Games[[#This Row],[Keff]]*Games[[#This Row],[MOVMult]])*(Games[[#This Row],[Result]]-Games[[#This Row],[ExpectedWin%]])</f>
        <v>10.987079461760811</v>
      </c>
      <c r="AB310" s="4">
        <f>Games[[#This Row],[PreGmRate]]+Games[[#This Row],[RatingChange]]</f>
        <v>1458.1697547437695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40041</v>
      </c>
      <c r="B311" s="2">
        <v>2009</v>
      </c>
      <c r="C311" s="2">
        <f>COUNTIFS(Games[Team],Games[[#This Row],[Team]],Games[Season],Games[[#This Row],[Season]],Games[Date],"&lt;=" &amp; Games[[#This Row],[Date]])</f>
        <v>24</v>
      </c>
      <c r="D311" s="2" t="s">
        <v>23</v>
      </c>
      <c r="E311" s="2" t="s">
        <v>29</v>
      </c>
      <c r="F311" s="1" t="s">
        <v>71</v>
      </c>
      <c r="G311" s="1" t="s">
        <v>65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1450.6545277079465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1447.1826752820086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0.6232881730821338</v>
      </c>
      <c r="R311" s="1">
        <v>59</v>
      </c>
      <c r="S311" s="1">
        <v>60</v>
      </c>
      <c r="T311" s="1">
        <v>0</v>
      </c>
      <c r="U311" s="1">
        <f>Games[[#This Row],[PointsFor]]-Games[[#This Row],[PointsAgainst]]</f>
        <v>-1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0.24347524586278965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72.400000000000006</v>
      </c>
      <c r="Z311" s="4">
        <f>Games[[#This Row],[K]]*Games[[#This Row],[POMult]]</f>
        <v>72.400000000000006</v>
      </c>
      <c r="AA311" s="4">
        <f>(Games[[#This Row],[Keff]]*Games[[#This Row],[MOVMult]])*(Games[[#This Row],[Result]]-Games[[#This Row],[ExpectedWin%]])</f>
        <v>-10.987079461760807</v>
      </c>
      <c r="AB311" s="4">
        <f>Games[[#This Row],[PreGmRate]]+Games[[#This Row],[RatingChange]]</f>
        <v>1439.6674482461856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40043</v>
      </c>
      <c r="B312" s="2">
        <v>2009</v>
      </c>
      <c r="C312" s="2">
        <f>COUNTIFS(Games[Team],Games[[#This Row],[Team]],Games[Season],Games[[#This Row],[Season]],Games[Date],"&lt;=" &amp; Games[[#This Row],[Date]])</f>
        <v>26</v>
      </c>
      <c r="D312" s="2" t="s">
        <v>23</v>
      </c>
      <c r="E312" s="2" t="s">
        <v>29</v>
      </c>
      <c r="F312" s="1" t="s">
        <v>44</v>
      </c>
      <c r="G312" s="1" t="s">
        <v>85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1577.9984351647845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1476.5846701573848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0.52503945863470747</v>
      </c>
      <c r="R312" s="1">
        <v>106</v>
      </c>
      <c r="S312" s="1">
        <v>99</v>
      </c>
      <c r="T312" s="1">
        <v>0</v>
      </c>
      <c r="U312" s="1">
        <f>Games[[#This Row],[PointsFor]]-Games[[#This Row],[PointsAgainst]]</f>
        <v>7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0.34126625899185781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72.099999999999994</v>
      </c>
      <c r="Z312" s="4">
        <f>Games[[#This Row],[K]]*Games[[#This Row],[POMult]]</f>
        <v>72.099999999999994</v>
      </c>
      <c r="AA312" s="4">
        <f>(Games[[#This Row],[Keff]]*Games[[#This Row],[MOVMult]])*(Games[[#This Row],[Result]]-Games[[#This Row],[ExpectedWin%]])</f>
        <v>11.686545313386674</v>
      </c>
      <c r="AB312" s="4">
        <f>Games[[#This Row],[PreGmRate]]+Games[[#This Row],[RatingChange]]</f>
        <v>1589.6849804781712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40043</v>
      </c>
      <c r="B313" s="2">
        <v>2009</v>
      </c>
      <c r="C313" s="2">
        <f>COUNTIFS(Games[Team],Games[[#This Row],[Team]],Games[Season],Games[[#This Row],[Season]],Games[Date],"&lt;=" &amp; Games[[#This Row],[Date]])</f>
        <v>26</v>
      </c>
      <c r="D313" s="2" t="s">
        <v>23</v>
      </c>
      <c r="E313" s="2" t="s">
        <v>29</v>
      </c>
      <c r="F313" s="1" t="s">
        <v>85</v>
      </c>
      <c r="G313" s="1" t="s">
        <v>44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1476.5846701573848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1577.9984351647845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0.47496054136529253</v>
      </c>
      <c r="R313" s="1">
        <v>99</v>
      </c>
      <c r="S313" s="1">
        <v>106</v>
      </c>
      <c r="T313" s="1">
        <v>0</v>
      </c>
      <c r="U313" s="1">
        <f>Games[[#This Row],[PointsFor]]-Games[[#This Row],[PointsAgainst]]</f>
        <v>-7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0.34126625899185781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-11.686545313386674</v>
      </c>
      <c r="AB313" s="4">
        <f>Games[[#This Row],[PreGmRate]]+Games[[#This Row],[RatingChange]]</f>
        <v>1464.8981248439982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40043</v>
      </c>
      <c r="B314" s="2">
        <v>2009</v>
      </c>
      <c r="C314" s="2">
        <f>COUNTIFS(Games[Team],Games[[#This Row],[Team]],Games[Season],Games[[#This Row],[Season]],Games[Date],"&lt;=" &amp; Games[[#This Row],[Date]])</f>
        <v>25</v>
      </c>
      <c r="D314" s="2" t="s">
        <v>23</v>
      </c>
      <c r="E314" s="2" t="s">
        <v>29</v>
      </c>
      <c r="F314" s="1" t="s">
        <v>79</v>
      </c>
      <c r="G314" s="1" t="s">
        <v>73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1520.6762492964474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1495.7103337762042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0.41585137822326473</v>
      </c>
      <c r="R314" s="1">
        <v>79</v>
      </c>
      <c r="S314" s="1">
        <v>75</v>
      </c>
      <c r="T314" s="1">
        <v>0</v>
      </c>
      <c r="U314" s="1">
        <f>Games[[#This Row],[PointsFor]]-Games[[#This Row],[PointsAgainst]]</f>
        <v>4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0.30508545352132233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72.25</v>
      </c>
      <c r="Z314" s="4">
        <f>Games[[#This Row],[K]]*Games[[#This Row],[POMult]]</f>
        <v>72.25</v>
      </c>
      <c r="AA314" s="4">
        <f>(Games[[#This Row],[Keff]]*Games[[#This Row],[MOVMult]])*(Games[[#This Row],[Result]]-Games[[#This Row],[ExpectedWin%]])</f>
        <v>12.876051610099623</v>
      </c>
      <c r="AB314" s="4">
        <f>Games[[#This Row],[PreGmRate]]+Games[[#This Row],[RatingChange]]</f>
        <v>1533.5523009065471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40043</v>
      </c>
      <c r="B315" s="2">
        <v>2009</v>
      </c>
      <c r="C315" s="2">
        <f>COUNTIFS(Games[Team],Games[[#This Row],[Team]],Games[Season],Games[[#This Row],[Season]],Games[Date],"&lt;=" &amp; Games[[#This Row],[Date]])</f>
        <v>23</v>
      </c>
      <c r="D315" s="2" t="s">
        <v>23</v>
      </c>
      <c r="E315" s="2" t="s">
        <v>29</v>
      </c>
      <c r="F315" s="1" t="s">
        <v>73</v>
      </c>
      <c r="G315" s="1" t="s">
        <v>79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1495.7103337762042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1520.6762492964474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0.58414862177673532</v>
      </c>
      <c r="R315" s="1">
        <v>75</v>
      </c>
      <c r="S315" s="1">
        <v>79</v>
      </c>
      <c r="T315" s="1">
        <v>0</v>
      </c>
      <c r="U315" s="1">
        <f>Games[[#This Row],[PointsFor]]-Games[[#This Row],[PointsAgainst]]</f>
        <v>-4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0.30508545352132233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72.55</v>
      </c>
      <c r="Z315" s="4">
        <f>Games[[#This Row],[K]]*Games[[#This Row],[POMult]]</f>
        <v>72.55</v>
      </c>
      <c r="AA315" s="4">
        <f>(Games[[#This Row],[Keff]]*Games[[#This Row],[MOVMult]])*(Games[[#This Row],[Result]]-Games[[#This Row],[ExpectedWin%]])</f>
        <v>-12.929516184259205</v>
      </c>
      <c r="AB315" s="4">
        <f>Games[[#This Row],[PreGmRate]]+Games[[#This Row],[RatingChange]]</f>
        <v>1482.7808175919449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40043</v>
      </c>
      <c r="B316" s="2">
        <v>2009</v>
      </c>
      <c r="C316" s="2">
        <f>COUNTIFS(Games[Team],Games[[#This Row],[Team]],Games[Season],Games[[#This Row],[Season]],Games[Date],"&lt;=" &amp; Games[[#This Row],[Date]])</f>
        <v>25</v>
      </c>
      <c r="D316" s="2" t="s">
        <v>23</v>
      </c>
      <c r="E316" s="2" t="s">
        <v>29</v>
      </c>
      <c r="F316" s="1" t="s">
        <v>71</v>
      </c>
      <c r="G316" s="1" t="s">
        <v>68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6" s="2">
        <f>Games[[#This Row],[DaysOff]]-Games[[#This Row],[OppDaysOff]]</f>
        <v>-1</v>
      </c>
      <c r="L316" s="2">
        <f>Games[[#This Row],[OppDaysOff]]-Games[[#This Row],[DaysOff]]</f>
        <v>1</v>
      </c>
      <c r="M316" s="1">
        <f>MAX(-16, MIN(16, Games[[#This Row],[RestDiff]]*8))</f>
        <v>-8</v>
      </c>
      <c r="N316" s="1">
        <f>MAX(-16, MIN(16, Games[[#This Row],[OppRestDiff]]*8))</f>
        <v>8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1439.6674482461856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1503.2209408688902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0.28059955156877897</v>
      </c>
      <c r="R316" s="1">
        <v>69</v>
      </c>
      <c r="S316" s="1">
        <v>72</v>
      </c>
      <c r="T316" s="1">
        <v>0</v>
      </c>
      <c r="U316" s="1">
        <f>Games[[#This Row],[PointsFor]]-Games[[#This Row],[PointsAgainst]]</f>
        <v>-3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0.27558803592530429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72.25</v>
      </c>
      <c r="Z316" s="4">
        <f>Games[[#This Row],[K]]*Games[[#This Row],[POMult]]</f>
        <v>72.25</v>
      </c>
      <c r="AA316" s="4">
        <f>(Games[[#This Row],[Keff]]*Games[[#This Row],[MOVMult]])*(Games[[#This Row],[Result]]-Games[[#This Row],[ExpectedWin%]])</f>
        <v>-5.5870837793065773</v>
      </c>
      <c r="AB316" s="4">
        <f>Games[[#This Row],[PreGmRate]]+Games[[#This Row],[RatingChange]]</f>
        <v>1434.080364466879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40043</v>
      </c>
      <c r="B317" s="2">
        <v>2009</v>
      </c>
      <c r="C317" s="2">
        <f>COUNTIFS(Games[Team],Games[[#This Row],[Team]],Games[Season],Games[[#This Row],[Season]],Games[Date],"&lt;=" &amp; Games[[#This Row],[Date]])</f>
        <v>23</v>
      </c>
      <c r="D317" s="2" t="s">
        <v>23</v>
      </c>
      <c r="E317" s="2" t="s">
        <v>29</v>
      </c>
      <c r="F317" s="1" t="s">
        <v>68</v>
      </c>
      <c r="G317" s="1" t="s">
        <v>71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1</v>
      </c>
      <c r="L317" s="2">
        <f>Games[[#This Row],[OppDaysOff]]-Games[[#This Row],[DaysOff]]</f>
        <v>-1</v>
      </c>
      <c r="M317" s="1">
        <f>MAX(-16, MIN(16, Games[[#This Row],[RestDiff]]*8))</f>
        <v>8</v>
      </c>
      <c r="N317" s="1">
        <f>MAX(-16, MIN(16, Games[[#This Row],[OppRestDiff]]*8))</f>
        <v>-8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1503.2209408688902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1439.6674482461856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0.71940044843122108</v>
      </c>
      <c r="R317" s="1">
        <v>72</v>
      </c>
      <c r="S317" s="1">
        <v>69</v>
      </c>
      <c r="T317" s="1">
        <v>0</v>
      </c>
      <c r="U317" s="1">
        <f>Games[[#This Row],[PointsFor]]-Games[[#This Row],[PointsAgainst]]</f>
        <v>3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0.27558803592530429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72.55</v>
      </c>
      <c r="Z317" s="4">
        <f>Games[[#This Row],[K]]*Games[[#This Row],[POMult]]</f>
        <v>72.55</v>
      </c>
      <c r="AA317" s="4">
        <f>(Games[[#This Row],[Keff]]*Games[[#This Row],[MOVMult]])*(Games[[#This Row],[Result]]-Games[[#This Row],[ExpectedWin%]])</f>
        <v>5.610282743096084</v>
      </c>
      <c r="AB317" s="4">
        <f>Games[[#This Row],[PreGmRate]]+Games[[#This Row],[RatingChange]]</f>
        <v>1508.8312236119864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40044</v>
      </c>
      <c r="B318" s="2">
        <v>2009</v>
      </c>
      <c r="C318" s="2">
        <f>COUNTIFS(Games[Team],Games[[#This Row],[Team]],Games[Season],Games[[#This Row],[Season]],Games[Date],"&lt;=" &amp; Games[[#This Row],[Date]])</f>
        <v>25</v>
      </c>
      <c r="D318" s="2" t="s">
        <v>23</v>
      </c>
      <c r="E318" s="2" t="s">
        <v>29</v>
      </c>
      <c r="F318" s="1" t="s">
        <v>65</v>
      </c>
      <c r="G318" s="1" t="s">
        <v>84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8" s="2">
        <f>Games[[#This Row],[DaysOff]]-Games[[#This Row],[OppDaysOff]]</f>
        <v>-2</v>
      </c>
      <c r="L318" s="2">
        <f>Games[[#This Row],[OppDaysOff]]-Games[[#This Row],[DaysOff]]</f>
        <v>2</v>
      </c>
      <c r="M318" s="1">
        <f>MAX(-16, MIN(16, Games[[#This Row],[RestDiff]]*8))</f>
        <v>-16</v>
      </c>
      <c r="N318" s="1">
        <f>MAX(-16, MIN(16, Games[[#This Row],[OppRestDiff]]*8))</f>
        <v>16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1458.1697547437695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1544.380868258879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0.2379374637595997</v>
      </c>
      <c r="R318" s="1">
        <v>69</v>
      </c>
      <c r="S318" s="1">
        <v>74</v>
      </c>
      <c r="T318" s="1">
        <v>0</v>
      </c>
      <c r="U318" s="1">
        <f>Games[[#This Row],[PointsFor]]-Games[[#This Row],[PointsAgainst]]</f>
        <v>-5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0.30951930547816758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72.25</v>
      </c>
      <c r="Z318" s="4">
        <f>Games[[#This Row],[K]]*Games[[#This Row],[POMult]]</f>
        <v>72.25</v>
      </c>
      <c r="AA318" s="4">
        <f>(Games[[#This Row],[Keff]]*Games[[#This Row],[MOVMult]])*(Games[[#This Row],[Result]]-Games[[#This Row],[ExpectedWin%]])</f>
        <v>-5.3209407338003016</v>
      </c>
      <c r="AB318" s="4">
        <f>Games[[#This Row],[PreGmRate]]+Games[[#This Row],[RatingChange]]</f>
        <v>1452.8488140099691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40044</v>
      </c>
      <c r="B319" s="2">
        <v>2009</v>
      </c>
      <c r="C319" s="2">
        <f>COUNTIFS(Games[Team],Games[[#This Row],[Team]],Games[Season],Games[[#This Row],[Season]],Games[Date],"&lt;=" &amp; Games[[#This Row],[Date]])</f>
        <v>24</v>
      </c>
      <c r="D319" s="2" t="s">
        <v>23</v>
      </c>
      <c r="E319" s="2" t="s">
        <v>29</v>
      </c>
      <c r="F319" s="1" t="s">
        <v>84</v>
      </c>
      <c r="G319" s="1" t="s">
        <v>65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9" s="2">
        <f>Games[[#This Row],[DaysOff]]-Games[[#This Row],[OppDaysOff]]</f>
        <v>2</v>
      </c>
      <c r="L319" s="2">
        <f>Games[[#This Row],[OppDaysOff]]-Games[[#This Row],[DaysOff]]</f>
        <v>-2</v>
      </c>
      <c r="M319" s="1">
        <f>MAX(-16, MIN(16, Games[[#This Row],[RestDiff]]*8))</f>
        <v>16</v>
      </c>
      <c r="N319" s="1">
        <f>MAX(-16, MIN(16, Games[[#This Row],[OppRestDiff]]*8))</f>
        <v>-16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1544.380868258879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1458.1697547437695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0.76206253624040021</v>
      </c>
      <c r="R319" s="1">
        <v>74</v>
      </c>
      <c r="S319" s="1">
        <v>69</v>
      </c>
      <c r="T319" s="1">
        <v>0</v>
      </c>
      <c r="U319" s="1">
        <f>Games[[#This Row],[PointsFor]]-Games[[#This Row],[PointsAgainst]]</f>
        <v>5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0.30951930547816758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72.400000000000006</v>
      </c>
      <c r="Z319" s="4">
        <f>Games[[#This Row],[K]]*Games[[#This Row],[POMult]]</f>
        <v>72.400000000000006</v>
      </c>
      <c r="AA319" s="4">
        <f>(Games[[#This Row],[Keff]]*Games[[#This Row],[MOVMult]])*(Games[[#This Row],[Result]]-Games[[#This Row],[ExpectedWin%]])</f>
        <v>5.331987669579819</v>
      </c>
      <c r="AB319" s="4">
        <f>Games[[#This Row],[PreGmRate]]+Games[[#This Row],[RatingChange]]</f>
        <v>1549.7128559284588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40044</v>
      </c>
      <c r="B320" s="2">
        <v>2009</v>
      </c>
      <c r="C320" s="2">
        <f>COUNTIFS(Games[Team],Games[[#This Row],[Team]],Games[Season],Games[[#This Row],[Season]],Games[Date],"&lt;=" &amp; Games[[#This Row],[Date]])</f>
        <v>25</v>
      </c>
      <c r="D320" s="2" t="s">
        <v>23</v>
      </c>
      <c r="E320" s="2" t="s">
        <v>29</v>
      </c>
      <c r="F320" s="1" t="s">
        <v>75</v>
      </c>
      <c r="G320" s="1" t="s">
        <v>68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0" s="2">
        <f>Games[[#This Row],[DaysOff]]-Games[[#This Row],[OppDaysOff]]</f>
        <v>3</v>
      </c>
      <c r="L320" s="2">
        <f>Games[[#This Row],[OppDaysOff]]-Games[[#This Row],[DaysOff]]</f>
        <v>-3</v>
      </c>
      <c r="M320" s="1">
        <f>MAX(-16, MIN(16, Games[[#This Row],[RestDiff]]*8))</f>
        <v>16</v>
      </c>
      <c r="N320" s="1">
        <f>MAX(-16, MIN(16, Games[[#This Row],[OppRestDiff]]*8))</f>
        <v>-16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1453.4339458236539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1508.8312236119864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0.35018447515901319</v>
      </c>
      <c r="R320" s="1">
        <v>63</v>
      </c>
      <c r="S320" s="1">
        <v>78</v>
      </c>
      <c r="T320" s="1">
        <v>0</v>
      </c>
      <c r="U320" s="1">
        <f>Games[[#This Row],[PointsFor]]-Games[[#This Row],[PointsAgainst]]</f>
        <v>-15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0.48065870806855132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72.25</v>
      </c>
      <c r="Z320" s="4">
        <f>Games[[#This Row],[K]]*Games[[#This Row],[POMult]]</f>
        <v>72.25</v>
      </c>
      <c r="AA320" s="4">
        <f>(Games[[#This Row],[Keff]]*Games[[#This Row],[MOVMult]])*(Games[[#This Row],[Result]]-Games[[#This Row],[ExpectedWin%]])</f>
        <v>-12.161063458276738</v>
      </c>
      <c r="AB320" s="4">
        <f>Games[[#This Row],[PreGmRate]]+Games[[#This Row],[RatingChange]]</f>
        <v>1441.2728823653772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40044</v>
      </c>
      <c r="B321" s="2">
        <v>2009</v>
      </c>
      <c r="C321" s="2">
        <f>COUNTIFS(Games[Team],Games[[#This Row],[Team]],Games[Season],Games[[#This Row],[Season]],Games[Date],"&lt;=" &amp; Games[[#This Row],[Date]])</f>
        <v>24</v>
      </c>
      <c r="D321" s="2" t="s">
        <v>23</v>
      </c>
      <c r="E321" s="2" t="s">
        <v>29</v>
      </c>
      <c r="F321" s="1" t="s">
        <v>68</v>
      </c>
      <c r="G321" s="1" t="s">
        <v>75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1" s="2">
        <f>Games[[#This Row],[DaysOff]]-Games[[#This Row],[OppDaysOff]]</f>
        <v>-3</v>
      </c>
      <c r="L321" s="2">
        <f>Games[[#This Row],[OppDaysOff]]-Games[[#This Row],[DaysOff]]</f>
        <v>3</v>
      </c>
      <c r="M321" s="1">
        <f>MAX(-16, MIN(16, Games[[#This Row],[RestDiff]]*8))</f>
        <v>-16</v>
      </c>
      <c r="N321" s="1">
        <f>MAX(-16, MIN(16, Games[[#This Row],[OppRestDiff]]*8))</f>
        <v>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1508.8312236119864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1453.4339458236539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0.64981552484098681</v>
      </c>
      <c r="R321" s="1">
        <v>78</v>
      </c>
      <c r="S321" s="1">
        <v>63</v>
      </c>
      <c r="T321" s="1">
        <v>0</v>
      </c>
      <c r="U321" s="1">
        <f>Games[[#This Row],[PointsFor]]-Games[[#This Row],[PointsAgainst]]</f>
        <v>15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0.48065870806855132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72.400000000000006</v>
      </c>
      <c r="Z321" s="4">
        <f>Games[[#This Row],[K]]*Games[[#This Row],[POMult]]</f>
        <v>72.400000000000006</v>
      </c>
      <c r="AA321" s="4">
        <f>(Games[[#This Row],[Keff]]*Games[[#This Row],[MOVMult]])*(Games[[#This Row],[Result]]-Games[[#This Row],[ExpectedWin%]])</f>
        <v>12.186311340889079</v>
      </c>
      <c r="AB321" s="4">
        <f>Games[[#This Row],[PreGmRate]]+Games[[#This Row],[RatingChange]]</f>
        <v>1521.0175349528754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40045</v>
      </c>
      <c r="B322" s="2">
        <v>2009</v>
      </c>
      <c r="C322" s="2">
        <f>COUNTIFS(Games[Team],Games[[#This Row],[Team]],Games[Season],Games[[#This Row],[Season]],Games[Date],"&lt;=" &amp; Games[[#This Row],[Date]])</f>
        <v>25</v>
      </c>
      <c r="D322" s="2" t="s">
        <v>23</v>
      </c>
      <c r="E322" s="2" t="s">
        <v>29</v>
      </c>
      <c r="F322" s="1" t="s">
        <v>82</v>
      </c>
      <c r="G322" s="1" t="s">
        <v>87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1499.6692346925338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1498.6248285433289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0.3828353638026577</v>
      </c>
      <c r="R322" s="1">
        <v>87</v>
      </c>
      <c r="S322" s="1">
        <v>93</v>
      </c>
      <c r="T322" s="1">
        <v>0</v>
      </c>
      <c r="U322" s="1">
        <f>Games[[#This Row],[PointsFor]]-Games[[#This Row],[PointsAgainst]]</f>
        <v>-6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0.3509752937951095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72.25</v>
      </c>
      <c r="Z322" s="4">
        <f>Games[[#This Row],[K]]*Games[[#This Row],[POMult]]</f>
        <v>72.25</v>
      </c>
      <c r="AA322" s="4">
        <f>(Games[[#This Row],[Keff]]*Games[[#This Row],[MOVMult]])*(Games[[#This Row],[Result]]-Games[[#This Row],[ExpectedWin%]])</f>
        <v>-9.7079257471487193</v>
      </c>
      <c r="AB322" s="4">
        <f>Games[[#This Row],[PreGmRate]]+Games[[#This Row],[RatingChange]]</f>
        <v>1489.9613089453851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40045</v>
      </c>
      <c r="B323" s="2">
        <v>2009</v>
      </c>
      <c r="C323" s="2">
        <f>COUNTIFS(Games[Team],Games[[#This Row],[Team]],Games[Season],Games[[#This Row],[Season]],Games[Date],"&lt;=" &amp; Games[[#This Row],[Date]])</f>
        <v>25</v>
      </c>
      <c r="D323" s="2" t="s">
        <v>23</v>
      </c>
      <c r="E323" s="2" t="s">
        <v>29</v>
      </c>
      <c r="F323" s="1" t="s">
        <v>87</v>
      </c>
      <c r="G323" s="1" t="s">
        <v>82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1498.6248285433289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1499.6692346925338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0.6171646361973423</v>
      </c>
      <c r="R323" s="1">
        <v>93</v>
      </c>
      <c r="S323" s="1">
        <v>87</v>
      </c>
      <c r="T323" s="1">
        <v>0</v>
      </c>
      <c r="U323" s="1">
        <f>Games[[#This Row],[PointsFor]]-Games[[#This Row],[PointsAgainst]]</f>
        <v>6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0.3509752937951095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72.25</v>
      </c>
      <c r="Z323" s="4">
        <f>Games[[#This Row],[K]]*Games[[#This Row],[POMult]]</f>
        <v>72.25</v>
      </c>
      <c r="AA323" s="4">
        <f>(Games[[#This Row],[Keff]]*Games[[#This Row],[MOVMult]])*(Games[[#This Row],[Result]]-Games[[#This Row],[ExpectedWin%]])</f>
        <v>9.7079257471487193</v>
      </c>
      <c r="AB323" s="4">
        <f>Games[[#This Row],[PreGmRate]]+Games[[#This Row],[RatingChange]]</f>
        <v>1508.3327542904776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40045</v>
      </c>
      <c r="B324" s="2">
        <v>2009</v>
      </c>
      <c r="C324" s="2">
        <f>COUNTIFS(Games[Team],Games[[#This Row],[Team]],Games[Season],Games[[#This Row],[Season]],Games[Date],"&lt;=" &amp; Games[[#This Row],[Date]])</f>
        <v>25</v>
      </c>
      <c r="D324" s="2" t="s">
        <v>23</v>
      </c>
      <c r="E324" s="2" t="s">
        <v>29</v>
      </c>
      <c r="F324" s="1" t="s">
        <v>77</v>
      </c>
      <c r="G324" s="1" t="s">
        <v>45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1631.5418852244891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1417.338444584977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0.67907219447482292</v>
      </c>
      <c r="R324" s="1">
        <v>62</v>
      </c>
      <c r="S324" s="1">
        <v>67</v>
      </c>
      <c r="T324" s="1">
        <v>0</v>
      </c>
      <c r="U324" s="1">
        <f>Games[[#This Row],[PointsFor]]-Games[[#This Row],[PointsAgainst]]</f>
        <v>-5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0.28150629471914634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72.25</v>
      </c>
      <c r="Z324" s="4">
        <f>Games[[#This Row],[K]]*Games[[#This Row],[POMult]]</f>
        <v>72.25</v>
      </c>
      <c r="AA324" s="4">
        <f>(Games[[#This Row],[Keff]]*Games[[#This Row],[MOVMult]])*(Games[[#This Row],[Result]]-Games[[#This Row],[ExpectedWin%]])</f>
        <v>-13.811533780893653</v>
      </c>
      <c r="AB324" s="4">
        <f>Games[[#This Row],[PreGmRate]]+Games[[#This Row],[RatingChange]]</f>
        <v>1617.7303514435955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40045</v>
      </c>
      <c r="B325" s="2">
        <v>2009</v>
      </c>
      <c r="C325" s="2">
        <f>COUNTIFS(Games[Team],Games[[#This Row],[Team]],Games[Season],Games[[#This Row],[Season]],Games[Date],"&lt;=" &amp; Games[[#This Row],[Date]])</f>
        <v>26</v>
      </c>
      <c r="D325" s="2" t="s">
        <v>23</v>
      </c>
      <c r="E325" s="2" t="s">
        <v>29</v>
      </c>
      <c r="F325" s="1" t="s">
        <v>45</v>
      </c>
      <c r="G325" s="1" t="s">
        <v>77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1417.338444584977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1631.5418852244891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0.32092780552517708</v>
      </c>
      <c r="R325" s="1">
        <v>67</v>
      </c>
      <c r="S325" s="1">
        <v>62</v>
      </c>
      <c r="T325" s="1">
        <v>0</v>
      </c>
      <c r="U325" s="1">
        <f>Games[[#This Row],[PointsFor]]-Games[[#This Row],[PointsAgainst]]</f>
        <v>5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0.28150629471914634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72.099999999999994</v>
      </c>
      <c r="Z325" s="4">
        <f>Games[[#This Row],[K]]*Games[[#This Row],[POMult]]</f>
        <v>72.099999999999994</v>
      </c>
      <c r="AA325" s="4">
        <f>(Games[[#This Row],[Keff]]*Games[[#This Row],[MOVMult]])*(Games[[#This Row],[Result]]-Games[[#This Row],[ExpectedWin%]])</f>
        <v>13.782859316296641</v>
      </c>
      <c r="AB325" s="4">
        <f>Games[[#This Row],[PreGmRate]]+Games[[#This Row],[RatingChange]]</f>
        <v>1431.1213039012737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40046</v>
      </c>
      <c r="B326" s="2">
        <v>2009</v>
      </c>
      <c r="C326" s="2">
        <f>COUNTIFS(Games[Team],Games[[#This Row],[Team]],Games[Season],Games[[#This Row],[Season]],Games[Date],"&lt;=" &amp; Games[[#This Row],[Date]])</f>
        <v>25</v>
      </c>
      <c r="D326" s="2" t="s">
        <v>23</v>
      </c>
      <c r="E326" s="2" t="s">
        <v>29</v>
      </c>
      <c r="F326" s="1" t="s">
        <v>84</v>
      </c>
      <c r="G326" s="1" t="s">
        <v>65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1549.7128559284588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1452.8488140099691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0.51850438934669452</v>
      </c>
      <c r="R326" s="1">
        <v>83</v>
      </c>
      <c r="S326" s="1">
        <v>85</v>
      </c>
      <c r="T326" s="1">
        <v>1</v>
      </c>
      <c r="U326" s="1">
        <f>Games[[#This Row],[PointsFor]]-Games[[#This Row],[PointsAgainst]]</f>
        <v>-2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0.22305239186562664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72.25</v>
      </c>
      <c r="Z326" s="4">
        <f>Games[[#This Row],[K]]*Games[[#This Row],[POMult]]</f>
        <v>72.25</v>
      </c>
      <c r="AA326" s="4">
        <f>(Games[[#This Row],[Keff]]*Games[[#This Row],[MOVMult]])*(Games[[#This Row],[Result]]-Games[[#This Row],[ExpectedWin%]])</f>
        <v>-8.3559757960948087</v>
      </c>
      <c r="AB326" s="4">
        <f>Games[[#This Row],[PreGmRate]]+Games[[#This Row],[RatingChange]]</f>
        <v>1541.356880132364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40046</v>
      </c>
      <c r="B327" s="2">
        <v>2009</v>
      </c>
      <c r="C327" s="2">
        <f>COUNTIFS(Games[Team],Games[[#This Row],[Team]],Games[Season],Games[[#This Row],[Season]],Games[Date],"&lt;=" &amp; Games[[#This Row],[Date]])</f>
        <v>26</v>
      </c>
      <c r="D327" s="2" t="s">
        <v>23</v>
      </c>
      <c r="E327" s="2" t="s">
        <v>29</v>
      </c>
      <c r="F327" s="1" t="s">
        <v>65</v>
      </c>
      <c r="G327" s="1" t="s">
        <v>84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1452.8488140099691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1549.7128559284588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0.48149561065330543</v>
      </c>
      <c r="R327" s="1">
        <v>85</v>
      </c>
      <c r="S327" s="1">
        <v>83</v>
      </c>
      <c r="T327" s="1">
        <v>1</v>
      </c>
      <c r="U327" s="1">
        <f>Games[[#This Row],[PointsFor]]-Games[[#This Row],[PointsAgainst]]</f>
        <v>2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0.22305239186562664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72.099999999999994</v>
      </c>
      <c r="Z327" s="4">
        <f>Games[[#This Row],[K]]*Games[[#This Row],[POMult]]</f>
        <v>72.099999999999994</v>
      </c>
      <c r="AA327" s="4">
        <f>(Games[[#This Row],[Keff]]*Games[[#This Row],[MOVMult]])*(Games[[#This Row],[Result]]-Games[[#This Row],[ExpectedWin%]])</f>
        <v>8.3386277494593166</v>
      </c>
      <c r="AB327" s="4">
        <f>Games[[#This Row],[PreGmRate]]+Games[[#This Row],[RatingChange]]</f>
        <v>1461.1874417594286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40046</v>
      </c>
      <c r="B328" s="2">
        <v>2009</v>
      </c>
      <c r="C328" s="2">
        <f>COUNTIFS(Games[Team],Games[[#This Row],[Team]],Games[Season],Games[[#This Row],[Season]],Games[Date],"&lt;=" &amp; Games[[#This Row],[Date]])</f>
        <v>26</v>
      </c>
      <c r="D328" s="2" t="s">
        <v>23</v>
      </c>
      <c r="E328" s="2" t="s">
        <v>29</v>
      </c>
      <c r="F328" s="1" t="s">
        <v>71</v>
      </c>
      <c r="G328" s="1" t="s">
        <v>44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1434.080364466879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1589.6849804781712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0.20112545632302994</v>
      </c>
      <c r="R328" s="1">
        <v>91</v>
      </c>
      <c r="S328" s="1">
        <v>81</v>
      </c>
      <c r="T328" s="1">
        <v>0</v>
      </c>
      <c r="U328" s="1">
        <f>Games[[#This Row],[PointsFor]]-Games[[#This Row],[PointsAgainst]]</f>
        <v>10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0.37456027605803843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72.099999999999994</v>
      </c>
      <c r="Z328" s="4">
        <f>Games[[#This Row],[K]]*Games[[#This Row],[POMult]]</f>
        <v>72.099999999999994</v>
      </c>
      <c r="AA328" s="4">
        <f>(Games[[#This Row],[Keff]]*Games[[#This Row],[MOVMult]])*(Games[[#This Row],[Result]]-Games[[#This Row],[ExpectedWin%]])</f>
        <v>21.574242879269285</v>
      </c>
      <c r="AB328" s="4">
        <f>Games[[#This Row],[PreGmRate]]+Games[[#This Row],[RatingChange]]</f>
        <v>1455.6546073461484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40046</v>
      </c>
      <c r="B329" s="2">
        <v>2009</v>
      </c>
      <c r="C329" s="2">
        <f>COUNTIFS(Games[Team],Games[[#This Row],[Team]],Games[Season],Games[[#This Row],[Season]],Games[Date],"&lt;=" &amp; Games[[#This Row],[Date]])</f>
        <v>27</v>
      </c>
      <c r="D329" s="2" t="s">
        <v>23</v>
      </c>
      <c r="E329" s="2" t="s">
        <v>29</v>
      </c>
      <c r="F329" s="1" t="s">
        <v>44</v>
      </c>
      <c r="G329" s="1" t="s">
        <v>71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1589.6849804781712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1434.080364466879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0.79887454367697008</v>
      </c>
      <c r="R329" s="1">
        <v>81</v>
      </c>
      <c r="S329" s="1">
        <v>91</v>
      </c>
      <c r="T329" s="1">
        <v>0</v>
      </c>
      <c r="U329" s="1">
        <f>Games[[#This Row],[PointsFor]]-Games[[#This Row],[PointsAgainst]]</f>
        <v>-10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0.37456027605803843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71.95</v>
      </c>
      <c r="Z329" s="4">
        <f>Games[[#This Row],[K]]*Games[[#This Row],[POMult]]</f>
        <v>71.95</v>
      </c>
      <c r="AA329" s="4">
        <f>(Games[[#This Row],[Keff]]*Games[[#This Row],[MOVMult]])*(Games[[#This Row],[Result]]-Games[[#This Row],[ExpectedWin%]])</f>
        <v>-21.529358878826979</v>
      </c>
      <c r="AB329" s="4">
        <f>Games[[#This Row],[PreGmRate]]+Games[[#This Row],[RatingChange]]</f>
        <v>1568.1556215993442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40046</v>
      </c>
      <c r="B330" s="2">
        <v>2009</v>
      </c>
      <c r="C330" s="2">
        <f>COUNTIFS(Games[Team],Games[[#This Row],[Team]],Games[Season],Games[[#This Row],[Season]],Games[Date],"&lt;=" &amp; Games[[#This Row],[Date]])</f>
        <v>25</v>
      </c>
      <c r="D330" s="2" t="s">
        <v>23</v>
      </c>
      <c r="E330" s="2" t="s">
        <v>29</v>
      </c>
      <c r="F330" s="1" t="s">
        <v>68</v>
      </c>
      <c r="G330" s="1" t="s">
        <v>82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0" s="2">
        <f>Games[[#This Row],[DaysOff]]-Games[[#This Row],[OppDaysOff]]</f>
        <v>1</v>
      </c>
      <c r="L330" s="2">
        <f>Games[[#This Row],[OppDaysOff]]-Games[[#This Row],[DaysOff]]</f>
        <v>-1</v>
      </c>
      <c r="M330" s="1">
        <f>MAX(-16, MIN(16, Games[[#This Row],[RestDiff]]*8))</f>
        <v>8</v>
      </c>
      <c r="N330" s="1">
        <f>MAX(-16, MIN(16, Games[[#This Row],[OppRestDiff]]*8))</f>
        <v>-8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1521.0175349528754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1489.9613089453851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0.44703311115393424</v>
      </c>
      <c r="R330" s="1">
        <v>67</v>
      </c>
      <c r="S330" s="1">
        <v>66</v>
      </c>
      <c r="T330" s="1">
        <v>1</v>
      </c>
      <c r="U330" s="1">
        <f>Games[[#This Row],[PointsFor]]-Games[[#This Row],[PointsAgainst]]</f>
        <v>1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0.21421770920876879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72.25</v>
      </c>
      <c r="Z330" s="4">
        <f>Games[[#This Row],[K]]*Games[[#This Row],[POMult]]</f>
        <v>72.25</v>
      </c>
      <c r="AA330" s="4">
        <f>(Games[[#This Row],[Keff]]*Games[[#This Row],[MOVMult]])*(Games[[#This Row],[Result]]-Games[[#This Row],[ExpectedWin%]])</f>
        <v>8.5583954392263202</v>
      </c>
      <c r="AB330" s="4">
        <f>Games[[#This Row],[PreGmRate]]+Games[[#This Row],[RatingChange]]</f>
        <v>1529.5759303921018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40046</v>
      </c>
      <c r="B331" s="2">
        <v>2009</v>
      </c>
      <c r="C331" s="2">
        <f>COUNTIFS(Games[Team],Games[[#This Row],[Team]],Games[Season],Games[[#This Row],[Season]],Games[Date],"&lt;=" &amp; Games[[#This Row],[Date]])</f>
        <v>26</v>
      </c>
      <c r="D331" s="2" t="s">
        <v>23</v>
      </c>
      <c r="E331" s="2" t="s">
        <v>29</v>
      </c>
      <c r="F331" s="1" t="s">
        <v>82</v>
      </c>
      <c r="G331" s="1" t="s">
        <v>68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-1</v>
      </c>
      <c r="L331" s="2">
        <f>Games[[#This Row],[OppDaysOff]]-Games[[#This Row],[DaysOff]]</f>
        <v>1</v>
      </c>
      <c r="M331" s="1">
        <f>MAX(-16, MIN(16, Games[[#This Row],[RestDiff]]*8))</f>
        <v>-8</v>
      </c>
      <c r="N331" s="1">
        <f>MAX(-16, MIN(16, Games[[#This Row],[OppRestDiff]]*8))</f>
        <v>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1489.9613089453851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1521.0175349528754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0.55296688884606571</v>
      </c>
      <c r="R331" s="1">
        <v>66</v>
      </c>
      <c r="S331" s="1">
        <v>67</v>
      </c>
      <c r="T331" s="1">
        <v>1</v>
      </c>
      <c r="U331" s="1">
        <f>Games[[#This Row],[PointsFor]]-Games[[#This Row],[PointsAgainst]]</f>
        <v>-1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0.21421770920876879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72.099999999999994</v>
      </c>
      <c r="Z331" s="4">
        <f>Games[[#This Row],[K]]*Games[[#This Row],[POMult]]</f>
        <v>72.099999999999994</v>
      </c>
      <c r="AA331" s="4">
        <f>(Games[[#This Row],[Keff]]*Games[[#This Row],[MOVMult]])*(Games[[#This Row],[Result]]-Games[[#This Row],[ExpectedWin%]])</f>
        <v>-8.5406271441967831</v>
      </c>
      <c r="AB331" s="4">
        <f>Games[[#This Row],[PreGmRate]]+Games[[#This Row],[RatingChange]]</f>
        <v>1481.4206818011883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40047</v>
      </c>
      <c r="B332" s="2">
        <v>2009</v>
      </c>
      <c r="C332" s="2">
        <f>COUNTIFS(Games[Team],Games[[#This Row],[Team]],Games[Season],Games[[#This Row],[Season]],Games[Date],"&lt;=" &amp; Games[[#This Row],[Date]])</f>
        <v>24</v>
      </c>
      <c r="D332" s="2" t="s">
        <v>23</v>
      </c>
      <c r="E332" s="2" t="s">
        <v>29</v>
      </c>
      <c r="F332" s="1" t="s">
        <v>73</v>
      </c>
      <c r="G332" s="1" t="s">
        <v>85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1482.7808175919449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1464.8981248439982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0.40598175476899495</v>
      </c>
      <c r="R332" s="1">
        <v>76</v>
      </c>
      <c r="S332" s="1">
        <v>67</v>
      </c>
      <c r="T332" s="1">
        <v>0</v>
      </c>
      <c r="U332" s="1">
        <f>Games[[#This Row],[PointsFor]]-Games[[#This Row],[PointsAgainst]]</f>
        <v>9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0.40001047348614821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72.400000000000006</v>
      </c>
      <c r="Z332" s="4">
        <f>Games[[#This Row],[K]]*Games[[#This Row],[POMult]]</f>
        <v>72.400000000000006</v>
      </c>
      <c r="AA332" s="4">
        <f>(Games[[#This Row],[Keff]]*Games[[#This Row],[MOVMult]])*(Games[[#This Row],[Result]]-Games[[#This Row],[ExpectedWin%]])</f>
        <v>17.203218814280802</v>
      </c>
      <c r="AB332" s="4">
        <f>Games[[#This Row],[PreGmRate]]+Games[[#This Row],[RatingChange]]</f>
        <v>1499.9840364062256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40047</v>
      </c>
      <c r="B333" s="2">
        <v>2009</v>
      </c>
      <c r="C333" s="2">
        <f>COUNTIFS(Games[Team],Games[[#This Row],[Team]],Games[Season],Games[[#This Row],[Season]],Games[Date],"&lt;=" &amp; Games[[#This Row],[Date]])</f>
        <v>27</v>
      </c>
      <c r="D333" s="2" t="s">
        <v>23</v>
      </c>
      <c r="E333" s="2" t="s">
        <v>29</v>
      </c>
      <c r="F333" s="1" t="s">
        <v>85</v>
      </c>
      <c r="G333" s="1" t="s">
        <v>73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1464.8981248439982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1482.7808175919449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0.59401824523100499</v>
      </c>
      <c r="R333" s="1">
        <v>67</v>
      </c>
      <c r="S333" s="1">
        <v>76</v>
      </c>
      <c r="T333" s="1">
        <v>0</v>
      </c>
      <c r="U333" s="1">
        <f>Games[[#This Row],[PointsFor]]-Games[[#This Row],[PointsAgainst]]</f>
        <v>-9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0.40001047348614821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71.95</v>
      </c>
      <c r="Z333" s="4">
        <f>Games[[#This Row],[K]]*Games[[#This Row],[POMult]]</f>
        <v>71.95</v>
      </c>
      <c r="AA333" s="4">
        <f>(Games[[#This Row],[Keff]]*Games[[#This Row],[MOVMult]])*(Games[[#This Row],[Result]]-Games[[#This Row],[ExpectedWin%]])</f>
        <v>-17.096292730490383</v>
      </c>
      <c r="AB333" s="4">
        <f>Games[[#This Row],[PreGmRate]]+Games[[#This Row],[RatingChange]]</f>
        <v>1447.8018321135078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40047</v>
      </c>
      <c r="B334" s="2">
        <v>2009</v>
      </c>
      <c r="C334" s="2">
        <f>COUNTIFS(Games[Team],Games[[#This Row],[Team]],Games[Season],Games[[#This Row],[Season]],Games[Date],"&lt;=" &amp; Games[[#This Row],[Date]])</f>
        <v>26</v>
      </c>
      <c r="D334" s="2" t="s">
        <v>23</v>
      </c>
      <c r="E334" s="2" t="s">
        <v>29</v>
      </c>
      <c r="F334" s="1" t="s">
        <v>75</v>
      </c>
      <c r="G334" s="1" t="s">
        <v>84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4" s="2">
        <f>Games[[#This Row],[DaysOff]]-Games[[#This Row],[OppDaysOff]]</f>
        <v>2</v>
      </c>
      <c r="L334" s="2">
        <f>Games[[#This Row],[OppDaysOff]]-Games[[#This Row],[DaysOff]]</f>
        <v>-2</v>
      </c>
      <c r="M334" s="1">
        <f>MAX(-16, MIN(16, Games[[#This Row],[RestDiff]]*8))</f>
        <v>16</v>
      </c>
      <c r="N334" s="1">
        <f>MAX(-16, MIN(16, Games[[#This Row],[OppRestDiff]]*8))</f>
        <v>-16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1441.2728823653772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1541.356880132364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0.29411824332233683</v>
      </c>
      <c r="R334" s="1">
        <v>94</v>
      </c>
      <c r="S334" s="1">
        <v>98</v>
      </c>
      <c r="T334" s="1">
        <v>0</v>
      </c>
      <c r="U334" s="1">
        <f>Games[[#This Row],[PointsFor]]-Games[[#This Row],[PointsAgainst]]</f>
        <v>-4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0.28745779697815854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72.099999999999994</v>
      </c>
      <c r="Z334" s="4">
        <f>Games[[#This Row],[K]]*Games[[#This Row],[POMult]]</f>
        <v>72.099999999999994</v>
      </c>
      <c r="AA334" s="4">
        <f>(Games[[#This Row],[Keff]]*Games[[#This Row],[MOVMult]])*(Games[[#This Row],[Result]]-Games[[#This Row],[ExpectedWin%]])</f>
        <v>-6.0958085821374475</v>
      </c>
      <c r="AB334" s="4">
        <f>Games[[#This Row],[PreGmRate]]+Games[[#This Row],[RatingChange]]</f>
        <v>1435.1770737832398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40047</v>
      </c>
      <c r="B335" s="2">
        <v>2009</v>
      </c>
      <c r="C335" s="2">
        <f>COUNTIFS(Games[Team],Games[[#This Row],[Team]],Games[Season],Games[[#This Row],[Season]],Games[Date],"&lt;=" &amp; Games[[#This Row],[Date]])</f>
        <v>26</v>
      </c>
      <c r="D335" s="2" t="s">
        <v>23</v>
      </c>
      <c r="E335" s="2" t="s">
        <v>29</v>
      </c>
      <c r="F335" s="1" t="s">
        <v>84</v>
      </c>
      <c r="G335" s="1" t="s">
        <v>75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5" s="2">
        <f>Games[[#This Row],[DaysOff]]-Games[[#This Row],[OppDaysOff]]</f>
        <v>-2</v>
      </c>
      <c r="L335" s="2">
        <f>Games[[#This Row],[OppDaysOff]]-Games[[#This Row],[DaysOff]]</f>
        <v>2</v>
      </c>
      <c r="M335" s="1">
        <f>MAX(-16, MIN(16, Games[[#This Row],[RestDiff]]*8))</f>
        <v>-16</v>
      </c>
      <c r="N335" s="1">
        <f>MAX(-16, MIN(16, Games[[#This Row],[OppRestDiff]]*8))</f>
        <v>16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1541.356880132364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1441.2728823653772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0.70588175667766317</v>
      </c>
      <c r="R335" s="1">
        <v>98</v>
      </c>
      <c r="S335" s="1">
        <v>94</v>
      </c>
      <c r="T335" s="1">
        <v>0</v>
      </c>
      <c r="U335" s="1">
        <f>Games[[#This Row],[PointsFor]]-Games[[#This Row],[PointsAgainst]]</f>
        <v>4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0.28745779697815854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72.099999999999994</v>
      </c>
      <c r="Z335" s="4">
        <f>Games[[#This Row],[K]]*Games[[#This Row],[POMult]]</f>
        <v>72.099999999999994</v>
      </c>
      <c r="AA335" s="4">
        <f>(Games[[#This Row],[Keff]]*Games[[#This Row],[MOVMult]])*(Games[[#This Row],[Result]]-Games[[#This Row],[ExpectedWin%]])</f>
        <v>6.0958085821374475</v>
      </c>
      <c r="AB335" s="4">
        <f>Games[[#This Row],[PreGmRate]]+Games[[#This Row],[RatingChange]]</f>
        <v>1547.4526887145014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40047</v>
      </c>
      <c r="B336" s="2">
        <v>2009</v>
      </c>
      <c r="C336" s="2">
        <f>COUNTIFS(Games[Team],Games[[#This Row],[Team]],Games[Season],Games[[#This Row],[Season]],Games[Date],"&lt;=" &amp; Games[[#This Row],[Date]])</f>
        <v>27</v>
      </c>
      <c r="D336" s="2" t="s">
        <v>23</v>
      </c>
      <c r="E336" s="2" t="s">
        <v>29</v>
      </c>
      <c r="F336" s="1" t="s">
        <v>71</v>
      </c>
      <c r="G336" s="1" t="s">
        <v>45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-1</v>
      </c>
      <c r="L336" s="2">
        <f>Games[[#This Row],[OppDaysOff]]-Games[[#This Row],[DaysOff]]</f>
        <v>1</v>
      </c>
      <c r="M336" s="1">
        <f>MAX(-16, MIN(16, Games[[#This Row],[RestDiff]]*8))</f>
        <v>-8</v>
      </c>
      <c r="N336" s="1">
        <f>MAX(-16, MIN(16, Games[[#This Row],[OppRestDiff]]*8))</f>
        <v>8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1455.6546073461484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1431.1213039012737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0.39307107923421247</v>
      </c>
      <c r="R336" s="1">
        <v>60</v>
      </c>
      <c r="S336" s="1">
        <v>82</v>
      </c>
      <c r="T336" s="1">
        <v>0</v>
      </c>
      <c r="U336" s="1">
        <f>Games[[#This Row],[PointsFor]]-Games[[#This Row],[PointsAgainst]]</f>
        <v>-22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0.58999408472742387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71.95</v>
      </c>
      <c r="Z336" s="4">
        <f>Games[[#This Row],[K]]*Games[[#This Row],[POMult]]</f>
        <v>71.95</v>
      </c>
      <c r="AA336" s="4">
        <f>(Games[[#This Row],[Keff]]*Games[[#This Row],[MOVMult]])*(Games[[#This Row],[Result]]-Games[[#This Row],[ExpectedWin%]])</f>
        <v>-16.685896556462634</v>
      </c>
      <c r="AB336" s="4">
        <f>Games[[#This Row],[PreGmRate]]+Games[[#This Row],[RatingChange]]</f>
        <v>1438.9687107896857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40047</v>
      </c>
      <c r="B337" s="2">
        <v>2009</v>
      </c>
      <c r="C337" s="2">
        <f>COUNTIFS(Games[Team],Games[[#This Row],[Team]],Games[Season],Games[[#This Row],[Season]],Games[Date],"&lt;=" &amp; Games[[#This Row],[Date]])</f>
        <v>27</v>
      </c>
      <c r="D337" s="2" t="s">
        <v>23</v>
      </c>
      <c r="E337" s="2" t="s">
        <v>29</v>
      </c>
      <c r="F337" s="1" t="s">
        <v>45</v>
      </c>
      <c r="G337" s="1" t="s">
        <v>71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7" s="2">
        <f>Games[[#This Row],[DaysOff]]-Games[[#This Row],[OppDaysOff]]</f>
        <v>1</v>
      </c>
      <c r="L337" s="2">
        <f>Games[[#This Row],[OppDaysOff]]-Games[[#This Row],[DaysOff]]</f>
        <v>-1</v>
      </c>
      <c r="M337" s="1">
        <f>MAX(-16, MIN(16, Games[[#This Row],[RestDiff]]*8))</f>
        <v>8</v>
      </c>
      <c r="N337" s="1">
        <f>MAX(-16, MIN(16, Games[[#This Row],[OppRestDiff]]*8))</f>
        <v>-8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1431.1213039012737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1455.6546073461484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0.60692892076578753</v>
      </c>
      <c r="R337" s="1">
        <v>82</v>
      </c>
      <c r="S337" s="1">
        <v>60</v>
      </c>
      <c r="T337" s="1">
        <v>0</v>
      </c>
      <c r="U337" s="1">
        <f>Games[[#This Row],[PointsFor]]-Games[[#This Row],[PointsAgainst]]</f>
        <v>22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0.58999408472742387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71.95</v>
      </c>
      <c r="Z337" s="4">
        <f>Games[[#This Row],[K]]*Games[[#This Row],[POMult]]</f>
        <v>71.95</v>
      </c>
      <c r="AA337" s="4">
        <f>(Games[[#This Row],[Keff]]*Games[[#This Row],[MOVMult]])*(Games[[#This Row],[Result]]-Games[[#This Row],[ExpectedWin%]])</f>
        <v>16.685896556462634</v>
      </c>
      <c r="AB337" s="4">
        <f>Games[[#This Row],[PreGmRate]]+Games[[#This Row],[RatingChange]]</f>
        <v>1447.8072004577364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40047</v>
      </c>
      <c r="B338" s="2">
        <v>2009</v>
      </c>
      <c r="C338" s="2">
        <f>COUNTIFS(Games[Team],Games[[#This Row],[Team]],Games[Season],Games[[#This Row],[Season]],Games[Date],"&lt;=" &amp; Games[[#This Row],[Date]])</f>
        <v>26</v>
      </c>
      <c r="D338" s="2" t="s">
        <v>23</v>
      </c>
      <c r="E338" s="2" t="s">
        <v>29</v>
      </c>
      <c r="F338" s="1" t="s">
        <v>77</v>
      </c>
      <c r="G338" s="1" t="s">
        <v>79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8" s="2">
        <f>Games[[#This Row],[DaysOff]]-Games[[#This Row],[OppDaysOff]]</f>
        <v>-2</v>
      </c>
      <c r="L338" s="2">
        <f>Games[[#This Row],[OppDaysOff]]-Games[[#This Row],[DaysOff]]</f>
        <v>2</v>
      </c>
      <c r="M338" s="1">
        <f>MAX(-16, MIN(16, Games[[#This Row],[RestDiff]]*8))</f>
        <v>-16</v>
      </c>
      <c r="N338" s="1">
        <f>MAX(-16, MIN(16, Games[[#This Row],[OppRestDiff]]*8))</f>
        <v>16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1617.7303514435955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1533.5523009065471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0.45433216305691676</v>
      </c>
      <c r="R338" s="1">
        <v>60</v>
      </c>
      <c r="S338" s="1">
        <v>74</v>
      </c>
      <c r="T338" s="1">
        <v>0</v>
      </c>
      <c r="U338" s="1">
        <f>Games[[#This Row],[PointsFor]]-Games[[#This Row],[PointsAgainst]]</f>
        <v>-14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0.45564532425719151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72.099999999999994</v>
      </c>
      <c r="Z338" s="4">
        <f>Games[[#This Row],[K]]*Games[[#This Row],[POMult]]</f>
        <v>72.099999999999994</v>
      </c>
      <c r="AA338" s="4">
        <f>(Games[[#This Row],[Keff]]*Games[[#This Row],[MOVMult]])*(Games[[#This Row],[Result]]-Games[[#This Row],[ExpectedWin%]])</f>
        <v>-14.925732887046534</v>
      </c>
      <c r="AB338" s="4">
        <f>Games[[#This Row],[PreGmRate]]+Games[[#This Row],[RatingChange]]</f>
        <v>1602.804618556549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40047</v>
      </c>
      <c r="B339" s="2">
        <v>2009</v>
      </c>
      <c r="C339" s="2">
        <f>COUNTIFS(Games[Team],Games[[#This Row],[Team]],Games[Season],Games[[#This Row],[Season]],Games[Date],"&lt;=" &amp; Games[[#This Row],[Date]])</f>
        <v>26</v>
      </c>
      <c r="D339" s="2" t="s">
        <v>23</v>
      </c>
      <c r="E339" s="2" t="s">
        <v>29</v>
      </c>
      <c r="F339" s="1" t="s">
        <v>79</v>
      </c>
      <c r="G339" s="1" t="s">
        <v>77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2</v>
      </c>
      <c r="L339" s="2">
        <f>Games[[#This Row],[OppDaysOff]]-Games[[#This Row],[DaysOff]]</f>
        <v>-2</v>
      </c>
      <c r="M339" s="1">
        <f>MAX(-16, MIN(16, Games[[#This Row],[RestDiff]]*8))</f>
        <v>16</v>
      </c>
      <c r="N339" s="1">
        <f>MAX(-16, MIN(16, Games[[#This Row],[OppRestDiff]]*8))</f>
        <v>-16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1533.5523009065471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1617.7303514435955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0.5456678369430833</v>
      </c>
      <c r="R339" s="1">
        <v>74</v>
      </c>
      <c r="S339" s="1">
        <v>60</v>
      </c>
      <c r="T339" s="1">
        <v>0</v>
      </c>
      <c r="U339" s="1">
        <f>Games[[#This Row],[PointsFor]]-Games[[#This Row],[PointsAgainst]]</f>
        <v>14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0.45564532425719151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72.099999999999994</v>
      </c>
      <c r="Z339" s="4">
        <f>Games[[#This Row],[K]]*Games[[#This Row],[POMult]]</f>
        <v>72.099999999999994</v>
      </c>
      <c r="AA339" s="4">
        <f>(Games[[#This Row],[Keff]]*Games[[#This Row],[MOVMult]])*(Games[[#This Row],[Result]]-Games[[#This Row],[ExpectedWin%]])</f>
        <v>14.925732887046532</v>
      </c>
      <c r="AB339" s="4">
        <f>Games[[#This Row],[PreGmRate]]+Games[[#This Row],[RatingChange]]</f>
        <v>1548.4780337935936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40048</v>
      </c>
      <c r="B340" s="2">
        <v>2009</v>
      </c>
      <c r="C340" s="2">
        <f>COUNTIFS(Games[Team],Games[[#This Row],[Team]],Games[Season],Games[[#This Row],[Season]],Games[Date],"&lt;=" &amp; Games[[#This Row],[Date]])</f>
        <v>26</v>
      </c>
      <c r="D340" s="2" t="s">
        <v>23</v>
      </c>
      <c r="E340" s="2" t="s">
        <v>29</v>
      </c>
      <c r="F340" s="1" t="s">
        <v>68</v>
      </c>
      <c r="G340" s="1" t="s">
        <v>87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0" s="2">
        <f>Games[[#This Row],[DaysOff]]-Games[[#This Row],[OppDaysOff]]</f>
        <v>-1</v>
      </c>
      <c r="L340" s="2">
        <f>Games[[#This Row],[OppDaysOff]]-Games[[#This Row],[DaysOff]]</f>
        <v>1</v>
      </c>
      <c r="M340" s="1">
        <f>MAX(-16, MIN(16, Games[[#This Row],[RestDiff]]*8))</f>
        <v>-8</v>
      </c>
      <c r="N340" s="1">
        <f>MAX(-16, MIN(16, Games[[#This Row],[OppRestDiff]]*8))</f>
        <v>8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1529.5759303921018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1508.3327542904776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0.38856202210174662</v>
      </c>
      <c r="R340" s="1">
        <v>91</v>
      </c>
      <c r="S340" s="1">
        <v>87</v>
      </c>
      <c r="T340" s="1">
        <v>0</v>
      </c>
      <c r="U340" s="1">
        <f>Games[[#This Row],[PointsFor]]-Games[[#This Row],[PointsAgainst]]</f>
        <v>4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0.30601545146611869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72.099999999999994</v>
      </c>
      <c r="Z340" s="4">
        <f>Games[[#This Row],[K]]*Games[[#This Row],[POMult]]</f>
        <v>72.099999999999994</v>
      </c>
      <c r="AA340" s="4">
        <f>(Games[[#This Row],[Keff]]*Games[[#This Row],[MOVMult]])*(Games[[#This Row],[Result]]-Games[[#This Row],[ExpectedWin%]])</f>
        <v>13.490592704089664</v>
      </c>
      <c r="AB340" s="4">
        <f>Games[[#This Row],[PreGmRate]]+Games[[#This Row],[RatingChange]]</f>
        <v>1543.0665230961915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40048</v>
      </c>
      <c r="B341" s="2">
        <v>2009</v>
      </c>
      <c r="C341" s="2">
        <f>COUNTIFS(Games[Team],Games[[#This Row],[Team]],Games[Season],Games[[#This Row],[Season]],Games[Date],"&lt;=" &amp; Games[[#This Row],[Date]])</f>
        <v>26</v>
      </c>
      <c r="D341" s="2" t="s">
        <v>23</v>
      </c>
      <c r="E341" s="2" t="s">
        <v>29</v>
      </c>
      <c r="F341" s="1" t="s">
        <v>87</v>
      </c>
      <c r="G341" s="1" t="s">
        <v>68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1</v>
      </c>
      <c r="L341" s="2">
        <f>Games[[#This Row],[OppDaysOff]]-Games[[#This Row],[DaysOff]]</f>
        <v>-1</v>
      </c>
      <c r="M341" s="1">
        <f>MAX(-16, MIN(16, Games[[#This Row],[RestDiff]]*8))</f>
        <v>8</v>
      </c>
      <c r="N341" s="1">
        <f>MAX(-16, MIN(16, Games[[#This Row],[OppRestDiff]]*8))</f>
        <v>-8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1508.3327542904776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1529.5759303921018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0.61143797789825349</v>
      </c>
      <c r="R341" s="1">
        <v>87</v>
      </c>
      <c r="S341" s="1">
        <v>91</v>
      </c>
      <c r="T341" s="1">
        <v>0</v>
      </c>
      <c r="U341" s="1">
        <f>Games[[#This Row],[PointsFor]]-Games[[#This Row],[PointsAgainst]]</f>
        <v>-4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0.30601545146611869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72.099999999999994</v>
      </c>
      <c r="Z341" s="4">
        <f>Games[[#This Row],[K]]*Games[[#This Row],[POMult]]</f>
        <v>72.099999999999994</v>
      </c>
      <c r="AA341" s="4">
        <f>(Games[[#This Row],[Keff]]*Games[[#This Row],[MOVMult]])*(Games[[#This Row],[Result]]-Games[[#This Row],[ExpectedWin%]])</f>
        <v>-13.490592704089666</v>
      </c>
      <c r="AB341" s="4">
        <f>Games[[#This Row],[PreGmRate]]+Games[[#This Row],[RatingChange]]</f>
        <v>1494.8421615863879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40048</v>
      </c>
      <c r="B342" s="2">
        <v>2009</v>
      </c>
      <c r="C342" s="2">
        <f>COUNTIFS(Games[Team],Games[[#This Row],[Team]],Games[Season],Games[[#This Row],[Season]],Games[Date],"&lt;=" &amp; Games[[#This Row],[Date]])</f>
        <v>27</v>
      </c>
      <c r="D342" s="2" t="s">
        <v>23</v>
      </c>
      <c r="E342" s="2" t="s">
        <v>29</v>
      </c>
      <c r="F342" s="1" t="s">
        <v>82</v>
      </c>
      <c r="G342" s="1" t="s">
        <v>73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2" s="2">
        <f>Games[[#This Row],[DaysOff]]-Games[[#This Row],[OppDaysOff]]</f>
        <v>1</v>
      </c>
      <c r="L342" s="2">
        <f>Games[[#This Row],[OppDaysOff]]-Games[[#This Row],[DaysOff]]</f>
        <v>-1</v>
      </c>
      <c r="M342" s="1">
        <f>MAX(-16, MIN(16, Games[[#This Row],[RestDiff]]*8))</f>
        <v>8</v>
      </c>
      <c r="N342" s="1">
        <f>MAX(-16, MIN(16, Games[[#This Row],[OppRestDiff]]*8))</f>
        <v>-8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1481.4206818011883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1499.9840364062256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0.37794055800494264</v>
      </c>
      <c r="R342" s="1">
        <v>84</v>
      </c>
      <c r="S342" s="1">
        <v>99</v>
      </c>
      <c r="T342" s="1">
        <v>0</v>
      </c>
      <c r="U342" s="1">
        <f>Games[[#This Row],[PointsFor]]-Games[[#This Row],[PointsAgainst]]</f>
        <v>-15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0.49518774003350596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71.95</v>
      </c>
      <c r="Z342" s="4">
        <f>Games[[#This Row],[K]]*Games[[#This Row],[POMult]]</f>
        <v>71.95</v>
      </c>
      <c r="AA342" s="4">
        <f>(Games[[#This Row],[Keff]]*Games[[#This Row],[MOVMult]])*(Games[[#This Row],[Result]]-Games[[#This Row],[ExpectedWin%]])</f>
        <v>-13.465552640014547</v>
      </c>
      <c r="AB342" s="4">
        <f>Games[[#This Row],[PreGmRate]]+Games[[#This Row],[RatingChange]]</f>
        <v>1467.9551291611738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40048</v>
      </c>
      <c r="B343" s="2">
        <v>2009</v>
      </c>
      <c r="C343" s="2">
        <f>COUNTIFS(Games[Team],Games[[#This Row],[Team]],Games[Season],Games[[#This Row],[Season]],Games[Date],"&lt;=" &amp; Games[[#This Row],[Date]])</f>
        <v>25</v>
      </c>
      <c r="D343" s="2" t="s">
        <v>23</v>
      </c>
      <c r="E343" s="2" t="s">
        <v>29</v>
      </c>
      <c r="F343" s="1" t="s">
        <v>73</v>
      </c>
      <c r="G343" s="1" t="s">
        <v>82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-1</v>
      </c>
      <c r="L343" s="2">
        <f>Games[[#This Row],[OppDaysOff]]-Games[[#This Row],[DaysOff]]</f>
        <v>1</v>
      </c>
      <c r="M343" s="1">
        <f>MAX(-16, MIN(16, Games[[#This Row],[RestDiff]]*8))</f>
        <v>-8</v>
      </c>
      <c r="N343" s="1">
        <f>MAX(-16, MIN(16, Games[[#This Row],[OppRestDiff]]*8))</f>
        <v>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1499.9840364062256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1481.4206818011883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0.62205944199505736</v>
      </c>
      <c r="R343" s="1">
        <v>99</v>
      </c>
      <c r="S343" s="1">
        <v>84</v>
      </c>
      <c r="T343" s="1">
        <v>0</v>
      </c>
      <c r="U343" s="1">
        <f>Games[[#This Row],[PointsFor]]-Games[[#This Row],[PointsAgainst]]</f>
        <v>15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0.49518774003350596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72.25</v>
      </c>
      <c r="Z343" s="4">
        <f>Games[[#This Row],[K]]*Games[[#This Row],[POMult]]</f>
        <v>72.25</v>
      </c>
      <c r="AA343" s="4">
        <f>(Games[[#This Row],[Keff]]*Games[[#This Row],[MOVMult]])*(Games[[#This Row],[Result]]-Games[[#This Row],[ExpectedWin%]])</f>
        <v>13.521698099250187</v>
      </c>
      <c r="AB343" s="4">
        <f>Games[[#This Row],[PreGmRate]]+Games[[#This Row],[RatingChange]]</f>
        <v>1513.5057345054759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40048</v>
      </c>
      <c r="B344" s="2">
        <v>2009</v>
      </c>
      <c r="C344" s="2">
        <f>COUNTIFS(Games[Team],Games[[#This Row],[Team]],Games[Season],Games[[#This Row],[Season]],Games[Date],"&lt;=" &amp; Games[[#This Row],[Date]])</f>
        <v>27</v>
      </c>
      <c r="D344" s="2" t="s">
        <v>23</v>
      </c>
      <c r="E344" s="2" t="s">
        <v>29</v>
      </c>
      <c r="F344" s="1" t="s">
        <v>75</v>
      </c>
      <c r="G344" s="1" t="s">
        <v>65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-1</v>
      </c>
      <c r="L344" s="2">
        <f>Games[[#This Row],[OppDaysOff]]-Games[[#This Row],[DaysOff]]</f>
        <v>1</v>
      </c>
      <c r="M344" s="1">
        <f>MAX(-16, MIN(16, Games[[#This Row],[RestDiff]]*8))</f>
        <v>-8</v>
      </c>
      <c r="N344" s="1">
        <f>MAX(-16, MIN(16, Games[[#This Row],[OppRestDiff]]*8))</f>
        <v>8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1435.1770737832398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1461.1874417594286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0.32621069384362295</v>
      </c>
      <c r="R344" s="1">
        <v>67</v>
      </c>
      <c r="S344" s="1">
        <v>80</v>
      </c>
      <c r="T344" s="1">
        <v>0</v>
      </c>
      <c r="U344" s="1">
        <f>Games[[#This Row],[PointsFor]]-Games[[#This Row],[PointsAgainst]]</f>
        <v>-13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0.4620291325203072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71.95</v>
      </c>
      <c r="Z344" s="4">
        <f>Games[[#This Row],[K]]*Games[[#This Row],[POMult]]</f>
        <v>71.95</v>
      </c>
      <c r="AA344" s="4">
        <f>(Games[[#This Row],[Keff]]*Games[[#This Row],[MOVMult]])*(Games[[#This Row],[Result]]-Games[[#This Row],[ExpectedWin%]])</f>
        <v>-10.844220818275225</v>
      </c>
      <c r="AB344" s="4">
        <f>Games[[#This Row],[PreGmRate]]+Games[[#This Row],[RatingChange]]</f>
        <v>1424.3328529649646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40048</v>
      </c>
      <c r="B345" s="2">
        <v>2009</v>
      </c>
      <c r="C345" s="2">
        <f>COUNTIFS(Games[Team],Games[[#This Row],[Team]],Games[Season],Games[[#This Row],[Season]],Games[Date],"&lt;=" &amp; Games[[#This Row],[Date]])</f>
        <v>27</v>
      </c>
      <c r="D345" s="2" t="s">
        <v>23</v>
      </c>
      <c r="E345" s="2" t="s">
        <v>29</v>
      </c>
      <c r="F345" s="1" t="s">
        <v>65</v>
      </c>
      <c r="G345" s="1" t="s">
        <v>75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5" s="2">
        <f>Games[[#This Row],[DaysOff]]-Games[[#This Row],[OppDaysOff]]</f>
        <v>1</v>
      </c>
      <c r="L345" s="2">
        <f>Games[[#This Row],[OppDaysOff]]-Games[[#This Row],[DaysOff]]</f>
        <v>-1</v>
      </c>
      <c r="M345" s="1">
        <f>MAX(-16, MIN(16, Games[[#This Row],[RestDiff]]*8))</f>
        <v>8</v>
      </c>
      <c r="N345" s="1">
        <f>MAX(-16, MIN(16, Games[[#This Row],[OppRestDiff]]*8))</f>
        <v>-8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1461.1874417594286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1435.1770737832398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0.673789306156377</v>
      </c>
      <c r="R345" s="1">
        <v>80</v>
      </c>
      <c r="S345" s="1">
        <v>67</v>
      </c>
      <c r="T345" s="1">
        <v>0</v>
      </c>
      <c r="U345" s="1">
        <f>Games[[#This Row],[PointsFor]]-Games[[#This Row],[PointsAgainst]]</f>
        <v>13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0.4620291325203072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71.95</v>
      </c>
      <c r="Z345" s="4">
        <f>Games[[#This Row],[K]]*Games[[#This Row],[POMult]]</f>
        <v>71.95</v>
      </c>
      <c r="AA345" s="4">
        <f>(Games[[#This Row],[Keff]]*Games[[#This Row],[MOVMult]])*(Games[[#This Row],[Result]]-Games[[#This Row],[ExpectedWin%]])</f>
        <v>10.844220818275227</v>
      </c>
      <c r="AB345" s="4">
        <f>Games[[#This Row],[PreGmRate]]+Games[[#This Row],[RatingChange]]</f>
        <v>1472.0316625777039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40050</v>
      </c>
      <c r="B346" s="2">
        <v>2009</v>
      </c>
      <c r="C346" s="2">
        <f>COUNTIFS(Games[Team],Games[[#This Row],[Team]],Games[Season],Games[[#This Row],[Season]],Games[Date],"&lt;=" &amp; Games[[#This Row],[Date]])</f>
        <v>28</v>
      </c>
      <c r="D346" s="2" t="s">
        <v>23</v>
      </c>
      <c r="E346" s="2" t="s">
        <v>29</v>
      </c>
      <c r="F346" s="1" t="s">
        <v>45</v>
      </c>
      <c r="G346" s="1" t="s">
        <v>87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1</v>
      </c>
      <c r="L346" s="2">
        <f>Games[[#This Row],[OppDaysOff]]-Games[[#This Row],[DaysOff]]</f>
        <v>-1</v>
      </c>
      <c r="M346" s="1">
        <f>MAX(-16, MIN(16, Games[[#This Row],[RestDiff]]*8))</f>
        <v>8</v>
      </c>
      <c r="N346" s="1">
        <f>MAX(-16, MIN(16, Games[[#This Row],[OppRestDiff]]*8))</f>
        <v>-8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1447.8072004577364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1494.8421615863879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0.34024682747303936</v>
      </c>
      <c r="R346" s="1">
        <v>83</v>
      </c>
      <c r="S346" s="1">
        <v>103</v>
      </c>
      <c r="T346" s="1">
        <v>0</v>
      </c>
      <c r="U346" s="1">
        <f>Games[[#This Row],[PointsFor]]-Games[[#This Row],[PointsAgainst]]</f>
        <v>-20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0.55320408186971171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71.8</v>
      </c>
      <c r="Z346" s="4">
        <f>Games[[#This Row],[K]]*Games[[#This Row],[POMult]]</f>
        <v>71.8</v>
      </c>
      <c r="AA346" s="4">
        <f>(Games[[#This Row],[Keff]]*Games[[#This Row],[MOVMult]])*(Games[[#This Row],[Result]]-Games[[#This Row],[ExpectedWin%]])</f>
        <v>-13.514622046933695</v>
      </c>
      <c r="AB346" s="4">
        <f>Games[[#This Row],[PreGmRate]]+Games[[#This Row],[RatingChange]]</f>
        <v>1434.2925784108027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40050</v>
      </c>
      <c r="B347" s="2">
        <v>2009</v>
      </c>
      <c r="C347" s="2">
        <f>COUNTIFS(Games[Team],Games[[#This Row],[Team]],Games[Season],Games[[#This Row],[Season]],Games[Date],"&lt;=" &amp; Games[[#This Row],[Date]])</f>
        <v>27</v>
      </c>
      <c r="D347" s="2" t="s">
        <v>23</v>
      </c>
      <c r="E347" s="2" t="s">
        <v>29</v>
      </c>
      <c r="F347" s="1" t="s">
        <v>87</v>
      </c>
      <c r="G347" s="1" t="s">
        <v>45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7" s="2">
        <f>Games[[#This Row],[DaysOff]]-Games[[#This Row],[OppDaysOff]]</f>
        <v>-1</v>
      </c>
      <c r="L347" s="2">
        <f>Games[[#This Row],[OppDaysOff]]-Games[[#This Row],[DaysOff]]</f>
        <v>1</v>
      </c>
      <c r="M347" s="1">
        <f>MAX(-16, MIN(16, Games[[#This Row],[RestDiff]]*8))</f>
        <v>-8</v>
      </c>
      <c r="N347" s="1">
        <f>MAX(-16, MIN(16, Games[[#This Row],[OppRestDiff]]*8))</f>
        <v>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1494.8421615863879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1447.8072004577364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0.65975317252696064</v>
      </c>
      <c r="R347" s="1">
        <v>103</v>
      </c>
      <c r="S347" s="1">
        <v>83</v>
      </c>
      <c r="T347" s="1">
        <v>0</v>
      </c>
      <c r="U347" s="1">
        <f>Games[[#This Row],[PointsFor]]-Games[[#This Row],[PointsAgainst]]</f>
        <v>20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0.55320408186971171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71.95</v>
      </c>
      <c r="Z347" s="4">
        <f>Games[[#This Row],[K]]*Games[[#This Row],[POMult]]</f>
        <v>71.95</v>
      </c>
      <c r="AA347" s="4">
        <f>(Games[[#This Row],[Keff]]*Games[[#This Row],[MOVMult]])*(Games[[#This Row],[Result]]-Games[[#This Row],[ExpectedWin%]])</f>
        <v>13.542855937003891</v>
      </c>
      <c r="AB347" s="4">
        <f>Games[[#This Row],[PreGmRate]]+Games[[#This Row],[RatingChange]]</f>
        <v>1508.3850175233918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40050</v>
      </c>
      <c r="B348" s="2">
        <v>2009</v>
      </c>
      <c r="C348" s="2">
        <f>COUNTIFS(Games[Team],Games[[#This Row],[Team]],Games[Season],Games[[#This Row],[Season]],Games[Date],"&lt;=" &amp; Games[[#This Row],[Date]])</f>
        <v>26</v>
      </c>
      <c r="D348" s="2" t="s">
        <v>23</v>
      </c>
      <c r="E348" s="2" t="s">
        <v>29</v>
      </c>
      <c r="F348" s="1" t="s">
        <v>73</v>
      </c>
      <c r="G348" s="1" t="s">
        <v>84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8" s="2">
        <f>Games[[#This Row],[DaysOff]]-Games[[#This Row],[OppDaysOff]]</f>
        <v>-1</v>
      </c>
      <c r="L348" s="2">
        <f>Games[[#This Row],[OppDaysOff]]-Games[[#This Row],[DaysOff]]</f>
        <v>1</v>
      </c>
      <c r="M348" s="1">
        <f>MAX(-16, MIN(16, Games[[#This Row],[RestDiff]]*8))</f>
        <v>-8</v>
      </c>
      <c r="N348" s="1">
        <f>MAX(-16, MIN(16, Games[[#This Row],[OppRestDiff]]*8))</f>
        <v>8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1513.5057345054759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1547.4526887145014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0.31624971103540639</v>
      </c>
      <c r="R348" s="1">
        <v>90</v>
      </c>
      <c r="S348" s="1">
        <v>70</v>
      </c>
      <c r="T348" s="1">
        <v>0</v>
      </c>
      <c r="U348" s="1">
        <f>Games[[#This Row],[PointsFor]]-Games[[#This Row],[PointsAgainst]]</f>
        <v>20</v>
      </c>
      <c r="V348" s="1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0.55907170756203106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72.099999999999994</v>
      </c>
      <c r="Z348" s="4">
        <f>Games[[#This Row],[K]]*Games[[#This Row],[POMult]]</f>
        <v>72.099999999999994</v>
      </c>
      <c r="AA348" s="4">
        <f>(Games[[#This Row],[Keff]]*Games[[#This Row],[MOVMult]])*(Games[[#This Row],[Result]]-Games[[#This Row],[ExpectedWin%]])</f>
        <v>27.561338339177411</v>
      </c>
      <c r="AB348" s="4">
        <f>Games[[#This Row],[PreGmRate]]+Games[[#This Row],[RatingChange]]</f>
        <v>1541.0670728446532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40050</v>
      </c>
      <c r="B349" s="2">
        <v>2009</v>
      </c>
      <c r="C349" s="2">
        <f>COUNTIFS(Games[Team],Games[[#This Row],[Team]],Games[Season],Games[[#This Row],[Season]],Games[Date],"&lt;=" &amp; Games[[#This Row],[Date]])</f>
        <v>27</v>
      </c>
      <c r="D349" s="2" t="s">
        <v>23</v>
      </c>
      <c r="E349" s="2" t="s">
        <v>29</v>
      </c>
      <c r="F349" s="1" t="s">
        <v>84</v>
      </c>
      <c r="G349" s="1" t="s">
        <v>73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1</v>
      </c>
      <c r="L349" s="2">
        <f>Games[[#This Row],[OppDaysOff]]-Games[[#This Row],[DaysOff]]</f>
        <v>-1</v>
      </c>
      <c r="M349" s="1">
        <f>MAX(-16, MIN(16, Games[[#This Row],[RestDiff]]*8))</f>
        <v>8</v>
      </c>
      <c r="N349" s="1">
        <f>MAX(-16, MIN(16, Games[[#This Row],[OppRestDiff]]*8))</f>
        <v>-8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1547.4526887145014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1513.5057345054759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0.68375028896459367</v>
      </c>
      <c r="R349" s="1">
        <v>70</v>
      </c>
      <c r="S349" s="1">
        <v>90</v>
      </c>
      <c r="T349" s="1">
        <v>0</v>
      </c>
      <c r="U349" s="1">
        <f>Games[[#This Row],[PointsFor]]-Games[[#This Row],[PointsAgainst]]</f>
        <v>-20</v>
      </c>
      <c r="V349" s="1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0.55907170756203106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71.95</v>
      </c>
      <c r="Z349" s="4">
        <f>Games[[#This Row],[K]]*Games[[#This Row],[POMult]]</f>
        <v>71.95</v>
      </c>
      <c r="AA349" s="4">
        <f>(Games[[#This Row],[Keff]]*Games[[#This Row],[MOVMult]])*(Games[[#This Row],[Result]]-Games[[#This Row],[ExpectedWin%]])</f>
        <v>-27.503998522937788</v>
      </c>
      <c r="AB349" s="4">
        <f>Games[[#This Row],[PreGmRate]]+Games[[#This Row],[RatingChange]]</f>
        <v>1519.9486901915636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40050</v>
      </c>
      <c r="B350" s="2">
        <v>2009</v>
      </c>
      <c r="C350" s="2">
        <f>COUNTIFS(Games[Team],Games[[#This Row],[Team]],Games[Season],Games[[#This Row],[Season]],Games[Date],"&lt;=" &amp; Games[[#This Row],[Date]])</f>
        <v>28</v>
      </c>
      <c r="D350" s="2" t="s">
        <v>23</v>
      </c>
      <c r="E350" s="2" t="s">
        <v>29</v>
      </c>
      <c r="F350" s="1" t="s">
        <v>85</v>
      </c>
      <c r="G350" s="1" t="s">
        <v>68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1</v>
      </c>
      <c r="L350" s="2">
        <f>Games[[#This Row],[OppDaysOff]]-Games[[#This Row],[DaysOff]]</f>
        <v>-1</v>
      </c>
      <c r="M350" s="1">
        <f>MAX(-16, MIN(16, Games[[#This Row],[RestDiff]]*8))</f>
        <v>8</v>
      </c>
      <c r="N350" s="1">
        <f>MAX(-16, MIN(16, Games[[#This Row],[OppRestDiff]]*8))</f>
        <v>-8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1447.8018321135078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1543.0665230961915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0.28093526704798</v>
      </c>
      <c r="R350" s="1">
        <v>63</v>
      </c>
      <c r="S350" s="1">
        <v>75</v>
      </c>
      <c r="T350" s="1">
        <v>0</v>
      </c>
      <c r="U350" s="1">
        <f>Games[[#This Row],[PointsFor]]-Games[[#This Row],[PointsAgainst]]</f>
        <v>-12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0.42258183636317959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71.8</v>
      </c>
      <c r="Z350" s="4">
        <f>Games[[#This Row],[K]]*Games[[#This Row],[POMult]]</f>
        <v>71.8</v>
      </c>
      <c r="AA350" s="4">
        <f>(Games[[#This Row],[Keff]]*Games[[#This Row],[MOVMult]])*(Games[[#This Row],[Result]]-Games[[#This Row],[ExpectedWin%]])</f>
        <v>-8.5239625272690631</v>
      </c>
      <c r="AB350" s="4">
        <f>Games[[#This Row],[PreGmRate]]+Games[[#This Row],[RatingChange]]</f>
        <v>1439.2778695862387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40050</v>
      </c>
      <c r="B351" s="2">
        <v>2009</v>
      </c>
      <c r="C351" s="2">
        <f>COUNTIFS(Games[Team],Games[[#This Row],[Team]],Games[Season],Games[[#This Row],[Season]],Games[Date],"&lt;=" &amp; Games[[#This Row],[Date]])</f>
        <v>27</v>
      </c>
      <c r="D351" s="2" t="s">
        <v>23</v>
      </c>
      <c r="E351" s="2" t="s">
        <v>29</v>
      </c>
      <c r="F351" s="1" t="s">
        <v>68</v>
      </c>
      <c r="G351" s="1" t="s">
        <v>85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1" s="2">
        <f>Games[[#This Row],[DaysOff]]-Games[[#This Row],[OppDaysOff]]</f>
        <v>-1</v>
      </c>
      <c r="L351" s="2">
        <f>Games[[#This Row],[OppDaysOff]]-Games[[#This Row],[DaysOff]]</f>
        <v>1</v>
      </c>
      <c r="M351" s="1">
        <f>MAX(-16, MIN(16, Games[[#This Row],[RestDiff]]*8))</f>
        <v>-8</v>
      </c>
      <c r="N351" s="1">
        <f>MAX(-16, MIN(16, Games[[#This Row],[OppRestDiff]]*8))</f>
        <v>8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1543.0665230961915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1447.8018321135078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0.71906473295202</v>
      </c>
      <c r="R351" s="1">
        <v>75</v>
      </c>
      <c r="S351" s="1">
        <v>63</v>
      </c>
      <c r="T351" s="1">
        <v>0</v>
      </c>
      <c r="U351" s="1">
        <f>Games[[#This Row],[PointsFor]]-Games[[#This Row],[PointsAgainst]]</f>
        <v>12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0.42258183636317959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71.95</v>
      </c>
      <c r="Z351" s="4">
        <f>Games[[#This Row],[K]]*Games[[#This Row],[POMult]]</f>
        <v>71.95</v>
      </c>
      <c r="AA351" s="4">
        <f>(Games[[#This Row],[Keff]]*Games[[#This Row],[MOVMult]])*(Games[[#This Row],[Result]]-Games[[#This Row],[ExpectedWin%]])</f>
        <v>8.5417702484263103</v>
      </c>
      <c r="AB351" s="4">
        <f>Games[[#This Row],[PreGmRate]]+Games[[#This Row],[RatingChange]]</f>
        <v>1551.6082933446178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40050</v>
      </c>
      <c r="B352" s="2">
        <v>2009</v>
      </c>
      <c r="C352" s="2">
        <f>COUNTIFS(Games[Team],Games[[#This Row],[Team]],Games[Season],Games[[#This Row],[Season]],Games[Date],"&lt;=" &amp; Games[[#This Row],[Date]])</f>
        <v>28</v>
      </c>
      <c r="D352" s="2" t="s">
        <v>23</v>
      </c>
      <c r="E352" s="2" t="s">
        <v>29</v>
      </c>
      <c r="F352" s="1" t="s">
        <v>71</v>
      </c>
      <c r="G352" s="1" t="s">
        <v>79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1438.9687107896857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1548.4780337935936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0.24713908896855946</v>
      </c>
      <c r="R352" s="1">
        <v>68</v>
      </c>
      <c r="S352" s="1">
        <v>78</v>
      </c>
      <c r="T352" s="1">
        <v>0</v>
      </c>
      <c r="U352" s="1">
        <f>Games[[#This Row],[PointsFor]]-Games[[#This Row],[PointsAgainst]]</f>
        <v>-10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0.38774495933636466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71.8</v>
      </c>
      <c r="Z352" s="4">
        <f>Games[[#This Row],[K]]*Games[[#This Row],[POMult]]</f>
        <v>71.8</v>
      </c>
      <c r="AA352" s="4">
        <f>(Games[[#This Row],[Keff]]*Games[[#This Row],[MOVMult]])*(Games[[#This Row],[Result]]-Games[[#This Row],[ExpectedWin%]])</f>
        <v>-6.8803740049823929</v>
      </c>
      <c r="AB352" s="4">
        <f>Games[[#This Row],[PreGmRate]]+Games[[#This Row],[RatingChange]]</f>
        <v>1432.0883367847034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40050</v>
      </c>
      <c r="B353" s="2">
        <v>2009</v>
      </c>
      <c r="C353" s="2">
        <f>COUNTIFS(Games[Team],Games[[#This Row],[Team]],Games[Season],Games[[#This Row],[Season]],Games[Date],"&lt;=" &amp; Games[[#This Row],[Date]])</f>
        <v>27</v>
      </c>
      <c r="D353" s="2" t="s">
        <v>23</v>
      </c>
      <c r="E353" s="2" t="s">
        <v>29</v>
      </c>
      <c r="F353" s="1" t="s">
        <v>79</v>
      </c>
      <c r="G353" s="1" t="s">
        <v>71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1548.4780337935936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1438.9687107896857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0.75286091103144048</v>
      </c>
      <c r="R353" s="1">
        <v>78</v>
      </c>
      <c r="S353" s="1">
        <v>68</v>
      </c>
      <c r="T353" s="1">
        <v>0</v>
      </c>
      <c r="U353" s="1">
        <f>Games[[#This Row],[PointsFor]]-Games[[#This Row],[PointsAgainst]]</f>
        <v>10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0.38774495933636466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71.95</v>
      </c>
      <c r="Z353" s="4">
        <f>Games[[#This Row],[K]]*Games[[#This Row],[POMult]]</f>
        <v>71.95</v>
      </c>
      <c r="AA353" s="4">
        <f>(Games[[#This Row],[Keff]]*Games[[#This Row],[MOVMult]])*(Games[[#This Row],[Result]]-Games[[#This Row],[ExpectedWin%]])</f>
        <v>6.8947480453827756</v>
      </c>
      <c r="AB353" s="4">
        <f>Games[[#This Row],[PreGmRate]]+Games[[#This Row],[RatingChange]]</f>
        <v>1555.3727818389764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40052</v>
      </c>
      <c r="B354" s="2">
        <v>2009</v>
      </c>
      <c r="C354" s="2">
        <f>COUNTIFS(Games[Team],Games[[#This Row],[Team]],Games[Season],Games[[#This Row],[Season]],Games[Date],"&lt;=" &amp; Games[[#This Row],[Date]])</f>
        <v>28</v>
      </c>
      <c r="D354" s="2" t="s">
        <v>23</v>
      </c>
      <c r="E354" s="2" t="s">
        <v>29</v>
      </c>
      <c r="F354" s="1" t="s">
        <v>87</v>
      </c>
      <c r="G354" s="1" t="s">
        <v>73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1508.3850175233918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1541.0670728446532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0.33812167970700618</v>
      </c>
      <c r="R354" s="1">
        <v>83</v>
      </c>
      <c r="S354" s="1">
        <v>87</v>
      </c>
      <c r="T354" s="1">
        <v>0</v>
      </c>
      <c r="U354" s="1">
        <f>Games[[#This Row],[PointsFor]]-Games[[#This Row],[PointsAgainst]]</f>
        <v>-4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0.30317572992271435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71.8</v>
      </c>
      <c r="Z354" s="4">
        <f>Games[[#This Row],[K]]*Games[[#This Row],[POMult]]</f>
        <v>71.8</v>
      </c>
      <c r="AA354" s="4">
        <f>(Games[[#This Row],[Keff]]*Games[[#This Row],[MOVMult]])*(Games[[#This Row],[Result]]-Games[[#This Row],[ExpectedWin%]])</f>
        <v>-7.3602386100367667</v>
      </c>
      <c r="AB354" s="4">
        <f>Games[[#This Row],[PreGmRate]]+Games[[#This Row],[RatingChange]]</f>
        <v>1501.024778913355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40052</v>
      </c>
      <c r="B355" s="2">
        <v>2009</v>
      </c>
      <c r="C355" s="2">
        <f>COUNTIFS(Games[Team],Games[[#This Row],[Team]],Games[Season],Games[[#This Row],[Season]],Games[Date],"&lt;=" &amp; Games[[#This Row],[Date]])</f>
        <v>27</v>
      </c>
      <c r="D355" s="2" t="s">
        <v>23</v>
      </c>
      <c r="E355" s="2" t="s">
        <v>29</v>
      </c>
      <c r="F355" s="1" t="s">
        <v>73</v>
      </c>
      <c r="G355" s="1" t="s">
        <v>87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1541.0670728446532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1508.3850175233918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0.66187832029299387</v>
      </c>
      <c r="R355" s="1">
        <v>87</v>
      </c>
      <c r="S355" s="1">
        <v>83</v>
      </c>
      <c r="T355" s="1">
        <v>0</v>
      </c>
      <c r="U355" s="1">
        <f>Games[[#This Row],[PointsFor]]-Games[[#This Row],[PointsAgainst]]</f>
        <v>4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0.30317572992271435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71.95</v>
      </c>
      <c r="Z355" s="4">
        <f>Games[[#This Row],[K]]*Games[[#This Row],[POMult]]</f>
        <v>71.95</v>
      </c>
      <c r="AA355" s="4">
        <f>(Games[[#This Row],[Keff]]*Games[[#This Row],[MOVMult]])*(Games[[#This Row],[Result]]-Games[[#This Row],[ExpectedWin%]])</f>
        <v>7.3756151530939462</v>
      </c>
      <c r="AB355" s="4">
        <f>Games[[#This Row],[PreGmRate]]+Games[[#This Row],[RatingChange]]</f>
        <v>1548.4426879977473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40052</v>
      </c>
      <c r="B356" s="2">
        <v>2009</v>
      </c>
      <c r="C356" s="2">
        <f>COUNTIFS(Games[Team],Games[[#This Row],[Team]],Games[Season],Games[[#This Row],[Season]],Games[Date],"&lt;=" &amp; Games[[#This Row],[Date]])</f>
        <v>28</v>
      </c>
      <c r="D356" s="2" t="s">
        <v>23</v>
      </c>
      <c r="E356" s="2" t="s">
        <v>29</v>
      </c>
      <c r="F356" s="1" t="s">
        <v>82</v>
      </c>
      <c r="G356" s="1" t="s">
        <v>77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56" s="2">
        <f>Games[[#This Row],[DaysOff]]-Games[[#This Row],[OppDaysOff]]</f>
        <v>-1</v>
      </c>
      <c r="L356" s="2">
        <f>Games[[#This Row],[OppDaysOff]]-Games[[#This Row],[DaysOff]]</f>
        <v>1</v>
      </c>
      <c r="M356" s="1">
        <f>MAX(-16, MIN(16, Games[[#This Row],[RestDiff]]*8))</f>
        <v>-8</v>
      </c>
      <c r="N356" s="1">
        <f>MAX(-16, MIN(16, Games[[#This Row],[OppRestDiff]]*8))</f>
        <v>8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1467.9551291611738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1602.804618556549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0.20555953757899534</v>
      </c>
      <c r="R356" s="1">
        <v>66</v>
      </c>
      <c r="S356" s="1">
        <v>77</v>
      </c>
      <c r="T356" s="1">
        <v>0</v>
      </c>
      <c r="U356" s="1">
        <f>Games[[#This Row],[PointsFor]]-Games[[#This Row],[PointsAgainst]]</f>
        <v>-11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0.39540275402002661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71.8</v>
      </c>
      <c r="Z356" s="4">
        <f>Games[[#This Row],[K]]*Games[[#This Row],[POMult]]</f>
        <v>71.8</v>
      </c>
      <c r="AA356" s="4">
        <f>(Games[[#This Row],[Keff]]*Games[[#This Row],[MOVMult]])*(Games[[#This Row],[Result]]-Games[[#This Row],[ExpectedWin%]])</f>
        <v>-5.8358183622601256</v>
      </c>
      <c r="AB356" s="4">
        <f>Games[[#This Row],[PreGmRate]]+Games[[#This Row],[RatingChange]]</f>
        <v>1462.1193107989136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40052</v>
      </c>
      <c r="B357" s="2">
        <v>2009</v>
      </c>
      <c r="C357" s="2">
        <f>COUNTIFS(Games[Team],Games[[#This Row],[Team]],Games[Season],Games[[#This Row],[Season]],Games[Date],"&lt;=" &amp; Games[[#This Row],[Date]])</f>
        <v>27</v>
      </c>
      <c r="D357" s="2" t="s">
        <v>23</v>
      </c>
      <c r="E357" s="2" t="s">
        <v>29</v>
      </c>
      <c r="F357" s="1" t="s">
        <v>77</v>
      </c>
      <c r="G357" s="1" t="s">
        <v>82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7" s="2">
        <f>Games[[#This Row],[DaysOff]]-Games[[#This Row],[OppDaysOff]]</f>
        <v>1</v>
      </c>
      <c r="L357" s="2">
        <f>Games[[#This Row],[OppDaysOff]]-Games[[#This Row],[DaysOff]]</f>
        <v>-1</v>
      </c>
      <c r="M357" s="1">
        <f>MAX(-16, MIN(16, Games[[#This Row],[RestDiff]]*8))</f>
        <v>8</v>
      </c>
      <c r="N357" s="1">
        <f>MAX(-16, MIN(16, Games[[#This Row],[OppRestDiff]]*8))</f>
        <v>-8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1602.804618556549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1467.9551291611738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0.79444046242100463</v>
      </c>
      <c r="R357" s="1">
        <v>77</v>
      </c>
      <c r="S357" s="1">
        <v>66</v>
      </c>
      <c r="T357" s="1">
        <v>0</v>
      </c>
      <c r="U357" s="1">
        <f>Games[[#This Row],[PointsFor]]-Games[[#This Row],[PointsAgainst]]</f>
        <v>11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0.39540275402002661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71.95</v>
      </c>
      <c r="Z357" s="4">
        <f>Games[[#This Row],[K]]*Games[[#This Row],[POMult]]</f>
        <v>71.95</v>
      </c>
      <c r="AA357" s="4">
        <f>(Games[[#This Row],[Keff]]*Games[[#This Row],[MOVMult]])*(Games[[#This Row],[Result]]-Games[[#This Row],[ExpectedWin%]])</f>
        <v>5.8480101833511995</v>
      </c>
      <c r="AB357" s="4">
        <f>Games[[#This Row],[PreGmRate]]+Games[[#This Row],[RatingChange]]</f>
        <v>1608.6526287399001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40052</v>
      </c>
      <c r="B358" s="2">
        <v>2009</v>
      </c>
      <c r="C358" s="2">
        <f>COUNTIFS(Games[Team],Games[[#This Row],[Team]],Games[Season],Games[[#This Row],[Season]],Games[Date],"&lt;=" &amp; Games[[#This Row],[Date]])</f>
        <v>28</v>
      </c>
      <c r="D358" s="2" t="s">
        <v>23</v>
      </c>
      <c r="E358" s="2" t="s">
        <v>29</v>
      </c>
      <c r="F358" s="1" t="s">
        <v>44</v>
      </c>
      <c r="G358" s="1" t="s">
        <v>68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4</v>
      </c>
      <c r="L358" s="2">
        <f>Games[[#This Row],[OppDaysOff]]-Games[[#This Row],[DaysOff]]</f>
        <v>-4</v>
      </c>
      <c r="M358" s="1">
        <f>MAX(-16, MIN(16, Games[[#This Row],[RestDiff]]*8))</f>
        <v>16</v>
      </c>
      <c r="N358" s="1">
        <f>MAX(-16, MIN(16, Games[[#This Row],[OppRestDiff]]*8))</f>
        <v>-16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1568.1556215993442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1551.6082933446178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0.44915585096926736</v>
      </c>
      <c r="R358" s="1">
        <v>98</v>
      </c>
      <c r="S358" s="1">
        <v>90</v>
      </c>
      <c r="T358" s="1">
        <v>0</v>
      </c>
      <c r="U358" s="1">
        <f>Games[[#This Row],[PointsFor]]-Games[[#This Row],[PointsAgainst]]</f>
        <v>8</v>
      </c>
      <c r="V358" s="1">
        <f>IF(Games[[#This Row],[MOV]]&gt;0,1,IF(Games[[#This Row],[MOV]]=0,0.5,0))</f>
        <v>1</v>
      </c>
      <c r="W358" s="4">
        <f>((ABS(Games[[#This Row],[MOV]])+5)^0.6)/(12+0.01*(ABS(Games[[#This Row],[PreGmRate]]-Games[[#This Row],[OppPreGmRate]])))*IF(Games[[#This Row],[OT]]=1,0.9,1)</f>
        <v>0.38303371449765561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71.8</v>
      </c>
      <c r="Z358" s="4">
        <f>Games[[#This Row],[K]]*Games[[#This Row],[POMult]]</f>
        <v>71.8</v>
      </c>
      <c r="AA358" s="4">
        <f>(Games[[#This Row],[Keff]]*Games[[#This Row],[MOVMult]])*(Games[[#This Row],[Result]]-Games[[#This Row],[ExpectedWin%]])</f>
        <v>15.149217020800494</v>
      </c>
      <c r="AB358" s="4">
        <f>Games[[#This Row],[PreGmRate]]+Games[[#This Row],[RatingChange]]</f>
        <v>1583.3048386201447</v>
      </c>
      <c r="AC358" s="2">
        <f>IF(Games[[#This Row],[Type]]="R",IF(Games[[#This Row],[Result]]&gt;0.5,1,0),0)</f>
        <v>1</v>
      </c>
      <c r="AD358" s="2">
        <f>IF(Games[[#This Row],[Type]]="R",IF(Games[[#This Row],[Result]]&lt;0.5,1,0),0)</f>
        <v>0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40052</v>
      </c>
      <c r="B359" s="2">
        <v>2009</v>
      </c>
      <c r="C359" s="2">
        <f>COUNTIFS(Games[Team],Games[[#This Row],[Team]],Games[Season],Games[[#This Row],[Season]],Games[Date],"&lt;=" &amp; Games[[#This Row],[Date]])</f>
        <v>28</v>
      </c>
      <c r="D359" s="2" t="s">
        <v>23</v>
      </c>
      <c r="E359" s="2" t="s">
        <v>29</v>
      </c>
      <c r="F359" s="1" t="s">
        <v>68</v>
      </c>
      <c r="G359" s="1" t="s">
        <v>44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59" s="2">
        <f>Games[[#This Row],[DaysOff]]-Games[[#This Row],[OppDaysOff]]</f>
        <v>-4</v>
      </c>
      <c r="L359" s="2">
        <f>Games[[#This Row],[OppDaysOff]]-Games[[#This Row],[DaysOff]]</f>
        <v>4</v>
      </c>
      <c r="M359" s="1">
        <f>MAX(-16, MIN(16, Games[[#This Row],[RestDiff]]*8))</f>
        <v>-16</v>
      </c>
      <c r="N359" s="1">
        <f>MAX(-16, MIN(16, Games[[#This Row],[OppRestDiff]]*8))</f>
        <v>16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1551.6082933446178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1568.1556215993442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0.55084414903073264</v>
      </c>
      <c r="R359" s="1">
        <v>90</v>
      </c>
      <c r="S359" s="1">
        <v>98</v>
      </c>
      <c r="T359" s="1">
        <v>0</v>
      </c>
      <c r="U359" s="1">
        <f>Games[[#This Row],[PointsFor]]-Games[[#This Row],[PointsAgainst]]</f>
        <v>-8</v>
      </c>
      <c r="V359" s="1">
        <f>IF(Games[[#This Row],[MOV]]&gt;0,1,IF(Games[[#This Row],[MOV]]=0,0.5,0))</f>
        <v>0</v>
      </c>
      <c r="W359" s="4">
        <f>((ABS(Games[[#This Row],[MOV]])+5)^0.6)/(12+0.01*(ABS(Games[[#This Row],[PreGmRate]]-Games[[#This Row],[OppPreGmRate]])))*IF(Games[[#This Row],[OT]]=1,0.9,1)</f>
        <v>0.38303371449765561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71.8</v>
      </c>
      <c r="Z359" s="4">
        <f>Games[[#This Row],[K]]*Games[[#This Row],[POMult]]</f>
        <v>71.8</v>
      </c>
      <c r="AA359" s="4">
        <f>(Games[[#This Row],[Keff]]*Games[[#This Row],[MOVMult]])*(Games[[#This Row],[Result]]-Games[[#This Row],[ExpectedWin%]])</f>
        <v>-15.149217020800494</v>
      </c>
      <c r="AB359" s="4">
        <f>Games[[#This Row],[PreGmRate]]+Games[[#This Row],[RatingChange]]</f>
        <v>1536.4590763238173</v>
      </c>
      <c r="AC359" s="2">
        <f>IF(Games[[#This Row],[Type]]="R",IF(Games[[#This Row],[Result]]&gt;0.5,1,0),0)</f>
        <v>0</v>
      </c>
      <c r="AD359" s="2">
        <f>IF(Games[[#This Row],[Type]]="R",IF(Games[[#This Row],[Result]]&lt;0.5,1,0),0)</f>
        <v>1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40052</v>
      </c>
      <c r="B360" s="2">
        <v>2009</v>
      </c>
      <c r="C360" s="2">
        <f>COUNTIFS(Games[Team],Games[[#This Row],[Team]],Games[Season],Games[[#This Row],[Season]],Games[Date],"&lt;=" &amp; Games[[#This Row],[Date]])</f>
        <v>28</v>
      </c>
      <c r="D360" s="2" t="s">
        <v>23</v>
      </c>
      <c r="E360" s="2" t="s">
        <v>29</v>
      </c>
      <c r="F360" s="1" t="s">
        <v>84</v>
      </c>
      <c r="G360" s="1" t="s">
        <v>79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1519.9486901915636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1555.3727818389764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0.33459827276186993</v>
      </c>
      <c r="R360" s="1">
        <v>74</v>
      </c>
      <c r="S360" s="1">
        <v>86</v>
      </c>
      <c r="T360" s="1">
        <v>0</v>
      </c>
      <c r="U360" s="1">
        <f>Games[[#This Row],[PointsFor]]-Games[[#This Row],[PointsAgainst]]</f>
        <v>-12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0.44305055680269417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71.8</v>
      </c>
      <c r="Z360" s="4">
        <f>Games[[#This Row],[K]]*Games[[#This Row],[POMult]]</f>
        <v>71.8</v>
      </c>
      <c r="AA360" s="4">
        <f>(Games[[#This Row],[Keff]]*Games[[#This Row],[MOVMult]])*(Games[[#This Row],[Result]]-Games[[#This Row],[ExpectedWin%]])</f>
        <v>-10.643915685559893</v>
      </c>
      <c r="AB360" s="4">
        <f>Games[[#This Row],[PreGmRate]]+Games[[#This Row],[RatingChange]]</f>
        <v>1509.3047745060037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40052</v>
      </c>
      <c r="B361" s="2">
        <v>2009</v>
      </c>
      <c r="C361" s="2">
        <f>COUNTIFS(Games[Team],Games[[#This Row],[Team]],Games[Season],Games[[#This Row],[Season]],Games[Date],"&lt;=" &amp; Games[[#This Row],[Date]])</f>
        <v>28</v>
      </c>
      <c r="D361" s="2" t="s">
        <v>23</v>
      </c>
      <c r="E361" s="2" t="s">
        <v>29</v>
      </c>
      <c r="F361" s="1" t="s">
        <v>79</v>
      </c>
      <c r="G361" s="1" t="s">
        <v>84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1555.3727818389764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1519.9486901915636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0.66540172723813007</v>
      </c>
      <c r="R361" s="1">
        <v>86</v>
      </c>
      <c r="S361" s="1">
        <v>74</v>
      </c>
      <c r="T361" s="1">
        <v>0</v>
      </c>
      <c r="U361" s="1">
        <f>Games[[#This Row],[PointsFor]]-Games[[#This Row],[PointsAgainst]]</f>
        <v>12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0.44305055680269417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71.8</v>
      </c>
      <c r="Z361" s="4">
        <f>Games[[#This Row],[K]]*Games[[#This Row],[POMult]]</f>
        <v>71.8</v>
      </c>
      <c r="AA361" s="4">
        <f>(Games[[#This Row],[Keff]]*Games[[#This Row],[MOVMult]])*(Games[[#This Row],[Result]]-Games[[#This Row],[ExpectedWin%]])</f>
        <v>10.643915685559893</v>
      </c>
      <c r="AB361" s="4">
        <f>Games[[#This Row],[PreGmRate]]+Games[[#This Row],[RatingChange]]</f>
        <v>1566.0166975245363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40053</v>
      </c>
      <c r="B362" s="2">
        <v>2009</v>
      </c>
      <c r="C362" s="2">
        <f>COUNTIFS(Games[Team],Games[[#This Row],[Team]],Games[Season],Games[[#This Row],[Season]],Games[Date],"&lt;=" &amp; Games[[#This Row],[Date]])</f>
        <v>28</v>
      </c>
      <c r="D362" s="2" t="s">
        <v>23</v>
      </c>
      <c r="E362" s="2" t="s">
        <v>29</v>
      </c>
      <c r="F362" s="1" t="s">
        <v>65</v>
      </c>
      <c r="G362" s="1" t="s">
        <v>85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2" s="2">
        <f>Games[[#This Row],[DaysOff]]-Games[[#This Row],[OppDaysOff]]</f>
        <v>2</v>
      </c>
      <c r="L362" s="2">
        <f>Games[[#This Row],[OppDaysOff]]-Games[[#This Row],[DaysOff]]</f>
        <v>-2</v>
      </c>
      <c r="M362" s="1">
        <f>MAX(-16, MIN(16, Games[[#This Row],[RestDiff]]*8))</f>
        <v>16</v>
      </c>
      <c r="N362" s="1">
        <f>MAX(-16, MIN(16, Games[[#This Row],[OppRestDiff]]*8))</f>
        <v>-16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1472.0316625777039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1439.2778695862387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0.47233077788331201</v>
      </c>
      <c r="R362" s="1">
        <v>77</v>
      </c>
      <c r="S362" s="1">
        <v>96</v>
      </c>
      <c r="T362" s="1">
        <v>0</v>
      </c>
      <c r="U362" s="1">
        <f>Games[[#This Row],[PointsFor]]-Games[[#This Row],[PointsAgainst]]</f>
        <v>-19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0.54607261490079251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71.8</v>
      </c>
      <c r="Z362" s="4">
        <f>Games[[#This Row],[K]]*Games[[#This Row],[POMult]]</f>
        <v>71.8</v>
      </c>
      <c r="AA362" s="4">
        <f>(Games[[#This Row],[Keff]]*Games[[#This Row],[MOVMult]])*(Games[[#This Row],[Result]]-Games[[#This Row],[ExpectedWin%]])</f>
        <v>-18.519151633738947</v>
      </c>
      <c r="AB362" s="4">
        <f>Games[[#This Row],[PreGmRate]]+Games[[#This Row],[RatingChange]]</f>
        <v>1453.5125109439648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40053</v>
      </c>
      <c r="B363" s="2">
        <v>2009</v>
      </c>
      <c r="C363" s="2">
        <f>COUNTIFS(Games[Team],Games[[#This Row],[Team]],Games[Season],Games[[#This Row],[Season]],Games[Date],"&lt;=" &amp; Games[[#This Row],[Date]])</f>
        <v>29</v>
      </c>
      <c r="D363" s="2" t="s">
        <v>23</v>
      </c>
      <c r="E363" s="2" t="s">
        <v>29</v>
      </c>
      <c r="F363" s="1" t="s">
        <v>85</v>
      </c>
      <c r="G363" s="1" t="s">
        <v>65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3" s="2">
        <f>Games[[#This Row],[DaysOff]]-Games[[#This Row],[OppDaysOff]]</f>
        <v>-2</v>
      </c>
      <c r="L363" s="2">
        <f>Games[[#This Row],[OppDaysOff]]-Games[[#This Row],[DaysOff]]</f>
        <v>2</v>
      </c>
      <c r="M363" s="1">
        <f>MAX(-16, MIN(16, Games[[#This Row],[RestDiff]]*8))</f>
        <v>-16</v>
      </c>
      <c r="N363" s="1">
        <f>MAX(-16, MIN(16, Games[[#This Row],[OppRestDiff]]*8))</f>
        <v>16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1439.2778695862387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1472.0316625777039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0.5276692221166881</v>
      </c>
      <c r="R363" s="1">
        <v>96</v>
      </c>
      <c r="S363" s="1">
        <v>77</v>
      </c>
      <c r="T363" s="1">
        <v>0</v>
      </c>
      <c r="U363" s="1">
        <f>Games[[#This Row],[PointsFor]]-Games[[#This Row],[PointsAgainst]]</f>
        <v>19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0.54607261490079251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71.650000000000006</v>
      </c>
      <c r="Z363" s="4">
        <f>Games[[#This Row],[K]]*Games[[#This Row],[POMult]]</f>
        <v>71.650000000000006</v>
      </c>
      <c r="AA363" s="4">
        <f>(Games[[#This Row],[Keff]]*Games[[#This Row],[MOVMult]])*(Games[[#This Row],[Result]]-Games[[#This Row],[ExpectedWin%]])</f>
        <v>18.480462598292416</v>
      </c>
      <c r="AB363" s="4">
        <f>Games[[#This Row],[PreGmRate]]+Games[[#This Row],[RatingChange]]</f>
        <v>1457.7583321845311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40053</v>
      </c>
      <c r="B364" s="2">
        <v>2009</v>
      </c>
      <c r="C364" s="2">
        <f>COUNTIFS(Games[Team],Games[[#This Row],[Team]],Games[Season],Games[[#This Row],[Season]],Games[Date],"&lt;=" &amp; Games[[#This Row],[Date]])</f>
        <v>29</v>
      </c>
      <c r="D364" s="2" t="s">
        <v>23</v>
      </c>
      <c r="E364" s="2" t="s">
        <v>29</v>
      </c>
      <c r="F364" s="1" t="s">
        <v>45</v>
      </c>
      <c r="G364" s="1" t="s">
        <v>75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4" s="2">
        <f>Games[[#This Row],[DaysOff]]-Games[[#This Row],[OppDaysOff]]</f>
        <v>-2</v>
      </c>
      <c r="L364" s="2">
        <f>Games[[#This Row],[OppDaysOff]]-Games[[#This Row],[DaysOff]]</f>
        <v>2</v>
      </c>
      <c r="M364" s="1">
        <f>MAX(-16, MIN(16, Games[[#This Row],[RestDiff]]*8))</f>
        <v>-16</v>
      </c>
      <c r="N364" s="1">
        <f>MAX(-16, MIN(16, Games[[#This Row],[OppRestDiff]]*8))</f>
        <v>16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1434.2925784108027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1424.3328529649646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0.35196410585681942</v>
      </c>
      <c r="R364" s="1">
        <v>95</v>
      </c>
      <c r="S364" s="1">
        <v>100</v>
      </c>
      <c r="T364" s="1">
        <v>0</v>
      </c>
      <c r="U364" s="1">
        <f>Games[[#This Row],[PointsFor]]-Games[[#This Row],[PointsAgainst]]</f>
        <v>-5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0.32902514206148914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71.650000000000006</v>
      </c>
      <c r="Z364" s="4">
        <f>Games[[#This Row],[K]]*Games[[#This Row],[POMult]]</f>
        <v>71.650000000000006</v>
      </c>
      <c r="AA364" s="4">
        <f>(Games[[#This Row],[Keff]]*Games[[#This Row],[MOVMult]])*(Games[[#This Row],[Result]]-Games[[#This Row],[ExpectedWin%]])</f>
        <v>-8.2974311109905923</v>
      </c>
      <c r="AB364" s="4">
        <f>Games[[#This Row],[PreGmRate]]+Games[[#This Row],[RatingChange]]</f>
        <v>1425.9951472998121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40053</v>
      </c>
      <c r="B365" s="2">
        <v>2009</v>
      </c>
      <c r="C365" s="2">
        <f>COUNTIFS(Games[Team],Games[[#This Row],[Team]],Games[Season],Games[[#This Row],[Season]],Games[Date],"&lt;=" &amp; Games[[#This Row],[Date]])</f>
        <v>28</v>
      </c>
      <c r="D365" s="2" t="s">
        <v>23</v>
      </c>
      <c r="E365" s="2" t="s">
        <v>29</v>
      </c>
      <c r="F365" s="1" t="s">
        <v>75</v>
      </c>
      <c r="G365" s="1" t="s">
        <v>45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5" s="2">
        <f>Games[[#This Row],[DaysOff]]-Games[[#This Row],[OppDaysOff]]</f>
        <v>2</v>
      </c>
      <c r="L365" s="2">
        <f>Games[[#This Row],[OppDaysOff]]-Games[[#This Row],[DaysOff]]</f>
        <v>-2</v>
      </c>
      <c r="M365" s="1">
        <f>MAX(-16, MIN(16, Games[[#This Row],[RestDiff]]*8))</f>
        <v>16</v>
      </c>
      <c r="N365" s="1">
        <f>MAX(-16, MIN(16, Games[[#This Row],[OppRestDiff]]*8))</f>
        <v>-16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1424.3328529649646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1434.2925784108027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0.64803589414318052</v>
      </c>
      <c r="R365" s="1">
        <v>100</v>
      </c>
      <c r="S365" s="1">
        <v>95</v>
      </c>
      <c r="T365" s="1">
        <v>0</v>
      </c>
      <c r="U365" s="1">
        <f>Games[[#This Row],[PointsFor]]-Games[[#This Row],[PointsAgainst]]</f>
        <v>5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0.32902514206148914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71.8</v>
      </c>
      <c r="Z365" s="4">
        <f>Games[[#This Row],[K]]*Games[[#This Row],[POMult]]</f>
        <v>71.8</v>
      </c>
      <c r="AA365" s="4">
        <f>(Games[[#This Row],[Keff]]*Games[[#This Row],[MOVMult]])*(Games[[#This Row],[Result]]-Games[[#This Row],[ExpectedWin%]])</f>
        <v>8.3148018669801047</v>
      </c>
      <c r="AB365" s="4">
        <f>Games[[#This Row],[PreGmRate]]+Games[[#This Row],[RatingChange]]</f>
        <v>1432.6476548319447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40054</v>
      </c>
      <c r="B366" s="2">
        <v>2009</v>
      </c>
      <c r="C366" s="2">
        <f>COUNTIFS(Games[Team],Games[[#This Row],[Team]],Games[Season],Games[[#This Row],[Season]],Games[Date],"&lt;=" &amp; Games[[#This Row],[Date]])</f>
        <v>30</v>
      </c>
      <c r="D366" s="2" t="s">
        <v>23</v>
      </c>
      <c r="E366" s="2" t="s">
        <v>29</v>
      </c>
      <c r="F366" s="1" t="s">
        <v>45</v>
      </c>
      <c r="G366" s="1" t="s">
        <v>77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-1</v>
      </c>
      <c r="L366" s="2">
        <f>Games[[#This Row],[OppDaysOff]]-Games[[#This Row],[DaysOff]]</f>
        <v>1</v>
      </c>
      <c r="M366" s="1">
        <f>MAX(-16, MIN(16, Games[[#This Row],[RestDiff]]*8))</f>
        <v>-8</v>
      </c>
      <c r="N366" s="1">
        <f>MAX(-16, MIN(16, Games[[#This Row],[OppRestDiff]]*8))</f>
        <v>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1425.9951472998121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1608.6526287399001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0.16422702333729275</v>
      </c>
      <c r="R366" s="1">
        <v>79</v>
      </c>
      <c r="S366" s="1">
        <v>78</v>
      </c>
      <c r="T366" s="1">
        <v>0</v>
      </c>
      <c r="U366" s="1">
        <f>Games[[#This Row],[PointsFor]]-Games[[#This Row],[PointsAgainst]]</f>
        <v>1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0.21192204800654293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71.5</v>
      </c>
      <c r="Z366" s="4">
        <f>Games[[#This Row],[K]]*Games[[#This Row],[POMult]]</f>
        <v>71.5</v>
      </c>
      <c r="AA366" s="4">
        <f>(Games[[#This Row],[Keff]]*Games[[#This Row],[MOVMult]])*(Games[[#This Row],[Result]]-Games[[#This Row],[ExpectedWin%]])</f>
        <v>12.663988543126315</v>
      </c>
      <c r="AB366" s="4">
        <f>Games[[#This Row],[PreGmRate]]+Games[[#This Row],[RatingChange]]</f>
        <v>1438.6591358429384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40054</v>
      </c>
      <c r="B367" s="2">
        <v>2009</v>
      </c>
      <c r="C367" s="2">
        <f>COUNTIFS(Games[Team],Games[[#This Row],[Team]],Games[Season],Games[[#This Row],[Season]],Games[Date],"&lt;=" &amp; Games[[#This Row],[Date]])</f>
        <v>28</v>
      </c>
      <c r="D367" s="2" t="s">
        <v>23</v>
      </c>
      <c r="E367" s="2" t="s">
        <v>29</v>
      </c>
      <c r="F367" s="1" t="s">
        <v>77</v>
      </c>
      <c r="G367" s="1" t="s">
        <v>45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7" s="2">
        <f>Games[[#This Row],[DaysOff]]-Games[[#This Row],[OppDaysOff]]</f>
        <v>1</v>
      </c>
      <c r="L367" s="2">
        <f>Games[[#This Row],[OppDaysOff]]-Games[[#This Row],[DaysOff]]</f>
        <v>-1</v>
      </c>
      <c r="M367" s="1">
        <f>MAX(-16, MIN(16, Games[[#This Row],[RestDiff]]*8))</f>
        <v>8</v>
      </c>
      <c r="N367" s="1">
        <f>MAX(-16, MIN(16, Games[[#This Row],[OppRestDiff]]*8))</f>
        <v>-8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1608.6526287399001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1425.9951472998121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0.83577297666270733</v>
      </c>
      <c r="R367" s="1">
        <v>78</v>
      </c>
      <c r="S367" s="1">
        <v>79</v>
      </c>
      <c r="T367" s="1">
        <v>0</v>
      </c>
      <c r="U367" s="1">
        <f>Games[[#This Row],[PointsFor]]-Games[[#This Row],[PointsAgainst]]</f>
        <v>-1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0.21192204800654293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71.8</v>
      </c>
      <c r="Z367" s="4">
        <f>Games[[#This Row],[K]]*Games[[#This Row],[POMult]]</f>
        <v>71.8</v>
      </c>
      <c r="AA367" s="4">
        <f>(Games[[#This Row],[Keff]]*Games[[#This Row],[MOVMult]])*(Games[[#This Row],[Result]]-Games[[#This Row],[ExpectedWin%]])</f>
        <v>-12.717124159391181</v>
      </c>
      <c r="AB367" s="4">
        <f>Games[[#This Row],[PreGmRate]]+Games[[#This Row],[RatingChange]]</f>
        <v>1595.9355045805089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40054</v>
      </c>
      <c r="B368" s="2">
        <v>2009</v>
      </c>
      <c r="C368" s="2">
        <f>COUNTIFS(Games[Team],Games[[#This Row],[Team]],Games[Season],Games[[#This Row],[Season]],Games[Date],"&lt;=" &amp; Games[[#This Row],[Date]])</f>
        <v>29</v>
      </c>
      <c r="D368" s="2" t="s">
        <v>23</v>
      </c>
      <c r="E368" s="2" t="s">
        <v>29</v>
      </c>
      <c r="F368" s="1" t="s">
        <v>84</v>
      </c>
      <c r="G368" s="1" t="s">
        <v>44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">
        <f>MAX(-16, MIN(16, Games[[#This Row],[RestDiff]]*8))</f>
        <v>0</v>
      </c>
      <c r="N368" s="1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1509.3047745060037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1583.3048386201447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0.28709776705587342</v>
      </c>
      <c r="R368" s="1">
        <v>84</v>
      </c>
      <c r="S368" s="1">
        <v>95</v>
      </c>
      <c r="T368" s="1">
        <v>0</v>
      </c>
      <c r="U368" s="1">
        <f>Games[[#This Row],[PointsFor]]-Games[[#This Row],[PointsAgainst]]</f>
        <v>-11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0.41428817719578259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71.650000000000006</v>
      </c>
      <c r="Z368" s="4">
        <f>Games[[#This Row],[K]]*Games[[#This Row],[POMult]]</f>
        <v>71.650000000000006</v>
      </c>
      <c r="AA368" s="4">
        <f>(Games[[#This Row],[Keff]]*Games[[#This Row],[MOVMult]])*(Games[[#This Row],[Result]]-Games[[#This Row],[ExpectedWin%]])</f>
        <v>-8.5221377388134236</v>
      </c>
      <c r="AB368" s="4">
        <f>Games[[#This Row],[PreGmRate]]+Games[[#This Row],[RatingChange]]</f>
        <v>1500.7826367671903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40054</v>
      </c>
      <c r="B369" s="2">
        <v>2009</v>
      </c>
      <c r="C369" s="2">
        <f>COUNTIFS(Games[Team],Games[[#This Row],[Team]],Games[Season],Games[[#This Row],[Season]],Games[Date],"&lt;=" &amp; Games[[#This Row],[Date]])</f>
        <v>29</v>
      </c>
      <c r="D369" s="2" t="s">
        <v>23</v>
      </c>
      <c r="E369" s="2" t="s">
        <v>29</v>
      </c>
      <c r="F369" s="1" t="s">
        <v>44</v>
      </c>
      <c r="G369" s="1" t="s">
        <v>84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">
        <f>MAX(-16, MIN(16, Games[[#This Row],[RestDiff]]*8))</f>
        <v>0</v>
      </c>
      <c r="N369" s="1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1583.3048386201447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1509.3047745060037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0.71290223294412658</v>
      </c>
      <c r="R369" s="1">
        <v>95</v>
      </c>
      <c r="S369" s="1">
        <v>84</v>
      </c>
      <c r="T369" s="1">
        <v>0</v>
      </c>
      <c r="U369" s="1">
        <f>Games[[#This Row],[PointsFor]]-Games[[#This Row],[PointsAgainst]]</f>
        <v>11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0.41428817719578259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71.650000000000006</v>
      </c>
      <c r="Z369" s="4">
        <f>Games[[#This Row],[K]]*Games[[#This Row],[POMult]]</f>
        <v>71.650000000000006</v>
      </c>
      <c r="AA369" s="4">
        <f>(Games[[#This Row],[Keff]]*Games[[#This Row],[MOVMult]])*(Games[[#This Row],[Result]]-Games[[#This Row],[ExpectedWin%]])</f>
        <v>8.5221377388134236</v>
      </c>
      <c r="AB369" s="4">
        <f>Games[[#This Row],[PreGmRate]]+Games[[#This Row],[RatingChange]]</f>
        <v>1591.8269763589581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40054</v>
      </c>
      <c r="B370" s="2">
        <v>2009</v>
      </c>
      <c r="C370" s="2">
        <f>COUNTIFS(Games[Team],Games[[#This Row],[Team]],Games[Season],Games[[#This Row],[Season]],Games[Date],"&lt;=" &amp; Games[[#This Row],[Date]])</f>
        <v>28</v>
      </c>
      <c r="D370" s="2" t="s">
        <v>23</v>
      </c>
      <c r="E370" s="2" t="s">
        <v>29</v>
      </c>
      <c r="F370" s="1" t="s">
        <v>73</v>
      </c>
      <c r="G370" s="1" t="s">
        <v>82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1548.4426879977473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1462.1193107989136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0.50334355872473724</v>
      </c>
      <c r="R370" s="1">
        <v>88</v>
      </c>
      <c r="S370" s="1">
        <v>100</v>
      </c>
      <c r="T370" s="1">
        <v>1</v>
      </c>
      <c r="U370" s="1">
        <f>Games[[#This Row],[PointsFor]]-Games[[#This Row],[PointsAgainst]]</f>
        <v>-12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0.38296730608707358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71.8</v>
      </c>
      <c r="Z370" s="4">
        <f>Games[[#This Row],[K]]*Games[[#This Row],[POMult]]</f>
        <v>71.8</v>
      </c>
      <c r="AA370" s="4">
        <f>(Games[[#This Row],[Keff]]*Games[[#This Row],[MOVMult]])*(Games[[#This Row],[Result]]-Games[[#This Row],[ExpectedWin%]])</f>
        <v>-13.840464298574501</v>
      </c>
      <c r="AB370" s="4">
        <f>Games[[#This Row],[PreGmRate]]+Games[[#This Row],[RatingChange]]</f>
        <v>1534.6022236991728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40054</v>
      </c>
      <c r="B371" s="2">
        <v>2009</v>
      </c>
      <c r="C371" s="2">
        <f>COUNTIFS(Games[Team],Games[[#This Row],[Team]],Games[Season],Games[[#This Row],[Season]],Games[Date],"&lt;=" &amp; Games[[#This Row],[Date]])</f>
        <v>29</v>
      </c>
      <c r="D371" s="2" t="s">
        <v>23</v>
      </c>
      <c r="E371" s="2" t="s">
        <v>29</v>
      </c>
      <c r="F371" s="1" t="s">
        <v>82</v>
      </c>
      <c r="G371" s="1" t="s">
        <v>73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1462.1193107989136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1548.4426879977473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0.49665644127526282</v>
      </c>
      <c r="R371" s="1">
        <v>100</v>
      </c>
      <c r="S371" s="1">
        <v>88</v>
      </c>
      <c r="T371" s="1">
        <v>1</v>
      </c>
      <c r="U371" s="1">
        <f>Games[[#This Row],[PointsFor]]-Games[[#This Row],[PointsAgainst]]</f>
        <v>12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0.38296730608707358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71.650000000000006</v>
      </c>
      <c r="Z371" s="4">
        <f>Games[[#This Row],[K]]*Games[[#This Row],[POMult]]</f>
        <v>71.650000000000006</v>
      </c>
      <c r="AA371" s="4">
        <f>(Games[[#This Row],[Keff]]*Games[[#This Row],[MOVMult]])*(Games[[#This Row],[Result]]-Games[[#This Row],[ExpectedWin%]])</f>
        <v>13.81154967956634</v>
      </c>
      <c r="AB371" s="4">
        <f>Games[[#This Row],[PreGmRate]]+Games[[#This Row],[RatingChange]]</f>
        <v>1475.9308604784799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40054</v>
      </c>
      <c r="B372" s="2">
        <v>2009</v>
      </c>
      <c r="C372" s="2">
        <f>COUNTIFS(Games[Team],Games[[#This Row],[Team]],Games[Season],Games[[#This Row],[Season]],Games[Date],"&lt;=" &amp; Games[[#This Row],[Date]])</f>
        <v>29</v>
      </c>
      <c r="D372" s="2" t="s">
        <v>23</v>
      </c>
      <c r="E372" s="2" t="s">
        <v>29</v>
      </c>
      <c r="F372" s="1" t="s">
        <v>87</v>
      </c>
      <c r="G372" s="1" t="s">
        <v>79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1501.024778913355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1566.0166975245363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0.29782712641017078</v>
      </c>
      <c r="R372" s="1">
        <v>84</v>
      </c>
      <c r="S372" s="1">
        <v>91</v>
      </c>
      <c r="T372" s="1">
        <v>1</v>
      </c>
      <c r="U372" s="1">
        <f>Games[[#This Row],[PointsFor]]-Games[[#This Row],[PointsAgainst]]</f>
        <v>-7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0.3159828457441598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71.650000000000006</v>
      </c>
      <c r="Z372" s="4">
        <f>Games[[#This Row],[K]]*Games[[#This Row],[POMult]]</f>
        <v>71.650000000000006</v>
      </c>
      <c r="AA372" s="4">
        <f>(Games[[#This Row],[Keff]]*Games[[#This Row],[MOVMult]])*(Games[[#This Row],[Result]]-Games[[#This Row],[ExpectedWin%]])</f>
        <v>-6.7428570398581682</v>
      </c>
      <c r="AB372" s="4">
        <f>Games[[#This Row],[PreGmRate]]+Games[[#This Row],[RatingChange]]</f>
        <v>1494.2819218734969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40054</v>
      </c>
      <c r="B373" s="2">
        <v>2009</v>
      </c>
      <c r="C373" s="2">
        <f>COUNTIFS(Games[Team],Games[[#This Row],[Team]],Games[Season],Games[[#This Row],[Season]],Games[Date],"&lt;=" &amp; Games[[#This Row],[Date]])</f>
        <v>29</v>
      </c>
      <c r="D373" s="2" t="s">
        <v>23</v>
      </c>
      <c r="E373" s="2" t="s">
        <v>29</v>
      </c>
      <c r="F373" s="1" t="s">
        <v>79</v>
      </c>
      <c r="G373" s="1" t="s">
        <v>87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1566.0166975245363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1501.024778913355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0.70217287358982916</v>
      </c>
      <c r="R373" s="1">
        <v>91</v>
      </c>
      <c r="S373" s="1">
        <v>84</v>
      </c>
      <c r="T373" s="1">
        <v>1</v>
      </c>
      <c r="U373" s="1">
        <f>Games[[#This Row],[PointsFor]]-Games[[#This Row],[PointsAgainst]]</f>
        <v>7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0.3159828457441598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71.650000000000006</v>
      </c>
      <c r="Z373" s="4">
        <f>Games[[#This Row],[K]]*Games[[#This Row],[POMult]]</f>
        <v>71.650000000000006</v>
      </c>
      <c r="AA373" s="4">
        <f>(Games[[#This Row],[Keff]]*Games[[#This Row],[MOVMult]])*(Games[[#This Row],[Result]]-Games[[#This Row],[ExpectedWin%]])</f>
        <v>6.7428570398581691</v>
      </c>
      <c r="AB373" s="4">
        <f>Games[[#This Row],[PreGmRate]]+Games[[#This Row],[RatingChange]]</f>
        <v>1572.7595545643944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40055</v>
      </c>
      <c r="B374" s="2">
        <v>2009</v>
      </c>
      <c r="C374" s="2">
        <f>COUNTIFS(Games[Team],Games[[#This Row],[Team]],Games[Season],Games[[#This Row],[Season]],Games[Date],"&lt;=" &amp; Games[[#This Row],[Date]])</f>
        <v>30</v>
      </c>
      <c r="D374" s="2" t="s">
        <v>23</v>
      </c>
      <c r="E374" s="2" t="s">
        <v>29</v>
      </c>
      <c r="F374" s="1" t="s">
        <v>84</v>
      </c>
      <c r="G374" s="1" t="s">
        <v>68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-2</v>
      </c>
      <c r="L374" s="2">
        <f>Games[[#This Row],[OppDaysOff]]-Games[[#This Row],[DaysOff]]</f>
        <v>2</v>
      </c>
      <c r="M374" s="1">
        <f>MAX(-16, MIN(16, Games[[#This Row],[RestDiff]]*8))</f>
        <v>-16</v>
      </c>
      <c r="N374" s="1">
        <f>MAX(-16, MIN(16, Games[[#This Row],[OppRestDiff]]*8))</f>
        <v>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1500.7826367671903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1536.4590763238173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0.294605557322486</v>
      </c>
      <c r="R374" s="1">
        <v>81</v>
      </c>
      <c r="S374" s="1">
        <v>91</v>
      </c>
      <c r="T374" s="1">
        <v>0</v>
      </c>
      <c r="U374" s="1">
        <f>Games[[#This Row],[PointsFor]]-Games[[#This Row],[PointsAgainst]]</f>
        <v>-10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0.41091310228503553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71.5</v>
      </c>
      <c r="Z374" s="4">
        <f>Games[[#This Row],[K]]*Games[[#This Row],[POMult]]</f>
        <v>71.5</v>
      </c>
      <c r="AA374" s="4">
        <f>(Games[[#This Row],[Keff]]*Games[[#This Row],[MOVMult]])*(Games[[#This Row],[Result]]-Games[[#This Row],[ExpectedWin%]])</f>
        <v>-8.6555957709503133</v>
      </c>
      <c r="AB374" s="4">
        <f>Games[[#This Row],[PreGmRate]]+Games[[#This Row],[RatingChange]]</f>
        <v>1492.1270409962399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40055</v>
      </c>
      <c r="B375" s="2">
        <v>2009</v>
      </c>
      <c r="C375" s="2">
        <f>COUNTIFS(Games[Team],Games[[#This Row],[Team]],Games[Season],Games[[#This Row],[Season]],Games[Date],"&lt;=" &amp; Games[[#This Row],[Date]])</f>
        <v>29</v>
      </c>
      <c r="D375" s="2" t="s">
        <v>23</v>
      </c>
      <c r="E375" s="2" t="s">
        <v>29</v>
      </c>
      <c r="F375" s="1" t="s">
        <v>68</v>
      </c>
      <c r="G375" s="1" t="s">
        <v>84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5" s="2">
        <f>Games[[#This Row],[DaysOff]]-Games[[#This Row],[OppDaysOff]]</f>
        <v>2</v>
      </c>
      <c r="L375" s="2">
        <f>Games[[#This Row],[OppDaysOff]]-Games[[#This Row],[DaysOff]]</f>
        <v>-2</v>
      </c>
      <c r="M375" s="1">
        <f>MAX(-16, MIN(16, Games[[#This Row],[RestDiff]]*8))</f>
        <v>16</v>
      </c>
      <c r="N375" s="1">
        <f>MAX(-16, MIN(16, Games[[#This Row],[OppRestDiff]]*8))</f>
        <v>-16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1536.4590763238173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1500.7826367671903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0.70539444267751406</v>
      </c>
      <c r="R375" s="1">
        <v>91</v>
      </c>
      <c r="S375" s="1">
        <v>81</v>
      </c>
      <c r="T375" s="1">
        <v>0</v>
      </c>
      <c r="U375" s="1">
        <f>Games[[#This Row],[PointsFor]]-Games[[#This Row],[PointsAgainst]]</f>
        <v>10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0.41091310228503553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71.650000000000006</v>
      </c>
      <c r="Z375" s="4">
        <f>Games[[#This Row],[K]]*Games[[#This Row],[POMult]]</f>
        <v>71.650000000000006</v>
      </c>
      <c r="AA375" s="4">
        <f>(Games[[#This Row],[Keff]]*Games[[#This Row],[MOVMult]])*(Games[[#This Row],[Result]]-Games[[#This Row],[ExpectedWin%]])</f>
        <v>8.6737543634767817</v>
      </c>
      <c r="AB375" s="4">
        <f>Games[[#This Row],[PreGmRate]]+Games[[#This Row],[RatingChange]]</f>
        <v>1545.132830687294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40055</v>
      </c>
      <c r="B376" s="2">
        <v>2009</v>
      </c>
      <c r="C376" s="2">
        <f>COUNTIFS(Games[Team],Games[[#This Row],[Team]],Games[Season],Games[[#This Row],[Season]],Games[Date],"&lt;=" &amp; Games[[#This Row],[Date]])</f>
        <v>30</v>
      </c>
      <c r="D376" s="2" t="s">
        <v>23</v>
      </c>
      <c r="E376" s="2" t="s">
        <v>29</v>
      </c>
      <c r="F376" s="1" t="s">
        <v>85</v>
      </c>
      <c r="G376" s="1" t="s">
        <v>65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1457.7583321845311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1453.5125109439648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0.38719888604485542</v>
      </c>
      <c r="R376" s="1">
        <v>63</v>
      </c>
      <c r="S376" s="1">
        <v>77</v>
      </c>
      <c r="T376" s="1">
        <v>0</v>
      </c>
      <c r="U376" s="1">
        <f>Games[[#This Row],[PointsFor]]-Games[[#This Row],[PointsAgainst]]</f>
        <v>-14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0.48588893888636797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71.5</v>
      </c>
      <c r="Z376" s="4">
        <f>Games[[#This Row],[K]]*Games[[#This Row],[POMult]]</f>
        <v>71.5</v>
      </c>
      <c r="AA376" s="4">
        <f>(Games[[#This Row],[Keff]]*Games[[#This Row],[MOVMult]])*(Games[[#This Row],[Result]]-Games[[#This Row],[ExpectedWin%]])</f>
        <v>-13.451699395299775</v>
      </c>
      <c r="AB376" s="4">
        <f>Games[[#This Row],[PreGmRate]]+Games[[#This Row],[RatingChange]]</f>
        <v>1444.3066327892313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40055</v>
      </c>
      <c r="B377" s="2">
        <v>2009</v>
      </c>
      <c r="C377" s="2">
        <f>COUNTIFS(Games[Team],Games[[#This Row],[Team]],Games[Season],Games[[#This Row],[Season]],Games[Date],"&lt;=" &amp; Games[[#This Row],[Date]])</f>
        <v>29</v>
      </c>
      <c r="D377" s="2" t="s">
        <v>23</v>
      </c>
      <c r="E377" s="2" t="s">
        <v>29</v>
      </c>
      <c r="F377" s="1" t="s">
        <v>65</v>
      </c>
      <c r="G377" s="1" t="s">
        <v>85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1453.5125109439648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1457.7583321845311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0.61280111395514458</v>
      </c>
      <c r="R377" s="1">
        <v>77</v>
      </c>
      <c r="S377" s="1">
        <v>63</v>
      </c>
      <c r="T377" s="1">
        <v>0</v>
      </c>
      <c r="U377" s="1">
        <f>Games[[#This Row],[PointsFor]]-Games[[#This Row],[PointsAgainst]]</f>
        <v>14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0.48588893888636797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71.650000000000006</v>
      </c>
      <c r="Z377" s="4">
        <f>Games[[#This Row],[K]]*Games[[#This Row],[POMult]]</f>
        <v>71.650000000000006</v>
      </c>
      <c r="AA377" s="4">
        <f>(Games[[#This Row],[Keff]]*Games[[#This Row],[MOVMult]])*(Games[[#This Row],[Result]]-Games[[#This Row],[ExpectedWin%]])</f>
        <v>13.479919743681524</v>
      </c>
      <c r="AB377" s="4">
        <f>Games[[#This Row],[PreGmRate]]+Games[[#This Row],[RatingChange]]</f>
        <v>1466.9924306876462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40055</v>
      </c>
      <c r="B378" s="2">
        <v>2009</v>
      </c>
      <c r="C378" s="2">
        <f>COUNTIFS(Games[Team],Games[[#This Row],[Team]],Games[Season],Games[[#This Row],[Season]],Games[Date],"&lt;=" &amp; Games[[#This Row],[Date]])</f>
        <v>29</v>
      </c>
      <c r="D378" s="2" t="s">
        <v>23</v>
      </c>
      <c r="E378" s="2" t="s">
        <v>29</v>
      </c>
      <c r="F378" s="1" t="s">
        <v>75</v>
      </c>
      <c r="G378" s="1" t="s">
        <v>71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8" s="2">
        <f>Games[[#This Row],[DaysOff]]-Games[[#This Row],[OppDaysOff]]</f>
        <v>-3</v>
      </c>
      <c r="L378" s="2">
        <f>Games[[#This Row],[OppDaysOff]]-Games[[#This Row],[DaysOff]]</f>
        <v>3</v>
      </c>
      <c r="M378" s="1">
        <f>MAX(-16, MIN(16, Games[[#This Row],[RestDiff]]*8))</f>
        <v>-16</v>
      </c>
      <c r="N378" s="1">
        <f>MAX(-16, MIN(16, Games[[#This Row],[OppRestDiff]]*8))</f>
        <v>16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1432.6476548319447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1432.0883367847034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0.33972274894943316</v>
      </c>
      <c r="R378" s="1">
        <v>75</v>
      </c>
      <c r="S378" s="1">
        <v>81</v>
      </c>
      <c r="T378" s="1">
        <v>0</v>
      </c>
      <c r="U378" s="1">
        <f>Games[[#This Row],[PointsFor]]-Games[[#This Row],[PointsAgainst]]</f>
        <v>-6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0.35111710597926721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71.650000000000006</v>
      </c>
      <c r="Z378" s="4">
        <f>Games[[#This Row],[K]]*Games[[#This Row],[POMult]]</f>
        <v>71.650000000000006</v>
      </c>
      <c r="AA378" s="4">
        <f>(Games[[#This Row],[Keff]]*Games[[#This Row],[MOVMult]])*(Games[[#This Row],[Result]]-Games[[#This Row],[ExpectedWin%]])</f>
        <v>-8.5465888641878642</v>
      </c>
      <c r="AB378" s="4">
        <f>Games[[#This Row],[PreGmRate]]+Games[[#This Row],[RatingChange]]</f>
        <v>1424.1010659677568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40055</v>
      </c>
      <c r="B379" s="2">
        <v>2009</v>
      </c>
      <c r="C379" s="2">
        <f>COUNTIFS(Games[Team],Games[[#This Row],[Team]],Games[Season],Games[[#This Row],[Season]],Games[Date],"&lt;=" &amp; Games[[#This Row],[Date]])</f>
        <v>29</v>
      </c>
      <c r="D379" s="2" t="s">
        <v>23</v>
      </c>
      <c r="E379" s="2" t="s">
        <v>29</v>
      </c>
      <c r="F379" s="1" t="s">
        <v>71</v>
      </c>
      <c r="G379" s="1" t="s">
        <v>75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3</v>
      </c>
      <c r="L379" s="2">
        <f>Games[[#This Row],[OppDaysOff]]-Games[[#This Row],[DaysOff]]</f>
        <v>-3</v>
      </c>
      <c r="M379" s="1">
        <f>MAX(-16, MIN(16, Games[[#This Row],[RestDiff]]*8))</f>
        <v>16</v>
      </c>
      <c r="N379" s="1">
        <f>MAX(-16, MIN(16, Games[[#This Row],[OppRestDiff]]*8))</f>
        <v>-16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1432.0883367847034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1432.6476548319447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0.66027725105056689</v>
      </c>
      <c r="R379" s="1">
        <v>81</v>
      </c>
      <c r="S379" s="1">
        <v>75</v>
      </c>
      <c r="T379" s="1">
        <v>0</v>
      </c>
      <c r="U379" s="1">
        <f>Games[[#This Row],[PointsFor]]-Games[[#This Row],[PointsAgainst]]</f>
        <v>6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0.35111710597926721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71.650000000000006</v>
      </c>
      <c r="Z379" s="4">
        <f>Games[[#This Row],[K]]*Games[[#This Row],[POMult]]</f>
        <v>71.650000000000006</v>
      </c>
      <c r="AA379" s="4">
        <f>(Games[[#This Row],[Keff]]*Games[[#This Row],[MOVMult]])*(Games[[#This Row],[Result]]-Games[[#This Row],[ExpectedWin%]])</f>
        <v>8.5465888641878625</v>
      </c>
      <c r="AB379" s="4">
        <f>Games[[#This Row],[PreGmRate]]+Games[[#This Row],[RatingChange]]</f>
        <v>1440.6349256488913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40057</v>
      </c>
      <c r="B380" s="2">
        <v>2009</v>
      </c>
      <c r="C380" s="2">
        <f>COUNTIFS(Games[Team],Games[[#This Row],[Team]],Games[Season],Games[[#This Row],[Season]],Games[Date],"&lt;=" &amp; Games[[#This Row],[Date]])</f>
        <v>30</v>
      </c>
      <c r="D380" s="2" t="s">
        <v>23</v>
      </c>
      <c r="E380" s="2" t="s">
        <v>29</v>
      </c>
      <c r="F380" s="1" t="s">
        <v>44</v>
      </c>
      <c r="G380" s="1" t="s">
        <v>73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1591.8269763589581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1534.6022236991728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0.46154342359629635</v>
      </c>
      <c r="R380" s="1">
        <v>99</v>
      </c>
      <c r="S380" s="1">
        <v>101</v>
      </c>
      <c r="T380" s="1">
        <v>0</v>
      </c>
      <c r="U380" s="1">
        <f>Games[[#This Row],[PointsFor]]-Games[[#This Row],[PointsAgainst]]</f>
        <v>-2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0.25565006120952483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71.5</v>
      </c>
      <c r="Z380" s="4">
        <f>Games[[#This Row],[K]]*Games[[#This Row],[POMult]]</f>
        <v>71.5</v>
      </c>
      <c r="AA380" s="4">
        <f>(Games[[#This Row],[Keff]]*Games[[#This Row],[MOVMult]])*(Games[[#This Row],[Result]]-Games[[#This Row],[ExpectedWin%]])</f>
        <v>-8.4365427212671467</v>
      </c>
      <c r="AB380" s="4">
        <f>Games[[#This Row],[PreGmRate]]+Games[[#This Row],[RatingChange]]</f>
        <v>1583.3904336376909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40057</v>
      </c>
      <c r="B381" s="2">
        <v>2009</v>
      </c>
      <c r="C381" s="2">
        <f>COUNTIFS(Games[Team],Games[[#This Row],[Team]],Games[Season],Games[[#This Row],[Season]],Games[Date],"&lt;=" &amp; Games[[#This Row],[Date]])</f>
        <v>29</v>
      </c>
      <c r="D381" s="2" t="s">
        <v>23</v>
      </c>
      <c r="E381" s="2" t="s">
        <v>29</v>
      </c>
      <c r="F381" s="1" t="s">
        <v>73</v>
      </c>
      <c r="G381" s="1" t="s">
        <v>44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1534.6022236991728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1591.8269763589581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0.5384565764037037</v>
      </c>
      <c r="R381" s="1">
        <v>101</v>
      </c>
      <c r="S381" s="1">
        <v>99</v>
      </c>
      <c r="T381" s="1">
        <v>0</v>
      </c>
      <c r="U381" s="1">
        <f>Games[[#This Row],[PointsFor]]-Games[[#This Row],[PointsAgainst]]</f>
        <v>2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0.25565006120952483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71.650000000000006</v>
      </c>
      <c r="Z381" s="4">
        <f>Games[[#This Row],[K]]*Games[[#This Row],[POMult]]</f>
        <v>71.650000000000006</v>
      </c>
      <c r="AA381" s="4">
        <f>(Games[[#This Row],[Keff]]*Games[[#This Row],[MOVMult]])*(Games[[#This Row],[Result]]-Games[[#This Row],[ExpectedWin%]])</f>
        <v>8.4542417619411339</v>
      </c>
      <c r="AB381" s="4">
        <f>Games[[#This Row],[PreGmRate]]+Games[[#This Row],[RatingChange]]</f>
        <v>1543.0564654611139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40057</v>
      </c>
      <c r="B382" s="2">
        <v>2009</v>
      </c>
      <c r="C382" s="2">
        <f>COUNTIFS(Games[Team],Games[[#This Row],[Team]],Games[Season],Games[[#This Row],[Season]],Games[Date],"&lt;=" &amp; Games[[#This Row],[Date]])</f>
        <v>30</v>
      </c>
      <c r="D382" s="2" t="s">
        <v>23</v>
      </c>
      <c r="E382" s="2" t="s">
        <v>29</v>
      </c>
      <c r="F382" s="1" t="s">
        <v>87</v>
      </c>
      <c r="G382" s="1" t="s">
        <v>68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1</v>
      </c>
      <c r="L382" s="2">
        <f>Games[[#This Row],[OppDaysOff]]-Games[[#This Row],[DaysOff]]</f>
        <v>-1</v>
      </c>
      <c r="M382" s="1">
        <f>MAX(-16, MIN(16, Games[[#This Row],[RestDiff]]*8))</f>
        <v>8</v>
      </c>
      <c r="N382" s="1">
        <f>MAX(-16, MIN(16, Games[[#This Row],[OppRestDiff]]*8))</f>
        <v>-8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1494.2819218734969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1545.132830687294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0.33533328263894502</v>
      </c>
      <c r="R382" s="1">
        <v>84</v>
      </c>
      <c r="S382" s="1">
        <v>79</v>
      </c>
      <c r="T382" s="1">
        <v>0</v>
      </c>
      <c r="U382" s="1">
        <f>Games[[#This Row],[PointsFor]]-Games[[#This Row],[PointsAgainst]]</f>
        <v>5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0.31826908206912441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71.5</v>
      </c>
      <c r="Z382" s="4">
        <f>Games[[#This Row],[K]]*Games[[#This Row],[POMult]]</f>
        <v>71.5</v>
      </c>
      <c r="AA382" s="4">
        <f>(Games[[#This Row],[Keff]]*Games[[#This Row],[MOVMult]])*(Games[[#This Row],[Result]]-Games[[#This Row],[ExpectedWin%]])</f>
        <v>15.125314920172681</v>
      </c>
      <c r="AB382" s="4">
        <f>Games[[#This Row],[PreGmRate]]+Games[[#This Row],[RatingChange]]</f>
        <v>1509.4072367936697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40057</v>
      </c>
      <c r="B383" s="2">
        <v>2009</v>
      </c>
      <c r="C383" s="2">
        <f>COUNTIFS(Games[Team],Games[[#This Row],[Team]],Games[Season],Games[[#This Row],[Season]],Games[Date],"&lt;=" &amp; Games[[#This Row],[Date]])</f>
        <v>30</v>
      </c>
      <c r="D383" s="2" t="s">
        <v>23</v>
      </c>
      <c r="E383" s="2" t="s">
        <v>29</v>
      </c>
      <c r="F383" s="1" t="s">
        <v>68</v>
      </c>
      <c r="G383" s="1" t="s">
        <v>87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3" s="2">
        <f>Games[[#This Row],[DaysOff]]-Games[[#This Row],[OppDaysOff]]</f>
        <v>-1</v>
      </c>
      <c r="L383" s="2">
        <f>Games[[#This Row],[OppDaysOff]]-Games[[#This Row],[DaysOff]]</f>
        <v>1</v>
      </c>
      <c r="M383" s="1">
        <f>MAX(-16, MIN(16, Games[[#This Row],[RestDiff]]*8))</f>
        <v>-8</v>
      </c>
      <c r="N383" s="1">
        <f>MAX(-16, MIN(16, Games[[#This Row],[OppRestDiff]]*8))</f>
        <v>8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1545.132830687294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1494.2819218734969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0.66466671736105498</v>
      </c>
      <c r="R383" s="1">
        <v>79</v>
      </c>
      <c r="S383" s="1">
        <v>84</v>
      </c>
      <c r="T383" s="1">
        <v>0</v>
      </c>
      <c r="U383" s="1">
        <f>Games[[#This Row],[PointsFor]]-Games[[#This Row],[PointsAgainst]]</f>
        <v>-5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0.31826908206912441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71.5</v>
      </c>
      <c r="Z383" s="4">
        <f>Games[[#This Row],[K]]*Games[[#This Row],[POMult]]</f>
        <v>71.5</v>
      </c>
      <c r="AA383" s="4">
        <f>(Games[[#This Row],[Keff]]*Games[[#This Row],[MOVMult]])*(Games[[#This Row],[Result]]-Games[[#This Row],[ExpectedWin%]])</f>
        <v>-15.125314920172681</v>
      </c>
      <c r="AB383" s="4">
        <f>Games[[#This Row],[PreGmRate]]+Games[[#This Row],[RatingChange]]</f>
        <v>1530.0075157671213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40057</v>
      </c>
      <c r="B384" s="2">
        <v>2009</v>
      </c>
      <c r="C384" s="2">
        <f>COUNTIFS(Games[Team],Games[[#This Row],[Team]],Games[Season],Games[[#This Row],[Season]],Games[Date],"&lt;=" &amp; Games[[#This Row],[Date]])</f>
        <v>30</v>
      </c>
      <c r="D384" s="2" t="s">
        <v>23</v>
      </c>
      <c r="E384" s="2" t="s">
        <v>29</v>
      </c>
      <c r="F384" s="1" t="s">
        <v>79</v>
      </c>
      <c r="G384" s="1" t="s">
        <v>65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1</v>
      </c>
      <c r="L384" s="2">
        <f>Games[[#This Row],[OppDaysOff]]-Games[[#This Row],[DaysOff]]</f>
        <v>-1</v>
      </c>
      <c r="M384" s="1">
        <f>MAX(-16, MIN(16, Games[[#This Row],[RestDiff]]*8))</f>
        <v>8</v>
      </c>
      <c r="N384" s="1">
        <f>MAX(-16, MIN(16, Games[[#This Row],[OppRestDiff]]*8))</f>
        <v>-8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1572.7595545643944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1466.9924306876462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0.55413819148085952</v>
      </c>
      <c r="R384" s="1">
        <v>65</v>
      </c>
      <c r="S384" s="1">
        <v>58</v>
      </c>
      <c r="T384" s="1">
        <v>0</v>
      </c>
      <c r="U384" s="1">
        <f>Games[[#This Row],[PointsFor]]-Games[[#This Row],[PointsAgainst]]</f>
        <v>7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0.3401284952449955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71.5</v>
      </c>
      <c r="Z384" s="4">
        <f>Games[[#This Row],[K]]*Games[[#This Row],[POMult]]</f>
        <v>71.5</v>
      </c>
      <c r="AA384" s="4">
        <f>(Games[[#This Row],[Keff]]*Games[[#This Row],[MOVMult]])*(Games[[#This Row],[Result]]-Games[[#This Row],[ExpectedWin%]])</f>
        <v>10.84299688034617</v>
      </c>
      <c r="AB384" s="4">
        <f>Games[[#This Row],[PreGmRate]]+Games[[#This Row],[RatingChange]]</f>
        <v>1583.6025514447406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40057</v>
      </c>
      <c r="B385" s="2">
        <v>2009</v>
      </c>
      <c r="C385" s="2">
        <f>COUNTIFS(Games[Team],Games[[#This Row],[Team]],Games[Season],Games[[#This Row],[Season]],Games[Date],"&lt;=" &amp; Games[[#This Row],[Date]])</f>
        <v>30</v>
      </c>
      <c r="D385" s="2" t="s">
        <v>23</v>
      </c>
      <c r="E385" s="2" t="s">
        <v>29</v>
      </c>
      <c r="F385" s="1" t="s">
        <v>65</v>
      </c>
      <c r="G385" s="1" t="s">
        <v>79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5" s="2">
        <f>Games[[#This Row],[DaysOff]]-Games[[#This Row],[OppDaysOff]]</f>
        <v>-1</v>
      </c>
      <c r="L385" s="2">
        <f>Games[[#This Row],[OppDaysOff]]-Games[[#This Row],[DaysOff]]</f>
        <v>1</v>
      </c>
      <c r="M385" s="1">
        <f>MAX(-16, MIN(16, Games[[#This Row],[RestDiff]]*8))</f>
        <v>-8</v>
      </c>
      <c r="N385" s="1">
        <f>MAX(-16, MIN(16, Games[[#This Row],[OppRestDiff]]*8))</f>
        <v>8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1466.9924306876462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1572.7595545643944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0.44586180851914048</v>
      </c>
      <c r="R385" s="1">
        <v>58</v>
      </c>
      <c r="S385" s="1">
        <v>65</v>
      </c>
      <c r="T385" s="1">
        <v>0</v>
      </c>
      <c r="U385" s="1">
        <f>Games[[#This Row],[PointsFor]]-Games[[#This Row],[PointsAgainst]]</f>
        <v>-7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0.3401284952449955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71.5</v>
      </c>
      <c r="Z385" s="4">
        <f>Games[[#This Row],[K]]*Games[[#This Row],[POMult]]</f>
        <v>71.5</v>
      </c>
      <c r="AA385" s="4">
        <f>(Games[[#This Row],[Keff]]*Games[[#This Row],[MOVMult]])*(Games[[#This Row],[Result]]-Games[[#This Row],[ExpectedWin%]])</f>
        <v>-10.84299688034617</v>
      </c>
      <c r="AB385" s="4">
        <f>Games[[#This Row],[PreGmRate]]+Games[[#This Row],[RatingChange]]</f>
        <v>1456.1494338073001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40057</v>
      </c>
      <c r="B386" s="2">
        <v>2009</v>
      </c>
      <c r="C386" s="2">
        <f>COUNTIFS(Games[Team],Games[[#This Row],[Team]],Games[Season],Games[[#This Row],[Season]],Games[Date],"&lt;=" &amp; Games[[#This Row],[Date]])</f>
        <v>31</v>
      </c>
      <c r="D386" s="2" t="s">
        <v>23</v>
      </c>
      <c r="E386" s="2" t="s">
        <v>29</v>
      </c>
      <c r="F386" s="1" t="s">
        <v>84</v>
      </c>
      <c r="G386" s="1" t="s">
        <v>45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6" s="2">
        <f>Games[[#This Row],[DaysOff]]-Games[[#This Row],[OppDaysOff]]</f>
        <v>-1</v>
      </c>
      <c r="L386" s="2">
        <f>Games[[#This Row],[OppDaysOff]]-Games[[#This Row],[DaysOff]]</f>
        <v>1</v>
      </c>
      <c r="M386" s="1">
        <f>MAX(-16, MIN(16, Games[[#This Row],[RestDiff]]*8))</f>
        <v>-8</v>
      </c>
      <c r="N386" s="1">
        <f>MAX(-16, MIN(16, Games[[#This Row],[OppRestDiff]]*8))</f>
        <v>8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1492.1270409962399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1438.6591358429384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0.43343247088987336</v>
      </c>
      <c r="R386" s="1">
        <v>70</v>
      </c>
      <c r="S386" s="1">
        <v>90</v>
      </c>
      <c r="T386" s="1">
        <v>0</v>
      </c>
      <c r="U386" s="1">
        <f>Games[[#This Row],[PointsFor]]-Games[[#This Row],[PointsAgainst]]</f>
        <v>-20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0.55036497376152249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71.349999999999994</v>
      </c>
      <c r="Z386" s="4">
        <f>Games[[#This Row],[K]]*Games[[#This Row],[POMult]]</f>
        <v>71.349999999999994</v>
      </c>
      <c r="AA386" s="4">
        <f>(Games[[#This Row],[Keff]]*Games[[#This Row],[MOVMult]])*(Games[[#This Row],[Result]]-Games[[#This Row],[ExpectedWin%]])</f>
        <v>-17.020260700941531</v>
      </c>
      <c r="AB386" s="4">
        <f>Games[[#This Row],[PreGmRate]]+Games[[#This Row],[RatingChange]]</f>
        <v>1475.1067802952984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40057</v>
      </c>
      <c r="B387" s="2">
        <v>2009</v>
      </c>
      <c r="C387" s="2">
        <f>COUNTIFS(Games[Team],Games[[#This Row],[Team]],Games[Season],Games[[#This Row],[Season]],Games[Date],"&lt;=" &amp; Games[[#This Row],[Date]])</f>
        <v>31</v>
      </c>
      <c r="D387" s="2" t="s">
        <v>23</v>
      </c>
      <c r="E387" s="2" t="s">
        <v>29</v>
      </c>
      <c r="F387" s="1" t="s">
        <v>45</v>
      </c>
      <c r="G387" s="1" t="s">
        <v>84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1</v>
      </c>
      <c r="L387" s="2">
        <f>Games[[#This Row],[OppDaysOff]]-Games[[#This Row],[DaysOff]]</f>
        <v>-1</v>
      </c>
      <c r="M387" s="1">
        <f>MAX(-16, MIN(16, Games[[#This Row],[RestDiff]]*8))</f>
        <v>8</v>
      </c>
      <c r="N387" s="1">
        <f>MAX(-16, MIN(16, Games[[#This Row],[OppRestDiff]]*8))</f>
        <v>-8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1438.6591358429384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1492.1270409962399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0.56656752911012653</v>
      </c>
      <c r="R387" s="1">
        <v>90</v>
      </c>
      <c r="S387" s="1">
        <v>70</v>
      </c>
      <c r="T387" s="1">
        <v>0</v>
      </c>
      <c r="U387" s="1">
        <f>Games[[#This Row],[PointsFor]]-Games[[#This Row],[PointsAgainst]]</f>
        <v>20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0.55036497376152249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71.349999999999994</v>
      </c>
      <c r="Z387" s="4">
        <f>Games[[#This Row],[K]]*Games[[#This Row],[POMult]]</f>
        <v>71.349999999999994</v>
      </c>
      <c r="AA387" s="4">
        <f>(Games[[#This Row],[Keff]]*Games[[#This Row],[MOVMult]])*(Games[[#This Row],[Result]]-Games[[#This Row],[ExpectedWin%]])</f>
        <v>17.020260700941535</v>
      </c>
      <c r="AB387" s="4">
        <f>Games[[#This Row],[PreGmRate]]+Games[[#This Row],[RatingChange]]</f>
        <v>1455.6793965438799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40057</v>
      </c>
      <c r="B388" s="2">
        <v>2009</v>
      </c>
      <c r="C388" s="2">
        <f>COUNTIFS(Games[Team],Games[[#This Row],[Team]],Games[Season],Games[[#This Row],[Season]],Games[Date],"&lt;=" &amp; Games[[#This Row],[Date]])</f>
        <v>30</v>
      </c>
      <c r="D388" s="2" t="s">
        <v>23</v>
      </c>
      <c r="E388" s="2" t="s">
        <v>29</v>
      </c>
      <c r="F388" s="1" t="s">
        <v>75</v>
      </c>
      <c r="G388" s="1" t="s">
        <v>82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8" s="2">
        <f>Games[[#This Row],[DaysOff]]-Games[[#This Row],[OppDaysOff]]</f>
        <v>-1</v>
      </c>
      <c r="L388" s="2">
        <f>Games[[#This Row],[OppDaysOff]]-Games[[#This Row],[DaysOff]]</f>
        <v>1</v>
      </c>
      <c r="M388" s="1">
        <f>MAX(-16, MIN(16, Games[[#This Row],[RestDiff]]*8))</f>
        <v>-8</v>
      </c>
      <c r="N388" s="1">
        <f>MAX(-16, MIN(16, Games[[#This Row],[OppRestDiff]]*8))</f>
        <v>8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1424.1010659677568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1475.9308604784799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0.29442213689141661</v>
      </c>
      <c r="R388" s="1">
        <v>82</v>
      </c>
      <c r="S388" s="1">
        <v>84</v>
      </c>
      <c r="T388" s="1">
        <v>1</v>
      </c>
      <c r="U388" s="1">
        <f>Games[[#This Row],[PointsFor]]-Games[[#This Row],[PointsAgainst]]</f>
        <v>-2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0.23107664296127725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71.5</v>
      </c>
      <c r="Z388" s="4">
        <f>Games[[#This Row],[K]]*Games[[#This Row],[POMult]]</f>
        <v>71.5</v>
      </c>
      <c r="AA388" s="4">
        <f>(Games[[#This Row],[Keff]]*Games[[#This Row],[MOVMult]])*(Games[[#This Row],[Result]]-Games[[#This Row],[ExpectedWin%]])</f>
        <v>-4.8644366489543227</v>
      </c>
      <c r="AB388" s="4">
        <f>Games[[#This Row],[PreGmRate]]+Games[[#This Row],[RatingChange]]</f>
        <v>1419.2366293188024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40057</v>
      </c>
      <c r="B389" s="2">
        <v>2009</v>
      </c>
      <c r="C389" s="2">
        <f>COUNTIFS(Games[Team],Games[[#This Row],[Team]],Games[Season],Games[[#This Row],[Season]],Games[Date],"&lt;=" &amp; Games[[#This Row],[Date]])</f>
        <v>30</v>
      </c>
      <c r="D389" s="2" t="s">
        <v>23</v>
      </c>
      <c r="E389" s="2" t="s">
        <v>29</v>
      </c>
      <c r="F389" s="1" t="s">
        <v>82</v>
      </c>
      <c r="G389" s="1" t="s">
        <v>75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1</v>
      </c>
      <c r="L389" s="2">
        <f>Games[[#This Row],[OppDaysOff]]-Games[[#This Row],[DaysOff]]</f>
        <v>-1</v>
      </c>
      <c r="M389" s="1">
        <f>MAX(-16, MIN(16, Games[[#This Row],[RestDiff]]*8))</f>
        <v>8</v>
      </c>
      <c r="N389" s="1">
        <f>MAX(-16, MIN(16, Games[[#This Row],[OppRestDiff]]*8))</f>
        <v>-8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1475.9308604784799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1424.1010659677568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0.7055778631085835</v>
      </c>
      <c r="R389" s="1">
        <v>84</v>
      </c>
      <c r="S389" s="1">
        <v>82</v>
      </c>
      <c r="T389" s="1">
        <v>1</v>
      </c>
      <c r="U389" s="1">
        <f>Games[[#This Row],[PointsFor]]-Games[[#This Row],[PointsAgainst]]</f>
        <v>2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0.23107664296127725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71.5</v>
      </c>
      <c r="Z389" s="4">
        <f>Games[[#This Row],[K]]*Games[[#This Row],[POMult]]</f>
        <v>71.5</v>
      </c>
      <c r="AA389" s="4">
        <f>(Games[[#This Row],[Keff]]*Games[[#This Row],[MOVMult]])*(Games[[#This Row],[Result]]-Games[[#This Row],[ExpectedWin%]])</f>
        <v>4.8644366489543209</v>
      </c>
      <c r="AB389" s="4">
        <f>Games[[#This Row],[PreGmRate]]+Games[[#This Row],[RatingChange]]</f>
        <v>1480.7952971274342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40058</v>
      </c>
      <c r="B390" s="2">
        <v>2009</v>
      </c>
      <c r="C390" s="2">
        <f>COUNTIFS(Games[Team],Games[[#This Row],[Team]],Games[Season],Games[[#This Row],[Season]],Games[Date],"&lt;=" &amp; Games[[#This Row],[Date]])</f>
        <v>31</v>
      </c>
      <c r="D390" s="2" t="s">
        <v>23</v>
      </c>
      <c r="E390" s="2" t="s">
        <v>29</v>
      </c>
      <c r="F390" s="1" t="s">
        <v>44</v>
      </c>
      <c r="G390" s="1" t="s">
        <v>77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0" s="2">
        <f>Games[[#This Row],[DaysOff]]-Games[[#This Row],[OppDaysOff]]</f>
        <v>-3</v>
      </c>
      <c r="L390" s="2">
        <f>Games[[#This Row],[OppDaysOff]]-Games[[#This Row],[DaysOff]]</f>
        <v>3</v>
      </c>
      <c r="M390" s="1">
        <f>MAX(-16, MIN(16, Games[[#This Row],[RestDiff]]*8))</f>
        <v>-16</v>
      </c>
      <c r="N390" s="1">
        <f>MAX(-16, MIN(16, Games[[#This Row],[OppRestDiff]]*8))</f>
        <v>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1583.3904336376909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1595.9355045805089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0.32301181695449188</v>
      </c>
      <c r="R390" s="1">
        <v>106</v>
      </c>
      <c r="S390" s="1">
        <v>90</v>
      </c>
      <c r="T390" s="1">
        <v>0</v>
      </c>
      <c r="U390" s="1">
        <f>Games[[#This Row],[PointsFor]]-Games[[#This Row],[PointsAgainst]]</f>
        <v>16</v>
      </c>
      <c r="V390" s="1">
        <f>IF(Games[[#This Row],[MOV]]&gt;0,1,IF(Games[[#This Row],[MOV]]=0,0.5,0))</f>
        <v>1</v>
      </c>
      <c r="W390" s="4">
        <f>((ABS(Games[[#This Row],[MOV]])+5)^0.6)/(12+0.01*(ABS(Games[[#This Row],[PreGmRate]]-Games[[#This Row],[OppPreGmRate]])))*IF(Games[[#This Row],[OT]]=1,0.9,1)</f>
        <v>0.51242898398238257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71.349999999999994</v>
      </c>
      <c r="Z390" s="4">
        <f>Games[[#This Row],[K]]*Games[[#This Row],[POMult]]</f>
        <v>71.349999999999994</v>
      </c>
      <c r="AA390" s="4">
        <f>(Games[[#This Row],[Keff]]*Games[[#This Row],[MOVMult]])*(Games[[#This Row],[Result]]-Games[[#This Row],[ExpectedWin%]])</f>
        <v>24.751911971614444</v>
      </c>
      <c r="AB390" s="4">
        <f>Games[[#This Row],[PreGmRate]]+Games[[#This Row],[RatingChange]]</f>
        <v>1608.1423456093053</v>
      </c>
      <c r="AC390" s="2">
        <f>IF(Games[[#This Row],[Type]]="R",IF(Games[[#This Row],[Result]]&gt;0.5,1,0),0)</f>
        <v>1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40058</v>
      </c>
      <c r="B391" s="2">
        <v>2009</v>
      </c>
      <c r="C391" s="2">
        <f>COUNTIFS(Games[Team],Games[[#This Row],[Team]],Games[Season],Games[[#This Row],[Season]],Games[Date],"&lt;=" &amp; Games[[#This Row],[Date]])</f>
        <v>29</v>
      </c>
      <c r="D391" s="2" t="s">
        <v>23</v>
      </c>
      <c r="E391" s="2" t="s">
        <v>29</v>
      </c>
      <c r="F391" s="1" t="s">
        <v>77</v>
      </c>
      <c r="G391" s="1" t="s">
        <v>44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1" s="2">
        <f>Games[[#This Row],[DaysOff]]-Games[[#This Row],[OppDaysOff]]</f>
        <v>3</v>
      </c>
      <c r="L391" s="2">
        <f>Games[[#This Row],[OppDaysOff]]-Games[[#This Row],[DaysOff]]</f>
        <v>-3</v>
      </c>
      <c r="M391" s="1">
        <f>MAX(-16, MIN(16, Games[[#This Row],[RestDiff]]*8))</f>
        <v>16</v>
      </c>
      <c r="N391" s="1">
        <f>MAX(-16, MIN(16, Games[[#This Row],[OppRestDiff]]*8))</f>
        <v>-16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1595.9355045805089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1583.3904336376909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0.67698818304550812</v>
      </c>
      <c r="R391" s="1">
        <v>90</v>
      </c>
      <c r="S391" s="1">
        <v>106</v>
      </c>
      <c r="T391" s="1">
        <v>0</v>
      </c>
      <c r="U391" s="1">
        <f>Games[[#This Row],[PointsFor]]-Games[[#This Row],[PointsAgainst]]</f>
        <v>-16</v>
      </c>
      <c r="V391" s="1">
        <f>IF(Games[[#This Row],[MOV]]&gt;0,1,IF(Games[[#This Row],[MOV]]=0,0.5,0))</f>
        <v>0</v>
      </c>
      <c r="W391" s="4">
        <f>((ABS(Games[[#This Row],[MOV]])+5)^0.6)/(12+0.01*(ABS(Games[[#This Row],[PreGmRate]]-Games[[#This Row],[OppPreGmRate]])))*IF(Games[[#This Row],[OT]]=1,0.9,1)</f>
        <v>0.51242898398238257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71.650000000000006</v>
      </c>
      <c r="Z391" s="4">
        <f>Games[[#This Row],[K]]*Games[[#This Row],[POMult]]</f>
        <v>71.650000000000006</v>
      </c>
      <c r="AA391" s="4">
        <f>(Games[[#This Row],[Keff]]*Games[[#This Row],[MOVMult]])*(Games[[#This Row],[Result]]-Games[[#This Row],[ExpectedWin%]])</f>
        <v>-24.855984481656275</v>
      </c>
      <c r="AB391" s="4">
        <f>Games[[#This Row],[PreGmRate]]+Games[[#This Row],[RatingChange]]</f>
        <v>1571.0795200988525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1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40059</v>
      </c>
      <c r="B392" s="2">
        <v>2009</v>
      </c>
      <c r="C392" s="2">
        <f>COUNTIFS(Games[Team],Games[[#This Row],[Team]],Games[Season],Games[[#This Row],[Season]],Games[Date],"&lt;=" &amp; Games[[#This Row],[Date]])</f>
        <v>31</v>
      </c>
      <c r="D392" s="2" t="s">
        <v>23</v>
      </c>
      <c r="E392" s="2" t="s">
        <v>29</v>
      </c>
      <c r="F392" s="1" t="s">
        <v>79</v>
      </c>
      <c r="G392" s="1" t="s">
        <v>71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2" s="2">
        <f>Games[[#This Row],[DaysOff]]-Games[[#This Row],[OppDaysOff]]</f>
        <v>-2</v>
      </c>
      <c r="L392" s="2">
        <f>Games[[#This Row],[OppDaysOff]]-Games[[#This Row],[DaysOff]]</f>
        <v>2</v>
      </c>
      <c r="M392" s="1">
        <f>MAX(-16, MIN(16, Games[[#This Row],[RestDiff]]*8))</f>
        <v>-16</v>
      </c>
      <c r="N392" s="1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1583.6025514447406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1440.6349256488913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0.53873178173613023</v>
      </c>
      <c r="R392" s="1">
        <v>67</v>
      </c>
      <c r="S392" s="1">
        <v>78</v>
      </c>
      <c r="T392" s="1">
        <v>0</v>
      </c>
      <c r="U392" s="1">
        <f>Games[[#This Row],[PointsFor]]-Games[[#This Row],[PointsAgainst]]</f>
        <v>-11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0.39301257466752326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71.349999999999994</v>
      </c>
      <c r="Z392" s="4">
        <f>Games[[#This Row],[K]]*Games[[#This Row],[POMult]]</f>
        <v>71.349999999999994</v>
      </c>
      <c r="AA392" s="4">
        <f>(Games[[#This Row],[Keff]]*Games[[#This Row],[MOVMult]])*(Games[[#This Row],[Result]]-Games[[#This Row],[ExpectedWin%]])</f>
        <v>-15.106818813877416</v>
      </c>
      <c r="AB392" s="4">
        <f>Games[[#This Row],[PreGmRate]]+Games[[#This Row],[RatingChange]]</f>
        <v>1568.4957326308631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40059</v>
      </c>
      <c r="B393" s="2">
        <v>2009</v>
      </c>
      <c r="C393" s="2">
        <f>COUNTIFS(Games[Team],Games[[#This Row],[Team]],Games[Season],Games[[#This Row],[Season]],Games[Date],"&lt;=" &amp; Games[[#This Row],[Date]])</f>
        <v>30</v>
      </c>
      <c r="D393" s="2" t="s">
        <v>23</v>
      </c>
      <c r="E393" s="2" t="s">
        <v>29</v>
      </c>
      <c r="F393" s="1" t="s">
        <v>71</v>
      </c>
      <c r="G393" s="1" t="s">
        <v>79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2</v>
      </c>
      <c r="L393" s="2">
        <f>Games[[#This Row],[OppDaysOff]]-Games[[#This Row],[DaysOff]]</f>
        <v>-2</v>
      </c>
      <c r="M393" s="1">
        <f>MAX(-16, MIN(16, Games[[#This Row],[RestDiff]]*8))</f>
        <v>16</v>
      </c>
      <c r="N393" s="1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1440.6349256488913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1583.6025514447406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0.46126821826386988</v>
      </c>
      <c r="R393" s="1">
        <v>78</v>
      </c>
      <c r="S393" s="1">
        <v>67</v>
      </c>
      <c r="T393" s="1">
        <v>0</v>
      </c>
      <c r="U393" s="1">
        <f>Games[[#This Row],[PointsFor]]-Games[[#This Row],[PointsAgainst]]</f>
        <v>11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0.39301257466752326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71.5</v>
      </c>
      <c r="Z393" s="4">
        <f>Games[[#This Row],[K]]*Games[[#This Row],[POMult]]</f>
        <v>71.5</v>
      </c>
      <c r="AA393" s="4">
        <f>(Games[[#This Row],[Keff]]*Games[[#This Row],[MOVMult]])*(Games[[#This Row],[Result]]-Games[[#This Row],[ExpectedWin%]])</f>
        <v>15.138578068566716</v>
      </c>
      <c r="AB393" s="4">
        <f>Games[[#This Row],[PreGmRate]]+Games[[#This Row],[RatingChange]]</f>
        <v>1455.773503717458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40060</v>
      </c>
      <c r="B394" s="2">
        <v>2009</v>
      </c>
      <c r="C394" s="2">
        <f>COUNTIFS(Games[Team],Games[[#This Row],[Team]],Games[Season],Games[[#This Row],[Season]],Games[Date],"&lt;=" &amp; Games[[#This Row],[Date]])</f>
        <v>31</v>
      </c>
      <c r="D394" s="2" t="s">
        <v>23</v>
      </c>
      <c r="E394" s="2" t="s">
        <v>29</v>
      </c>
      <c r="F394" s="1" t="s">
        <v>71</v>
      </c>
      <c r="G394" s="1" t="s">
        <v>85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4" s="2">
        <f>Games[[#This Row],[DaysOff]]-Games[[#This Row],[OppDaysOff]]</f>
        <v>-4</v>
      </c>
      <c r="L394" s="2">
        <f>Games[[#This Row],[OppDaysOff]]-Games[[#This Row],[DaysOff]]</f>
        <v>4</v>
      </c>
      <c r="M394" s="1">
        <f>MAX(-16, MIN(16, Games[[#This Row],[RestDiff]]*8))</f>
        <v>-16</v>
      </c>
      <c r="N394" s="1">
        <f>MAX(-16, MIN(16, Games[[#This Row],[OppRestDiff]]*8))</f>
        <v>16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1455.773503717458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1444.3066327892313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0.35394546735949506</v>
      </c>
      <c r="R394" s="1">
        <v>86</v>
      </c>
      <c r="S394" s="1">
        <v>92</v>
      </c>
      <c r="T394" s="1">
        <v>0</v>
      </c>
      <c r="U394" s="1">
        <f>Games[[#This Row],[PointsFor]]-Games[[#This Row],[PointsAgainst]]</f>
        <v>-6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0.34795579097116225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71.349999999999994</v>
      </c>
      <c r="Z394" s="4">
        <f>Games[[#This Row],[K]]*Games[[#This Row],[POMult]]</f>
        <v>71.349999999999994</v>
      </c>
      <c r="AA394" s="4">
        <f>(Games[[#This Row],[Keff]]*Games[[#This Row],[MOVMult]])*(Games[[#This Row],[Result]]-Games[[#This Row],[ExpectedWin%]])</f>
        <v>-8.7872787102263921</v>
      </c>
      <c r="AB394" s="4">
        <f>Games[[#This Row],[PreGmRate]]+Games[[#This Row],[RatingChange]]</f>
        <v>1446.9862250072315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40060</v>
      </c>
      <c r="B395" s="2">
        <v>2009</v>
      </c>
      <c r="C395" s="2">
        <f>COUNTIFS(Games[Team],Games[[#This Row],[Team]],Games[Season],Games[[#This Row],[Season]],Games[Date],"&lt;=" &amp; Games[[#This Row],[Date]])</f>
        <v>31</v>
      </c>
      <c r="D395" s="2" t="s">
        <v>23</v>
      </c>
      <c r="E395" s="2" t="s">
        <v>29</v>
      </c>
      <c r="F395" s="1" t="s">
        <v>85</v>
      </c>
      <c r="G395" s="1" t="s">
        <v>71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5" s="2">
        <f>Games[[#This Row],[DaysOff]]-Games[[#This Row],[OppDaysOff]]</f>
        <v>4</v>
      </c>
      <c r="L395" s="2">
        <f>Games[[#This Row],[OppDaysOff]]-Games[[#This Row],[DaysOff]]</f>
        <v>-4</v>
      </c>
      <c r="M395" s="1">
        <f>MAX(-16, MIN(16, Games[[#This Row],[RestDiff]]*8))</f>
        <v>16</v>
      </c>
      <c r="N395" s="1">
        <f>MAX(-16, MIN(16, Games[[#This Row],[OppRestDiff]]*8))</f>
        <v>-16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1444.3066327892313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1455.773503717458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0.64605453264050494</v>
      </c>
      <c r="R395" s="1">
        <v>92</v>
      </c>
      <c r="S395" s="1">
        <v>86</v>
      </c>
      <c r="T395" s="1">
        <v>0</v>
      </c>
      <c r="U395" s="1">
        <f>Games[[#This Row],[PointsFor]]-Games[[#This Row],[PointsAgainst]]</f>
        <v>6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0.34795579097116225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71.349999999999994</v>
      </c>
      <c r="Z395" s="4">
        <f>Games[[#This Row],[K]]*Games[[#This Row],[POMult]]</f>
        <v>71.349999999999994</v>
      </c>
      <c r="AA395" s="4">
        <f>(Games[[#This Row],[Keff]]*Games[[#This Row],[MOVMult]])*(Games[[#This Row],[Result]]-Games[[#This Row],[ExpectedWin%]])</f>
        <v>8.7872787102263921</v>
      </c>
      <c r="AB395" s="4">
        <f>Games[[#This Row],[PreGmRate]]+Games[[#This Row],[RatingChange]]</f>
        <v>1453.0939114994578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40060</v>
      </c>
      <c r="B396" s="2">
        <v>2009</v>
      </c>
      <c r="C396" s="2">
        <f>COUNTIFS(Games[Team],Games[[#This Row],[Team]],Games[Season],Games[[#This Row],[Season]],Games[Date],"&lt;=" &amp; Games[[#This Row],[Date]])</f>
        <v>31</v>
      </c>
      <c r="D396" s="2" t="s">
        <v>23</v>
      </c>
      <c r="E396" s="2" t="s">
        <v>29</v>
      </c>
      <c r="F396" s="1" t="s">
        <v>65</v>
      </c>
      <c r="G396" s="1" t="s">
        <v>84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1456.1494338073001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1475.1067802952984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0.35602243773244419</v>
      </c>
      <c r="R396" s="1">
        <v>85</v>
      </c>
      <c r="S396" s="1">
        <v>88</v>
      </c>
      <c r="T396" s="1">
        <v>1</v>
      </c>
      <c r="U396" s="1">
        <f>Games[[#This Row],[PointsFor]]-Games[[#This Row],[PointsAgainst]]</f>
        <v>-3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0.25710350217712918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71.349999999999994</v>
      </c>
      <c r="Z396" s="4">
        <f>Games[[#This Row],[K]]*Games[[#This Row],[POMult]]</f>
        <v>71.349999999999994</v>
      </c>
      <c r="AA396" s="4">
        <f>(Games[[#This Row],[Keff]]*Games[[#This Row],[MOVMult]])*(Games[[#This Row],[Result]]-Games[[#This Row],[ExpectedWin%]])</f>
        <v>-6.5309948226782986</v>
      </c>
      <c r="AB396" s="4">
        <f>Games[[#This Row],[PreGmRate]]+Games[[#This Row],[RatingChange]]</f>
        <v>1449.6184389846217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40060</v>
      </c>
      <c r="B397" s="2">
        <v>2009</v>
      </c>
      <c r="C397" s="2">
        <f>COUNTIFS(Games[Team],Games[[#This Row],[Team]],Games[Season],Games[[#This Row],[Season]],Games[Date],"&lt;=" &amp; Games[[#This Row],[Date]])</f>
        <v>32</v>
      </c>
      <c r="D397" s="2" t="s">
        <v>23</v>
      </c>
      <c r="E397" s="2" t="s">
        <v>29</v>
      </c>
      <c r="F397" s="1" t="s">
        <v>84</v>
      </c>
      <c r="G397" s="1" t="s">
        <v>65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1475.1067802952984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1456.1494338073001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0.64397756226755587</v>
      </c>
      <c r="R397" s="1">
        <v>88</v>
      </c>
      <c r="S397" s="1">
        <v>85</v>
      </c>
      <c r="T397" s="1">
        <v>1</v>
      </c>
      <c r="U397" s="1">
        <f>Games[[#This Row],[PointsFor]]-Games[[#This Row],[PointsAgainst]]</f>
        <v>3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0.25710350217712918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71.2</v>
      </c>
      <c r="Z397" s="4">
        <f>Games[[#This Row],[K]]*Games[[#This Row],[POMult]]</f>
        <v>71.2</v>
      </c>
      <c r="AA397" s="4">
        <f>(Games[[#This Row],[Keff]]*Games[[#This Row],[MOVMult]])*(Games[[#This Row],[Result]]-Games[[#This Row],[ExpectedWin%]])</f>
        <v>6.5172646303391009</v>
      </c>
      <c r="AB397" s="4">
        <f>Games[[#This Row],[PreGmRate]]+Games[[#This Row],[RatingChange]]</f>
        <v>1481.6240449256375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40060</v>
      </c>
      <c r="B398" s="2">
        <v>2009</v>
      </c>
      <c r="C398" s="2">
        <f>COUNTIFS(Games[Team],Games[[#This Row],[Team]],Games[Season],Games[[#This Row],[Season]],Games[Date],"&lt;=" &amp; Games[[#This Row],[Date]])</f>
        <v>30</v>
      </c>
      <c r="D398" s="2" t="s">
        <v>23</v>
      </c>
      <c r="E398" s="2" t="s">
        <v>29</v>
      </c>
      <c r="F398" s="1" t="s">
        <v>77</v>
      </c>
      <c r="G398" s="1" t="s">
        <v>73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8" s="2">
        <f>Games[[#This Row],[DaysOff]]-Games[[#This Row],[OppDaysOff]]</f>
        <v>-1</v>
      </c>
      <c r="L398" s="2">
        <f>Games[[#This Row],[OppDaysOff]]-Games[[#This Row],[DaysOff]]</f>
        <v>1</v>
      </c>
      <c r="M398" s="1">
        <f>MAX(-16, MIN(16, Games[[#This Row],[RestDiff]]*8))</f>
        <v>-8</v>
      </c>
      <c r="N398" s="1">
        <f>MAX(-16, MIN(16, Games[[#This Row],[OppRestDiff]]*8))</f>
        <v>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1571.0795200988525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1543.0564654611139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0.3978737005158271</v>
      </c>
      <c r="R398" s="1">
        <v>63</v>
      </c>
      <c r="S398" s="1">
        <v>70</v>
      </c>
      <c r="T398" s="1">
        <v>1</v>
      </c>
      <c r="U398" s="1">
        <f>Games[[#This Row],[PointsFor]]-Games[[#This Row],[PointsAgainst]]</f>
        <v>-7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0.32549531116420283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71.5</v>
      </c>
      <c r="Z398" s="4">
        <f>Games[[#This Row],[K]]*Games[[#This Row],[POMult]]</f>
        <v>71.5</v>
      </c>
      <c r="AA398" s="4">
        <f>(Games[[#This Row],[Keff]]*Games[[#This Row],[MOVMult]])*(Games[[#This Row],[Result]]-Games[[#This Row],[ExpectedWin%]])</f>
        <v>-9.2596807126718179</v>
      </c>
      <c r="AB398" s="4">
        <f>Games[[#This Row],[PreGmRate]]+Games[[#This Row],[RatingChange]]</f>
        <v>1561.8198393861808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40060</v>
      </c>
      <c r="B399" s="2">
        <v>2009</v>
      </c>
      <c r="C399" s="2">
        <f>COUNTIFS(Games[Team],Games[[#This Row],[Team]],Games[Season],Games[[#This Row],[Season]],Games[Date],"&lt;=" &amp; Games[[#This Row],[Date]])</f>
        <v>30</v>
      </c>
      <c r="D399" s="2" t="s">
        <v>23</v>
      </c>
      <c r="E399" s="2" t="s">
        <v>29</v>
      </c>
      <c r="F399" s="1" t="s">
        <v>73</v>
      </c>
      <c r="G399" s="1" t="s">
        <v>77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1</v>
      </c>
      <c r="L399" s="2">
        <f>Games[[#This Row],[OppDaysOff]]-Games[[#This Row],[DaysOff]]</f>
        <v>-1</v>
      </c>
      <c r="M399" s="1">
        <f>MAX(-16, MIN(16, Games[[#This Row],[RestDiff]]*8))</f>
        <v>8</v>
      </c>
      <c r="N399" s="1">
        <f>MAX(-16, MIN(16, Games[[#This Row],[OppRestDiff]]*8))</f>
        <v>-8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1543.0564654611139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1571.0795200988525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0.60212629948417284</v>
      </c>
      <c r="R399" s="1">
        <v>70</v>
      </c>
      <c r="S399" s="1">
        <v>63</v>
      </c>
      <c r="T399" s="1">
        <v>1</v>
      </c>
      <c r="U399" s="1">
        <f>Games[[#This Row],[PointsFor]]-Games[[#This Row],[PointsAgainst]]</f>
        <v>7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0.32549531116420283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71.5</v>
      </c>
      <c r="Z399" s="4">
        <f>Games[[#This Row],[K]]*Games[[#This Row],[POMult]]</f>
        <v>71.5</v>
      </c>
      <c r="AA399" s="4">
        <f>(Games[[#This Row],[Keff]]*Games[[#This Row],[MOVMult]])*(Games[[#This Row],[Result]]-Games[[#This Row],[ExpectedWin%]])</f>
        <v>9.2596807126718179</v>
      </c>
      <c r="AB399" s="4">
        <f>Games[[#This Row],[PreGmRate]]+Games[[#This Row],[RatingChange]]</f>
        <v>1552.3161461737857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40060</v>
      </c>
      <c r="B400" s="2">
        <v>2009</v>
      </c>
      <c r="C400" s="2">
        <f>COUNTIFS(Games[Team],Games[[#This Row],[Team]],Games[Season],Games[[#This Row],[Season]],Games[Date],"&lt;=" &amp; Games[[#This Row],[Date]])</f>
        <v>31</v>
      </c>
      <c r="D400" s="2" t="s">
        <v>23</v>
      </c>
      <c r="E400" s="2" t="s">
        <v>29</v>
      </c>
      <c r="F400" s="1" t="s">
        <v>87</v>
      </c>
      <c r="G400" s="1" t="s">
        <v>45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1509.4072367936697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1455.6793965438799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0.45654477067337312</v>
      </c>
      <c r="R400" s="1">
        <v>98</v>
      </c>
      <c r="S400" s="1">
        <v>90</v>
      </c>
      <c r="T400" s="1">
        <v>0</v>
      </c>
      <c r="U400" s="1">
        <f>Games[[#This Row],[PointsFor]]-Games[[#This Row],[PointsAgainst]]</f>
        <v>8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0.37167447913636992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71.349999999999994</v>
      </c>
      <c r="Z400" s="4">
        <f>Games[[#This Row],[K]]*Games[[#This Row],[POMult]]</f>
        <v>71.349999999999994</v>
      </c>
      <c r="AA400" s="4">
        <f>(Games[[#This Row],[Keff]]*Games[[#This Row],[MOVMult]])*(Games[[#This Row],[Result]]-Games[[#This Row],[ExpectedWin%]])</f>
        <v>14.411875143620511</v>
      </c>
      <c r="AB400" s="4">
        <f>Games[[#This Row],[PreGmRate]]+Games[[#This Row],[RatingChange]]</f>
        <v>1523.8191119372902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40060</v>
      </c>
      <c r="B401" s="2">
        <v>2009</v>
      </c>
      <c r="C401" s="2">
        <f>COUNTIFS(Games[Team],Games[[#This Row],[Team]],Games[Season],Games[[#This Row],[Season]],Games[Date],"&lt;=" &amp; Games[[#This Row],[Date]])</f>
        <v>32</v>
      </c>
      <c r="D401" s="2" t="s">
        <v>23</v>
      </c>
      <c r="E401" s="2" t="s">
        <v>29</v>
      </c>
      <c r="F401" s="1" t="s">
        <v>45</v>
      </c>
      <c r="G401" s="1" t="s">
        <v>87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1455.6793965438799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1509.4072367936697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0.54345522932662682</v>
      </c>
      <c r="R401" s="1">
        <v>90</v>
      </c>
      <c r="S401" s="1">
        <v>98</v>
      </c>
      <c r="T401" s="1">
        <v>0</v>
      </c>
      <c r="U401" s="1">
        <f>Games[[#This Row],[PointsFor]]-Games[[#This Row],[PointsAgainst]]</f>
        <v>-8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0.37167447913636992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71.2</v>
      </c>
      <c r="Z401" s="4">
        <f>Games[[#This Row],[K]]*Games[[#This Row],[POMult]]</f>
        <v>71.2</v>
      </c>
      <c r="AA401" s="4">
        <f>(Games[[#This Row],[Keff]]*Games[[#This Row],[MOVMult]])*(Games[[#This Row],[Result]]-Games[[#This Row],[ExpectedWin%]])</f>
        <v>-14.381576877726427</v>
      </c>
      <c r="AB401" s="4">
        <f>Games[[#This Row],[PreGmRate]]+Games[[#This Row],[RatingChange]]</f>
        <v>1441.2978196661534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40061</v>
      </c>
      <c r="B402" s="2">
        <v>2009</v>
      </c>
      <c r="C402" s="2">
        <f>COUNTIFS(Games[Team],Games[[#This Row],[Team]],Games[Season],Games[[#This Row],[Season]],Games[Date],"&lt;=" &amp; Games[[#This Row],[Date]])</f>
        <v>32</v>
      </c>
      <c r="D402" s="2" t="s">
        <v>23</v>
      </c>
      <c r="E402" s="2" t="s">
        <v>29</v>
      </c>
      <c r="F402" s="1" t="s">
        <v>79</v>
      </c>
      <c r="G402" s="1" t="s">
        <v>75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2" s="2">
        <f>Games[[#This Row],[DaysOff]]-Games[[#This Row],[OppDaysOff]]</f>
        <v>-2</v>
      </c>
      <c r="L402" s="2">
        <f>Games[[#This Row],[OppDaysOff]]-Games[[#This Row],[DaysOff]]</f>
        <v>2</v>
      </c>
      <c r="M402" s="1">
        <f>MAX(-16, MIN(16, Games[[#This Row],[RestDiff]]*8))</f>
        <v>-16</v>
      </c>
      <c r="N402" s="1">
        <f>MAX(-16, MIN(16, Games[[#This Row],[OppRestDiff]]*8))</f>
        <v>16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1568.4957326308631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1419.2366293188024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0.5477180277132323</v>
      </c>
      <c r="R402" s="1">
        <v>68</v>
      </c>
      <c r="S402" s="1">
        <v>76</v>
      </c>
      <c r="T402" s="1">
        <v>0</v>
      </c>
      <c r="U402" s="1">
        <f>Games[[#This Row],[PointsFor]]-Games[[#This Row],[PointsAgainst]]</f>
        <v>-8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0.34535890168149092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71.2</v>
      </c>
      <c r="Z402" s="4">
        <f>Games[[#This Row],[K]]*Games[[#This Row],[POMult]]</f>
        <v>71.2</v>
      </c>
      <c r="AA402" s="4">
        <f>(Games[[#This Row],[Keff]]*Games[[#This Row],[MOVMult]])*(Games[[#This Row],[Result]]-Games[[#This Row],[ExpectedWin%]])</f>
        <v>-13.468141909532235</v>
      </c>
      <c r="AB402" s="4">
        <f>Games[[#This Row],[PreGmRate]]+Games[[#This Row],[RatingChange]]</f>
        <v>1555.0275907213309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40061</v>
      </c>
      <c r="B403" s="2">
        <v>2009</v>
      </c>
      <c r="C403" s="2">
        <f>COUNTIFS(Games[Team],Games[[#This Row],[Team]],Games[Season],Games[[#This Row],[Season]],Games[Date],"&lt;=" &amp; Games[[#This Row],[Date]])</f>
        <v>31</v>
      </c>
      <c r="D403" s="2" t="s">
        <v>23</v>
      </c>
      <c r="E403" s="2" t="s">
        <v>29</v>
      </c>
      <c r="F403" s="1" t="s">
        <v>75</v>
      </c>
      <c r="G403" s="1" t="s">
        <v>79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2</v>
      </c>
      <c r="L403" s="2">
        <f>Games[[#This Row],[OppDaysOff]]-Games[[#This Row],[DaysOff]]</f>
        <v>-2</v>
      </c>
      <c r="M403" s="1">
        <f>MAX(-16, MIN(16, Games[[#This Row],[RestDiff]]*8))</f>
        <v>16</v>
      </c>
      <c r="N403" s="1">
        <f>MAX(-16, MIN(16, Games[[#This Row],[OppRestDiff]]*8))</f>
        <v>-16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1419.2366293188024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1568.4957326308631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0.45228197228676775</v>
      </c>
      <c r="R403" s="1">
        <v>76</v>
      </c>
      <c r="S403" s="1">
        <v>68</v>
      </c>
      <c r="T403" s="1">
        <v>0</v>
      </c>
      <c r="U403" s="1">
        <f>Games[[#This Row],[PointsFor]]-Games[[#This Row],[PointsAgainst]]</f>
        <v>8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0.34535890168149092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71.349999999999994</v>
      </c>
      <c r="Z403" s="4">
        <f>Games[[#This Row],[K]]*Games[[#This Row],[POMult]]</f>
        <v>71.349999999999994</v>
      </c>
      <c r="AA403" s="4">
        <f>(Games[[#This Row],[Keff]]*Games[[#This Row],[MOVMult]])*(Games[[#This Row],[Result]]-Games[[#This Row],[ExpectedWin%]])</f>
        <v>13.496515804004565</v>
      </c>
      <c r="AB403" s="4">
        <f>Games[[#This Row],[PreGmRate]]+Games[[#This Row],[RatingChange]]</f>
        <v>1432.7331451228069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40061</v>
      </c>
      <c r="B404" s="2">
        <v>2009</v>
      </c>
      <c r="C404" s="2">
        <f>COUNTIFS(Games[Team],Games[[#This Row],[Team]],Games[Season],Games[[#This Row],[Season]],Games[Date],"&lt;=" &amp; Games[[#This Row],[Date]])</f>
        <v>32</v>
      </c>
      <c r="D404" s="2" t="s">
        <v>23</v>
      </c>
      <c r="E404" s="2" t="s">
        <v>29</v>
      </c>
      <c r="F404" s="1" t="s">
        <v>87</v>
      </c>
      <c r="G404" s="1" t="s">
        <v>44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4" s="2">
        <f>Games[[#This Row],[DaysOff]]-Games[[#This Row],[OppDaysOff]]</f>
        <v>-2</v>
      </c>
      <c r="L404" s="2">
        <f>Games[[#This Row],[OppDaysOff]]-Games[[#This Row],[DaysOff]]</f>
        <v>2</v>
      </c>
      <c r="M404" s="1">
        <f>MAX(-16, MIN(16, Games[[#This Row],[RestDiff]]*8))</f>
        <v>-16</v>
      </c>
      <c r="N404" s="1">
        <f>MAX(-16, MIN(16, Games[[#This Row],[OppRestDiff]]*8))</f>
        <v>16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1523.8191119372902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1608.1423456093053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0.2399136042705817</v>
      </c>
      <c r="R404" s="1">
        <v>82</v>
      </c>
      <c r="S404" s="1">
        <v>100</v>
      </c>
      <c r="T404" s="1">
        <v>0</v>
      </c>
      <c r="U404" s="1">
        <f>Games[[#This Row],[PointsFor]]-Games[[#This Row],[PointsAgainst]]</f>
        <v>-18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0.51093112804277363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71.2</v>
      </c>
      <c r="Z404" s="4">
        <f>Games[[#This Row],[K]]*Games[[#This Row],[POMult]]</f>
        <v>71.2</v>
      </c>
      <c r="AA404" s="4">
        <f>(Games[[#This Row],[Keff]]*Games[[#This Row],[MOVMult]])*(Games[[#This Row],[Result]]-Games[[#This Row],[ExpectedWin%]])</f>
        <v>-8.7276481865496436</v>
      </c>
      <c r="AB404" s="4">
        <f>Games[[#This Row],[PreGmRate]]+Games[[#This Row],[RatingChange]]</f>
        <v>1515.0914637507406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40061</v>
      </c>
      <c r="B405" s="2">
        <v>2009</v>
      </c>
      <c r="C405" s="2">
        <f>COUNTIFS(Games[Team],Games[[#This Row],[Team]],Games[Season],Games[[#This Row],[Season]],Games[Date],"&lt;=" &amp; Games[[#This Row],[Date]])</f>
        <v>32</v>
      </c>
      <c r="D405" s="2" t="s">
        <v>23</v>
      </c>
      <c r="E405" s="2" t="s">
        <v>29</v>
      </c>
      <c r="F405" s="1" t="s">
        <v>44</v>
      </c>
      <c r="G405" s="1" t="s">
        <v>87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5" s="2">
        <f>Games[[#This Row],[DaysOff]]-Games[[#This Row],[OppDaysOff]]</f>
        <v>2</v>
      </c>
      <c r="L405" s="2">
        <f>Games[[#This Row],[OppDaysOff]]-Games[[#This Row],[DaysOff]]</f>
        <v>-2</v>
      </c>
      <c r="M405" s="1">
        <f>MAX(-16, MIN(16, Games[[#This Row],[RestDiff]]*8))</f>
        <v>16</v>
      </c>
      <c r="N405" s="1">
        <f>MAX(-16, MIN(16, Games[[#This Row],[OppRestDiff]]*8))</f>
        <v>-16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1608.1423456093053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1523.8191119372902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0.76008639572941827</v>
      </c>
      <c r="R405" s="1">
        <v>100</v>
      </c>
      <c r="S405" s="1">
        <v>82</v>
      </c>
      <c r="T405" s="1">
        <v>0</v>
      </c>
      <c r="U405" s="1">
        <f>Games[[#This Row],[PointsFor]]-Games[[#This Row],[PointsAgainst]]</f>
        <v>18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0.51093112804277363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71.2</v>
      </c>
      <c r="Z405" s="4">
        <f>Games[[#This Row],[K]]*Games[[#This Row],[POMult]]</f>
        <v>71.2</v>
      </c>
      <c r="AA405" s="4">
        <f>(Games[[#This Row],[Keff]]*Games[[#This Row],[MOVMult]])*(Games[[#This Row],[Result]]-Games[[#This Row],[ExpectedWin%]])</f>
        <v>8.7276481865496454</v>
      </c>
      <c r="AB405" s="4">
        <f>Games[[#This Row],[PreGmRate]]+Games[[#This Row],[RatingChange]]</f>
        <v>1616.869993795855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40061</v>
      </c>
      <c r="B406" s="2">
        <v>2009</v>
      </c>
      <c r="C406" s="2">
        <f>COUNTIFS(Games[Team],Games[[#This Row],[Team]],Games[Season],Games[[#This Row],[Season]],Games[Date],"&lt;=" &amp; Games[[#This Row],[Date]])</f>
        <v>31</v>
      </c>
      <c r="D406" s="2" t="s">
        <v>23</v>
      </c>
      <c r="E406" s="2" t="s">
        <v>29</v>
      </c>
      <c r="F406" s="1" t="s">
        <v>68</v>
      </c>
      <c r="G406" s="1" t="s">
        <v>82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1530.0075157671213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1480.7952971274342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0.45010299394907799</v>
      </c>
      <c r="R406" s="1">
        <v>72</v>
      </c>
      <c r="S406" s="1">
        <v>89</v>
      </c>
      <c r="T406" s="1">
        <v>0</v>
      </c>
      <c r="U406" s="1">
        <f>Games[[#This Row],[PointsFor]]-Games[[#This Row],[PointsAgainst]]</f>
        <v>-17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0.51146672548092076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71.349999999999994</v>
      </c>
      <c r="Z406" s="4">
        <f>Games[[#This Row],[K]]*Games[[#This Row],[POMult]]</f>
        <v>71.349999999999994</v>
      </c>
      <c r="AA406" s="4">
        <f>(Games[[#This Row],[Keff]]*Games[[#This Row],[MOVMult]])*(Games[[#This Row],[Result]]-Games[[#This Row],[ExpectedWin%]])</f>
        <v>-16.425676462100345</v>
      </c>
      <c r="AB406" s="4">
        <f>Games[[#This Row],[PreGmRate]]+Games[[#This Row],[RatingChange]]</f>
        <v>1513.5818393050208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40061</v>
      </c>
      <c r="B407" s="2">
        <v>2009</v>
      </c>
      <c r="C407" s="2">
        <f>COUNTIFS(Games[Team],Games[[#This Row],[Team]],Games[Season],Games[[#This Row],[Season]],Games[Date],"&lt;=" &amp; Games[[#This Row],[Date]])</f>
        <v>31</v>
      </c>
      <c r="D407" s="2" t="s">
        <v>23</v>
      </c>
      <c r="E407" s="2" t="s">
        <v>29</v>
      </c>
      <c r="F407" s="1" t="s">
        <v>82</v>
      </c>
      <c r="G407" s="1" t="s">
        <v>68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1480.7952971274342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1530.0075157671213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0.54989700605092207</v>
      </c>
      <c r="R407" s="1">
        <v>89</v>
      </c>
      <c r="S407" s="1">
        <v>72</v>
      </c>
      <c r="T407" s="1">
        <v>0</v>
      </c>
      <c r="U407" s="1">
        <f>Games[[#This Row],[PointsFor]]-Games[[#This Row],[PointsAgainst]]</f>
        <v>17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0.51146672548092076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71.349999999999994</v>
      </c>
      <c r="Z407" s="4">
        <f>Games[[#This Row],[K]]*Games[[#This Row],[POMult]]</f>
        <v>71.349999999999994</v>
      </c>
      <c r="AA407" s="4">
        <f>(Games[[#This Row],[Keff]]*Games[[#This Row],[MOVMult]])*(Games[[#This Row],[Result]]-Games[[#This Row],[ExpectedWin%]])</f>
        <v>16.425676462100345</v>
      </c>
      <c r="AB407" s="4">
        <f>Games[[#This Row],[PreGmRate]]+Games[[#This Row],[RatingChange]]</f>
        <v>1497.2209735895347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40062</v>
      </c>
      <c r="B408" s="2">
        <v>2009</v>
      </c>
      <c r="C408" s="2">
        <f>COUNTIFS(Games[Team],Games[[#This Row],[Team]],Games[Season],Games[[#This Row],[Season]],Games[Date],"&lt;=" &amp; Games[[#This Row],[Date]])</f>
        <v>32</v>
      </c>
      <c r="D408" s="2" t="s">
        <v>23</v>
      </c>
      <c r="E408" s="2" t="s">
        <v>29</v>
      </c>
      <c r="F408" s="1" t="s">
        <v>85</v>
      </c>
      <c r="G408" s="1" t="s">
        <v>73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1453.0939114994578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1552.3161461737857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0.25832130113022422</v>
      </c>
      <c r="R408" s="1">
        <v>75</v>
      </c>
      <c r="S408" s="1">
        <v>84</v>
      </c>
      <c r="T408" s="1">
        <v>0</v>
      </c>
      <c r="U408" s="1">
        <f>Games[[#This Row],[PointsFor]]-Games[[#This Row],[PointsAgainst]]</f>
        <v>-9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0.37496728394492707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71.2</v>
      </c>
      <c r="Z408" s="4">
        <f>Games[[#This Row],[K]]*Games[[#This Row],[POMult]]</f>
        <v>71.2</v>
      </c>
      <c r="AA408" s="4">
        <f>(Games[[#This Row],[Keff]]*Games[[#This Row],[MOVMult]])*(Games[[#This Row],[Result]]-Games[[#This Row],[ExpectedWin%]])</f>
        <v>-6.89657701089829</v>
      </c>
      <c r="AB408" s="4">
        <f>Games[[#This Row],[PreGmRate]]+Games[[#This Row],[RatingChange]]</f>
        <v>1446.1973344885596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40062</v>
      </c>
      <c r="B409" s="2">
        <v>2009</v>
      </c>
      <c r="C409" s="2">
        <f>COUNTIFS(Games[Team],Games[[#This Row],[Team]],Games[Season],Games[[#This Row],[Season]],Games[Date],"&lt;=" &amp; Games[[#This Row],[Date]])</f>
        <v>31</v>
      </c>
      <c r="D409" s="2" t="s">
        <v>23</v>
      </c>
      <c r="E409" s="2" t="s">
        <v>29</v>
      </c>
      <c r="F409" s="1" t="s">
        <v>73</v>
      </c>
      <c r="G409" s="1" t="s">
        <v>85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1552.3161461737857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1453.0939114994578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0.74167869886977589</v>
      </c>
      <c r="R409" s="1">
        <v>84</v>
      </c>
      <c r="S409" s="1">
        <v>75</v>
      </c>
      <c r="T409" s="1">
        <v>0</v>
      </c>
      <c r="U409" s="1">
        <f>Games[[#This Row],[PointsFor]]-Games[[#This Row],[PointsAgainst]]</f>
        <v>9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0.37496728394492707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71.349999999999994</v>
      </c>
      <c r="Z409" s="4">
        <f>Games[[#This Row],[K]]*Games[[#This Row],[POMult]]</f>
        <v>71.349999999999994</v>
      </c>
      <c r="AA409" s="4">
        <f>(Games[[#This Row],[Keff]]*Games[[#This Row],[MOVMult]])*(Games[[#This Row],[Result]]-Games[[#This Row],[ExpectedWin%]])</f>
        <v>6.911106316398774</v>
      </c>
      <c r="AB409" s="4">
        <f>Games[[#This Row],[PreGmRate]]+Games[[#This Row],[RatingChange]]</f>
        <v>1559.2272524901844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40062</v>
      </c>
      <c r="B410" s="2">
        <v>2009</v>
      </c>
      <c r="C410" s="2">
        <f>COUNTIFS(Games[Team],Games[[#This Row],[Team]],Games[Season],Games[[#This Row],[Season]],Games[Date],"&lt;=" &amp; Games[[#This Row],[Date]])</f>
        <v>32</v>
      </c>
      <c r="D410" s="2" t="s">
        <v>23</v>
      </c>
      <c r="E410" s="2" t="s">
        <v>29</v>
      </c>
      <c r="F410" s="1" t="s">
        <v>71</v>
      </c>
      <c r="G410" s="1" t="s">
        <v>77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1446.9862250072315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1561.8198393861808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0.24148077318825689</v>
      </c>
      <c r="R410" s="1">
        <v>61</v>
      </c>
      <c r="S410" s="1">
        <v>72</v>
      </c>
      <c r="T410" s="1">
        <v>0</v>
      </c>
      <c r="U410" s="1">
        <f>Games[[#This Row],[PointsFor]]-Games[[#This Row],[PointsAgainst]]</f>
        <v>-11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0.40142201913392755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71.2</v>
      </c>
      <c r="Z410" s="4">
        <f>Games[[#This Row],[K]]*Games[[#This Row],[POMult]]</f>
        <v>71.2</v>
      </c>
      <c r="AA410" s="4">
        <f>(Games[[#This Row],[Keff]]*Games[[#This Row],[MOVMult]])*(Games[[#This Row],[Result]]-Games[[#This Row],[ExpectedWin%]])</f>
        <v>-6.9018218083339482</v>
      </c>
      <c r="AB410" s="4">
        <f>Games[[#This Row],[PreGmRate]]+Games[[#This Row],[RatingChange]]</f>
        <v>1440.0844031988975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40062</v>
      </c>
      <c r="B411" s="2">
        <v>2009</v>
      </c>
      <c r="C411" s="2">
        <f>COUNTIFS(Games[Team],Games[[#This Row],[Team]],Games[Season],Games[[#This Row],[Season]],Games[Date],"&lt;=" &amp; Games[[#This Row],[Date]])</f>
        <v>31</v>
      </c>
      <c r="D411" s="2" t="s">
        <v>23</v>
      </c>
      <c r="E411" s="2" t="s">
        <v>29</v>
      </c>
      <c r="F411" s="1" t="s">
        <v>77</v>
      </c>
      <c r="G411" s="1" t="s">
        <v>71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1561.8198393861808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1446.9862250072315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0.75851922681174311</v>
      </c>
      <c r="R411" s="1">
        <v>72</v>
      </c>
      <c r="S411" s="1">
        <v>61</v>
      </c>
      <c r="T411" s="1">
        <v>0</v>
      </c>
      <c r="U411" s="1">
        <f>Games[[#This Row],[PointsFor]]-Games[[#This Row],[PointsAgainst]]</f>
        <v>11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0.40142201913392755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71.349999999999994</v>
      </c>
      <c r="Z411" s="4">
        <f>Games[[#This Row],[K]]*Games[[#This Row],[POMult]]</f>
        <v>71.349999999999994</v>
      </c>
      <c r="AA411" s="4">
        <f>(Games[[#This Row],[Keff]]*Games[[#This Row],[MOVMult]])*(Games[[#This Row],[Result]]-Games[[#This Row],[ExpectedWin%]])</f>
        <v>6.9163621632672347</v>
      </c>
      <c r="AB411" s="4">
        <f>Games[[#This Row],[PreGmRate]]+Games[[#This Row],[RatingChange]]</f>
        <v>1568.736201549448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40064</v>
      </c>
      <c r="B412" s="2">
        <v>2009</v>
      </c>
      <c r="C412" s="2">
        <f>COUNTIFS(Games[Team],Games[[#This Row],[Team]],Games[Season],Games[[#This Row],[Season]],Games[Date],"&lt;=" &amp; Games[[#This Row],[Date]])</f>
        <v>32</v>
      </c>
      <c r="D412" s="2" t="s">
        <v>23</v>
      </c>
      <c r="E412" s="2" t="s">
        <v>29</v>
      </c>
      <c r="F412" s="1" t="s">
        <v>82</v>
      </c>
      <c r="G412" s="1" t="s">
        <v>68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1497.2209735895347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1513.5818393050208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0.35945656515575292</v>
      </c>
      <c r="R412" s="1">
        <v>68</v>
      </c>
      <c r="S412" s="1">
        <v>76</v>
      </c>
      <c r="T412" s="1">
        <v>0</v>
      </c>
      <c r="U412" s="1">
        <f>Games[[#This Row],[PointsFor]]-Games[[#This Row],[PointsAgainst]]</f>
        <v>-8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0.38309243180847424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71.2</v>
      </c>
      <c r="Z412" s="4">
        <f>Games[[#This Row],[K]]*Games[[#This Row],[POMult]]</f>
        <v>71.2</v>
      </c>
      <c r="AA412" s="4">
        <f>(Games[[#This Row],[Keff]]*Games[[#This Row],[MOVMult]])*(Games[[#This Row],[Result]]-Games[[#This Row],[ExpectedWin%]])</f>
        <v>-9.8046023848627524</v>
      </c>
      <c r="AB412" s="4">
        <f>Games[[#This Row],[PreGmRate]]+Games[[#This Row],[RatingChange]]</f>
        <v>1487.4163712046718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1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40064</v>
      </c>
      <c r="B413" s="2">
        <v>2009</v>
      </c>
      <c r="C413" s="2">
        <f>COUNTIFS(Games[Team],Games[[#This Row],[Team]],Games[Season],Games[[#This Row],[Season]],Games[Date],"&lt;=" &amp; Games[[#This Row],[Date]])</f>
        <v>32</v>
      </c>
      <c r="D413" s="2" t="s">
        <v>23</v>
      </c>
      <c r="E413" s="2" t="s">
        <v>29</v>
      </c>
      <c r="F413" s="1" t="s">
        <v>68</v>
      </c>
      <c r="G413" s="1" t="s">
        <v>82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1513.5818393050208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1497.2209735895347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0.64054343484424703</v>
      </c>
      <c r="R413" s="1">
        <v>76</v>
      </c>
      <c r="S413" s="1">
        <v>68</v>
      </c>
      <c r="T413" s="1">
        <v>0</v>
      </c>
      <c r="U413" s="1">
        <f>Games[[#This Row],[PointsFor]]-Games[[#This Row],[PointsAgainst]]</f>
        <v>8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0.38309243180847424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71.2</v>
      </c>
      <c r="Z413" s="4">
        <f>Games[[#This Row],[K]]*Games[[#This Row],[POMult]]</f>
        <v>71.2</v>
      </c>
      <c r="AA413" s="4">
        <f>(Games[[#This Row],[Keff]]*Games[[#This Row],[MOVMult]])*(Games[[#This Row],[Result]]-Games[[#This Row],[ExpectedWin%]])</f>
        <v>9.8046023848627541</v>
      </c>
      <c r="AB413" s="4">
        <f>Games[[#This Row],[PreGmRate]]+Games[[#This Row],[RatingChange]]</f>
        <v>1523.3864416898837</v>
      </c>
      <c r="AC413" s="2">
        <f>IF(Games[[#This Row],[Type]]="R",IF(Games[[#This Row],[Result]]&gt;0.5,1,0),0)</f>
        <v>1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40064</v>
      </c>
      <c r="B414" s="2">
        <v>2009</v>
      </c>
      <c r="C414" s="2">
        <f>COUNTIFS(Games[Team],Games[[#This Row],[Team]],Games[Season],Games[[#This Row],[Season]],Games[Date],"&lt;=" &amp; Games[[#This Row],[Date]])</f>
        <v>32</v>
      </c>
      <c r="D414" s="2" t="s">
        <v>23</v>
      </c>
      <c r="E414" s="2" t="s">
        <v>29</v>
      </c>
      <c r="F414" s="1" t="s">
        <v>77</v>
      </c>
      <c r="G414" s="1" t="s">
        <v>65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4" s="2">
        <f>Games[[#This Row],[DaysOff]]-Games[[#This Row],[OppDaysOff]]</f>
        <v>-2</v>
      </c>
      <c r="L414" s="2">
        <f>Games[[#This Row],[OppDaysOff]]-Games[[#This Row],[DaysOff]]</f>
        <v>2</v>
      </c>
      <c r="M414" s="1">
        <f>MAX(-16, MIN(16, Games[[#This Row],[RestDiff]]*8))</f>
        <v>-16</v>
      </c>
      <c r="N414" s="1">
        <f>MAX(-16, MIN(16, Games[[#This Row],[OppRestDiff]]*8))</f>
        <v>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1568.736201549448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1449.6184389846217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0.50448670057154454</v>
      </c>
      <c r="R414" s="1">
        <v>69</v>
      </c>
      <c r="S414" s="1">
        <v>63</v>
      </c>
      <c r="T414" s="1">
        <v>0</v>
      </c>
      <c r="U414" s="1">
        <f>Games[[#This Row],[PointsFor]]-Games[[#This Row],[PointsAgainst]]</f>
        <v>6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0.31955972792722825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71.2</v>
      </c>
      <c r="Z414" s="4">
        <f>Games[[#This Row],[K]]*Games[[#This Row],[POMult]]</f>
        <v>71.2</v>
      </c>
      <c r="AA414" s="4">
        <f>(Games[[#This Row],[Keff]]*Games[[#This Row],[MOVMult]])*(Games[[#This Row],[Result]]-Games[[#This Row],[ExpectedWin%]])</f>
        <v>11.274241974657246</v>
      </c>
      <c r="AB414" s="4">
        <f>Games[[#This Row],[PreGmRate]]+Games[[#This Row],[RatingChange]]</f>
        <v>1580.0104435241053</v>
      </c>
      <c r="AC414" s="2">
        <f>IF(Games[[#This Row],[Type]]="R",IF(Games[[#This Row],[Result]]&gt;0.5,1,0),0)</f>
        <v>1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40064</v>
      </c>
      <c r="B415" s="2">
        <v>2009</v>
      </c>
      <c r="C415" s="2">
        <f>COUNTIFS(Games[Team],Games[[#This Row],[Team]],Games[Season],Games[[#This Row],[Season]],Games[Date],"&lt;=" &amp; Games[[#This Row],[Date]])</f>
        <v>32</v>
      </c>
      <c r="D415" s="2" t="s">
        <v>23</v>
      </c>
      <c r="E415" s="2" t="s">
        <v>29</v>
      </c>
      <c r="F415" s="1" t="s">
        <v>65</v>
      </c>
      <c r="G415" s="1" t="s">
        <v>77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2</v>
      </c>
      <c r="L415" s="2">
        <f>Games[[#This Row],[OppDaysOff]]-Games[[#This Row],[DaysOff]]</f>
        <v>-2</v>
      </c>
      <c r="M415" s="1">
        <f>MAX(-16, MIN(16, Games[[#This Row],[RestDiff]]*8))</f>
        <v>16</v>
      </c>
      <c r="N415" s="1">
        <f>MAX(-16, MIN(16, Games[[#This Row],[OppRestDiff]]*8))</f>
        <v>-16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1449.6184389846217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1568.736201549448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0.49551329942845551</v>
      </c>
      <c r="R415" s="1">
        <v>63</v>
      </c>
      <c r="S415" s="1">
        <v>69</v>
      </c>
      <c r="T415" s="1">
        <v>0</v>
      </c>
      <c r="U415" s="1">
        <f>Games[[#This Row],[PointsFor]]-Games[[#This Row],[PointsAgainst]]</f>
        <v>-6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0.31955972792722825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71.2</v>
      </c>
      <c r="Z415" s="4">
        <f>Games[[#This Row],[K]]*Games[[#This Row],[POMult]]</f>
        <v>71.2</v>
      </c>
      <c r="AA415" s="4">
        <f>(Games[[#This Row],[Keff]]*Games[[#This Row],[MOVMult]])*(Games[[#This Row],[Result]]-Games[[#This Row],[ExpectedWin%]])</f>
        <v>-11.274241974657247</v>
      </c>
      <c r="AB415" s="4">
        <f>Games[[#This Row],[PreGmRate]]+Games[[#This Row],[RatingChange]]</f>
        <v>1438.3441970099643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1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40065</v>
      </c>
      <c r="B416" s="2">
        <v>2009</v>
      </c>
      <c r="C416" s="2">
        <f>COUNTIFS(Games[Team],Games[[#This Row],[Team]],Games[Season],Games[[#This Row],[Season]],Games[Date],"&lt;=" &amp; Games[[#This Row],[Date]])</f>
        <v>32</v>
      </c>
      <c r="D416" s="2" t="s">
        <v>23</v>
      </c>
      <c r="E416" s="2" t="s">
        <v>29</v>
      </c>
      <c r="F416" s="1" t="s">
        <v>73</v>
      </c>
      <c r="G416" s="1" t="s">
        <v>75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6" s="2">
        <f>Games[[#This Row],[DaysOff]]-Games[[#This Row],[OppDaysOff]]</f>
        <v>-1</v>
      </c>
      <c r="L416" s="2">
        <f>Games[[#This Row],[OppDaysOff]]-Games[[#This Row],[DaysOff]]</f>
        <v>1</v>
      </c>
      <c r="M416" s="1">
        <f>MAX(-16, MIN(16, Games[[#This Row],[RestDiff]]*8))</f>
        <v>-8</v>
      </c>
      <c r="N416" s="1">
        <f>MAX(-16, MIN(16, Games[[#This Row],[OppRestDiff]]*8))</f>
        <v>8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1559.2272524901844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1432.7331451228069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0.53805435193757334</v>
      </c>
      <c r="R416" s="1">
        <v>72</v>
      </c>
      <c r="S416" s="1">
        <v>75</v>
      </c>
      <c r="T416" s="1">
        <v>0</v>
      </c>
      <c r="U416" s="1">
        <f>Games[[#This Row],[PointsFor]]-Games[[#This Row],[PointsAgainst]]</f>
        <v>-3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0.26251170162341986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71.2</v>
      </c>
      <c r="Z416" s="4">
        <f>Games[[#This Row],[K]]*Games[[#This Row],[POMult]]</f>
        <v>71.2</v>
      </c>
      <c r="AA416" s="4">
        <f>(Games[[#This Row],[Keff]]*Games[[#This Row],[MOVMult]])*(Games[[#This Row],[Result]]-Games[[#This Row],[ExpectedWin%]])</f>
        <v>-10.056684120702938</v>
      </c>
      <c r="AB416" s="4">
        <f>Games[[#This Row],[PreGmRate]]+Games[[#This Row],[RatingChange]]</f>
        <v>1549.1705683694813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40065</v>
      </c>
      <c r="B417" s="2">
        <v>2009</v>
      </c>
      <c r="C417" s="2">
        <f>COUNTIFS(Games[Team],Games[[#This Row],[Team]],Games[Season],Games[[#This Row],[Season]],Games[Date],"&lt;=" &amp; Games[[#This Row],[Date]])</f>
        <v>32</v>
      </c>
      <c r="D417" s="2" t="s">
        <v>23</v>
      </c>
      <c r="E417" s="2" t="s">
        <v>29</v>
      </c>
      <c r="F417" s="1" t="s">
        <v>75</v>
      </c>
      <c r="G417" s="1" t="s">
        <v>73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7" s="2">
        <f>Games[[#This Row],[DaysOff]]-Games[[#This Row],[OppDaysOff]]</f>
        <v>1</v>
      </c>
      <c r="L417" s="2">
        <f>Games[[#This Row],[OppDaysOff]]-Games[[#This Row],[DaysOff]]</f>
        <v>-1</v>
      </c>
      <c r="M417" s="1">
        <f>MAX(-16, MIN(16, Games[[#This Row],[RestDiff]]*8))</f>
        <v>8</v>
      </c>
      <c r="N417" s="1">
        <f>MAX(-16, MIN(16, Games[[#This Row],[OppRestDiff]]*8))</f>
        <v>-8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1432.7331451228069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1559.2272524901844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0.46194564806242666</v>
      </c>
      <c r="R417" s="1">
        <v>75</v>
      </c>
      <c r="S417" s="1">
        <v>72</v>
      </c>
      <c r="T417" s="1">
        <v>0</v>
      </c>
      <c r="U417" s="1">
        <f>Games[[#This Row],[PointsFor]]-Games[[#This Row],[PointsAgainst]]</f>
        <v>3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0.26251170162341986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71.2</v>
      </c>
      <c r="Z417" s="4">
        <f>Games[[#This Row],[K]]*Games[[#This Row],[POMult]]</f>
        <v>71.2</v>
      </c>
      <c r="AA417" s="4">
        <f>(Games[[#This Row],[Keff]]*Games[[#This Row],[MOVMult]])*(Games[[#This Row],[Result]]-Games[[#This Row],[ExpectedWin%]])</f>
        <v>10.056684120702938</v>
      </c>
      <c r="AB417" s="4">
        <f>Games[[#This Row],[PreGmRate]]+Games[[#This Row],[RatingChange]]</f>
        <v>1442.78982924351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40066</v>
      </c>
      <c r="B418" s="2">
        <v>2009</v>
      </c>
      <c r="C418" s="2">
        <f>COUNTIFS(Games[Team],Games[[#This Row],[Team]],Games[Season],Games[[#This Row],[Season]],Games[Date],"&lt;=" &amp; Games[[#This Row],[Date]])</f>
        <v>33</v>
      </c>
      <c r="D418" s="2" t="s">
        <v>23</v>
      </c>
      <c r="E418" s="2" t="s">
        <v>29</v>
      </c>
      <c r="F418" s="1" t="s">
        <v>77</v>
      </c>
      <c r="G418" s="1" t="s">
        <v>85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8" s="2">
        <f>Games[[#This Row],[DaysOff]]-Games[[#This Row],[OppDaysOff]]</f>
        <v>-2</v>
      </c>
      <c r="L418" s="2">
        <f>Games[[#This Row],[OppDaysOff]]-Games[[#This Row],[DaysOff]]</f>
        <v>2</v>
      </c>
      <c r="M418" s="1">
        <f>MAX(-16, MIN(16, Games[[#This Row],[RestDiff]]*8))</f>
        <v>-16</v>
      </c>
      <c r="N418" s="1">
        <f>MAX(-16, MIN(16, Games[[#This Row],[OppRestDiff]]*8))</f>
        <v>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1580.0104435241053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1446.1973344885596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0.52561268634600788</v>
      </c>
      <c r="R418" s="1">
        <v>79</v>
      </c>
      <c r="S418" s="1">
        <v>86</v>
      </c>
      <c r="T418" s="1">
        <v>0</v>
      </c>
      <c r="U418" s="1">
        <f>Games[[#This Row],[PointsFor]]-Games[[#This Row],[PointsAgainst]]</f>
        <v>-7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0.33297663966260216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71.05</v>
      </c>
      <c r="Z418" s="4">
        <f>Games[[#This Row],[K]]*Games[[#This Row],[POMult]]</f>
        <v>71.05</v>
      </c>
      <c r="AA418" s="4">
        <f>(Games[[#This Row],[Keff]]*Games[[#This Row],[MOVMult]])*(Games[[#This Row],[Result]]-Games[[#This Row],[ExpectedWin%]])</f>
        <v>-12.434939807813592</v>
      </c>
      <c r="AB418" s="4">
        <f>Games[[#This Row],[PreGmRate]]+Games[[#This Row],[RatingChange]]</f>
        <v>1567.5755037162917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40066</v>
      </c>
      <c r="B419" s="2">
        <v>2009</v>
      </c>
      <c r="C419" s="2">
        <f>COUNTIFS(Games[Team],Games[[#This Row],[Team]],Games[Season],Games[[#This Row],[Season]],Games[Date],"&lt;=" &amp; Games[[#This Row],[Date]])</f>
        <v>33</v>
      </c>
      <c r="D419" s="2" t="s">
        <v>23</v>
      </c>
      <c r="E419" s="2" t="s">
        <v>29</v>
      </c>
      <c r="F419" s="1" t="s">
        <v>85</v>
      </c>
      <c r="G419" s="1" t="s">
        <v>77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2</v>
      </c>
      <c r="L419" s="2">
        <f>Games[[#This Row],[OppDaysOff]]-Games[[#This Row],[DaysOff]]</f>
        <v>-2</v>
      </c>
      <c r="M419" s="1">
        <f>MAX(-16, MIN(16, Games[[#This Row],[RestDiff]]*8))</f>
        <v>16</v>
      </c>
      <c r="N419" s="1">
        <f>MAX(-16, MIN(16, Games[[#This Row],[OppRestDiff]]*8))</f>
        <v>-16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1446.1973344885596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1580.0104435241053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0.47438731365399217</v>
      </c>
      <c r="R419" s="1">
        <v>86</v>
      </c>
      <c r="S419" s="1">
        <v>79</v>
      </c>
      <c r="T419" s="1">
        <v>0</v>
      </c>
      <c r="U419" s="1">
        <f>Games[[#This Row],[PointsFor]]-Games[[#This Row],[PointsAgainst]]</f>
        <v>7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0.33297663966260216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71.05</v>
      </c>
      <c r="Z419" s="4">
        <f>Games[[#This Row],[K]]*Games[[#This Row],[POMult]]</f>
        <v>71.05</v>
      </c>
      <c r="AA419" s="4">
        <f>(Games[[#This Row],[Keff]]*Games[[#This Row],[MOVMult]])*(Games[[#This Row],[Result]]-Games[[#This Row],[ExpectedWin%]])</f>
        <v>12.43493980781359</v>
      </c>
      <c r="AB419" s="4">
        <f>Games[[#This Row],[PreGmRate]]+Games[[#This Row],[RatingChange]]</f>
        <v>1458.6322742963732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40066</v>
      </c>
      <c r="B420" s="2">
        <v>2009</v>
      </c>
      <c r="C420" s="2">
        <f>COUNTIFS(Games[Team],Games[[#This Row],[Team]],Games[Season],Games[[#This Row],[Season]],Games[Date],"&lt;=" &amp; Games[[#This Row],[Date]])</f>
        <v>33</v>
      </c>
      <c r="D420" s="2" t="s">
        <v>23</v>
      </c>
      <c r="E420" s="2" t="s">
        <v>29</v>
      </c>
      <c r="F420" s="1" t="s">
        <v>65</v>
      </c>
      <c r="G420" s="1" t="s">
        <v>73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0" s="2">
        <f>Games[[#This Row],[DaysOff]]-Games[[#This Row],[OppDaysOff]]</f>
        <v>1</v>
      </c>
      <c r="L420" s="2">
        <f>Games[[#This Row],[OppDaysOff]]-Games[[#This Row],[DaysOff]]</f>
        <v>-1</v>
      </c>
      <c r="M420" s="1">
        <f>MAX(-16, MIN(16, Games[[#This Row],[RestDiff]]*8))</f>
        <v>8</v>
      </c>
      <c r="N420" s="1">
        <f>MAX(-16, MIN(16, Games[[#This Row],[OppRestDiff]]*8))</f>
        <v>-8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1438.3441970099643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1549.1705683694813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0.26319901935221951</v>
      </c>
      <c r="R420" s="1">
        <v>87</v>
      </c>
      <c r="S420" s="1">
        <v>94</v>
      </c>
      <c r="T420" s="1">
        <v>1</v>
      </c>
      <c r="U420" s="1">
        <f>Games[[#This Row],[PointsFor]]-Games[[#This Row],[PointsAgainst]]</f>
        <v>-7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0.30493416597315054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71.05</v>
      </c>
      <c r="Z420" s="4">
        <f>Games[[#This Row],[K]]*Games[[#This Row],[POMult]]</f>
        <v>71.05</v>
      </c>
      <c r="AA420" s="4">
        <f>(Games[[#This Row],[Keff]]*Games[[#This Row],[MOVMult]])*(Games[[#This Row],[Result]]-Games[[#This Row],[ExpectedWin%]])</f>
        <v>-5.7023574337020877</v>
      </c>
      <c r="AB420" s="4">
        <f>Games[[#This Row],[PreGmRate]]+Games[[#This Row],[RatingChange]]</f>
        <v>1432.6418395762623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40066</v>
      </c>
      <c r="B421" s="2">
        <v>2009</v>
      </c>
      <c r="C421" s="2">
        <f>COUNTIFS(Games[Team],Games[[#This Row],[Team]],Games[Season],Games[[#This Row],[Season]],Games[Date],"&lt;=" &amp; Games[[#This Row],[Date]])</f>
        <v>33</v>
      </c>
      <c r="D421" s="2" t="s">
        <v>23</v>
      </c>
      <c r="E421" s="2" t="s">
        <v>29</v>
      </c>
      <c r="F421" s="1" t="s">
        <v>73</v>
      </c>
      <c r="G421" s="1" t="s">
        <v>65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-1</v>
      </c>
      <c r="L421" s="2">
        <f>Games[[#This Row],[OppDaysOff]]-Games[[#This Row],[DaysOff]]</f>
        <v>1</v>
      </c>
      <c r="M421" s="1">
        <f>MAX(-16, MIN(16, Games[[#This Row],[RestDiff]]*8))</f>
        <v>-8</v>
      </c>
      <c r="N421" s="1">
        <f>MAX(-16, MIN(16, Games[[#This Row],[OppRestDiff]]*8))</f>
        <v>8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1549.1705683694813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1438.3441970099643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0.73680098064778055</v>
      </c>
      <c r="R421" s="1">
        <v>94</v>
      </c>
      <c r="S421" s="1">
        <v>87</v>
      </c>
      <c r="T421" s="1">
        <v>1</v>
      </c>
      <c r="U421" s="1">
        <f>Games[[#This Row],[PointsFor]]-Games[[#This Row],[PointsAgainst]]</f>
        <v>7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0.30493416597315054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71.05</v>
      </c>
      <c r="Z421" s="4">
        <f>Games[[#This Row],[K]]*Games[[#This Row],[POMult]]</f>
        <v>71.05</v>
      </c>
      <c r="AA421" s="4">
        <f>(Games[[#This Row],[Keff]]*Games[[#This Row],[MOVMult]])*(Games[[#This Row],[Result]]-Games[[#This Row],[ExpectedWin%]])</f>
        <v>5.7023574337020868</v>
      </c>
      <c r="AB421" s="4">
        <f>Games[[#This Row],[PreGmRate]]+Games[[#This Row],[RatingChange]]</f>
        <v>1554.8729258031833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40066</v>
      </c>
      <c r="B422" s="2">
        <v>2009</v>
      </c>
      <c r="C422" s="2">
        <f>COUNTIFS(Games[Team],Games[[#This Row],[Team]],Games[Season],Games[[#This Row],[Season]],Games[Date],"&lt;=" &amp; Games[[#This Row],[Date]])</f>
        <v>33</v>
      </c>
      <c r="D422" s="2" t="s">
        <v>23</v>
      </c>
      <c r="E422" s="2" t="s">
        <v>29</v>
      </c>
      <c r="F422" s="1" t="s">
        <v>82</v>
      </c>
      <c r="G422" s="1" t="s">
        <v>45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22" s="2">
        <f>Games[[#This Row],[DaysOff]]-Games[[#This Row],[OppDaysOff]]</f>
        <v>-4</v>
      </c>
      <c r="L422" s="2">
        <f>Games[[#This Row],[OppDaysOff]]-Games[[#This Row],[DaysOff]]</f>
        <v>4</v>
      </c>
      <c r="M422" s="1">
        <f>MAX(-16, MIN(16, Games[[#This Row],[RestDiff]]*8))</f>
        <v>-16</v>
      </c>
      <c r="N422" s="1">
        <f>MAX(-16, MIN(16, Games[[#This Row],[OppRestDiff]]*8))</f>
        <v>16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1487.4163712046718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1441.2978196661534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0.40076708148519502</v>
      </c>
      <c r="R422" s="1">
        <v>80</v>
      </c>
      <c r="S422" s="1">
        <v>71</v>
      </c>
      <c r="T422" s="1">
        <v>0</v>
      </c>
      <c r="U422" s="1">
        <f>Games[[#This Row],[PointsFor]]-Games[[#This Row],[PointsAgainst]]</f>
        <v>9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0.39094661737858954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71.05</v>
      </c>
      <c r="Z422" s="4">
        <f>Games[[#This Row],[K]]*Games[[#This Row],[POMult]]</f>
        <v>71.05</v>
      </c>
      <c r="AA422" s="4">
        <f>(Games[[#This Row],[Keff]]*Games[[#This Row],[MOVMult]])*(Games[[#This Row],[Result]]-Games[[#This Row],[ExpectedWin%]])</f>
        <v>16.644747262709433</v>
      </c>
      <c r="AB422" s="4">
        <f>Games[[#This Row],[PreGmRate]]+Games[[#This Row],[RatingChange]]</f>
        <v>1504.0611184673812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40066</v>
      </c>
      <c r="B423" s="2">
        <v>2009</v>
      </c>
      <c r="C423" s="2">
        <f>COUNTIFS(Games[Team],Games[[#This Row],[Team]],Games[Season],Games[[#This Row],[Season]],Games[Date],"&lt;=" &amp; Games[[#This Row],[Date]])</f>
        <v>33</v>
      </c>
      <c r="D423" s="2" t="s">
        <v>23</v>
      </c>
      <c r="E423" s="2" t="s">
        <v>29</v>
      </c>
      <c r="F423" s="1" t="s">
        <v>45</v>
      </c>
      <c r="G423" s="1" t="s">
        <v>82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4</v>
      </c>
      <c r="L423" s="2">
        <f>Games[[#This Row],[OppDaysOff]]-Games[[#This Row],[DaysOff]]</f>
        <v>-4</v>
      </c>
      <c r="M423" s="1">
        <f>MAX(-16, MIN(16, Games[[#This Row],[RestDiff]]*8))</f>
        <v>16</v>
      </c>
      <c r="N423" s="1">
        <f>MAX(-16, MIN(16, Games[[#This Row],[OppRestDiff]]*8))</f>
        <v>-16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1441.2978196661534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1487.4163712046718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0.59923291851480498</v>
      </c>
      <c r="R423" s="1">
        <v>71</v>
      </c>
      <c r="S423" s="1">
        <v>80</v>
      </c>
      <c r="T423" s="1">
        <v>0</v>
      </c>
      <c r="U423" s="1">
        <f>Games[[#This Row],[PointsFor]]-Games[[#This Row],[PointsAgainst]]</f>
        <v>-9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0.39094661737858954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71.05</v>
      </c>
      <c r="Z423" s="4">
        <f>Games[[#This Row],[K]]*Games[[#This Row],[POMult]]</f>
        <v>71.05</v>
      </c>
      <c r="AA423" s="4">
        <f>(Games[[#This Row],[Keff]]*Games[[#This Row],[MOVMult]])*(Games[[#This Row],[Result]]-Games[[#This Row],[ExpectedWin%]])</f>
        <v>-16.644747262709433</v>
      </c>
      <c r="AB423" s="4">
        <f>Games[[#This Row],[PreGmRate]]+Games[[#This Row],[RatingChange]]</f>
        <v>1424.653072403444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40066</v>
      </c>
      <c r="B424" s="2">
        <v>2009</v>
      </c>
      <c r="C424" s="2">
        <f>COUNTIFS(Games[Team],Games[[#This Row],[Team]],Games[Season],Games[[#This Row],[Season]],Games[Date],"&lt;=" &amp; Games[[#This Row],[Date]])</f>
        <v>33</v>
      </c>
      <c r="D424" s="2" t="s">
        <v>23</v>
      </c>
      <c r="E424" s="2" t="s">
        <v>29</v>
      </c>
      <c r="F424" s="1" t="s">
        <v>44</v>
      </c>
      <c r="G424" s="1" t="s">
        <v>79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1616.869993795855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1555.0275907213309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0.46815581540356044</v>
      </c>
      <c r="R424" s="1">
        <v>92</v>
      </c>
      <c r="S424" s="1">
        <v>84</v>
      </c>
      <c r="T424" s="1">
        <v>1</v>
      </c>
      <c r="U424" s="1">
        <f>Games[[#This Row],[PointsFor]]-Games[[#This Row],[PointsAgainst]]</f>
        <v>8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0.33235590813988319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71.05</v>
      </c>
      <c r="Z424" s="4">
        <f>Games[[#This Row],[K]]*Games[[#This Row],[POMult]]</f>
        <v>71.05</v>
      </c>
      <c r="AA424" s="4">
        <f>(Games[[#This Row],[Keff]]*Games[[#This Row],[MOVMult]])*(Games[[#This Row],[Result]]-Games[[#This Row],[ExpectedWin%]])</f>
        <v>12.558908622041063</v>
      </c>
      <c r="AB424" s="4">
        <f>Games[[#This Row],[PreGmRate]]+Games[[#This Row],[RatingChange]]</f>
        <v>1629.4289024178961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40066</v>
      </c>
      <c r="B425" s="2">
        <v>2009</v>
      </c>
      <c r="C425" s="2">
        <f>COUNTIFS(Games[Team],Games[[#This Row],[Team]],Games[Season],Games[[#This Row],[Season]],Games[Date],"&lt;=" &amp; Games[[#This Row],[Date]])</f>
        <v>33</v>
      </c>
      <c r="D425" s="2" t="s">
        <v>23</v>
      </c>
      <c r="E425" s="2" t="s">
        <v>29</v>
      </c>
      <c r="F425" s="1" t="s">
        <v>79</v>
      </c>
      <c r="G425" s="1" t="s">
        <v>44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1555.0275907213309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1616.869993795855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0.53184418459643956</v>
      </c>
      <c r="R425" s="1">
        <v>84</v>
      </c>
      <c r="S425" s="1">
        <v>92</v>
      </c>
      <c r="T425" s="1">
        <v>1</v>
      </c>
      <c r="U425" s="1">
        <f>Games[[#This Row],[PointsFor]]-Games[[#This Row],[PointsAgainst]]</f>
        <v>-8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0.33235590813988319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71.05</v>
      </c>
      <c r="Z425" s="4">
        <f>Games[[#This Row],[K]]*Games[[#This Row],[POMult]]</f>
        <v>71.05</v>
      </c>
      <c r="AA425" s="4">
        <f>(Games[[#This Row],[Keff]]*Games[[#This Row],[MOVMult]])*(Games[[#This Row],[Result]]-Games[[#This Row],[ExpectedWin%]])</f>
        <v>-12.558908622041063</v>
      </c>
      <c r="AB425" s="4">
        <f>Games[[#This Row],[PreGmRate]]+Games[[#This Row],[RatingChange]]</f>
        <v>1542.4686820992897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40067</v>
      </c>
      <c r="B426" s="2">
        <v>2009</v>
      </c>
      <c r="C426" s="2">
        <f>COUNTIFS(Games[Team],Games[[#This Row],[Team]],Games[Season],Games[[#This Row],[Season]],Games[Date],"&lt;=" &amp; Games[[#This Row],[Date]])</f>
        <v>33</v>
      </c>
      <c r="D426" s="2" t="s">
        <v>23</v>
      </c>
      <c r="E426" s="2" t="s">
        <v>29</v>
      </c>
      <c r="F426" s="1" t="s">
        <v>84</v>
      </c>
      <c r="G426" s="1" t="s">
        <v>87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6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26" s="2">
        <f>Games[[#This Row],[DaysOff]]-Games[[#This Row],[OppDaysOff]]</f>
        <v>1</v>
      </c>
      <c r="L426" s="2">
        <f>Games[[#This Row],[OppDaysOff]]-Games[[#This Row],[DaysOff]]</f>
        <v>-1</v>
      </c>
      <c r="M426" s="1">
        <f>MAX(-16, MIN(16, Games[[#This Row],[RestDiff]]*8))</f>
        <v>8</v>
      </c>
      <c r="N426" s="1">
        <f>MAX(-16, MIN(16, Games[[#This Row],[OppRestDiff]]*8))</f>
        <v>-8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1481.6240449256375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1515.0914637507406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0.35799124381545228</v>
      </c>
      <c r="R426" s="1">
        <v>64</v>
      </c>
      <c r="S426" s="1">
        <v>88</v>
      </c>
      <c r="T426" s="1">
        <v>0</v>
      </c>
      <c r="U426" s="1">
        <f>Games[[#This Row],[PointsFor]]-Games[[#This Row],[PointsAgainst]]</f>
        <v>-24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0.61137984338173468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71.05</v>
      </c>
      <c r="Z426" s="4">
        <f>Games[[#This Row],[K]]*Games[[#This Row],[POMult]]</f>
        <v>71.05</v>
      </c>
      <c r="AA426" s="4">
        <f>(Games[[#This Row],[Keff]]*Games[[#This Row],[MOVMult]])*(Games[[#This Row],[Result]]-Games[[#This Row],[ExpectedWin%]])</f>
        <v>-15.550616202419372</v>
      </c>
      <c r="AB426" s="4">
        <f>Games[[#This Row],[PreGmRate]]+Games[[#This Row],[RatingChange]]</f>
        <v>1466.0734287232181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1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40067</v>
      </c>
      <c r="B427" s="2">
        <v>2009</v>
      </c>
      <c r="C427" s="2">
        <f>COUNTIFS(Games[Team],Games[[#This Row],[Team]],Games[Season],Games[[#This Row],[Season]],Games[Date],"&lt;=" &amp; Games[[#This Row],[Date]])</f>
        <v>33</v>
      </c>
      <c r="D427" s="2" t="s">
        <v>23</v>
      </c>
      <c r="E427" s="2" t="s">
        <v>29</v>
      </c>
      <c r="F427" s="1" t="s">
        <v>87</v>
      </c>
      <c r="G427" s="1" t="s">
        <v>84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27" s="2">
        <f>Games[[#This Row],[DaysOff]]-Games[[#This Row],[OppDaysOff]]</f>
        <v>-1</v>
      </c>
      <c r="L427" s="2">
        <f>Games[[#This Row],[OppDaysOff]]-Games[[#This Row],[DaysOff]]</f>
        <v>1</v>
      </c>
      <c r="M427" s="1">
        <f>MAX(-16, MIN(16, Games[[#This Row],[RestDiff]]*8))</f>
        <v>-8</v>
      </c>
      <c r="N427" s="1">
        <f>MAX(-16, MIN(16, Games[[#This Row],[OppRestDiff]]*8))</f>
        <v>8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1515.0914637507406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1481.6240449256375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0.64200875618454767</v>
      </c>
      <c r="R427" s="1">
        <v>88</v>
      </c>
      <c r="S427" s="1">
        <v>64</v>
      </c>
      <c r="T427" s="1">
        <v>0</v>
      </c>
      <c r="U427" s="1">
        <f>Games[[#This Row],[PointsFor]]-Games[[#This Row],[PointsAgainst]]</f>
        <v>24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0.61137984338173468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71.05</v>
      </c>
      <c r="Z427" s="4">
        <f>Games[[#This Row],[K]]*Games[[#This Row],[POMult]]</f>
        <v>71.05</v>
      </c>
      <c r="AA427" s="4">
        <f>(Games[[#This Row],[Keff]]*Games[[#This Row],[MOVMult]])*(Games[[#This Row],[Result]]-Games[[#This Row],[ExpectedWin%]])</f>
        <v>15.550616202419375</v>
      </c>
      <c r="AB427" s="4">
        <f>Games[[#This Row],[PreGmRate]]+Games[[#This Row],[RatingChange]]</f>
        <v>1530.64207995316</v>
      </c>
      <c r="AC427" s="2">
        <f>IF(Games[[#This Row],[Type]]="R",IF(Games[[#This Row],[Result]]&gt;0.5,1,0),0)</f>
        <v>1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40067</v>
      </c>
      <c r="B428" s="2">
        <v>2009</v>
      </c>
      <c r="C428" s="2">
        <f>COUNTIFS(Games[Team],Games[[#This Row],[Team]],Games[Season],Games[[#This Row],[Season]],Games[Date],"&lt;=" &amp; Games[[#This Row],[Date]])</f>
        <v>33</v>
      </c>
      <c r="D428" s="2" t="s">
        <v>23</v>
      </c>
      <c r="E428" s="2" t="s">
        <v>29</v>
      </c>
      <c r="F428" s="1" t="s">
        <v>75</v>
      </c>
      <c r="G428" s="1" t="s">
        <v>68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8" s="2">
        <f>Games[[#This Row],[DaysOff]]-Games[[#This Row],[OppDaysOff]]</f>
        <v>-1</v>
      </c>
      <c r="L428" s="2">
        <f>Games[[#This Row],[OppDaysOff]]-Games[[#This Row],[DaysOff]]</f>
        <v>1</v>
      </c>
      <c r="M428" s="1">
        <f>MAX(-16, MIN(16, Games[[#This Row],[RestDiff]]*8))</f>
        <v>-8</v>
      </c>
      <c r="N428" s="1">
        <f>MAX(-16, MIN(16, Games[[#This Row],[OppRestDiff]]*8))</f>
        <v>8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1442.78982924351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1523.3864416898837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0.2612276313822805</v>
      </c>
      <c r="R428" s="1">
        <v>61</v>
      </c>
      <c r="S428" s="1">
        <v>90</v>
      </c>
      <c r="T428" s="1">
        <v>0</v>
      </c>
      <c r="U428" s="1">
        <f>Games[[#This Row],[PointsFor]]-Games[[#This Row],[PointsAgainst]]</f>
        <v>-29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0.64785080325040378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71.05</v>
      </c>
      <c r="Z428" s="4">
        <f>Games[[#This Row],[K]]*Games[[#This Row],[POMult]]</f>
        <v>71.05</v>
      </c>
      <c r="AA428" s="4">
        <f>(Games[[#This Row],[Keff]]*Games[[#This Row],[MOVMult]])*(Games[[#This Row],[Result]]-Games[[#This Row],[ExpectedWin%]])</f>
        <v>-12.024255514918078</v>
      </c>
      <c r="AB428" s="4">
        <f>Games[[#This Row],[PreGmRate]]+Games[[#This Row],[RatingChange]]</f>
        <v>1430.765573728592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40067</v>
      </c>
      <c r="B429" s="2">
        <v>2009</v>
      </c>
      <c r="C429" s="2">
        <f>COUNTIFS(Games[Team],Games[[#This Row],[Team]],Games[Season],Games[[#This Row],[Season]],Games[Date],"&lt;=" &amp; Games[[#This Row],[Date]])</f>
        <v>33</v>
      </c>
      <c r="D429" s="2" t="s">
        <v>23</v>
      </c>
      <c r="E429" s="2" t="s">
        <v>29</v>
      </c>
      <c r="F429" s="1" t="s">
        <v>68</v>
      </c>
      <c r="G429" s="1" t="s">
        <v>75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1</v>
      </c>
      <c r="L429" s="2">
        <f>Games[[#This Row],[OppDaysOff]]-Games[[#This Row],[DaysOff]]</f>
        <v>-1</v>
      </c>
      <c r="M429" s="1">
        <f>MAX(-16, MIN(16, Games[[#This Row],[RestDiff]]*8))</f>
        <v>8</v>
      </c>
      <c r="N429" s="1">
        <f>MAX(-16, MIN(16, Games[[#This Row],[OppRestDiff]]*8))</f>
        <v>-8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1523.3864416898837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1442.78982924351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0.73877236861771955</v>
      </c>
      <c r="R429" s="1">
        <v>90</v>
      </c>
      <c r="S429" s="1">
        <v>61</v>
      </c>
      <c r="T429" s="1">
        <v>0</v>
      </c>
      <c r="U429" s="1">
        <f>Games[[#This Row],[PointsFor]]-Games[[#This Row],[PointsAgainst]]</f>
        <v>29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0.64785080325040378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71.05</v>
      </c>
      <c r="Z429" s="4">
        <f>Games[[#This Row],[K]]*Games[[#This Row],[POMult]]</f>
        <v>71.05</v>
      </c>
      <c r="AA429" s="4">
        <f>(Games[[#This Row],[Keff]]*Games[[#This Row],[MOVMult]])*(Games[[#This Row],[Result]]-Games[[#This Row],[ExpectedWin%]])</f>
        <v>12.024255514918075</v>
      </c>
      <c r="AB429" s="4">
        <f>Games[[#This Row],[PreGmRate]]+Games[[#This Row],[RatingChange]]</f>
        <v>1535.4106972048016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40068</v>
      </c>
      <c r="B430" s="2">
        <v>2009</v>
      </c>
      <c r="C430" s="2">
        <f>COUNTIFS(Games[Team],Games[[#This Row],[Team]],Games[Season],Games[[#This Row],[Season]],Games[Date],"&lt;=" &amp; Games[[#This Row],[Date]])</f>
        <v>34</v>
      </c>
      <c r="D430" s="2" t="s">
        <v>23</v>
      </c>
      <c r="E430" s="2" t="s">
        <v>29</v>
      </c>
      <c r="F430" s="1" t="s">
        <v>73</v>
      </c>
      <c r="G430" s="1" t="s">
        <v>85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1554.8729258031833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1458.6322742963732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0.51760842865023848</v>
      </c>
      <c r="R430" s="1">
        <v>80</v>
      </c>
      <c r="S430" s="1">
        <v>69</v>
      </c>
      <c r="T430" s="1">
        <v>0</v>
      </c>
      <c r="U430" s="1">
        <f>Games[[#This Row],[PointsFor]]-Games[[#This Row],[PointsAgainst]]</f>
        <v>11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0.40717991963576733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70.900000000000006</v>
      </c>
      <c r="Z430" s="4">
        <f>Games[[#This Row],[K]]*Games[[#This Row],[POMult]]</f>
        <v>70.900000000000006</v>
      </c>
      <c r="AA430" s="4">
        <f>(Games[[#This Row],[Keff]]*Games[[#This Row],[MOVMult]])*(Games[[#This Row],[Result]]-Games[[#This Row],[ExpectedWin%]])</f>
        <v>13.926189432991372</v>
      </c>
      <c r="AB430" s="4">
        <f>Games[[#This Row],[PreGmRate]]+Games[[#This Row],[RatingChange]]</f>
        <v>1568.7991152361747</v>
      </c>
      <c r="AC430" s="2">
        <f>IF(Games[[#This Row],[Type]]="R",IF(Games[[#This Row],[Result]]&gt;0.5,1,0),0)</f>
        <v>1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40068</v>
      </c>
      <c r="B431" s="2">
        <v>2009</v>
      </c>
      <c r="C431" s="2">
        <f>COUNTIFS(Games[Team],Games[[#This Row],[Team]],Games[Season],Games[[#This Row],[Season]],Games[Date],"&lt;=" &amp; Games[[#This Row],[Date]])</f>
        <v>34</v>
      </c>
      <c r="D431" s="2" t="s">
        <v>23</v>
      </c>
      <c r="E431" s="2" t="s">
        <v>29</v>
      </c>
      <c r="F431" s="1" t="s">
        <v>85</v>
      </c>
      <c r="G431" s="1" t="s">
        <v>73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1458.6322742963732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1554.8729258031833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0.48239157134976152</v>
      </c>
      <c r="R431" s="1">
        <v>69</v>
      </c>
      <c r="S431" s="1">
        <v>80</v>
      </c>
      <c r="T431" s="1">
        <v>0</v>
      </c>
      <c r="U431" s="1">
        <f>Games[[#This Row],[PointsFor]]-Games[[#This Row],[PointsAgainst]]</f>
        <v>-11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0.40717991963576733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70.900000000000006</v>
      </c>
      <c r="Z431" s="4">
        <f>Games[[#This Row],[K]]*Games[[#This Row],[POMult]]</f>
        <v>70.900000000000006</v>
      </c>
      <c r="AA431" s="4">
        <f>(Games[[#This Row],[Keff]]*Games[[#This Row],[MOVMult]])*(Games[[#This Row],[Result]]-Games[[#This Row],[ExpectedWin%]])</f>
        <v>-13.926189432991372</v>
      </c>
      <c r="AB431" s="4">
        <f>Games[[#This Row],[PreGmRate]]+Games[[#This Row],[RatingChange]]</f>
        <v>1444.7060848633819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1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40068</v>
      </c>
      <c r="B432" s="2">
        <v>2009</v>
      </c>
      <c r="C432" s="2">
        <f>COUNTIFS(Games[Team],Games[[#This Row],[Team]],Games[Season],Games[[#This Row],[Season]],Games[Date],"&lt;=" &amp; Games[[#This Row],[Date]])</f>
        <v>34</v>
      </c>
      <c r="D432" s="2" t="s">
        <v>23</v>
      </c>
      <c r="E432" s="2" t="s">
        <v>29</v>
      </c>
      <c r="F432" s="1" t="s">
        <v>79</v>
      </c>
      <c r="G432" s="1" t="s">
        <v>82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0</v>
      </c>
      <c r="L432" s="2">
        <f>Games[[#This Row],[OppDaysOff]]-Games[[#This Row],[DaysOff]]</f>
        <v>0</v>
      </c>
      <c r="M432" s="1">
        <f>MAX(-16, MIN(16, Games[[#This Row],[RestDiff]]*8))</f>
        <v>0</v>
      </c>
      <c r="N432" s="1">
        <f>MAX(-16, MIN(16, Games[[#This Row],[OppRestDiff]]*8))</f>
        <v>0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1542.4686820992897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1504.0611184673812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0.43476125432155843</v>
      </c>
      <c r="R432" s="1">
        <v>64</v>
      </c>
      <c r="S432" s="1">
        <v>55</v>
      </c>
      <c r="T432" s="1">
        <v>0</v>
      </c>
      <c r="U432" s="1">
        <f>Games[[#This Row],[PointsFor]]-Games[[#This Row],[PointsAgainst]]</f>
        <v>9</v>
      </c>
      <c r="V432" s="1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0.3933808601329663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70.900000000000006</v>
      </c>
      <c r="Z432" s="4">
        <f>Games[[#This Row],[K]]*Games[[#This Row],[POMult]]</f>
        <v>70.900000000000006</v>
      </c>
      <c r="AA432" s="4">
        <f>(Games[[#This Row],[Keff]]*Games[[#This Row],[MOVMult]])*(Games[[#This Row],[Result]]-Games[[#This Row],[ExpectedWin%]])</f>
        <v>15.764905970442422</v>
      </c>
      <c r="AB432" s="4">
        <f>Games[[#This Row],[PreGmRate]]+Games[[#This Row],[RatingChange]]</f>
        <v>1558.2335880697321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40068</v>
      </c>
      <c r="B433" s="2">
        <v>2009</v>
      </c>
      <c r="C433" s="2">
        <f>COUNTIFS(Games[Team],Games[[#This Row],[Team]],Games[Season],Games[[#This Row],[Season]],Games[Date],"&lt;=" &amp; Games[[#This Row],[Date]])</f>
        <v>34</v>
      </c>
      <c r="D433" s="2" t="s">
        <v>23</v>
      </c>
      <c r="E433" s="2" t="s">
        <v>29</v>
      </c>
      <c r="F433" s="1" t="s">
        <v>82</v>
      </c>
      <c r="G433" s="1" t="s">
        <v>79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0</v>
      </c>
      <c r="L433" s="2">
        <f>Games[[#This Row],[OppDaysOff]]-Games[[#This Row],[DaysOff]]</f>
        <v>0</v>
      </c>
      <c r="M433" s="1">
        <f>MAX(-16, MIN(16, Games[[#This Row],[RestDiff]]*8))</f>
        <v>0</v>
      </c>
      <c r="N433" s="1">
        <f>MAX(-16, MIN(16, Games[[#This Row],[OppRestDiff]]*8))</f>
        <v>0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1504.0611184673812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1542.4686820992897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0.56523874567844157</v>
      </c>
      <c r="R433" s="1">
        <v>55</v>
      </c>
      <c r="S433" s="1">
        <v>64</v>
      </c>
      <c r="T433" s="1">
        <v>0</v>
      </c>
      <c r="U433" s="1">
        <f>Games[[#This Row],[PointsFor]]-Games[[#This Row],[PointsAgainst]]</f>
        <v>-9</v>
      </c>
      <c r="V433" s="1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0.3933808601329663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70.900000000000006</v>
      </c>
      <c r="Z433" s="4">
        <f>Games[[#This Row],[K]]*Games[[#This Row],[POMult]]</f>
        <v>70.900000000000006</v>
      </c>
      <c r="AA433" s="4">
        <f>(Games[[#This Row],[Keff]]*Games[[#This Row],[MOVMult]])*(Games[[#This Row],[Result]]-Games[[#This Row],[ExpectedWin%]])</f>
        <v>-15.764905970442422</v>
      </c>
      <c r="AB433" s="4">
        <f>Games[[#This Row],[PreGmRate]]+Games[[#This Row],[RatingChange]]</f>
        <v>1488.2962124969388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40068</v>
      </c>
      <c r="B434" s="2">
        <v>2009</v>
      </c>
      <c r="C434" s="2">
        <f>COUNTIFS(Games[Team],Games[[#This Row],[Team]],Games[Season],Games[[#This Row],[Season]],Games[Date],"&lt;=" &amp; Games[[#This Row],[Date]])</f>
        <v>34</v>
      </c>
      <c r="D434" s="2" t="s">
        <v>23</v>
      </c>
      <c r="E434" s="2" t="s">
        <v>29</v>
      </c>
      <c r="F434" s="1" t="s">
        <v>87</v>
      </c>
      <c r="G434" s="1" t="s">
        <v>71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34" s="2">
        <f>Games[[#This Row],[DaysOff]]-Games[[#This Row],[OppDaysOff]]</f>
        <v>-5</v>
      </c>
      <c r="L434" s="2">
        <f>Games[[#This Row],[OppDaysOff]]-Games[[#This Row],[DaysOff]]</f>
        <v>5</v>
      </c>
      <c r="M434" s="1">
        <f>MAX(-16, MIN(16, Games[[#This Row],[RestDiff]]*8))</f>
        <v>-16</v>
      </c>
      <c r="N434" s="1">
        <f>MAX(-16, MIN(16, Games[[#This Row],[OppRestDiff]]*8))</f>
        <v>16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1530.64207995316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1440.0844031988975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0.46345086148677095</v>
      </c>
      <c r="R434" s="1">
        <v>64</v>
      </c>
      <c r="S434" s="1">
        <v>82</v>
      </c>
      <c r="T434" s="1">
        <v>0</v>
      </c>
      <c r="U434" s="1">
        <f>Games[[#This Row],[PointsFor]]-Games[[#This Row],[PointsAgainst]]</f>
        <v>-18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0.5084629151964154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70.900000000000006</v>
      </c>
      <c r="Z434" s="4">
        <f>Games[[#This Row],[K]]*Games[[#This Row],[POMult]]</f>
        <v>70.900000000000006</v>
      </c>
      <c r="AA434" s="4">
        <f>(Games[[#This Row],[Keff]]*Games[[#This Row],[MOVMult]])*(Games[[#This Row],[Result]]-Games[[#This Row],[ExpectedWin%]])</f>
        <v>-16.707413144203429</v>
      </c>
      <c r="AB434" s="4">
        <f>Games[[#This Row],[PreGmRate]]+Games[[#This Row],[RatingChange]]</f>
        <v>1513.9346668089565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40068</v>
      </c>
      <c r="B435" s="2">
        <v>2009</v>
      </c>
      <c r="C435" s="2">
        <f>COUNTIFS(Games[Team],Games[[#This Row],[Team]],Games[Season],Games[[#This Row],[Season]],Games[Date],"&lt;=" &amp; Games[[#This Row],[Date]])</f>
        <v>33</v>
      </c>
      <c r="D435" s="2" t="s">
        <v>23</v>
      </c>
      <c r="E435" s="2" t="s">
        <v>29</v>
      </c>
      <c r="F435" s="1" t="s">
        <v>71</v>
      </c>
      <c r="G435" s="1" t="s">
        <v>87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5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5" s="2">
        <f>Games[[#This Row],[DaysOff]]-Games[[#This Row],[OppDaysOff]]</f>
        <v>5</v>
      </c>
      <c r="L435" s="2">
        <f>Games[[#This Row],[OppDaysOff]]-Games[[#This Row],[DaysOff]]</f>
        <v>-5</v>
      </c>
      <c r="M435" s="1">
        <f>MAX(-16, MIN(16, Games[[#This Row],[RestDiff]]*8))</f>
        <v>16</v>
      </c>
      <c r="N435" s="1">
        <f>MAX(-16, MIN(16, Games[[#This Row],[OppRestDiff]]*8))</f>
        <v>-16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1440.0844031988975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1530.64207995316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0.53654913851322905</v>
      </c>
      <c r="R435" s="1">
        <v>82</v>
      </c>
      <c r="S435" s="1">
        <v>64</v>
      </c>
      <c r="T435" s="1">
        <v>0</v>
      </c>
      <c r="U435" s="1">
        <f>Games[[#This Row],[PointsFor]]-Games[[#This Row],[PointsAgainst]]</f>
        <v>18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0.5084629151964154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71.05</v>
      </c>
      <c r="Z435" s="4">
        <f>Games[[#This Row],[K]]*Games[[#This Row],[POMult]]</f>
        <v>71.05</v>
      </c>
      <c r="AA435" s="4">
        <f>(Games[[#This Row],[Keff]]*Games[[#This Row],[MOVMult]])*(Games[[#This Row],[Result]]-Games[[#This Row],[ExpectedWin%]])</f>
        <v>16.742760280615702</v>
      </c>
      <c r="AB435" s="4">
        <f>Games[[#This Row],[PreGmRate]]+Games[[#This Row],[RatingChange]]</f>
        <v>1456.8271634795133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40069</v>
      </c>
      <c r="B436" s="2">
        <v>2009</v>
      </c>
      <c r="C436" s="2">
        <f>COUNTIFS(Games[Team],Games[[#This Row],[Team]],Games[Season],Games[[#This Row],[Season]],Games[Date],"&lt;=" &amp; Games[[#This Row],[Date]])</f>
        <v>34</v>
      </c>
      <c r="D436" s="2" t="s">
        <v>23</v>
      </c>
      <c r="E436" s="2" t="s">
        <v>29</v>
      </c>
      <c r="F436" s="1" t="s">
        <v>77</v>
      </c>
      <c r="G436" s="1" t="s">
        <v>84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1</v>
      </c>
      <c r="L436" s="2">
        <f>Games[[#This Row],[OppDaysOff]]-Games[[#This Row],[DaysOff]]</f>
        <v>-1</v>
      </c>
      <c r="M436" s="1">
        <f>MAX(-16, MIN(16, Games[[#This Row],[RestDiff]]*8))</f>
        <v>8</v>
      </c>
      <c r="N436" s="1">
        <f>MAX(-16, MIN(16, Games[[#This Row],[OppRestDiff]]*8))</f>
        <v>-8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1567.5755037162917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1466.0734287232181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0.54806448413336117</v>
      </c>
      <c r="R436" s="1">
        <v>85</v>
      </c>
      <c r="S436" s="1">
        <v>95</v>
      </c>
      <c r="T436" s="1">
        <v>0</v>
      </c>
      <c r="U436" s="1">
        <f>Games[[#This Row],[PointsFor]]-Games[[#This Row],[PointsAgainst]]</f>
        <v>-10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0.39013048765323172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70.900000000000006</v>
      </c>
      <c r="Z436" s="4">
        <f>Games[[#This Row],[K]]*Games[[#This Row],[POMult]]</f>
        <v>70.900000000000006</v>
      </c>
      <c r="AA436" s="4">
        <f>(Games[[#This Row],[Keff]]*Games[[#This Row],[MOVMult]])*(Games[[#This Row],[Result]]-Games[[#This Row],[ExpectedWin%]])</f>
        <v>-15.159601510239884</v>
      </c>
      <c r="AB436" s="4">
        <f>Games[[#This Row],[PreGmRate]]+Games[[#This Row],[RatingChange]]</f>
        <v>1552.4159022060519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1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40069</v>
      </c>
      <c r="B437" s="2">
        <v>2009</v>
      </c>
      <c r="C437" s="2">
        <f>COUNTIFS(Games[Team],Games[[#This Row],[Team]],Games[Season],Games[[#This Row],[Season]],Games[Date],"&lt;=" &amp; Games[[#This Row],[Date]])</f>
        <v>34</v>
      </c>
      <c r="D437" s="2" t="s">
        <v>23</v>
      </c>
      <c r="E437" s="2" t="s">
        <v>29</v>
      </c>
      <c r="F437" s="1" t="s">
        <v>84</v>
      </c>
      <c r="G437" s="1" t="s">
        <v>77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-1</v>
      </c>
      <c r="L437" s="2">
        <f>Games[[#This Row],[OppDaysOff]]-Games[[#This Row],[DaysOff]]</f>
        <v>1</v>
      </c>
      <c r="M437" s="1">
        <f>MAX(-16, MIN(16, Games[[#This Row],[RestDiff]]*8))</f>
        <v>-8</v>
      </c>
      <c r="N437" s="1">
        <f>MAX(-16, MIN(16, Games[[#This Row],[OppRestDiff]]*8))</f>
        <v>8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1466.0734287232181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1567.5755037162917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0.45193551586663872</v>
      </c>
      <c r="R437" s="1">
        <v>95</v>
      </c>
      <c r="S437" s="1">
        <v>85</v>
      </c>
      <c r="T437" s="1">
        <v>0</v>
      </c>
      <c r="U437" s="1">
        <f>Games[[#This Row],[PointsFor]]-Games[[#This Row],[PointsAgainst]]</f>
        <v>10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0.39013048765323172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70.900000000000006</v>
      </c>
      <c r="Z437" s="4">
        <f>Games[[#This Row],[K]]*Games[[#This Row],[POMult]]</f>
        <v>70.900000000000006</v>
      </c>
      <c r="AA437" s="4">
        <f>(Games[[#This Row],[Keff]]*Games[[#This Row],[MOVMult]])*(Games[[#This Row],[Result]]-Games[[#This Row],[ExpectedWin%]])</f>
        <v>15.159601510239886</v>
      </c>
      <c r="AB437" s="4">
        <f>Games[[#This Row],[PreGmRate]]+Games[[#This Row],[RatingChange]]</f>
        <v>1481.2330302334578</v>
      </c>
      <c r="AC437" s="2">
        <f>IF(Games[[#This Row],[Type]]="R",IF(Games[[#This Row],[Result]]&gt;0.5,1,0),0)</f>
        <v>1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40069</v>
      </c>
      <c r="B438" s="2">
        <v>2009</v>
      </c>
      <c r="C438" s="2">
        <f>COUNTIFS(Games[Team],Games[[#This Row],[Team]],Games[Season],Games[[#This Row],[Season]],Games[Date],"&lt;=" &amp; Games[[#This Row],[Date]])</f>
        <v>34</v>
      </c>
      <c r="D438" s="2" t="s">
        <v>23</v>
      </c>
      <c r="E438" s="2" t="s">
        <v>29</v>
      </c>
      <c r="F438" s="1" t="s">
        <v>71</v>
      </c>
      <c r="G438" s="1" t="s">
        <v>65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8" s="2">
        <f>Games[[#This Row],[DaysOff]]-Games[[#This Row],[OppDaysOff]]</f>
        <v>-2</v>
      </c>
      <c r="L438" s="2">
        <f>Games[[#This Row],[OppDaysOff]]-Games[[#This Row],[DaysOff]]</f>
        <v>2</v>
      </c>
      <c r="M438" s="1">
        <f>MAX(-16, MIN(16, Games[[#This Row],[RestDiff]]*8))</f>
        <v>-16</v>
      </c>
      <c r="N438" s="1">
        <f>MAX(-16, MIN(16, Games[[#This Row],[OppRestDiff]]*8))</f>
        <v>16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1456.8271634795133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1432.6418395762623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0.3708603297565452</v>
      </c>
      <c r="R438" s="1">
        <v>65</v>
      </c>
      <c r="S438" s="1">
        <v>86</v>
      </c>
      <c r="T438" s="1">
        <v>0</v>
      </c>
      <c r="U438" s="1">
        <f>Games[[#This Row],[PointsFor]]-Games[[#This Row],[PointsAgainst]]</f>
        <v>-21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0.57694822306226545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70.900000000000006</v>
      </c>
      <c r="Z438" s="4">
        <f>Games[[#This Row],[K]]*Games[[#This Row],[POMult]]</f>
        <v>70.900000000000006</v>
      </c>
      <c r="AA438" s="4">
        <f>(Games[[#This Row],[Keff]]*Games[[#This Row],[MOVMult]])*(Games[[#This Row],[Result]]-Games[[#This Row],[ExpectedWin%]])</f>
        <v>-15.170275065444313</v>
      </c>
      <c r="AB438" s="4">
        <f>Games[[#This Row],[PreGmRate]]+Games[[#This Row],[RatingChange]]</f>
        <v>1441.656888414069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40069</v>
      </c>
      <c r="B439" s="2">
        <v>2009</v>
      </c>
      <c r="C439" s="2">
        <f>COUNTIFS(Games[Team],Games[[#This Row],[Team]],Games[Season],Games[[#This Row],[Season]],Games[Date],"&lt;=" &amp; Games[[#This Row],[Date]])</f>
        <v>34</v>
      </c>
      <c r="D439" s="2" t="s">
        <v>23</v>
      </c>
      <c r="E439" s="2" t="s">
        <v>29</v>
      </c>
      <c r="F439" s="1" t="s">
        <v>65</v>
      </c>
      <c r="G439" s="1" t="s">
        <v>71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9" s="2">
        <f>Games[[#This Row],[DaysOff]]-Games[[#This Row],[OppDaysOff]]</f>
        <v>2</v>
      </c>
      <c r="L439" s="2">
        <f>Games[[#This Row],[OppDaysOff]]-Games[[#This Row],[DaysOff]]</f>
        <v>-2</v>
      </c>
      <c r="M439" s="1">
        <f>MAX(-16, MIN(16, Games[[#This Row],[RestDiff]]*8))</f>
        <v>16</v>
      </c>
      <c r="N439" s="1">
        <f>MAX(-16, MIN(16, Games[[#This Row],[OppRestDiff]]*8))</f>
        <v>-16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1432.6418395762623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1456.8271634795133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0.62913967024345474</v>
      </c>
      <c r="R439" s="1">
        <v>86</v>
      </c>
      <c r="S439" s="1">
        <v>65</v>
      </c>
      <c r="T439" s="1">
        <v>0</v>
      </c>
      <c r="U439" s="1">
        <f>Games[[#This Row],[PointsFor]]-Games[[#This Row],[PointsAgainst]]</f>
        <v>21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0.57694822306226545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70.900000000000006</v>
      </c>
      <c r="Z439" s="4">
        <f>Games[[#This Row],[K]]*Games[[#This Row],[POMult]]</f>
        <v>70.900000000000006</v>
      </c>
      <c r="AA439" s="4">
        <f>(Games[[#This Row],[Keff]]*Games[[#This Row],[MOVMult]])*(Games[[#This Row],[Result]]-Games[[#This Row],[ExpectedWin%]])</f>
        <v>15.170275065444317</v>
      </c>
      <c r="AB439" s="4">
        <f>Games[[#This Row],[PreGmRate]]+Games[[#This Row],[RatingChange]]</f>
        <v>1447.8121146417066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40069</v>
      </c>
      <c r="B440" s="2">
        <v>2009</v>
      </c>
      <c r="C440" s="2">
        <f>COUNTIFS(Games[Team],Games[[#This Row],[Team]],Games[Season],Games[[#This Row],[Season]],Games[Date],"&lt;=" &amp; Games[[#This Row],[Date]])</f>
        <v>34</v>
      </c>
      <c r="D440" s="2" t="s">
        <v>23</v>
      </c>
      <c r="E440" s="2" t="s">
        <v>29</v>
      </c>
      <c r="F440" s="1" t="s">
        <v>68</v>
      </c>
      <c r="G440" s="1" t="s">
        <v>44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0" s="2">
        <f>Games[[#This Row],[DaysOff]]-Games[[#This Row],[OppDaysOff]]</f>
        <v>-1</v>
      </c>
      <c r="L440" s="2">
        <f>Games[[#This Row],[OppDaysOff]]-Games[[#This Row],[DaysOff]]</f>
        <v>1</v>
      </c>
      <c r="M440" s="1">
        <f>MAX(-16, MIN(16, Games[[#This Row],[RestDiff]]*8))</f>
        <v>-8</v>
      </c>
      <c r="N440" s="1">
        <f>MAX(-16, MIN(16, Games[[#This Row],[OppRestDiff]]*8))</f>
        <v>8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1535.4106972048016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1629.4289024178961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0.24659445180369088</v>
      </c>
      <c r="R440" s="1">
        <v>81</v>
      </c>
      <c r="S440" s="1">
        <v>78</v>
      </c>
      <c r="T440" s="1">
        <v>0</v>
      </c>
      <c r="U440" s="1">
        <f>Games[[#This Row],[PointsFor]]-Games[[#This Row],[PointsAgainst]]</f>
        <v>3</v>
      </c>
      <c r="V440" s="1">
        <f>IF(Games[[#This Row],[MOV]]&gt;0,1,IF(Games[[#This Row],[MOV]]=0,0.5,0))</f>
        <v>1</v>
      </c>
      <c r="W440" s="4">
        <f>((ABS(Games[[#This Row],[MOV]])+5)^0.6)/(12+0.01*(ABS(Games[[#This Row],[PreGmRate]]-Games[[#This Row],[OppPreGmRate]])))*IF(Games[[#This Row],[OT]]=1,0.9,1)</f>
        <v>0.26909994304222784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70.900000000000006</v>
      </c>
      <c r="Z440" s="4">
        <f>Games[[#This Row],[K]]*Games[[#This Row],[POMult]]</f>
        <v>70.900000000000006</v>
      </c>
      <c r="AA440" s="4">
        <f>(Games[[#This Row],[Keff]]*Games[[#This Row],[MOVMult]])*(Games[[#This Row],[Result]]-Games[[#This Row],[ExpectedWin%]])</f>
        <v>14.37436455860936</v>
      </c>
      <c r="AB440" s="4">
        <f>Games[[#This Row],[PreGmRate]]+Games[[#This Row],[RatingChange]]</f>
        <v>1549.785061763411</v>
      </c>
      <c r="AC440" s="2">
        <f>IF(Games[[#This Row],[Type]]="R",IF(Games[[#This Row],[Result]]&gt;0.5,1,0),0)</f>
        <v>1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40069</v>
      </c>
      <c r="B441" s="2">
        <v>2009</v>
      </c>
      <c r="C441" s="2">
        <f>COUNTIFS(Games[Team],Games[[#This Row],[Team]],Games[Season],Games[[#This Row],[Season]],Games[Date],"&lt;=" &amp; Games[[#This Row],[Date]])</f>
        <v>34</v>
      </c>
      <c r="D441" s="2" t="s">
        <v>23</v>
      </c>
      <c r="E441" s="2" t="s">
        <v>29</v>
      </c>
      <c r="F441" s="1" t="s">
        <v>44</v>
      </c>
      <c r="G441" s="1" t="s">
        <v>68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1</v>
      </c>
      <c r="L441" s="2">
        <f>Games[[#This Row],[OppDaysOff]]-Games[[#This Row],[DaysOff]]</f>
        <v>-1</v>
      </c>
      <c r="M441" s="1">
        <f>MAX(-16, MIN(16, Games[[#This Row],[RestDiff]]*8))</f>
        <v>8</v>
      </c>
      <c r="N441" s="1">
        <f>MAX(-16, MIN(16, Games[[#This Row],[OppRestDiff]]*8))</f>
        <v>-8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1629.4289024178961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1535.4106972048016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0.75340554819630912</v>
      </c>
      <c r="R441" s="1">
        <v>78</v>
      </c>
      <c r="S441" s="1">
        <v>81</v>
      </c>
      <c r="T441" s="1">
        <v>0</v>
      </c>
      <c r="U441" s="1">
        <f>Games[[#This Row],[PointsFor]]-Games[[#This Row],[PointsAgainst]]</f>
        <v>-3</v>
      </c>
      <c r="V441" s="1">
        <f>IF(Games[[#This Row],[MOV]]&gt;0,1,IF(Games[[#This Row],[MOV]]=0,0.5,0))</f>
        <v>0</v>
      </c>
      <c r="W441" s="4">
        <f>((ABS(Games[[#This Row],[MOV]])+5)^0.6)/(12+0.01*(ABS(Games[[#This Row],[PreGmRate]]-Games[[#This Row],[OppPreGmRate]])))*IF(Games[[#This Row],[OT]]=1,0.9,1)</f>
        <v>0.26909994304222784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70.900000000000006</v>
      </c>
      <c r="Z441" s="4">
        <f>Games[[#This Row],[K]]*Games[[#This Row],[POMult]]</f>
        <v>70.900000000000006</v>
      </c>
      <c r="AA441" s="4">
        <f>(Games[[#This Row],[Keff]]*Games[[#This Row],[MOVMult]])*(Games[[#This Row],[Result]]-Games[[#This Row],[ExpectedWin%]])</f>
        <v>-14.37436455860936</v>
      </c>
      <c r="AB441" s="4">
        <f>Games[[#This Row],[PreGmRate]]+Games[[#This Row],[RatingChange]]</f>
        <v>1615.0545378592867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1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40069</v>
      </c>
      <c r="B442" s="2">
        <v>2009</v>
      </c>
      <c r="C442" s="2">
        <f>COUNTIFS(Games[Team],Games[[#This Row],[Team]],Games[Season],Games[[#This Row],[Season]],Games[Date],"&lt;=" &amp; Games[[#This Row],[Date]])</f>
        <v>34</v>
      </c>
      <c r="D442" s="2" t="s">
        <v>23</v>
      </c>
      <c r="E442" s="2" t="s">
        <v>29</v>
      </c>
      <c r="F442" s="1" t="s">
        <v>75</v>
      </c>
      <c r="G442" s="1" t="s">
        <v>45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2" s="2">
        <f>Games[[#This Row],[DaysOff]]-Games[[#This Row],[OppDaysOff]]</f>
        <v>-1</v>
      </c>
      <c r="L442" s="2">
        <f>Games[[#This Row],[OppDaysOff]]-Games[[#This Row],[DaysOff]]</f>
        <v>1</v>
      </c>
      <c r="M442" s="1">
        <f>MAX(-16, MIN(16, Games[[#This Row],[RestDiff]]*8))</f>
        <v>-8</v>
      </c>
      <c r="N442" s="1">
        <f>MAX(-16, MIN(16, Games[[#This Row],[OppRestDiff]]*8))</f>
        <v>8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1430.765573728592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1424.653072403444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0.36808060727427117</v>
      </c>
      <c r="R442" s="1">
        <v>66</v>
      </c>
      <c r="S442" s="1">
        <v>88</v>
      </c>
      <c r="T442" s="1">
        <v>0</v>
      </c>
      <c r="U442" s="1">
        <f>Games[[#This Row],[PointsFor]]-Games[[#This Row],[PointsAgainst]]</f>
        <v>-22</v>
      </c>
      <c r="V442" s="1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0.59900498899599941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70.900000000000006</v>
      </c>
      <c r="Z442" s="4">
        <f>Games[[#This Row],[K]]*Games[[#This Row],[POMult]]</f>
        <v>70.900000000000006</v>
      </c>
      <c r="AA442" s="4">
        <f>(Games[[#This Row],[Keff]]*Games[[#This Row],[MOVMult]])*(Games[[#This Row],[Result]]-Games[[#This Row],[ExpectedWin%]])</f>
        <v>-15.632182315796562</v>
      </c>
      <c r="AB442" s="4">
        <f>Games[[#This Row],[PreGmRate]]+Games[[#This Row],[RatingChange]]</f>
        <v>1415.1333914127954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40069</v>
      </c>
      <c r="B443" s="2">
        <v>2009</v>
      </c>
      <c r="C443" s="2">
        <f>COUNTIFS(Games[Team],Games[[#This Row],[Team]],Games[Season],Games[[#This Row],[Season]],Games[Date],"&lt;=" &amp; Games[[#This Row],[Date]])</f>
        <v>34</v>
      </c>
      <c r="D443" s="2" t="s">
        <v>23</v>
      </c>
      <c r="E443" s="2" t="s">
        <v>29</v>
      </c>
      <c r="F443" s="1" t="s">
        <v>45</v>
      </c>
      <c r="G443" s="1" t="s">
        <v>75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1</v>
      </c>
      <c r="L443" s="2">
        <f>Games[[#This Row],[OppDaysOff]]-Games[[#This Row],[DaysOff]]</f>
        <v>-1</v>
      </c>
      <c r="M443" s="1">
        <f>MAX(-16, MIN(16, Games[[#This Row],[RestDiff]]*8))</f>
        <v>8</v>
      </c>
      <c r="N443" s="1">
        <f>MAX(-16, MIN(16, Games[[#This Row],[OppRestDiff]]*8))</f>
        <v>-8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1424.653072403444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1430.765573728592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0.63191939272572883</v>
      </c>
      <c r="R443" s="1">
        <v>88</v>
      </c>
      <c r="S443" s="1">
        <v>66</v>
      </c>
      <c r="T443" s="1">
        <v>0</v>
      </c>
      <c r="U443" s="1">
        <f>Games[[#This Row],[PointsFor]]-Games[[#This Row],[PointsAgainst]]</f>
        <v>22</v>
      </c>
      <c r="V443" s="1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0.59900498899599941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70.900000000000006</v>
      </c>
      <c r="Z443" s="4">
        <f>Games[[#This Row],[K]]*Games[[#This Row],[POMult]]</f>
        <v>70.900000000000006</v>
      </c>
      <c r="AA443" s="4">
        <f>(Games[[#This Row],[Keff]]*Games[[#This Row],[MOVMult]])*(Games[[#This Row],[Result]]-Games[[#This Row],[ExpectedWin%]])</f>
        <v>15.632182315796562</v>
      </c>
      <c r="AB443" s="4">
        <f>Games[[#This Row],[PreGmRate]]+Games[[#This Row],[RatingChange]]</f>
        <v>1440.2852547192406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40072</v>
      </c>
      <c r="B444" s="2">
        <v>2009</v>
      </c>
      <c r="C444" s="2">
        <f>COUNTIFS(Games[Team],Games[[#This Row],[Team]],Games[Season],Games[[#This Row],[Season]],Games[Date],"&lt;=" &amp; Games[[#This Row],[Date]])</f>
        <v>35</v>
      </c>
      <c r="D444" s="2" t="s">
        <v>46</v>
      </c>
      <c r="E444" s="2">
        <v>1</v>
      </c>
      <c r="F444" s="1" t="s">
        <v>87</v>
      </c>
      <c r="G444" s="1" t="s">
        <v>73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1513.9346668089565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1568.7991152361747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0.31016072127143518</v>
      </c>
      <c r="R444" s="1">
        <v>89</v>
      </c>
      <c r="S444" s="1">
        <v>94</v>
      </c>
      <c r="T444" s="1">
        <v>0</v>
      </c>
      <c r="U444" s="1">
        <f>Games[[#This Row],[PointsFor]]-Games[[#This Row],[PointsAgainst]]</f>
        <v>-5</v>
      </c>
      <c r="V444" s="1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0.31725113501499236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4" s="9">
        <f>MAX(kmin, kmax - 0.15 * MIN(Games[[#This Row],[GamesPlayed]], 82))</f>
        <v>70.75</v>
      </c>
      <c r="Z444" s="4">
        <f>Games[[#This Row],[K]]*Games[[#This Row],[POMult]]</f>
        <v>77.825000000000003</v>
      </c>
      <c r="AA444" s="4">
        <f>(Games[[#This Row],[Keff]]*Games[[#This Row],[MOVMult]])*(Games[[#This Row],[Result]]-Games[[#This Row],[ExpectedWin%]])</f>
        <v>-7.6578897899630816</v>
      </c>
      <c r="AB444" s="4">
        <f>Games[[#This Row],[PreGmRate]]+Games[[#This Row],[RatingChange]]</f>
        <v>1506.2767770189935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1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40072</v>
      </c>
      <c r="B445" s="2">
        <v>2009</v>
      </c>
      <c r="C445" s="2">
        <f>COUNTIFS(Games[Team],Games[[#This Row],[Team]],Games[Season],Games[[#This Row],[Season]],Games[Date],"&lt;=" &amp; Games[[#This Row],[Date]])</f>
        <v>35</v>
      </c>
      <c r="D445" s="2" t="s">
        <v>46</v>
      </c>
      <c r="E445" s="2">
        <v>1</v>
      </c>
      <c r="F445" s="1" t="s">
        <v>73</v>
      </c>
      <c r="G445" s="1" t="s">
        <v>87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1568.7991152361747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1513.9346668089565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0.68983927872856488</v>
      </c>
      <c r="R445" s="1">
        <v>94</v>
      </c>
      <c r="S445" s="1">
        <v>89</v>
      </c>
      <c r="T445" s="1">
        <v>0</v>
      </c>
      <c r="U445" s="1">
        <f>Games[[#This Row],[PointsFor]]-Games[[#This Row],[PointsAgainst]]</f>
        <v>5</v>
      </c>
      <c r="V445" s="1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0.31725113501499236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5" s="9">
        <f>MAX(kmin, kmax - 0.15 * MIN(Games[[#This Row],[GamesPlayed]], 82))</f>
        <v>70.75</v>
      </c>
      <c r="Z445" s="4">
        <f>Games[[#This Row],[K]]*Games[[#This Row],[POMult]]</f>
        <v>77.825000000000003</v>
      </c>
      <c r="AA445" s="4">
        <f>(Games[[#This Row],[Keff]]*Games[[#This Row],[MOVMult]])*(Games[[#This Row],[Result]]-Games[[#This Row],[ExpectedWin%]])</f>
        <v>7.6578897899630798</v>
      </c>
      <c r="AB445" s="4">
        <f>Games[[#This Row],[PreGmRate]]+Games[[#This Row],[RatingChange]]</f>
        <v>1576.4570050261377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1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40072</v>
      </c>
      <c r="B446" s="2">
        <v>2009</v>
      </c>
      <c r="C446" s="2">
        <f>COUNTIFS(Games[Team],Games[[#This Row],[Team]],Games[Season],Games[[#This Row],[Season]],Games[Date],"&lt;=" &amp; Games[[#This Row],[Date]])</f>
        <v>35</v>
      </c>
      <c r="D446" s="2" t="s">
        <v>46</v>
      </c>
      <c r="E446" s="2">
        <v>1</v>
      </c>
      <c r="F446" s="1" t="s">
        <v>79</v>
      </c>
      <c r="G446" s="1" t="s">
        <v>68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6" s="2">
        <f>Games[[#This Row],[DaysOff]]-Games[[#This Row],[OppDaysOff]]</f>
        <v>1</v>
      </c>
      <c r="L446" s="2">
        <f>Games[[#This Row],[OppDaysOff]]-Games[[#This Row],[DaysOff]]</f>
        <v>-1</v>
      </c>
      <c r="M446" s="1">
        <f>MAX(-16, MIN(16, Games[[#This Row],[RestDiff]]*8))</f>
        <v>8</v>
      </c>
      <c r="N446" s="1">
        <f>MAX(-16, MIN(16, Games[[#This Row],[OppRestDiff]]*8))</f>
        <v>-8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1558.2335880697321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1549.785061763411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0.41512806664288354</v>
      </c>
      <c r="R446" s="1">
        <v>63</v>
      </c>
      <c r="S446" s="1">
        <v>70</v>
      </c>
      <c r="T446" s="1">
        <v>0</v>
      </c>
      <c r="U446" s="1">
        <f>Games[[#This Row],[PointsFor]]-Games[[#This Row],[PointsAgainst]]</f>
        <v>-7</v>
      </c>
      <c r="V446" s="1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0.36751967280069731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6" s="9">
        <f>MAX(kmin, kmax - 0.15 * MIN(Games[[#This Row],[GamesPlayed]], 82))</f>
        <v>70.75</v>
      </c>
      <c r="Z446" s="4">
        <f>Games[[#This Row],[K]]*Games[[#This Row],[POMult]]</f>
        <v>77.825000000000003</v>
      </c>
      <c r="AA446" s="4">
        <f>(Games[[#This Row],[Keff]]*Games[[#This Row],[MOVMult]])*(Games[[#This Row],[Result]]-Games[[#This Row],[ExpectedWin%]])</f>
        <v>-11.873583682428311</v>
      </c>
      <c r="AB446" s="4">
        <f>Games[[#This Row],[PreGmRate]]+Games[[#This Row],[RatingChange]]</f>
        <v>1546.3600043873039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1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40072</v>
      </c>
      <c r="B447" s="2">
        <v>2009</v>
      </c>
      <c r="C447" s="2">
        <f>COUNTIFS(Games[Team],Games[[#This Row],[Team]],Games[Season],Games[[#This Row],[Season]],Games[Date],"&lt;=" &amp; Games[[#This Row],[Date]])</f>
        <v>35</v>
      </c>
      <c r="D447" s="2" t="s">
        <v>46</v>
      </c>
      <c r="E447" s="2">
        <v>1</v>
      </c>
      <c r="F447" s="1" t="s">
        <v>68</v>
      </c>
      <c r="G447" s="1" t="s">
        <v>79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7" s="2">
        <f>Games[[#This Row],[DaysOff]]-Games[[#This Row],[OppDaysOff]]</f>
        <v>-1</v>
      </c>
      <c r="L447" s="2">
        <f>Games[[#This Row],[OppDaysOff]]-Games[[#This Row],[DaysOff]]</f>
        <v>1</v>
      </c>
      <c r="M447" s="1">
        <f>MAX(-16, MIN(16, Games[[#This Row],[RestDiff]]*8))</f>
        <v>-8</v>
      </c>
      <c r="N447" s="1">
        <f>MAX(-16, MIN(16, Games[[#This Row],[OppRestDiff]]*8))</f>
        <v>8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1549.785061763411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1558.2335880697321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0.58487193335711651</v>
      </c>
      <c r="R447" s="1">
        <v>70</v>
      </c>
      <c r="S447" s="1">
        <v>63</v>
      </c>
      <c r="T447" s="1">
        <v>0</v>
      </c>
      <c r="U447" s="1">
        <f>Games[[#This Row],[PointsFor]]-Games[[#This Row],[PointsAgainst]]</f>
        <v>7</v>
      </c>
      <c r="V447" s="1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0.36751967280069731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7" s="9">
        <f>MAX(kmin, kmax - 0.15 * MIN(Games[[#This Row],[GamesPlayed]], 82))</f>
        <v>70.75</v>
      </c>
      <c r="Z447" s="4">
        <f>Games[[#This Row],[K]]*Games[[#This Row],[POMult]]</f>
        <v>77.825000000000003</v>
      </c>
      <c r="AA447" s="4">
        <f>(Games[[#This Row],[Keff]]*Games[[#This Row],[MOVMult]])*(Games[[#This Row],[Result]]-Games[[#This Row],[ExpectedWin%]])</f>
        <v>11.873583682428309</v>
      </c>
      <c r="AB447" s="4">
        <f>Games[[#This Row],[PreGmRate]]+Games[[#This Row],[RatingChange]]</f>
        <v>1561.6586454458393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1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40073</v>
      </c>
      <c r="B448" s="2">
        <v>2009</v>
      </c>
      <c r="C448" s="2">
        <f>COUNTIFS(Games[Team],Games[[#This Row],[Team]],Games[Season],Games[[#This Row],[Season]],Games[Date],"&lt;=" &amp; Games[[#This Row],[Date]])</f>
        <v>35</v>
      </c>
      <c r="D448" s="2" t="s">
        <v>46</v>
      </c>
      <c r="E448" s="2">
        <v>1</v>
      </c>
      <c r="F448" s="1" t="s">
        <v>44</v>
      </c>
      <c r="G448" s="1" t="s">
        <v>82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8" s="2">
        <f>Games[[#This Row],[DaysOff]]-Games[[#This Row],[OppDaysOff]]</f>
        <v>-1</v>
      </c>
      <c r="L448" s="2">
        <f>Games[[#This Row],[OppDaysOff]]-Games[[#This Row],[DaysOff]]</f>
        <v>1</v>
      </c>
      <c r="M448" s="1">
        <f>MAX(-16, MIN(16, Games[[#This Row],[RestDiff]]*8))</f>
        <v>-8</v>
      </c>
      <c r="N448" s="1">
        <f>MAX(-16, MIN(16, Games[[#This Row],[OppRestDiff]]*8))</f>
        <v>8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1615.0545378592867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1488.2962124969388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0.53843236769083891</v>
      </c>
      <c r="R448" s="1">
        <v>91</v>
      </c>
      <c r="S448" s="1">
        <v>92</v>
      </c>
      <c r="T448" s="1">
        <v>0</v>
      </c>
      <c r="U448" s="1">
        <f>Games[[#This Row],[PointsFor]]-Games[[#This Row],[PointsAgainst]]</f>
        <v>-1</v>
      </c>
      <c r="V448" s="1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0.22085077557612257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8" s="9">
        <f>MAX(kmin, kmax - 0.15 * MIN(Games[[#This Row],[GamesPlayed]], 82))</f>
        <v>70.75</v>
      </c>
      <c r="Z448" s="4">
        <f>Games[[#This Row],[K]]*Games[[#This Row],[POMult]]</f>
        <v>77.825000000000003</v>
      </c>
      <c r="AA448" s="4">
        <f>(Games[[#This Row],[Keff]]*Games[[#This Row],[MOVMult]])*(Games[[#This Row],[Result]]-Games[[#This Row],[ExpectedWin%]])</f>
        <v>-9.2544202569351963</v>
      </c>
      <c r="AB448" s="4">
        <f>Games[[#This Row],[PreGmRate]]+Games[[#This Row],[RatingChange]]</f>
        <v>1605.8001176023515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1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40073</v>
      </c>
      <c r="B449" s="2">
        <v>2009</v>
      </c>
      <c r="C449" s="2">
        <f>COUNTIFS(Games[Team],Games[[#This Row],[Team]],Games[Season],Games[[#This Row],[Season]],Games[Date],"&lt;=" &amp; Games[[#This Row],[Date]])</f>
        <v>35</v>
      </c>
      <c r="D449" s="2" t="s">
        <v>46</v>
      </c>
      <c r="E449" s="2">
        <v>1</v>
      </c>
      <c r="F449" s="1" t="s">
        <v>82</v>
      </c>
      <c r="G449" s="1" t="s">
        <v>44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9" s="2">
        <f>Games[[#This Row],[DaysOff]]-Games[[#This Row],[OppDaysOff]]</f>
        <v>1</v>
      </c>
      <c r="L449" s="2">
        <f>Games[[#This Row],[OppDaysOff]]-Games[[#This Row],[DaysOff]]</f>
        <v>-1</v>
      </c>
      <c r="M449" s="1">
        <f>MAX(-16, MIN(16, Games[[#This Row],[RestDiff]]*8))</f>
        <v>8</v>
      </c>
      <c r="N449" s="1">
        <f>MAX(-16, MIN(16, Games[[#This Row],[OppRestDiff]]*8))</f>
        <v>-8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1488.2962124969388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1615.0545378592867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0.46156763230916115</v>
      </c>
      <c r="R449" s="1">
        <v>92</v>
      </c>
      <c r="S449" s="1">
        <v>91</v>
      </c>
      <c r="T449" s="1">
        <v>0</v>
      </c>
      <c r="U449" s="1">
        <f>Games[[#This Row],[PointsFor]]-Games[[#This Row],[PointsAgainst]]</f>
        <v>1</v>
      </c>
      <c r="V449" s="1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0.22085077557612257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9" s="9">
        <f>MAX(kmin, kmax - 0.15 * MIN(Games[[#This Row],[GamesPlayed]], 82))</f>
        <v>70.75</v>
      </c>
      <c r="Z449" s="4">
        <f>Games[[#This Row],[K]]*Games[[#This Row],[POMult]]</f>
        <v>77.825000000000003</v>
      </c>
      <c r="AA449" s="4">
        <f>(Games[[#This Row],[Keff]]*Games[[#This Row],[MOVMult]])*(Games[[#This Row],[Result]]-Games[[#This Row],[ExpectedWin%]])</f>
        <v>9.2544202569351963</v>
      </c>
      <c r="AB449" s="4">
        <f>Games[[#This Row],[PreGmRate]]+Games[[#This Row],[RatingChange]]</f>
        <v>1497.550632753874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1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40073</v>
      </c>
      <c r="B450" s="2">
        <v>2009</v>
      </c>
      <c r="C450" s="2">
        <f>COUNTIFS(Games[Team],Games[[#This Row],[Team]],Games[Season],Games[[#This Row],[Season]],Games[Date],"&lt;=" &amp; Games[[#This Row],[Date]])</f>
        <v>35</v>
      </c>
      <c r="D450" s="2" t="s">
        <v>46</v>
      </c>
      <c r="E450" s="2">
        <v>1</v>
      </c>
      <c r="F450" s="1" t="s">
        <v>77</v>
      </c>
      <c r="G450" s="1" t="s">
        <v>71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">
        <f>MAX(-16, MIN(16, Games[[#This Row],[RestDiff]]*8))</f>
        <v>0</v>
      </c>
      <c r="N450" s="1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1552.4159022060519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1441.656888414069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0.53843335256715519</v>
      </c>
      <c r="R450" s="1">
        <v>88</v>
      </c>
      <c r="S450" s="1">
        <v>79</v>
      </c>
      <c r="T450" s="1">
        <v>0</v>
      </c>
      <c r="U450" s="1">
        <f>Games[[#This Row],[PointsFor]]-Games[[#This Row],[PointsAgainst]]</f>
        <v>9</v>
      </c>
      <c r="V450" s="1">
        <f>IF(Games[[#This Row],[MOV]]&gt;0,1,IF(Games[[#This Row],[MOV]]=0,0.5,0))</f>
        <v>1</v>
      </c>
      <c r="W450" s="4">
        <f>((ABS(Games[[#This Row],[MOV]])+5)^0.6)/(12+0.01*(ABS(Games[[#This Row],[PreGmRate]]-Games[[#This Row],[OppPreGmRate]])))*IF(Games[[#This Row],[OT]]=1,0.9,1)</f>
        <v>0.37166697115996677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0" s="9">
        <f>MAX(kmin, kmax - 0.15 * MIN(Games[[#This Row],[GamesPlayed]], 82))</f>
        <v>70.75</v>
      </c>
      <c r="Z450" s="4">
        <f>Games[[#This Row],[K]]*Games[[#This Row],[POMult]]</f>
        <v>77.825000000000003</v>
      </c>
      <c r="AA450" s="4">
        <f>(Games[[#This Row],[Keff]]*Games[[#This Row],[MOVMult]])*(Games[[#This Row],[Result]]-Games[[#This Row],[ExpectedWin%]])</f>
        <v>13.350806982884434</v>
      </c>
      <c r="AB450" s="4">
        <f>Games[[#This Row],[PreGmRate]]+Games[[#This Row],[RatingChange]]</f>
        <v>1565.7667091889364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1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40073</v>
      </c>
      <c r="B451" s="2">
        <v>2009</v>
      </c>
      <c r="C451" s="2">
        <f>COUNTIFS(Games[Team],Games[[#This Row],[Team]],Games[Season],Games[[#This Row],[Season]],Games[Date],"&lt;=" &amp; Games[[#This Row],[Date]])</f>
        <v>35</v>
      </c>
      <c r="D451" s="2" t="s">
        <v>46</v>
      </c>
      <c r="E451" s="2">
        <v>1</v>
      </c>
      <c r="F451" s="1" t="s">
        <v>71</v>
      </c>
      <c r="G451" s="1" t="s">
        <v>77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">
        <f>MAX(-16, MIN(16, Games[[#This Row],[RestDiff]]*8))</f>
        <v>0</v>
      </c>
      <c r="N451" s="1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1441.656888414069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1552.4159022060519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0.46156664743284481</v>
      </c>
      <c r="R451" s="1">
        <v>79</v>
      </c>
      <c r="S451" s="1">
        <v>88</v>
      </c>
      <c r="T451" s="1">
        <v>0</v>
      </c>
      <c r="U451" s="1">
        <f>Games[[#This Row],[PointsFor]]-Games[[#This Row],[PointsAgainst]]</f>
        <v>-9</v>
      </c>
      <c r="V451" s="1">
        <f>IF(Games[[#This Row],[MOV]]&gt;0,1,IF(Games[[#This Row],[MOV]]=0,0.5,0))</f>
        <v>0</v>
      </c>
      <c r="W451" s="4">
        <f>((ABS(Games[[#This Row],[MOV]])+5)^0.6)/(12+0.01*(ABS(Games[[#This Row],[PreGmRate]]-Games[[#This Row],[OppPreGmRate]])))*IF(Games[[#This Row],[OT]]=1,0.9,1)</f>
        <v>0.37166697115996677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1" s="9">
        <f>MAX(kmin, kmax - 0.15 * MIN(Games[[#This Row],[GamesPlayed]], 82))</f>
        <v>70.75</v>
      </c>
      <c r="Z451" s="4">
        <f>Games[[#This Row],[K]]*Games[[#This Row],[POMult]]</f>
        <v>77.825000000000003</v>
      </c>
      <c r="AA451" s="4">
        <f>(Games[[#This Row],[Keff]]*Games[[#This Row],[MOVMult]])*(Games[[#This Row],[Result]]-Games[[#This Row],[ExpectedWin%]])</f>
        <v>-13.350806982884434</v>
      </c>
      <c r="AB451" s="4">
        <f>Games[[#This Row],[PreGmRate]]+Games[[#This Row],[RatingChange]]</f>
        <v>1428.3060814311846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1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40074</v>
      </c>
      <c r="B452" s="2">
        <v>2009</v>
      </c>
      <c r="C452" s="2">
        <f>COUNTIFS(Games[Team],Games[[#This Row],[Team]],Games[Season],Games[[#This Row],[Season]],Games[Date],"&lt;=" &amp; Games[[#This Row],[Date]])</f>
        <v>36</v>
      </c>
      <c r="D452" s="2" t="s">
        <v>46</v>
      </c>
      <c r="E452" s="2">
        <v>1</v>
      </c>
      <c r="F452" s="1" t="s">
        <v>73</v>
      </c>
      <c r="G452" s="1" t="s">
        <v>87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">
        <f>MAX(-16, MIN(16, Games[[#This Row],[RestDiff]]*8))</f>
        <v>0</v>
      </c>
      <c r="N452" s="1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1576.4570050261377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1506.2767770189935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0.4801222316189217</v>
      </c>
      <c r="R452" s="1">
        <v>94</v>
      </c>
      <c r="S452" s="1">
        <v>79</v>
      </c>
      <c r="T452" s="1">
        <v>0</v>
      </c>
      <c r="U452" s="1">
        <f>Games[[#This Row],[PointsFor]]-Games[[#This Row],[PointsAgainst]]</f>
        <v>15</v>
      </c>
      <c r="V452" s="1">
        <f>IF(Games[[#This Row],[MOV]]&gt;0,1,IF(Games[[#This Row],[MOV]]=0,0.5,0))</f>
        <v>1</v>
      </c>
      <c r="W452" s="4">
        <f>((ABS(Games[[#This Row],[MOV]])+5)^0.6)/(12+0.01*(ABS(Games[[#This Row],[PreGmRate]]-Games[[#This Row],[OppPreGmRate]])))*IF(Games[[#This Row],[OT]]=1,0.9,1)</f>
        <v>0.47506457772630534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2" s="9">
        <f>MAX(kmin, kmax - 0.15 * MIN(Games[[#This Row],[GamesPlayed]], 82))</f>
        <v>70.599999999999994</v>
      </c>
      <c r="Z452" s="4">
        <f>Games[[#This Row],[K]]*Games[[#This Row],[POMult]]</f>
        <v>77.66</v>
      </c>
      <c r="AA452" s="4">
        <f>(Games[[#This Row],[Keff]]*Games[[#This Row],[MOVMult]])*(Games[[#This Row],[Result]]-Games[[#This Row],[ExpectedWin%]])</f>
        <v>19.180118301157783</v>
      </c>
      <c r="AB452" s="4">
        <f>Games[[#This Row],[PreGmRate]]+Games[[#This Row],[RatingChange]]</f>
        <v>1595.6371233272955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1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40074</v>
      </c>
      <c r="B453" s="2">
        <v>2009</v>
      </c>
      <c r="C453" s="2">
        <f>COUNTIFS(Games[Team],Games[[#This Row],[Team]],Games[Season],Games[[#This Row],[Season]],Games[Date],"&lt;=" &amp; Games[[#This Row],[Date]])</f>
        <v>36</v>
      </c>
      <c r="D453" s="2" t="s">
        <v>46</v>
      </c>
      <c r="E453" s="2">
        <v>1</v>
      </c>
      <c r="F453" s="1" t="s">
        <v>87</v>
      </c>
      <c r="G453" s="1" t="s">
        <v>73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">
        <f>MAX(-16, MIN(16, Games[[#This Row],[RestDiff]]*8))</f>
        <v>0</v>
      </c>
      <c r="N453" s="1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1506.2767770189935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1576.4570050261377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0.51987776838107835</v>
      </c>
      <c r="R453" s="1">
        <v>79</v>
      </c>
      <c r="S453" s="1">
        <v>94</v>
      </c>
      <c r="T453" s="1">
        <v>0</v>
      </c>
      <c r="U453" s="1">
        <f>Games[[#This Row],[PointsFor]]-Games[[#This Row],[PointsAgainst]]</f>
        <v>-15</v>
      </c>
      <c r="V453" s="1">
        <f>IF(Games[[#This Row],[MOV]]&gt;0,1,IF(Games[[#This Row],[MOV]]=0,0.5,0))</f>
        <v>0</v>
      </c>
      <c r="W453" s="4">
        <f>((ABS(Games[[#This Row],[MOV]])+5)^0.6)/(12+0.01*(ABS(Games[[#This Row],[PreGmRate]]-Games[[#This Row],[OppPreGmRate]])))*IF(Games[[#This Row],[OT]]=1,0.9,1)</f>
        <v>0.47506457772630534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3" s="9">
        <f>MAX(kmin, kmax - 0.15 * MIN(Games[[#This Row],[GamesPlayed]], 82))</f>
        <v>70.599999999999994</v>
      </c>
      <c r="Z453" s="4">
        <f>Games[[#This Row],[K]]*Games[[#This Row],[POMult]]</f>
        <v>77.66</v>
      </c>
      <c r="AA453" s="4">
        <f>(Games[[#This Row],[Keff]]*Games[[#This Row],[MOVMult]])*(Games[[#This Row],[Result]]-Games[[#This Row],[ExpectedWin%]])</f>
        <v>-19.180118301157787</v>
      </c>
      <c r="AB453" s="4">
        <f>Games[[#This Row],[PreGmRate]]+Games[[#This Row],[RatingChange]]</f>
        <v>1487.0966587178357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1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40074</v>
      </c>
      <c r="B454" s="2">
        <v>2009</v>
      </c>
      <c r="C454" s="2">
        <f>COUNTIFS(Games[Team],Games[[#This Row],[Team]],Games[Season],Games[[#This Row],[Season]],Games[Date],"&lt;=" &amp; Games[[#This Row],[Date]])</f>
        <v>36</v>
      </c>
      <c r="D454" s="2" t="s">
        <v>46</v>
      </c>
      <c r="E454" s="2">
        <v>1</v>
      </c>
      <c r="F454" s="1" t="s">
        <v>68</v>
      </c>
      <c r="G454" s="1" t="s">
        <v>79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1561.6586454458393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1546.3600043873039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0.4023995677753931</v>
      </c>
      <c r="R454" s="1">
        <v>74</v>
      </c>
      <c r="S454" s="1">
        <v>75</v>
      </c>
      <c r="T454" s="1">
        <v>0</v>
      </c>
      <c r="U454" s="1">
        <f>Games[[#This Row],[PointsFor]]-Games[[#This Row],[PointsAgainst]]</f>
        <v>-1</v>
      </c>
      <c r="V454" s="1">
        <f>IF(Games[[#This Row],[MOV]]&gt;0,1,IF(Games[[#This Row],[MOV]]=0,0.5,0))</f>
        <v>0</v>
      </c>
      <c r="W454" s="4">
        <f>((ABS(Games[[#This Row],[MOV]])+5)^0.6)/(12+0.01*(ABS(Games[[#This Row],[PreGmRate]]-Games[[#This Row],[OppPreGmRate]])))*IF(Games[[#This Row],[OT]]=1,0.9,1)</f>
        <v>0.24110584448867073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4" s="9">
        <f>MAX(kmin, kmax - 0.15 * MIN(Games[[#This Row],[GamesPlayed]], 82))</f>
        <v>70.599999999999994</v>
      </c>
      <c r="Z454" s="4">
        <f>Games[[#This Row],[K]]*Games[[#This Row],[POMult]]</f>
        <v>77.66</v>
      </c>
      <c r="AA454" s="4">
        <f>(Games[[#This Row],[Keff]]*Games[[#This Row],[MOVMult]])*(Games[[#This Row],[Result]]-Games[[#This Row],[ExpectedWin%]])</f>
        <v>-7.5346421318207311</v>
      </c>
      <c r="AB454" s="4">
        <f>Games[[#This Row],[PreGmRate]]+Games[[#This Row],[RatingChange]]</f>
        <v>1554.1240033140186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0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1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40074</v>
      </c>
      <c r="B455" s="2">
        <v>2009</v>
      </c>
      <c r="C455" s="2">
        <f>COUNTIFS(Games[Team],Games[[#This Row],[Team]],Games[Season],Games[[#This Row],[Season]],Games[Date],"&lt;=" &amp; Games[[#This Row],[Date]])</f>
        <v>36</v>
      </c>
      <c r="D455" s="2" t="s">
        <v>46</v>
      </c>
      <c r="E455" s="2">
        <v>1</v>
      </c>
      <c r="F455" s="1" t="s">
        <v>79</v>
      </c>
      <c r="G455" s="1" t="s">
        <v>68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1546.3600043873039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1561.6586454458393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0.59760043222460679</v>
      </c>
      <c r="R455" s="1">
        <v>75</v>
      </c>
      <c r="S455" s="1">
        <v>74</v>
      </c>
      <c r="T455" s="1">
        <v>0</v>
      </c>
      <c r="U455" s="1">
        <f>Games[[#This Row],[PointsFor]]-Games[[#This Row],[PointsAgainst]]</f>
        <v>1</v>
      </c>
      <c r="V455" s="1">
        <f>IF(Games[[#This Row],[MOV]]&gt;0,1,IF(Games[[#This Row],[MOV]]=0,0.5,0))</f>
        <v>1</v>
      </c>
      <c r="W455" s="4">
        <f>((ABS(Games[[#This Row],[MOV]])+5)^0.6)/(12+0.01*(ABS(Games[[#This Row],[PreGmRate]]-Games[[#This Row],[OppPreGmRate]])))*IF(Games[[#This Row],[OT]]=1,0.9,1)</f>
        <v>0.24110584448867073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5" s="9">
        <f>MAX(kmin, kmax - 0.15 * MIN(Games[[#This Row],[GamesPlayed]], 82))</f>
        <v>70.599999999999994</v>
      </c>
      <c r="Z455" s="4">
        <f>Games[[#This Row],[K]]*Games[[#This Row],[POMult]]</f>
        <v>77.66</v>
      </c>
      <c r="AA455" s="4">
        <f>(Games[[#This Row],[Keff]]*Games[[#This Row],[MOVMult]])*(Games[[#This Row],[Result]]-Games[[#This Row],[ExpectedWin%]])</f>
        <v>7.5346421318207337</v>
      </c>
      <c r="AB455" s="4">
        <f>Games[[#This Row],[PreGmRate]]+Games[[#This Row],[RatingChange]]</f>
        <v>1553.8946465191245</v>
      </c>
      <c r="AC455" s="2">
        <f>IF(Games[[#This Row],[Type]]="R",IF(Games[[#This Row],[Result]]&gt;0.5,1,0),0)</f>
        <v>0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1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40075</v>
      </c>
      <c r="B456" s="2">
        <v>2009</v>
      </c>
      <c r="C456" s="2">
        <f>COUNTIFS(Games[Team],Games[[#This Row],[Team]],Games[Season],Games[[#This Row],[Season]],Games[Date],"&lt;=" &amp; Games[[#This Row],[Date]])</f>
        <v>36</v>
      </c>
      <c r="D456" s="2" t="s">
        <v>46</v>
      </c>
      <c r="E456" s="2">
        <v>1</v>
      </c>
      <c r="F456" s="1" t="s">
        <v>71</v>
      </c>
      <c r="G456" s="1" t="s">
        <v>77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">
        <f>MAX(-16, MIN(16, Games[[#This Row],[RestDiff]]*8))</f>
        <v>0</v>
      </c>
      <c r="N456" s="1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1428.3060814311846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1565.7667091889364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0.21843158251400582</v>
      </c>
      <c r="R456" s="1">
        <v>74</v>
      </c>
      <c r="S456" s="1">
        <v>81</v>
      </c>
      <c r="T456" s="1">
        <v>1</v>
      </c>
      <c r="U456" s="1">
        <f>Games[[#This Row],[PointsFor]]-Games[[#This Row],[PointsAgainst]]</f>
        <v>-7</v>
      </c>
      <c r="V456" s="1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0.29886169206808555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6" s="9">
        <f>MAX(kmin, kmax - 0.15 * MIN(Games[[#This Row],[GamesPlayed]], 82))</f>
        <v>70.599999999999994</v>
      </c>
      <c r="Z456" s="4">
        <f>Games[[#This Row],[K]]*Games[[#This Row],[POMult]]</f>
        <v>77.66</v>
      </c>
      <c r="AA456" s="4">
        <f>(Games[[#This Row],[Keff]]*Games[[#This Row],[MOVMult]])*(Games[[#This Row],[Result]]-Games[[#This Row],[ExpectedWin%]])</f>
        <v>-5.0697094403977196</v>
      </c>
      <c r="AB456" s="4">
        <f>Games[[#This Row],[PreGmRate]]+Games[[#This Row],[RatingChange]]</f>
        <v>1423.2363719907869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1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40075</v>
      </c>
      <c r="B457" s="2">
        <v>2009</v>
      </c>
      <c r="C457" s="2">
        <f>COUNTIFS(Games[Team],Games[[#This Row],[Team]],Games[Season],Games[[#This Row],[Season]],Games[Date],"&lt;=" &amp; Games[[#This Row],[Date]])</f>
        <v>36</v>
      </c>
      <c r="D457" s="2" t="s">
        <v>46</v>
      </c>
      <c r="E457" s="2">
        <v>1</v>
      </c>
      <c r="F457" s="1" t="s">
        <v>77</v>
      </c>
      <c r="G457" s="1" t="s">
        <v>71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">
        <f>MAX(-16, MIN(16, Games[[#This Row],[RestDiff]]*8))</f>
        <v>0</v>
      </c>
      <c r="N457" s="1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1565.7667091889364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1428.3060814311846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0.78156841748599426</v>
      </c>
      <c r="R457" s="1">
        <v>81</v>
      </c>
      <c r="S457" s="1">
        <v>74</v>
      </c>
      <c r="T457" s="1">
        <v>1</v>
      </c>
      <c r="U457" s="1">
        <f>Games[[#This Row],[PointsFor]]-Games[[#This Row],[PointsAgainst]]</f>
        <v>7</v>
      </c>
      <c r="V457" s="1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0.29886169206808555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7" s="9">
        <f>MAX(kmin, kmax - 0.15 * MIN(Games[[#This Row],[GamesPlayed]], 82))</f>
        <v>70.599999999999994</v>
      </c>
      <c r="Z457" s="4">
        <f>Games[[#This Row],[K]]*Games[[#This Row],[POMult]]</f>
        <v>77.66</v>
      </c>
      <c r="AA457" s="4">
        <f>(Games[[#This Row],[Keff]]*Games[[#This Row],[MOVMult]])*(Games[[#This Row],[Result]]-Games[[#This Row],[ExpectedWin%]])</f>
        <v>5.0697094403977179</v>
      </c>
      <c r="AB457" s="4">
        <f>Games[[#This Row],[PreGmRate]]+Games[[#This Row],[RatingChange]]</f>
        <v>1570.836418629334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1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40075</v>
      </c>
      <c r="B458" s="2">
        <v>2009</v>
      </c>
      <c r="C458" s="2">
        <f>COUNTIFS(Games[Team],Games[[#This Row],[Team]],Games[Season],Games[[#This Row],[Season]],Games[Date],"&lt;=" &amp; Games[[#This Row],[Date]])</f>
        <v>36</v>
      </c>
      <c r="D458" s="2" t="s">
        <v>46</v>
      </c>
      <c r="E458" s="2">
        <v>1</v>
      </c>
      <c r="F458" s="1" t="s">
        <v>82</v>
      </c>
      <c r="G458" s="1" t="s">
        <v>44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">
        <f>MAX(-16, MIN(16, Games[[#This Row],[RestDiff]]*8))</f>
        <v>0</v>
      </c>
      <c r="N458" s="1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1497.550632753874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1605.8001176023515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0.24849091834139933</v>
      </c>
      <c r="R458" s="1">
        <v>78</v>
      </c>
      <c r="S458" s="1">
        <v>106</v>
      </c>
      <c r="T458" s="1">
        <v>0</v>
      </c>
      <c r="U458" s="1">
        <f>Games[[#This Row],[PointsFor]]-Games[[#This Row],[PointsAgainst]]</f>
        <v>-28</v>
      </c>
      <c r="V458" s="1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0.62289922642672857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8" s="9">
        <f>MAX(kmin, kmax - 0.15 * MIN(Games[[#This Row],[GamesPlayed]], 82))</f>
        <v>70.599999999999994</v>
      </c>
      <c r="Z458" s="4">
        <f>Games[[#This Row],[K]]*Games[[#This Row],[POMult]]</f>
        <v>77.66</v>
      </c>
      <c r="AA458" s="4">
        <f>(Games[[#This Row],[Keff]]*Games[[#This Row],[MOVMult]])*(Games[[#This Row],[Result]]-Games[[#This Row],[ExpectedWin%]])</f>
        <v>-12.020587630821117</v>
      </c>
      <c r="AB458" s="4">
        <f>Games[[#This Row],[PreGmRate]]+Games[[#This Row],[RatingChange]]</f>
        <v>1485.5300451230528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0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1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40075</v>
      </c>
      <c r="B459" s="2">
        <v>2009</v>
      </c>
      <c r="C459" s="2">
        <f>COUNTIFS(Games[Team],Games[[#This Row],[Team]],Games[Season],Games[[#This Row],[Season]],Games[Date],"&lt;=" &amp; Games[[#This Row],[Date]])</f>
        <v>36</v>
      </c>
      <c r="D459" s="2" t="s">
        <v>46</v>
      </c>
      <c r="E459" s="2">
        <v>1</v>
      </c>
      <c r="F459" s="1" t="s">
        <v>44</v>
      </c>
      <c r="G459" s="1" t="s">
        <v>82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">
        <f>MAX(-16, MIN(16, Games[[#This Row],[RestDiff]]*8))</f>
        <v>0</v>
      </c>
      <c r="N459" s="1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1605.8001176023515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1497.550632753874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0.75150908165860075</v>
      </c>
      <c r="R459" s="1">
        <v>106</v>
      </c>
      <c r="S459" s="1">
        <v>78</v>
      </c>
      <c r="T459" s="1">
        <v>0</v>
      </c>
      <c r="U459" s="1">
        <f>Games[[#This Row],[PointsFor]]-Games[[#This Row],[PointsAgainst]]</f>
        <v>28</v>
      </c>
      <c r="V459" s="1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0.62289922642672857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9" s="9">
        <f>MAX(kmin, kmax - 0.15 * MIN(Games[[#This Row],[GamesPlayed]], 82))</f>
        <v>70.599999999999994</v>
      </c>
      <c r="Z459" s="4">
        <f>Games[[#This Row],[K]]*Games[[#This Row],[POMult]]</f>
        <v>77.66</v>
      </c>
      <c r="AA459" s="4">
        <f>(Games[[#This Row],[Keff]]*Games[[#This Row],[MOVMult]])*(Games[[#This Row],[Result]]-Games[[#This Row],[ExpectedWin%]])</f>
        <v>12.020587630821113</v>
      </c>
      <c r="AB459" s="4">
        <f>Games[[#This Row],[PreGmRate]]+Games[[#This Row],[RatingChange]]</f>
        <v>1617.8207052331727</v>
      </c>
      <c r="AC459" s="2">
        <f>IF(Games[[#This Row],[Type]]="R",IF(Games[[#This Row],[Result]]&gt;0.5,1,0),0)</f>
        <v>0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1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40076</v>
      </c>
      <c r="B460" s="2">
        <v>2009</v>
      </c>
      <c r="C460" s="2">
        <f>COUNTIFS(Games[Team],Games[[#This Row],[Team]],Games[Season],Games[[#This Row],[Season]],Games[Date],"&lt;=" &amp; Games[[#This Row],[Date]])</f>
        <v>37</v>
      </c>
      <c r="D460" s="2" t="s">
        <v>46</v>
      </c>
      <c r="E460" s="2">
        <v>1</v>
      </c>
      <c r="F460" s="1" t="s">
        <v>68</v>
      </c>
      <c r="G460" s="1" t="s">
        <v>79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">
        <f>MAX(-16, MIN(16, Games[[#This Row],[RestDiff]]*8))</f>
        <v>0</v>
      </c>
      <c r="N460" s="1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1554.1240033140186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1553.8946465191245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0.38172743151703159</v>
      </c>
      <c r="R460" s="1">
        <v>75</v>
      </c>
      <c r="S460" s="1">
        <v>64</v>
      </c>
      <c r="T460" s="1">
        <v>0</v>
      </c>
      <c r="U460" s="1">
        <f>Games[[#This Row],[PointsFor]]-Games[[#This Row],[PointsAgainst]]</f>
        <v>11</v>
      </c>
      <c r="V460" s="1">
        <f>IF(Games[[#This Row],[MOV]]&gt;0,1,IF(Games[[#This Row],[MOV]]=0,0.5,0))</f>
        <v>1</v>
      </c>
      <c r="W460" s="4">
        <f>((ABS(Games[[#This Row],[MOV]])+5)^0.6)/(12+0.01*(ABS(Games[[#This Row],[PreGmRate]]-Games[[#This Row],[OppPreGmRate]])))*IF(Games[[#This Row],[OT]]=1,0.9,1)</f>
        <v>0.43975192018183018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0" s="9">
        <f>MAX(kmin, kmax - 0.15 * MIN(Games[[#This Row],[GamesPlayed]], 82))</f>
        <v>70.45</v>
      </c>
      <c r="Z460" s="4">
        <f>Games[[#This Row],[K]]*Games[[#This Row],[POMult]]</f>
        <v>77.495000000000005</v>
      </c>
      <c r="AA460" s="4">
        <f>(Games[[#This Row],[Keff]]*Games[[#This Row],[MOVMult]])*(Games[[#This Row],[Result]]-Games[[#This Row],[ExpectedWin%]])</f>
        <v>21.069848129179725</v>
      </c>
      <c r="AB460" s="4">
        <f>Games[[#This Row],[PreGmRate]]+Games[[#This Row],[RatingChange]]</f>
        <v>1575.1938514431984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0</v>
      </c>
      <c r="AE460" s="2">
        <f>IF(AND(Games[[#This Row],[Type]]="P",Games[[#This Row],[Round]]=1),IF(Games[[#This Row],[Result]]&gt;0.5,1,0),0)</f>
        <v>1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40076</v>
      </c>
      <c r="B461" s="2">
        <v>2009</v>
      </c>
      <c r="C461" s="2">
        <f>COUNTIFS(Games[Team],Games[[#This Row],[Team]],Games[Season],Games[[#This Row],[Season]],Games[Date],"&lt;=" &amp; Games[[#This Row],[Date]])</f>
        <v>37</v>
      </c>
      <c r="D461" s="2" t="s">
        <v>46</v>
      </c>
      <c r="E461" s="2">
        <v>1</v>
      </c>
      <c r="F461" s="1" t="s">
        <v>79</v>
      </c>
      <c r="G461" s="1" t="s">
        <v>68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">
        <f>MAX(-16, MIN(16, Games[[#This Row],[RestDiff]]*8))</f>
        <v>0</v>
      </c>
      <c r="N461" s="1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1553.8946465191245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1554.1240033140186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0.61827256848296852</v>
      </c>
      <c r="R461" s="1">
        <v>64</v>
      </c>
      <c r="S461" s="1">
        <v>75</v>
      </c>
      <c r="T461" s="1">
        <v>0</v>
      </c>
      <c r="U461" s="1">
        <f>Games[[#This Row],[PointsFor]]-Games[[#This Row],[PointsAgainst]]</f>
        <v>-11</v>
      </c>
      <c r="V461" s="1">
        <f>IF(Games[[#This Row],[MOV]]&gt;0,1,IF(Games[[#This Row],[MOV]]=0,0.5,0))</f>
        <v>0</v>
      </c>
      <c r="W461" s="4">
        <f>((ABS(Games[[#This Row],[MOV]])+5)^0.6)/(12+0.01*(ABS(Games[[#This Row],[PreGmRate]]-Games[[#This Row],[OppPreGmRate]])))*IF(Games[[#This Row],[OT]]=1,0.9,1)</f>
        <v>0.43975192018183018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1" s="9">
        <f>MAX(kmin, kmax - 0.15 * MIN(Games[[#This Row],[GamesPlayed]], 82))</f>
        <v>70.45</v>
      </c>
      <c r="Z461" s="4">
        <f>Games[[#This Row],[K]]*Games[[#This Row],[POMult]]</f>
        <v>77.495000000000005</v>
      </c>
      <c r="AA461" s="4">
        <f>(Games[[#This Row],[Keff]]*Games[[#This Row],[MOVMult]])*(Games[[#This Row],[Result]]-Games[[#This Row],[ExpectedWin%]])</f>
        <v>-21.069848129179729</v>
      </c>
      <c r="AB461" s="4">
        <f>Games[[#This Row],[PreGmRate]]+Games[[#This Row],[RatingChange]]</f>
        <v>1532.8247983899448</v>
      </c>
      <c r="AC461" s="2">
        <f>IF(Games[[#This Row],[Type]]="R",IF(Games[[#This Row],[Result]]&gt;0.5,1,0),0)</f>
        <v>0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1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40077</v>
      </c>
      <c r="B462" s="2">
        <v>2009</v>
      </c>
      <c r="C462" s="2">
        <f>COUNTIFS(Games[Team],Games[[#This Row],[Team]],Games[Season],Games[[#This Row],[Season]],Games[Date],"&lt;=" &amp; Games[[#This Row],[Date]])</f>
        <v>37</v>
      </c>
      <c r="D462" s="2" t="s">
        <v>46</v>
      </c>
      <c r="E462" s="2">
        <v>1</v>
      </c>
      <c r="F462" s="1" t="s">
        <v>82</v>
      </c>
      <c r="G462" s="1" t="s">
        <v>44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2" s="2">
        <f>Games[[#This Row],[DaysOff]]-Games[[#This Row],[OppDaysOff]]</f>
        <v>0</v>
      </c>
      <c r="L462" s="2">
        <f>Games[[#This Row],[OppDaysOff]]-Games[[#This Row],[DaysOff]]</f>
        <v>0</v>
      </c>
      <c r="M462" s="1">
        <f>MAX(-16, MIN(16, Games[[#This Row],[RestDiff]]*8))</f>
        <v>0</v>
      </c>
      <c r="N462" s="1">
        <f>MAX(-16, MIN(16, Games[[#This Row],[OppRestDiff]]*8))</f>
        <v>0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1485.5300451230528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1617.8207052331727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0.22355486397210231</v>
      </c>
      <c r="R462" s="1">
        <v>92</v>
      </c>
      <c r="S462" s="1">
        <v>100</v>
      </c>
      <c r="T462" s="1">
        <v>0</v>
      </c>
      <c r="U462" s="1">
        <f>Games[[#This Row],[PointsFor]]-Games[[#This Row],[PointsAgainst]]</f>
        <v>-8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0.34975749358258756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2" s="9">
        <f>MAX(kmin, kmax - 0.15 * MIN(Games[[#This Row],[GamesPlayed]], 82))</f>
        <v>70.45</v>
      </c>
      <c r="Z462" s="4">
        <f>Games[[#This Row],[K]]*Games[[#This Row],[POMult]]</f>
        <v>77.495000000000005</v>
      </c>
      <c r="AA462" s="4">
        <f>(Games[[#This Row],[Keff]]*Games[[#This Row],[MOVMult]])*(Games[[#This Row],[Result]]-Games[[#This Row],[ExpectedWin%]])</f>
        <v>-6.0593331898891023</v>
      </c>
      <c r="AB462" s="4">
        <f>Games[[#This Row],[PreGmRate]]+Games[[#This Row],[RatingChange]]</f>
        <v>1479.4707119331638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0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1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40077</v>
      </c>
      <c r="B463" s="2">
        <v>2009</v>
      </c>
      <c r="C463" s="2">
        <f>COUNTIFS(Games[Team],Games[[#This Row],[Team]],Games[Season],Games[[#This Row],[Season]],Games[Date],"&lt;=" &amp; Games[[#This Row],[Date]])</f>
        <v>37</v>
      </c>
      <c r="D463" s="2" t="s">
        <v>46</v>
      </c>
      <c r="E463" s="2">
        <v>1</v>
      </c>
      <c r="F463" s="1" t="s">
        <v>44</v>
      </c>
      <c r="G463" s="1" t="s">
        <v>82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0</v>
      </c>
      <c r="L463" s="2">
        <f>Games[[#This Row],[OppDaysOff]]-Games[[#This Row],[DaysOff]]</f>
        <v>0</v>
      </c>
      <c r="M463" s="1">
        <f>MAX(-16, MIN(16, Games[[#This Row],[RestDiff]]*8))</f>
        <v>0</v>
      </c>
      <c r="N463" s="1">
        <f>MAX(-16, MIN(16, Games[[#This Row],[OppRestDiff]]*8))</f>
        <v>0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1617.8207052331727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1485.5300451230528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0.77644513602789766</v>
      </c>
      <c r="R463" s="1">
        <v>100</v>
      </c>
      <c r="S463" s="1">
        <v>92</v>
      </c>
      <c r="T463" s="1">
        <v>0</v>
      </c>
      <c r="U463" s="1">
        <f>Games[[#This Row],[PointsFor]]-Games[[#This Row],[PointsAgainst]]</f>
        <v>8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0.34975749358258756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3" s="9">
        <f>MAX(kmin, kmax - 0.15 * MIN(Games[[#This Row],[GamesPlayed]], 82))</f>
        <v>70.45</v>
      </c>
      <c r="Z463" s="4">
        <f>Games[[#This Row],[K]]*Games[[#This Row],[POMult]]</f>
        <v>77.495000000000005</v>
      </c>
      <c r="AA463" s="4">
        <f>(Games[[#This Row],[Keff]]*Games[[#This Row],[MOVMult]])*(Games[[#This Row],[Result]]-Games[[#This Row],[ExpectedWin%]])</f>
        <v>6.0593331898891032</v>
      </c>
      <c r="AB463" s="4">
        <f>Games[[#This Row],[PreGmRate]]+Games[[#This Row],[RatingChange]]</f>
        <v>1623.8800384230617</v>
      </c>
      <c r="AC463" s="2">
        <f>IF(Games[[#This Row],[Type]]="R",IF(Games[[#This Row],[Result]]&gt;0.5,1,0),0)</f>
        <v>0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1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40079</v>
      </c>
      <c r="B464" s="2">
        <v>2009</v>
      </c>
      <c r="C464" s="2">
        <f>COUNTIFS(Games[Team],Games[[#This Row],[Team]],Games[Season],Games[[#This Row],[Season]],Games[Date],"&lt;=" &amp; Games[[#This Row],[Date]])</f>
        <v>37</v>
      </c>
      <c r="D464" s="2" t="s">
        <v>46</v>
      </c>
      <c r="E464" s="2">
        <v>2</v>
      </c>
      <c r="F464" s="1" t="s">
        <v>77</v>
      </c>
      <c r="G464" s="1" t="s">
        <v>73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64" s="2">
        <f>Games[[#This Row],[DaysOff]]-Games[[#This Row],[OppDaysOff]]</f>
        <v>-1</v>
      </c>
      <c r="L464" s="2">
        <f>Games[[#This Row],[OppDaysOff]]-Games[[#This Row],[DaysOff]]</f>
        <v>1</v>
      </c>
      <c r="M464" s="1">
        <f>MAX(-16, MIN(16, Games[[#This Row],[RestDiff]]*8))</f>
        <v>-8</v>
      </c>
      <c r="N464" s="1">
        <f>MAX(-16, MIN(16, Games[[#This Row],[OppRestDiff]]*8))</f>
        <v>8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1570.836418629334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1595.6371233272955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0.32774307438971084</v>
      </c>
      <c r="R464" s="1">
        <v>56</v>
      </c>
      <c r="S464" s="1">
        <v>72</v>
      </c>
      <c r="T464" s="1">
        <v>0</v>
      </c>
      <c r="U464" s="1">
        <f>Games[[#This Row],[PointsFor]]-Games[[#This Row],[PointsAgainst]]</f>
        <v>-16</v>
      </c>
      <c r="V464" s="1">
        <f>IF(Games[[#This Row],[MOV]]&gt;0,1,IF(Games[[#This Row],[MOV]]=0,0.5,0))</f>
        <v>0</v>
      </c>
      <c r="W464" s="4">
        <f>((ABS(Games[[#This Row],[MOV]])+5)^0.6)/(12+0.01*(ABS(Games[[#This Row],[PreGmRate]]-Games[[#This Row],[OppPreGmRate]])))*IF(Games[[#This Row],[OT]]=1,0.9,1)</f>
        <v>0.50730150329991763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4" s="9">
        <f>MAX(kmin, kmax - 0.15 * MIN(Games[[#This Row],[GamesPlayed]], 82))</f>
        <v>70.45</v>
      </c>
      <c r="Z464" s="4">
        <f>Games[[#This Row],[K]]*Games[[#This Row],[POMult]]</f>
        <v>84.54</v>
      </c>
      <c r="AA464" s="4">
        <f>(Games[[#This Row],[Keff]]*Games[[#This Row],[MOVMult]])*(Games[[#This Row],[Result]]-Games[[#This Row],[ExpectedWin%]])</f>
        <v>-14.056005423399492</v>
      </c>
      <c r="AB464" s="4">
        <f>Games[[#This Row],[PreGmRate]]+Games[[#This Row],[RatingChange]]</f>
        <v>1556.7804132059346</v>
      </c>
      <c r="AC464" s="2">
        <f>IF(Games[[#This Row],[Type]]="R",IF(Games[[#This Row],[Result]]&gt;0.5,1,0),0)</f>
        <v>0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1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40079</v>
      </c>
      <c r="B465" s="2">
        <v>2009</v>
      </c>
      <c r="C465" s="2">
        <f>COUNTIFS(Games[Team],Games[[#This Row],[Team]],Games[Season],Games[[#This Row],[Season]],Games[Date],"&lt;=" &amp; Games[[#This Row],[Date]])</f>
        <v>37</v>
      </c>
      <c r="D465" s="2" t="s">
        <v>46</v>
      </c>
      <c r="E465" s="2">
        <v>2</v>
      </c>
      <c r="F465" s="1" t="s">
        <v>73</v>
      </c>
      <c r="G465" s="1" t="s">
        <v>77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5" s="2">
        <f>Games[[#This Row],[DaysOff]]-Games[[#This Row],[OppDaysOff]]</f>
        <v>1</v>
      </c>
      <c r="L465" s="2">
        <f>Games[[#This Row],[OppDaysOff]]-Games[[#This Row],[DaysOff]]</f>
        <v>-1</v>
      </c>
      <c r="M465" s="1">
        <f>MAX(-16, MIN(16, Games[[#This Row],[RestDiff]]*8))</f>
        <v>8</v>
      </c>
      <c r="N465" s="1">
        <f>MAX(-16, MIN(16, Games[[#This Row],[OppRestDiff]]*8))</f>
        <v>-8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1595.6371233272955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1570.836418629334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0.67225692561028916</v>
      </c>
      <c r="R465" s="1">
        <v>72</v>
      </c>
      <c r="S465" s="1">
        <v>56</v>
      </c>
      <c r="T465" s="1">
        <v>0</v>
      </c>
      <c r="U465" s="1">
        <f>Games[[#This Row],[PointsFor]]-Games[[#This Row],[PointsAgainst]]</f>
        <v>16</v>
      </c>
      <c r="V465" s="1">
        <f>IF(Games[[#This Row],[MOV]]&gt;0,1,IF(Games[[#This Row],[MOV]]=0,0.5,0))</f>
        <v>1</v>
      </c>
      <c r="W465" s="4">
        <f>((ABS(Games[[#This Row],[MOV]])+5)^0.6)/(12+0.01*(ABS(Games[[#This Row],[PreGmRate]]-Games[[#This Row],[OppPreGmRate]])))*IF(Games[[#This Row],[OT]]=1,0.9,1)</f>
        <v>0.50730150329991763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5" s="9">
        <f>MAX(kmin, kmax - 0.15 * MIN(Games[[#This Row],[GamesPlayed]], 82))</f>
        <v>70.45</v>
      </c>
      <c r="Z465" s="4">
        <f>Games[[#This Row],[K]]*Games[[#This Row],[POMult]]</f>
        <v>84.54</v>
      </c>
      <c r="AA465" s="4">
        <f>(Games[[#This Row],[Keff]]*Games[[#This Row],[MOVMult]])*(Games[[#This Row],[Result]]-Games[[#This Row],[ExpectedWin%]])</f>
        <v>14.056005423399492</v>
      </c>
      <c r="AB465" s="4">
        <f>Games[[#This Row],[PreGmRate]]+Games[[#This Row],[RatingChange]]</f>
        <v>1609.693128750695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0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1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40079</v>
      </c>
      <c r="B466" s="2">
        <v>2009</v>
      </c>
      <c r="C466" s="2">
        <f>COUNTIFS(Games[Team],Games[[#This Row],[Team]],Games[Season],Games[[#This Row],[Season]],Games[Date],"&lt;=" &amp; Games[[#This Row],[Date]])</f>
        <v>38</v>
      </c>
      <c r="D466" s="2" t="s">
        <v>46</v>
      </c>
      <c r="E466" s="2">
        <v>2</v>
      </c>
      <c r="F466" s="1" t="s">
        <v>44</v>
      </c>
      <c r="G466" s="1" t="s">
        <v>68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6" s="2">
        <f>Games[[#This Row],[DaysOff]]-Games[[#This Row],[OppDaysOff]]</f>
        <v>-1</v>
      </c>
      <c r="L466" s="2">
        <f>Games[[#This Row],[OppDaysOff]]-Games[[#This Row],[DaysOff]]</f>
        <v>1</v>
      </c>
      <c r="M466" s="1">
        <f>MAX(-16, MIN(16, Games[[#This Row],[RestDiff]]*8))</f>
        <v>-8</v>
      </c>
      <c r="N466" s="1">
        <f>MAX(-16, MIN(16, Games[[#This Row],[OppRestDiff]]*8))</f>
        <v>8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1623.8800384230617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1575.1938514431984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0.42668578659143613</v>
      </c>
      <c r="R466" s="1">
        <v>103</v>
      </c>
      <c r="S466" s="1">
        <v>94</v>
      </c>
      <c r="T466" s="1">
        <v>0</v>
      </c>
      <c r="U466" s="1">
        <f>Games[[#This Row],[PointsFor]]-Games[[#This Row],[PointsAgainst]]</f>
        <v>9</v>
      </c>
      <c r="V466" s="1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0.39014272573557951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6" s="9">
        <f>MAX(kmin, kmax - 0.15 * MIN(Games[[#This Row],[GamesPlayed]], 82))</f>
        <v>70.3</v>
      </c>
      <c r="Z466" s="4">
        <f>Games[[#This Row],[K]]*Games[[#This Row],[POMult]]</f>
        <v>84.36</v>
      </c>
      <c r="AA466" s="4">
        <f>(Games[[#This Row],[Keff]]*Games[[#This Row],[MOVMult]])*(Games[[#This Row],[Result]]-Games[[#This Row],[ExpectedWin%]])</f>
        <v>18.869169846633994</v>
      </c>
      <c r="AB466" s="4">
        <f>Games[[#This Row],[PreGmRate]]+Games[[#This Row],[RatingChange]]</f>
        <v>1642.7492082696956</v>
      </c>
      <c r="AC466" s="2">
        <f>IF(Games[[#This Row],[Type]]="R",IF(Games[[#This Row],[Result]]&gt;0.5,1,0),0)</f>
        <v>0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1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40079</v>
      </c>
      <c r="B467" s="2">
        <v>2009</v>
      </c>
      <c r="C467" s="2">
        <f>COUNTIFS(Games[Team],Games[[#This Row],[Team]],Games[Season],Games[[#This Row],[Season]],Games[Date],"&lt;=" &amp; Games[[#This Row],[Date]])</f>
        <v>38</v>
      </c>
      <c r="D467" s="2" t="s">
        <v>46</v>
      </c>
      <c r="E467" s="2">
        <v>2</v>
      </c>
      <c r="F467" s="1" t="s">
        <v>68</v>
      </c>
      <c r="G467" s="1" t="s">
        <v>44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1</v>
      </c>
      <c r="L467" s="2">
        <f>Games[[#This Row],[OppDaysOff]]-Games[[#This Row],[DaysOff]]</f>
        <v>-1</v>
      </c>
      <c r="M467" s="1">
        <f>MAX(-16, MIN(16, Games[[#This Row],[RestDiff]]*8))</f>
        <v>8</v>
      </c>
      <c r="N467" s="1">
        <f>MAX(-16, MIN(16, Games[[#This Row],[OppRestDiff]]*8))</f>
        <v>-8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1575.1938514431984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1623.8800384230617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0.57331421340856392</v>
      </c>
      <c r="R467" s="1">
        <v>94</v>
      </c>
      <c r="S467" s="1">
        <v>103</v>
      </c>
      <c r="T467" s="1">
        <v>0</v>
      </c>
      <c r="U467" s="1">
        <f>Games[[#This Row],[PointsFor]]-Games[[#This Row],[PointsAgainst]]</f>
        <v>-9</v>
      </c>
      <c r="V467" s="1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0.39014272573557951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7" s="9">
        <f>MAX(kmin, kmax - 0.15 * MIN(Games[[#This Row],[GamesPlayed]], 82))</f>
        <v>70.3</v>
      </c>
      <c r="Z467" s="4">
        <f>Games[[#This Row],[K]]*Games[[#This Row],[POMult]]</f>
        <v>84.36</v>
      </c>
      <c r="AA467" s="4">
        <f>(Games[[#This Row],[Keff]]*Games[[#This Row],[MOVMult]])*(Games[[#This Row],[Result]]-Games[[#This Row],[ExpectedWin%]])</f>
        <v>-18.869169846633998</v>
      </c>
      <c r="AB467" s="4">
        <f>Games[[#This Row],[PreGmRate]]+Games[[#This Row],[RatingChange]]</f>
        <v>1556.3246815965645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0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1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40081</v>
      </c>
      <c r="B468" s="2">
        <v>2009</v>
      </c>
      <c r="C468" s="2">
        <f>COUNTIFS(Games[Team],Games[[#This Row],[Team]],Games[Season],Games[[#This Row],[Season]],Games[Date],"&lt;=" &amp; Games[[#This Row],[Date]])</f>
        <v>38</v>
      </c>
      <c r="D468" s="2" t="s">
        <v>46</v>
      </c>
      <c r="E468" s="2">
        <v>2</v>
      </c>
      <c r="F468" s="1" t="s">
        <v>73</v>
      </c>
      <c r="G468" s="1" t="s">
        <v>77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8" s="2">
        <f>Games[[#This Row],[DaysOff]]-Games[[#This Row],[OppDaysOff]]</f>
        <v>0</v>
      </c>
      <c r="L468" s="2">
        <f>Games[[#This Row],[OppDaysOff]]-Games[[#This Row],[DaysOff]]</f>
        <v>0</v>
      </c>
      <c r="M468" s="1">
        <f>MAX(-16, MIN(16, Games[[#This Row],[RestDiff]]*8))</f>
        <v>0</v>
      </c>
      <c r="N468" s="1">
        <f>MAX(-16, MIN(16, Games[[#This Row],[OppRestDiff]]*8))</f>
        <v>0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1609.693128750695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1556.7804132059346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0.45538081201049152</v>
      </c>
      <c r="R468" s="1">
        <v>75</v>
      </c>
      <c r="S468" s="1">
        <v>79</v>
      </c>
      <c r="T468" s="1">
        <v>0</v>
      </c>
      <c r="U468" s="1">
        <f>Games[[#This Row],[PointsFor]]-Games[[#This Row],[PointsAgainst]]</f>
        <v>-4</v>
      </c>
      <c r="V468" s="1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0.29828038078627361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8" s="9">
        <f>MAX(kmin, kmax - 0.15 * MIN(Games[[#This Row],[GamesPlayed]], 82))</f>
        <v>70.3</v>
      </c>
      <c r="Z468" s="4">
        <f>Games[[#This Row],[K]]*Games[[#This Row],[POMult]]</f>
        <v>84.36</v>
      </c>
      <c r="AA468" s="4">
        <f>(Games[[#This Row],[Keff]]*Games[[#This Row],[MOVMult]])*(Games[[#This Row],[Result]]-Games[[#This Row],[ExpectedWin%]])</f>
        <v>-11.45871682710049</v>
      </c>
      <c r="AB468" s="4">
        <f>Games[[#This Row],[PreGmRate]]+Games[[#This Row],[RatingChange]]</f>
        <v>1598.2344119235945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1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40081</v>
      </c>
      <c r="B469" s="2">
        <v>2009</v>
      </c>
      <c r="C469" s="2">
        <f>COUNTIFS(Games[Team],Games[[#This Row],[Team]],Games[Season],Games[[#This Row],[Season]],Games[Date],"&lt;=" &amp; Games[[#This Row],[Date]])</f>
        <v>38</v>
      </c>
      <c r="D469" s="2" t="s">
        <v>46</v>
      </c>
      <c r="E469" s="2">
        <v>2</v>
      </c>
      <c r="F469" s="1" t="s">
        <v>77</v>
      </c>
      <c r="G469" s="1" t="s">
        <v>73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0</v>
      </c>
      <c r="L469" s="2">
        <f>Games[[#This Row],[OppDaysOff]]-Games[[#This Row],[DaysOff]]</f>
        <v>0</v>
      </c>
      <c r="M469" s="1">
        <f>MAX(-16, MIN(16, Games[[#This Row],[RestDiff]]*8))</f>
        <v>0</v>
      </c>
      <c r="N469" s="1">
        <f>MAX(-16, MIN(16, Games[[#This Row],[OppRestDiff]]*8))</f>
        <v>0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1556.7804132059346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1609.693128750695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0.54461918798950837</v>
      </c>
      <c r="R469" s="1">
        <v>79</v>
      </c>
      <c r="S469" s="1">
        <v>75</v>
      </c>
      <c r="T469" s="1">
        <v>0</v>
      </c>
      <c r="U469" s="1">
        <f>Games[[#This Row],[PointsFor]]-Games[[#This Row],[PointsAgainst]]</f>
        <v>4</v>
      </c>
      <c r="V469" s="1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0.29828038078627361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9" s="9">
        <f>MAX(kmin, kmax - 0.15 * MIN(Games[[#This Row],[GamesPlayed]], 82))</f>
        <v>70.3</v>
      </c>
      <c r="Z469" s="4">
        <f>Games[[#This Row],[K]]*Games[[#This Row],[POMult]]</f>
        <v>84.36</v>
      </c>
      <c r="AA469" s="4">
        <f>(Games[[#This Row],[Keff]]*Games[[#This Row],[MOVMult]])*(Games[[#This Row],[Result]]-Games[[#This Row],[ExpectedWin%]])</f>
        <v>11.458716827100492</v>
      </c>
      <c r="AB469" s="4">
        <f>Games[[#This Row],[PreGmRate]]+Games[[#This Row],[RatingChange]]</f>
        <v>1568.2391300330351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1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40081</v>
      </c>
      <c r="B470" s="2">
        <v>2009</v>
      </c>
      <c r="C470" s="2">
        <f>COUNTIFS(Games[Team],Games[[#This Row],[Team]],Games[Season],Games[[#This Row],[Season]],Games[Date],"&lt;=" &amp; Games[[#This Row],[Date]])</f>
        <v>39</v>
      </c>
      <c r="D470" s="2" t="s">
        <v>46</v>
      </c>
      <c r="E470" s="2">
        <v>2</v>
      </c>
      <c r="F470" s="1" t="s">
        <v>68</v>
      </c>
      <c r="G470" s="1" t="s">
        <v>44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0</v>
      </c>
      <c r="L470" s="2">
        <f>Games[[#This Row],[OppDaysOff]]-Games[[#This Row],[DaysOff]]</f>
        <v>0</v>
      </c>
      <c r="M470" s="1">
        <f>MAX(-16, MIN(16, Games[[#This Row],[RestDiff]]*8))</f>
        <v>0</v>
      </c>
      <c r="N470" s="1">
        <f>MAX(-16, MIN(16, Games[[#This Row],[OppRestDiff]]*8))</f>
        <v>0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1556.3246815965645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1642.7492082696956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0.27268499044872335</v>
      </c>
      <c r="R470" s="1">
        <v>87</v>
      </c>
      <c r="S470" s="1">
        <v>76</v>
      </c>
      <c r="T470" s="1">
        <v>0</v>
      </c>
      <c r="U470" s="1">
        <f>Games[[#This Row],[PointsFor]]-Games[[#This Row],[PointsAgainst]]</f>
        <v>11</v>
      </c>
      <c r="V470" s="1">
        <f>IF(Games[[#This Row],[MOV]]&gt;0,1,IF(Games[[#This Row],[MOV]]=0,0.5,0))</f>
        <v>1</v>
      </c>
      <c r="W470" s="4">
        <f>((ABS(Games[[#This Row],[MOV]])+5)^0.6)/(12+0.01*(ABS(Games[[#This Row],[PreGmRate]]-Games[[#This Row],[OppPreGmRate]])))*IF(Games[[#This Row],[OT]]=1,0.9,1)</f>
        <v>0.41028692578967574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0" s="9">
        <f>MAX(kmin, kmax - 0.15 * MIN(Games[[#This Row],[GamesPlayed]], 82))</f>
        <v>70.150000000000006</v>
      </c>
      <c r="Z470" s="4">
        <f>Games[[#This Row],[K]]*Games[[#This Row],[POMult]]</f>
        <v>84.18</v>
      </c>
      <c r="AA470" s="4">
        <f>(Games[[#This Row],[Keff]]*Games[[#This Row],[MOVMult]])*(Games[[#This Row],[Result]]-Games[[#This Row],[ExpectedWin%]])</f>
        <v>25.11997191643939</v>
      </c>
      <c r="AB470" s="4">
        <f>Games[[#This Row],[PreGmRate]]+Games[[#This Row],[RatingChange]]</f>
        <v>1581.4446535130039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1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40081</v>
      </c>
      <c r="B471" s="2">
        <v>2009</v>
      </c>
      <c r="C471" s="2">
        <f>COUNTIFS(Games[Team],Games[[#This Row],[Team]],Games[Season],Games[[#This Row],[Season]],Games[Date],"&lt;=" &amp; Games[[#This Row],[Date]])</f>
        <v>39</v>
      </c>
      <c r="D471" s="2" t="s">
        <v>46</v>
      </c>
      <c r="E471" s="2">
        <v>2</v>
      </c>
      <c r="F471" s="1" t="s">
        <v>44</v>
      </c>
      <c r="G471" s="1" t="s">
        <v>68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0</v>
      </c>
      <c r="L471" s="2">
        <f>Games[[#This Row],[OppDaysOff]]-Games[[#This Row],[DaysOff]]</f>
        <v>0</v>
      </c>
      <c r="M471" s="1">
        <f>MAX(-16, MIN(16, Games[[#This Row],[RestDiff]]*8))</f>
        <v>0</v>
      </c>
      <c r="N471" s="1">
        <f>MAX(-16, MIN(16, Games[[#This Row],[OppRestDiff]]*8))</f>
        <v>0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1642.7492082696956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1556.3246815965645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0.7273150095512767</v>
      </c>
      <c r="R471" s="1">
        <v>76</v>
      </c>
      <c r="S471" s="1">
        <v>87</v>
      </c>
      <c r="T471" s="1">
        <v>0</v>
      </c>
      <c r="U471" s="1">
        <f>Games[[#This Row],[PointsFor]]-Games[[#This Row],[PointsAgainst]]</f>
        <v>-11</v>
      </c>
      <c r="V471" s="1">
        <f>IF(Games[[#This Row],[MOV]]&gt;0,1,IF(Games[[#This Row],[MOV]]=0,0.5,0))</f>
        <v>0</v>
      </c>
      <c r="W471" s="4">
        <f>((ABS(Games[[#This Row],[MOV]])+5)^0.6)/(12+0.01*(ABS(Games[[#This Row],[PreGmRate]]-Games[[#This Row],[OppPreGmRate]])))*IF(Games[[#This Row],[OT]]=1,0.9,1)</f>
        <v>0.41028692578967574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1" s="9">
        <f>MAX(kmin, kmax - 0.15 * MIN(Games[[#This Row],[GamesPlayed]], 82))</f>
        <v>70.150000000000006</v>
      </c>
      <c r="Z471" s="4">
        <f>Games[[#This Row],[K]]*Games[[#This Row],[POMult]]</f>
        <v>84.18</v>
      </c>
      <c r="AA471" s="4">
        <f>(Games[[#This Row],[Keff]]*Games[[#This Row],[MOVMult]])*(Games[[#This Row],[Result]]-Games[[#This Row],[ExpectedWin%]])</f>
        <v>-25.119971916439393</v>
      </c>
      <c r="AB471" s="4">
        <f>Games[[#This Row],[PreGmRate]]+Games[[#This Row],[RatingChange]]</f>
        <v>1617.6292363532561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1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40082</v>
      </c>
      <c r="B472" s="2">
        <v>2009</v>
      </c>
      <c r="C472" s="2">
        <f>COUNTIFS(Games[Team],Games[[#This Row],[Team]],Games[Season],Games[[#This Row],[Season]],Games[Date],"&lt;=" &amp; Games[[#This Row],[Date]])</f>
        <v>39</v>
      </c>
      <c r="D472" s="2" t="s">
        <v>46</v>
      </c>
      <c r="E472" s="2">
        <v>2</v>
      </c>
      <c r="F472" s="1" t="s">
        <v>73</v>
      </c>
      <c r="G472" s="1" t="s">
        <v>77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">
        <f>MAX(-16, MIN(16, Games[[#This Row],[RestDiff]]*8))</f>
        <v>0</v>
      </c>
      <c r="N472" s="1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1598.2344119235945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1568.2391300330351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0.42290089569967337</v>
      </c>
      <c r="R472" s="1">
        <v>67</v>
      </c>
      <c r="S472" s="1">
        <v>72</v>
      </c>
      <c r="T472" s="1">
        <v>0</v>
      </c>
      <c r="U472" s="1">
        <f>Games[[#This Row],[PointsFor]]-Games[[#This Row],[PointsAgainst]]</f>
        <v>-5</v>
      </c>
      <c r="V472" s="1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0.3236656078400465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2" s="9">
        <f>MAX(kmin, kmax - 0.15 * MIN(Games[[#This Row],[GamesPlayed]], 82))</f>
        <v>70.150000000000006</v>
      </c>
      <c r="Z472" s="4">
        <f>Games[[#This Row],[K]]*Games[[#This Row],[POMult]]</f>
        <v>84.18</v>
      </c>
      <c r="AA472" s="4">
        <f>(Games[[#This Row],[Keff]]*Games[[#This Row],[MOVMult]])*(Games[[#This Row],[Result]]-Games[[#This Row],[ExpectedWin%]])</f>
        <v>-11.522430064453024</v>
      </c>
      <c r="AB472" s="4">
        <f>Games[[#This Row],[PreGmRate]]+Games[[#This Row],[RatingChange]]</f>
        <v>1586.7119818591416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0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1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40082</v>
      </c>
      <c r="B473" s="2">
        <v>2009</v>
      </c>
      <c r="C473" s="2">
        <f>COUNTIFS(Games[Team],Games[[#This Row],[Team]],Games[Season],Games[[#This Row],[Season]],Games[Date],"&lt;=" &amp; Games[[#This Row],[Date]])</f>
        <v>39</v>
      </c>
      <c r="D473" s="2" t="s">
        <v>46</v>
      </c>
      <c r="E473" s="2">
        <v>2</v>
      </c>
      <c r="F473" s="1" t="s">
        <v>77</v>
      </c>
      <c r="G473" s="1" t="s">
        <v>73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">
        <f>MAX(-16, MIN(16, Games[[#This Row],[RestDiff]]*8))</f>
        <v>0</v>
      </c>
      <c r="N473" s="1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1568.2391300330351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1598.2344119235945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0.57709910430032663</v>
      </c>
      <c r="R473" s="1">
        <v>72</v>
      </c>
      <c r="S473" s="1">
        <v>67</v>
      </c>
      <c r="T473" s="1">
        <v>0</v>
      </c>
      <c r="U473" s="1">
        <f>Games[[#This Row],[PointsFor]]-Games[[#This Row],[PointsAgainst]]</f>
        <v>5</v>
      </c>
      <c r="V473" s="1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0.3236656078400465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3" s="9">
        <f>MAX(kmin, kmax - 0.15 * MIN(Games[[#This Row],[GamesPlayed]], 82))</f>
        <v>70.150000000000006</v>
      </c>
      <c r="Z473" s="4">
        <f>Games[[#This Row],[K]]*Games[[#This Row],[POMult]]</f>
        <v>84.18</v>
      </c>
      <c r="AA473" s="4">
        <f>(Games[[#This Row],[Keff]]*Games[[#This Row],[MOVMult]])*(Games[[#This Row],[Result]]-Games[[#This Row],[ExpectedWin%]])</f>
        <v>11.522430064453024</v>
      </c>
      <c r="AB473" s="4">
        <f>Games[[#This Row],[PreGmRate]]+Games[[#This Row],[RatingChange]]</f>
        <v>1579.761560097488</v>
      </c>
      <c r="AC473" s="2">
        <f>IF(Games[[#This Row],[Type]]="R",IF(Games[[#This Row],[Result]]&gt;0.5,1,0),0)</f>
        <v>0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1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40082</v>
      </c>
      <c r="B474" s="2">
        <v>2009</v>
      </c>
      <c r="C474" s="2">
        <f>COUNTIFS(Games[Team],Games[[#This Row],[Team]],Games[Season],Games[[#This Row],[Season]],Games[Date],"&lt;=" &amp; Games[[#This Row],[Date]])</f>
        <v>40</v>
      </c>
      <c r="D474" s="2" t="s">
        <v>46</v>
      </c>
      <c r="E474" s="2">
        <v>2</v>
      </c>
      <c r="F474" s="1" t="s">
        <v>68</v>
      </c>
      <c r="G474" s="1" t="s">
        <v>44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">
        <f>MAX(-16, MIN(16, Games[[#This Row],[RestDiff]]*8))</f>
        <v>0</v>
      </c>
      <c r="N474" s="1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1581.4446535130039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1617.6292363532561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0.333624309760785</v>
      </c>
      <c r="R474" s="1">
        <v>74</v>
      </c>
      <c r="S474" s="1">
        <v>85</v>
      </c>
      <c r="T474" s="1">
        <v>0</v>
      </c>
      <c r="U474" s="1">
        <f>Games[[#This Row],[PointsFor]]-Games[[#This Row],[PointsAgainst]]</f>
        <v>-11</v>
      </c>
      <c r="V474" s="1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0.42696145190265961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4" s="9">
        <f>MAX(kmin, kmax - 0.15 * MIN(Games[[#This Row],[GamesPlayed]], 82))</f>
        <v>70</v>
      </c>
      <c r="Z474" s="4">
        <f>Games[[#This Row],[K]]*Games[[#This Row],[POMult]]</f>
        <v>84</v>
      </c>
      <c r="AA474" s="4">
        <f>(Games[[#This Row],[Keff]]*Games[[#This Row],[MOVMult]])*(Games[[#This Row],[Result]]-Games[[#This Row],[ExpectedWin%]])</f>
        <v>-11.965356453580942</v>
      </c>
      <c r="AB474" s="4">
        <f>Games[[#This Row],[PreGmRate]]+Games[[#This Row],[RatingChange]]</f>
        <v>1569.4792970594231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1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40082</v>
      </c>
      <c r="B475" s="2">
        <v>2009</v>
      </c>
      <c r="C475" s="2">
        <f>COUNTIFS(Games[Team],Games[[#This Row],[Team]],Games[Season],Games[[#This Row],[Season]],Games[Date],"&lt;=" &amp; Games[[#This Row],[Date]])</f>
        <v>40</v>
      </c>
      <c r="D475" s="2" t="s">
        <v>46</v>
      </c>
      <c r="E475" s="2">
        <v>2</v>
      </c>
      <c r="F475" s="1" t="s">
        <v>44</v>
      </c>
      <c r="G475" s="1" t="s">
        <v>68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">
        <f>MAX(-16, MIN(16, Games[[#This Row],[RestDiff]]*8))</f>
        <v>0</v>
      </c>
      <c r="N475" s="1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1617.6292363532561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1581.4446535130039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0.66637569023921506</v>
      </c>
      <c r="R475" s="1">
        <v>85</v>
      </c>
      <c r="S475" s="1">
        <v>74</v>
      </c>
      <c r="T475" s="1">
        <v>0</v>
      </c>
      <c r="U475" s="1">
        <f>Games[[#This Row],[PointsFor]]-Games[[#This Row],[PointsAgainst]]</f>
        <v>11</v>
      </c>
      <c r="V475" s="1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0.42696145190265961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5" s="9">
        <f>MAX(kmin, kmax - 0.15 * MIN(Games[[#This Row],[GamesPlayed]], 82))</f>
        <v>70</v>
      </c>
      <c r="Z475" s="4">
        <f>Games[[#This Row],[K]]*Games[[#This Row],[POMult]]</f>
        <v>84</v>
      </c>
      <c r="AA475" s="4">
        <f>(Games[[#This Row],[Keff]]*Games[[#This Row],[MOVMult]])*(Games[[#This Row],[Result]]-Games[[#This Row],[ExpectedWin%]])</f>
        <v>11.96535645358094</v>
      </c>
      <c r="AB475" s="4">
        <f>Games[[#This Row],[PreGmRate]]+Games[[#This Row],[RatingChange]]</f>
        <v>1629.594592806837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1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40085</v>
      </c>
      <c r="B476" s="2">
        <v>2009</v>
      </c>
      <c r="C476" s="2">
        <f>COUNTIFS(Games[Team],Games[[#This Row],[Team]],Games[Season],Games[[#This Row],[Season]],Games[Date],"&lt;=" &amp; Games[[#This Row],[Date]])</f>
        <v>40</v>
      </c>
      <c r="D476" s="2" t="s">
        <v>46</v>
      </c>
      <c r="E476" s="2">
        <v>3</v>
      </c>
      <c r="F476" s="1" t="s">
        <v>77</v>
      </c>
      <c r="G476" s="1" t="s">
        <v>44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">
        <f>MAX(-16, MIN(16, Games[[#This Row],[RestDiff]]*8))</f>
        <v>0</v>
      </c>
      <c r="N476" s="1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1579.761560097488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1629.594592806837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0.31639153230582212</v>
      </c>
      <c r="R476" s="1">
        <v>116</v>
      </c>
      <c r="S476" s="1">
        <v>120</v>
      </c>
      <c r="T476" s="1">
        <v>1</v>
      </c>
      <c r="U476" s="1">
        <f>Games[[#This Row],[PointsFor]]-Games[[#This Row],[PointsAgainst]]</f>
        <v>-4</v>
      </c>
      <c r="V476" s="1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0.26911382952254542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6" s="9">
        <f>MAX(kmin, kmax - 0.15 * MIN(Games[[#This Row],[GamesPlayed]], 82))</f>
        <v>70</v>
      </c>
      <c r="Z476" s="4">
        <f>Games[[#This Row],[K]]*Games[[#This Row],[POMult]]</f>
        <v>94.5</v>
      </c>
      <c r="AA476" s="4">
        <f>(Games[[#This Row],[Keff]]*Games[[#This Row],[MOVMult]])*(Games[[#This Row],[Result]]-Games[[#This Row],[ExpectedWin%]])</f>
        <v>-8.0462343358523007</v>
      </c>
      <c r="AB476" s="4">
        <f>Games[[#This Row],[PreGmRate]]+Games[[#This Row],[RatingChange]]</f>
        <v>1571.7153257616358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0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1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40085</v>
      </c>
      <c r="B477" s="2">
        <v>2009</v>
      </c>
      <c r="C477" s="2">
        <f>COUNTIFS(Games[Team],Games[[#This Row],[Team]],Games[Season],Games[[#This Row],[Season]],Games[Date],"&lt;=" &amp; Games[[#This Row],[Date]])</f>
        <v>41</v>
      </c>
      <c r="D477" s="2" t="s">
        <v>46</v>
      </c>
      <c r="E477" s="2">
        <v>3</v>
      </c>
      <c r="F477" s="1" t="s">
        <v>44</v>
      </c>
      <c r="G477" s="1" t="s">
        <v>77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">
        <f>MAX(-16, MIN(16, Games[[#This Row],[RestDiff]]*8))</f>
        <v>0</v>
      </c>
      <c r="N477" s="1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1629.594592806837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1579.761560097488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0.68360846769417782</v>
      </c>
      <c r="R477" s="1">
        <v>120</v>
      </c>
      <c r="S477" s="1">
        <v>116</v>
      </c>
      <c r="T477" s="1">
        <v>1</v>
      </c>
      <c r="U477" s="1">
        <f>Games[[#This Row],[PointsFor]]-Games[[#This Row],[PointsAgainst]]</f>
        <v>4</v>
      </c>
      <c r="V477" s="1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0.26911382952254542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7" s="9">
        <f>MAX(kmin, kmax - 0.15 * MIN(Games[[#This Row],[GamesPlayed]], 82))</f>
        <v>69.849999999999994</v>
      </c>
      <c r="Z477" s="4">
        <f>Games[[#This Row],[K]]*Games[[#This Row],[POMult]]</f>
        <v>94.297499999999999</v>
      </c>
      <c r="AA477" s="4">
        <f>(Games[[#This Row],[Keff]]*Games[[#This Row],[MOVMult]])*(Games[[#This Row],[Result]]-Games[[#This Row],[ExpectedWin%]])</f>
        <v>8.0289924051326178</v>
      </c>
      <c r="AB477" s="4">
        <f>Games[[#This Row],[PreGmRate]]+Games[[#This Row],[RatingChange]]</f>
        <v>1637.6235852119696</v>
      </c>
      <c r="AC477" s="2">
        <f>IF(Games[[#This Row],[Type]]="R",IF(Games[[#This Row],[Result]]&gt;0.5,1,0),0)</f>
        <v>0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1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40087</v>
      </c>
      <c r="B478" s="2">
        <v>2009</v>
      </c>
      <c r="C478" s="2">
        <f>COUNTIFS(Games[Team],Games[[#This Row],[Team]],Games[Season],Games[[#This Row],[Season]],Games[Date],"&lt;=" &amp; Games[[#This Row],[Date]])</f>
        <v>41</v>
      </c>
      <c r="D478" s="2" t="s">
        <v>46</v>
      </c>
      <c r="E478" s="2">
        <v>3</v>
      </c>
      <c r="F478" s="1" t="s">
        <v>77</v>
      </c>
      <c r="G478" s="1" t="s">
        <v>44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6">
        <f>MAX(-16, MIN(16, Games[[#This Row],[RestDiff]]*8))</f>
        <v>0</v>
      </c>
      <c r="N478" s="16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1571.7153257616358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1637.6235852119696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0.29672518848200857</v>
      </c>
      <c r="R478" s="1">
        <v>93</v>
      </c>
      <c r="S478" s="1">
        <v>84</v>
      </c>
      <c r="T478" s="1">
        <v>0</v>
      </c>
      <c r="U478" s="16">
        <f>Games[[#This Row],[PointsFor]]-Games[[#This Row],[PointsAgainst]]</f>
        <v>9</v>
      </c>
      <c r="V478" s="16">
        <f>IF(Games[[#This Row],[MOV]]&gt;0,1,IF(Games[[#This Row],[MOV]]=0,0.5,0))</f>
        <v>1</v>
      </c>
      <c r="W478" s="4">
        <f>((ABS(Games[[#This Row],[MOV]])+5)^0.6)/(12+0.01*(ABS(Games[[#This Row],[PreGmRate]]-Games[[#This Row],[OppPreGmRate]])))*IF(Games[[#This Row],[OT]]=1,0.9,1)</f>
        <v>0.38483502176391687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8" s="9">
        <f>MAX(kmin, kmax - 0.15 * MIN(Games[[#This Row],[GamesPlayed]], 82))</f>
        <v>69.849999999999994</v>
      </c>
      <c r="Z478" s="4">
        <f>Games[[#This Row],[K]]*Games[[#This Row],[POMult]]</f>
        <v>94.297499999999999</v>
      </c>
      <c r="AA478" s="4">
        <f>(Games[[#This Row],[Keff]]*Games[[#This Row],[MOVMult]])*(Games[[#This Row],[Result]]-Games[[#This Row],[ExpectedWin%]])</f>
        <v>25.521125896550302</v>
      </c>
      <c r="AB478" s="4">
        <f>Games[[#This Row],[PreGmRate]]+Games[[#This Row],[RatingChange]]</f>
        <v>1597.2364516581861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1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40087</v>
      </c>
      <c r="B479" s="2">
        <v>2009</v>
      </c>
      <c r="C479" s="2">
        <f>COUNTIFS(Games[Team],Games[[#This Row],[Team]],Games[Season],Games[[#This Row],[Season]],Games[Date],"&lt;=" &amp; Games[[#This Row],[Date]])</f>
        <v>42</v>
      </c>
      <c r="D479" s="2" t="s">
        <v>46</v>
      </c>
      <c r="E479" s="2">
        <v>3</v>
      </c>
      <c r="F479" s="1" t="s">
        <v>44</v>
      </c>
      <c r="G479" s="1" t="s">
        <v>77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6">
        <f>MAX(-16, MIN(16, Games[[#This Row],[RestDiff]]*8))</f>
        <v>0</v>
      </c>
      <c r="N479" s="16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1637.6235852119696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1571.7153257616358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0.70327481151799143</v>
      </c>
      <c r="R479" s="1">
        <v>84</v>
      </c>
      <c r="S479" s="1">
        <v>93</v>
      </c>
      <c r="T479" s="1">
        <v>0</v>
      </c>
      <c r="U479" s="16">
        <f>Games[[#This Row],[PointsFor]]-Games[[#This Row],[PointsAgainst]]</f>
        <v>-9</v>
      </c>
      <c r="V479" s="16">
        <f>IF(Games[[#This Row],[MOV]]&gt;0,1,IF(Games[[#This Row],[MOV]]=0,0.5,0))</f>
        <v>0</v>
      </c>
      <c r="W479" s="4">
        <f>((ABS(Games[[#This Row],[MOV]])+5)^0.6)/(12+0.01*(ABS(Games[[#This Row],[PreGmRate]]-Games[[#This Row],[OppPreGmRate]])))*IF(Games[[#This Row],[OT]]=1,0.9,1)</f>
        <v>0.38483502176391687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9" s="9">
        <f>MAX(kmin, kmax - 0.15 * MIN(Games[[#This Row],[GamesPlayed]], 82))</f>
        <v>69.7</v>
      </c>
      <c r="Z479" s="4">
        <f>Games[[#This Row],[K]]*Games[[#This Row],[POMult]]</f>
        <v>94.095000000000013</v>
      </c>
      <c r="AA479" s="4">
        <f>(Games[[#This Row],[Keff]]*Games[[#This Row],[MOVMult]])*(Games[[#This Row],[Result]]-Games[[#This Row],[ExpectedWin%]])</f>
        <v>-25.466320329127509</v>
      </c>
      <c r="AB479" s="4">
        <f>Games[[#This Row],[PreGmRate]]+Games[[#This Row],[RatingChange]]</f>
        <v>1612.1572648828421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1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40090</v>
      </c>
      <c r="B480" s="2">
        <v>2009</v>
      </c>
      <c r="C480" s="2">
        <f>COUNTIFS(Games[Team],Games[[#This Row],[Team]],Games[Season],Games[[#This Row],[Season]],Games[Date],"&lt;=" &amp; Games[[#This Row],[Date]])</f>
        <v>43</v>
      </c>
      <c r="D480" s="2" t="s">
        <v>46</v>
      </c>
      <c r="E480" s="2">
        <v>3</v>
      </c>
      <c r="F480" s="1" t="s">
        <v>44</v>
      </c>
      <c r="G480" s="1" t="s">
        <v>77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6">
        <f>MAX(-16, MIN(16, Games[[#This Row],[RestDiff]]*8))</f>
        <v>0</v>
      </c>
      <c r="N480" s="16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1612.1572648828421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1597.2364516581861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0.40187665927410826</v>
      </c>
      <c r="R480" s="1">
        <v>85</v>
      </c>
      <c r="S480" s="1">
        <v>86</v>
      </c>
      <c r="T480" s="1">
        <v>0</v>
      </c>
      <c r="U480" s="16">
        <f>Games[[#This Row],[PointsFor]]-Games[[#This Row],[PointsAgainst]]</f>
        <v>-1</v>
      </c>
      <c r="V480" s="16">
        <f>IF(Games[[#This Row],[MOV]]&gt;0,1,IF(Games[[#This Row],[MOV]]=0,0.5,0))</f>
        <v>0</v>
      </c>
      <c r="W480" s="4">
        <f>((ABS(Games[[#This Row],[MOV]])+5)^0.6)/(12+0.01*(ABS(Games[[#This Row],[PreGmRate]]-Games[[#This Row],[OppPreGmRate]])))*IF(Games[[#This Row],[OT]]=1,0.9,1)</f>
        <v>0.24118082591788589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0" s="9">
        <f>MAX(kmin, kmax - 0.15 * MIN(Games[[#This Row],[GamesPlayed]], 82))</f>
        <v>69.55</v>
      </c>
      <c r="Z480" s="4">
        <f>Games[[#This Row],[K]]*Games[[#This Row],[POMult]]</f>
        <v>93.892499999999998</v>
      </c>
      <c r="AA480" s="4">
        <f>(Games[[#This Row],[Keff]]*Games[[#This Row],[MOVMult]])*(Games[[#This Row],[Result]]-Games[[#This Row],[ExpectedWin%]])</f>
        <v>-9.1005253609353307</v>
      </c>
      <c r="AB480" s="4">
        <f>Games[[#This Row],[PreGmRate]]+Games[[#This Row],[RatingChange]]</f>
        <v>1603.0567395219068</v>
      </c>
      <c r="AC480" s="2">
        <f>IF(Games[[#This Row],[Type]]="R",IF(Games[[#This Row],[Result]]&gt;0.5,1,0),0)</f>
        <v>0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1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40090</v>
      </c>
      <c r="B481" s="2">
        <v>2009</v>
      </c>
      <c r="C481" s="2">
        <f>COUNTIFS(Games[Team],Games[[#This Row],[Team]],Games[Season],Games[[#This Row],[Season]],Games[Date],"&lt;=" &amp; Games[[#This Row],[Date]])</f>
        <v>42</v>
      </c>
      <c r="D481" s="2" t="s">
        <v>46</v>
      </c>
      <c r="E481" s="2">
        <v>3</v>
      </c>
      <c r="F481" s="1" t="s">
        <v>77</v>
      </c>
      <c r="G481" s="1" t="s">
        <v>44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6">
        <f>MAX(-16, MIN(16, Games[[#This Row],[RestDiff]]*8))</f>
        <v>0</v>
      </c>
      <c r="N481" s="16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1597.2364516581861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1612.1572648828421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0.59812334072589168</v>
      </c>
      <c r="R481" s="1">
        <v>86</v>
      </c>
      <c r="S481" s="1">
        <v>85</v>
      </c>
      <c r="T481" s="1">
        <v>0</v>
      </c>
      <c r="U481" s="16">
        <f>Games[[#This Row],[PointsFor]]-Games[[#This Row],[PointsAgainst]]</f>
        <v>1</v>
      </c>
      <c r="V481" s="16">
        <f>IF(Games[[#This Row],[MOV]]&gt;0,1,IF(Games[[#This Row],[MOV]]=0,0.5,0))</f>
        <v>1</v>
      </c>
      <c r="W481" s="4">
        <f>((ABS(Games[[#This Row],[MOV]])+5)^0.6)/(12+0.01*(ABS(Games[[#This Row],[PreGmRate]]-Games[[#This Row],[OppPreGmRate]])))*IF(Games[[#This Row],[OT]]=1,0.9,1)</f>
        <v>0.24118082591788589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1" s="9">
        <f>MAX(kmin, kmax - 0.15 * MIN(Games[[#This Row],[GamesPlayed]], 82))</f>
        <v>69.7</v>
      </c>
      <c r="Z481" s="4">
        <f>Games[[#This Row],[K]]*Games[[#This Row],[POMult]]</f>
        <v>94.095000000000013</v>
      </c>
      <c r="AA481" s="4">
        <f>(Games[[#This Row],[Keff]]*Games[[#This Row],[MOVMult]])*(Games[[#This Row],[Result]]-Games[[#This Row],[ExpectedWin%]])</f>
        <v>9.1201526622170075</v>
      </c>
      <c r="AB481" s="4">
        <f>Games[[#This Row],[PreGmRate]]+Games[[#This Row],[RatingChange]]</f>
        <v>1606.356604320403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0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1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40093</v>
      </c>
      <c r="B482" s="2">
        <v>2009</v>
      </c>
      <c r="C482" s="2">
        <f>COUNTIFS(Games[Team],Games[[#This Row],[Team]],Games[Season],Games[[#This Row],[Season]],Games[Date],"&lt;=" &amp; Games[[#This Row],[Date]])</f>
        <v>44</v>
      </c>
      <c r="D482" s="2" t="s">
        <v>46</v>
      </c>
      <c r="E482" s="2">
        <v>3</v>
      </c>
      <c r="F482" s="1" t="s">
        <v>44</v>
      </c>
      <c r="G482" s="1" t="s">
        <v>77</v>
      </c>
      <c r="H482" s="1" t="s">
        <v>16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2" s="2">
        <f>Games[[#This Row],[DaysOff]]-Games[[#This Row],[OppDaysOff]]</f>
        <v>0</v>
      </c>
      <c r="L482" s="2">
        <f>Games[[#This Row],[OppDaysOff]]-Games[[#This Row],[DaysOff]]</f>
        <v>0</v>
      </c>
      <c r="M482" s="16">
        <f>MAX(-16, MIN(16, Games[[#This Row],[RestDiff]]*8))</f>
        <v>0</v>
      </c>
      <c r="N482" s="16">
        <f>MAX(-16, MIN(16, Games[[#This Row],[OppRestDiff]]*8))</f>
        <v>0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1603.0567395219068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1606.356604320403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0.37694431678112977</v>
      </c>
      <c r="R482" s="1">
        <v>90</v>
      </c>
      <c r="S482" s="1">
        <v>77</v>
      </c>
      <c r="T482" s="1">
        <v>0</v>
      </c>
      <c r="U482" s="16">
        <f>Games[[#This Row],[PointsFor]]-Games[[#This Row],[PointsAgainst]]</f>
        <v>13</v>
      </c>
      <c r="V482" s="16">
        <f>IF(Games[[#This Row],[MOV]]&gt;0,1,IF(Games[[#This Row],[MOV]]=0,0.5,0))</f>
        <v>1</v>
      </c>
      <c r="W482" s="4">
        <f>((ABS(Games[[#This Row],[MOV]])+5)^0.6)/(12+0.01*(ABS(Games[[#This Row],[PreGmRate]]-Games[[#This Row],[OppPreGmRate]])))*IF(Games[[#This Row],[OT]]=1,0.9,1)</f>
        <v>0.4707492482530935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2" s="9">
        <f>MAX(kmin, kmax - 0.15 * MIN(Games[[#This Row],[GamesPlayed]], 82))</f>
        <v>69.400000000000006</v>
      </c>
      <c r="Z482" s="4">
        <f>Games[[#This Row],[K]]*Games[[#This Row],[POMult]]</f>
        <v>93.690000000000012</v>
      </c>
      <c r="AA482" s="4">
        <f>(Games[[#This Row],[Keff]]*Games[[#This Row],[MOVMult]])*(Games[[#This Row],[Result]]-Games[[#This Row],[ExpectedWin%]])</f>
        <v>27.479557554245993</v>
      </c>
      <c r="AB482" s="4">
        <f>Games[[#This Row],[PreGmRate]]+Games[[#This Row],[RatingChange]]</f>
        <v>1630.5362970761528</v>
      </c>
      <c r="AC482" s="2">
        <f>IF(Games[[#This Row],[Type]]="R",IF(Games[[#This Row],[Result]]&gt;0.5,1,0),0)</f>
        <v>0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1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40093</v>
      </c>
      <c r="B483" s="2">
        <v>2009</v>
      </c>
      <c r="C483" s="2">
        <f>COUNTIFS(Games[Team],Games[[#This Row],[Team]],Games[Season],Games[[#This Row],[Season]],Games[Date],"&lt;=" &amp; Games[[#This Row],[Date]])</f>
        <v>43</v>
      </c>
      <c r="D483" s="2" t="s">
        <v>46</v>
      </c>
      <c r="E483" s="2">
        <v>3</v>
      </c>
      <c r="F483" s="1" t="s">
        <v>77</v>
      </c>
      <c r="G483" s="1" t="s">
        <v>44</v>
      </c>
      <c r="H483" s="1" t="s">
        <v>15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3" s="2">
        <f>Games[[#This Row],[DaysOff]]-Games[[#This Row],[OppDaysOff]]</f>
        <v>0</v>
      </c>
      <c r="L483" s="2">
        <f>Games[[#This Row],[OppDaysOff]]-Games[[#This Row],[DaysOff]]</f>
        <v>0</v>
      </c>
      <c r="M483" s="16">
        <f>MAX(-16, MIN(16, Games[[#This Row],[RestDiff]]*8))</f>
        <v>0</v>
      </c>
      <c r="N483" s="16">
        <f>MAX(-16, MIN(16, Games[[#This Row],[OppRestDiff]]*8))</f>
        <v>0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1606.356604320403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1603.0567395219068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0.62305568321887028</v>
      </c>
      <c r="R483" s="1">
        <v>77</v>
      </c>
      <c r="S483" s="1">
        <v>90</v>
      </c>
      <c r="T483" s="1">
        <v>0</v>
      </c>
      <c r="U483" s="16">
        <f>Games[[#This Row],[PointsFor]]-Games[[#This Row],[PointsAgainst]]</f>
        <v>-13</v>
      </c>
      <c r="V483" s="16">
        <f>IF(Games[[#This Row],[MOV]]&gt;0,1,IF(Games[[#This Row],[MOV]]=0,0.5,0))</f>
        <v>0</v>
      </c>
      <c r="W483" s="4">
        <f>((ABS(Games[[#This Row],[MOV]])+5)^0.6)/(12+0.01*(ABS(Games[[#This Row],[PreGmRate]]-Games[[#This Row],[OppPreGmRate]])))*IF(Games[[#This Row],[OT]]=1,0.9,1)</f>
        <v>0.4707492482530935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3" s="9">
        <f>MAX(kmin, kmax - 0.15 * MIN(Games[[#This Row],[GamesPlayed]], 82))</f>
        <v>69.55</v>
      </c>
      <c r="Z483" s="4">
        <f>Games[[#This Row],[K]]*Games[[#This Row],[POMult]]</f>
        <v>93.892499999999998</v>
      </c>
      <c r="AA483" s="4">
        <f>(Games[[#This Row],[Keff]]*Games[[#This Row],[MOVMult]])*(Games[[#This Row],[Result]]-Games[[#This Row],[ExpectedWin%]])</f>
        <v>-27.538951410631245</v>
      </c>
      <c r="AB483" s="4">
        <f>Games[[#This Row],[PreGmRate]]+Games[[#This Row],[RatingChange]]</f>
        <v>1578.8176529097718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0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1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40095</v>
      </c>
      <c r="B484" s="2">
        <v>2009</v>
      </c>
      <c r="C484" s="2">
        <f>COUNTIFS(Games[Team],Games[[#This Row],[Team]],Games[Season],Games[[#This Row],[Season]],Games[Date],"&lt;=" &amp; Games[[#This Row],[Date]])</f>
        <v>44</v>
      </c>
      <c r="D484" s="2" t="s">
        <v>46</v>
      </c>
      <c r="E484" s="2">
        <v>3</v>
      </c>
      <c r="F484" s="1" t="s">
        <v>77</v>
      </c>
      <c r="G484" s="1" t="s">
        <v>44</v>
      </c>
      <c r="H484" s="1" t="s">
        <v>16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6">
        <f>MAX(-16, MIN(16, Games[[#This Row],[RestDiff]]*8))</f>
        <v>0</v>
      </c>
      <c r="N484" s="16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1578.8176529097718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1630.5362970761528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0.31404853784780734</v>
      </c>
      <c r="R484" s="1">
        <v>86</v>
      </c>
      <c r="S484" s="1">
        <v>94</v>
      </c>
      <c r="T484" s="1">
        <v>0</v>
      </c>
      <c r="U484" s="16">
        <f>Games[[#This Row],[PointsFor]]-Games[[#This Row],[PointsAgainst]]</f>
        <v>-8</v>
      </c>
      <c r="V484" s="16">
        <f>IF(Games[[#This Row],[MOV]]&gt;0,1,IF(Games[[#This Row],[MOV]]=0,0.5,0))</f>
        <v>0</v>
      </c>
      <c r="W484" s="4">
        <f>((ABS(Games[[#This Row],[MOV]])+5)^0.6)/(12+0.01*(ABS(Games[[#This Row],[PreGmRate]]-Games[[#This Row],[OppPreGmRate]])))*IF(Games[[#This Row],[OT]]=1,0.9,1)</f>
        <v>0.37227107239737472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4" s="9">
        <f>MAX(kmin, kmax - 0.15 * MIN(Games[[#This Row],[GamesPlayed]], 82))</f>
        <v>69.400000000000006</v>
      </c>
      <c r="Z484" s="4">
        <f>Games[[#This Row],[K]]*Games[[#This Row],[POMult]]</f>
        <v>93.690000000000012</v>
      </c>
      <c r="AA484" s="4">
        <f>(Games[[#This Row],[Keff]]*Games[[#This Row],[MOVMult]])*(Games[[#This Row],[Result]]-Games[[#This Row],[ExpectedWin%]])</f>
        <v>-10.953409013475969</v>
      </c>
      <c r="AB484" s="4">
        <f>Games[[#This Row],[PreGmRate]]+Games[[#This Row],[RatingChange]]</f>
        <v>1567.8642438962959</v>
      </c>
      <c r="AC484" s="2">
        <f>IF(Games[[#This Row],[Type]]="R",IF(Games[[#This Row],[Result]]&gt;0.5,1,0),0)</f>
        <v>0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0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1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40095</v>
      </c>
      <c r="B485" s="2">
        <v>2009</v>
      </c>
      <c r="C485" s="2">
        <f>COUNTIFS(Games[Team],Games[[#This Row],[Team]],Games[Season],Games[[#This Row],[Season]],Games[Date],"&lt;=" &amp; Games[[#This Row],[Date]])</f>
        <v>45</v>
      </c>
      <c r="D485" s="2" t="s">
        <v>46</v>
      </c>
      <c r="E485" s="2">
        <v>3</v>
      </c>
      <c r="F485" s="1" t="s">
        <v>44</v>
      </c>
      <c r="G485" s="1" t="s">
        <v>77</v>
      </c>
      <c r="H485" s="1" t="s">
        <v>15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6">
        <f>MAX(-16, MIN(16, Games[[#This Row],[RestDiff]]*8))</f>
        <v>0</v>
      </c>
      <c r="N485" s="16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1630.5362970761528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1578.8176529097718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0.68595146215219271</v>
      </c>
      <c r="R485" s="1">
        <v>94</v>
      </c>
      <c r="S485" s="1">
        <v>86</v>
      </c>
      <c r="T485" s="1">
        <v>0</v>
      </c>
      <c r="U485" s="16">
        <f>Games[[#This Row],[PointsFor]]-Games[[#This Row],[PointsAgainst]]</f>
        <v>8</v>
      </c>
      <c r="V485" s="16">
        <f>IF(Games[[#This Row],[MOV]]&gt;0,1,IF(Games[[#This Row],[MOV]]=0,0.5,0))</f>
        <v>1</v>
      </c>
      <c r="W485" s="4">
        <f>((ABS(Games[[#This Row],[MOV]])+5)^0.6)/(12+0.01*(ABS(Games[[#This Row],[PreGmRate]]-Games[[#This Row],[OppPreGmRate]])))*IF(Games[[#This Row],[OT]]=1,0.9,1)</f>
        <v>0.37227107239737472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5" s="9">
        <f>MAX(kmin, kmax - 0.15 * MIN(Games[[#This Row],[GamesPlayed]], 82))</f>
        <v>69.25</v>
      </c>
      <c r="Z485" s="4">
        <f>Games[[#This Row],[K]]*Games[[#This Row],[POMult]]</f>
        <v>93.487500000000011</v>
      </c>
      <c r="AA485" s="4">
        <f>(Games[[#This Row],[Keff]]*Games[[#This Row],[MOVMult]])*(Games[[#This Row],[Result]]-Games[[#This Row],[ExpectedWin%]])</f>
        <v>10.929734498317156</v>
      </c>
      <c r="AB485" s="4">
        <f>Games[[#This Row],[PreGmRate]]+Games[[#This Row],[RatingChange]]</f>
        <v>1641.46603157447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0</v>
      </c>
      <c r="AE485" s="2">
        <f>IF(AND(Games[[#This Row],[Type]]="P",Games[[#This Row],[Round]]=1),IF(Games[[#This Row],[Result]]&gt;0.5,1,0),0)</f>
        <v>0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1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2026-07-27T10:22:51Z</dcterms:modified>
</cp:coreProperties>
</file>
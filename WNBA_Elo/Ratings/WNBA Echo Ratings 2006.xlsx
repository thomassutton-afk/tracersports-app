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76E5AA57-3A47-42D5-9286-FA1B3561427A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5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3" l="1"/>
  <c r="E26" i="3"/>
  <c r="D26" i="3"/>
  <c r="F26" i="3" s="1"/>
  <c r="C26" i="3"/>
  <c r="B26" i="3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I478" i="2" a="1"/>
  <c r="I479" i="2" a="1"/>
  <c r="I480" i="2" a="1"/>
  <c r="I481" i="2" a="1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K514" i="2" s="1"/>
  <c r="M514" i="2" s="1"/>
  <c r="J515" i="2" a="1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H37" i="3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M476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N414" i="2" s="1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V470" i="2" s="1"/>
  <c r="U471" i="2"/>
  <c r="V471" i="2" s="1"/>
  <c r="U472" i="2"/>
  <c r="V472" i="2" s="1"/>
  <c r="U473" i="2"/>
  <c r="V473" i="2" s="1"/>
  <c r="U474" i="2"/>
  <c r="V474" i="2" s="1"/>
  <c r="U475" i="2"/>
  <c r="V475" i="2" s="1"/>
  <c r="U476" i="2"/>
  <c r="V476" i="2" s="1"/>
  <c r="U477" i="2"/>
  <c r="V477" i="2" s="1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E30" i="3"/>
  <c r="D30" i="3"/>
  <c r="F30" i="3" s="1"/>
  <c r="C30" i="3"/>
  <c r="B30" i="3"/>
  <c r="E37" i="3"/>
  <c r="D37" i="3"/>
  <c r="C37" i="3"/>
  <c r="B37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AD352" i="2" s="1"/>
  <c r="V353" i="2"/>
  <c r="AD353" i="2" s="1"/>
  <c r="V354" i="2"/>
  <c r="AD354" i="2" s="1"/>
  <c r="V355" i="2"/>
  <c r="AD355" i="2" s="1"/>
  <c r="V356" i="2"/>
  <c r="AD356" i="2" s="1"/>
  <c r="V357" i="2"/>
  <c r="AD357" i="2" s="1"/>
  <c r="V358" i="2"/>
  <c r="AD358" i="2" s="1"/>
  <c r="V359" i="2"/>
  <c r="AD359" i="2" s="1"/>
  <c r="V360" i="2"/>
  <c r="AD360" i="2" s="1"/>
  <c r="V361" i="2"/>
  <c r="AD361" i="2" s="1"/>
  <c r="V362" i="2"/>
  <c r="AD362" i="2" s="1"/>
  <c r="V363" i="2"/>
  <c r="AD363" i="2" s="1"/>
  <c r="V364" i="2"/>
  <c r="AD364" i="2" s="1"/>
  <c r="V365" i="2"/>
  <c r="AD365" i="2" s="1"/>
  <c r="V366" i="2"/>
  <c r="AD366" i="2" s="1"/>
  <c r="V367" i="2"/>
  <c r="AD367" i="2" s="1"/>
  <c r="V368" i="2"/>
  <c r="AD368" i="2" s="1"/>
  <c r="V369" i="2"/>
  <c r="AD369" i="2" s="1"/>
  <c r="V370" i="2"/>
  <c r="AD370" i="2" s="1"/>
  <c r="V371" i="2"/>
  <c r="AD371" i="2" s="1"/>
  <c r="V372" i="2"/>
  <c r="AD372" i="2" s="1"/>
  <c r="V373" i="2"/>
  <c r="AD373" i="2" s="1"/>
  <c r="V374" i="2"/>
  <c r="AD374" i="2" s="1"/>
  <c r="V375" i="2"/>
  <c r="AD375" i="2" s="1"/>
  <c r="V376" i="2"/>
  <c r="AD376" i="2" s="1"/>
  <c r="V377" i="2"/>
  <c r="AD377" i="2" s="1"/>
  <c r="V378" i="2"/>
  <c r="AD378" i="2" s="1"/>
  <c r="V379" i="2"/>
  <c r="AD379" i="2" s="1"/>
  <c r="V380" i="2"/>
  <c r="AD380" i="2" s="1"/>
  <c r="V381" i="2"/>
  <c r="AD381" i="2" s="1"/>
  <c r="V382" i="2"/>
  <c r="AD382" i="2" s="1"/>
  <c r="V383" i="2"/>
  <c r="AD383" i="2" s="1"/>
  <c r="V384" i="2"/>
  <c r="AD384" i="2" s="1"/>
  <c r="V385" i="2"/>
  <c r="AD385" i="2" s="1"/>
  <c r="V386" i="2"/>
  <c r="V387" i="2"/>
  <c r="V388" i="2"/>
  <c r="V389" i="2"/>
  <c r="V390" i="2"/>
  <c r="AD390" i="2" s="1"/>
  <c r="V391" i="2"/>
  <c r="AD391" i="2" s="1"/>
  <c r="V392" i="2"/>
  <c r="AD392" i="2" s="1"/>
  <c r="V393" i="2"/>
  <c r="AD393" i="2" s="1"/>
  <c r="V394" i="2"/>
  <c r="AD394" i="2" s="1"/>
  <c r="V395" i="2"/>
  <c r="AD395" i="2" s="1"/>
  <c r="V396" i="2"/>
  <c r="AD396" i="2" s="1"/>
  <c r="V397" i="2"/>
  <c r="AD397" i="2" s="1"/>
  <c r="V398" i="2"/>
  <c r="AD398" i="2" s="1"/>
  <c r="V399" i="2"/>
  <c r="AD399" i="2" s="1"/>
  <c r="V400" i="2"/>
  <c r="AD400" i="2" s="1"/>
  <c r="V401" i="2"/>
  <c r="AD401" i="2" s="1"/>
  <c r="V402" i="2"/>
  <c r="AD402" i="2" s="1"/>
  <c r="V403" i="2"/>
  <c r="AD403" i="2" s="1"/>
  <c r="V404" i="2"/>
  <c r="AD404" i="2" s="1"/>
  <c r="V405" i="2"/>
  <c r="AD405" i="2" s="1"/>
  <c r="V406" i="2"/>
  <c r="AD406" i="2" s="1"/>
  <c r="V407" i="2"/>
  <c r="AD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27" i="3"/>
  <c r="D27" i="3"/>
  <c r="C27" i="3"/>
  <c r="B27" i="3"/>
  <c r="E28" i="3"/>
  <c r="D28" i="3"/>
  <c r="C28" i="3"/>
  <c r="B28" i="3"/>
  <c r="E38" i="3"/>
  <c r="D38" i="3"/>
  <c r="C38" i="3"/>
  <c r="B38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9" i="3"/>
  <c r="F28" i="3" l="1"/>
  <c r="AE386" i="2"/>
  <c r="AD386" i="2"/>
  <c r="AE387" i="2"/>
  <c r="AD387" i="2"/>
  <c r="AE388" i="2"/>
  <c r="AD388" i="2"/>
  <c r="AE389" i="2"/>
  <c r="AD389" i="2"/>
  <c r="K515" i="2"/>
  <c r="M515" i="2" s="1"/>
  <c r="L515" i="2"/>
  <c r="N515" i="2" s="1"/>
  <c r="F37" i="3"/>
  <c r="K477" i="2"/>
  <c r="M477" i="2" s="1"/>
  <c r="L477" i="2"/>
  <c r="N477" i="2" s="1"/>
  <c r="F38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P17" i="2" a="1"/>
  <c r="O16" i="2" a="1"/>
  <c r="O17" i="2" a="1"/>
  <c r="P16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Q16" i="2"/>
  <c r="W17" i="2"/>
  <c r="Q17" i="2"/>
  <c r="W16" i="2"/>
  <c r="AV7" i="3"/>
  <c r="AV8" i="3"/>
  <c r="AV5" i="3"/>
  <c r="AW7" i="3"/>
  <c r="AW5" i="3"/>
  <c r="AW9" i="3"/>
  <c r="AW8" i="3"/>
  <c r="AV9" i="3"/>
  <c r="W14" i="2" l="1"/>
  <c r="Q15" i="2"/>
  <c r="Q14" i="2"/>
  <c r="W15" i="2"/>
  <c r="AA16" i="2"/>
  <c r="AB16" i="2" s="1"/>
  <c r="AA17" i="2"/>
  <c r="AB17" i="2" s="1"/>
  <c r="P18" i="2" a="1"/>
  <c r="O19" i="2" a="1"/>
  <c r="O18" i="2" a="1"/>
  <c r="P19" i="2" a="1"/>
  <c r="AZ9" i="3"/>
  <c r="AZ7" i="3"/>
  <c r="AZ8" i="3"/>
  <c r="AZ5" i="3"/>
  <c r="AA14" i="2" l="1"/>
  <c r="AB14" i="2" s="1"/>
  <c r="AA15" i="2"/>
  <c r="AB15" i="2" s="1"/>
  <c r="W18" i="2"/>
  <c r="Q19" i="2"/>
  <c r="Q18" i="2"/>
  <c r="W19" i="2"/>
  <c r="AA18" i="2" l="1"/>
  <c r="AB18" i="2" s="1"/>
  <c r="AA19" i="2"/>
  <c r="AB19" i="2" s="1"/>
  <c r="O23" i="2" a="1"/>
  <c r="P22" i="2" a="1"/>
  <c r="O22" i="2" a="1"/>
  <c r="P23" i="2" a="1"/>
  <c r="C35" i="3"/>
  <c r="B35" i="3"/>
  <c r="C34" i="3"/>
  <c r="B34" i="3"/>
  <c r="C36" i="3"/>
  <c r="B36" i="3"/>
  <c r="C31" i="3"/>
  <c r="B31" i="3"/>
  <c r="C33" i="3"/>
  <c r="B33" i="3"/>
  <c r="C25" i="3"/>
  <c r="B25" i="3"/>
  <c r="C29" i="3"/>
  <c r="B29" i="3"/>
  <c r="O21" i="2" l="1" a="1"/>
  <c r="P21" i="2" a="1"/>
  <c r="O20" i="2" a="1"/>
  <c r="P20" i="2" a="1"/>
  <c r="Q23" i="2"/>
  <c r="Q22" i="2"/>
  <c r="W22" i="2"/>
  <c r="W23" i="2"/>
  <c r="W21" i="2" l="1"/>
  <c r="W20" i="2"/>
  <c r="Q21" i="2"/>
  <c r="AA21" i="2" s="1"/>
  <c r="AB21" i="2" s="1"/>
  <c r="Q20" i="2"/>
  <c r="AA22" i="2"/>
  <c r="AB22" i="2" s="1"/>
  <c r="AA23" i="2"/>
  <c r="AB23" i="2" s="1"/>
  <c r="O24" i="2" a="1"/>
  <c r="P25" i="2" a="1"/>
  <c r="P24" i="2" a="1"/>
  <c r="O25" i="2" a="1"/>
  <c r="E35" i="3"/>
  <c r="D35" i="3"/>
  <c r="E34" i="3"/>
  <c r="D34" i="3"/>
  <c r="E36" i="3"/>
  <c r="D36" i="3"/>
  <c r="E31" i="3"/>
  <c r="D31" i="3"/>
  <c r="E33" i="3"/>
  <c r="D33" i="3"/>
  <c r="E25" i="3"/>
  <c r="E29" i="3"/>
  <c r="D25" i="3"/>
  <c r="AA20" i="2" l="1"/>
  <c r="AB20" i="2" s="1"/>
  <c r="Q24" i="2"/>
  <c r="W25" i="2"/>
  <c r="Q25" i="2"/>
  <c r="W24" i="2"/>
  <c r="F31" i="3"/>
  <c r="F35" i="3"/>
  <c r="F25" i="3"/>
  <c r="F34" i="3"/>
  <c r="F36" i="3"/>
  <c r="F29" i="3"/>
  <c r="F33" i="3"/>
  <c r="AA24" i="2" l="1"/>
  <c r="AB24" i="2" s="1"/>
  <c r="AA25" i="2"/>
  <c r="AB25" i="2" s="1"/>
  <c r="P27" i="2" l="1" a="1"/>
  <c r="P26" i="2" a="1"/>
  <c r="O27" i="2" a="1"/>
  <c r="O26" i="2" a="1"/>
  <c r="Q26" i="2" l="1"/>
  <c r="W27" i="2"/>
  <c r="W26" i="2"/>
  <c r="Q27" i="2"/>
  <c r="AA27" i="2" l="1"/>
  <c r="AB27" i="2" s="1"/>
  <c r="AA26" i="2"/>
  <c r="AB26" i="2" s="1"/>
  <c r="P30" i="2" a="1"/>
  <c r="P31" i="2" a="1"/>
  <c r="O31" i="2" a="1"/>
  <c r="O30" i="2" a="1"/>
  <c r="P29" i="2" l="1" a="1"/>
  <c r="O28" i="2" a="1"/>
  <c r="P28" i="2" a="1"/>
  <c r="O29" i="2" a="1"/>
  <c r="Q31" i="2"/>
  <c r="W30" i="2"/>
  <c r="Q30" i="2"/>
  <c r="W31" i="2"/>
  <c r="AW3" i="3"/>
  <c r="AV3" i="3"/>
  <c r="Q28" i="2" l="1"/>
  <c r="W29" i="2"/>
  <c r="Q29" i="2"/>
  <c r="AA29" i="2" s="1"/>
  <c r="AB29" i="2" s="1"/>
  <c r="W28" i="2"/>
  <c r="AA28" i="2" s="1"/>
  <c r="AB28" i="2" s="1"/>
  <c r="AA31" i="2"/>
  <c r="AB31" i="2" s="1"/>
  <c r="AA30" i="2"/>
  <c r="AB30" i="2" s="1"/>
  <c r="O35" i="2" a="1"/>
  <c r="P34" i="2" a="1"/>
  <c r="O34" i="2" a="1"/>
  <c r="P35" i="2" a="1"/>
  <c r="AZ3" i="3"/>
  <c r="AV2" i="3"/>
  <c r="AW2" i="3"/>
  <c r="AV4" i="3"/>
  <c r="AW4" i="3"/>
  <c r="P33" i="2" l="1" a="1"/>
  <c r="O33" i="2" a="1"/>
  <c r="O32" i="2" a="1"/>
  <c r="P32" i="2" a="1"/>
  <c r="Q34" i="2"/>
  <c r="Q35" i="2"/>
  <c r="W34" i="2"/>
  <c r="W35" i="2"/>
  <c r="AZ4" i="3"/>
  <c r="AZ2" i="3"/>
  <c r="AW6" i="3"/>
  <c r="AV6" i="3"/>
  <c r="Q32" i="2" l="1"/>
  <c r="AA34" i="2"/>
  <c r="AB34" i="2" s="1"/>
  <c r="W33" i="2"/>
  <c r="Q33" i="2"/>
  <c r="W32" i="2"/>
  <c r="AA35" i="2"/>
  <c r="AB35" i="2" s="1"/>
  <c r="P37" i="2" a="1"/>
  <c r="O36" i="2" a="1"/>
  <c r="P36" i="2" a="1"/>
  <c r="O37" i="2" a="1"/>
  <c r="AZ6" i="3"/>
  <c r="AA33" i="2" l="1"/>
  <c r="AB33" i="2" s="1"/>
  <c r="AA32" i="2"/>
  <c r="AB32" i="2" s="1"/>
  <c r="Q37" i="2"/>
  <c r="Q36" i="2"/>
  <c r="W36" i="2"/>
  <c r="W37" i="2"/>
  <c r="O40" i="2" l="1" a="1"/>
  <c r="O41" i="2" a="1"/>
  <c r="P40" i="2" a="1"/>
  <c r="P41" i="2" a="1"/>
  <c r="AA37" i="2"/>
  <c r="AB37" i="2" s="1"/>
  <c r="AA36" i="2"/>
  <c r="AB36" i="2" s="1"/>
  <c r="Q41" i="2" l="1"/>
  <c r="P38" i="2" a="1"/>
  <c r="O39" i="2" a="1"/>
  <c r="P39" i="2" a="1"/>
  <c r="Q39" i="2" s="1"/>
  <c r="O38" i="2" a="1"/>
  <c r="Q40" i="2"/>
  <c r="W41" i="2"/>
  <c r="W40" i="2"/>
  <c r="Q38" i="2" l="1"/>
  <c r="AA41" i="2"/>
  <c r="AB41" i="2" s="1"/>
  <c r="W39" i="2"/>
  <c r="AA39" i="2" s="1"/>
  <c r="AB39" i="2" s="1"/>
  <c r="W38" i="2"/>
  <c r="P42" i="2" a="1"/>
  <c r="O42" i="2" a="1"/>
  <c r="O43" i="2" a="1"/>
  <c r="O45" i="2" a="1"/>
  <c r="P45" i="2" a="1"/>
  <c r="P44" i="2" a="1"/>
  <c r="O44" i="2" a="1"/>
  <c r="P43" i="2" a="1"/>
  <c r="AA40" i="2"/>
  <c r="AB40" i="2" s="1"/>
  <c r="Q45" i="2" l="1"/>
  <c r="AA38" i="2"/>
  <c r="AB38" i="2" s="1"/>
  <c r="W43" i="2"/>
  <c r="W42" i="2"/>
  <c r="W44" i="2"/>
  <c r="Q42" i="2"/>
  <c r="Q44" i="2"/>
  <c r="Q43" i="2"/>
  <c r="W45" i="2"/>
  <c r="P46" i="2" a="1"/>
  <c r="O47" i="2" a="1"/>
  <c r="AA45" i="2" l="1"/>
  <c r="AB45" i="2" s="1"/>
  <c r="AA43" i="2"/>
  <c r="AB43" i="2" s="1"/>
  <c r="AA42" i="2"/>
  <c r="AB42" i="2" s="1"/>
  <c r="AA44" i="2"/>
  <c r="AB44" i="2" s="1"/>
  <c r="P47" i="2" l="1" a="1"/>
  <c r="O46" i="2" a="1"/>
  <c r="P51" i="2" a="1"/>
  <c r="O50" i="2" a="1"/>
  <c r="P50" i="2" a="1"/>
  <c r="O51" i="2" a="1"/>
  <c r="W47" i="2" l="1"/>
  <c r="Q47" i="2"/>
  <c r="Q46" i="2"/>
  <c r="W46" i="2"/>
  <c r="AA46" i="2" s="1"/>
  <c r="AB46" i="2" s="1"/>
  <c r="O48" i="2" a="1"/>
  <c r="O49" i="2" a="1"/>
  <c r="P49" i="2" a="1"/>
  <c r="P48" i="2" a="1"/>
  <c r="W50" i="2"/>
  <c r="W51" i="2"/>
  <c r="Q51" i="2"/>
  <c r="Q50" i="2"/>
  <c r="AA47" i="2" l="1"/>
  <c r="AB47" i="2" s="1"/>
  <c r="W49" i="2"/>
  <c r="Q48" i="2"/>
  <c r="Q49" i="2"/>
  <c r="W48" i="2"/>
  <c r="AA51" i="2"/>
  <c r="AB51" i="2" s="1"/>
  <c r="AA50" i="2"/>
  <c r="AB50" i="2" s="1"/>
  <c r="AA49" i="2" l="1"/>
  <c r="AB49" i="2" s="1"/>
  <c r="AA48" i="2"/>
  <c r="AB48" i="2" s="1"/>
  <c r="P53" i="2" a="1"/>
  <c r="O53" i="2" a="1"/>
  <c r="O52" i="2" a="1"/>
  <c r="P52" i="2" a="1"/>
  <c r="W52" i="2" l="1"/>
  <c r="W53" i="2"/>
  <c r="Q53" i="2"/>
  <c r="Q52" i="2"/>
  <c r="AA52" i="2" l="1"/>
  <c r="AB52" i="2" s="1"/>
  <c r="AA53" i="2"/>
  <c r="AB53" i="2" s="1"/>
  <c r="P56" i="2" a="1"/>
  <c r="O57" i="2" a="1"/>
  <c r="O56" i="2" a="1"/>
  <c r="O55" i="2" l="1" a="1"/>
  <c r="O54" i="2" a="1"/>
  <c r="P54" i="2" a="1"/>
  <c r="P55" i="2" a="1"/>
  <c r="Q56" i="2"/>
  <c r="W56" i="2"/>
  <c r="Q55" i="2" l="1"/>
  <c r="W54" i="2"/>
  <c r="W55" i="2"/>
  <c r="Q54" i="2"/>
  <c r="AA54" i="2" s="1"/>
  <c r="AB54" i="2" s="1"/>
  <c r="P57" i="2" s="1" a="1"/>
  <c r="AA56" i="2"/>
  <c r="AB56" i="2" s="1"/>
  <c r="AA55" i="2" l="1"/>
  <c r="AB55" i="2" s="1"/>
  <c r="W57" i="2"/>
  <c r="Q57" i="2"/>
  <c r="AA57" i="2" l="1"/>
  <c r="AB57" i="2" s="1"/>
  <c r="O64" i="2" l="1" a="1"/>
  <c r="P65" i="2" a="1"/>
  <c r="O59" i="2" a="1"/>
  <c r="P59" i="2" a="1"/>
  <c r="P58" i="2" a="1"/>
  <c r="O58" i="2" a="1"/>
  <c r="O62" i="2" a="1"/>
  <c r="O63" i="2" a="1"/>
  <c r="P60" i="2" a="1"/>
  <c r="O61" i="2" a="1"/>
  <c r="O60" i="2" a="1"/>
  <c r="O65" i="2" a="1"/>
  <c r="P62" i="2" a="1"/>
  <c r="P64" i="2" a="1"/>
  <c r="P63" i="2" a="1"/>
  <c r="P61" i="2" a="1"/>
  <c r="Q61" i="2" l="1"/>
  <c r="Q64" i="2"/>
  <c r="W62" i="2"/>
  <c r="W59" i="2"/>
  <c r="W60" i="2"/>
  <c r="W65" i="2"/>
  <c r="W58" i="2"/>
  <c r="W63" i="2"/>
  <c r="W64" i="2"/>
  <c r="Q65" i="2"/>
  <c r="Q59" i="2"/>
  <c r="Q58" i="2"/>
  <c r="Q60" i="2"/>
  <c r="W61" i="2"/>
  <c r="AA61" i="2" s="1"/>
  <c r="AB61" i="2" s="1"/>
  <c r="Q62" i="2"/>
  <c r="Q63" i="2"/>
  <c r="P71" i="2" a="1"/>
  <c r="O71" i="2" a="1"/>
  <c r="O70" i="2" a="1"/>
  <c r="P70" i="2" a="1"/>
  <c r="O67" i="2" a="1"/>
  <c r="P68" i="2" a="1"/>
  <c r="O66" i="2" a="1"/>
  <c r="O68" i="2" a="1"/>
  <c r="P67" i="2" a="1"/>
  <c r="O69" i="2" a="1"/>
  <c r="P66" i="2" a="1"/>
  <c r="P69" i="2" a="1"/>
  <c r="Q66" i="2" l="1"/>
  <c r="AA64" i="2"/>
  <c r="AB64" i="2" s="1"/>
  <c r="AA62" i="2"/>
  <c r="AB62" i="2" s="1"/>
  <c r="W68" i="2"/>
  <c r="W70" i="2"/>
  <c r="Q70" i="2"/>
  <c r="AA65" i="2"/>
  <c r="AB65" i="2" s="1"/>
  <c r="AA59" i="2"/>
  <c r="AB59" i="2" s="1"/>
  <c r="AA60" i="2"/>
  <c r="AB60" i="2" s="1"/>
  <c r="W71" i="2"/>
  <c r="AA63" i="2"/>
  <c r="AB63" i="2" s="1"/>
  <c r="Q67" i="2"/>
  <c r="AA58" i="2"/>
  <c r="AB58" i="2" s="1"/>
  <c r="Q71" i="2"/>
  <c r="W69" i="2"/>
  <c r="W66" i="2"/>
  <c r="W67" i="2"/>
  <c r="Q68" i="2"/>
  <c r="Q69" i="2"/>
  <c r="O75" i="2" a="1"/>
  <c r="P74" i="2" a="1"/>
  <c r="P75" i="2" a="1"/>
  <c r="O74" i="2" a="1"/>
  <c r="P76" i="2" a="1"/>
  <c r="P77" i="2" a="1"/>
  <c r="O76" i="2" a="1"/>
  <c r="O77" i="2" a="1"/>
  <c r="AA66" i="2" l="1"/>
  <c r="AB66" i="2" s="1"/>
  <c r="AA70" i="2"/>
  <c r="AB70" i="2" s="1"/>
  <c r="AA71" i="2"/>
  <c r="AB71" i="2" s="1"/>
  <c r="AA68" i="2"/>
  <c r="AB68" i="2" s="1"/>
  <c r="AA67" i="2"/>
  <c r="AB67" i="2" s="1"/>
  <c r="AA69" i="2"/>
  <c r="AB69" i="2" s="1"/>
  <c r="P72" i="2" a="1"/>
  <c r="P73" i="2" a="1"/>
  <c r="O73" i="2" a="1"/>
  <c r="O72" i="2" a="1"/>
  <c r="W76" i="2"/>
  <c r="Q75" i="2"/>
  <c r="Q74" i="2"/>
  <c r="W77" i="2"/>
  <c r="W74" i="2"/>
  <c r="W75" i="2"/>
  <c r="Q76" i="2"/>
  <c r="Q77" i="2"/>
  <c r="Q73" i="2" l="1"/>
  <c r="W73" i="2"/>
  <c r="W72" i="2"/>
  <c r="Q72" i="2"/>
  <c r="O81" i="2" a="1"/>
  <c r="P80" i="2" a="1"/>
  <c r="AA76" i="2"/>
  <c r="AB76" i="2" s="1"/>
  <c r="AA75" i="2"/>
  <c r="AB75" i="2" s="1"/>
  <c r="AA74" i="2"/>
  <c r="AB74" i="2" s="1"/>
  <c r="AA77" i="2"/>
  <c r="AB77" i="2" s="1"/>
  <c r="P79" i="2" l="1" a="1"/>
  <c r="O79" i="2" a="1"/>
  <c r="O78" i="2" a="1"/>
  <c r="P78" i="2" a="1"/>
  <c r="AA73" i="2"/>
  <c r="AB73" i="2" s="1"/>
  <c r="AA72" i="2"/>
  <c r="AB72" i="2" s="1"/>
  <c r="W79" i="2" l="1"/>
  <c r="W78" i="2"/>
  <c r="Q79" i="2"/>
  <c r="Q78" i="2"/>
  <c r="P81" i="2" a="1"/>
  <c r="O80" i="2" a="1"/>
  <c r="AA79" i="2" l="1"/>
  <c r="AB79" i="2" s="1"/>
  <c r="AA78" i="2"/>
  <c r="AB78" i="2" s="1"/>
  <c r="Q81" i="2"/>
  <c r="W81" i="2"/>
  <c r="AA81" i="2" s="1"/>
  <c r="AB81" i="2" s="1"/>
  <c r="W80" i="2"/>
  <c r="Q80" i="2"/>
  <c r="O84" i="2" a="1"/>
  <c r="P84" i="2" a="1"/>
  <c r="P85" i="2" a="1"/>
  <c r="O85" i="2" a="1"/>
  <c r="O87" i="2" a="1"/>
  <c r="P87" i="2" a="1"/>
  <c r="P86" i="2" a="1"/>
  <c r="O86" i="2" a="1"/>
  <c r="P83" i="2" l="1" a="1"/>
  <c r="O82" i="2" a="1"/>
  <c r="O83" i="2" a="1"/>
  <c r="P82" i="2" a="1"/>
  <c r="O89" i="2" a="1"/>
  <c r="P89" i="2" a="1"/>
  <c r="P88" i="2" a="1"/>
  <c r="O88" i="2" a="1"/>
  <c r="AA80" i="2"/>
  <c r="AB80" i="2" s="1"/>
  <c r="W84" i="2"/>
  <c r="W87" i="2"/>
  <c r="W86" i="2"/>
  <c r="Q84" i="2"/>
  <c r="Q85" i="2"/>
  <c r="W85" i="2"/>
  <c r="Q87" i="2"/>
  <c r="Q86" i="2"/>
  <c r="Q88" i="2" l="1"/>
  <c r="Q83" i="2"/>
  <c r="Q89" i="2"/>
  <c r="Q82" i="2"/>
  <c r="W83" i="2"/>
  <c r="W89" i="2"/>
  <c r="W88" i="2"/>
  <c r="W82" i="2"/>
  <c r="AA84" i="2"/>
  <c r="AB84" i="2" s="1"/>
  <c r="AA87" i="2"/>
  <c r="AB87" i="2" s="1"/>
  <c r="AA86" i="2"/>
  <c r="AB86" i="2" s="1"/>
  <c r="AA85" i="2"/>
  <c r="AB85" i="2" s="1"/>
  <c r="O91" i="2" a="1"/>
  <c r="P90" i="2" a="1"/>
  <c r="AA88" i="2" l="1"/>
  <c r="AB88" i="2" s="1"/>
  <c r="AA83" i="2"/>
  <c r="AB83" i="2" s="1"/>
  <c r="AA89" i="2"/>
  <c r="AB89" i="2" s="1"/>
  <c r="AA82" i="2"/>
  <c r="AB82" i="2" s="1"/>
  <c r="O90" i="2" l="1" a="1"/>
  <c r="P91" i="2" a="1"/>
  <c r="W90" i="2" l="1"/>
  <c r="Q90" i="2"/>
  <c r="W91" i="2"/>
  <c r="Q91" i="2"/>
  <c r="P92" i="2" a="1"/>
  <c r="O92" i="2" a="1"/>
  <c r="O93" i="2" a="1"/>
  <c r="P93" i="2" a="1"/>
  <c r="AA91" i="2" l="1"/>
  <c r="AB91" i="2" s="1"/>
  <c r="AA90" i="2"/>
  <c r="AB90" i="2" s="1"/>
  <c r="W92" i="2"/>
  <c r="W93" i="2"/>
  <c r="Q92" i="2"/>
  <c r="Q93" i="2"/>
  <c r="AA92" i="2" l="1"/>
  <c r="AB92" i="2" s="1"/>
  <c r="AA93" i="2"/>
  <c r="AB93" i="2" s="1"/>
  <c r="O95" i="2" l="1" a="1"/>
  <c r="P94" i="2" a="1"/>
  <c r="O97" i="2" a="1"/>
  <c r="P96" i="2" a="1"/>
  <c r="O96" i="2" a="1"/>
  <c r="P97" i="2" a="1"/>
  <c r="P98" i="2" a="1"/>
  <c r="P99" i="2" a="1"/>
  <c r="O98" i="2" a="1"/>
  <c r="O99" i="2" a="1"/>
  <c r="O94" i="2" a="1"/>
  <c r="P95" i="2" a="1"/>
  <c r="Q97" i="2" l="1"/>
  <c r="Q95" i="2"/>
  <c r="Q94" i="2"/>
  <c r="Q96" i="2"/>
  <c r="Q98" i="2"/>
  <c r="Q99" i="2"/>
  <c r="W95" i="2"/>
  <c r="W97" i="2"/>
  <c r="W96" i="2"/>
  <c r="W98" i="2"/>
  <c r="W99" i="2"/>
  <c r="W94" i="2"/>
  <c r="AA99" i="2" l="1"/>
  <c r="AB99" i="2" s="1"/>
  <c r="AA97" i="2"/>
  <c r="AB97" i="2" s="1"/>
  <c r="AA95" i="2"/>
  <c r="AB95" i="2" s="1"/>
  <c r="AA94" i="2"/>
  <c r="AB94" i="2" s="1"/>
  <c r="AA96" i="2"/>
  <c r="AB96" i="2" s="1"/>
  <c r="AA98" i="2"/>
  <c r="AB98" i="2" s="1"/>
  <c r="P101" i="2" a="1"/>
  <c r="O100" i="2" a="1"/>
  <c r="O101" i="2" a="1"/>
  <c r="P100" i="2" a="1"/>
  <c r="W100" i="2" l="1"/>
  <c r="W101" i="2"/>
  <c r="Q101" i="2"/>
  <c r="Q100" i="2"/>
  <c r="AA100" i="2" l="1"/>
  <c r="AB100" i="2" s="1"/>
  <c r="AA101" i="2"/>
  <c r="AB101" i="2" s="1"/>
  <c r="O105" i="2" a="1"/>
  <c r="P105" i="2" a="1"/>
  <c r="P104" i="2" a="1"/>
  <c r="O104" i="2" a="1"/>
  <c r="O103" i="2" l="1" a="1"/>
  <c r="O102" i="2" a="1"/>
  <c r="P103" i="2" a="1"/>
  <c r="P102" i="2" a="1"/>
  <c r="Q102" i="2" s="1"/>
  <c r="W105" i="2"/>
  <c r="W104" i="2"/>
  <c r="Q105" i="2"/>
  <c r="Q104" i="2"/>
  <c r="AA105" i="2" l="1"/>
  <c r="AB105" i="2" s="1"/>
  <c r="W103" i="2"/>
  <c r="Q103" i="2"/>
  <c r="AA103" i="2" s="1"/>
  <c r="AB103" i="2" s="1"/>
  <c r="W102" i="2"/>
  <c r="AA102" i="2" s="1"/>
  <c r="AB102" i="2" s="1"/>
  <c r="AA104" i="2"/>
  <c r="AB104" i="2" s="1"/>
  <c r="P109" i="2" s="1" a="1"/>
  <c r="P107" i="2" a="1"/>
  <c r="O107" i="2" a="1"/>
  <c r="P106" i="2" a="1"/>
  <c r="O106" i="2" a="1"/>
  <c r="O109" i="2" a="1"/>
  <c r="P108" i="2" a="1"/>
  <c r="O108" i="2" a="1"/>
  <c r="O111" i="2" a="1"/>
  <c r="P110" i="2" a="1"/>
  <c r="P111" i="2" a="1"/>
  <c r="O110" i="2" a="1"/>
  <c r="W107" i="2" l="1"/>
  <c r="W106" i="2"/>
  <c r="W108" i="2"/>
  <c r="Q107" i="2"/>
  <c r="Q109" i="2"/>
  <c r="Q106" i="2"/>
  <c r="W109" i="2"/>
  <c r="Q108" i="2"/>
  <c r="Q110" i="2"/>
  <c r="Q111" i="2"/>
  <c r="W111" i="2"/>
  <c r="W110" i="2"/>
  <c r="AA107" i="2" l="1"/>
  <c r="AB107" i="2" s="1"/>
  <c r="AA109" i="2"/>
  <c r="AB109" i="2" s="1"/>
  <c r="AA106" i="2"/>
  <c r="AB106" i="2" s="1"/>
  <c r="AA108" i="2"/>
  <c r="AB108" i="2" s="1"/>
  <c r="AA111" i="2"/>
  <c r="AB111" i="2" s="1"/>
  <c r="AA110" i="2"/>
  <c r="AB110" i="2" s="1"/>
  <c r="O112" i="2" l="1" a="1"/>
  <c r="O113" i="2" a="1"/>
  <c r="P112" i="2" a="1"/>
  <c r="P113" i="2" a="1"/>
  <c r="Q112" i="2" l="1"/>
  <c r="Q113" i="2"/>
  <c r="W112" i="2"/>
  <c r="W113" i="2"/>
  <c r="AA112" i="2" l="1"/>
  <c r="AB112" i="2" s="1"/>
  <c r="AA113" i="2"/>
  <c r="AB113" i="2" s="1"/>
  <c r="P115" i="2" l="1" a="1"/>
  <c r="O114" i="2" a="1"/>
  <c r="P114" i="2" a="1"/>
  <c r="O115" i="2" a="1"/>
  <c r="Q114" i="2" l="1"/>
  <c r="Q115" i="2"/>
  <c r="W114" i="2"/>
  <c r="W115" i="2"/>
  <c r="AA114" i="2" l="1"/>
  <c r="AB114" i="2" s="1"/>
  <c r="AA115" i="2"/>
  <c r="AB115" i="2" s="1"/>
  <c r="P116" i="2" a="1"/>
  <c r="O116" i="2" a="1"/>
  <c r="O117" i="2" a="1"/>
  <c r="P117" i="2" a="1"/>
  <c r="W116" i="2" l="1"/>
  <c r="Q117" i="2"/>
  <c r="Q116" i="2"/>
  <c r="W117" i="2"/>
  <c r="AA116" i="2" l="1"/>
  <c r="AB116" i="2" s="1"/>
  <c r="AA117" i="2"/>
  <c r="AB117" i="2" s="1"/>
  <c r="P120" i="2" a="1"/>
  <c r="O121" i="2" a="1"/>
  <c r="P121" i="2" a="1"/>
  <c r="O120" i="2" a="1"/>
  <c r="O119" i="2" a="1"/>
  <c r="P118" i="2" a="1"/>
  <c r="O118" i="2" a="1"/>
  <c r="P119" i="2" a="1"/>
  <c r="W121" i="2" l="1"/>
  <c r="W119" i="2"/>
  <c r="W118" i="2"/>
  <c r="Q120" i="2"/>
  <c r="Q121" i="2"/>
  <c r="Q118" i="2"/>
  <c r="Q119" i="2"/>
  <c r="W120" i="2"/>
  <c r="AA121" i="2" l="1"/>
  <c r="AB121" i="2" s="1"/>
  <c r="AA118" i="2"/>
  <c r="AB118" i="2" s="1"/>
  <c r="AA119" i="2"/>
  <c r="AB119" i="2" s="1"/>
  <c r="AA120" i="2"/>
  <c r="AB120" i="2" s="1"/>
  <c r="P124" i="2" l="1" a="1"/>
  <c r="O124" i="2" a="1"/>
  <c r="O125" i="2" a="1"/>
  <c r="P125" i="2" a="1"/>
  <c r="O122" i="2" a="1"/>
  <c r="P122" i="2" a="1"/>
  <c r="P123" i="2" a="1"/>
  <c r="O123" i="2" a="1"/>
  <c r="Q123" i="2" l="1"/>
  <c r="W124" i="2"/>
  <c r="W125" i="2"/>
  <c r="W122" i="2"/>
  <c r="W123" i="2"/>
  <c r="Q125" i="2"/>
  <c r="Q122" i="2"/>
  <c r="AA122" i="2" s="1"/>
  <c r="AB122" i="2" s="1"/>
  <c r="Q124" i="2"/>
  <c r="AA123" i="2" l="1"/>
  <c r="AB123" i="2" s="1"/>
  <c r="AA125" i="2"/>
  <c r="AB125" i="2" s="1"/>
  <c r="AA124" i="2"/>
  <c r="AB124" i="2" s="1"/>
  <c r="O127" i="2" a="1"/>
  <c r="P126" i="2" a="1"/>
  <c r="O126" i="2" a="1"/>
  <c r="P127" i="2" a="1"/>
  <c r="P128" i="2" a="1"/>
  <c r="P129" i="2" a="1"/>
  <c r="O129" i="2" a="1"/>
  <c r="O128" i="2" a="1"/>
  <c r="O131" i="2" a="1"/>
  <c r="P131" i="2" a="1"/>
  <c r="O130" i="2" a="1"/>
  <c r="P130" i="2" a="1"/>
  <c r="O133" i="2" a="1"/>
  <c r="O132" i="2" a="1"/>
  <c r="P133" i="2" a="1"/>
  <c r="P132" i="2" a="1"/>
  <c r="Q127" i="2" l="1"/>
  <c r="Q129" i="2"/>
  <c r="W126" i="2"/>
  <c r="Q128" i="2"/>
  <c r="W127" i="2"/>
  <c r="Q126" i="2"/>
  <c r="W129" i="2"/>
  <c r="W128" i="2"/>
  <c r="W131" i="2"/>
  <c r="Q130" i="2"/>
  <c r="Q131" i="2"/>
  <c r="W130" i="2"/>
  <c r="Q132" i="2"/>
  <c r="W133" i="2"/>
  <c r="W132" i="2"/>
  <c r="Q133" i="2"/>
  <c r="AA127" i="2" l="1"/>
  <c r="AB127" i="2" s="1"/>
  <c r="AA129" i="2"/>
  <c r="AB129" i="2" s="1"/>
  <c r="AA126" i="2"/>
  <c r="AB126" i="2" s="1"/>
  <c r="AA128" i="2"/>
  <c r="AB128" i="2" s="1"/>
  <c r="AA131" i="2"/>
  <c r="AB131" i="2" s="1"/>
  <c r="AA130" i="2"/>
  <c r="AB130" i="2" s="1"/>
  <c r="AA132" i="2"/>
  <c r="AB132" i="2" s="1"/>
  <c r="AA133" i="2"/>
  <c r="AB133" i="2" s="1"/>
  <c r="P134" i="2" l="1" a="1"/>
  <c r="O135" i="2" a="1"/>
  <c r="P135" i="2" a="1"/>
  <c r="O134" i="2" a="1"/>
  <c r="P136" i="2" a="1"/>
  <c r="O137" i="2" a="1"/>
  <c r="O136" i="2" a="1"/>
  <c r="P137" i="2" a="1"/>
  <c r="Q134" i="2" l="1"/>
  <c r="W135" i="2"/>
  <c r="Q135" i="2"/>
  <c r="W134" i="2"/>
  <c r="Q136" i="2"/>
  <c r="W137" i="2"/>
  <c r="W136" i="2"/>
  <c r="Q137" i="2"/>
  <c r="AA135" i="2" l="1"/>
  <c r="AB135" i="2" s="1"/>
  <c r="AA134" i="2"/>
  <c r="AB134" i="2" s="1"/>
  <c r="AA136" i="2"/>
  <c r="AB136" i="2" s="1"/>
  <c r="AA137" i="2"/>
  <c r="AB137" i="2" s="1"/>
  <c r="P138" i="2" l="1" a="1"/>
  <c r="O138" i="2" a="1"/>
  <c r="O139" i="2" a="1"/>
  <c r="P139" i="2" a="1"/>
  <c r="W138" i="2" l="1"/>
  <c r="Q139" i="2"/>
  <c r="Q138" i="2"/>
  <c r="W139" i="2"/>
  <c r="AA138" i="2" l="1"/>
  <c r="AB138" i="2" s="1"/>
  <c r="AA139" i="2"/>
  <c r="AB139" i="2" s="1"/>
  <c r="O141" i="2" a="1"/>
  <c r="P141" i="2" a="1"/>
  <c r="O140" i="2" a="1"/>
  <c r="P140" i="2" a="1"/>
  <c r="Q141" i="2" l="1"/>
  <c r="W140" i="2"/>
  <c r="Q140" i="2"/>
  <c r="P142" i="2" a="1"/>
  <c r="P143" i="2" a="1"/>
  <c r="O142" i="2" a="1"/>
  <c r="O143" i="2" a="1"/>
  <c r="W141" i="2"/>
  <c r="Q142" i="2" l="1"/>
  <c r="AA140" i="2"/>
  <c r="AB140" i="2" s="1"/>
  <c r="W143" i="2"/>
  <c r="AA141" i="2"/>
  <c r="AB141" i="2" s="1"/>
  <c r="Q143" i="2"/>
  <c r="W142" i="2"/>
  <c r="AA142" i="2" l="1"/>
  <c r="AB142" i="2" s="1"/>
  <c r="AA143" i="2"/>
  <c r="AB143" i="2" s="1"/>
  <c r="O145" i="2" l="1" a="1"/>
  <c r="P144" i="2" a="1"/>
  <c r="O144" i="2" a="1"/>
  <c r="P145" i="2" a="1"/>
  <c r="P147" i="2" a="1"/>
  <c r="O146" i="2" a="1"/>
  <c r="W146" i="2" s="1"/>
  <c r="P146" i="2" a="1"/>
  <c r="O147" i="2" a="1"/>
  <c r="O148" i="2" a="1"/>
  <c r="P149" i="2" a="1"/>
  <c r="O149" i="2" a="1"/>
  <c r="P148" i="2" a="1"/>
  <c r="W145" i="2" l="1"/>
  <c r="W144" i="2"/>
  <c r="Q147" i="2"/>
  <c r="Q144" i="2"/>
  <c r="Q145" i="2"/>
  <c r="Q146" i="2"/>
  <c r="AA146" i="2" s="1"/>
  <c r="AB146" i="2" s="1"/>
  <c r="W147" i="2"/>
  <c r="W148" i="2"/>
  <c r="Q149" i="2"/>
  <c r="W149" i="2"/>
  <c r="Q148" i="2"/>
  <c r="AA144" i="2" l="1"/>
  <c r="AB144" i="2" s="1"/>
  <c r="AA145" i="2"/>
  <c r="AB145" i="2" s="1"/>
  <c r="AA147" i="2"/>
  <c r="AB147" i="2" s="1"/>
  <c r="AA149" i="2"/>
  <c r="AB149" i="2" s="1"/>
  <c r="AA148" i="2"/>
  <c r="AB148" i="2" s="1"/>
  <c r="P151" i="2" l="1" a="1"/>
  <c r="P150" i="2" a="1"/>
  <c r="O151" i="2" a="1"/>
  <c r="O150" i="2" a="1"/>
  <c r="Q150" i="2" l="1"/>
  <c r="W151" i="2"/>
  <c r="Q151" i="2"/>
  <c r="W150" i="2"/>
  <c r="AA151" i="2" l="1"/>
  <c r="AB151" i="2" s="1"/>
  <c r="AA150" i="2"/>
  <c r="AB150" i="2" s="1"/>
  <c r="O152" i="2" a="1"/>
  <c r="P152" i="2" a="1"/>
  <c r="P153" i="2" a="1"/>
  <c r="O153" i="2" a="1"/>
  <c r="P155" i="2" a="1"/>
  <c r="P154" i="2" a="1"/>
  <c r="O155" i="2" a="1"/>
  <c r="O154" i="2" a="1"/>
  <c r="W152" i="2" l="1"/>
  <c r="Q153" i="2"/>
  <c r="Q152" i="2"/>
  <c r="W153" i="2"/>
  <c r="W155" i="2"/>
  <c r="W154" i="2"/>
  <c r="Q154" i="2"/>
  <c r="Q155" i="2"/>
  <c r="O156" i="2" a="1"/>
  <c r="P156" i="2" a="1"/>
  <c r="O157" i="2" a="1"/>
  <c r="P157" i="2" a="1"/>
  <c r="O159" i="2" a="1"/>
  <c r="P158" i="2" a="1"/>
  <c r="P159" i="2" a="1"/>
  <c r="O158" i="2" a="1"/>
  <c r="AA152" i="2" l="1"/>
  <c r="AB152" i="2" s="1"/>
  <c r="AA153" i="2"/>
  <c r="AB153" i="2" s="1"/>
  <c r="W157" i="2"/>
  <c r="AA154" i="2"/>
  <c r="AB154" i="2" s="1"/>
  <c r="AA155" i="2"/>
  <c r="AB155" i="2" s="1"/>
  <c r="Q156" i="2"/>
  <c r="W156" i="2"/>
  <c r="Q157" i="2"/>
  <c r="W159" i="2"/>
  <c r="Q159" i="2"/>
  <c r="Q158" i="2"/>
  <c r="W158" i="2"/>
  <c r="AA157" i="2" l="1"/>
  <c r="AB157" i="2" s="1"/>
  <c r="AA156" i="2"/>
  <c r="AB156" i="2" s="1"/>
  <c r="AA158" i="2"/>
  <c r="AB158" i="2" s="1"/>
  <c r="AA159" i="2"/>
  <c r="AB159" i="2" s="1"/>
  <c r="O160" i="2" l="1" a="1"/>
  <c r="P160" i="2" a="1"/>
  <c r="P161" i="2" a="1"/>
  <c r="O161" i="2" a="1"/>
  <c r="W161" i="2" l="1"/>
  <c r="W160" i="2"/>
  <c r="Q160" i="2"/>
  <c r="Q161" i="2"/>
  <c r="AA161" i="2" l="1"/>
  <c r="AB161" i="2" s="1"/>
  <c r="P165" i="2" a="1"/>
  <c r="O165" i="2" a="1"/>
  <c r="P164" i="2" a="1"/>
  <c r="O164" i="2" a="1"/>
  <c r="P163" i="2" a="1"/>
  <c r="P162" i="2" a="1"/>
  <c r="O163" i="2" a="1"/>
  <c r="O162" i="2" a="1"/>
  <c r="AA160" i="2"/>
  <c r="AB160" i="2" s="1"/>
  <c r="Q164" i="2" l="1"/>
  <c r="W165" i="2"/>
  <c r="Q162" i="2"/>
  <c r="W163" i="2"/>
  <c r="Q165" i="2"/>
  <c r="W164" i="2"/>
  <c r="Q163" i="2"/>
  <c r="W162" i="2"/>
  <c r="AA164" i="2" l="1"/>
  <c r="AB164" i="2" s="1"/>
  <c r="AA162" i="2"/>
  <c r="AB162" i="2" s="1"/>
  <c r="AA165" i="2"/>
  <c r="AB165" i="2" s="1"/>
  <c r="AA163" i="2"/>
  <c r="AB163" i="2" s="1"/>
  <c r="P166" i="2" a="1"/>
  <c r="O167" i="2" a="1"/>
  <c r="P167" i="2" a="1"/>
  <c r="O166" i="2" a="1"/>
  <c r="O169" i="2" a="1"/>
  <c r="O168" i="2" a="1"/>
  <c r="P169" i="2" a="1"/>
  <c r="P168" i="2" a="1"/>
  <c r="O174" i="2" a="1"/>
  <c r="P175" i="2" a="1"/>
  <c r="O175" i="2" a="1"/>
  <c r="P174" i="2" a="1"/>
  <c r="Q168" i="2" l="1"/>
  <c r="Q166" i="2"/>
  <c r="W167" i="2"/>
  <c r="W166" i="2"/>
  <c r="Q169" i="2"/>
  <c r="Q167" i="2"/>
  <c r="W169" i="2"/>
  <c r="W168" i="2"/>
  <c r="O171" i="2" a="1"/>
  <c r="P170" i="2" a="1"/>
  <c r="P171" i="2" a="1"/>
  <c r="O170" i="2" a="1"/>
  <c r="O173" i="2" a="1"/>
  <c r="P172" i="2" a="1"/>
  <c r="O172" i="2" a="1"/>
  <c r="P173" i="2" a="1"/>
  <c r="Q174" i="2"/>
  <c r="W175" i="2"/>
  <c r="W174" i="2"/>
  <c r="Q175" i="2"/>
  <c r="AA166" i="2" l="1"/>
  <c r="AB166" i="2" s="1"/>
  <c r="AA168" i="2"/>
  <c r="AB168" i="2" s="1"/>
  <c r="AA167" i="2"/>
  <c r="AB167" i="2" s="1"/>
  <c r="AA169" i="2"/>
  <c r="AB169" i="2" s="1"/>
  <c r="Q171" i="2"/>
  <c r="Q170" i="2"/>
  <c r="W171" i="2"/>
  <c r="W170" i="2"/>
  <c r="Q172" i="2"/>
  <c r="W172" i="2"/>
  <c r="W173" i="2"/>
  <c r="Q173" i="2"/>
  <c r="AA174" i="2"/>
  <c r="AB174" i="2" s="1"/>
  <c r="AA175" i="2"/>
  <c r="AB175" i="2" s="1"/>
  <c r="AA171" i="2" l="1"/>
  <c r="AB171" i="2" s="1"/>
  <c r="AA170" i="2"/>
  <c r="AB170" i="2" s="1"/>
  <c r="O176" i="2" a="1"/>
  <c r="O177" i="2" a="1"/>
  <c r="P176" i="2" a="1"/>
  <c r="P177" i="2" a="1"/>
  <c r="AA173" i="2"/>
  <c r="AB173" i="2" s="1"/>
  <c r="AA172" i="2"/>
  <c r="AB172" i="2" s="1"/>
  <c r="Q177" i="2" l="1"/>
  <c r="W177" i="2"/>
  <c r="Q176" i="2"/>
  <c r="W176" i="2"/>
  <c r="AA176" i="2" l="1"/>
  <c r="AB176" i="2" s="1"/>
  <c r="AA177" i="2"/>
  <c r="AB177" i="2" s="1"/>
  <c r="O179" i="2" l="1" a="1"/>
  <c r="P178" i="2" a="1"/>
  <c r="P179" i="2" a="1"/>
  <c r="O178" i="2" a="1"/>
  <c r="Q178" i="2" l="1"/>
  <c r="Q179" i="2"/>
  <c r="W178" i="2"/>
  <c r="W179" i="2"/>
  <c r="AA178" i="2" l="1"/>
  <c r="AB178" i="2" s="1"/>
  <c r="AA179" i="2"/>
  <c r="AB179" i="2" s="1"/>
  <c r="O182" i="2" a="1"/>
  <c r="O183" i="2" a="1"/>
  <c r="P182" i="2" a="1"/>
  <c r="P183" i="2" a="1"/>
  <c r="P180" i="2" a="1"/>
  <c r="O181" i="2" a="1"/>
  <c r="O180" i="2" a="1"/>
  <c r="P181" i="2" a="1"/>
  <c r="P185" i="2" a="1"/>
  <c r="O185" i="2" a="1"/>
  <c r="P184" i="2" a="1"/>
  <c r="O184" i="2" a="1"/>
  <c r="Q183" i="2" l="1"/>
  <c r="W182" i="2"/>
  <c r="Q180" i="2"/>
  <c r="W181" i="2"/>
  <c r="W183" i="2"/>
  <c r="Q182" i="2"/>
  <c r="W180" i="2"/>
  <c r="Q181" i="2"/>
  <c r="W185" i="2"/>
  <c r="W184" i="2"/>
  <c r="Q185" i="2"/>
  <c r="Q184" i="2"/>
  <c r="AA183" i="2" l="1"/>
  <c r="AB183" i="2" s="1"/>
  <c r="AA182" i="2"/>
  <c r="AB182" i="2" s="1"/>
  <c r="AA180" i="2"/>
  <c r="AB180" i="2" s="1"/>
  <c r="AA181" i="2"/>
  <c r="AB181" i="2" s="1"/>
  <c r="AA185" i="2"/>
  <c r="AB185" i="2" s="1"/>
  <c r="AA184" i="2"/>
  <c r="AB184" i="2" s="1"/>
  <c r="P186" i="2" l="1" a="1"/>
  <c r="O186" i="2" a="1"/>
  <c r="P187" i="2" a="1"/>
  <c r="O187" i="2" a="1"/>
  <c r="W187" i="2" l="1"/>
  <c r="W186" i="2"/>
  <c r="Q186" i="2"/>
  <c r="Q187" i="2"/>
  <c r="AA186" i="2" l="1"/>
  <c r="AB186" i="2" s="1"/>
  <c r="AA187" i="2"/>
  <c r="AB187" i="2" s="1"/>
  <c r="O190" i="2" l="1" a="1"/>
  <c r="O191" i="2" a="1"/>
  <c r="P190" i="2" a="1"/>
  <c r="P191" i="2" a="1"/>
  <c r="P188" i="2" a="1"/>
  <c r="O189" i="2" a="1"/>
  <c r="O188" i="2" a="1"/>
  <c r="P189" i="2" a="1"/>
  <c r="W190" i="2" l="1"/>
  <c r="W191" i="2"/>
  <c r="Q188" i="2"/>
  <c r="Q189" i="2"/>
  <c r="Q190" i="2"/>
  <c r="Q191" i="2"/>
  <c r="W189" i="2"/>
  <c r="W188" i="2"/>
  <c r="AA190" i="2" l="1"/>
  <c r="AB190" i="2" s="1"/>
  <c r="AA188" i="2"/>
  <c r="AB188" i="2" s="1"/>
  <c r="AA191" i="2"/>
  <c r="AB191" i="2" s="1"/>
  <c r="AA189" i="2"/>
  <c r="AB189" i="2" s="1"/>
  <c r="O194" i="2" a="1"/>
  <c r="P194" i="2" a="1"/>
  <c r="O195" i="2" a="1"/>
  <c r="P195" i="2" a="1"/>
  <c r="O193" i="2" l="1" a="1"/>
  <c r="O192" i="2" a="1"/>
  <c r="P193" i="2" a="1"/>
  <c r="P192" i="2" a="1"/>
  <c r="W195" i="2"/>
  <c r="Q194" i="2"/>
  <c r="Q195" i="2"/>
  <c r="W194" i="2"/>
  <c r="W193" i="2" l="1"/>
  <c r="W192" i="2"/>
  <c r="Q193" i="2"/>
  <c r="Q192" i="2"/>
  <c r="AA195" i="2"/>
  <c r="AB195" i="2" s="1"/>
  <c r="AA194" i="2"/>
  <c r="AB194" i="2" s="1"/>
  <c r="P199" i="2" a="1"/>
  <c r="O197" i="2" a="1"/>
  <c r="P196" i="2" a="1"/>
  <c r="O198" i="2" a="1"/>
  <c r="O196" i="2" a="1"/>
  <c r="P197" i="2" a="1"/>
  <c r="O199" i="2" a="1"/>
  <c r="W199" i="2" s="1"/>
  <c r="P198" i="2" a="1"/>
  <c r="P201" i="2" a="1"/>
  <c r="P200" i="2" a="1"/>
  <c r="O201" i="2" a="1"/>
  <c r="O200" i="2" a="1"/>
  <c r="AA193" i="2" l="1"/>
  <c r="AB193" i="2" s="1"/>
  <c r="AA192" i="2"/>
  <c r="AB192" i="2" s="1"/>
  <c r="Q198" i="2"/>
  <c r="W197" i="2"/>
  <c r="Q196" i="2"/>
  <c r="Q199" i="2"/>
  <c r="AA199" i="2" s="1"/>
  <c r="AB199" i="2" s="1"/>
  <c r="W198" i="2"/>
  <c r="W196" i="2"/>
  <c r="Q197" i="2"/>
  <c r="Q201" i="2"/>
  <c r="W200" i="2"/>
  <c r="W201" i="2"/>
  <c r="Q200" i="2"/>
  <c r="AA198" i="2" l="1"/>
  <c r="AB198" i="2" s="1"/>
  <c r="AA196" i="2"/>
  <c r="AB196" i="2" s="1"/>
  <c r="AA197" i="2"/>
  <c r="AB197" i="2" s="1"/>
  <c r="AA201" i="2"/>
  <c r="AB201" i="2" s="1"/>
  <c r="AA200" i="2"/>
  <c r="AB200" i="2" s="1"/>
  <c r="P202" i="2" a="1"/>
  <c r="P203" i="2" a="1"/>
  <c r="O203" i="2" a="1"/>
  <c r="O202" i="2" a="1"/>
  <c r="W203" i="2" l="1"/>
  <c r="Q202" i="2"/>
  <c r="Q203" i="2"/>
  <c r="W202" i="2"/>
  <c r="AA203" i="2" l="1"/>
  <c r="AB203" i="2" s="1"/>
  <c r="AA202" i="2"/>
  <c r="AB202" i="2" s="1"/>
  <c r="P204" i="2" l="1" a="1"/>
  <c r="P205" i="2" a="1"/>
  <c r="O204" i="2" a="1"/>
  <c r="O205" i="2" a="1"/>
  <c r="W204" i="2" l="1"/>
  <c r="W205" i="2"/>
  <c r="Q204" i="2"/>
  <c r="Q205" i="2"/>
  <c r="AA204" i="2" l="1"/>
  <c r="AB204" i="2" s="1"/>
  <c r="AA205" i="2"/>
  <c r="AB205" i="2" s="1"/>
  <c r="P211" i="2" a="1"/>
  <c r="O210" i="2" a="1"/>
  <c r="P210" i="2" a="1"/>
  <c r="O211" i="2" a="1"/>
  <c r="P207" i="2" l="1" a="1"/>
  <c r="O207" i="2" a="1"/>
  <c r="W207" i="2" s="1"/>
  <c r="O206" i="2" a="1"/>
  <c r="P206" i="2" a="1"/>
  <c r="P209" i="2" a="1"/>
  <c r="O208" i="2" a="1"/>
  <c r="P208" i="2" a="1"/>
  <c r="O209" i="2" a="1"/>
  <c r="W210" i="2"/>
  <c r="W211" i="2"/>
  <c r="O213" i="2" a="1"/>
  <c r="P213" i="2" a="1"/>
  <c r="P212" i="2" a="1"/>
  <c r="O212" i="2" a="1"/>
  <c r="Q211" i="2"/>
  <c r="Q210" i="2"/>
  <c r="W206" i="2" l="1"/>
  <c r="Q207" i="2"/>
  <c r="AA207" i="2" s="1"/>
  <c r="AB207" i="2" s="1"/>
  <c r="Q206" i="2"/>
  <c r="Q208" i="2"/>
  <c r="W209" i="2"/>
  <c r="Q209" i="2"/>
  <c r="W208" i="2"/>
  <c r="W212" i="2"/>
  <c r="AA210" i="2"/>
  <c r="AB210" i="2" s="1"/>
  <c r="W213" i="2"/>
  <c r="AA211" i="2"/>
  <c r="AB211" i="2" s="1"/>
  <c r="Q212" i="2"/>
  <c r="Q213" i="2"/>
  <c r="AA206" i="2" l="1"/>
  <c r="AB206" i="2" s="1"/>
  <c r="AA209" i="2"/>
  <c r="AB209" i="2" s="1"/>
  <c r="AA208" i="2"/>
  <c r="AB208" i="2" s="1"/>
  <c r="AA212" i="2"/>
  <c r="AB212" i="2" s="1"/>
  <c r="AA213" i="2"/>
  <c r="AB213" i="2" s="1"/>
  <c r="P214" i="2" l="1" a="1"/>
  <c r="O215" i="2" a="1"/>
  <c r="O214" i="2" a="1"/>
  <c r="P215" i="2" a="1"/>
  <c r="Q214" i="2" l="1"/>
  <c r="Q215" i="2"/>
  <c r="W214" i="2"/>
  <c r="W215" i="2"/>
  <c r="O217" i="2" a="1"/>
  <c r="P217" i="2" a="1"/>
  <c r="O216" i="2" a="1"/>
  <c r="P216" i="2" a="1"/>
  <c r="AA214" i="2" l="1"/>
  <c r="AB214" i="2" s="1"/>
  <c r="AA215" i="2"/>
  <c r="AB215" i="2" s="1"/>
  <c r="W217" i="2"/>
  <c r="W216" i="2"/>
  <c r="Q217" i="2"/>
  <c r="O219" i="2" a="1"/>
  <c r="P218" i="2" a="1"/>
  <c r="O218" i="2" a="1"/>
  <c r="P219" i="2" a="1"/>
  <c r="Q216" i="2"/>
  <c r="AA217" i="2" l="1"/>
  <c r="AB217" i="2" s="1"/>
  <c r="Q219" i="2"/>
  <c r="AA216" i="2"/>
  <c r="AB216" i="2" s="1"/>
  <c r="Q218" i="2"/>
  <c r="W219" i="2"/>
  <c r="W218" i="2"/>
  <c r="AA218" i="2" l="1"/>
  <c r="AB218" i="2" s="1"/>
  <c r="AA219" i="2"/>
  <c r="AB219" i="2" s="1"/>
  <c r="O221" i="2" l="1" a="1"/>
  <c r="O220" i="2" a="1"/>
  <c r="P221" i="2" a="1"/>
  <c r="O224" i="2" a="1"/>
  <c r="P220" i="2" a="1"/>
  <c r="O222" i="2" a="1"/>
  <c r="O225" i="2" a="1"/>
  <c r="O223" i="2" a="1"/>
  <c r="P222" i="2" a="1"/>
  <c r="P223" i="2" a="1"/>
  <c r="P225" i="2" a="1"/>
  <c r="P224" i="2" a="1"/>
  <c r="O227" i="2" a="1"/>
  <c r="P226" i="2" a="1"/>
  <c r="O226" i="2" a="1"/>
  <c r="P227" i="2" a="1"/>
  <c r="W220" i="2" l="1"/>
  <c r="W227" i="2"/>
  <c r="W226" i="2"/>
  <c r="Q221" i="2"/>
  <c r="Q222" i="2"/>
  <c r="Q223" i="2"/>
  <c r="Q225" i="2"/>
  <c r="Q224" i="2"/>
  <c r="Q227" i="2"/>
  <c r="W221" i="2"/>
  <c r="W224" i="2"/>
  <c r="Q220" i="2"/>
  <c r="AA220" i="2" s="1"/>
  <c r="AB220" i="2" s="1"/>
  <c r="W222" i="2"/>
  <c r="W225" i="2"/>
  <c r="W223" i="2"/>
  <c r="Q226" i="2"/>
  <c r="O229" i="2" a="1"/>
  <c r="O228" i="2" a="1"/>
  <c r="P228" i="2" a="1"/>
  <c r="P229" i="2" a="1"/>
  <c r="AA227" i="2" l="1"/>
  <c r="AB227" i="2" s="1"/>
  <c r="AA226" i="2"/>
  <c r="AB226" i="2" s="1"/>
  <c r="AA221" i="2"/>
  <c r="AB221" i="2" s="1"/>
  <c r="AA224" i="2"/>
  <c r="AB224" i="2" s="1"/>
  <c r="AA223" i="2"/>
  <c r="AB223" i="2" s="1"/>
  <c r="AA225" i="2"/>
  <c r="AB225" i="2" s="1"/>
  <c r="AA222" i="2"/>
  <c r="AB222" i="2" s="1"/>
  <c r="Q229" i="2"/>
  <c r="W228" i="2"/>
  <c r="Q228" i="2"/>
  <c r="W229" i="2"/>
  <c r="AA228" i="2" l="1"/>
  <c r="AB228" i="2" s="1"/>
  <c r="AA229" i="2"/>
  <c r="AB229" i="2" s="1"/>
  <c r="O231" i="2" a="1"/>
  <c r="O230" i="2" a="1"/>
  <c r="P231" i="2" a="1"/>
  <c r="P230" i="2" a="1"/>
  <c r="Q231" i="2" l="1"/>
  <c r="Q230" i="2"/>
  <c r="W231" i="2"/>
  <c r="W230" i="2"/>
  <c r="AA231" i="2" l="1"/>
  <c r="AB231" i="2" s="1"/>
  <c r="AA230" i="2"/>
  <c r="AB230" i="2" s="1"/>
  <c r="P232" i="2" l="1" a="1"/>
  <c r="O233" i="2" a="1"/>
  <c r="O232" i="2" a="1"/>
  <c r="P233" i="2" a="1"/>
  <c r="Q232" i="2" l="1"/>
  <c r="W233" i="2"/>
  <c r="W232" i="2"/>
  <c r="Q233" i="2"/>
  <c r="AA232" i="2" l="1"/>
  <c r="AB232" i="2" s="1"/>
  <c r="AA233" i="2"/>
  <c r="AB233" i="2" s="1"/>
  <c r="O235" i="2" l="1" a="1"/>
  <c r="O234" i="2" a="1"/>
  <c r="P235" i="2" a="1"/>
  <c r="P234" i="2" a="1"/>
  <c r="Q234" i="2" l="1"/>
  <c r="W235" i="2"/>
  <c r="W234" i="2"/>
  <c r="Q235" i="2"/>
  <c r="AA234" i="2" l="1"/>
  <c r="AB234" i="2" s="1"/>
  <c r="AA235" i="2"/>
  <c r="AB235" i="2" s="1"/>
  <c r="O237" i="2" a="1"/>
  <c r="P236" i="2" a="1"/>
  <c r="P237" i="2" a="1"/>
  <c r="O236" i="2" a="1"/>
  <c r="P239" i="2" a="1"/>
  <c r="O239" i="2" a="1"/>
  <c r="P238" i="2" a="1"/>
  <c r="O238" i="2" a="1"/>
  <c r="Q237" i="2" l="1"/>
  <c r="W236" i="2"/>
  <c r="Q238" i="2"/>
  <c r="Q239" i="2"/>
  <c r="Q236" i="2"/>
  <c r="AA236" i="2" s="1"/>
  <c r="AB236" i="2" s="1"/>
  <c r="W239" i="2"/>
  <c r="W238" i="2"/>
  <c r="AA238" i="2" s="1"/>
  <c r="AB238" i="2" s="1"/>
  <c r="W237" i="2"/>
  <c r="AA237" i="2" l="1"/>
  <c r="AB237" i="2" s="1"/>
  <c r="AA239" i="2"/>
  <c r="AB239" i="2" s="1"/>
  <c r="O245" i="2" a="1"/>
  <c r="P245" i="2" a="1"/>
  <c r="Q245" i="2" s="1"/>
  <c r="O243" i="2" a="1"/>
  <c r="O242" i="2" a="1"/>
  <c r="O244" i="2" a="1"/>
  <c r="P244" i="2" a="1"/>
  <c r="P243" i="2" a="1"/>
  <c r="P241" i="2" a="1"/>
  <c r="P242" i="2" a="1"/>
  <c r="P240" i="2" a="1"/>
  <c r="O240" i="2" a="1"/>
  <c r="O241" i="2" a="1"/>
  <c r="Q242" i="2" l="1"/>
  <c r="Q240" i="2"/>
  <c r="Q241" i="2"/>
  <c r="W243" i="2"/>
  <c r="W240" i="2"/>
  <c r="W244" i="2"/>
  <c r="W245" i="2"/>
  <c r="AA245" i="2" s="1"/>
  <c r="AB245" i="2" s="1"/>
  <c r="W242" i="2"/>
  <c r="AA242" i="2" s="1"/>
  <c r="AB242" i="2" s="1"/>
  <c r="Q244" i="2"/>
  <c r="Q243" i="2"/>
  <c r="W241" i="2"/>
  <c r="AA243" i="2" l="1"/>
  <c r="AB243" i="2" s="1"/>
  <c r="AA240" i="2"/>
  <c r="AB240" i="2" s="1"/>
  <c r="AA241" i="2"/>
  <c r="AB241" i="2" s="1"/>
  <c r="AA244" i="2"/>
  <c r="AB244" i="2" s="1"/>
  <c r="O247" i="2" a="1"/>
  <c r="P246" i="2" a="1"/>
  <c r="P247" i="2" a="1"/>
  <c r="O246" i="2" a="1"/>
  <c r="P248" i="2" a="1"/>
  <c r="O249" i="2" a="1"/>
  <c r="O248" i="2" a="1"/>
  <c r="P249" i="2" a="1"/>
  <c r="W247" i="2" l="1"/>
  <c r="W246" i="2"/>
  <c r="Q246" i="2"/>
  <c r="Q247" i="2"/>
  <c r="Q248" i="2"/>
  <c r="Q249" i="2"/>
  <c r="W248" i="2"/>
  <c r="W249" i="2"/>
  <c r="AA247" i="2" l="1"/>
  <c r="AB247" i="2" s="1"/>
  <c r="AA246" i="2"/>
  <c r="AB246" i="2" s="1"/>
  <c r="AA248" i="2"/>
  <c r="AB248" i="2" s="1"/>
  <c r="AA249" i="2"/>
  <c r="AB249" i="2" s="1"/>
  <c r="O250" i="2" a="1"/>
  <c r="P253" i="2" a="1"/>
  <c r="P251" i="2" a="1"/>
  <c r="O254" i="2" a="1"/>
  <c r="P250" i="2" a="1"/>
  <c r="O253" i="2" a="1"/>
  <c r="P252" i="2" a="1"/>
  <c r="O251" i="2" a="1"/>
  <c r="O252" i="2" a="1"/>
  <c r="P255" i="2" a="1"/>
  <c r="O255" i="2" a="1"/>
  <c r="P254" i="2" a="1"/>
  <c r="W255" i="2" l="1"/>
  <c r="Q252" i="2"/>
  <c r="Q250" i="2"/>
  <c r="W253" i="2"/>
  <c r="W251" i="2"/>
  <c r="Q254" i="2"/>
  <c r="Q253" i="2"/>
  <c r="Q251" i="2"/>
  <c r="W254" i="2"/>
  <c r="W252" i="2"/>
  <c r="Q255" i="2"/>
  <c r="W250" i="2"/>
  <c r="AA255" i="2" l="1"/>
  <c r="AB255" i="2" s="1"/>
  <c r="AA253" i="2"/>
  <c r="AB253" i="2" s="1"/>
  <c r="AA251" i="2"/>
  <c r="AB251" i="2" s="1"/>
  <c r="AA252" i="2"/>
  <c r="AB252" i="2" s="1"/>
  <c r="AA250" i="2"/>
  <c r="AB250" i="2" s="1"/>
  <c r="AA254" i="2"/>
  <c r="AB254" i="2" s="1"/>
  <c r="O256" i="2" a="1"/>
  <c r="P256" i="2" a="1"/>
  <c r="P257" i="2" a="1"/>
  <c r="O257" i="2" a="1"/>
  <c r="O259" i="2" l="1" a="1"/>
  <c r="P258" i="2" a="1"/>
  <c r="Q256" i="2"/>
  <c r="W257" i="2"/>
  <c r="O258" i="2" a="1"/>
  <c r="P259" i="2" a="1"/>
  <c r="W256" i="2"/>
  <c r="Q257" i="2"/>
  <c r="AA256" i="2" l="1"/>
  <c r="AB256" i="2" s="1"/>
  <c r="AA257" i="2"/>
  <c r="AB257" i="2" s="1"/>
  <c r="Q258" i="2"/>
  <c r="W258" i="2"/>
  <c r="W259" i="2"/>
  <c r="Q259" i="2"/>
  <c r="AA259" i="2" l="1"/>
  <c r="AB259" i="2" s="1"/>
  <c r="AA258" i="2"/>
  <c r="AB258" i="2" s="1"/>
  <c r="P261" i="2" l="1" a="1"/>
  <c r="P263" i="2" a="1"/>
  <c r="P262" i="2" a="1"/>
  <c r="O263" i="2" a="1"/>
  <c r="P260" i="2" a="1"/>
  <c r="O267" i="2" a="1"/>
  <c r="O261" i="2" a="1"/>
  <c r="W261" i="2" s="1"/>
  <c r="O265" i="2" a="1"/>
  <c r="O262" i="2" a="1"/>
  <c r="O264" i="2" a="1"/>
  <c r="O260" i="2" a="1"/>
  <c r="P267" i="2" a="1"/>
  <c r="P265" i="2" a="1"/>
  <c r="P266" i="2" a="1"/>
  <c r="P264" i="2" a="1"/>
  <c r="O266" i="2" a="1"/>
  <c r="Q262" i="2" l="1"/>
  <c r="W267" i="2"/>
  <c r="W265" i="2"/>
  <c r="W264" i="2"/>
  <c r="W266" i="2"/>
  <c r="W263" i="2"/>
  <c r="W260" i="2"/>
  <c r="Q266" i="2"/>
  <c r="W262" i="2"/>
  <c r="Q267" i="2"/>
  <c r="Q265" i="2"/>
  <c r="Q264" i="2"/>
  <c r="Q263" i="2"/>
  <c r="Q261" i="2"/>
  <c r="AA261" i="2" s="1"/>
  <c r="AB261" i="2" s="1"/>
  <c r="Q260" i="2"/>
  <c r="O270" i="2" a="1"/>
  <c r="P270" i="2" a="1"/>
  <c r="P268" i="2" a="1"/>
  <c r="P269" i="2" a="1"/>
  <c r="O268" i="2" a="1"/>
  <c r="O269" i="2" a="1"/>
  <c r="O271" i="2" a="1"/>
  <c r="P271" i="2" a="1"/>
  <c r="AA267" i="2" l="1"/>
  <c r="AB267" i="2" s="1"/>
  <c r="AA262" i="2"/>
  <c r="AB262" i="2" s="1"/>
  <c r="AA265" i="2"/>
  <c r="AB265" i="2" s="1"/>
  <c r="AA264" i="2"/>
  <c r="AB264" i="2" s="1"/>
  <c r="AA266" i="2"/>
  <c r="AB266" i="2" s="1"/>
  <c r="AA263" i="2"/>
  <c r="AB263" i="2" s="1"/>
  <c r="AA260" i="2"/>
  <c r="AB260" i="2" s="1"/>
  <c r="Q268" i="2"/>
  <c r="W269" i="2"/>
  <c r="Q270" i="2"/>
  <c r="W270" i="2"/>
  <c r="Q271" i="2"/>
  <c r="Q269" i="2"/>
  <c r="W268" i="2"/>
  <c r="W271" i="2"/>
  <c r="AA268" i="2" l="1"/>
  <c r="AB268" i="2" s="1"/>
  <c r="AA270" i="2"/>
  <c r="AB270" i="2" s="1"/>
  <c r="AA269" i="2"/>
  <c r="AB269" i="2" s="1"/>
  <c r="AA271" i="2"/>
  <c r="AB271" i="2" s="1"/>
  <c r="P272" i="2" a="1"/>
  <c r="O272" i="2" a="1"/>
  <c r="P273" i="2" a="1"/>
  <c r="O273" i="2" a="1"/>
  <c r="O274" i="2" a="1"/>
  <c r="P275" i="2" a="1"/>
  <c r="O278" i="2" a="1"/>
  <c r="O276" i="2" a="1"/>
  <c r="P277" i="2" a="1"/>
  <c r="P278" i="2" a="1"/>
  <c r="O277" i="2" a="1"/>
  <c r="P276" i="2" a="1"/>
  <c r="O279" i="2" a="1"/>
  <c r="P279" i="2" a="1"/>
  <c r="P274" i="2" l="1" a="1"/>
  <c r="O275" i="2" a="1"/>
  <c r="W273" i="2"/>
  <c r="W272" i="2"/>
  <c r="Q272" i="2"/>
  <c r="Q278" i="2"/>
  <c r="Q273" i="2"/>
  <c r="Q279" i="2"/>
  <c r="Q276" i="2"/>
  <c r="W278" i="2"/>
  <c r="Q277" i="2"/>
  <c r="W276" i="2"/>
  <c r="W279" i="2"/>
  <c r="W277" i="2"/>
  <c r="Q274" i="2" l="1"/>
  <c r="W274" i="2"/>
  <c r="AA274" i="2" s="1"/>
  <c r="AB274" i="2" s="1"/>
  <c r="Q275" i="2"/>
  <c r="W275" i="2"/>
  <c r="AA272" i="2"/>
  <c r="AB272" i="2" s="1"/>
  <c r="AA273" i="2"/>
  <c r="AB273" i="2" s="1"/>
  <c r="AA278" i="2"/>
  <c r="AB278" i="2" s="1"/>
  <c r="AA275" i="2"/>
  <c r="AB275" i="2" s="1"/>
  <c r="AA279" i="2"/>
  <c r="AB279" i="2" s="1"/>
  <c r="AA276" i="2"/>
  <c r="AB276" i="2" s="1"/>
  <c r="AA277" i="2"/>
  <c r="AB277" i="2" s="1"/>
  <c r="P283" i="2" a="1"/>
  <c r="O282" i="2" a="1"/>
  <c r="O283" i="2" a="1"/>
  <c r="P282" i="2" a="1"/>
  <c r="O280" i="2" l="1" a="1"/>
  <c r="O281" i="2" a="1"/>
  <c r="P280" i="2" a="1"/>
  <c r="P281" i="2" a="1"/>
  <c r="W282" i="2"/>
  <c r="Q283" i="2"/>
  <c r="W283" i="2"/>
  <c r="Q282" i="2"/>
  <c r="W280" i="2" l="1"/>
  <c r="Q281" i="2"/>
  <c r="W281" i="2"/>
  <c r="Q280" i="2"/>
  <c r="AA283" i="2"/>
  <c r="AB283" i="2" s="1"/>
  <c r="AA282" i="2"/>
  <c r="AB282" i="2" s="1"/>
  <c r="AA281" i="2" l="1"/>
  <c r="AB281" i="2" s="1"/>
  <c r="AA280" i="2"/>
  <c r="AB280" i="2" s="1"/>
  <c r="P284" i="2" a="1"/>
  <c r="O287" i="2" a="1"/>
  <c r="O286" i="2" a="1"/>
  <c r="O284" i="2" a="1"/>
  <c r="P287" i="2" a="1"/>
  <c r="P286" i="2" a="1"/>
  <c r="P285" i="2" a="1"/>
  <c r="O285" i="2" a="1"/>
  <c r="W287" i="2" l="1"/>
  <c r="W284" i="2"/>
  <c r="Q286" i="2"/>
  <c r="Q285" i="2"/>
  <c r="Q284" i="2"/>
  <c r="W286" i="2"/>
  <c r="Q287" i="2"/>
  <c r="W285" i="2"/>
  <c r="AA286" i="2" l="1"/>
  <c r="AB286" i="2" s="1"/>
  <c r="AA285" i="2"/>
  <c r="AB285" i="2" s="1"/>
  <c r="AA287" i="2"/>
  <c r="AB287" i="2" s="1"/>
  <c r="AA284" i="2"/>
  <c r="AB284" i="2" s="1"/>
  <c r="P291" i="2" a="1"/>
  <c r="P290" i="2" a="1"/>
  <c r="O290" i="2" a="1"/>
  <c r="O291" i="2" a="1"/>
  <c r="P288" i="2" a="1"/>
  <c r="O289" i="2" a="1"/>
  <c r="P289" i="2" a="1"/>
  <c r="O292" i="2" a="1"/>
  <c r="O293" i="2" a="1"/>
  <c r="O288" i="2" a="1"/>
  <c r="P292" i="2" a="1"/>
  <c r="P293" i="2" a="1"/>
  <c r="P295" i="2" a="1"/>
  <c r="O294" i="2" a="1"/>
  <c r="O295" i="2" a="1"/>
  <c r="P294" i="2" a="1"/>
  <c r="W291" i="2" l="1"/>
  <c r="Q289" i="2"/>
  <c r="W293" i="2"/>
  <c r="Q292" i="2"/>
  <c r="W290" i="2"/>
  <c r="Q288" i="2"/>
  <c r="Q291" i="2"/>
  <c r="Q290" i="2"/>
  <c r="W289" i="2"/>
  <c r="W292" i="2"/>
  <c r="W288" i="2"/>
  <c r="Q293" i="2"/>
  <c r="W295" i="2"/>
  <c r="Q295" i="2"/>
  <c r="Q294" i="2"/>
  <c r="W294" i="2"/>
  <c r="AA293" i="2" l="1"/>
  <c r="AB293" i="2" s="1"/>
  <c r="AA291" i="2"/>
  <c r="AB291" i="2" s="1"/>
  <c r="AA290" i="2"/>
  <c r="AB290" i="2" s="1"/>
  <c r="AA289" i="2"/>
  <c r="AB289" i="2" s="1"/>
  <c r="AA292" i="2"/>
  <c r="AB292" i="2" s="1"/>
  <c r="AA288" i="2"/>
  <c r="AB288" i="2" s="1"/>
  <c r="AA295" i="2"/>
  <c r="AB295" i="2" s="1"/>
  <c r="AA294" i="2"/>
  <c r="AB294" i="2" s="1"/>
  <c r="P297" i="2" l="1" a="1"/>
  <c r="O296" i="2" a="1"/>
  <c r="O297" i="2" a="1"/>
  <c r="P296" i="2" a="1"/>
  <c r="O299" i="2" a="1"/>
  <c r="P298" i="2" a="1"/>
  <c r="P299" i="2" a="1"/>
  <c r="O298" i="2" a="1"/>
  <c r="W297" i="2" l="1"/>
  <c r="W299" i="2"/>
  <c r="Q296" i="2"/>
  <c r="W298" i="2"/>
  <c r="W296" i="2"/>
  <c r="AA296" i="2" s="1"/>
  <c r="AB296" i="2" s="1"/>
  <c r="Q298" i="2"/>
  <c r="Q299" i="2"/>
  <c r="Q297" i="2"/>
  <c r="AA299" i="2" l="1"/>
  <c r="AB299" i="2" s="1"/>
  <c r="AA297" i="2"/>
  <c r="AB297" i="2" s="1"/>
  <c r="AA298" i="2"/>
  <c r="AB298" i="2" s="1"/>
  <c r="P303" i="2" a="1"/>
  <c r="O302" i="2" a="1"/>
  <c r="O301" i="2" a="1"/>
  <c r="P300" i="2" a="1"/>
  <c r="P301" i="2" a="1"/>
  <c r="O300" i="2" a="1"/>
  <c r="P302" i="2" a="1"/>
  <c r="O303" i="2" a="1"/>
  <c r="W302" i="2" l="1"/>
  <c r="Q301" i="2"/>
  <c r="W300" i="2"/>
  <c r="W303" i="2"/>
  <c r="Q303" i="2"/>
  <c r="AA303" i="2" s="1"/>
  <c r="AB303" i="2" s="1"/>
  <c r="W301" i="2"/>
  <c r="Q300" i="2"/>
  <c r="Q302" i="2"/>
  <c r="O305" i="2" l="1" a="1"/>
  <c r="P304" i="2" a="1"/>
  <c r="P305" i="2" a="1"/>
  <c r="O304" i="2" a="1"/>
  <c r="AA301" i="2"/>
  <c r="AB301" i="2" s="1"/>
  <c r="AA302" i="2"/>
  <c r="AB302" i="2" s="1"/>
  <c r="AA300" i="2"/>
  <c r="AB300" i="2" s="1"/>
  <c r="O307" i="2" a="1"/>
  <c r="P306" i="2" a="1"/>
  <c r="P307" i="2" a="1"/>
  <c r="O306" i="2" a="1"/>
  <c r="W304" i="2" l="1"/>
  <c r="W305" i="2"/>
  <c r="Q304" i="2"/>
  <c r="Q305" i="2"/>
  <c r="W307" i="2"/>
  <c r="W306" i="2"/>
  <c r="Q306" i="2"/>
  <c r="Q307" i="2"/>
  <c r="AA305" i="2" l="1"/>
  <c r="AB305" i="2" s="1"/>
  <c r="AA304" i="2"/>
  <c r="AB304" i="2" s="1"/>
  <c r="AA306" i="2"/>
  <c r="AB306" i="2" s="1"/>
  <c r="AA307" i="2"/>
  <c r="AB307" i="2" s="1"/>
  <c r="O309" i="2" a="1"/>
  <c r="O308" i="2" a="1"/>
  <c r="P308" i="2" a="1"/>
  <c r="P309" i="2" a="1"/>
  <c r="Q309" i="2" l="1"/>
  <c r="Q308" i="2"/>
  <c r="W309" i="2"/>
  <c r="W308" i="2"/>
  <c r="AA309" i="2" l="1"/>
  <c r="AB309" i="2" s="1"/>
  <c r="AA308" i="2"/>
  <c r="AB308" i="2" s="1"/>
  <c r="O311" i="2" l="1" a="1"/>
  <c r="O312" i="2" a="1"/>
  <c r="P311" i="2" a="1"/>
  <c r="O310" i="2" a="1"/>
  <c r="P310" i="2" a="1"/>
  <c r="P313" i="2" a="1"/>
  <c r="O313" i="2" a="1"/>
  <c r="P312" i="2" a="1"/>
  <c r="O315" i="2" a="1"/>
  <c r="P315" i="2" a="1"/>
  <c r="O314" i="2" a="1"/>
  <c r="P314" i="2" a="1"/>
  <c r="P317" i="2" a="1"/>
  <c r="O317" i="2" a="1"/>
  <c r="P316" i="2" a="1"/>
  <c r="O316" i="2" a="1"/>
  <c r="W313" i="2" l="1"/>
  <c r="W314" i="2"/>
  <c r="W315" i="2"/>
  <c r="W311" i="2"/>
  <c r="Q310" i="2"/>
  <c r="W312" i="2"/>
  <c r="Q311" i="2"/>
  <c r="W310" i="2"/>
  <c r="Q313" i="2"/>
  <c r="Q312" i="2"/>
  <c r="Q315" i="2"/>
  <c r="Q314" i="2"/>
  <c r="W316" i="2"/>
  <c r="W317" i="2"/>
  <c r="Q316" i="2"/>
  <c r="Q317" i="2"/>
  <c r="AA311" i="2" l="1"/>
  <c r="AB311" i="2" s="1"/>
  <c r="AA313" i="2"/>
  <c r="AB313" i="2" s="1"/>
  <c r="AA315" i="2"/>
  <c r="AB315" i="2" s="1"/>
  <c r="AA314" i="2"/>
  <c r="AB314" i="2" s="1"/>
  <c r="AA312" i="2"/>
  <c r="AB312" i="2" s="1"/>
  <c r="AA310" i="2"/>
  <c r="AB310" i="2" s="1"/>
  <c r="AA316" i="2"/>
  <c r="AB316" i="2" s="1"/>
  <c r="AA317" i="2"/>
  <c r="AB317" i="2" s="1"/>
  <c r="O319" i="2" l="1" a="1"/>
  <c r="P319" i="2" a="1"/>
  <c r="O318" i="2" a="1"/>
  <c r="P320" i="2" a="1"/>
  <c r="O320" i="2" a="1"/>
  <c r="P321" i="2" a="1"/>
  <c r="O321" i="2" a="1"/>
  <c r="P318" i="2" a="1"/>
  <c r="W319" i="2" l="1"/>
  <c r="W318" i="2"/>
  <c r="Q320" i="2"/>
  <c r="W321" i="2"/>
  <c r="Q319" i="2"/>
  <c r="W320" i="2"/>
  <c r="Q321" i="2"/>
  <c r="Q318" i="2"/>
  <c r="AA321" i="2" l="1"/>
  <c r="AB321" i="2" s="1"/>
  <c r="AA319" i="2"/>
  <c r="AB319" i="2" s="1"/>
  <c r="AA318" i="2"/>
  <c r="AB318" i="2" s="1"/>
  <c r="AA320" i="2"/>
  <c r="AB320" i="2" s="1"/>
  <c r="P325" i="2" a="1"/>
  <c r="O325" i="2" a="1"/>
  <c r="P324" i="2" a="1"/>
  <c r="O324" i="2" a="1"/>
  <c r="O323" i="2" a="1"/>
  <c r="P323" i="2" a="1"/>
  <c r="O322" i="2" a="1"/>
  <c r="P322" i="2" a="1"/>
  <c r="W322" i="2" l="1"/>
  <c r="Q325" i="2"/>
  <c r="Q324" i="2"/>
  <c r="W323" i="2"/>
  <c r="W324" i="2"/>
  <c r="Q323" i="2"/>
  <c r="Q322" i="2"/>
  <c r="W325" i="2"/>
  <c r="AA324" i="2" l="1"/>
  <c r="AB324" i="2" s="1"/>
  <c r="AA322" i="2"/>
  <c r="AB322" i="2" s="1"/>
  <c r="AA325" i="2"/>
  <c r="AB325" i="2" s="1"/>
  <c r="AA323" i="2"/>
  <c r="AB323" i="2" s="1"/>
  <c r="P329" i="2" a="1"/>
  <c r="O328" i="2" a="1"/>
  <c r="O329" i="2" a="1"/>
  <c r="P328" i="2" a="1"/>
  <c r="P327" i="2" a="1"/>
  <c r="P326" i="2" a="1"/>
  <c r="O327" i="2" a="1"/>
  <c r="O326" i="2" a="1"/>
  <c r="P331" i="2" a="1"/>
  <c r="O331" i="2" a="1"/>
  <c r="P330" i="2" a="1"/>
  <c r="O330" i="2" a="1"/>
  <c r="W329" i="2" l="1"/>
  <c r="W327" i="2"/>
  <c r="W331" i="2"/>
  <c r="Q328" i="2"/>
  <c r="W326" i="2"/>
  <c r="Q330" i="2"/>
  <c r="Q329" i="2"/>
  <c r="W328" i="2"/>
  <c r="Q327" i="2"/>
  <c r="Q326" i="2"/>
  <c r="Q331" i="2"/>
  <c r="W330" i="2"/>
  <c r="AA329" i="2" l="1"/>
  <c r="AB329" i="2" s="1"/>
  <c r="AA327" i="2"/>
  <c r="AB327" i="2" s="1"/>
  <c r="AA328" i="2"/>
  <c r="AB328" i="2" s="1"/>
  <c r="AA326" i="2"/>
  <c r="AB326" i="2" s="1"/>
  <c r="AA331" i="2"/>
  <c r="AB331" i="2" s="1"/>
  <c r="AA330" i="2"/>
  <c r="AB330" i="2" s="1"/>
  <c r="O333" i="2" l="1" a="1"/>
  <c r="P332" i="2" a="1"/>
  <c r="O332" i="2" a="1"/>
  <c r="P333" i="2" a="1"/>
  <c r="W333" i="2" l="1"/>
  <c r="W332" i="2"/>
  <c r="Q332" i="2"/>
  <c r="Q333" i="2"/>
  <c r="AA333" i="2" l="1"/>
  <c r="AB333" i="2" s="1"/>
  <c r="AA332" i="2"/>
  <c r="AB332" i="2" s="1"/>
  <c r="O335" i="2" l="1" a="1"/>
  <c r="P334" i="2" a="1"/>
  <c r="O334" i="2" a="1"/>
  <c r="P335" i="2" a="1"/>
  <c r="W335" i="2" l="1"/>
  <c r="W334" i="2"/>
  <c r="Q334" i="2"/>
  <c r="AA334" i="2" s="1"/>
  <c r="AB334" i="2" s="1"/>
  <c r="Q335" i="2"/>
  <c r="AA335" i="2" s="1"/>
  <c r="AB335" i="2" s="1"/>
  <c r="P337" i="2" l="1" a="1"/>
  <c r="P336" i="2" a="1"/>
  <c r="O337" i="2" a="1"/>
  <c r="O336" i="2" a="1"/>
  <c r="Q336" i="2" l="1"/>
  <c r="Q337" i="2"/>
  <c r="W337" i="2"/>
  <c r="W336" i="2"/>
  <c r="AA336" i="2" l="1"/>
  <c r="AB336" i="2" s="1"/>
  <c r="AA337" i="2"/>
  <c r="AB337" i="2" s="1"/>
  <c r="P338" i="2" a="1"/>
  <c r="O339" i="2" a="1"/>
  <c r="P339" i="2" a="1"/>
  <c r="O338" i="2" a="1"/>
  <c r="P346" i="2" a="1"/>
  <c r="P347" i="2" a="1"/>
  <c r="O347" i="2" a="1"/>
  <c r="O346" i="2" a="1"/>
  <c r="O342" i="2" a="1"/>
  <c r="P342" i="2" a="1"/>
  <c r="P341" i="2" a="1"/>
  <c r="O344" i="2" a="1"/>
  <c r="P344" i="2" a="1"/>
  <c r="P340" i="2" a="1"/>
  <c r="O340" i="2" a="1"/>
  <c r="P343" i="2" a="1"/>
  <c r="P345" i="2" a="1"/>
  <c r="O345" i="2" a="1"/>
  <c r="O341" i="2" a="1"/>
  <c r="O343" i="2" a="1"/>
  <c r="O348" i="2" a="1"/>
  <c r="P349" i="2" a="1"/>
  <c r="P348" i="2" a="1"/>
  <c r="O349" i="2" a="1"/>
  <c r="W338" i="2" l="1"/>
  <c r="W345" i="2"/>
  <c r="Q348" i="2"/>
  <c r="W349" i="2"/>
  <c r="Q339" i="2"/>
  <c r="Q346" i="2"/>
  <c r="Q344" i="2"/>
  <c r="W341" i="2"/>
  <c r="W347" i="2"/>
  <c r="Q342" i="2"/>
  <c r="Q340" i="2"/>
  <c r="W343" i="2"/>
  <c r="Q347" i="2"/>
  <c r="W346" i="2"/>
  <c r="W342" i="2"/>
  <c r="Q338" i="2"/>
  <c r="AA338" i="2" s="1"/>
  <c r="AB338" i="2" s="1"/>
  <c r="Q341" i="2"/>
  <c r="W344" i="2"/>
  <c r="W340" i="2"/>
  <c r="Q343" i="2"/>
  <c r="Q345" i="2"/>
  <c r="AA345" i="2" s="1"/>
  <c r="AB345" i="2" s="1"/>
  <c r="W348" i="2"/>
  <c r="Q349" i="2"/>
  <c r="W339" i="2"/>
  <c r="AA347" i="2" l="1"/>
  <c r="AB347" i="2" s="1"/>
  <c r="AA346" i="2"/>
  <c r="AB346" i="2" s="1"/>
  <c r="AA341" i="2"/>
  <c r="AB341" i="2" s="1"/>
  <c r="AA344" i="2"/>
  <c r="AB344" i="2" s="1"/>
  <c r="AA348" i="2"/>
  <c r="AB348" i="2" s="1"/>
  <c r="AA349" i="2"/>
  <c r="AB349" i="2" s="1"/>
  <c r="AA339" i="2"/>
  <c r="AB339" i="2" s="1"/>
  <c r="AA342" i="2"/>
  <c r="AB342" i="2" s="1"/>
  <c r="AA340" i="2"/>
  <c r="AB340" i="2" s="1"/>
  <c r="AA343" i="2"/>
  <c r="AB343" i="2" s="1"/>
  <c r="P350" i="2" a="1"/>
  <c r="O353" i="2" a="1"/>
  <c r="O352" i="2" a="1"/>
  <c r="P351" i="2" a="1"/>
  <c r="O351" i="2" a="1"/>
  <c r="O350" i="2" a="1"/>
  <c r="P353" i="2" a="1"/>
  <c r="P352" i="2" a="1"/>
  <c r="Q352" i="2" l="1"/>
  <c r="Q351" i="2"/>
  <c r="W353" i="2"/>
  <c r="Q350" i="2"/>
  <c r="W352" i="2"/>
  <c r="W351" i="2"/>
  <c r="Q353" i="2"/>
  <c r="W350" i="2"/>
  <c r="AA350" i="2" s="1"/>
  <c r="AB350" i="2" s="1"/>
  <c r="P355" i="2" a="1"/>
  <c r="P354" i="2" a="1"/>
  <c r="O355" i="2" a="1"/>
  <c r="O354" i="2" a="1"/>
  <c r="AA352" i="2" l="1"/>
  <c r="AB352" i="2" s="1"/>
  <c r="Q355" i="2"/>
  <c r="Q354" i="2"/>
  <c r="AA351" i="2"/>
  <c r="AB351" i="2" s="1"/>
  <c r="AA353" i="2"/>
  <c r="AB353" i="2" s="1"/>
  <c r="W355" i="2"/>
  <c r="W354" i="2"/>
  <c r="AA354" i="2" l="1"/>
  <c r="AB354" i="2" s="1"/>
  <c r="AA355" i="2"/>
  <c r="AB355" i="2" s="1"/>
  <c r="P358" i="2" a="1"/>
  <c r="O358" i="2" a="1"/>
  <c r="O357" i="2" a="1"/>
  <c r="O359" i="2" a="1"/>
  <c r="O356" i="2" a="1"/>
  <c r="P359" i="2" a="1"/>
  <c r="P356" i="2" a="1"/>
  <c r="P357" i="2" a="1"/>
  <c r="Q359" i="2" l="1"/>
  <c r="W358" i="2"/>
  <c r="W357" i="2"/>
  <c r="Q356" i="2"/>
  <c r="Q358" i="2"/>
  <c r="W359" i="2"/>
  <c r="W356" i="2"/>
  <c r="Q357" i="2"/>
  <c r="AA359" i="2" l="1"/>
  <c r="AB359" i="2" s="1"/>
  <c r="AA358" i="2"/>
  <c r="AB358" i="2" s="1"/>
  <c r="AA357" i="2"/>
  <c r="AB357" i="2" s="1"/>
  <c r="AA356" i="2"/>
  <c r="AB356" i="2" s="1"/>
  <c r="P363" i="2" a="1"/>
  <c r="P362" i="2" a="1"/>
  <c r="O364" i="2" a="1"/>
  <c r="O363" i="2" a="1"/>
  <c r="P365" i="2" a="1"/>
  <c r="O365" i="2" a="1"/>
  <c r="O362" i="2" a="1"/>
  <c r="P364" i="2" a="1"/>
  <c r="P361" i="2" l="1" a="1"/>
  <c r="O360" i="2" a="1"/>
  <c r="O361" i="2" a="1"/>
  <c r="P360" i="2" a="1"/>
  <c r="W365" i="2"/>
  <c r="W362" i="2"/>
  <c r="W363" i="2"/>
  <c r="Q364" i="2"/>
  <c r="Q362" i="2"/>
  <c r="Q363" i="2"/>
  <c r="Q365" i="2"/>
  <c r="W364" i="2"/>
  <c r="P366" i="2" a="1"/>
  <c r="O367" i="2" a="1"/>
  <c r="P367" i="2" a="1"/>
  <c r="O366" i="2" a="1"/>
  <c r="Q361" i="2" l="1"/>
  <c r="W360" i="2"/>
  <c r="W361" i="2"/>
  <c r="Q360" i="2"/>
  <c r="AA360" i="2" s="1"/>
  <c r="AB360" i="2" s="1"/>
  <c r="W366" i="2"/>
  <c r="AA365" i="2"/>
  <c r="AB365" i="2" s="1"/>
  <c r="AA362" i="2"/>
  <c r="AB362" i="2" s="1"/>
  <c r="AA363" i="2"/>
  <c r="AB363" i="2" s="1"/>
  <c r="AA364" i="2"/>
  <c r="AB364" i="2" s="1"/>
  <c r="Q367" i="2"/>
  <c r="Q366" i="2"/>
  <c r="W367" i="2"/>
  <c r="AA361" i="2" l="1"/>
  <c r="AB361" i="2" s="1"/>
  <c r="AA366" i="2"/>
  <c r="AB366" i="2" s="1"/>
  <c r="AA367" i="2"/>
  <c r="AB367" i="2" s="1"/>
  <c r="O369" i="2" l="1" a="1"/>
  <c r="O368" i="2" a="1"/>
  <c r="P369" i="2" a="1"/>
  <c r="P368" i="2" a="1"/>
  <c r="O371" i="2" a="1"/>
  <c r="P371" i="2" a="1"/>
  <c r="O370" i="2" a="1"/>
  <c r="P370" i="2" a="1"/>
  <c r="Q369" i="2" l="1"/>
  <c r="W368" i="2"/>
  <c r="W371" i="2"/>
  <c r="W370" i="2"/>
  <c r="W369" i="2"/>
  <c r="Q368" i="2"/>
  <c r="Q371" i="2"/>
  <c r="Q370" i="2"/>
  <c r="O373" i="2" a="1"/>
  <c r="P372" i="2" a="1"/>
  <c r="AA369" i="2" l="1"/>
  <c r="AB369" i="2" s="1"/>
  <c r="AA370" i="2"/>
  <c r="AB370" i="2" s="1"/>
  <c r="AA368" i="2"/>
  <c r="AB368" i="2" s="1"/>
  <c r="AA371" i="2"/>
  <c r="AB371" i="2" s="1"/>
  <c r="P375" i="2" a="1"/>
  <c r="P374" i="2" a="1"/>
  <c r="O374" i="2" a="1"/>
  <c r="O375" i="2" a="1"/>
  <c r="W375" i="2" s="1"/>
  <c r="P376" i="2" a="1"/>
  <c r="P377" i="2" a="1"/>
  <c r="O376" i="2" a="1"/>
  <c r="O377" i="2" a="1"/>
  <c r="O380" i="2" a="1"/>
  <c r="O379" i="2" a="1"/>
  <c r="P379" i="2" a="1"/>
  <c r="O378" i="2" a="1"/>
  <c r="P378" i="2" a="1"/>
  <c r="P381" i="2" a="1"/>
  <c r="O372" i="2" l="1" a="1"/>
  <c r="P373" i="2" a="1"/>
  <c r="O381" i="2" a="1"/>
  <c r="P380" i="2" a="1"/>
  <c r="Q376" i="2"/>
  <c r="Q377" i="2"/>
  <c r="W374" i="2"/>
  <c r="Q375" i="2"/>
  <c r="AA375" i="2" s="1"/>
  <c r="AB375" i="2" s="1"/>
  <c r="Q374" i="2"/>
  <c r="W376" i="2"/>
  <c r="W377" i="2"/>
  <c r="Q379" i="2"/>
  <c r="W378" i="2"/>
  <c r="W379" i="2"/>
  <c r="Q378" i="2"/>
  <c r="Q372" i="2" l="1"/>
  <c r="W372" i="2"/>
  <c r="AA372" i="2" s="1"/>
  <c r="AB372" i="2" s="1"/>
  <c r="W373" i="2"/>
  <c r="Q373" i="2"/>
  <c r="AA374" i="2"/>
  <c r="AB374" i="2" s="1"/>
  <c r="Q381" i="2"/>
  <c r="W381" i="2"/>
  <c r="W380" i="2"/>
  <c r="Q380" i="2"/>
  <c r="AA376" i="2"/>
  <c r="AB376" i="2" s="1"/>
  <c r="AA377" i="2"/>
  <c r="AB377" i="2" s="1"/>
  <c r="AA379" i="2"/>
  <c r="AB379" i="2" s="1"/>
  <c r="AA378" i="2"/>
  <c r="AB378" i="2" s="1"/>
  <c r="AA373" i="2" l="1"/>
  <c r="AB373" i="2" s="1"/>
  <c r="AA380" i="2"/>
  <c r="AB380" i="2" s="1"/>
  <c r="AA381" i="2"/>
  <c r="AB381" i="2" s="1"/>
  <c r="O382" i="2" a="1"/>
  <c r="P383" i="2" a="1"/>
  <c r="P384" i="2" a="1"/>
  <c r="P385" i="2" a="1"/>
  <c r="O383" i="2" a="1"/>
  <c r="O385" i="2" a="1"/>
  <c r="P382" i="2" a="1"/>
  <c r="O384" i="2" a="1"/>
  <c r="W384" i="2" l="1"/>
  <c r="Q383" i="2"/>
  <c r="W382" i="2"/>
  <c r="W385" i="2"/>
  <c r="W383" i="2"/>
  <c r="Q382" i="2"/>
  <c r="Q384" i="2"/>
  <c r="Q385" i="2"/>
  <c r="AA384" i="2" l="1"/>
  <c r="AB384" i="2" s="1"/>
  <c r="AA383" i="2"/>
  <c r="AB383" i="2" s="1"/>
  <c r="AA382" i="2"/>
  <c r="AB382" i="2" s="1"/>
  <c r="AA385" i="2"/>
  <c r="AB385" i="2" s="1"/>
  <c r="O389" i="2" l="1" a="1"/>
  <c r="P386" i="2" a="1"/>
  <c r="O391" i="2" a="1"/>
  <c r="O387" i="2" a="1"/>
  <c r="P391" i="2" a="1"/>
  <c r="P388" i="2" a="1"/>
  <c r="O390" i="2" a="1"/>
  <c r="P390" i="2" a="1"/>
  <c r="O388" i="2" a="1"/>
  <c r="P389" i="2" a="1"/>
  <c r="O386" i="2" a="1"/>
  <c r="P387" i="2" a="1"/>
  <c r="P394" i="2" a="1"/>
  <c r="P393" i="2" a="1"/>
  <c r="O392" i="2" a="1"/>
  <c r="P395" i="2" a="1"/>
  <c r="O395" i="2" a="1"/>
  <c r="W395" i="2" s="1"/>
  <c r="O393" i="2" a="1"/>
  <c r="P392" i="2" a="1"/>
  <c r="O394" i="2" a="1"/>
  <c r="P396" i="2" a="1"/>
  <c r="O397" i="2" a="1"/>
  <c r="O396" i="2" a="1"/>
  <c r="O398" i="2" a="1"/>
  <c r="P397" i="2" a="1"/>
  <c r="P398" i="2" a="1"/>
  <c r="O399" i="2" a="1"/>
  <c r="P399" i="2" a="1"/>
  <c r="Q392" i="2" l="1"/>
  <c r="Q390" i="2"/>
  <c r="W388" i="2"/>
  <c r="Q387" i="2"/>
  <c r="W393" i="2"/>
  <c r="W389" i="2"/>
  <c r="Q386" i="2"/>
  <c r="W391" i="2"/>
  <c r="W394" i="2"/>
  <c r="W387" i="2"/>
  <c r="Q391" i="2"/>
  <c r="Q388" i="2"/>
  <c r="W390" i="2"/>
  <c r="Q389" i="2"/>
  <c r="W386" i="2"/>
  <c r="Q395" i="2"/>
  <c r="AA395" i="2" s="1"/>
  <c r="AB395" i="2" s="1"/>
  <c r="Q394" i="2"/>
  <c r="Q393" i="2"/>
  <c r="W392" i="2"/>
  <c r="W397" i="2"/>
  <c r="W399" i="2"/>
  <c r="Q398" i="2"/>
  <c r="Q396" i="2"/>
  <c r="W396" i="2"/>
  <c r="W398" i="2"/>
  <c r="Q397" i="2"/>
  <c r="Q399" i="2"/>
  <c r="AA391" i="2" l="1"/>
  <c r="AB391" i="2" s="1"/>
  <c r="AA392" i="2"/>
  <c r="AB392" i="2" s="1"/>
  <c r="AA390" i="2"/>
  <c r="AB390" i="2" s="1"/>
  <c r="AA386" i="2"/>
  <c r="AB386" i="2" s="1"/>
  <c r="AA394" i="2"/>
  <c r="AB394" i="2" s="1"/>
  <c r="AA387" i="2"/>
  <c r="AB387" i="2" s="1"/>
  <c r="AA393" i="2"/>
  <c r="AB393" i="2" s="1"/>
  <c r="AA388" i="2"/>
  <c r="AB388" i="2" s="1"/>
  <c r="AA389" i="2"/>
  <c r="AB389" i="2" s="1"/>
  <c r="AA397" i="2"/>
  <c r="AB397" i="2" s="1"/>
  <c r="AA399" i="2"/>
  <c r="AB399" i="2" s="1"/>
  <c r="AA398" i="2"/>
  <c r="AB398" i="2" s="1"/>
  <c r="AA396" i="2"/>
  <c r="AB396" i="2" s="1"/>
  <c r="O401" i="2" l="1" a="1"/>
  <c r="P400" i="2" a="1"/>
  <c r="P401" i="2" a="1"/>
  <c r="O400" i="2" a="1"/>
  <c r="O403" i="2" a="1"/>
  <c r="P402" i="2" a="1"/>
  <c r="O402" i="2" a="1"/>
  <c r="P403" i="2" a="1"/>
  <c r="W401" i="2" l="1"/>
  <c r="Q400" i="2"/>
  <c r="Q401" i="2"/>
  <c r="AA401" i="2" s="1"/>
  <c r="AB401" i="2" s="1"/>
  <c r="W400" i="2"/>
  <c r="Q402" i="2"/>
  <c r="W403" i="2"/>
  <c r="W402" i="2"/>
  <c r="Q403" i="2"/>
  <c r="P404" i="2" a="1"/>
  <c r="O404" i="2" a="1"/>
  <c r="O405" i="2" a="1"/>
  <c r="P405" i="2" a="1"/>
  <c r="AA400" i="2" l="1"/>
  <c r="AB400" i="2" s="1"/>
  <c r="AA402" i="2"/>
  <c r="AB402" i="2" s="1"/>
  <c r="AA403" i="2"/>
  <c r="AB403" i="2" s="1"/>
  <c r="Q405" i="2"/>
  <c r="Q404" i="2"/>
  <c r="W404" i="2"/>
  <c r="W405" i="2"/>
  <c r="AA405" i="2" l="1"/>
  <c r="AB405" i="2" s="1"/>
  <c r="AA404" i="2"/>
  <c r="AB404" i="2" s="1"/>
  <c r="P406" i="2" l="1" a="1"/>
  <c r="O407" i="2" a="1"/>
  <c r="O406" i="2" a="1"/>
  <c r="P407" i="2" a="1"/>
  <c r="W407" i="2" l="1"/>
  <c r="W406" i="2"/>
  <c r="Q406" i="2"/>
  <c r="Q407" i="2"/>
  <c r="AA406" i="2" l="1"/>
  <c r="AB406" i="2" s="1"/>
  <c r="AA407" i="2"/>
  <c r="AB407" i="2" s="1"/>
  <c r="P411" i="2" l="1" a="1"/>
  <c r="O408" i="2" a="1"/>
  <c r="O409" i="2" a="1"/>
  <c r="O411" i="2" a="1"/>
  <c r="P410" i="2" a="1"/>
  <c r="P408" i="2" a="1"/>
  <c r="O410" i="2" a="1"/>
  <c r="P409" i="2" a="1"/>
  <c r="Q409" i="2" l="1"/>
  <c r="W411" i="2"/>
  <c r="W408" i="2"/>
  <c r="W409" i="2"/>
  <c r="W410" i="2"/>
  <c r="Q411" i="2"/>
  <c r="Q410" i="2"/>
  <c r="Q408" i="2"/>
  <c r="AA409" i="2" l="1"/>
  <c r="AB409" i="2" s="1"/>
  <c r="AA411" i="2"/>
  <c r="AB411" i="2" s="1"/>
  <c r="AA410" i="2"/>
  <c r="AB410" i="2" s="1"/>
  <c r="AA408" i="2"/>
  <c r="AB408" i="2" s="1"/>
  <c r="O412" i="2" l="1" a="1"/>
  <c r="P412" i="2" a="1"/>
  <c r="O415" i="2" a="1"/>
  <c r="O413" i="2" a="1"/>
  <c r="O414" i="2" a="1"/>
  <c r="P414" i="2" a="1"/>
  <c r="P415" i="2" a="1"/>
  <c r="P413" i="2" a="1"/>
  <c r="O421" i="2" a="1"/>
  <c r="P420" i="2" a="1"/>
  <c r="P421" i="2" a="1"/>
  <c r="P425" i="2" a="1"/>
  <c r="O424" i="2" a="1"/>
  <c r="O425" i="2" a="1"/>
  <c r="Q412" i="2" l="1"/>
  <c r="Q414" i="2"/>
  <c r="W415" i="2"/>
  <c r="Q415" i="2"/>
  <c r="Q413" i="2"/>
  <c r="P422" i="2" a="1"/>
  <c r="P423" i="2" a="1"/>
  <c r="O422" i="2" a="1"/>
  <c r="O423" i="2" a="1"/>
  <c r="P418" i="2" a="1"/>
  <c r="O419" i="2" a="1"/>
  <c r="P416" i="2" a="1"/>
  <c r="O417" i="2" a="1"/>
  <c r="O416" i="2" a="1"/>
  <c r="P417" i="2" a="1"/>
  <c r="W412" i="2"/>
  <c r="W414" i="2"/>
  <c r="W413" i="2"/>
  <c r="O420" i="2" a="1"/>
  <c r="P424" i="2" a="1"/>
  <c r="W425" i="2"/>
  <c r="Q421" i="2"/>
  <c r="W421" i="2"/>
  <c r="Q425" i="2"/>
  <c r="AA415" i="2" l="1"/>
  <c r="AB415" i="2" s="1"/>
  <c r="AA412" i="2"/>
  <c r="AB412" i="2" s="1"/>
  <c r="AA414" i="2"/>
  <c r="AB414" i="2" s="1"/>
  <c r="W422" i="2"/>
  <c r="AA413" i="2"/>
  <c r="AB413" i="2" s="1"/>
  <c r="W423" i="2"/>
  <c r="Q416" i="2"/>
  <c r="W417" i="2"/>
  <c r="Q422" i="2"/>
  <c r="Q423" i="2"/>
  <c r="W416" i="2"/>
  <c r="Q417" i="2"/>
  <c r="W420" i="2"/>
  <c r="Q420" i="2"/>
  <c r="Q424" i="2"/>
  <c r="W424" i="2"/>
  <c r="AA424" i="2" s="1"/>
  <c r="AB424" i="2" s="1"/>
  <c r="AA425" i="2"/>
  <c r="AB425" i="2" s="1"/>
  <c r="AA421" i="2"/>
  <c r="AB421" i="2" s="1"/>
  <c r="P430" i="2" a="1"/>
  <c r="O431" i="2" a="1"/>
  <c r="AA422" i="2" l="1"/>
  <c r="AB422" i="2" s="1"/>
  <c r="AA423" i="2"/>
  <c r="AB423" i="2" s="1"/>
  <c r="AA417" i="2"/>
  <c r="AB417" i="2" s="1"/>
  <c r="AA420" i="2"/>
  <c r="AB420" i="2" s="1"/>
  <c r="O418" i="2" a="1"/>
  <c r="P419" i="2" a="1"/>
  <c r="AA416" i="2"/>
  <c r="AB416" i="2" s="1"/>
  <c r="P426" i="2" a="1"/>
  <c r="O427" i="2" a="1"/>
  <c r="P428" i="2" a="1"/>
  <c r="O429" i="2" a="1"/>
  <c r="P429" i="2" a="1"/>
  <c r="O428" i="2" a="1"/>
  <c r="W429" i="2" l="1"/>
  <c r="W428" i="2"/>
  <c r="Q418" i="2"/>
  <c r="W418" i="2"/>
  <c r="Q419" i="2"/>
  <c r="W419" i="2"/>
  <c r="P431" i="2" a="1"/>
  <c r="O430" i="2" a="1"/>
  <c r="Q428" i="2"/>
  <c r="Q429" i="2"/>
  <c r="P439" i="2" a="1"/>
  <c r="P437" i="2" a="1"/>
  <c r="O438" i="2" a="1"/>
  <c r="O436" i="2" a="1"/>
  <c r="AA428" i="2" l="1"/>
  <c r="AB428" i="2" s="1"/>
  <c r="P435" i="2" s="1" a="1"/>
  <c r="AA429" i="2"/>
  <c r="AB429" i="2" s="1"/>
  <c r="W431" i="2"/>
  <c r="Q431" i="2"/>
  <c r="Q430" i="2"/>
  <c r="W430" i="2"/>
  <c r="AA418" i="2"/>
  <c r="AB418" i="2" s="1"/>
  <c r="AA419" i="2"/>
  <c r="AB419" i="2" s="1"/>
  <c r="P432" i="2" a="1"/>
  <c r="P433" i="2" a="1"/>
  <c r="O433" i="2" a="1"/>
  <c r="O432" i="2" a="1"/>
  <c r="AA430" i="2" l="1"/>
  <c r="AB430" i="2" s="1"/>
  <c r="O442" i="2" s="1" a="1"/>
  <c r="P434" i="2" a="1"/>
  <c r="O435" i="2" a="1"/>
  <c r="P427" i="2" a="1"/>
  <c r="O426" i="2" a="1"/>
  <c r="AA431" i="2"/>
  <c r="AB431" i="2" s="1"/>
  <c r="W433" i="2"/>
  <c r="W432" i="2"/>
  <c r="Q433" i="2"/>
  <c r="Q432" i="2"/>
  <c r="P442" i="2" a="1"/>
  <c r="O441" i="2" a="1"/>
  <c r="P440" i="2" a="1"/>
  <c r="O443" i="2" a="1"/>
  <c r="O434" i="2" l="1" a="1"/>
  <c r="P443" i="2" a="1"/>
  <c r="O440" i="2" a="1"/>
  <c r="P441" i="2" a="1"/>
  <c r="W435" i="2"/>
  <c r="Q435" i="2"/>
  <c r="Q427" i="2"/>
  <c r="W427" i="2"/>
  <c r="Q426" i="2"/>
  <c r="W426" i="2"/>
  <c r="AA433" i="2"/>
  <c r="AB433" i="2" s="1"/>
  <c r="AA432" i="2"/>
  <c r="AB432" i="2" s="1"/>
  <c r="W442" i="2"/>
  <c r="Q442" i="2"/>
  <c r="Q434" i="2" l="1"/>
  <c r="W434" i="2"/>
  <c r="AA434" i="2" s="1"/>
  <c r="AB434" i="2" s="1"/>
  <c r="Q440" i="2"/>
  <c r="W440" i="2"/>
  <c r="AA440" i="2" s="1"/>
  <c r="AB440" i="2" s="1"/>
  <c r="W443" i="2"/>
  <c r="Q443" i="2"/>
  <c r="W441" i="2"/>
  <c r="Q441" i="2"/>
  <c r="AA427" i="2"/>
  <c r="AB427" i="2" s="1"/>
  <c r="O437" i="2" a="1"/>
  <c r="P436" i="2" a="1"/>
  <c r="AA435" i="2"/>
  <c r="AB435" i="2" s="1"/>
  <c r="AA426" i="2"/>
  <c r="AB426" i="2" s="1"/>
  <c r="AA442" i="2"/>
  <c r="AB442" i="2" s="1"/>
  <c r="AA441" i="2" l="1"/>
  <c r="AB441" i="2" s="1"/>
  <c r="AA443" i="2"/>
  <c r="AB443" i="2" s="1"/>
  <c r="Q437" i="2"/>
  <c r="W437" i="2"/>
  <c r="W436" i="2"/>
  <c r="Q436" i="2"/>
  <c r="O439" i="2" a="1"/>
  <c r="P438" i="2" a="1"/>
  <c r="O446" i="2" a="1"/>
  <c r="P447" i="2" a="1"/>
  <c r="O447" i="2" a="1"/>
  <c r="P445" i="2" a="1"/>
  <c r="O444" i="2" a="1"/>
  <c r="P446" i="2" a="1"/>
  <c r="AA437" i="2" l="1"/>
  <c r="AB437" i="2" s="1"/>
  <c r="W439" i="2"/>
  <c r="Q439" i="2"/>
  <c r="Q438" i="2"/>
  <c r="W438" i="2"/>
  <c r="AA436" i="2"/>
  <c r="AB436" i="2" s="1"/>
  <c r="Q446" i="2"/>
  <c r="Q447" i="2"/>
  <c r="W447" i="2"/>
  <c r="W446" i="2"/>
  <c r="AA438" i="2" l="1"/>
  <c r="AB438" i="2" s="1"/>
  <c r="AA439" i="2"/>
  <c r="AB439" i="2" s="1"/>
  <c r="O445" i="2" a="1"/>
  <c r="P444" i="2" a="1"/>
  <c r="AA447" i="2"/>
  <c r="AB447" i="2" s="1"/>
  <c r="AA446" i="2"/>
  <c r="AB446" i="2" s="1"/>
  <c r="W445" i="2" l="1"/>
  <c r="Q445" i="2"/>
  <c r="Q444" i="2"/>
  <c r="W444" i="2"/>
  <c r="P449" i="2" a="1"/>
  <c r="O448" i="2" a="1"/>
  <c r="P448" i="2" a="1"/>
  <c r="O450" i="2" a="1"/>
  <c r="P450" i="2" a="1"/>
  <c r="P451" i="2" a="1"/>
  <c r="O451" i="2" a="1"/>
  <c r="O449" i="2" a="1"/>
  <c r="AA444" i="2" l="1"/>
  <c r="AB444" i="2" s="1"/>
  <c r="AA445" i="2"/>
  <c r="AB445" i="2" s="1"/>
  <c r="Q451" i="2"/>
  <c r="Q449" i="2"/>
  <c r="W448" i="2"/>
  <c r="W450" i="2"/>
  <c r="Q448" i="2"/>
  <c r="Q450" i="2"/>
  <c r="W451" i="2"/>
  <c r="W449" i="2"/>
  <c r="AA448" i="2" l="1"/>
  <c r="AB448" i="2" s="1"/>
  <c r="AA451" i="2"/>
  <c r="AB451" i="2" s="1"/>
  <c r="AA449" i="2"/>
  <c r="AB449" i="2" s="1"/>
  <c r="AA450" i="2"/>
  <c r="AB450" i="2" s="1"/>
  <c r="P455" i="2" a="1"/>
  <c r="O453" i="2" a="1"/>
  <c r="P454" i="2" a="1"/>
  <c r="O454" i="2" a="1"/>
  <c r="P453" i="2" a="1"/>
  <c r="P452" i="2" a="1"/>
  <c r="O455" i="2" a="1"/>
  <c r="O452" i="2" a="1"/>
  <c r="W455" i="2" l="1"/>
  <c r="W454" i="2"/>
  <c r="W452" i="2"/>
  <c r="Q453" i="2"/>
  <c r="Q454" i="2"/>
  <c r="Q452" i="2"/>
  <c r="W453" i="2"/>
  <c r="Q455" i="2"/>
  <c r="P456" i="2" a="1"/>
  <c r="P458" i="2" a="1"/>
  <c r="P457" i="2" a="1"/>
  <c r="O456" i="2" a="1"/>
  <c r="P459" i="2" a="1"/>
  <c r="O457" i="2" a="1"/>
  <c r="W457" i="2" s="1"/>
  <c r="O459" i="2" a="1"/>
  <c r="O458" i="2" a="1"/>
  <c r="AA455" i="2" l="1"/>
  <c r="AB455" i="2" s="1"/>
  <c r="AA454" i="2"/>
  <c r="AB454" i="2" s="1"/>
  <c r="W456" i="2"/>
  <c r="AA452" i="2"/>
  <c r="AB452" i="2" s="1"/>
  <c r="AA453" i="2"/>
  <c r="AB453" i="2" s="1"/>
  <c r="Q458" i="2"/>
  <c r="W459" i="2"/>
  <c r="Q456" i="2"/>
  <c r="Q457" i="2"/>
  <c r="AA457" i="2" s="1"/>
  <c r="AB457" i="2" s="1"/>
  <c r="Q459" i="2"/>
  <c r="W458" i="2"/>
  <c r="P460" i="2" a="1"/>
  <c r="O461" i="2" a="1"/>
  <c r="P461" i="2" a="1"/>
  <c r="O460" i="2" a="1"/>
  <c r="W461" i="2" l="1"/>
  <c r="AA459" i="2"/>
  <c r="AB459" i="2" s="1"/>
  <c r="AA456" i="2"/>
  <c r="AB456" i="2" s="1"/>
  <c r="Q460" i="2"/>
  <c r="AA458" i="2"/>
  <c r="AB458" i="2" s="1"/>
  <c r="Q461" i="2"/>
  <c r="W460" i="2"/>
  <c r="AA461" i="2" l="1"/>
  <c r="AB461" i="2" s="1"/>
  <c r="AA460" i="2"/>
  <c r="AB460" i="2" s="1"/>
  <c r="O463" i="2" a="1"/>
  <c r="P462" i="2" a="1"/>
  <c r="P463" i="2" a="1"/>
  <c r="O462" i="2" a="1"/>
  <c r="O464" i="2" l="1" a="1"/>
  <c r="P465" i="2" a="1"/>
  <c r="P464" i="2" a="1"/>
  <c r="O465" i="2" a="1"/>
  <c r="W463" i="2"/>
  <c r="Q462" i="2"/>
  <c r="Q463" i="2"/>
  <c r="W462" i="2"/>
  <c r="O467" i="2" a="1"/>
  <c r="P466" i="2" a="1"/>
  <c r="W464" i="2" l="1"/>
  <c r="Q465" i="2"/>
  <c r="Q464" i="2"/>
  <c r="W465" i="2"/>
  <c r="AA463" i="2"/>
  <c r="AB463" i="2" s="1"/>
  <c r="AA462" i="2"/>
  <c r="AB462" i="2" s="1"/>
  <c r="O466" i="2" a="1"/>
  <c r="P467" i="2" a="1"/>
  <c r="AA464" i="2" l="1"/>
  <c r="AB464" i="2" s="1"/>
  <c r="AA465" i="2"/>
  <c r="AB465" i="2" s="1"/>
  <c r="W466" i="2"/>
  <c r="Q466" i="2"/>
  <c r="W467" i="2"/>
  <c r="Q467" i="2"/>
  <c r="AA467" i="2" l="1"/>
  <c r="AB467" i="2" s="1"/>
  <c r="AA466" i="2"/>
  <c r="AB466" i="2" s="1"/>
  <c r="P470" i="2" a="1"/>
  <c r="O471" i="2" a="1"/>
  <c r="O468" i="2" l="1" a="1"/>
  <c r="P468" i="2" a="1"/>
  <c r="O469" i="2" a="1"/>
  <c r="P469" i="2" a="1"/>
  <c r="O470" i="2" a="1"/>
  <c r="P471" i="2" a="1"/>
  <c r="W468" i="2" l="1"/>
  <c r="W469" i="2"/>
  <c r="Q469" i="2"/>
  <c r="AA469" i="2" s="1"/>
  <c r="AB469" i="2" s="1"/>
  <c r="Q468" i="2"/>
  <c r="W470" i="2"/>
  <c r="Q470" i="2"/>
  <c r="W471" i="2"/>
  <c r="Q471" i="2"/>
  <c r="AA468" i="2" l="1"/>
  <c r="AB468" i="2" s="1"/>
  <c r="AA471" i="2"/>
  <c r="AB471" i="2" s="1"/>
  <c r="AA470" i="2"/>
  <c r="AB470" i="2" s="1"/>
  <c r="G26" i="3" s="1" a="1"/>
  <c r="P473" i="2" a="1"/>
  <c r="O472" i="2" a="1"/>
  <c r="O473" i="2" a="1"/>
  <c r="P472" i="2" a="1"/>
  <c r="Q473" i="2" l="1"/>
  <c r="W472" i="2"/>
  <c r="Q472" i="2"/>
  <c r="W473" i="2"/>
  <c r="AA473" i="2" l="1"/>
  <c r="AB473" i="2" s="1"/>
  <c r="AA472" i="2"/>
  <c r="AB472" i="2" s="1"/>
  <c r="P475" i="2" a="1"/>
  <c r="O475" i="2" a="1"/>
  <c r="P474" i="2" a="1"/>
  <c r="O474" i="2" a="1"/>
  <c r="Q474" i="2" l="1"/>
  <c r="Q475" i="2"/>
  <c r="W475" i="2"/>
  <c r="W474" i="2"/>
  <c r="G32" i="3" a="1"/>
  <c r="AA474" i="2" l="1"/>
  <c r="AB474" i="2" s="1"/>
  <c r="AA475" i="2"/>
  <c r="AB475" i="2" s="1"/>
  <c r="P476" i="2" a="1"/>
  <c r="P477" i="2" a="1"/>
  <c r="O477" i="2" a="1"/>
  <c r="O476" i="2" a="1"/>
  <c r="W476" i="2" l="1"/>
  <c r="W477" i="2"/>
  <c r="Q476" i="2"/>
  <c r="Q477" i="2"/>
  <c r="AA476" i="2" l="1"/>
  <c r="AB476" i="2" s="1"/>
  <c r="AA477" i="2"/>
  <c r="AB477" i="2" s="1"/>
  <c r="AX6" i="3" l="1" a="1"/>
  <c r="G34" i="3" a="1"/>
  <c r="O479" i="2" a="1"/>
  <c r="O480" i="2" a="1"/>
  <c r="P478" i="2" a="1"/>
  <c r="P479" i="2" a="1"/>
  <c r="P481" i="2" a="1"/>
  <c r="O478" i="2" a="1"/>
  <c r="O481" i="2" a="1"/>
  <c r="P480" i="2" a="1"/>
  <c r="Q478" i="2" l="1"/>
  <c r="Q479" i="2"/>
  <c r="W479" i="2"/>
  <c r="W480" i="2"/>
  <c r="W478" i="2"/>
  <c r="W481" i="2"/>
  <c r="Q481" i="2"/>
  <c r="Q480" i="2"/>
  <c r="AA479" i="2" l="1"/>
  <c r="AB479" i="2" s="1"/>
  <c r="AA478" i="2"/>
  <c r="AB478" i="2" s="1"/>
  <c r="AA480" i="2"/>
  <c r="AB480" i="2" s="1"/>
  <c r="AA481" i="2"/>
  <c r="AB481" i="2" s="1"/>
  <c r="AX5" i="3" a="1"/>
  <c r="O483" i="2" l="1" a="1"/>
  <c r="O485" i="2" a="1"/>
  <c r="P482" i="2" a="1"/>
  <c r="P484" i="2" a="1"/>
  <c r="O482" i="2" a="1"/>
  <c r="O484" i="2" a="1"/>
  <c r="P483" i="2" a="1"/>
  <c r="P485" i="2" a="1"/>
  <c r="Q483" i="2" l="1"/>
  <c r="Q482" i="2"/>
  <c r="W483" i="2"/>
  <c r="W485" i="2"/>
  <c r="W482" i="2"/>
  <c r="W484" i="2"/>
  <c r="Q484" i="2"/>
  <c r="Q485" i="2"/>
  <c r="AA483" i="2" l="1"/>
  <c r="AB483" i="2" s="1"/>
  <c r="AA482" i="2"/>
  <c r="AB482" i="2" s="1"/>
  <c r="AA485" i="2"/>
  <c r="AB485" i="2" s="1"/>
  <c r="P488" i="2" a="1"/>
  <c r="P486" i="2" a="1"/>
  <c r="O489" i="2" a="1"/>
  <c r="O487" i="2" a="1"/>
  <c r="O486" i="2" a="1"/>
  <c r="P489" i="2" a="1"/>
  <c r="P487" i="2" a="1"/>
  <c r="O488" i="2" a="1"/>
  <c r="AA484" i="2"/>
  <c r="AB484" i="2" s="1"/>
  <c r="Q486" i="2" l="1"/>
  <c r="Q487" i="2"/>
  <c r="W489" i="2"/>
  <c r="W487" i="2"/>
  <c r="W486" i="2"/>
  <c r="W488" i="2"/>
  <c r="Q488" i="2"/>
  <c r="Q489" i="2"/>
  <c r="AA487" i="2" l="1"/>
  <c r="AB487" i="2" s="1"/>
  <c r="AA486" i="2"/>
  <c r="AB486" i="2" s="1"/>
  <c r="G30" i="3" s="1" a="1"/>
  <c r="AA488" i="2"/>
  <c r="AB488" i="2" s="1"/>
  <c r="AA489" i="2"/>
  <c r="AB489" i="2" s="1"/>
  <c r="G29" i="3" a="1"/>
  <c r="AX2" i="3" a="1"/>
  <c r="O491" i="2" l="1" a="1"/>
  <c r="O493" i="2" a="1"/>
  <c r="P490" i="2" a="1"/>
  <c r="P492" i="2" a="1"/>
  <c r="P493" i="2" a="1"/>
  <c r="O490" i="2" a="1"/>
  <c r="O492" i="2" a="1"/>
  <c r="P491" i="2" a="1"/>
  <c r="AX9" i="3" a="1"/>
  <c r="G36" i="3" a="1"/>
  <c r="Q490" i="2" l="1"/>
  <c r="Q492" i="2"/>
  <c r="Q491" i="2"/>
  <c r="W491" i="2"/>
  <c r="W493" i="2"/>
  <c r="W490" i="2"/>
  <c r="W492" i="2"/>
  <c r="Q493" i="2"/>
  <c r="AX4" i="3" a="1"/>
  <c r="G25" i="3" a="1"/>
  <c r="AA493" i="2" l="1"/>
  <c r="AB493" i="2" s="1"/>
  <c r="AA490" i="2"/>
  <c r="AB490" i="2" s="1"/>
  <c r="G38" i="3" s="1" a="1"/>
  <c r="AA491" i="2"/>
  <c r="AB491" i="2" s="1"/>
  <c r="AA492" i="2"/>
  <c r="AB492" i="2" s="1"/>
  <c r="P494" i="2" a="1"/>
  <c r="O495" i="2" a="1"/>
  <c r="P495" i="2" a="1"/>
  <c r="O494" i="2" a="1"/>
  <c r="G33" i="3" a="1"/>
  <c r="AX3" i="3" a="1"/>
  <c r="Q495" i="2" l="1"/>
  <c r="W495" i="2"/>
  <c r="W494" i="2"/>
  <c r="Q494" i="2"/>
  <c r="AA494" i="2" l="1"/>
  <c r="AB494" i="2" s="1"/>
  <c r="G37" i="3" s="1" a="1"/>
  <c r="AA495" i="2"/>
  <c r="AB495" i="2" s="1"/>
  <c r="P499" i="2" a="1"/>
  <c r="P497" i="2" a="1"/>
  <c r="O498" i="2" a="1"/>
  <c r="O496" i="2" a="1"/>
  <c r="P498" i="2" a="1"/>
  <c r="P496" i="2" a="1"/>
  <c r="O499" i="2" a="1"/>
  <c r="O497" i="2" a="1"/>
  <c r="Q499" i="2" l="1"/>
  <c r="Q496" i="2"/>
  <c r="W498" i="2"/>
  <c r="W496" i="2"/>
  <c r="W499" i="2"/>
  <c r="W497" i="2"/>
  <c r="Q497" i="2"/>
  <c r="Q498" i="2"/>
  <c r="AA499" i="2" l="1"/>
  <c r="AB499" i="2" s="1"/>
  <c r="P503" i="2" s="1" a="1"/>
  <c r="AA496" i="2"/>
  <c r="AB496" i="2" s="1"/>
  <c r="O501" i="2" s="1" a="1"/>
  <c r="AA497" i="2"/>
  <c r="AB497" i="2" s="1"/>
  <c r="AA498" i="2"/>
  <c r="AB498" i="2" s="1"/>
  <c r="P502" i="2" a="1"/>
  <c r="P501" i="2" a="1"/>
  <c r="O503" i="2" a="1"/>
  <c r="O500" i="2" a="1"/>
  <c r="P500" i="2" a="1"/>
  <c r="O502" i="2" a="1"/>
  <c r="Q500" i="2" l="1"/>
  <c r="W503" i="2"/>
  <c r="W501" i="2"/>
  <c r="W500" i="2"/>
  <c r="W502" i="2"/>
  <c r="Q502" i="2"/>
  <c r="Q501" i="2"/>
  <c r="Q503" i="2"/>
  <c r="AA500" i="2" l="1"/>
  <c r="AB500" i="2" s="1"/>
  <c r="AA503" i="2"/>
  <c r="AB503" i="2" s="1"/>
  <c r="AA501" i="2"/>
  <c r="AB501" i="2" s="1"/>
  <c r="AA502" i="2"/>
  <c r="AB502" i="2" s="1"/>
  <c r="AX7" i="3" a="1"/>
  <c r="G31" i="3" a="1"/>
  <c r="P504" i="2" a="1"/>
  <c r="O505" i="2" a="1"/>
  <c r="P505" i="2" a="1"/>
  <c r="O504" i="2" a="1"/>
  <c r="Q504" i="2" l="1"/>
  <c r="W505" i="2"/>
  <c r="W504" i="2"/>
  <c r="AA504" i="2" s="1"/>
  <c r="AB504" i="2" s="1"/>
  <c r="Q505" i="2"/>
  <c r="AA505" i="2" l="1"/>
  <c r="AB505" i="2" s="1"/>
  <c r="G27" i="3" s="1" a="1"/>
  <c r="P506" i="2" a="1"/>
  <c r="O507" i="2" a="1"/>
  <c r="P507" i="2" a="1"/>
  <c r="O506" i="2" a="1"/>
  <c r="W507" i="2" l="1"/>
  <c r="W506" i="2"/>
  <c r="Q507" i="2"/>
  <c r="Q506" i="2"/>
  <c r="AA507" i="2" l="1"/>
  <c r="AB507" i="2" s="1"/>
  <c r="AA506" i="2"/>
  <c r="AB506" i="2" s="1"/>
  <c r="P509" i="2" a="1"/>
  <c r="P508" i="2" a="1"/>
  <c r="O509" i="2" a="1"/>
  <c r="O508" i="2" a="1"/>
  <c r="Q509" i="2" l="1"/>
  <c r="W509" i="2"/>
  <c r="W508" i="2"/>
  <c r="Q508" i="2"/>
  <c r="AA508" i="2" l="1"/>
  <c r="AB508" i="2" s="1"/>
  <c r="AA509" i="2"/>
  <c r="AB509" i="2" s="1"/>
  <c r="P511" i="2" a="1"/>
  <c r="O510" i="2" a="1"/>
  <c r="P510" i="2" a="1"/>
  <c r="O511" i="2" a="1"/>
  <c r="Q510" i="2" l="1"/>
  <c r="Q511" i="2"/>
  <c r="W510" i="2"/>
  <c r="AA510" i="2" s="1"/>
  <c r="AB510" i="2" s="1"/>
  <c r="W511" i="2"/>
  <c r="AA511" i="2" l="1"/>
  <c r="AB511" i="2" s="1"/>
  <c r="P513" i="2" a="1"/>
  <c r="O512" i="2" a="1"/>
  <c r="P512" i="2" a="1"/>
  <c r="O513" i="2" a="1"/>
  <c r="Q512" i="2" l="1"/>
  <c r="W512" i="2"/>
  <c r="W513" i="2"/>
  <c r="Q513" i="2"/>
  <c r="AA512" i="2" l="1"/>
  <c r="AB512" i="2" s="1"/>
  <c r="AA513" i="2"/>
  <c r="AB513" i="2" s="1"/>
  <c r="P515" i="2" a="1"/>
  <c r="O514" i="2" a="1"/>
  <c r="P514" i="2" a="1"/>
  <c r="O515" i="2" a="1"/>
  <c r="Q514" i="2" l="1"/>
  <c r="Q515" i="2"/>
  <c r="W514" i="2"/>
  <c r="W515" i="2"/>
  <c r="AA514" i="2" l="1"/>
  <c r="AB514" i="2" s="1"/>
  <c r="AA515" i="2"/>
  <c r="AB515" i="2" s="1"/>
  <c r="G28" i="3" s="1" a="1"/>
  <c r="AX8" i="3" a="1"/>
  <c r="G35" i="3" a="1"/>
  <c r="A2" i="3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<sst xmlns="http://schemas.openxmlformats.org/spreadsheetml/2006/main" count="2666" uniqueCount="89">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</sst>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31464699072" createdVersion="8" refreshedVersion="8" minRefreshableVersion="3" recordCount="514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6-05-20T00:00:00" maxDate="2006-09-10T00:00:00"/>
    </cacheField>
    <cacheField name="Season" numFmtId="1">
      <sharedItems containsSemiMixedTypes="0" containsString="0" containsNumber="1" containsInteger="1" minValue="2006" maxValue="2006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CHI"/>
        <s v="CHA"/>
        <s v="NYL"/>
        <s v="CON"/>
        <s v="DET"/>
        <s v="IND"/>
        <s v="PHX"/>
        <s v="SAC"/>
        <s v="SAS"/>
        <s v="HOU"/>
        <s v="LAS"/>
        <s v="SEA"/>
        <s v="MIN"/>
        <s v="WAS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7"/>
    </cacheField>
    <cacheField name="OppDaysOff" numFmtId="1">
      <sharedItems containsSemiMixedTypes="0" containsString="0" containsNumber="1" containsInteger="1" minValue="0" maxValue="7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61.2719291768719" maxValue="1718.5884036053369"/>
    </cacheField>
    <cacheField name="OppPreGmRate" numFmtId="165">
      <sharedItems containsSemiMixedTypes="0" containsString="0" containsNumber="1" minValue="1261.2719291768719" maxValue="1718.5884036053369"/>
    </cacheField>
    <cacheField name="ExpectedWin%" numFmtId="165">
      <sharedItems containsSemiMixedTypes="0" containsString="0" containsNumber="1" minValue="7.4753234019405965E-2" maxValue="0.92524676598059397"/>
    </cacheField>
    <cacheField name="PointsFor" numFmtId="0">
      <sharedItems containsSemiMixedTypes="0" containsString="0" containsNumber="1" containsInteger="1" minValue="44" maxValue="114"/>
    </cacheField>
    <cacheField name="PointsAgainst" numFmtId="0">
      <sharedItems containsSemiMixedTypes="0" containsString="0" containsNumber="1" containsInteger="1" minValue="44" maxValue="114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3" maxValue="43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1543017976889584" maxValue="0.7870662066684861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400000000000006" maxValue="75.849999999999994"/>
    </cacheField>
    <cacheField name="Keff" numFmtId="165">
      <sharedItems containsSemiMixedTypes="0" containsString="0" containsNumber="1" minValue="70.900000000000006" maxValue="94.702500000000015"/>
    </cacheField>
    <cacheField name="RatingChange" numFmtId="165">
      <sharedItems containsSemiMixedTypes="0" containsString="0" containsNumber="1" minValue="-36.372699510727223" maxValue="36.294422539039857"/>
    </cacheField>
    <cacheField name="PostGmRate" numFmtId="165">
      <sharedItems containsSemiMixedTypes="0" containsString="0" containsNumber="1" minValue="1261.2719291768719" maxValue="1718.5884036053369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d v="2006-05-20T00:00:00"/>
    <n v="2006"/>
    <x v="0"/>
    <s v="R"/>
    <s v="RS"/>
    <x v="0"/>
    <s v="CHA"/>
    <s v="A"/>
    <n v="0"/>
    <n v="0"/>
    <n v="0"/>
    <n v="0"/>
    <n v="0"/>
    <n v="0"/>
    <n v="1500"/>
    <n v="1417.4438229565408"/>
    <n v="0.49792218370051433"/>
    <n v="83"/>
    <n v="82"/>
    <n v="0"/>
    <n v="1"/>
    <n v="1"/>
    <n v="0.22846219947558938"/>
    <n v="1"/>
    <n v="75.849999999999994"/>
    <n v="75.849999999999994"/>
    <n v="8.7004350983628349"/>
    <n v="1508.7004350983627"/>
    <n v="1"/>
    <n v="0"/>
    <n v="0"/>
    <n v="0"/>
    <n v="0"/>
    <n v="0"/>
    <n v="0"/>
    <n v="0"/>
    <n v="0"/>
    <n v="0"/>
  </r>
  <r>
    <d v="2006-05-20T00:00:00"/>
    <n v="2006"/>
    <x v="0"/>
    <s v="R"/>
    <s v="RS"/>
    <x v="1"/>
    <s v="CHI"/>
    <s v="H"/>
    <n v="0"/>
    <n v="0"/>
    <n v="0"/>
    <n v="0"/>
    <n v="0"/>
    <n v="0"/>
    <n v="1417.4438229565408"/>
    <n v="1500"/>
    <n v="0.50207781629948567"/>
    <n v="82"/>
    <n v="83"/>
    <n v="0"/>
    <n v="-1"/>
    <n v="0"/>
    <n v="0.22846219947558938"/>
    <n v="1"/>
    <n v="75.849999999999994"/>
    <n v="75.849999999999994"/>
    <n v="-8.7004350983628349"/>
    <n v="1408.743387858178"/>
    <n v="0"/>
    <n v="1"/>
    <n v="0"/>
    <n v="0"/>
    <n v="0"/>
    <n v="0"/>
    <n v="0"/>
    <n v="0"/>
    <n v="0"/>
    <n v="0"/>
  </r>
  <r>
    <d v="2006-05-20T00:00:00"/>
    <n v="2006"/>
    <x v="0"/>
    <s v="R"/>
    <s v="RS"/>
    <x v="2"/>
    <s v="CON"/>
    <s v="A"/>
    <n v="0"/>
    <n v="0"/>
    <n v="0"/>
    <n v="0"/>
    <n v="0"/>
    <n v="0"/>
    <n v="1493.1597373838677"/>
    <n v="1580.0192372592705"/>
    <n v="0.27218867860785456"/>
    <n v="74"/>
    <n v="91"/>
    <n v="0"/>
    <n v="-17"/>
    <n v="0"/>
    <n v="0.49650368432626851"/>
    <n v="1"/>
    <n v="75.849999999999994"/>
    <n v="75.849999999999994"/>
    <n v="-10.250572411548971"/>
    <n v="1482.9091649723186"/>
    <n v="0"/>
    <n v="1"/>
    <n v="0"/>
    <n v="0"/>
    <n v="0"/>
    <n v="0"/>
    <n v="0"/>
    <n v="0"/>
    <n v="0"/>
    <n v="0"/>
  </r>
  <r>
    <d v="2006-05-20T00:00:00"/>
    <n v="2006"/>
    <x v="0"/>
    <s v="R"/>
    <s v="RS"/>
    <x v="3"/>
    <s v="NYL"/>
    <s v="H"/>
    <n v="0"/>
    <n v="0"/>
    <n v="0"/>
    <n v="0"/>
    <n v="0"/>
    <n v="0"/>
    <n v="1580.0192372592705"/>
    <n v="1493.1597373838677"/>
    <n v="0.72781132139214544"/>
    <n v="91"/>
    <n v="74"/>
    <n v="0"/>
    <n v="17"/>
    <n v="1"/>
    <n v="0.49650368432626851"/>
    <n v="1"/>
    <n v="75.849999999999994"/>
    <n v="75.849999999999994"/>
    <n v="10.250572411548971"/>
    <n v="1590.2698096708195"/>
    <n v="1"/>
    <n v="0"/>
    <n v="0"/>
    <n v="0"/>
    <n v="0"/>
    <n v="0"/>
    <n v="0"/>
    <n v="0"/>
    <n v="0"/>
    <n v="0"/>
  </r>
  <r>
    <d v="2006-05-20T00:00:00"/>
    <n v="2006"/>
    <x v="0"/>
    <s v="R"/>
    <s v="RS"/>
    <x v="4"/>
    <s v="IND"/>
    <s v="A"/>
    <n v="0"/>
    <n v="0"/>
    <n v="0"/>
    <n v="0"/>
    <n v="0"/>
    <n v="0"/>
    <n v="1480.8687450031402"/>
    <n v="1529.442951785863"/>
    <n v="0.3179609190186109"/>
    <n v="60"/>
    <n v="67"/>
    <n v="0"/>
    <n v="-7"/>
    <n v="0"/>
    <n v="0.35570861913686114"/>
    <n v="1"/>
    <n v="75.849999999999994"/>
    <n v="75.849999999999994"/>
    <n v="-8.5787441817968624"/>
    <n v="1472.2900008213435"/>
    <n v="0"/>
    <n v="1"/>
    <n v="0"/>
    <n v="0"/>
    <n v="0"/>
    <n v="0"/>
    <n v="0"/>
    <n v="0"/>
    <n v="0"/>
    <n v="0"/>
  </r>
  <r>
    <d v="2006-05-20T00:00:00"/>
    <n v="2006"/>
    <x v="0"/>
    <s v="R"/>
    <s v="RS"/>
    <x v="5"/>
    <s v="DET"/>
    <s v="H"/>
    <n v="0"/>
    <n v="0"/>
    <n v="0"/>
    <n v="0"/>
    <n v="0"/>
    <n v="0"/>
    <n v="1529.442951785863"/>
    <n v="1480.8687450031402"/>
    <n v="0.6820390809813891"/>
    <n v="67"/>
    <n v="60"/>
    <n v="0"/>
    <n v="7"/>
    <n v="1"/>
    <n v="0.35570861913686114"/>
    <n v="1"/>
    <n v="75.849999999999994"/>
    <n v="75.849999999999994"/>
    <n v="8.5787441817968624"/>
    <n v="1538.0216959676598"/>
    <n v="1"/>
    <n v="0"/>
    <n v="0"/>
    <n v="0"/>
    <n v="0"/>
    <n v="0"/>
    <n v="0"/>
    <n v="0"/>
    <n v="0"/>
    <n v="0"/>
  </r>
  <r>
    <d v="2006-05-20T00:00:00"/>
    <n v="2006"/>
    <x v="0"/>
    <s v="R"/>
    <s v="RS"/>
    <x v="6"/>
    <s v="SAC"/>
    <s v="A"/>
    <n v="0"/>
    <n v="0"/>
    <n v="0"/>
    <n v="0"/>
    <n v="0"/>
    <n v="0"/>
    <n v="1500.341204235981"/>
    <n v="1603.8526991658771"/>
    <n v="0.25361902277624232"/>
    <n v="78"/>
    <n v="105"/>
    <n v="0"/>
    <n v="-27"/>
    <n v="0"/>
    <n v="0.61372684714454662"/>
    <n v="1"/>
    <n v="75.849999999999994"/>
    <n v="75.849999999999994"/>
    <n v="-11.806265124566503"/>
    <n v="1488.5349391114144"/>
    <n v="0"/>
    <n v="1"/>
    <n v="0"/>
    <n v="0"/>
    <n v="0"/>
    <n v="0"/>
    <n v="0"/>
    <n v="0"/>
    <n v="0"/>
    <n v="0"/>
  </r>
  <r>
    <d v="2006-05-20T00:00:00"/>
    <n v="2006"/>
    <x v="0"/>
    <s v="R"/>
    <s v="RS"/>
    <x v="7"/>
    <s v="PHX"/>
    <s v="H"/>
    <n v="0"/>
    <n v="0"/>
    <n v="0"/>
    <n v="0"/>
    <n v="0"/>
    <n v="0"/>
    <n v="1603.8526991658771"/>
    <n v="1500.341204235981"/>
    <n v="0.74638097722375762"/>
    <n v="105"/>
    <n v="78"/>
    <n v="0"/>
    <n v="27"/>
    <n v="1"/>
    <n v="0.61372684714454662"/>
    <n v="1"/>
    <n v="75.849999999999994"/>
    <n v="75.849999999999994"/>
    <n v="11.806265124566504"/>
    <n v="1615.6589642904437"/>
    <n v="1"/>
    <n v="0"/>
    <n v="0"/>
    <n v="0"/>
    <n v="0"/>
    <n v="0"/>
    <n v="0"/>
    <n v="0"/>
    <n v="0"/>
    <n v="0"/>
  </r>
  <r>
    <d v="2006-05-21T00:00:00"/>
    <n v="2006"/>
    <x v="0"/>
    <s v="R"/>
    <s v="RS"/>
    <x v="8"/>
    <s v="HOU"/>
    <s v="A"/>
    <n v="1"/>
    <n v="1"/>
    <n v="0"/>
    <n v="0"/>
    <n v="0"/>
    <n v="0"/>
    <n v="1405.4412352403083"/>
    <n v="1522.4109260170098"/>
    <n v="0.23923566216052081"/>
    <n v="79"/>
    <n v="63"/>
    <n v="0"/>
    <n v="16"/>
    <n v="1"/>
    <n v="0.47179767544204321"/>
    <n v="1"/>
    <n v="75.849999999999994"/>
    <n v="75.849999999999994"/>
    <n v="27.224601280619453"/>
    <n v="1432.6658365209278"/>
    <n v="1"/>
    <n v="0"/>
    <n v="0"/>
    <n v="0"/>
    <n v="0"/>
    <n v="0"/>
    <n v="0"/>
    <n v="0"/>
    <n v="0"/>
    <n v="0"/>
  </r>
  <r>
    <d v="2006-05-21T00:00:00"/>
    <n v="2006"/>
    <x v="0"/>
    <s v="R"/>
    <s v="RS"/>
    <x v="9"/>
    <s v="SAS"/>
    <s v="H"/>
    <n v="1"/>
    <n v="1"/>
    <n v="0"/>
    <n v="0"/>
    <n v="0"/>
    <n v="0"/>
    <n v="1522.4109260170098"/>
    <n v="1405.4412352403083"/>
    <n v="0.76076433783947917"/>
    <n v="63"/>
    <n v="79"/>
    <n v="0"/>
    <n v="-16"/>
    <n v="0"/>
    <n v="0.47179767544204321"/>
    <n v="1"/>
    <n v="75.849999999999994"/>
    <n v="75.849999999999994"/>
    <n v="-27.224601280619453"/>
    <n v="1495.1863247363904"/>
    <n v="0"/>
    <n v="1"/>
    <n v="0"/>
    <n v="0"/>
    <n v="0"/>
    <n v="0"/>
    <n v="0"/>
    <n v="0"/>
    <n v="0"/>
    <n v="0"/>
  </r>
  <r>
    <d v="2006-05-21T00:00:00"/>
    <n v="2006"/>
    <x v="0"/>
    <s v="R"/>
    <s v="RS"/>
    <x v="10"/>
    <s v="SEA"/>
    <s v="A"/>
    <n v="1"/>
    <n v="1"/>
    <n v="0"/>
    <n v="0"/>
    <n v="0"/>
    <n v="0"/>
    <n v="1493.3306219524434"/>
    <n v="1528.724821213742"/>
    <n v="0.33463658488846176"/>
    <n v="67"/>
    <n v="90"/>
    <n v="0"/>
    <n v="-23"/>
    <n v="0"/>
    <n v="0.59770826471085103"/>
    <n v="1"/>
    <n v="75.849999999999994"/>
    <n v="75.849999999999994"/>
    <n v="-15.17114172927667"/>
    <n v="1478.1594802231666"/>
    <n v="0"/>
    <n v="1"/>
    <n v="0"/>
    <n v="0"/>
    <n v="0"/>
    <n v="0"/>
    <n v="0"/>
    <n v="0"/>
    <n v="0"/>
    <n v="0"/>
  </r>
  <r>
    <d v="2006-05-21T00:00:00"/>
    <n v="2006"/>
    <x v="0"/>
    <s v="R"/>
    <s v="RS"/>
    <x v="11"/>
    <s v="LAS"/>
    <s v="H"/>
    <n v="1"/>
    <n v="1"/>
    <n v="0"/>
    <n v="0"/>
    <n v="0"/>
    <n v="0"/>
    <n v="1528.724821213742"/>
    <n v="1493.3306219524434"/>
    <n v="0.66536341511153829"/>
    <n v="90"/>
    <n v="67"/>
    <n v="0"/>
    <n v="23"/>
    <n v="1"/>
    <n v="0.59770826471085103"/>
    <n v="1"/>
    <n v="75.849999999999994"/>
    <n v="75.849999999999994"/>
    <n v="15.171141729276668"/>
    <n v="1543.8959629430187"/>
    <n v="1"/>
    <n v="0"/>
    <n v="0"/>
    <n v="0"/>
    <n v="0"/>
    <n v="0"/>
    <n v="0"/>
    <n v="0"/>
    <n v="0"/>
    <n v="0"/>
  </r>
  <r>
    <d v="2006-05-23T00:00:00"/>
    <n v="2006"/>
    <x v="1"/>
    <s v="R"/>
    <s v="RS"/>
    <x v="10"/>
    <s v="CHA"/>
    <s v="A"/>
    <n v="1"/>
    <n v="2"/>
    <n v="-1"/>
    <n v="1"/>
    <n v="-8"/>
    <n v="8"/>
    <n v="1478.1594802231666"/>
    <n v="1408.743387858178"/>
    <n v="0.45609955302162647"/>
    <n v="72"/>
    <n v="65"/>
    <n v="0"/>
    <n v="7"/>
    <n v="1"/>
    <n v="0.34986842348685621"/>
    <n v="1"/>
    <n v="75.7"/>
    <n v="75.7"/>
    <n v="14.405224908201681"/>
    <n v="1492.5647051313683"/>
    <n v="1"/>
    <n v="0"/>
    <n v="0"/>
    <n v="0"/>
    <n v="0"/>
    <n v="0"/>
    <n v="0"/>
    <n v="0"/>
    <n v="0"/>
    <n v="0"/>
  </r>
  <r>
    <d v="2006-05-23T00:00:00"/>
    <n v="2006"/>
    <x v="1"/>
    <s v="R"/>
    <s v="RS"/>
    <x v="1"/>
    <s v="LAS"/>
    <s v="H"/>
    <n v="2"/>
    <n v="1"/>
    <n v="1"/>
    <n v="-1"/>
    <n v="8"/>
    <n v="-8"/>
    <n v="1408.743387858178"/>
    <n v="1478.1594802231666"/>
    <n v="0.54390044697837348"/>
    <n v="65"/>
    <n v="72"/>
    <n v="0"/>
    <n v="-7"/>
    <n v="0"/>
    <n v="0.34986842348685621"/>
    <n v="1"/>
    <n v="75.7"/>
    <n v="75.7"/>
    <n v="-14.405224908201681"/>
    <n v="1394.3381629499763"/>
    <n v="0"/>
    <n v="1"/>
    <n v="0"/>
    <n v="0"/>
    <n v="0"/>
    <n v="0"/>
    <n v="0"/>
    <n v="0"/>
    <n v="0"/>
    <n v="0"/>
  </r>
  <r>
    <d v="2006-05-23T00:00:00"/>
    <n v="2006"/>
    <x v="1"/>
    <s v="R"/>
    <s v="RS"/>
    <x v="7"/>
    <s v="CHI"/>
    <s v="A"/>
    <n v="2"/>
    <n v="2"/>
    <n v="0"/>
    <n v="0"/>
    <n v="0"/>
    <n v="0"/>
    <n v="1615.6589642904437"/>
    <n v="1508.7004350983627"/>
    <n v="0.5329919729078969"/>
    <n v="76"/>
    <n v="63"/>
    <n v="0"/>
    <n v="13"/>
    <n v="1"/>
    <n v="0.43341276262767381"/>
    <n v="1"/>
    <n v="75.7"/>
    <n v="75.7"/>
    <n v="15.322228006780499"/>
    <n v="1630.9811922972242"/>
    <n v="1"/>
    <n v="0"/>
    <n v="0"/>
    <n v="0"/>
    <n v="0"/>
    <n v="0"/>
    <n v="0"/>
    <n v="0"/>
    <n v="0"/>
    <n v="0"/>
  </r>
  <r>
    <d v="2006-05-23T00:00:00"/>
    <n v="2006"/>
    <x v="1"/>
    <s v="R"/>
    <s v="RS"/>
    <x v="0"/>
    <s v="SAC"/>
    <s v="H"/>
    <n v="2"/>
    <n v="2"/>
    <n v="0"/>
    <n v="0"/>
    <n v="0"/>
    <n v="0"/>
    <n v="1508.7004350983627"/>
    <n v="1615.6589642904437"/>
    <n v="0.46700802709210304"/>
    <n v="63"/>
    <n v="76"/>
    <n v="0"/>
    <n v="-13"/>
    <n v="0"/>
    <n v="0.43341276262767381"/>
    <n v="1"/>
    <n v="75.7"/>
    <n v="75.7"/>
    <n v="-15.322228006780497"/>
    <n v="1493.3782070915822"/>
    <n v="0"/>
    <n v="1"/>
    <n v="0"/>
    <n v="0"/>
    <n v="0"/>
    <n v="0"/>
    <n v="0"/>
    <n v="0"/>
    <n v="0"/>
    <n v="0"/>
  </r>
  <r>
    <d v="2006-05-23T00:00:00"/>
    <n v="2006"/>
    <x v="1"/>
    <s v="R"/>
    <s v="RS"/>
    <x v="3"/>
    <s v="MIN"/>
    <s v="A"/>
    <n v="2"/>
    <n v="3"/>
    <n v="-1"/>
    <n v="1"/>
    <n v="-8"/>
    <n v="8"/>
    <n v="1590.2698096708195"/>
    <n v="1463.4298649632372"/>
    <n v="0.53854913128624482"/>
    <n v="81"/>
    <n v="69"/>
    <n v="0"/>
    <n v="12"/>
    <n v="1"/>
    <n v="0.41252551513474262"/>
    <n v="1"/>
    <n v="75.7"/>
    <n v="75.7"/>
    <n v="14.410271479541587"/>
    <n v="1604.680081150361"/>
    <n v="1"/>
    <n v="0"/>
    <n v="0"/>
    <n v="0"/>
    <n v="0"/>
    <n v="0"/>
    <n v="0"/>
    <n v="0"/>
    <n v="0"/>
    <n v="0"/>
  </r>
  <r>
    <d v="2006-05-23T00:00:00"/>
    <n v="2006"/>
    <x v="0"/>
    <s v="R"/>
    <s v="RS"/>
    <x v="12"/>
    <s v="CON"/>
    <s v="H"/>
    <n v="3"/>
    <n v="2"/>
    <n v="1"/>
    <n v="-1"/>
    <n v="8"/>
    <n v="-8"/>
    <n v="1463.4298649632372"/>
    <n v="1590.2698096708195"/>
    <n v="0.46145086871375518"/>
    <n v="69"/>
    <n v="81"/>
    <n v="0"/>
    <n v="-12"/>
    <n v="0"/>
    <n v="0.41252551513474262"/>
    <n v="1"/>
    <n v="75.849999999999994"/>
    <n v="75.849999999999994"/>
    <n v="-14.438825518140412"/>
    <n v="1448.9910394450967"/>
    <n v="0"/>
    <n v="1"/>
    <n v="0"/>
    <n v="0"/>
    <n v="0"/>
    <n v="0"/>
    <n v="0"/>
    <n v="0"/>
    <n v="0"/>
    <n v="0"/>
  </r>
  <r>
    <d v="2006-05-23T00:00:00"/>
    <n v="2006"/>
    <x v="1"/>
    <s v="R"/>
    <s v="RS"/>
    <x v="5"/>
    <s v="SAS"/>
    <s v="A"/>
    <n v="2"/>
    <n v="1"/>
    <n v="1"/>
    <n v="-1"/>
    <n v="8"/>
    <n v="-8"/>
    <n v="1538.0216959676598"/>
    <n v="1432.6658365209278"/>
    <n v="0.5535531984848201"/>
    <n v="62"/>
    <n v="53"/>
    <n v="0"/>
    <n v="9"/>
    <n v="1"/>
    <n v="0.37320538231097683"/>
    <n v="1"/>
    <n v="75.7"/>
    <n v="75.7"/>
    <n v="12.612857637542604"/>
    <n v="1550.6345536052024"/>
    <n v="1"/>
    <n v="0"/>
    <n v="0"/>
    <n v="0"/>
    <n v="0"/>
    <n v="0"/>
    <n v="0"/>
    <n v="0"/>
    <n v="0"/>
    <n v="0"/>
  </r>
  <r>
    <d v="2006-05-23T00:00:00"/>
    <n v="2006"/>
    <x v="1"/>
    <s v="R"/>
    <s v="RS"/>
    <x v="8"/>
    <s v="IND"/>
    <s v="H"/>
    <n v="1"/>
    <n v="2"/>
    <n v="-1"/>
    <n v="1"/>
    <n v="-8"/>
    <n v="8"/>
    <n v="1432.6658365209278"/>
    <n v="1538.0216959676598"/>
    <n v="0.4464468015151799"/>
    <n v="53"/>
    <n v="62"/>
    <n v="0"/>
    <n v="-9"/>
    <n v="0"/>
    <n v="0.37320538231097683"/>
    <n v="1"/>
    <n v="75.7"/>
    <n v="75.7"/>
    <n v="-12.612857637542604"/>
    <n v="1420.0529788833851"/>
    <n v="0"/>
    <n v="1"/>
    <n v="0"/>
    <n v="0"/>
    <n v="0"/>
    <n v="0"/>
    <n v="0"/>
    <n v="0"/>
    <n v="0"/>
    <n v="0"/>
  </r>
  <r>
    <d v="2006-05-23T00:00:00"/>
    <n v="2006"/>
    <x v="1"/>
    <s v="R"/>
    <s v="RS"/>
    <x v="9"/>
    <s v="SEA"/>
    <s v="A"/>
    <n v="1"/>
    <n v="1"/>
    <n v="0"/>
    <n v="0"/>
    <n v="0"/>
    <n v="0"/>
    <n v="1495.1863247363904"/>
    <n v="1543.8959629430187"/>
    <n v="0.31779187629013894"/>
    <n v="84"/>
    <n v="59"/>
    <n v="0"/>
    <n v="25"/>
    <n v="1"/>
    <n v="0.61632713524812022"/>
    <n v="1"/>
    <n v="75.7"/>
    <n v="75.7"/>
    <n v="31.82907775465241"/>
    <n v="1527.0154024910428"/>
    <n v="1"/>
    <n v="0"/>
    <n v="0"/>
    <n v="0"/>
    <n v="0"/>
    <n v="0"/>
    <n v="0"/>
    <n v="0"/>
    <n v="0"/>
    <n v="0"/>
  </r>
  <r>
    <d v="2006-05-23T00:00:00"/>
    <n v="2006"/>
    <x v="1"/>
    <s v="R"/>
    <s v="RS"/>
    <x v="11"/>
    <s v="HOU"/>
    <s v="H"/>
    <n v="1"/>
    <n v="1"/>
    <n v="0"/>
    <n v="0"/>
    <n v="0"/>
    <n v="0"/>
    <n v="1543.8959629430187"/>
    <n v="1495.1863247363904"/>
    <n v="0.68220812370986106"/>
    <n v="59"/>
    <n v="84"/>
    <n v="0"/>
    <n v="-25"/>
    <n v="0"/>
    <n v="0.61632713524812022"/>
    <n v="1"/>
    <n v="75.7"/>
    <n v="75.7"/>
    <n v="-31.82907775465241"/>
    <n v="1512.0668851883663"/>
    <n v="0"/>
    <n v="1"/>
    <n v="0"/>
    <n v="0"/>
    <n v="0"/>
    <n v="0"/>
    <n v="0"/>
    <n v="0"/>
    <n v="0"/>
    <n v="0"/>
  </r>
  <r>
    <d v="2006-05-23T00:00:00"/>
    <n v="2006"/>
    <x v="1"/>
    <s v="R"/>
    <s v="RS"/>
    <x v="2"/>
    <s v="WAS"/>
    <s v="A"/>
    <n v="2"/>
    <n v="3"/>
    <n v="-1"/>
    <n v="1"/>
    <n v="-8"/>
    <n v="8"/>
    <n v="1482.9091649723186"/>
    <n v="1486.6099350368504"/>
    <n v="0.35504188272503817"/>
    <n v="60"/>
    <n v="95"/>
    <n v="0"/>
    <n v="-35"/>
    <n v="0"/>
    <n v="0.75983178427776465"/>
    <n v="1"/>
    <n v="75.7"/>
    <n v="75.7"/>
    <n v="-20.421748518393709"/>
    <n v="1462.4874164539249"/>
    <n v="0"/>
    <n v="1"/>
    <n v="0"/>
    <n v="0"/>
    <n v="0"/>
    <n v="0"/>
    <n v="0"/>
    <n v="0"/>
    <n v="0"/>
    <n v="0"/>
  </r>
  <r>
    <d v="2006-05-23T00:00:00"/>
    <n v="2006"/>
    <x v="0"/>
    <s v="R"/>
    <s v="RS"/>
    <x v="13"/>
    <s v="NYL"/>
    <s v="H"/>
    <n v="3"/>
    <n v="2"/>
    <n v="1"/>
    <n v="-1"/>
    <n v="8"/>
    <n v="-8"/>
    <n v="1486.6099350368504"/>
    <n v="1482.9091649723186"/>
    <n v="0.64495811727496177"/>
    <n v="95"/>
    <n v="60"/>
    <n v="0"/>
    <n v="35"/>
    <n v="1"/>
    <n v="0.75983178427776465"/>
    <n v="1"/>
    <n v="75.849999999999994"/>
    <n v="75.849999999999994"/>
    <n v="20.462214334480354"/>
    <n v="1507.0721493713309"/>
    <n v="1"/>
    <n v="0"/>
    <n v="0"/>
    <n v="0"/>
    <n v="0"/>
    <n v="0"/>
    <n v="0"/>
    <n v="0"/>
    <n v="0"/>
    <n v="0"/>
  </r>
  <r>
    <d v="2006-05-24T00:00:00"/>
    <n v="2006"/>
    <x v="1"/>
    <s v="R"/>
    <s v="RS"/>
    <x v="12"/>
    <s v="DET"/>
    <s v="A"/>
    <n v="0"/>
    <n v="3"/>
    <n v="-3"/>
    <n v="3"/>
    <n v="-16"/>
    <n v="16"/>
    <n v="1448.9910394450967"/>
    <n v="1472.2900008213435"/>
    <n v="0.30962580385128119"/>
    <n v="69"/>
    <n v="78"/>
    <n v="0"/>
    <n v="-9"/>
    <n v="0"/>
    <n v="0.39823939033563449"/>
    <n v="1"/>
    <n v="75.7"/>
    <n v="75.7"/>
    <n v="-9.334202985794164"/>
    <n v="1439.6568364593024"/>
    <n v="0"/>
    <n v="1"/>
    <n v="0"/>
    <n v="0"/>
    <n v="0"/>
    <n v="0"/>
    <n v="0"/>
    <n v="0"/>
    <n v="0"/>
    <n v="0"/>
  </r>
  <r>
    <d v="2006-05-24T00:00:00"/>
    <n v="2006"/>
    <x v="1"/>
    <s v="R"/>
    <s v="RS"/>
    <x v="4"/>
    <s v="MIN"/>
    <s v="H"/>
    <n v="3"/>
    <n v="0"/>
    <n v="3"/>
    <n v="-3"/>
    <n v="16"/>
    <n v="-16"/>
    <n v="1472.2900008213435"/>
    <n v="1448.9910394450967"/>
    <n v="0.69037419614871887"/>
    <n v="78"/>
    <n v="69"/>
    <n v="0"/>
    <n v="9"/>
    <n v="1"/>
    <n v="0.39823939033563449"/>
    <n v="1"/>
    <n v="75.7"/>
    <n v="75.7"/>
    <n v="9.3342029857941622"/>
    <n v="1481.6242038071377"/>
    <n v="1"/>
    <n v="0"/>
    <n v="0"/>
    <n v="0"/>
    <n v="0"/>
    <n v="0"/>
    <n v="0"/>
    <n v="0"/>
    <n v="0"/>
    <n v="0"/>
  </r>
  <r>
    <d v="2006-05-25T00:00:00"/>
    <n v="2006"/>
    <x v="1"/>
    <s v="R"/>
    <s v="RS"/>
    <x v="13"/>
    <s v="CHA"/>
    <s v="A"/>
    <n v="1"/>
    <n v="1"/>
    <n v="0"/>
    <n v="0"/>
    <n v="0"/>
    <n v="0"/>
    <n v="1507.0721493713309"/>
    <n v="1394.3381629499763"/>
    <n v="0.54125750904249215"/>
    <n v="63"/>
    <n v="73"/>
    <n v="0"/>
    <n v="-10"/>
    <n v="0"/>
    <n v="0.38679248381687281"/>
    <n v="1"/>
    <n v="75.7"/>
    <n v="75.7"/>
    <n v="-15.848123258445884"/>
    <n v="1491.224026112885"/>
    <n v="0"/>
    <n v="1"/>
    <n v="0"/>
    <n v="0"/>
    <n v="0"/>
    <n v="0"/>
    <n v="0"/>
    <n v="0"/>
    <n v="0"/>
    <n v="0"/>
  </r>
  <r>
    <d v="2006-05-25T00:00:00"/>
    <n v="2006"/>
    <x v="2"/>
    <s v="R"/>
    <s v="RS"/>
    <x v="1"/>
    <s v="WAS"/>
    <s v="H"/>
    <n v="1"/>
    <n v="1"/>
    <n v="0"/>
    <n v="0"/>
    <n v="0"/>
    <n v="0"/>
    <n v="1394.3381629499763"/>
    <n v="1507.0721493713309"/>
    <n v="0.45874249095750791"/>
    <n v="73"/>
    <n v="63"/>
    <n v="0"/>
    <n v="10"/>
    <n v="1"/>
    <n v="0.38679248381687281"/>
    <n v="1"/>
    <n v="75.55"/>
    <n v="75.55"/>
    <n v="15.816720107999815"/>
    <n v="1410.1548830579761"/>
    <n v="1"/>
    <n v="0"/>
    <n v="0"/>
    <n v="0"/>
    <n v="0"/>
    <n v="0"/>
    <n v="0"/>
    <n v="0"/>
    <n v="0"/>
    <n v="0"/>
  </r>
  <r>
    <d v="2006-05-25T00:00:00"/>
    <n v="2006"/>
    <x v="2"/>
    <s v="R"/>
    <s v="RS"/>
    <x v="11"/>
    <s v="PHX"/>
    <s v="A"/>
    <n v="1"/>
    <n v="4"/>
    <n v="-3"/>
    <n v="3"/>
    <n v="-16"/>
    <n v="16"/>
    <n v="1512.0668851883663"/>
    <n v="1488.5349391114144"/>
    <n v="0.36998319537100927"/>
    <n v="94"/>
    <n v="81"/>
    <n v="0"/>
    <n v="13"/>
    <n v="1"/>
    <n v="0.46296503217032881"/>
    <n v="1"/>
    <n v="75.55"/>
    <n v="75.55"/>
    <n v="22.036102929340728"/>
    <n v="1534.1029881177071"/>
    <n v="1"/>
    <n v="0"/>
    <n v="0"/>
    <n v="0"/>
    <n v="0"/>
    <n v="0"/>
    <n v="0"/>
    <n v="0"/>
    <n v="0"/>
    <n v="0"/>
  </r>
  <r>
    <d v="2006-05-25T00:00:00"/>
    <n v="2006"/>
    <x v="1"/>
    <s v="R"/>
    <s v="RS"/>
    <x v="6"/>
    <s v="SEA"/>
    <s v="H"/>
    <n v="4"/>
    <n v="1"/>
    <n v="3"/>
    <n v="-3"/>
    <n v="16"/>
    <n v="-16"/>
    <n v="1488.5349391114144"/>
    <n v="1512.0668851883663"/>
    <n v="0.63001680462899068"/>
    <n v="81"/>
    <n v="94"/>
    <n v="0"/>
    <n v="-13"/>
    <n v="0"/>
    <n v="0.46296503217032881"/>
    <n v="1"/>
    <n v="75.7"/>
    <n v="75.7"/>
    <n v="-22.07985429187417"/>
    <n v="1466.4550848195402"/>
    <n v="0"/>
    <n v="1"/>
    <n v="0"/>
    <n v="0"/>
    <n v="0"/>
    <n v="0"/>
    <n v="0"/>
    <n v="0"/>
    <n v="0"/>
    <n v="0"/>
  </r>
  <r>
    <d v="2006-05-25T00:00:00"/>
    <n v="2006"/>
    <x v="2"/>
    <s v="R"/>
    <s v="RS"/>
    <x v="9"/>
    <s v="SAC"/>
    <s v="A"/>
    <n v="1"/>
    <n v="1"/>
    <n v="0"/>
    <n v="0"/>
    <n v="0"/>
    <n v="0"/>
    <n v="1527.0154024910428"/>
    <n v="1630.9811922972242"/>
    <n v="0.2531243067929615"/>
    <n v="81"/>
    <n v="66"/>
    <n v="0"/>
    <n v="15"/>
    <n v="1"/>
    <n v="0.46275572439995288"/>
    <n v="1"/>
    <n v="75.55"/>
    <n v="75.55"/>
    <n v="26.111666734851209"/>
    <n v="1553.127069225894"/>
    <n v="1"/>
    <n v="0"/>
    <n v="0"/>
    <n v="0"/>
    <n v="0"/>
    <n v="0"/>
    <n v="0"/>
    <n v="0"/>
    <n v="0"/>
    <n v="0"/>
  </r>
  <r>
    <d v="2006-05-25T00:00:00"/>
    <n v="2006"/>
    <x v="2"/>
    <s v="R"/>
    <s v="RS"/>
    <x v="7"/>
    <s v="HOU"/>
    <s v="H"/>
    <n v="1"/>
    <n v="1"/>
    <n v="0"/>
    <n v="0"/>
    <n v="0"/>
    <n v="0"/>
    <n v="1630.9811922972242"/>
    <n v="1527.0154024910428"/>
    <n v="0.74687569320703839"/>
    <n v="66"/>
    <n v="81"/>
    <n v="0"/>
    <n v="-15"/>
    <n v="0"/>
    <n v="0.46275572439995288"/>
    <n v="1"/>
    <n v="75.55"/>
    <n v="75.55"/>
    <n v="-26.111666734851205"/>
    <n v="1604.8695255623729"/>
    <n v="0"/>
    <n v="1"/>
    <n v="0"/>
    <n v="0"/>
    <n v="0"/>
    <n v="0"/>
    <n v="0"/>
    <n v="0"/>
    <n v="0"/>
    <n v="0"/>
  </r>
  <r>
    <d v="2006-05-25T00:00:00"/>
    <n v="2006"/>
    <x v="2"/>
    <s v="R"/>
    <s v="RS"/>
    <x v="10"/>
    <s v="SAS"/>
    <s v="A"/>
    <n v="1"/>
    <n v="1"/>
    <n v="0"/>
    <n v="0"/>
    <n v="0"/>
    <n v="0"/>
    <n v="1492.5647051313683"/>
    <n v="1420.0529788833851"/>
    <n v="0.48347306789710542"/>
    <n v="80"/>
    <n v="71"/>
    <n v="0"/>
    <n v="9"/>
    <n v="1"/>
    <n v="0.38283799082394782"/>
    <n v="1"/>
    <n v="75.55"/>
    <n v="75.55"/>
    <n v="14.93972034004574"/>
    <n v="1507.5044254714142"/>
    <n v="1"/>
    <n v="0"/>
    <n v="0"/>
    <n v="0"/>
    <n v="0"/>
    <n v="0"/>
    <n v="0"/>
    <n v="0"/>
    <n v="0"/>
    <n v="0"/>
  </r>
  <r>
    <d v="2006-05-25T00:00:00"/>
    <n v="2006"/>
    <x v="2"/>
    <s v="R"/>
    <s v="RS"/>
    <x v="8"/>
    <s v="LAS"/>
    <s v="H"/>
    <n v="1"/>
    <n v="1"/>
    <n v="0"/>
    <n v="0"/>
    <n v="0"/>
    <n v="0"/>
    <n v="1420.0529788833851"/>
    <n v="1492.5647051313683"/>
    <n v="0.51652693210289458"/>
    <n v="71"/>
    <n v="80"/>
    <n v="0"/>
    <n v="-9"/>
    <n v="0"/>
    <n v="0.38283799082394782"/>
    <n v="1"/>
    <n v="75.55"/>
    <n v="75.55"/>
    <n v="-14.93972034004574"/>
    <n v="1405.1132585433393"/>
    <n v="0"/>
    <n v="1"/>
    <n v="0"/>
    <n v="0"/>
    <n v="0"/>
    <n v="0"/>
    <n v="0"/>
    <n v="0"/>
    <n v="0"/>
    <n v="0"/>
  </r>
  <r>
    <d v="2006-05-26T00:00:00"/>
    <n v="2006"/>
    <x v="2"/>
    <s v="R"/>
    <s v="RS"/>
    <x v="5"/>
    <s v="CHI"/>
    <s v="A"/>
    <n v="2"/>
    <n v="2"/>
    <n v="0"/>
    <n v="0"/>
    <n v="0"/>
    <n v="0"/>
    <n v="1550.6345536052024"/>
    <n v="1493.3782070915822"/>
    <n v="0.4615886221555025"/>
    <n v="75"/>
    <n v="60"/>
    <n v="0"/>
    <n v="15"/>
    <n v="1"/>
    <n v="0.47994797188958094"/>
    <n v="1"/>
    <n v="75.55"/>
    <n v="75.55"/>
    <n v="19.522833859766912"/>
    <n v="1570.1573874649694"/>
    <n v="1"/>
    <n v="0"/>
    <n v="0"/>
    <n v="0"/>
    <n v="0"/>
    <n v="0"/>
    <n v="0"/>
    <n v="0"/>
    <n v="0"/>
    <n v="0"/>
  </r>
  <r>
    <d v="2006-05-26T00:00:00"/>
    <n v="2006"/>
    <x v="2"/>
    <s v="R"/>
    <s v="RS"/>
    <x v="0"/>
    <s v="IND"/>
    <s v="H"/>
    <n v="2"/>
    <n v="2"/>
    <n v="0"/>
    <n v="0"/>
    <n v="0"/>
    <n v="0"/>
    <n v="1493.3782070915822"/>
    <n v="1550.6345536052024"/>
    <n v="0.53841137784449755"/>
    <n v="60"/>
    <n v="75"/>
    <n v="0"/>
    <n v="-15"/>
    <n v="0"/>
    <n v="0.47994797188958094"/>
    <n v="1"/>
    <n v="75.55"/>
    <n v="75.55"/>
    <n v="-19.522833859766916"/>
    <n v="1473.8553732318153"/>
    <n v="0"/>
    <n v="1"/>
    <n v="0"/>
    <n v="0"/>
    <n v="0"/>
    <n v="0"/>
    <n v="0"/>
    <n v="0"/>
    <n v="0"/>
    <n v="0"/>
  </r>
  <r>
    <d v="2006-05-27T00:00:00"/>
    <n v="2006"/>
    <x v="2"/>
    <s v="R"/>
    <s v="RS"/>
    <x v="4"/>
    <s v="CON"/>
    <s v="A"/>
    <n v="2"/>
    <n v="3"/>
    <n v="-1"/>
    <n v="1"/>
    <n v="-8"/>
    <n v="8"/>
    <n v="1481.6242038071377"/>
    <n v="1604.680081150361"/>
    <n v="0.21686792280036821"/>
    <n v="77"/>
    <n v="73"/>
    <n v="1"/>
    <n v="4"/>
    <n v="1"/>
    <n v="0.25422006693443339"/>
    <n v="1"/>
    <n v="75.55"/>
    <n v="75.55"/>
    <n v="15.041090020310723"/>
    <n v="1496.6652938274485"/>
    <n v="1"/>
    <n v="0"/>
    <n v="0"/>
    <n v="0"/>
    <n v="0"/>
    <n v="0"/>
    <n v="0"/>
    <n v="0"/>
    <n v="0"/>
    <n v="0"/>
  </r>
  <r>
    <d v="2006-05-27T00:00:00"/>
    <n v="2006"/>
    <x v="2"/>
    <s v="R"/>
    <s v="RS"/>
    <x v="3"/>
    <s v="DET"/>
    <s v="H"/>
    <n v="3"/>
    <n v="2"/>
    <n v="1"/>
    <n v="-1"/>
    <n v="8"/>
    <n v="-8"/>
    <n v="1604.680081150361"/>
    <n v="1481.6242038071377"/>
    <n v="0.78313207719963185"/>
    <n v="73"/>
    <n v="77"/>
    <n v="1"/>
    <n v="-4"/>
    <n v="0"/>
    <n v="0.25422006693443339"/>
    <n v="1"/>
    <n v="75.55"/>
    <n v="75.55"/>
    <n v="-15.041090020310724"/>
    <n v="1589.6389911300503"/>
    <n v="0"/>
    <n v="1"/>
    <n v="0"/>
    <n v="0"/>
    <n v="0"/>
    <n v="0"/>
    <n v="0"/>
    <n v="0"/>
    <n v="0"/>
    <n v="0"/>
  </r>
  <r>
    <d v="2006-05-27T00:00:00"/>
    <n v="2006"/>
    <x v="2"/>
    <s v="R"/>
    <s v="RS"/>
    <x v="12"/>
    <s v="WAS"/>
    <s v="A"/>
    <n v="2"/>
    <n v="1"/>
    <n v="1"/>
    <n v="-1"/>
    <n v="8"/>
    <n v="-8"/>
    <n v="1439.6568364593024"/>
    <n v="1491.224026112885"/>
    <n v="0.33441489878384434"/>
    <n v="75"/>
    <n v="90"/>
    <n v="0"/>
    <n v="-15"/>
    <n v="0"/>
    <n v="0.48212963606175574"/>
    <n v="1"/>
    <n v="75.55"/>
    <n v="75.55"/>
    <n v="-12.181027241715636"/>
    <n v="1427.4758092175869"/>
    <n v="0"/>
    <n v="1"/>
    <n v="0"/>
    <n v="0"/>
    <n v="0"/>
    <n v="0"/>
    <n v="0"/>
    <n v="0"/>
    <n v="0"/>
    <n v="0"/>
  </r>
  <r>
    <d v="2006-05-27T00:00:00"/>
    <n v="2006"/>
    <x v="2"/>
    <s v="R"/>
    <s v="RS"/>
    <x v="13"/>
    <s v="MIN"/>
    <s v="H"/>
    <n v="1"/>
    <n v="2"/>
    <n v="-1"/>
    <n v="1"/>
    <n v="-8"/>
    <n v="8"/>
    <n v="1491.224026112885"/>
    <n v="1439.6568364593024"/>
    <n v="0.66558510121615577"/>
    <n v="90"/>
    <n v="75"/>
    <n v="0"/>
    <n v="15"/>
    <n v="1"/>
    <n v="0.48212963606175574"/>
    <n v="1"/>
    <n v="75.55"/>
    <n v="75.55"/>
    <n v="12.181027241715633"/>
    <n v="1503.4050533546006"/>
    <n v="1"/>
    <n v="0"/>
    <n v="0"/>
    <n v="0"/>
    <n v="0"/>
    <n v="0"/>
    <n v="0"/>
    <n v="0"/>
    <n v="0"/>
    <n v="0"/>
  </r>
  <r>
    <d v="2006-05-30T00:00:00"/>
    <n v="2006"/>
    <x v="3"/>
    <s v="R"/>
    <s v="RS"/>
    <x v="10"/>
    <s v="CHI"/>
    <s v="A"/>
    <n v="4"/>
    <n v="3"/>
    <n v="1"/>
    <n v="-1"/>
    <n v="8"/>
    <n v="-8"/>
    <n v="1507.5044254714142"/>
    <n v="1473.8553732318153"/>
    <n v="0.45072546513972367"/>
    <n v="64"/>
    <n v="55"/>
    <n v="0"/>
    <n v="9"/>
    <n v="1"/>
    <n v="0.39489823438219951"/>
    <n v="1"/>
    <n v="75.400000000000006"/>
    <n v="75.400000000000006"/>
    <n v="16.354828818159998"/>
    <n v="1523.8592542895742"/>
    <n v="1"/>
    <n v="0"/>
    <n v="0"/>
    <n v="0"/>
    <n v="0"/>
    <n v="0"/>
    <n v="0"/>
    <n v="0"/>
    <n v="0"/>
    <n v="0"/>
  </r>
  <r>
    <d v="2006-05-30T00:00:00"/>
    <n v="2006"/>
    <x v="3"/>
    <s v="R"/>
    <s v="RS"/>
    <x v="0"/>
    <s v="LAS"/>
    <s v="H"/>
    <n v="3"/>
    <n v="4"/>
    <n v="-1"/>
    <n v="1"/>
    <n v="-8"/>
    <n v="8"/>
    <n v="1473.8553732318153"/>
    <n v="1507.5044254714142"/>
    <n v="0.54927453486027633"/>
    <n v="55"/>
    <n v="64"/>
    <n v="0"/>
    <n v="-9"/>
    <n v="0"/>
    <n v="0.39489823438219951"/>
    <n v="1"/>
    <n v="75.400000000000006"/>
    <n v="75.400000000000006"/>
    <n v="-16.354828818159998"/>
    <n v="1457.5005444136552"/>
    <n v="0"/>
    <n v="1"/>
    <n v="0"/>
    <n v="0"/>
    <n v="0"/>
    <n v="0"/>
    <n v="0"/>
    <n v="0"/>
    <n v="0"/>
    <n v="0"/>
  </r>
  <r>
    <d v="2006-05-30T00:00:00"/>
    <n v="2006"/>
    <x v="2"/>
    <s v="R"/>
    <s v="RS"/>
    <x v="2"/>
    <s v="IND"/>
    <s v="A"/>
    <n v="6"/>
    <n v="3"/>
    <n v="3"/>
    <n v="-3"/>
    <n v="16"/>
    <n v="-16"/>
    <n v="1462.4874164539249"/>
    <n v="1570.1573874649694"/>
    <n v="0.28513433218838991"/>
    <n v="70"/>
    <n v="91"/>
    <n v="0"/>
    <n v="-21"/>
    <n v="0"/>
    <n v="0.54011452658716697"/>
    <n v="1"/>
    <n v="75.55"/>
    <n v="75.55"/>
    <n v="-11.635092470440039"/>
    <n v="1450.8523239834849"/>
    <n v="0"/>
    <n v="1"/>
    <n v="0"/>
    <n v="0"/>
    <n v="0"/>
    <n v="0"/>
    <n v="0"/>
    <n v="0"/>
    <n v="0"/>
    <n v="0"/>
  </r>
  <r>
    <d v="2006-05-30T00:00:00"/>
    <n v="2006"/>
    <x v="3"/>
    <s v="R"/>
    <s v="RS"/>
    <x v="5"/>
    <s v="NYL"/>
    <s v="H"/>
    <n v="3"/>
    <n v="6"/>
    <n v="-3"/>
    <n v="3"/>
    <n v="-16"/>
    <n v="16"/>
    <n v="1570.1573874649694"/>
    <n v="1462.4874164539249"/>
    <n v="0.71486566781161009"/>
    <n v="91"/>
    <n v="70"/>
    <n v="0"/>
    <n v="21"/>
    <n v="1"/>
    <n v="0.54011452658716697"/>
    <n v="1"/>
    <n v="75.400000000000006"/>
    <n v="75.400000000000006"/>
    <n v="11.611991691213488"/>
    <n v="1581.7693791561828"/>
    <n v="1"/>
    <n v="0"/>
    <n v="0"/>
    <n v="0"/>
    <n v="0"/>
    <n v="0"/>
    <n v="0"/>
    <n v="0"/>
    <n v="0"/>
    <n v="0"/>
  </r>
  <r>
    <d v="2006-05-31T00:00:00"/>
    <n v="2006"/>
    <x v="4"/>
    <s v="R"/>
    <s v="RS"/>
    <x v="5"/>
    <s v="HOU"/>
    <s v="A"/>
    <n v="0"/>
    <n v="5"/>
    <n v="-5"/>
    <n v="5"/>
    <n v="-16"/>
    <n v="16"/>
    <n v="1581.7693791561828"/>
    <n v="1553.127069225894"/>
    <n v="0.37686614326534423"/>
    <n v="60"/>
    <n v="73"/>
    <n v="0"/>
    <n v="-13"/>
    <n v="0"/>
    <n v="0.46103939462175997"/>
    <n v="1"/>
    <n v="75.25"/>
    <n v="75.25"/>
    <n v="-13.074697925473005"/>
    <n v="1568.6946812307099"/>
    <n v="0"/>
    <n v="1"/>
    <n v="0"/>
    <n v="0"/>
    <n v="0"/>
    <n v="0"/>
    <n v="0"/>
    <n v="0"/>
    <n v="0"/>
    <n v="0"/>
  </r>
  <r>
    <d v="2006-05-31T00:00:00"/>
    <n v="2006"/>
    <x v="3"/>
    <s v="R"/>
    <s v="RS"/>
    <x v="9"/>
    <s v="IND"/>
    <s v="H"/>
    <n v="5"/>
    <n v="0"/>
    <n v="5"/>
    <n v="-5"/>
    <n v="16"/>
    <n v="-16"/>
    <n v="1553.127069225894"/>
    <n v="1581.7693791561828"/>
    <n v="0.62313385673465571"/>
    <n v="73"/>
    <n v="60"/>
    <n v="0"/>
    <n v="13"/>
    <n v="1"/>
    <n v="0.46103939462175997"/>
    <n v="1"/>
    <n v="75.400000000000006"/>
    <n v="75.400000000000006"/>
    <n v="13.100760446254681"/>
    <n v="1566.2278296721488"/>
    <n v="1"/>
    <n v="0"/>
    <n v="0"/>
    <n v="0"/>
    <n v="0"/>
    <n v="0"/>
    <n v="0"/>
    <n v="0"/>
    <n v="0"/>
    <n v="0"/>
  </r>
  <r>
    <d v="2006-05-31T00:00:00"/>
    <n v="2006"/>
    <x v="4"/>
    <s v="R"/>
    <s v="RS"/>
    <x v="10"/>
    <s v="MIN"/>
    <s v="A"/>
    <n v="0"/>
    <n v="3"/>
    <n v="-3"/>
    <n v="3"/>
    <n v="-16"/>
    <n v="16"/>
    <n v="1523.8592542895742"/>
    <n v="1427.4758092175869"/>
    <n v="0.47179946807411788"/>
    <n v="71"/>
    <n v="114"/>
    <n v="0"/>
    <n v="-43"/>
    <n v="0"/>
    <n v="0.78706620666848615"/>
    <n v="1"/>
    <n v="75.25"/>
    <n v="75.25"/>
    <n v="-27.943140677809236"/>
    <n v="1495.916113611765"/>
    <n v="0"/>
    <n v="1"/>
    <n v="0"/>
    <n v="0"/>
    <n v="0"/>
    <n v="0"/>
    <n v="0"/>
    <n v="0"/>
    <n v="0"/>
    <n v="0"/>
  </r>
  <r>
    <d v="2006-05-31T00:00:00"/>
    <n v="2006"/>
    <x v="3"/>
    <s v="R"/>
    <s v="RS"/>
    <x v="12"/>
    <s v="LAS"/>
    <s v="H"/>
    <n v="3"/>
    <n v="0"/>
    <n v="3"/>
    <n v="-3"/>
    <n v="16"/>
    <n v="-16"/>
    <n v="1427.4758092175869"/>
    <n v="1523.8592542895742"/>
    <n v="0.52820053192588212"/>
    <n v="114"/>
    <n v="71"/>
    <n v="0"/>
    <n v="43"/>
    <n v="1"/>
    <n v="0.78706620666848615"/>
    <n v="1"/>
    <n v="75.400000000000006"/>
    <n v="75.400000000000006"/>
    <n v="27.998841290456038"/>
    <n v="1455.4746505080429"/>
    <n v="1"/>
    <n v="0"/>
    <n v="0"/>
    <n v="0"/>
    <n v="0"/>
    <n v="0"/>
    <n v="0"/>
    <n v="0"/>
    <n v="0"/>
    <n v="0"/>
  </r>
  <r>
    <d v="2006-05-31T00:00:00"/>
    <n v="2006"/>
    <x v="3"/>
    <s v="R"/>
    <s v="RS"/>
    <x v="8"/>
    <s v="PHX"/>
    <s v="A"/>
    <n v="5"/>
    <n v="5"/>
    <n v="0"/>
    <n v="0"/>
    <n v="0"/>
    <n v="0"/>
    <n v="1405.1132585433393"/>
    <n v="1466.4550848195402"/>
    <n v="0.30223978782494054"/>
    <n v="82"/>
    <n v="76"/>
    <n v="0"/>
    <n v="6"/>
    <n v="1"/>
    <n v="0.33419720533146297"/>
    <n v="1"/>
    <n v="75.400000000000006"/>
    <n v="75.400000000000006"/>
    <n v="17.582489272689671"/>
    <n v="1422.6957478160289"/>
    <n v="1"/>
    <n v="0"/>
    <n v="0"/>
    <n v="0"/>
    <n v="0"/>
    <n v="0"/>
    <n v="0"/>
    <n v="0"/>
    <n v="0"/>
    <n v="0"/>
  </r>
  <r>
    <d v="2006-05-31T00:00:00"/>
    <n v="2006"/>
    <x v="2"/>
    <s v="R"/>
    <s v="RS"/>
    <x v="6"/>
    <s v="SAS"/>
    <s v="H"/>
    <n v="5"/>
    <n v="5"/>
    <n v="0"/>
    <n v="0"/>
    <n v="0"/>
    <n v="0"/>
    <n v="1466.4550848195402"/>
    <n v="1405.1132585433393"/>
    <n v="0.69776021217505946"/>
    <n v="76"/>
    <n v="82"/>
    <n v="0"/>
    <n v="-6"/>
    <n v="0"/>
    <n v="0.33419720533146297"/>
    <n v="1"/>
    <n v="75.55"/>
    <n v="75.55"/>
    <n v="-17.617467699624729"/>
    <n v="1448.8376171199154"/>
    <n v="0"/>
    <n v="1"/>
    <n v="0"/>
    <n v="0"/>
    <n v="0"/>
    <n v="0"/>
    <n v="0"/>
    <n v="0"/>
    <n v="0"/>
    <n v="0"/>
  </r>
  <r>
    <d v="2006-05-31T00:00:00"/>
    <n v="2006"/>
    <x v="3"/>
    <s v="R"/>
    <s v="RS"/>
    <x v="11"/>
    <s v="SAC"/>
    <s v="A"/>
    <n v="5"/>
    <n v="5"/>
    <n v="0"/>
    <n v="0"/>
    <n v="0"/>
    <n v="0"/>
    <n v="1534.1029881177071"/>
    <n v="1604.8695255623729"/>
    <n v="0.29092252387374617"/>
    <n v="66"/>
    <n v="87"/>
    <n v="0"/>
    <n v="-21"/>
    <n v="0"/>
    <n v="0.55579961111121035"/>
    <n v="1"/>
    <n v="75.400000000000006"/>
    <n v="75.400000000000006"/>
    <n v="-12.191774772692003"/>
    <n v="1521.9112133450151"/>
    <n v="0"/>
    <n v="1"/>
    <n v="0"/>
    <n v="0"/>
    <n v="0"/>
    <n v="0"/>
    <n v="0"/>
    <n v="0"/>
    <n v="0"/>
    <n v="0"/>
  </r>
  <r>
    <d v="2006-05-31T00:00:00"/>
    <n v="2006"/>
    <x v="3"/>
    <s v="R"/>
    <s v="RS"/>
    <x v="7"/>
    <s v="SEA"/>
    <s v="H"/>
    <n v="5"/>
    <n v="5"/>
    <n v="0"/>
    <n v="0"/>
    <n v="0"/>
    <n v="0"/>
    <n v="1604.8695255623729"/>
    <n v="1534.1029881177071"/>
    <n v="0.70907747612625371"/>
    <n v="87"/>
    <n v="66"/>
    <n v="0"/>
    <n v="21"/>
    <n v="1"/>
    <n v="0.55579961111121035"/>
    <n v="1"/>
    <n v="75.400000000000006"/>
    <n v="75.400000000000006"/>
    <n v="12.191774772692009"/>
    <n v="1617.061300335065"/>
    <n v="1"/>
    <n v="0"/>
    <n v="0"/>
    <n v="0"/>
    <n v="0"/>
    <n v="0"/>
    <n v="0"/>
    <n v="0"/>
    <n v="0"/>
    <n v="0"/>
  </r>
  <r>
    <d v="2006-06-01T00:00:00"/>
    <n v="2006"/>
    <x v="3"/>
    <s v="R"/>
    <s v="RS"/>
    <x v="3"/>
    <s v="CHA"/>
    <s v="A"/>
    <n v="4"/>
    <n v="6"/>
    <n v="-2"/>
    <n v="2"/>
    <n v="-16"/>
    <n v="16"/>
    <n v="1589.6389911300503"/>
    <n v="1410.1548830579761"/>
    <n v="0.59035760755146938"/>
    <n v="89"/>
    <n v="65"/>
    <n v="0"/>
    <n v="24"/>
    <n v="1"/>
    <n v="0.54666604198267688"/>
    <n v="1"/>
    <n v="75.400000000000006"/>
    <n v="75.400000000000006"/>
    <n v="16.884893932234711"/>
    <n v="1606.523885062285"/>
    <n v="1"/>
    <n v="0"/>
    <n v="0"/>
    <n v="0"/>
    <n v="0"/>
    <n v="0"/>
    <n v="0"/>
    <n v="0"/>
    <n v="0"/>
    <n v="0"/>
  </r>
  <r>
    <d v="2006-06-01T00:00:00"/>
    <n v="2006"/>
    <x v="3"/>
    <s v="R"/>
    <s v="RS"/>
    <x v="1"/>
    <s v="CON"/>
    <s v="H"/>
    <n v="6"/>
    <n v="4"/>
    <n v="2"/>
    <n v="-2"/>
    <n v="16"/>
    <n v="-16"/>
    <n v="1410.1548830579761"/>
    <n v="1589.6389911300503"/>
    <n v="0.40964239244853057"/>
    <n v="65"/>
    <n v="89"/>
    <n v="0"/>
    <n v="-24"/>
    <n v="0"/>
    <n v="0.54666604198267688"/>
    <n v="1"/>
    <n v="75.400000000000006"/>
    <n v="75.400000000000006"/>
    <n v="-16.884893932234707"/>
    <n v="1393.2699891257414"/>
    <n v="0"/>
    <n v="1"/>
    <n v="0"/>
    <n v="0"/>
    <n v="0"/>
    <n v="0"/>
    <n v="0"/>
    <n v="0"/>
    <n v="0"/>
    <n v="0"/>
  </r>
  <r>
    <d v="2006-06-01T00:00:00"/>
    <n v="2006"/>
    <x v="3"/>
    <s v="R"/>
    <s v="RS"/>
    <x v="2"/>
    <s v="DET"/>
    <s v="A"/>
    <n v="1"/>
    <n v="4"/>
    <n v="-3"/>
    <n v="3"/>
    <n v="-16"/>
    <n v="16"/>
    <n v="1450.8523239834849"/>
    <n v="1496.6652938274485"/>
    <n v="0.28262651154858004"/>
    <n v="63"/>
    <n v="64"/>
    <n v="0"/>
    <n v="-1"/>
    <n v="0"/>
    <n v="0.23520031678194195"/>
    <n v="1"/>
    <n v="75.400000000000006"/>
    <n v="75.400000000000006"/>
    <n v="-5.0121279165589714"/>
    <n v="1445.840196066926"/>
    <n v="0"/>
    <n v="1"/>
    <n v="0"/>
    <n v="0"/>
    <n v="0"/>
    <n v="0"/>
    <n v="0"/>
    <n v="0"/>
    <n v="0"/>
    <n v="0"/>
  </r>
  <r>
    <d v="2006-06-01T00:00:00"/>
    <n v="2006"/>
    <x v="3"/>
    <s v="R"/>
    <s v="RS"/>
    <x v="4"/>
    <s v="NYL"/>
    <s v="H"/>
    <n v="4"/>
    <n v="1"/>
    <n v="3"/>
    <n v="-3"/>
    <n v="16"/>
    <n v="-16"/>
    <n v="1496.6652938274485"/>
    <n v="1450.8523239834849"/>
    <n v="0.71737348845141991"/>
    <n v="64"/>
    <n v="63"/>
    <n v="0"/>
    <n v="1"/>
    <n v="1"/>
    <n v="0.23520031678194195"/>
    <n v="1"/>
    <n v="75.400000000000006"/>
    <n v="75.400000000000006"/>
    <n v="5.0121279165589723"/>
    <n v="1501.6774217440075"/>
    <n v="1"/>
    <n v="0"/>
    <n v="0"/>
    <n v="0"/>
    <n v="0"/>
    <n v="0"/>
    <n v="0"/>
    <n v="0"/>
    <n v="0"/>
    <n v="0"/>
  </r>
  <r>
    <d v="2006-06-02T00:00:00"/>
    <n v="2006"/>
    <x v="4"/>
    <s v="R"/>
    <s v="RS"/>
    <x v="0"/>
    <s v="HOU"/>
    <s v="A"/>
    <n v="2"/>
    <n v="1"/>
    <n v="1"/>
    <n v="-1"/>
    <n v="8"/>
    <n v="-8"/>
    <n v="1457.5005444136552"/>
    <n v="1566.2278296721488"/>
    <n v="0.26554897442021569"/>
    <n v="60"/>
    <n v="71"/>
    <n v="0"/>
    <n v="-11"/>
    <n v="0"/>
    <n v="0.40329499526320983"/>
    <n v="1"/>
    <n v="75.25"/>
    <n v="75.25"/>
    <n v="-8.0588665716665719"/>
    <n v="1449.4416778419886"/>
    <n v="0"/>
    <n v="1"/>
    <n v="0"/>
    <n v="0"/>
    <n v="0"/>
    <n v="0"/>
    <n v="0"/>
    <n v="0"/>
    <n v="0"/>
    <n v="0"/>
  </r>
  <r>
    <d v="2006-06-02T00:00:00"/>
    <n v="2006"/>
    <x v="4"/>
    <s v="R"/>
    <s v="RS"/>
    <x v="9"/>
    <s v="CHI"/>
    <s v="H"/>
    <n v="1"/>
    <n v="2"/>
    <n v="-1"/>
    <n v="1"/>
    <n v="-8"/>
    <n v="8"/>
    <n v="1566.2278296721488"/>
    <n v="1457.5005444136552"/>
    <n v="0.73445102557978426"/>
    <n v="71"/>
    <n v="60"/>
    <n v="0"/>
    <n v="11"/>
    <n v="1"/>
    <n v="0.40329499526320983"/>
    <n v="1"/>
    <n v="75.25"/>
    <n v="75.25"/>
    <n v="8.0588665716665737"/>
    <n v="1574.2866962438154"/>
    <n v="1"/>
    <n v="0"/>
    <n v="0"/>
    <n v="0"/>
    <n v="0"/>
    <n v="0"/>
    <n v="0"/>
    <n v="0"/>
    <n v="0"/>
    <n v="0"/>
  </r>
  <r>
    <d v="2006-06-02T00:00:00"/>
    <n v="2006"/>
    <x v="5"/>
    <s v="R"/>
    <s v="RS"/>
    <x v="5"/>
    <s v="MIN"/>
    <s v="A"/>
    <n v="1"/>
    <n v="1"/>
    <n v="0"/>
    <n v="0"/>
    <n v="0"/>
    <n v="0"/>
    <n v="1568.6946812307099"/>
    <n v="1455.4746505080429"/>
    <n v="0.54195213985369906"/>
    <n v="87"/>
    <n v="92"/>
    <n v="0"/>
    <n v="-5"/>
    <n v="0"/>
    <n v="0.30315344058102606"/>
    <n v="1"/>
    <n v="75.099999999999994"/>
    <n v="75.099999999999994"/>
    <n v="-12.338528652600059"/>
    <n v="1556.3561525781099"/>
    <n v="0"/>
    <n v="1"/>
    <n v="0"/>
    <n v="0"/>
    <n v="0"/>
    <n v="0"/>
    <n v="0"/>
    <n v="0"/>
    <n v="0"/>
    <n v="0"/>
  </r>
  <r>
    <d v="2006-06-02T00:00:00"/>
    <n v="2006"/>
    <x v="4"/>
    <s v="R"/>
    <s v="RS"/>
    <x v="12"/>
    <s v="IND"/>
    <s v="H"/>
    <n v="1"/>
    <n v="1"/>
    <n v="0"/>
    <n v="0"/>
    <n v="0"/>
    <n v="0"/>
    <n v="1455.4746505080429"/>
    <n v="1568.6946812307099"/>
    <n v="0.45804786014630106"/>
    <n v="92"/>
    <n v="87"/>
    <n v="0"/>
    <n v="5"/>
    <n v="1"/>
    <n v="0.30315344058102606"/>
    <n v="1"/>
    <n v="75.25"/>
    <n v="75.25"/>
    <n v="12.363172850974093"/>
    <n v="1467.837823359017"/>
    <n v="1"/>
    <n v="0"/>
    <n v="0"/>
    <n v="0"/>
    <n v="0"/>
    <n v="0"/>
    <n v="0"/>
    <n v="0"/>
    <n v="0"/>
    <n v="0"/>
  </r>
  <r>
    <d v="2006-06-02T00:00:00"/>
    <n v="2006"/>
    <x v="4"/>
    <s v="R"/>
    <s v="RS"/>
    <x v="8"/>
    <s v="SAC"/>
    <s v="A"/>
    <n v="1"/>
    <n v="1"/>
    <n v="0"/>
    <n v="0"/>
    <n v="0"/>
    <n v="0"/>
    <n v="1422.6957478160289"/>
    <n v="1617.061300335065"/>
    <n v="0.16764631935596203"/>
    <n v="74"/>
    <n v="71"/>
    <n v="0"/>
    <n v="3"/>
    <n v="1"/>
    <n v="0.24973381240619516"/>
    <n v="1"/>
    <n v="75.25"/>
    <n v="75.25"/>
    <n v="15.64198105980171"/>
    <n v="1438.3377288758306"/>
    <n v="1"/>
    <n v="0"/>
    <n v="0"/>
    <n v="0"/>
    <n v="0"/>
    <n v="0"/>
    <n v="0"/>
    <n v="0"/>
    <n v="0"/>
    <n v="0"/>
  </r>
  <r>
    <d v="2006-06-02T00:00:00"/>
    <n v="2006"/>
    <x v="4"/>
    <s v="R"/>
    <s v="RS"/>
    <x v="7"/>
    <s v="SAS"/>
    <s v="H"/>
    <n v="1"/>
    <n v="1"/>
    <n v="0"/>
    <n v="0"/>
    <n v="0"/>
    <n v="0"/>
    <n v="1617.061300335065"/>
    <n v="1422.6957478160289"/>
    <n v="0.83235368064403803"/>
    <n v="71"/>
    <n v="74"/>
    <n v="0"/>
    <n v="-3"/>
    <n v="0"/>
    <n v="0.24973381240619516"/>
    <n v="1"/>
    <n v="75.25"/>
    <n v="75.25"/>
    <n v="-15.641981059801711"/>
    <n v="1601.4193192752632"/>
    <n v="0"/>
    <n v="1"/>
    <n v="0"/>
    <n v="0"/>
    <n v="0"/>
    <n v="0"/>
    <n v="0"/>
    <n v="0"/>
    <n v="0"/>
    <n v="0"/>
  </r>
  <r>
    <d v="2006-06-02T00:00:00"/>
    <n v="2006"/>
    <x v="3"/>
    <s v="R"/>
    <s v="RS"/>
    <x v="6"/>
    <s v="SEA"/>
    <s v="A"/>
    <n v="1"/>
    <n v="1"/>
    <n v="0"/>
    <n v="0"/>
    <n v="0"/>
    <n v="0"/>
    <n v="1448.8376171199154"/>
    <n v="1521.9112133450151"/>
    <n v="0.28819056086475486"/>
    <n v="87"/>
    <n v="97"/>
    <n v="0"/>
    <n v="-10"/>
    <n v="0"/>
    <n v="0.39884232985770091"/>
    <n v="1"/>
    <n v="75.400000000000006"/>
    <n v="75.400000000000006"/>
    <n v="-8.6666716432675486"/>
    <n v="1440.1709454766478"/>
    <n v="0"/>
    <n v="1"/>
    <n v="0"/>
    <n v="0"/>
    <n v="0"/>
    <n v="0"/>
    <n v="0"/>
    <n v="0"/>
    <n v="0"/>
    <n v="0"/>
  </r>
  <r>
    <d v="2006-06-02T00:00:00"/>
    <n v="2006"/>
    <x v="4"/>
    <s v="R"/>
    <s v="RS"/>
    <x v="11"/>
    <s v="PHX"/>
    <s v="H"/>
    <n v="1"/>
    <n v="1"/>
    <n v="0"/>
    <n v="0"/>
    <n v="0"/>
    <n v="0"/>
    <n v="1521.9112133450151"/>
    <n v="1448.8376171199154"/>
    <n v="0.71180943913524508"/>
    <n v="97"/>
    <n v="87"/>
    <n v="0"/>
    <n v="10"/>
    <n v="1"/>
    <n v="0.39884232985770091"/>
    <n v="1"/>
    <n v="75.25"/>
    <n v="75.25"/>
    <n v="8.6494302540568047"/>
    <n v="1530.5606435990719"/>
    <n v="1"/>
    <n v="0"/>
    <n v="0"/>
    <n v="0"/>
    <n v="0"/>
    <n v="0"/>
    <n v="0"/>
    <n v="0"/>
    <n v="0"/>
    <n v="0"/>
  </r>
  <r>
    <d v="2006-06-03T00:00:00"/>
    <n v="2006"/>
    <x v="4"/>
    <s v="R"/>
    <s v="RS"/>
    <x v="1"/>
    <s v="CON"/>
    <s v="A"/>
    <n v="1"/>
    <n v="1"/>
    <n v="0"/>
    <n v="0"/>
    <n v="0"/>
    <n v="0"/>
    <n v="1393.2699891257414"/>
    <n v="1606.523885062285"/>
    <n v="0.15301708077321072"/>
    <n v="71"/>
    <n v="89"/>
    <n v="0"/>
    <n v="-18"/>
    <n v="0"/>
    <n v="0.46431905861949202"/>
    <n v="1"/>
    <n v="75.25"/>
    <n v="75.25"/>
    <n v="-5.3464182040233279"/>
    <n v="1387.923570921718"/>
    <n v="0"/>
    <n v="1"/>
    <n v="0"/>
    <n v="0"/>
    <n v="0"/>
    <n v="0"/>
    <n v="0"/>
    <n v="0"/>
    <n v="0"/>
    <n v="0"/>
  </r>
  <r>
    <d v="2006-06-03T00:00:00"/>
    <n v="2006"/>
    <x v="4"/>
    <s v="R"/>
    <s v="RS"/>
    <x v="3"/>
    <s v="CHA"/>
    <s v="H"/>
    <n v="1"/>
    <n v="1"/>
    <n v="0"/>
    <n v="0"/>
    <n v="0"/>
    <n v="0"/>
    <n v="1606.523885062285"/>
    <n v="1393.2699891257414"/>
    <n v="0.84698291922678925"/>
    <n v="89"/>
    <n v="71"/>
    <n v="0"/>
    <n v="18"/>
    <n v="1"/>
    <n v="0.46431905861949202"/>
    <n v="1"/>
    <n v="75.25"/>
    <n v="75.25"/>
    <n v="5.3464182040233288"/>
    <n v="1611.8703032663084"/>
    <n v="1"/>
    <n v="0"/>
    <n v="0"/>
    <n v="0"/>
    <n v="0"/>
    <n v="0"/>
    <n v="0"/>
    <n v="0"/>
    <n v="0"/>
    <n v="0"/>
  </r>
  <r>
    <d v="2006-06-03T00:00:00"/>
    <n v="2006"/>
    <x v="5"/>
    <s v="R"/>
    <s v="RS"/>
    <x v="10"/>
    <s v="NYL"/>
    <s v="A"/>
    <n v="2"/>
    <n v="1"/>
    <n v="1"/>
    <n v="-1"/>
    <n v="8"/>
    <n v="-8"/>
    <n v="1495.916113611765"/>
    <n v="1445.840196066926"/>
    <n v="0.47422803174537609"/>
    <n v="79"/>
    <n v="89"/>
    <n v="1"/>
    <n v="-10"/>
    <n v="0"/>
    <n v="0.36556185817608572"/>
    <n v="1"/>
    <n v="75.099999999999994"/>
    <n v="75.099999999999994"/>
    <n v="-13.019312004350461"/>
    <n v="1482.8968016074145"/>
    <n v="0"/>
    <n v="1"/>
    <n v="0"/>
    <n v="0"/>
    <n v="0"/>
    <n v="0"/>
    <n v="0"/>
    <n v="0"/>
    <n v="0"/>
    <n v="0"/>
  </r>
  <r>
    <d v="2006-06-03T00:00:00"/>
    <n v="2006"/>
    <x v="4"/>
    <s v="R"/>
    <s v="RS"/>
    <x v="2"/>
    <s v="LAS"/>
    <s v="H"/>
    <n v="1"/>
    <n v="2"/>
    <n v="-1"/>
    <n v="1"/>
    <n v="-8"/>
    <n v="8"/>
    <n v="1445.840196066926"/>
    <n v="1495.916113611765"/>
    <n v="0.52577196825462391"/>
    <n v="89"/>
    <n v="79"/>
    <n v="1"/>
    <n v="10"/>
    <n v="1"/>
    <n v="0.36556185817608572"/>
    <n v="1"/>
    <n v="75.25"/>
    <n v="75.25"/>
    <n v="13.045315956423066"/>
    <n v="1458.8855120233491"/>
    <n v="1"/>
    <n v="0"/>
    <n v="0"/>
    <n v="0"/>
    <n v="0"/>
    <n v="0"/>
    <n v="0"/>
    <n v="0"/>
    <n v="0"/>
    <n v="0"/>
  </r>
  <r>
    <d v="2006-06-03T00:00:00"/>
    <n v="2006"/>
    <x v="4"/>
    <s v="R"/>
    <s v="RS"/>
    <x v="4"/>
    <s v="WAS"/>
    <s v="A"/>
    <n v="1"/>
    <n v="6"/>
    <n v="-5"/>
    <n v="5"/>
    <n v="-16"/>
    <n v="16"/>
    <n v="1501.6774217440075"/>
    <n v="1503.4050533546006"/>
    <n v="0.33677601038010174"/>
    <n v="68"/>
    <n v="92"/>
    <n v="0"/>
    <n v="-24"/>
    <n v="0"/>
    <n v="0.62752748418297799"/>
    <n v="1"/>
    <n v="75.25"/>
    <n v="75.25"/>
    <n v="-15.903049240157181"/>
    <n v="1485.7743725038504"/>
    <n v="0"/>
    <n v="1"/>
    <n v="0"/>
    <n v="0"/>
    <n v="0"/>
    <n v="0"/>
    <n v="0"/>
    <n v="0"/>
    <n v="0"/>
    <n v="0"/>
  </r>
  <r>
    <d v="2006-06-03T00:00:00"/>
    <n v="2006"/>
    <x v="3"/>
    <s v="R"/>
    <s v="RS"/>
    <x v="13"/>
    <s v="DET"/>
    <s v="H"/>
    <n v="6"/>
    <n v="1"/>
    <n v="5"/>
    <n v="-5"/>
    <n v="16"/>
    <n v="-16"/>
    <n v="1503.4050533546006"/>
    <n v="1501.6774217440075"/>
    <n v="0.66322398961989826"/>
    <n v="92"/>
    <n v="68"/>
    <n v="0"/>
    <n v="24"/>
    <n v="1"/>
    <n v="0.62752748418297799"/>
    <n v="1"/>
    <n v="75.400000000000006"/>
    <n v="75.400000000000006"/>
    <n v="15.934749670536233"/>
    <n v="1519.3398030251367"/>
    <n v="1"/>
    <n v="0"/>
    <n v="0"/>
    <n v="0"/>
    <n v="0"/>
    <n v="0"/>
    <n v="0"/>
    <n v="0"/>
    <n v="0"/>
    <n v="0"/>
  </r>
  <r>
    <d v="2006-06-04T00:00:00"/>
    <n v="2006"/>
    <x v="5"/>
    <s v="R"/>
    <s v="RS"/>
    <x v="4"/>
    <s v="CHI"/>
    <s v="A"/>
    <n v="0"/>
    <n v="1"/>
    <n v="-1"/>
    <n v="1"/>
    <n v="-8"/>
    <n v="8"/>
    <n v="1485.7743725038504"/>
    <n v="1449.4416778419886"/>
    <n v="0.40938738473215314"/>
    <n v="81"/>
    <n v="66"/>
    <n v="0"/>
    <n v="15"/>
    <n v="1"/>
    <n v="0.48807059480017356"/>
    <n v="1"/>
    <n v="75.099999999999994"/>
    <n v="75.099999999999994"/>
    <n v="21.64837484731283"/>
    <n v="1507.4227473511633"/>
    <n v="1"/>
    <n v="0"/>
    <n v="0"/>
    <n v="0"/>
    <n v="0"/>
    <n v="0"/>
    <n v="0"/>
    <n v="0"/>
    <n v="0"/>
    <n v="0"/>
  </r>
  <r>
    <d v="2006-06-04T00:00:00"/>
    <n v="2006"/>
    <x v="5"/>
    <s v="R"/>
    <s v="RS"/>
    <x v="0"/>
    <s v="DET"/>
    <s v="H"/>
    <n v="1"/>
    <n v="0"/>
    <n v="1"/>
    <n v="-1"/>
    <n v="8"/>
    <n v="-8"/>
    <n v="1449.4416778419886"/>
    <n v="1485.7743725038504"/>
    <n v="0.59061261526784692"/>
    <n v="66"/>
    <n v="81"/>
    <n v="0"/>
    <n v="-15"/>
    <n v="0"/>
    <n v="0.48807059480017356"/>
    <n v="1"/>
    <n v="75.099999999999994"/>
    <n v="75.099999999999994"/>
    <n v="-21.648374847312834"/>
    <n v="1427.7933029946757"/>
    <n v="0"/>
    <n v="1"/>
    <n v="0"/>
    <n v="0"/>
    <n v="0"/>
    <n v="0"/>
    <n v="0"/>
    <n v="0"/>
    <n v="0"/>
    <n v="0"/>
  </r>
  <r>
    <d v="2006-06-04T00:00:00"/>
    <n v="2006"/>
    <x v="5"/>
    <s v="R"/>
    <s v="RS"/>
    <x v="12"/>
    <s v="HOU"/>
    <s v="A"/>
    <n v="1"/>
    <n v="1"/>
    <n v="0"/>
    <n v="0"/>
    <n v="0"/>
    <n v="0"/>
    <n v="1467.837823359017"/>
    <n v="1574.2866962438154"/>
    <n v="0.25043158229229023"/>
    <n v="62"/>
    <n v="85"/>
    <n v="0"/>
    <n v="-23"/>
    <n v="0"/>
    <n v="0.56520032157388078"/>
    <n v="1"/>
    <n v="75.099999999999994"/>
    <n v="75.099999999999994"/>
    <n v="-10.629955214373751"/>
    <n v="1457.2078681446433"/>
    <n v="0"/>
    <n v="1"/>
    <n v="0"/>
    <n v="0"/>
    <n v="0"/>
    <n v="0"/>
    <n v="0"/>
    <n v="0"/>
    <n v="0"/>
    <n v="0"/>
  </r>
  <r>
    <d v="2006-06-04T00:00:00"/>
    <n v="2006"/>
    <x v="5"/>
    <s v="R"/>
    <s v="RS"/>
    <x v="9"/>
    <s v="MIN"/>
    <s v="H"/>
    <n v="1"/>
    <n v="1"/>
    <n v="0"/>
    <n v="0"/>
    <n v="0"/>
    <n v="0"/>
    <n v="1574.2866962438154"/>
    <n v="1467.837823359017"/>
    <n v="0.74956841770770977"/>
    <n v="85"/>
    <n v="62"/>
    <n v="0"/>
    <n v="23"/>
    <n v="1"/>
    <n v="0.56520032157388078"/>
    <n v="1"/>
    <n v="75.099999999999994"/>
    <n v="75.099999999999994"/>
    <n v="10.629955214373751"/>
    <n v="1584.9166514581891"/>
    <n v="1"/>
    <n v="0"/>
    <n v="0"/>
    <n v="0"/>
    <n v="0"/>
    <n v="0"/>
    <n v="0"/>
    <n v="0"/>
    <n v="0"/>
    <n v="0"/>
  </r>
  <r>
    <d v="2006-06-04T00:00:00"/>
    <n v="2006"/>
    <x v="5"/>
    <s v="R"/>
    <s v="RS"/>
    <x v="8"/>
    <s v="SEA"/>
    <s v="A"/>
    <n v="1"/>
    <n v="1"/>
    <n v="0"/>
    <n v="0"/>
    <n v="0"/>
    <n v="0"/>
    <n v="1438.3377288758306"/>
    <n v="1530.5606435990719"/>
    <n v="0.26611561581258192"/>
    <n v="89"/>
    <n v="87"/>
    <n v="0"/>
    <n v="2"/>
    <n v="1"/>
    <n v="0.24872611475121609"/>
    <n v="1"/>
    <n v="75.099999999999994"/>
    <n v="75.099999999999994"/>
    <n v="13.708469487819949"/>
    <n v="1452.0461983636505"/>
    <n v="1"/>
    <n v="0"/>
    <n v="0"/>
    <n v="0"/>
    <n v="0"/>
    <n v="0"/>
    <n v="0"/>
    <n v="0"/>
    <n v="0"/>
    <n v="0"/>
  </r>
  <r>
    <d v="2006-06-04T00:00:00"/>
    <n v="2006"/>
    <x v="5"/>
    <s v="R"/>
    <s v="RS"/>
    <x v="11"/>
    <s v="SAS"/>
    <s v="H"/>
    <n v="1"/>
    <n v="1"/>
    <n v="0"/>
    <n v="0"/>
    <n v="0"/>
    <n v="0"/>
    <n v="1530.5606435990719"/>
    <n v="1438.3377288758306"/>
    <n v="0.73388438418741808"/>
    <n v="87"/>
    <n v="89"/>
    <n v="0"/>
    <n v="-2"/>
    <n v="0"/>
    <n v="0.24872611475121609"/>
    <n v="1"/>
    <n v="75.099999999999994"/>
    <n v="75.099999999999994"/>
    <n v="-13.708469487819949"/>
    <n v="1516.852174111252"/>
    <n v="0"/>
    <n v="1"/>
    <n v="0"/>
    <n v="0"/>
    <n v="0"/>
    <n v="0"/>
    <n v="0"/>
    <n v="0"/>
    <n v="0"/>
    <n v="0"/>
  </r>
  <r>
    <d v="2006-06-06T00:00:00"/>
    <n v="2006"/>
    <x v="5"/>
    <s v="R"/>
    <s v="RS"/>
    <x v="7"/>
    <s v="PHX"/>
    <s v="A"/>
    <n v="3"/>
    <n v="3"/>
    <n v="0"/>
    <n v="0"/>
    <n v="0"/>
    <n v="0"/>
    <n v="1601.4193192752632"/>
    <n v="1440.1709454766478"/>
    <n v="0.609372991835056"/>
    <n v="76"/>
    <n v="90"/>
    <n v="0"/>
    <n v="-14"/>
    <n v="0"/>
    <n v="0.42984787750974113"/>
    <n v="1"/>
    <n v="75.099999999999994"/>
    <n v="75.099999999999994"/>
    <n v="-19.671520305119675"/>
    <n v="1581.7477989701435"/>
    <n v="0"/>
    <n v="1"/>
    <n v="0"/>
    <n v="0"/>
    <n v="0"/>
    <n v="0"/>
    <n v="0"/>
    <n v="0"/>
    <n v="0"/>
    <n v="0"/>
  </r>
  <r>
    <d v="2006-06-06T00:00:00"/>
    <n v="2006"/>
    <x v="4"/>
    <s v="R"/>
    <s v="RS"/>
    <x v="6"/>
    <s v="SAC"/>
    <s v="H"/>
    <n v="3"/>
    <n v="3"/>
    <n v="0"/>
    <n v="0"/>
    <n v="0"/>
    <n v="0"/>
    <n v="1440.1709454766478"/>
    <n v="1601.4193192752632"/>
    <n v="0.39062700816494395"/>
    <n v="90"/>
    <n v="76"/>
    <n v="0"/>
    <n v="14"/>
    <n v="1"/>
    <n v="0.42984787750974113"/>
    <n v="1"/>
    <n v="75.25"/>
    <n v="75.25"/>
    <n v="19.710810958192489"/>
    <n v="1459.8817564348403"/>
    <n v="1"/>
    <n v="0"/>
    <n v="0"/>
    <n v="0"/>
    <n v="0"/>
    <n v="0"/>
    <n v="0"/>
    <n v="0"/>
    <n v="0"/>
    <n v="0"/>
  </r>
  <r>
    <d v="2006-06-06T00:00:00"/>
    <n v="2006"/>
    <x v="6"/>
    <s v="R"/>
    <s v="RS"/>
    <x v="9"/>
    <s v="WAS"/>
    <s v="A"/>
    <n v="1"/>
    <n v="2"/>
    <n v="-1"/>
    <n v="1"/>
    <n v="-8"/>
    <n v="8"/>
    <n v="1584.9166514581891"/>
    <n v="1519.3398030251367"/>
    <n v="0.4506225667801505"/>
    <n v="79"/>
    <n v="93"/>
    <n v="0"/>
    <n v="-14"/>
    <n v="0"/>
    <n v="0.46234231051665309"/>
    <n v="1"/>
    <n v="74.95"/>
    <n v="74.95"/>
    <n v="-15.615223808271168"/>
    <n v="1569.301427649918"/>
    <n v="0"/>
    <n v="1"/>
    <n v="0"/>
    <n v="0"/>
    <n v="0"/>
    <n v="0"/>
    <n v="0"/>
    <n v="0"/>
    <n v="0"/>
    <n v="0"/>
  </r>
  <r>
    <d v="2006-06-06T00:00:00"/>
    <n v="2006"/>
    <x v="4"/>
    <s v="R"/>
    <s v="RS"/>
    <x v="13"/>
    <s v="HOU"/>
    <s v="H"/>
    <n v="2"/>
    <n v="1"/>
    <n v="1"/>
    <n v="-1"/>
    <n v="8"/>
    <n v="-8"/>
    <n v="1519.3398030251367"/>
    <n v="1584.9166514581891"/>
    <n v="0.54937743321984955"/>
    <n v="93"/>
    <n v="79"/>
    <n v="0"/>
    <n v="14"/>
    <n v="1"/>
    <n v="0.46234231051665309"/>
    <n v="1"/>
    <n v="75.25"/>
    <n v="75.25"/>
    <n v="15.677726371879986"/>
    <n v="1535.0175293970167"/>
    <n v="1"/>
    <n v="0"/>
    <n v="0"/>
    <n v="0"/>
    <n v="0"/>
    <n v="0"/>
    <n v="0"/>
    <n v="0"/>
    <n v="0"/>
    <n v="0"/>
  </r>
  <r>
    <d v="2006-06-07T00:00:00"/>
    <n v="2006"/>
    <x v="5"/>
    <s v="R"/>
    <s v="RS"/>
    <x v="13"/>
    <s v="IND"/>
    <s v="A"/>
    <n v="0"/>
    <n v="4"/>
    <n v="-4"/>
    <n v="4"/>
    <n v="-16"/>
    <n v="16"/>
    <n v="1535.0175293970167"/>
    <n v="1556.3561525781099"/>
    <n v="0.31204314406252226"/>
    <n v="70"/>
    <n v="83"/>
    <n v="0"/>
    <n v="-13"/>
    <n v="0"/>
    <n v="0.46379644107345214"/>
    <n v="1"/>
    <n v="75.099999999999994"/>
    <n v="75.099999999999994"/>
    <n v="-10.868809925785381"/>
    <n v="1524.1487194712313"/>
    <n v="0"/>
    <n v="1"/>
    <n v="0"/>
    <n v="0"/>
    <n v="0"/>
    <n v="0"/>
    <n v="0"/>
    <n v="0"/>
    <n v="0"/>
    <n v="0"/>
  </r>
  <r>
    <d v="2006-06-07T00:00:00"/>
    <n v="2006"/>
    <x v="6"/>
    <s v="R"/>
    <s v="RS"/>
    <x v="5"/>
    <s v="WAS"/>
    <s v="H"/>
    <n v="4"/>
    <n v="0"/>
    <n v="4"/>
    <n v="-4"/>
    <n v="16"/>
    <n v="-16"/>
    <n v="1556.3561525781099"/>
    <n v="1535.0175293970167"/>
    <n v="0.6879568559374778"/>
    <n v="83"/>
    <n v="70"/>
    <n v="0"/>
    <n v="13"/>
    <n v="1"/>
    <n v="0.46379644107345214"/>
    <n v="1"/>
    <n v="74.95"/>
    <n v="74.95"/>
    <n v="10.847101250833747"/>
    <n v="1567.2032538289436"/>
    <n v="1"/>
    <n v="0"/>
    <n v="0"/>
    <n v="0"/>
    <n v="0"/>
    <n v="0"/>
    <n v="0"/>
    <n v="0"/>
    <n v="0"/>
    <n v="0"/>
  </r>
  <r>
    <d v="2006-06-07T00:00:00"/>
    <n v="2006"/>
    <x v="6"/>
    <s v="R"/>
    <s v="RS"/>
    <x v="4"/>
    <s v="LAS"/>
    <s v="A"/>
    <n v="2"/>
    <n v="3"/>
    <n v="-1"/>
    <n v="1"/>
    <n v="-8"/>
    <n v="8"/>
    <n v="1507.4227473511633"/>
    <n v="1482.8968016074145"/>
    <n v="0.39306097496760795"/>
    <n v="78"/>
    <n v="86"/>
    <n v="0"/>
    <n v="-8"/>
    <n v="0"/>
    <n v="0.38053798992440452"/>
    <n v="1"/>
    <n v="74.95"/>
    <n v="74.95"/>
    <n v="-11.21061876822592"/>
    <n v="1496.2121285829373"/>
    <n v="0"/>
    <n v="1"/>
    <n v="0"/>
    <n v="0"/>
    <n v="0"/>
    <n v="0"/>
    <n v="0"/>
    <n v="0"/>
    <n v="0"/>
    <n v="0"/>
  </r>
  <r>
    <d v="2006-06-07T00:00:00"/>
    <n v="2006"/>
    <x v="6"/>
    <s v="R"/>
    <s v="RS"/>
    <x v="10"/>
    <s v="DET"/>
    <s v="H"/>
    <n v="3"/>
    <n v="2"/>
    <n v="1"/>
    <n v="-1"/>
    <n v="8"/>
    <n v="-8"/>
    <n v="1482.8968016074145"/>
    <n v="1507.4227473511633"/>
    <n v="0.60693902503239205"/>
    <n v="86"/>
    <n v="78"/>
    <n v="0"/>
    <n v="8"/>
    <n v="1"/>
    <n v="0.38053798992440452"/>
    <n v="1"/>
    <n v="74.95"/>
    <n v="74.95"/>
    <n v="11.21061876822592"/>
    <n v="1494.1074203756405"/>
    <n v="1"/>
    <n v="0"/>
    <n v="0"/>
    <n v="0"/>
    <n v="0"/>
    <n v="0"/>
    <n v="0"/>
    <n v="0"/>
    <n v="0"/>
    <n v="0"/>
  </r>
  <r>
    <d v="2006-06-07T00:00:00"/>
    <n v="2006"/>
    <x v="5"/>
    <s v="R"/>
    <s v="RS"/>
    <x v="3"/>
    <s v="NYL"/>
    <s v="A"/>
    <n v="3"/>
    <n v="3"/>
    <n v="0"/>
    <n v="0"/>
    <n v="0"/>
    <n v="0"/>
    <n v="1611.8703032663084"/>
    <n v="1458.8855120233491"/>
    <n v="0.59799271948138077"/>
    <n v="75"/>
    <n v="60"/>
    <n v="0"/>
    <n v="15"/>
    <n v="1"/>
    <n v="0.44598996053767082"/>
    <n v="1"/>
    <n v="75.099999999999994"/>
    <n v="75.099999999999994"/>
    <n v="13.464769959194086"/>
    <n v="1625.3350732255026"/>
    <n v="1"/>
    <n v="0"/>
    <n v="0"/>
    <n v="0"/>
    <n v="0"/>
    <n v="0"/>
    <n v="0"/>
    <n v="0"/>
    <n v="0"/>
    <n v="0"/>
  </r>
  <r>
    <d v="2006-06-07T00:00:00"/>
    <n v="2006"/>
    <x v="5"/>
    <s v="R"/>
    <s v="RS"/>
    <x v="2"/>
    <s v="CON"/>
    <s v="H"/>
    <n v="3"/>
    <n v="3"/>
    <n v="0"/>
    <n v="0"/>
    <n v="0"/>
    <n v="0"/>
    <n v="1458.8855120233491"/>
    <n v="1611.8703032663084"/>
    <n v="0.40200728051861934"/>
    <n v="60"/>
    <n v="75"/>
    <n v="0"/>
    <n v="-15"/>
    <n v="0"/>
    <n v="0.44598996053767082"/>
    <n v="1"/>
    <n v="75.099999999999994"/>
    <n v="75.099999999999994"/>
    <n v="-13.46476995919409"/>
    <n v="1445.4207420641549"/>
    <n v="0"/>
    <n v="1"/>
    <n v="0"/>
    <n v="0"/>
    <n v="0"/>
    <n v="0"/>
    <n v="0"/>
    <n v="0"/>
    <n v="0"/>
    <n v="0"/>
  </r>
  <r>
    <d v="2006-06-07T00:00:00"/>
    <n v="2006"/>
    <x v="6"/>
    <s v="R"/>
    <s v="RS"/>
    <x v="0"/>
    <s v="SEA"/>
    <s v="A"/>
    <n v="2"/>
    <n v="2"/>
    <n v="0"/>
    <n v="0"/>
    <n v="0"/>
    <n v="0"/>
    <n v="1427.7933029946757"/>
    <n v="1516.852174111252"/>
    <n v="0.2696878350908733"/>
    <n v="73"/>
    <n v="86"/>
    <n v="0"/>
    <n v="-13"/>
    <n v="0"/>
    <n v="0.43943106049631608"/>
    <n v="1"/>
    <n v="74.95"/>
    <n v="74.95"/>
    <n v="-8.8822653927015089"/>
    <n v="1418.9110376019742"/>
    <n v="0"/>
    <n v="1"/>
    <n v="0"/>
    <n v="0"/>
    <n v="0"/>
    <n v="0"/>
    <n v="0"/>
    <n v="0"/>
    <n v="0"/>
    <n v="0"/>
  </r>
  <r>
    <d v="2006-06-07T00:00:00"/>
    <n v="2006"/>
    <x v="6"/>
    <s v="R"/>
    <s v="RS"/>
    <x v="11"/>
    <s v="CHI"/>
    <s v="H"/>
    <n v="2"/>
    <n v="2"/>
    <n v="0"/>
    <n v="0"/>
    <n v="0"/>
    <n v="0"/>
    <n v="1516.852174111252"/>
    <n v="1427.7933029946757"/>
    <n v="0.73031216490912665"/>
    <n v="86"/>
    <n v="73"/>
    <n v="0"/>
    <n v="13"/>
    <n v="1"/>
    <n v="0.43943106049631608"/>
    <n v="1"/>
    <n v="74.95"/>
    <n v="74.95"/>
    <n v="8.8822653927015107"/>
    <n v="1525.7344395039536"/>
    <n v="1"/>
    <n v="0"/>
    <n v="0"/>
    <n v="0"/>
    <n v="0"/>
    <n v="0"/>
    <n v="0"/>
    <n v="0"/>
    <n v="0"/>
    <n v="0"/>
  </r>
  <r>
    <d v="2006-06-09T00:00:00"/>
    <n v="2006"/>
    <x v="7"/>
    <s v="R"/>
    <s v="RS"/>
    <x v="5"/>
    <s v="CHA"/>
    <s v="A"/>
    <n v="1"/>
    <n v="5"/>
    <n v="-4"/>
    <n v="4"/>
    <n v="-16"/>
    <n v="16"/>
    <n v="1567.2032538289436"/>
    <n v="1387.923570921718"/>
    <n v="0.5900729935621023"/>
    <n v="59"/>
    <n v="70"/>
    <n v="0"/>
    <n v="-11"/>
    <n v="0"/>
    <n v="0.38266580074366202"/>
    <n v="1"/>
    <n v="74.8"/>
    <n v="74.8"/>
    <n v="-16.889896442483138"/>
    <n v="1550.3133573864604"/>
    <n v="0"/>
    <n v="1"/>
    <n v="0"/>
    <n v="0"/>
    <n v="0"/>
    <n v="0"/>
    <n v="0"/>
    <n v="0"/>
    <n v="0"/>
    <n v="0"/>
  </r>
  <r>
    <d v="2006-06-09T00:00:00"/>
    <n v="2006"/>
    <x v="5"/>
    <s v="R"/>
    <s v="RS"/>
    <x v="1"/>
    <s v="IND"/>
    <s v="H"/>
    <n v="5"/>
    <n v="1"/>
    <n v="4"/>
    <n v="-4"/>
    <n v="16"/>
    <n v="-16"/>
    <n v="1387.923570921718"/>
    <n v="1567.2032538289436"/>
    <n v="0.4099270064378977"/>
    <n v="70"/>
    <n v="59"/>
    <n v="0"/>
    <n v="11"/>
    <n v="1"/>
    <n v="0.38266580074366202"/>
    <n v="1"/>
    <n v="75.099999999999994"/>
    <n v="75.099999999999994"/>
    <n v="16.957636668856733"/>
    <n v="1404.8812075905748"/>
    <n v="1"/>
    <n v="0"/>
    <n v="0"/>
    <n v="0"/>
    <n v="0"/>
    <n v="0"/>
    <n v="0"/>
    <n v="0"/>
    <n v="0"/>
    <n v="0"/>
  </r>
  <r>
    <d v="2006-06-09T00:00:00"/>
    <n v="2006"/>
    <x v="7"/>
    <s v="R"/>
    <s v="RS"/>
    <x v="11"/>
    <s v="CON"/>
    <s v="A"/>
    <n v="1"/>
    <n v="1"/>
    <n v="0"/>
    <n v="0"/>
    <n v="0"/>
    <n v="0"/>
    <n v="1525.7344395039536"/>
    <n v="1625.3350732255026"/>
    <n v="0.25790418880946681"/>
    <n v="81"/>
    <n v="85"/>
    <n v="0"/>
    <n v="-4"/>
    <n v="0"/>
    <n v="0.28756471194883082"/>
    <n v="1"/>
    <n v="74.8"/>
    <n v="74.8"/>
    <n v="-5.5474779536512608"/>
    <n v="1520.1869615503024"/>
    <n v="0"/>
    <n v="1"/>
    <n v="0"/>
    <n v="0"/>
    <n v="0"/>
    <n v="0"/>
    <n v="0"/>
    <n v="0"/>
    <n v="0"/>
    <n v="0"/>
  </r>
  <r>
    <d v="2006-06-09T00:00:00"/>
    <n v="2006"/>
    <x v="6"/>
    <s v="R"/>
    <s v="RS"/>
    <x v="3"/>
    <s v="SEA"/>
    <s v="H"/>
    <n v="1"/>
    <n v="1"/>
    <n v="0"/>
    <n v="0"/>
    <n v="0"/>
    <n v="0"/>
    <n v="1625.3350732255026"/>
    <n v="1525.7344395039536"/>
    <n v="0.74209581119053325"/>
    <n v="85"/>
    <n v="81"/>
    <n v="0"/>
    <n v="4"/>
    <n v="1"/>
    <n v="0.28756471194883082"/>
    <n v="1"/>
    <n v="74.95"/>
    <n v="74.95"/>
    <n v="5.558602575216069"/>
    <n v="1630.8936758007187"/>
    <n v="1"/>
    <n v="0"/>
    <n v="0"/>
    <n v="0"/>
    <n v="0"/>
    <n v="0"/>
    <n v="0"/>
    <n v="0"/>
    <n v="0"/>
    <n v="0"/>
  </r>
  <r>
    <d v="2006-06-09T00:00:00"/>
    <n v="2006"/>
    <x v="6"/>
    <s v="R"/>
    <s v="RS"/>
    <x v="2"/>
    <s v="HOU"/>
    <s v="A"/>
    <n v="1"/>
    <n v="2"/>
    <n v="-1"/>
    <n v="1"/>
    <n v="-8"/>
    <n v="8"/>
    <n v="1445.4207420641549"/>
    <n v="1569.301427649918"/>
    <n v="0.21606262822121866"/>
    <n v="62"/>
    <n v="97"/>
    <n v="0"/>
    <n v="-35"/>
    <n v="0"/>
    <n v="0.69085538735688623"/>
    <n v="1"/>
    <n v="74.95"/>
    <n v="74.95"/>
    <n v="-11.187638901948114"/>
    <n v="1434.2331031622068"/>
    <n v="0"/>
    <n v="1"/>
    <n v="0"/>
    <n v="0"/>
    <n v="0"/>
    <n v="0"/>
    <n v="0"/>
    <n v="0"/>
    <n v="0"/>
    <n v="0"/>
  </r>
  <r>
    <d v="2006-06-09T00:00:00"/>
    <n v="2006"/>
    <x v="7"/>
    <s v="R"/>
    <s v="RS"/>
    <x v="9"/>
    <s v="NYL"/>
    <s v="H"/>
    <n v="2"/>
    <n v="1"/>
    <n v="1"/>
    <n v="-1"/>
    <n v="8"/>
    <n v="-8"/>
    <n v="1569.301427649918"/>
    <n v="1445.4207420641549"/>
    <n v="0.78393737177878142"/>
    <n v="97"/>
    <n v="62"/>
    <n v="0"/>
    <n v="35"/>
    <n v="1"/>
    <n v="0.69085538735688623"/>
    <n v="1"/>
    <n v="74.8"/>
    <n v="74.8"/>
    <n v="11.165248697341141"/>
    <n v="1580.4666763472592"/>
    <n v="1"/>
    <n v="0"/>
    <n v="0"/>
    <n v="0"/>
    <n v="0"/>
    <n v="0"/>
    <n v="0"/>
    <n v="0"/>
    <n v="0"/>
    <n v="0"/>
  </r>
  <r>
    <d v="2006-06-09T00:00:00"/>
    <n v="2006"/>
    <x v="7"/>
    <s v="R"/>
    <s v="RS"/>
    <x v="0"/>
    <s v="LAS"/>
    <s v="A"/>
    <n v="1"/>
    <n v="1"/>
    <n v="0"/>
    <n v="0"/>
    <n v="0"/>
    <n v="0"/>
    <n v="1418.9110376019742"/>
    <n v="1494.1074203756405"/>
    <n v="0.28569034494698536"/>
    <n v="65"/>
    <n v="73"/>
    <n v="0"/>
    <n v="-8"/>
    <n v="0"/>
    <n v="0.3654171610729175"/>
    <n v="1"/>
    <n v="74.8"/>
    <n v="74.8"/>
    <n v="-7.808832378775949"/>
    <n v="1411.1022052231981"/>
    <n v="0"/>
    <n v="1"/>
    <n v="0"/>
    <n v="0"/>
    <n v="0"/>
    <n v="0"/>
    <n v="0"/>
    <n v="0"/>
    <n v="0"/>
    <n v="0"/>
  </r>
  <r>
    <d v="2006-06-09T00:00:00"/>
    <n v="2006"/>
    <x v="7"/>
    <s v="R"/>
    <s v="RS"/>
    <x v="10"/>
    <s v="CHI"/>
    <s v="H"/>
    <n v="1"/>
    <n v="1"/>
    <n v="0"/>
    <n v="0"/>
    <n v="0"/>
    <n v="0"/>
    <n v="1494.1074203756405"/>
    <n v="1418.9110376019742"/>
    <n v="0.71430965505301469"/>
    <n v="73"/>
    <n v="65"/>
    <n v="0"/>
    <n v="8"/>
    <n v="1"/>
    <n v="0.3654171610729175"/>
    <n v="1"/>
    <n v="74.8"/>
    <n v="74.8"/>
    <n v="7.8088323787759473"/>
    <n v="1501.9162527544165"/>
    <n v="1"/>
    <n v="0"/>
    <n v="0"/>
    <n v="0"/>
    <n v="0"/>
    <n v="0"/>
    <n v="0"/>
    <n v="0"/>
    <n v="0"/>
    <n v="0"/>
  </r>
  <r>
    <d v="2006-06-09T00:00:00"/>
    <n v="2006"/>
    <x v="7"/>
    <s v="R"/>
    <s v="RS"/>
    <x v="4"/>
    <s v="PHX"/>
    <s v="A"/>
    <n v="1"/>
    <n v="2"/>
    <n v="-1"/>
    <n v="1"/>
    <n v="-8"/>
    <n v="8"/>
    <n v="1496.2121285829373"/>
    <n v="1459.8817564348403"/>
    <n v="0.4093841521420224"/>
    <n v="79"/>
    <n v="93"/>
    <n v="0"/>
    <n v="-14"/>
    <n v="0"/>
    <n v="0.47327942225043895"/>
    <n v="1"/>
    <n v="74.8"/>
    <n v="74.8"/>
    <n v="-14.492731506318808"/>
    <n v="1481.7193970766186"/>
    <n v="0"/>
    <n v="1"/>
    <n v="0"/>
    <n v="0"/>
    <n v="0"/>
    <n v="0"/>
    <n v="0"/>
    <n v="0"/>
    <n v="0"/>
    <n v="0"/>
  </r>
  <r>
    <d v="2006-06-09T00:00:00"/>
    <n v="2006"/>
    <x v="5"/>
    <s v="R"/>
    <s v="RS"/>
    <x v="6"/>
    <s v="DET"/>
    <s v="H"/>
    <n v="2"/>
    <n v="1"/>
    <n v="1"/>
    <n v="-1"/>
    <n v="8"/>
    <n v="-8"/>
    <n v="1459.8817564348403"/>
    <n v="1496.2121285829373"/>
    <n v="0.59061584785797772"/>
    <n v="93"/>
    <n v="79"/>
    <n v="0"/>
    <n v="14"/>
    <n v="1"/>
    <n v="0.47327942225043895"/>
    <n v="1"/>
    <n v="75.099999999999994"/>
    <n v="75.099999999999994"/>
    <n v="14.550857434820083"/>
    <n v="1474.4326138696604"/>
    <n v="1"/>
    <n v="0"/>
    <n v="0"/>
    <n v="0"/>
    <n v="0"/>
    <n v="0"/>
    <n v="0"/>
    <n v="0"/>
    <n v="0"/>
    <n v="0"/>
  </r>
  <r>
    <d v="2006-06-09T00:00:00"/>
    <n v="2006"/>
    <x v="6"/>
    <s v="R"/>
    <s v="RS"/>
    <x v="12"/>
    <s v="SAS"/>
    <s v="A"/>
    <n v="4"/>
    <n v="4"/>
    <n v="0"/>
    <n v="0"/>
    <n v="0"/>
    <n v="0"/>
    <n v="1457.2078681446433"/>
    <n v="1452.0461983636505"/>
    <n v="0.38845055748368507"/>
    <n v="86"/>
    <n v="79"/>
    <n v="0"/>
    <n v="7"/>
    <n v="1"/>
    <n v="0.36852201502997772"/>
    <n v="1"/>
    <n v="74.95"/>
    <n v="74.95"/>
    <n v="16.891438991850567"/>
    <n v="1474.0993071364937"/>
    <n v="1"/>
    <n v="0"/>
    <n v="0"/>
    <n v="0"/>
    <n v="0"/>
    <n v="0"/>
    <n v="0"/>
    <n v="0"/>
    <n v="0"/>
    <n v="0"/>
  </r>
  <r>
    <d v="2006-06-09T00:00:00"/>
    <n v="2006"/>
    <x v="6"/>
    <s v="R"/>
    <s v="RS"/>
    <x v="8"/>
    <s v="MIN"/>
    <s v="H"/>
    <n v="4"/>
    <n v="4"/>
    <n v="0"/>
    <n v="0"/>
    <n v="0"/>
    <n v="0"/>
    <n v="1452.0461983636505"/>
    <n v="1457.2078681446433"/>
    <n v="0.61154944251631482"/>
    <n v="79"/>
    <n v="86"/>
    <n v="0"/>
    <n v="-7"/>
    <n v="0"/>
    <n v="0.36852201502997772"/>
    <n v="1"/>
    <n v="74.95"/>
    <n v="74.95"/>
    <n v="-16.891438991850563"/>
    <n v="1435.1547593718001"/>
    <n v="0"/>
    <n v="1"/>
    <n v="0"/>
    <n v="0"/>
    <n v="0"/>
    <n v="0"/>
    <n v="0"/>
    <n v="0"/>
    <n v="0"/>
    <n v="0"/>
  </r>
  <r>
    <d v="2006-06-10T00:00:00"/>
    <n v="2006"/>
    <x v="8"/>
    <s v="R"/>
    <s v="RS"/>
    <x v="0"/>
    <s v="SAC"/>
    <s v="A"/>
    <n v="0"/>
    <n v="3"/>
    <n v="-3"/>
    <n v="3"/>
    <n v="-16"/>
    <n v="16"/>
    <n v="1411.1022052231981"/>
    <n v="1581.7477989701435"/>
    <n v="0.16110020837401937"/>
    <n v="70"/>
    <n v="80"/>
    <n v="0"/>
    <n v="-10"/>
    <n v="0"/>
    <n v="0.37044998467523965"/>
    <n v="1"/>
    <n v="74.650000000000006"/>
    <n v="74.650000000000006"/>
    <n v="-4.4550798798468376"/>
    <n v="1406.6471253433513"/>
    <n v="0"/>
    <n v="1"/>
    <n v="0"/>
    <n v="0"/>
    <n v="0"/>
    <n v="0"/>
    <n v="0"/>
    <n v="0"/>
    <n v="0"/>
    <n v="0"/>
  </r>
  <r>
    <d v="2006-06-10T00:00:00"/>
    <n v="2006"/>
    <x v="6"/>
    <s v="R"/>
    <s v="RS"/>
    <x v="7"/>
    <s v="CHI"/>
    <s v="H"/>
    <n v="3"/>
    <n v="0"/>
    <n v="3"/>
    <n v="-3"/>
    <n v="16"/>
    <n v="-16"/>
    <n v="1581.7477989701435"/>
    <n v="1411.1022052231981"/>
    <n v="0.83889979162598061"/>
    <n v="80"/>
    <n v="70"/>
    <n v="0"/>
    <n v="10"/>
    <n v="1"/>
    <n v="0.37044998467523965"/>
    <n v="1"/>
    <n v="74.95"/>
    <n v="74.95"/>
    <n v="4.4729837507638379"/>
    <n v="1586.2207827209074"/>
    <n v="1"/>
    <n v="0"/>
    <n v="0"/>
    <n v="0"/>
    <n v="0"/>
    <n v="0"/>
    <n v="0"/>
    <n v="0"/>
    <n v="0"/>
    <n v="0"/>
  </r>
  <r>
    <d v="2006-06-10T00:00:00"/>
    <n v="2006"/>
    <x v="7"/>
    <s v="R"/>
    <s v="RS"/>
    <x v="2"/>
    <s v="SAS"/>
    <s v="A"/>
    <n v="0"/>
    <n v="0"/>
    <n v="0"/>
    <n v="0"/>
    <n v="0"/>
    <n v="0"/>
    <n v="1434.2331031622068"/>
    <n v="1435.1547593718001"/>
    <n v="0.38016490466781894"/>
    <n v="71"/>
    <n v="67"/>
    <n v="0"/>
    <n v="4"/>
    <n v="1"/>
    <n v="0.31119372354746772"/>
    <n v="1"/>
    <n v="74.8"/>
    <n v="74.8"/>
    <n v="14.428081589376212"/>
    <n v="1448.6611847515831"/>
    <n v="1"/>
    <n v="0"/>
    <n v="0"/>
    <n v="0"/>
    <n v="0"/>
    <n v="0"/>
    <n v="0"/>
    <n v="0"/>
    <n v="0"/>
    <n v="0"/>
  </r>
  <r>
    <d v="2006-06-10T00:00:00"/>
    <n v="2006"/>
    <x v="7"/>
    <s v="R"/>
    <s v="RS"/>
    <x v="8"/>
    <s v="NYL"/>
    <s v="H"/>
    <n v="0"/>
    <n v="0"/>
    <n v="0"/>
    <n v="0"/>
    <n v="0"/>
    <n v="0"/>
    <n v="1435.1547593718001"/>
    <n v="1434.2331031622068"/>
    <n v="0.61983509533218106"/>
    <n v="67"/>
    <n v="71"/>
    <n v="0"/>
    <n v="-4"/>
    <n v="0"/>
    <n v="0.31119372354746772"/>
    <n v="1"/>
    <n v="74.8"/>
    <n v="74.8"/>
    <n v="-14.428081589376212"/>
    <n v="1420.7266777824238"/>
    <n v="0"/>
    <n v="1"/>
    <n v="0"/>
    <n v="0"/>
    <n v="0"/>
    <n v="0"/>
    <n v="0"/>
    <n v="0"/>
    <n v="0"/>
    <n v="0"/>
  </r>
  <r>
    <d v="2006-06-11T00:00:00"/>
    <n v="2006"/>
    <x v="6"/>
    <s v="R"/>
    <s v="RS"/>
    <x v="13"/>
    <s v="CON"/>
    <s v="A"/>
    <n v="3"/>
    <n v="1"/>
    <n v="2"/>
    <n v="-2"/>
    <n v="16"/>
    <n v="-16"/>
    <n v="1524.1487194712313"/>
    <n v="1630.8936758007187"/>
    <n v="0.28622094399042203"/>
    <n v="71"/>
    <n v="85"/>
    <n v="0"/>
    <n v="-14"/>
    <n v="0"/>
    <n v="0.44777653160758385"/>
    <n v="1"/>
    <n v="74.95"/>
    <n v="74.95"/>
    <n v="-9.6058184669323037"/>
    <n v="1514.542901004299"/>
    <n v="0"/>
    <n v="1"/>
    <n v="0"/>
    <n v="0"/>
    <n v="0"/>
    <n v="0"/>
    <n v="0"/>
    <n v="0"/>
    <n v="0"/>
    <n v="0"/>
  </r>
  <r>
    <d v="2006-06-11T00:00:00"/>
    <n v="2006"/>
    <x v="7"/>
    <s v="R"/>
    <s v="RS"/>
    <x v="3"/>
    <s v="WAS"/>
    <s v="H"/>
    <n v="1"/>
    <n v="3"/>
    <n v="-2"/>
    <n v="2"/>
    <n v="-16"/>
    <n v="16"/>
    <n v="1630.8936758007187"/>
    <n v="1524.1487194712313"/>
    <n v="0.71377905600957803"/>
    <n v="85"/>
    <n v="71"/>
    <n v="0"/>
    <n v="14"/>
    <n v="1"/>
    <n v="0.44777653160758385"/>
    <n v="1"/>
    <n v="74.8"/>
    <n v="74.8"/>
    <n v="9.5865940136962777"/>
    <n v="1640.4802698144149"/>
    <n v="1"/>
    <n v="0"/>
    <n v="0"/>
    <n v="0"/>
    <n v="0"/>
    <n v="0"/>
    <n v="0"/>
    <n v="0"/>
    <n v="0"/>
    <n v="0"/>
  </r>
  <r>
    <d v="2006-06-11T00:00:00"/>
    <n v="2006"/>
    <x v="8"/>
    <s v="R"/>
    <s v="RS"/>
    <x v="11"/>
    <s v="IND"/>
    <s v="A"/>
    <n v="1"/>
    <n v="1"/>
    <n v="0"/>
    <n v="0"/>
    <n v="0"/>
    <n v="0"/>
    <n v="1520.1869615503024"/>
    <n v="1550.3133573864604"/>
    <n v="0.34142185878036579"/>
    <n v="62"/>
    <n v="69"/>
    <n v="0"/>
    <n v="-7"/>
    <n v="0"/>
    <n v="0.36104306719042062"/>
    <n v="1"/>
    <n v="74.650000000000006"/>
    <n v="74.650000000000006"/>
    <n v="-9.2019558342088725"/>
    <n v="1510.9850057160936"/>
    <n v="0"/>
    <n v="1"/>
    <n v="0"/>
    <n v="0"/>
    <n v="0"/>
    <n v="0"/>
    <n v="0"/>
    <n v="0"/>
    <n v="0"/>
    <n v="0"/>
  </r>
  <r>
    <d v="2006-06-11T00:00:00"/>
    <n v="2006"/>
    <x v="8"/>
    <s v="R"/>
    <s v="RS"/>
    <x v="5"/>
    <s v="SEA"/>
    <s v="H"/>
    <n v="1"/>
    <n v="1"/>
    <n v="0"/>
    <n v="0"/>
    <n v="0"/>
    <n v="0"/>
    <n v="1550.3133573864604"/>
    <n v="1520.1869615503024"/>
    <n v="0.65857814121963421"/>
    <n v="69"/>
    <n v="62"/>
    <n v="0"/>
    <n v="7"/>
    <n v="1"/>
    <n v="0.36104306719042062"/>
    <n v="1"/>
    <n v="74.650000000000006"/>
    <n v="74.650000000000006"/>
    <n v="9.2019558342088725"/>
    <n v="1559.5153132206692"/>
    <n v="1"/>
    <n v="0"/>
    <n v="0"/>
    <n v="0"/>
    <n v="0"/>
    <n v="0"/>
    <n v="0"/>
    <n v="0"/>
    <n v="0"/>
    <n v="0"/>
  </r>
  <r>
    <d v="2006-06-11T00:00:00"/>
    <n v="2006"/>
    <x v="8"/>
    <s v="R"/>
    <s v="RS"/>
    <x v="9"/>
    <s v="MIN"/>
    <s v="A"/>
    <n v="1"/>
    <n v="1"/>
    <n v="0"/>
    <n v="0"/>
    <n v="0"/>
    <n v="0"/>
    <n v="1580.4666763472592"/>
    <n v="1474.0993071364937"/>
    <n v="0.53214483506964361"/>
    <n v="62"/>
    <n v="75"/>
    <n v="0"/>
    <n v="-13"/>
    <n v="0"/>
    <n v="0.43360889144005504"/>
    <n v="1"/>
    <n v="74.650000000000006"/>
    <n v="74.650000000000006"/>
    <n v="-17.2249449453004"/>
    <n v="1563.2417314019588"/>
    <n v="0"/>
    <n v="1"/>
    <n v="0"/>
    <n v="0"/>
    <n v="0"/>
    <n v="0"/>
    <n v="0"/>
    <n v="0"/>
    <n v="0"/>
    <n v="0"/>
  </r>
  <r>
    <d v="2006-06-11T00:00:00"/>
    <n v="2006"/>
    <x v="7"/>
    <s v="R"/>
    <s v="RS"/>
    <x v="12"/>
    <s v="HOU"/>
    <s v="H"/>
    <n v="1"/>
    <n v="1"/>
    <n v="0"/>
    <n v="0"/>
    <n v="0"/>
    <n v="0"/>
    <n v="1474.0993071364937"/>
    <n v="1580.4666763472592"/>
    <n v="0.46785516493035645"/>
    <n v="75"/>
    <n v="62"/>
    <n v="0"/>
    <n v="13"/>
    <n v="1"/>
    <n v="0.43360889144005504"/>
    <n v="1"/>
    <n v="74.8"/>
    <n v="74.8"/>
    <n v="17.259556355103413"/>
    <n v="1491.358863491597"/>
    <n v="1"/>
    <n v="0"/>
    <n v="0"/>
    <n v="0"/>
    <n v="0"/>
    <n v="0"/>
    <n v="0"/>
    <n v="0"/>
    <n v="0"/>
    <n v="0"/>
  </r>
  <r>
    <d v="2006-06-13T00:00:00"/>
    <n v="2006"/>
    <x v="6"/>
    <s v="R"/>
    <s v="RS"/>
    <x v="6"/>
    <s v="LAS"/>
    <s v="A"/>
    <n v="3"/>
    <n v="3"/>
    <n v="0"/>
    <n v="0"/>
    <n v="0"/>
    <n v="0"/>
    <n v="1474.4326138696604"/>
    <n v="1501.9162527544165"/>
    <n v="0.34485073757808649"/>
    <n v="84"/>
    <n v="98"/>
    <n v="0"/>
    <n v="-14"/>
    <n v="0"/>
    <n v="0.47669044678473077"/>
    <n v="1"/>
    <n v="74.95"/>
    <n v="74.95"/>
    <n v="-12.320809560152142"/>
    <n v="1462.1118043095082"/>
    <n v="0"/>
    <n v="1"/>
    <n v="0"/>
    <n v="0"/>
    <n v="0"/>
    <n v="0"/>
    <n v="0"/>
    <n v="0"/>
    <n v="0"/>
    <n v="0"/>
  </r>
  <r>
    <d v="2006-06-13T00:00:00"/>
    <n v="2006"/>
    <x v="8"/>
    <s v="R"/>
    <s v="RS"/>
    <x v="10"/>
    <s v="PHX"/>
    <s v="H"/>
    <n v="3"/>
    <n v="3"/>
    <n v="0"/>
    <n v="0"/>
    <n v="0"/>
    <n v="0"/>
    <n v="1501.9162527544165"/>
    <n v="1474.4326138696604"/>
    <n v="0.65514926242191351"/>
    <n v="98"/>
    <n v="84"/>
    <n v="0"/>
    <n v="14"/>
    <n v="1"/>
    <n v="0.47669044678473077"/>
    <n v="1"/>
    <n v="74.650000000000006"/>
    <n v="74.650000000000006"/>
    <n v="12.2714934445011"/>
    <n v="1514.1877461989177"/>
    <n v="1"/>
    <n v="0"/>
    <n v="0"/>
    <n v="0"/>
    <n v="0"/>
    <n v="0"/>
    <n v="0"/>
    <n v="0"/>
    <n v="0"/>
    <n v="0"/>
  </r>
  <r>
    <d v="2006-06-13T00:00:00"/>
    <n v="2006"/>
    <x v="9"/>
    <s v="R"/>
    <s v="RS"/>
    <x v="5"/>
    <s v="NYL"/>
    <s v="A"/>
    <n v="1"/>
    <n v="2"/>
    <n v="-1"/>
    <n v="1"/>
    <n v="-8"/>
    <n v="8"/>
    <n v="1559.5153132206692"/>
    <n v="1448.6611847515831"/>
    <n v="0.51561526676960945"/>
    <n v="80"/>
    <n v="78"/>
    <n v="1"/>
    <n v="2"/>
    <n v="1"/>
    <n v="0.2206718659171277"/>
    <n v="1"/>
    <n v="74.5"/>
    <n v="74.5"/>
    <n v="7.9633111763271707"/>
    <n v="1567.4786243969963"/>
    <n v="1"/>
    <n v="0"/>
    <n v="0"/>
    <n v="0"/>
    <n v="0"/>
    <n v="0"/>
    <n v="0"/>
    <n v="0"/>
    <n v="0"/>
    <n v="0"/>
  </r>
  <r>
    <d v="2006-06-13T00:00:00"/>
    <n v="2006"/>
    <x v="8"/>
    <s v="R"/>
    <s v="RS"/>
    <x v="2"/>
    <s v="IND"/>
    <s v="H"/>
    <n v="2"/>
    <n v="1"/>
    <n v="1"/>
    <n v="-1"/>
    <n v="8"/>
    <n v="-8"/>
    <n v="1448.6611847515831"/>
    <n v="1559.5153132206692"/>
    <n v="0.48438473323039055"/>
    <n v="78"/>
    <n v="80"/>
    <n v="1"/>
    <n v="-2"/>
    <n v="0"/>
    <n v="0.2206718659171277"/>
    <n v="1"/>
    <n v="74.650000000000006"/>
    <n v="74.650000000000006"/>
    <n v="-7.9793446887627288"/>
    <n v="1440.6818400628204"/>
    <n v="0"/>
    <n v="1"/>
    <n v="0"/>
    <n v="0"/>
    <n v="0"/>
    <n v="0"/>
    <n v="0"/>
    <n v="0"/>
    <n v="0"/>
    <n v="0"/>
  </r>
  <r>
    <d v="2006-06-13T00:00:00"/>
    <n v="2006"/>
    <x v="6"/>
    <s v="R"/>
    <s v="RS"/>
    <x v="1"/>
    <s v="WAS"/>
    <s v="A"/>
    <n v="3"/>
    <n v="1"/>
    <n v="2"/>
    <n v="-2"/>
    <n v="16"/>
    <n v="-16"/>
    <n v="1404.8812075905748"/>
    <n v="1514.542901004299"/>
    <n v="0.28280310206426529"/>
    <n v="70"/>
    <n v="87"/>
    <n v="0"/>
    <n v="-17"/>
    <n v="0"/>
    <n v="0.48785918234577064"/>
    <n v="1"/>
    <n v="74.95"/>
    <n v="74.95"/>
    <n v="-10.340708355837103"/>
    <n v="1394.5404992347378"/>
    <n v="0"/>
    <n v="1"/>
    <n v="0"/>
    <n v="0"/>
    <n v="0"/>
    <n v="0"/>
    <n v="0"/>
    <n v="0"/>
    <n v="0"/>
    <n v="0"/>
  </r>
  <r>
    <d v="2006-06-13T00:00:00"/>
    <n v="2006"/>
    <x v="7"/>
    <s v="R"/>
    <s v="RS"/>
    <x v="13"/>
    <s v="CHA"/>
    <s v="H"/>
    <n v="1"/>
    <n v="3"/>
    <n v="-2"/>
    <n v="2"/>
    <n v="-16"/>
    <n v="16"/>
    <n v="1514.542901004299"/>
    <n v="1404.8812075905748"/>
    <n v="0.71719689793573471"/>
    <n v="87"/>
    <n v="70"/>
    <n v="0"/>
    <n v="17"/>
    <n v="1"/>
    <n v="0.48785918234577064"/>
    <n v="1"/>
    <n v="74.8"/>
    <n v="74.8"/>
    <n v="10.320013142316414"/>
    <n v="1524.8629141466154"/>
    <n v="1"/>
    <n v="0"/>
    <n v="0"/>
    <n v="0"/>
    <n v="0"/>
    <n v="0"/>
    <n v="0"/>
    <n v="0"/>
    <n v="0"/>
    <n v="0"/>
  </r>
  <r>
    <d v="2006-06-14T00:00:00"/>
    <n v="2006"/>
    <x v="7"/>
    <s v="R"/>
    <s v="RS"/>
    <x v="7"/>
    <s v="HOU"/>
    <s v="A"/>
    <n v="3"/>
    <n v="2"/>
    <n v="1"/>
    <n v="-1"/>
    <n v="8"/>
    <n v="-8"/>
    <n v="1586.2207827209074"/>
    <n v="1563.2417314019588"/>
    <n v="0.43556986255342384"/>
    <n v="66"/>
    <n v="73"/>
    <n v="1"/>
    <n v="-7"/>
    <n v="0"/>
    <n v="0.32683777032406514"/>
    <n v="1"/>
    <n v="74.8"/>
    <n v="74.8"/>
    <n v="-10.648579065759579"/>
    <n v="1575.5722036551479"/>
    <n v="0"/>
    <n v="1"/>
    <n v="0"/>
    <n v="0"/>
    <n v="0"/>
    <n v="0"/>
    <n v="0"/>
    <n v="0"/>
    <n v="0"/>
    <n v="0"/>
  </r>
  <r>
    <d v="2006-06-14T00:00:00"/>
    <n v="2006"/>
    <x v="9"/>
    <s v="R"/>
    <s v="RS"/>
    <x v="9"/>
    <s v="SAC"/>
    <s v="H"/>
    <n v="2"/>
    <n v="3"/>
    <n v="-1"/>
    <n v="1"/>
    <n v="-8"/>
    <n v="8"/>
    <n v="1563.2417314019588"/>
    <n v="1586.2207827209074"/>
    <n v="0.56443013744657622"/>
    <n v="73"/>
    <n v="66"/>
    <n v="1"/>
    <n v="7"/>
    <n v="1"/>
    <n v="0.32683777032406514"/>
    <n v="1"/>
    <n v="74.5"/>
    <n v="74.5"/>
    <n v="10.605870860950381"/>
    <n v="1573.847602262909"/>
    <n v="1"/>
    <n v="0"/>
    <n v="0"/>
    <n v="0"/>
    <n v="0"/>
    <n v="0"/>
    <n v="0"/>
    <n v="0"/>
    <n v="0"/>
    <n v="0"/>
  </r>
  <r>
    <d v="2006-06-14T00:00:00"/>
    <n v="2006"/>
    <x v="9"/>
    <s v="R"/>
    <s v="RS"/>
    <x v="11"/>
    <s v="MIN"/>
    <s v="A"/>
    <n v="2"/>
    <n v="2"/>
    <n v="0"/>
    <n v="0"/>
    <n v="0"/>
    <n v="0"/>
    <n v="1510.9850057160936"/>
    <n v="1491.358863491597"/>
    <n v="0.40840433238212803"/>
    <n v="74"/>
    <n v="66"/>
    <n v="0"/>
    <n v="8"/>
    <n v="1"/>
    <n v="0.38206678741216576"/>
    <n v="1"/>
    <n v="74.5"/>
    <n v="74.5"/>
    <n v="16.839164684941824"/>
    <n v="1527.8241704010354"/>
    <n v="1"/>
    <n v="0"/>
    <n v="0"/>
    <n v="0"/>
    <n v="0"/>
    <n v="0"/>
    <n v="0"/>
    <n v="0"/>
    <n v="0"/>
    <n v="0"/>
  </r>
  <r>
    <d v="2006-06-14T00:00:00"/>
    <n v="2006"/>
    <x v="8"/>
    <s v="R"/>
    <s v="RS"/>
    <x v="12"/>
    <s v="SEA"/>
    <s v="H"/>
    <n v="2"/>
    <n v="2"/>
    <n v="0"/>
    <n v="0"/>
    <n v="0"/>
    <n v="0"/>
    <n v="1491.358863491597"/>
    <n v="1510.9850057160936"/>
    <n v="0.59159566761787186"/>
    <n v="66"/>
    <n v="74"/>
    <n v="0"/>
    <n v="-8"/>
    <n v="0"/>
    <n v="0.38206678741216576"/>
    <n v="1"/>
    <n v="74.650000000000006"/>
    <n v="74.650000000000006"/>
    <n v="-16.873069043367881"/>
    <n v="1474.4857944482292"/>
    <n v="0"/>
    <n v="1"/>
    <n v="0"/>
    <n v="0"/>
    <n v="0"/>
    <n v="0"/>
    <n v="0"/>
    <n v="0"/>
    <n v="0"/>
    <n v="0"/>
  </r>
  <r>
    <d v="2006-06-15T00:00:00"/>
    <n v="2006"/>
    <x v="8"/>
    <s v="R"/>
    <s v="RS"/>
    <x v="13"/>
    <s v="CHA"/>
    <s v="A"/>
    <n v="1"/>
    <n v="1"/>
    <n v="0"/>
    <n v="0"/>
    <n v="0"/>
    <n v="0"/>
    <n v="1524.8629141466154"/>
    <n v="1394.5404992347378"/>
    <n v="0.56627110021305715"/>
    <n v="96"/>
    <n v="77"/>
    <n v="0"/>
    <n v="19"/>
    <n v="1"/>
    <n v="0.5060225098231631"/>
    <n v="1"/>
    <n v="74.650000000000006"/>
    <n v="74.650000000000006"/>
    <n v="16.38392717871854"/>
    <n v="1541.2468413253339"/>
    <n v="1"/>
    <n v="0"/>
    <n v="0"/>
    <n v="0"/>
    <n v="0"/>
    <n v="0"/>
    <n v="0"/>
    <n v="0"/>
    <n v="0"/>
    <n v="0"/>
  </r>
  <r>
    <d v="2006-06-15T00:00:00"/>
    <n v="2006"/>
    <x v="7"/>
    <s v="R"/>
    <s v="RS"/>
    <x v="1"/>
    <s v="WAS"/>
    <s v="H"/>
    <n v="1"/>
    <n v="1"/>
    <n v="0"/>
    <n v="0"/>
    <n v="0"/>
    <n v="0"/>
    <n v="1394.5404992347378"/>
    <n v="1524.8629141466154"/>
    <n v="0.4337288997869429"/>
    <n v="77"/>
    <n v="96"/>
    <n v="0"/>
    <n v="-19"/>
    <n v="0"/>
    <n v="0.5060225098231631"/>
    <n v="1"/>
    <n v="74.8"/>
    <n v="74.8"/>
    <n v="-16.416848666686494"/>
    <n v="1378.1236505680513"/>
    <n v="0"/>
    <n v="1"/>
    <n v="0"/>
    <n v="0"/>
    <n v="0"/>
    <n v="0"/>
    <n v="0"/>
    <n v="0"/>
    <n v="0"/>
    <n v="0"/>
  </r>
  <r>
    <d v="2006-06-15T00:00:00"/>
    <n v="2006"/>
    <x v="10"/>
    <s v="R"/>
    <s v="RS"/>
    <x v="11"/>
    <s v="CHI"/>
    <s v="A"/>
    <n v="0"/>
    <n v="4"/>
    <n v="-4"/>
    <n v="4"/>
    <n v="-16"/>
    <n v="16"/>
    <n v="1527.8241704010354"/>
    <n v="1406.6471253433513"/>
    <n v="0.50744981537745015"/>
    <n v="74"/>
    <n v="61"/>
    <n v="0"/>
    <n v="13"/>
    <n v="1"/>
    <n v="0.42874837168565028"/>
    <n v="1"/>
    <n v="74.349999999999994"/>
    <n v="74.349999999999994"/>
    <n v="15.701239664019099"/>
    <n v="1543.5254100650545"/>
    <n v="1"/>
    <n v="0"/>
    <n v="0"/>
    <n v="0"/>
    <n v="0"/>
    <n v="0"/>
    <n v="0"/>
    <n v="0"/>
    <n v="0"/>
    <n v="0"/>
  </r>
  <r>
    <d v="2006-06-15T00:00:00"/>
    <n v="2006"/>
    <x v="9"/>
    <s v="R"/>
    <s v="RS"/>
    <x v="0"/>
    <s v="SEA"/>
    <s v="H"/>
    <n v="4"/>
    <n v="0"/>
    <n v="4"/>
    <n v="-4"/>
    <n v="16"/>
    <n v="-16"/>
    <n v="1406.6471253433513"/>
    <n v="1527.8241704010354"/>
    <n v="0.49255018462254985"/>
    <n v="61"/>
    <n v="74"/>
    <n v="0"/>
    <n v="-13"/>
    <n v="0"/>
    <n v="0.42874837168565028"/>
    <n v="1"/>
    <n v="74.5"/>
    <n v="74.5"/>
    <n v="-15.732916677463658"/>
    <n v="1390.9142086658876"/>
    <n v="0"/>
    <n v="1"/>
    <n v="0"/>
    <n v="0"/>
    <n v="0"/>
    <n v="0"/>
    <n v="0"/>
    <n v="0"/>
    <n v="0"/>
    <n v="0"/>
  </r>
  <r>
    <d v="2006-06-16T00:00:00"/>
    <n v="2006"/>
    <x v="10"/>
    <s v="R"/>
    <s v="RS"/>
    <x v="5"/>
    <s v="DET"/>
    <s v="A"/>
    <n v="2"/>
    <n v="6"/>
    <n v="-4"/>
    <n v="4"/>
    <n v="-16"/>
    <n v="16"/>
    <n v="1567.4786243969963"/>
    <n v="1481.7193970766186"/>
    <n v="0.45658959946524519"/>
    <n v="63"/>
    <n v="71"/>
    <n v="0"/>
    <n v="-8"/>
    <n v="0"/>
    <n v="0.36241516459869583"/>
    <n v="1"/>
    <n v="74.349999999999994"/>
    <n v="74.349999999999994"/>
    <n v="-12.303065866669945"/>
    <n v="1555.1755585303265"/>
    <n v="0"/>
    <n v="1"/>
    <n v="0"/>
    <n v="0"/>
    <n v="0"/>
    <n v="0"/>
    <n v="0"/>
    <n v="0"/>
    <n v="0"/>
    <n v="0"/>
  </r>
  <r>
    <d v="2006-06-16T00:00:00"/>
    <n v="2006"/>
    <x v="8"/>
    <s v="R"/>
    <s v="RS"/>
    <x v="4"/>
    <s v="IND"/>
    <s v="H"/>
    <n v="6"/>
    <n v="2"/>
    <n v="4"/>
    <n v="-4"/>
    <n v="16"/>
    <n v="-16"/>
    <n v="1481.7193970766186"/>
    <n v="1567.4786243969963"/>
    <n v="0.54341040053475487"/>
    <n v="71"/>
    <n v="63"/>
    <n v="0"/>
    <n v="8"/>
    <n v="1"/>
    <n v="0.36241516459869583"/>
    <n v="1"/>
    <n v="74.650000000000006"/>
    <n v="74.650000000000006"/>
    <n v="12.352708365123219"/>
    <n v="1494.0721054417418"/>
    <n v="1"/>
    <n v="0"/>
    <n v="0"/>
    <n v="0"/>
    <n v="0"/>
    <n v="0"/>
    <n v="0"/>
    <n v="0"/>
    <n v="0"/>
    <n v="0"/>
  </r>
  <r>
    <d v="2006-06-16T00:00:00"/>
    <n v="2006"/>
    <x v="10"/>
    <s v="R"/>
    <s v="RS"/>
    <x v="9"/>
    <s v="NYL"/>
    <s v="A"/>
    <n v="1"/>
    <n v="2"/>
    <n v="-1"/>
    <n v="1"/>
    <n v="-8"/>
    <n v="8"/>
    <n v="1573.847602262909"/>
    <n v="1440.6818400628204"/>
    <n v="0.54758491911634743"/>
    <n v="72"/>
    <n v="58"/>
    <n v="0"/>
    <n v="14"/>
    <n v="1"/>
    <n v="0.43890245371685604"/>
    <n v="1"/>
    <n v="74.349999999999994"/>
    <n v="74.349999999999994"/>
    <n v="14.763388724461951"/>
    <n v="1588.610990987371"/>
    <n v="1"/>
    <n v="0"/>
    <n v="0"/>
    <n v="0"/>
    <n v="0"/>
    <n v="0"/>
    <n v="0"/>
    <n v="0"/>
    <n v="0"/>
    <n v="0"/>
  </r>
  <r>
    <d v="2006-06-16T00:00:00"/>
    <n v="2006"/>
    <x v="9"/>
    <s v="R"/>
    <s v="RS"/>
    <x v="2"/>
    <s v="HOU"/>
    <s v="H"/>
    <n v="2"/>
    <n v="1"/>
    <n v="1"/>
    <n v="-1"/>
    <n v="8"/>
    <n v="-8"/>
    <n v="1440.6818400628204"/>
    <n v="1573.847602262909"/>
    <n v="0.45241508088365262"/>
    <n v="58"/>
    <n v="72"/>
    <n v="0"/>
    <n v="-14"/>
    <n v="0"/>
    <n v="0.43890245371685604"/>
    <n v="1"/>
    <n v="74.5"/>
    <n v="74.5"/>
    <n v="-14.793173637826705"/>
    <n v="1425.8886664249937"/>
    <n v="0"/>
    <n v="1"/>
    <n v="0"/>
    <n v="0"/>
    <n v="0"/>
    <n v="0"/>
    <n v="0"/>
    <n v="0"/>
    <n v="0"/>
    <n v="0"/>
  </r>
  <r>
    <d v="2006-06-16T00:00:00"/>
    <n v="2006"/>
    <x v="8"/>
    <s v="R"/>
    <s v="RS"/>
    <x v="3"/>
    <s v="PHX"/>
    <s v="A"/>
    <n v="4"/>
    <n v="2"/>
    <n v="2"/>
    <n v="-2"/>
    <n v="16"/>
    <n v="-16"/>
    <n v="1640.4802698144149"/>
    <n v="1462.1118043095082"/>
    <n v="0.67424222836820247"/>
    <n v="86"/>
    <n v="91"/>
    <n v="0"/>
    <n v="-5"/>
    <n v="0"/>
    <n v="0.28882492636514839"/>
    <n v="1"/>
    <n v="74.650000000000006"/>
    <n v="74.650000000000006"/>
    <n v="-14.537188860367722"/>
    <n v="1625.9430809540472"/>
    <n v="0"/>
    <n v="1"/>
    <n v="0"/>
    <n v="0"/>
    <n v="0"/>
    <n v="0"/>
    <n v="0"/>
    <n v="0"/>
    <n v="0"/>
    <n v="0"/>
  </r>
  <r>
    <d v="2006-06-16T00:00:00"/>
    <n v="2006"/>
    <x v="7"/>
    <s v="R"/>
    <s v="RS"/>
    <x v="6"/>
    <s v="CON"/>
    <s v="H"/>
    <n v="2"/>
    <n v="4"/>
    <n v="-2"/>
    <n v="2"/>
    <n v="-16"/>
    <n v="16"/>
    <n v="1462.1118043095082"/>
    <n v="1640.4802698144149"/>
    <n v="0.32575777163179742"/>
    <n v="91"/>
    <n v="86"/>
    <n v="0"/>
    <n v="5"/>
    <n v="1"/>
    <n v="0.28882492636514839"/>
    <n v="1"/>
    <n v="74.8"/>
    <n v="74.8"/>
    <n v="14.56639955466183"/>
    <n v="1476.67820386417"/>
    <n v="1"/>
    <n v="0"/>
    <n v="0"/>
    <n v="0"/>
    <n v="0"/>
    <n v="0"/>
    <n v="0"/>
    <n v="0"/>
    <n v="0"/>
    <n v="0"/>
  </r>
  <r>
    <d v="2006-06-16T00:00:00"/>
    <n v="2006"/>
    <x v="9"/>
    <s v="R"/>
    <s v="RS"/>
    <x v="12"/>
    <s v="SAS"/>
    <s v="A"/>
    <n v="1"/>
    <n v="5"/>
    <n v="-4"/>
    <n v="4"/>
    <n v="-16"/>
    <n v="16"/>
    <n v="1474.4857944482292"/>
    <n v="1420.7266777824238"/>
    <n v="0.4113742193106637"/>
    <n v="60"/>
    <n v="90"/>
    <n v="0"/>
    <n v="-30"/>
    <n v="0"/>
    <n v="0.67332807419562324"/>
    <n v="1"/>
    <n v="74.5"/>
    <n v="74.5"/>
    <n v="-20.635740909232201"/>
    <n v="1453.8500535389969"/>
    <n v="0"/>
    <n v="1"/>
    <n v="0"/>
    <n v="0"/>
    <n v="0"/>
    <n v="0"/>
    <n v="0"/>
    <n v="0"/>
    <n v="0"/>
    <n v="0"/>
  </r>
  <r>
    <d v="2006-06-16T00:00:00"/>
    <n v="2006"/>
    <x v="8"/>
    <s v="R"/>
    <s v="RS"/>
    <x v="8"/>
    <s v="MIN"/>
    <s v="H"/>
    <n v="5"/>
    <n v="1"/>
    <n v="4"/>
    <n v="-4"/>
    <n v="16"/>
    <n v="-16"/>
    <n v="1420.7266777824238"/>
    <n v="1474.4857944482292"/>
    <n v="0.58862578068933635"/>
    <n v="90"/>
    <n v="60"/>
    <n v="0"/>
    <n v="30"/>
    <n v="1"/>
    <n v="0.67332807419562324"/>
    <n v="1"/>
    <n v="74.650000000000006"/>
    <n v="74.650000000000006"/>
    <n v="20.677289380861524"/>
    <n v="1441.4039671632854"/>
    <n v="1"/>
    <n v="0"/>
    <n v="0"/>
    <n v="0"/>
    <n v="0"/>
    <n v="0"/>
    <n v="0"/>
    <n v="0"/>
    <n v="0"/>
    <n v="0"/>
  </r>
  <r>
    <d v="2006-06-17T00:00:00"/>
    <n v="2006"/>
    <x v="9"/>
    <s v="R"/>
    <s v="RS"/>
    <x v="8"/>
    <s v="CHI"/>
    <s v="A"/>
    <n v="0"/>
    <n v="1"/>
    <n v="-1"/>
    <n v="1"/>
    <n v="-8"/>
    <n v="8"/>
    <n v="1441.4039671632854"/>
    <n v="1390.9142086658876"/>
    <n v="0.42922744241795807"/>
    <n v="69"/>
    <n v="65"/>
    <n v="0"/>
    <n v="4"/>
    <n v="1"/>
    <n v="0.29885833078210922"/>
    <n v="1"/>
    <n v="74.5"/>
    <n v="74.5"/>
    <n v="12.708219969232726"/>
    <n v="1454.1121871325181"/>
    <n v="1"/>
    <n v="0"/>
    <n v="0"/>
    <n v="0"/>
    <n v="0"/>
    <n v="0"/>
    <n v="0"/>
    <n v="0"/>
    <n v="0"/>
    <n v="0"/>
  </r>
  <r>
    <d v="2006-06-17T00:00:00"/>
    <n v="2006"/>
    <x v="10"/>
    <s v="R"/>
    <s v="RS"/>
    <x v="0"/>
    <s v="SAS"/>
    <s v="H"/>
    <n v="1"/>
    <n v="0"/>
    <n v="1"/>
    <n v="-1"/>
    <n v="8"/>
    <n v="-8"/>
    <n v="1390.9142086658876"/>
    <n v="1441.4039671632854"/>
    <n v="0.57077255758204193"/>
    <n v="65"/>
    <n v="69"/>
    <n v="0"/>
    <n v="-4"/>
    <n v="0"/>
    <n v="0.29885833078210922"/>
    <n v="1"/>
    <n v="74.349999999999994"/>
    <n v="74.349999999999994"/>
    <n v="-12.682632949160444"/>
    <n v="1378.2315757167271"/>
    <n v="0"/>
    <n v="1"/>
    <n v="0"/>
    <n v="0"/>
    <n v="0"/>
    <n v="0"/>
    <n v="0"/>
    <n v="0"/>
    <n v="0"/>
    <n v="0"/>
  </r>
  <r>
    <d v="2006-06-17T00:00:00"/>
    <n v="2006"/>
    <x v="11"/>
    <s v="R"/>
    <s v="RS"/>
    <x v="9"/>
    <s v="DET"/>
    <s v="A"/>
    <n v="0"/>
    <n v="0"/>
    <n v="0"/>
    <n v="0"/>
    <n v="0"/>
    <n v="0"/>
    <n v="1588.610990987371"/>
    <n v="1494.0721054417418"/>
    <n v="0.51516202550178436"/>
    <n v="55"/>
    <n v="71"/>
    <n v="0"/>
    <n v="-16"/>
    <n v="0"/>
    <n v="0.47997263401955453"/>
    <n v="1"/>
    <n v="74.2"/>
    <n v="74.2"/>
    <n v="-18.346964635058974"/>
    <n v="1570.2640263523119"/>
    <n v="0"/>
    <n v="1"/>
    <n v="0"/>
    <n v="0"/>
    <n v="0"/>
    <n v="0"/>
    <n v="0"/>
    <n v="0"/>
    <n v="0"/>
    <n v="0"/>
  </r>
  <r>
    <d v="2006-06-17T00:00:00"/>
    <n v="2006"/>
    <x v="9"/>
    <s v="R"/>
    <s v="RS"/>
    <x v="4"/>
    <s v="HOU"/>
    <s v="H"/>
    <n v="0"/>
    <n v="0"/>
    <n v="0"/>
    <n v="0"/>
    <n v="0"/>
    <n v="0"/>
    <n v="1494.0721054417418"/>
    <n v="1588.610990987371"/>
    <n v="0.48483797449821564"/>
    <n v="71"/>
    <n v="55"/>
    <n v="0"/>
    <n v="16"/>
    <n v="1"/>
    <n v="0.47997263401955453"/>
    <n v="1"/>
    <n v="74.5"/>
    <n v="74.5"/>
    <n v="18.42114373735706"/>
    <n v="1512.4932491790989"/>
    <n v="1"/>
    <n v="0"/>
    <n v="0"/>
    <n v="0"/>
    <n v="0"/>
    <n v="0"/>
    <n v="0"/>
    <n v="0"/>
    <n v="0"/>
    <n v="0"/>
  </r>
  <r>
    <d v="2006-06-17T00:00:00"/>
    <n v="2006"/>
    <x v="9"/>
    <s v="R"/>
    <s v="RS"/>
    <x v="3"/>
    <s v="LAS"/>
    <s v="A"/>
    <n v="0"/>
    <n v="3"/>
    <n v="-3"/>
    <n v="3"/>
    <n v="-16"/>
    <n v="16"/>
    <n v="1625.9430809540472"/>
    <n v="1514.1877461989177"/>
    <n v="0.49389173957620103"/>
    <n v="70"/>
    <n v="82"/>
    <n v="0"/>
    <n v="-12"/>
    <n v="0"/>
    <n v="0.41726937729132685"/>
    <n v="1"/>
    <n v="74.5"/>
    <n v="74.5"/>
    <n v="-15.353399447360722"/>
    <n v="1610.5896815066865"/>
    <n v="0"/>
    <n v="1"/>
    <n v="0"/>
    <n v="0"/>
    <n v="0"/>
    <n v="0"/>
    <n v="0"/>
    <n v="0"/>
    <n v="0"/>
    <n v="0"/>
  </r>
  <r>
    <d v="2006-06-17T00:00:00"/>
    <n v="2006"/>
    <x v="9"/>
    <s v="R"/>
    <s v="RS"/>
    <x v="10"/>
    <s v="CON"/>
    <s v="H"/>
    <n v="3"/>
    <n v="0"/>
    <n v="3"/>
    <n v="-3"/>
    <n v="16"/>
    <n v="-16"/>
    <n v="1514.1877461989177"/>
    <n v="1625.9430809540472"/>
    <n v="0.50610826042379897"/>
    <n v="82"/>
    <n v="70"/>
    <n v="0"/>
    <n v="12"/>
    <n v="1"/>
    <n v="0.41726937729132685"/>
    <n v="1"/>
    <n v="74.5"/>
    <n v="74.5"/>
    <n v="15.353399447360722"/>
    <n v="1529.5411456462784"/>
    <n v="1"/>
    <n v="0"/>
    <n v="0"/>
    <n v="0"/>
    <n v="0"/>
    <n v="0"/>
    <n v="0"/>
    <n v="0"/>
    <n v="0"/>
    <n v="0"/>
  </r>
  <r>
    <d v="2006-06-17T00:00:00"/>
    <n v="2006"/>
    <x v="11"/>
    <s v="R"/>
    <s v="RS"/>
    <x v="11"/>
    <s v="SAC"/>
    <s v="A"/>
    <n v="1"/>
    <n v="2"/>
    <n v="-1"/>
    <n v="1"/>
    <n v="-8"/>
    <n v="8"/>
    <n v="1543.5254100650545"/>
    <n v="1575.5722036551479"/>
    <n v="0.31861968239616106"/>
    <n v="74"/>
    <n v="76"/>
    <n v="0"/>
    <n v="-2"/>
    <n v="0"/>
    <n v="0.26087449490050624"/>
    <n v="1"/>
    <n v="74.2"/>
    <n v="74.2"/>
    <n v="-6.1674853543160006"/>
    <n v="1537.3579247107384"/>
    <n v="0"/>
    <n v="1"/>
    <n v="0"/>
    <n v="0"/>
    <n v="0"/>
    <n v="0"/>
    <n v="0"/>
    <n v="0"/>
    <n v="0"/>
    <n v="0"/>
  </r>
  <r>
    <d v="2006-06-17T00:00:00"/>
    <n v="2006"/>
    <x v="8"/>
    <s v="R"/>
    <s v="RS"/>
    <x v="7"/>
    <s v="SEA"/>
    <s v="H"/>
    <n v="2"/>
    <n v="1"/>
    <n v="1"/>
    <n v="-1"/>
    <n v="8"/>
    <n v="-8"/>
    <n v="1575.5722036551479"/>
    <n v="1543.5254100650545"/>
    <n v="0.68138031760383899"/>
    <n v="76"/>
    <n v="74"/>
    <n v="0"/>
    <n v="2"/>
    <n v="1"/>
    <n v="0.26087449490050624"/>
    <n v="1"/>
    <n v="74.650000000000006"/>
    <n v="74.650000000000006"/>
    <n v="6.2048892412357075"/>
    <n v="1581.7770928963835"/>
    <n v="1"/>
    <n v="0"/>
    <n v="0"/>
    <n v="0"/>
    <n v="0"/>
    <n v="0"/>
    <n v="0"/>
    <n v="0"/>
    <n v="0"/>
    <n v="0"/>
  </r>
  <r>
    <d v="2006-06-17T00:00:00"/>
    <n v="2006"/>
    <x v="10"/>
    <s v="R"/>
    <s v="RS"/>
    <x v="2"/>
    <s v="WAS"/>
    <s v="A"/>
    <n v="0"/>
    <n v="1"/>
    <n v="-1"/>
    <n v="1"/>
    <n v="-8"/>
    <n v="8"/>
    <n v="1425.8886664249937"/>
    <n v="1541.2468413253339"/>
    <n v="0.2244879816848781"/>
    <n v="70"/>
    <n v="88"/>
    <n v="0"/>
    <n v="-18"/>
    <n v="0"/>
    <n v="0.49887607122775013"/>
    <n v="1"/>
    <n v="74.349999999999994"/>
    <n v="74.349999999999994"/>
    <n v="-8.326581582038413"/>
    <n v="1417.5620848429553"/>
    <n v="0"/>
    <n v="1"/>
    <n v="0"/>
    <n v="0"/>
    <n v="0"/>
    <n v="0"/>
    <n v="0"/>
    <n v="0"/>
    <n v="0"/>
    <n v="0"/>
  </r>
  <r>
    <d v="2006-06-17T00:00:00"/>
    <n v="2006"/>
    <x v="9"/>
    <s v="R"/>
    <s v="RS"/>
    <x v="13"/>
    <s v="NYL"/>
    <s v="H"/>
    <n v="1"/>
    <n v="0"/>
    <n v="1"/>
    <n v="-1"/>
    <n v="8"/>
    <n v="-8"/>
    <n v="1541.2468413253339"/>
    <n v="1425.8886664249937"/>
    <n v="0.77551201831512195"/>
    <n v="88"/>
    <n v="70"/>
    <n v="0"/>
    <n v="18"/>
    <n v="1"/>
    <n v="0.49887607122775013"/>
    <n v="1"/>
    <n v="74.5"/>
    <n v="74.5"/>
    <n v="8.343380334389531"/>
    <n v="1549.5902216597235"/>
    <n v="1"/>
    <n v="0"/>
    <n v="0"/>
    <n v="0"/>
    <n v="0"/>
    <n v="0"/>
    <n v="0"/>
    <n v="0"/>
    <n v="0"/>
    <n v="0"/>
  </r>
  <r>
    <d v="2006-06-18T00:00:00"/>
    <n v="2006"/>
    <x v="8"/>
    <s v="R"/>
    <s v="RS"/>
    <x v="1"/>
    <s v="IND"/>
    <s v="A"/>
    <n v="2"/>
    <n v="1"/>
    <n v="1"/>
    <n v="-1"/>
    <n v="8"/>
    <n v="-8"/>
    <n v="1378.1236505680513"/>
    <n v="1555.1755585303265"/>
    <n v="0.19613436480831764"/>
    <n v="85"/>
    <n v="92"/>
    <n v="1"/>
    <n v="-7"/>
    <n v="0"/>
    <n v="0.29026919317632288"/>
    <n v="1"/>
    <n v="74.650000000000006"/>
    <n v="74.650000000000006"/>
    <n v="-4.2499561696900994"/>
    <n v="1373.8736943983613"/>
    <n v="0"/>
    <n v="1"/>
    <n v="0"/>
    <n v="0"/>
    <n v="0"/>
    <n v="0"/>
    <n v="0"/>
    <n v="0"/>
    <n v="0"/>
    <n v="0"/>
  </r>
  <r>
    <d v="2006-06-18T00:00:00"/>
    <n v="2006"/>
    <x v="11"/>
    <s v="R"/>
    <s v="RS"/>
    <x v="5"/>
    <s v="CHA"/>
    <s v="H"/>
    <n v="1"/>
    <n v="2"/>
    <n v="-1"/>
    <n v="1"/>
    <n v="-8"/>
    <n v="8"/>
    <n v="1555.1755585303265"/>
    <n v="1378.1236505680513"/>
    <n v="0.80386563519168241"/>
    <n v="92"/>
    <n v="85"/>
    <n v="1"/>
    <n v="7"/>
    <n v="1"/>
    <n v="0.29026919317632288"/>
    <n v="1"/>
    <n v="74.2"/>
    <n v="74.2"/>
    <n v="4.2243368759679205"/>
    <n v="1559.3998954062945"/>
    <n v="1"/>
    <n v="0"/>
    <n v="0"/>
    <n v="0"/>
    <n v="0"/>
    <n v="0"/>
    <n v="0"/>
    <n v="0"/>
    <n v="0"/>
    <n v="0"/>
  </r>
  <r>
    <d v="2006-06-18T00:00:00"/>
    <n v="2006"/>
    <x v="9"/>
    <s v="R"/>
    <s v="RS"/>
    <x v="7"/>
    <s v="LAS"/>
    <s v="A"/>
    <n v="0"/>
    <n v="0"/>
    <n v="0"/>
    <n v="0"/>
    <n v="0"/>
    <n v="0"/>
    <n v="1581.7770928963835"/>
    <n v="1529.5411456462784"/>
    <n v="0.45441478930838719"/>
    <n v="69"/>
    <n v="80"/>
    <n v="0"/>
    <n v="-11"/>
    <n v="0"/>
    <n v="0.42148859044352388"/>
    <n v="1"/>
    <n v="74.5"/>
    <n v="74.5"/>
    <n v="-14.269033352160083"/>
    <n v="1567.5080595442234"/>
    <n v="0"/>
    <n v="1"/>
    <n v="0"/>
    <n v="0"/>
    <n v="0"/>
    <n v="0"/>
    <n v="0"/>
    <n v="0"/>
    <n v="0"/>
    <n v="0"/>
  </r>
  <r>
    <d v="2006-06-18T00:00:00"/>
    <n v="2006"/>
    <x v="10"/>
    <s v="R"/>
    <s v="RS"/>
    <x v="10"/>
    <s v="SAC"/>
    <s v="H"/>
    <n v="0"/>
    <n v="0"/>
    <n v="0"/>
    <n v="0"/>
    <n v="0"/>
    <n v="0"/>
    <n v="1529.5411456462784"/>
    <n v="1581.7770928963835"/>
    <n v="0.54558521069161292"/>
    <n v="80"/>
    <n v="69"/>
    <n v="0"/>
    <n v="11"/>
    <n v="1"/>
    <n v="0.42148859044352388"/>
    <n v="1"/>
    <n v="74.349999999999994"/>
    <n v="74.349999999999994"/>
    <n v="14.240303754806737"/>
    <n v="1543.7814494010852"/>
    <n v="1"/>
    <n v="0"/>
    <n v="0"/>
    <n v="0"/>
    <n v="0"/>
    <n v="0"/>
    <n v="0"/>
    <n v="0"/>
    <n v="0"/>
    <n v="0"/>
  </r>
  <r>
    <d v="2006-06-18T00:00:00"/>
    <n v="2006"/>
    <x v="8"/>
    <s v="R"/>
    <s v="RS"/>
    <x v="6"/>
    <s v="MIN"/>
    <s v="A"/>
    <n v="1"/>
    <n v="1"/>
    <n v="0"/>
    <n v="0"/>
    <n v="0"/>
    <n v="0"/>
    <n v="1476.67820386417"/>
    <n v="1453.8500535389969"/>
    <n v="0.41286515523971229"/>
    <n v="82"/>
    <n v="94"/>
    <n v="0"/>
    <n v="-12"/>
    <n v="0"/>
    <n v="0.44761427151173838"/>
    <n v="1"/>
    <n v="74.650000000000006"/>
    <n v="74.650000000000006"/>
    <n v="-13.795643659647025"/>
    <n v="1462.8825602045229"/>
    <n v="0"/>
    <n v="1"/>
    <n v="0"/>
    <n v="0"/>
    <n v="0"/>
    <n v="0"/>
    <n v="0"/>
    <n v="0"/>
    <n v="0"/>
    <n v="0"/>
  </r>
  <r>
    <d v="2006-06-18T00:00:00"/>
    <n v="2006"/>
    <x v="10"/>
    <s v="R"/>
    <s v="RS"/>
    <x v="12"/>
    <s v="PHX"/>
    <s v="H"/>
    <n v="1"/>
    <n v="1"/>
    <n v="0"/>
    <n v="0"/>
    <n v="0"/>
    <n v="0"/>
    <n v="1453.8500535389969"/>
    <n v="1476.67820386417"/>
    <n v="0.58713484476028766"/>
    <n v="94"/>
    <n v="82"/>
    <n v="0"/>
    <n v="12"/>
    <n v="1"/>
    <n v="0.44761427151173838"/>
    <n v="1"/>
    <n v="74.349999999999994"/>
    <n v="74.349999999999994"/>
    <n v="13.740202358938461"/>
    <n v="1467.5902558979353"/>
    <n v="1"/>
    <n v="0"/>
    <n v="0"/>
    <n v="0"/>
    <n v="0"/>
    <n v="0"/>
    <n v="0"/>
    <n v="0"/>
    <n v="0"/>
    <n v="0"/>
  </r>
  <r>
    <d v="2006-06-20T00:00:00"/>
    <n v="2006"/>
    <x v="10"/>
    <s v="R"/>
    <s v="RS"/>
    <x v="3"/>
    <s v="CHA"/>
    <s v="A"/>
    <n v="2"/>
    <n v="1"/>
    <n v="1"/>
    <n v="-1"/>
    <n v="8"/>
    <n v="-8"/>
    <n v="1610.5896815066865"/>
    <n v="1373.8736943983613"/>
    <n v="0.72536007131325109"/>
    <n v="90"/>
    <n v="66"/>
    <n v="0"/>
    <n v="24"/>
    <n v="1"/>
    <n v="0.52488948693024129"/>
    <n v="1"/>
    <n v="74.349999999999994"/>
    <n v="74.349999999999994"/>
    <n v="10.71796969710261"/>
    <n v="1621.3076512037892"/>
    <n v="1"/>
    <n v="0"/>
    <n v="0"/>
    <n v="0"/>
    <n v="0"/>
    <n v="0"/>
    <n v="0"/>
    <n v="0"/>
    <n v="0"/>
    <n v="0"/>
  </r>
  <r>
    <d v="2006-06-20T00:00:00"/>
    <n v="2006"/>
    <x v="9"/>
    <s v="R"/>
    <s v="RS"/>
    <x v="1"/>
    <s v="CON"/>
    <s v="H"/>
    <n v="1"/>
    <n v="2"/>
    <n v="-1"/>
    <n v="1"/>
    <n v="-8"/>
    <n v="8"/>
    <n v="1373.8736943983613"/>
    <n v="1610.5896815066865"/>
    <n v="0.2746399286867488"/>
    <n v="66"/>
    <n v="90"/>
    <n v="0"/>
    <n v="-24"/>
    <n v="0"/>
    <n v="0.52488948693024129"/>
    <n v="1"/>
    <n v="74.5"/>
    <n v="74.5"/>
    <n v="-10.739593038791451"/>
    <n v="1363.1341013595697"/>
    <n v="0"/>
    <n v="1"/>
    <n v="0"/>
    <n v="0"/>
    <n v="0"/>
    <n v="0"/>
    <n v="0"/>
    <n v="0"/>
    <n v="0"/>
    <n v="0"/>
  </r>
  <r>
    <d v="2006-06-21T00:00:00"/>
    <n v="2006"/>
    <x v="11"/>
    <s v="R"/>
    <s v="RS"/>
    <x v="0"/>
    <s v="IND"/>
    <s v="A"/>
    <n v="3"/>
    <n v="2"/>
    <n v="1"/>
    <n v="-1"/>
    <n v="8"/>
    <n v="-8"/>
    <n v="1378.2315757167271"/>
    <n v="1559.3998954062945"/>
    <n v="0.19242520453620926"/>
    <n v="55"/>
    <n v="77"/>
    <n v="0"/>
    <n v="-22"/>
    <n v="0"/>
    <n v="0.52308425793214697"/>
    <n v="1"/>
    <n v="74.2"/>
    <n v="74.2"/>
    <n v="-7.468570972912036"/>
    <n v="1370.7630047438151"/>
    <n v="0"/>
    <n v="1"/>
    <n v="0"/>
    <n v="0"/>
    <n v="0"/>
    <n v="0"/>
    <n v="0"/>
    <n v="0"/>
    <n v="0"/>
    <n v="0"/>
  </r>
  <r>
    <d v="2006-06-21T00:00:00"/>
    <n v="2006"/>
    <x v="12"/>
    <s v="R"/>
    <s v="RS"/>
    <x v="5"/>
    <s v="CHI"/>
    <s v="H"/>
    <n v="2"/>
    <n v="3"/>
    <n v="-1"/>
    <n v="1"/>
    <n v="-8"/>
    <n v="8"/>
    <n v="1559.3998954062945"/>
    <n v="1378.2315757167271"/>
    <n v="0.80757479546379074"/>
    <n v="77"/>
    <n v="55"/>
    <n v="0"/>
    <n v="22"/>
    <n v="1"/>
    <n v="0.52308425793214697"/>
    <n v="1"/>
    <n v="74.05"/>
    <n v="74.05"/>
    <n v="7.4534727836136945"/>
    <n v="1566.8533681899082"/>
    <n v="1"/>
    <n v="0"/>
    <n v="0"/>
    <n v="0"/>
    <n v="0"/>
    <n v="0"/>
    <n v="0"/>
    <n v="0"/>
    <n v="0"/>
    <n v="0"/>
  </r>
  <r>
    <d v="2006-06-21T00:00:00"/>
    <n v="2006"/>
    <x v="12"/>
    <s v="R"/>
    <s v="RS"/>
    <x v="9"/>
    <s v="LAS"/>
    <s v="A"/>
    <n v="3"/>
    <n v="2"/>
    <n v="1"/>
    <n v="-1"/>
    <n v="8"/>
    <n v="-8"/>
    <n v="1570.2640263523119"/>
    <n v="1543.7814494010852"/>
    <n v="0.44053440208561451"/>
    <n v="55"/>
    <n v="75"/>
    <n v="0"/>
    <n v="-20"/>
    <n v="0"/>
    <n v="0.56247421993181801"/>
    <n v="1"/>
    <n v="74.05"/>
    <n v="74.05"/>
    <n v="-18.348793530509766"/>
    <n v="1551.9152328218022"/>
    <n v="0"/>
    <n v="1"/>
    <n v="0"/>
    <n v="0"/>
    <n v="0"/>
    <n v="0"/>
    <n v="0"/>
    <n v="0"/>
    <n v="0"/>
    <n v="0"/>
  </r>
  <r>
    <d v="2006-06-21T00:00:00"/>
    <n v="2006"/>
    <x v="11"/>
    <s v="R"/>
    <s v="RS"/>
    <x v="10"/>
    <s v="HOU"/>
    <s v="H"/>
    <n v="2"/>
    <n v="3"/>
    <n v="-1"/>
    <n v="1"/>
    <n v="-8"/>
    <n v="8"/>
    <n v="1543.7814494010852"/>
    <n v="1570.2640263523119"/>
    <n v="0.55946559791438555"/>
    <n v="75"/>
    <n v="55"/>
    <n v="0"/>
    <n v="20"/>
    <n v="1"/>
    <n v="0.56247421993181801"/>
    <n v="1"/>
    <n v="74.2"/>
    <n v="74.2"/>
    <n v="18.385961917134701"/>
    <n v="1562.1674113182198"/>
    <n v="1"/>
    <n v="0"/>
    <n v="0"/>
    <n v="0"/>
    <n v="0"/>
    <n v="0"/>
    <n v="0"/>
    <n v="0"/>
    <n v="0"/>
    <n v="0"/>
  </r>
  <r>
    <d v="2006-06-21T00:00:00"/>
    <n v="2006"/>
    <x v="10"/>
    <s v="R"/>
    <s v="RS"/>
    <x v="13"/>
    <s v="NYL"/>
    <s v="A"/>
    <n v="3"/>
    <n v="3"/>
    <n v="0"/>
    <n v="0"/>
    <n v="0"/>
    <n v="0"/>
    <n v="1549.5902216597235"/>
    <n v="1417.5620848429553"/>
    <n v="0.56868112043862462"/>
    <n v="66"/>
    <n v="72"/>
    <n v="0"/>
    <n v="-6"/>
    <n v="0"/>
    <n v="0.31646246926627497"/>
    <n v="1"/>
    <n v="74.349999999999994"/>
    <n v="74.349999999999994"/>
    <n v="-13.380489319394501"/>
    <n v="1536.2097323403291"/>
    <n v="0"/>
    <n v="1"/>
    <n v="0"/>
    <n v="0"/>
    <n v="0"/>
    <n v="0"/>
    <n v="0"/>
    <n v="0"/>
    <n v="0"/>
    <n v="0"/>
  </r>
  <r>
    <d v="2006-06-21T00:00:00"/>
    <n v="2006"/>
    <x v="11"/>
    <s v="R"/>
    <s v="RS"/>
    <x v="2"/>
    <s v="WAS"/>
    <s v="H"/>
    <n v="3"/>
    <n v="3"/>
    <n v="0"/>
    <n v="0"/>
    <n v="0"/>
    <n v="0"/>
    <n v="1417.5620848429553"/>
    <n v="1549.5902216597235"/>
    <n v="0.43131887956137532"/>
    <n v="72"/>
    <n v="66"/>
    <n v="0"/>
    <n v="6"/>
    <n v="1"/>
    <n v="0.31646246926627497"/>
    <n v="1"/>
    <n v="74.2"/>
    <n v="74.2"/>
    <n v="13.353494384654635"/>
    <n v="1430.9155792276099"/>
    <n v="1"/>
    <n v="0"/>
    <n v="0"/>
    <n v="0"/>
    <n v="0"/>
    <n v="0"/>
    <n v="0"/>
    <n v="0"/>
    <n v="0"/>
    <n v="0"/>
  </r>
  <r>
    <d v="2006-06-21T00:00:00"/>
    <n v="2006"/>
    <x v="10"/>
    <s v="R"/>
    <s v="RS"/>
    <x v="8"/>
    <s v="SAC"/>
    <s v="A"/>
    <n v="3"/>
    <n v="2"/>
    <n v="1"/>
    <n v="-1"/>
    <n v="8"/>
    <n v="-8"/>
    <n v="1454.1121871325181"/>
    <n v="1567.5080595442234"/>
    <n v="0.26034068798073312"/>
    <n v="69"/>
    <n v="75"/>
    <n v="0"/>
    <n v="-6"/>
    <n v="0"/>
    <n v="0.32095190959839742"/>
    <n v="1"/>
    <n v="74.349999999999994"/>
    <n v="74.349999999999994"/>
    <n v="-6.212451124898438"/>
    <n v="1447.8997360076196"/>
    <n v="0"/>
    <n v="1"/>
    <n v="0"/>
    <n v="0"/>
    <n v="0"/>
    <n v="0"/>
    <n v="0"/>
    <n v="0"/>
    <n v="0"/>
    <n v="0"/>
  </r>
  <r>
    <d v="2006-06-21T00:00:00"/>
    <n v="2006"/>
    <x v="10"/>
    <s v="R"/>
    <s v="RS"/>
    <x v="7"/>
    <s v="SAS"/>
    <s v="H"/>
    <n v="2"/>
    <n v="3"/>
    <n v="-1"/>
    <n v="1"/>
    <n v="-8"/>
    <n v="8"/>
    <n v="1567.5080595442234"/>
    <n v="1454.1121871325181"/>
    <n v="0.73965931201926693"/>
    <n v="75"/>
    <n v="69"/>
    <n v="0"/>
    <n v="6"/>
    <n v="1"/>
    <n v="0.32095190959839742"/>
    <n v="1"/>
    <n v="74.349999999999994"/>
    <n v="74.349999999999994"/>
    <n v="6.2124511248984371"/>
    <n v="1573.7205106691219"/>
    <n v="1"/>
    <n v="0"/>
    <n v="0"/>
    <n v="0"/>
    <n v="0"/>
    <n v="0"/>
    <n v="0"/>
    <n v="0"/>
    <n v="0"/>
    <n v="0"/>
  </r>
  <r>
    <d v="2006-06-21T00:00:00"/>
    <n v="2006"/>
    <x v="9"/>
    <s v="R"/>
    <s v="RS"/>
    <x v="6"/>
    <s v="SEA"/>
    <s v="A"/>
    <n v="2"/>
    <n v="3"/>
    <n v="-1"/>
    <n v="1"/>
    <n v="-8"/>
    <n v="8"/>
    <n v="1462.8825602045229"/>
    <n v="1537.3579247107384"/>
    <n v="0.26808487424151295"/>
    <n v="87"/>
    <n v="80"/>
    <n v="0"/>
    <n v="7"/>
    <n v="1"/>
    <n v="0.34847955429617722"/>
    <n v="1"/>
    <n v="74.5"/>
    <n v="74.5"/>
    <n v="19.001780532117632"/>
    <n v="1481.8843407366405"/>
    <n v="1"/>
    <n v="0"/>
    <n v="0"/>
    <n v="0"/>
    <n v="0"/>
    <n v="0"/>
    <n v="0"/>
    <n v="0"/>
    <n v="0"/>
    <n v="0"/>
  </r>
  <r>
    <d v="2006-06-21T00:00:00"/>
    <n v="2006"/>
    <x v="12"/>
    <s v="R"/>
    <s v="RS"/>
    <x v="11"/>
    <s v="PHX"/>
    <s v="H"/>
    <n v="3"/>
    <n v="2"/>
    <n v="1"/>
    <n v="-1"/>
    <n v="8"/>
    <n v="-8"/>
    <n v="1537.3579247107384"/>
    <n v="1462.8825602045229"/>
    <n v="0.73191512575848705"/>
    <n v="80"/>
    <n v="87"/>
    <n v="0"/>
    <n v="-7"/>
    <n v="0"/>
    <n v="0.34847955429617722"/>
    <n v="1"/>
    <n v="74.05"/>
    <n v="74.05"/>
    <n v="-18.887004676554504"/>
    <n v="1518.470920034184"/>
    <n v="0"/>
    <n v="1"/>
    <n v="0"/>
    <n v="0"/>
    <n v="0"/>
    <n v="0"/>
    <n v="0"/>
    <n v="0"/>
    <n v="0"/>
    <n v="0"/>
  </r>
  <r>
    <d v="2006-06-22T00:00:00"/>
    <n v="2006"/>
    <x v="10"/>
    <s v="R"/>
    <s v="RS"/>
    <x v="4"/>
    <s v="CHA"/>
    <s v="A"/>
    <n v="4"/>
    <n v="1"/>
    <n v="3"/>
    <n v="-3"/>
    <n v="16"/>
    <n v="-16"/>
    <n v="1512.4932491790989"/>
    <n v="1363.1341013595697"/>
    <n v="0.63655533790351648"/>
    <n v="86"/>
    <n v="74"/>
    <n v="0"/>
    <n v="12"/>
    <n v="1"/>
    <n v="0.40564095376411619"/>
    <n v="1"/>
    <n v="74.349999999999994"/>
    <n v="74.349999999999994"/>
    <n v="10.961274727404446"/>
    <n v="1523.4545239065035"/>
    <n v="1"/>
    <n v="0"/>
    <n v="0"/>
    <n v="0"/>
    <n v="0"/>
    <n v="0"/>
    <n v="0"/>
    <n v="0"/>
    <n v="0"/>
    <n v="0"/>
  </r>
  <r>
    <d v="2006-06-22T00:00:00"/>
    <n v="2006"/>
    <x v="10"/>
    <s v="R"/>
    <s v="RS"/>
    <x v="1"/>
    <s v="DET"/>
    <s v="H"/>
    <n v="1"/>
    <n v="4"/>
    <n v="-3"/>
    <n v="3"/>
    <n v="-16"/>
    <n v="16"/>
    <n v="1363.1341013595697"/>
    <n v="1512.4932491790989"/>
    <n v="0.36344466209648346"/>
    <n v="74"/>
    <n v="86"/>
    <n v="0"/>
    <n v="-12"/>
    <n v="0"/>
    <n v="0.40564095376411619"/>
    <n v="1"/>
    <n v="74.349999999999994"/>
    <n v="74.349999999999994"/>
    <n v="-10.961274727404444"/>
    <n v="1352.1728266321652"/>
    <n v="0"/>
    <n v="1"/>
    <n v="0"/>
    <n v="0"/>
    <n v="0"/>
    <n v="0"/>
    <n v="0"/>
    <n v="0"/>
    <n v="0"/>
    <n v="0"/>
  </r>
  <r>
    <d v="2006-06-22T00:00:00"/>
    <n v="2006"/>
    <x v="11"/>
    <s v="R"/>
    <s v="RS"/>
    <x v="12"/>
    <s v="CON"/>
    <s v="A"/>
    <n v="3"/>
    <n v="1"/>
    <n v="2"/>
    <n v="-2"/>
    <n v="16"/>
    <n v="-16"/>
    <n v="1467.5902558979353"/>
    <n v="1621.3076512037892"/>
    <n v="0.23429705476395066"/>
    <n v="62"/>
    <n v="79"/>
    <n v="0"/>
    <n v="-17"/>
    <n v="0"/>
    <n v="0.47198217671867859"/>
    <n v="1"/>
    <n v="74.2"/>
    <n v="74.2"/>
    <n v="-8.2053353158448541"/>
    <n v="1459.3849205820904"/>
    <n v="0"/>
    <n v="1"/>
    <n v="0"/>
    <n v="0"/>
    <n v="0"/>
    <n v="0"/>
    <n v="0"/>
    <n v="0"/>
    <n v="0"/>
    <n v="0"/>
  </r>
  <r>
    <d v="2006-06-22T00:00:00"/>
    <n v="2006"/>
    <x v="11"/>
    <s v="R"/>
    <s v="RS"/>
    <x v="3"/>
    <s v="MIN"/>
    <s v="H"/>
    <n v="1"/>
    <n v="3"/>
    <n v="-2"/>
    <n v="2"/>
    <n v="-16"/>
    <n v="16"/>
    <n v="1621.3076512037892"/>
    <n v="1467.5902558979353"/>
    <n v="0.76570294523604931"/>
    <n v="79"/>
    <n v="62"/>
    <n v="0"/>
    <n v="17"/>
    <n v="1"/>
    <n v="0.47198217671867859"/>
    <n v="1"/>
    <n v="74.2"/>
    <n v="74.2"/>
    <n v="8.2053353158448559"/>
    <n v="1629.5129865196341"/>
    <n v="1"/>
    <n v="0"/>
    <n v="0"/>
    <n v="0"/>
    <n v="0"/>
    <n v="0"/>
    <n v="0"/>
    <n v="0"/>
    <n v="0"/>
    <n v="0"/>
  </r>
  <r>
    <d v="2006-06-23T00:00:00"/>
    <n v="2006"/>
    <x v="12"/>
    <s v="R"/>
    <s v="RS"/>
    <x v="3"/>
    <s v="CHI"/>
    <s v="A"/>
    <n v="0"/>
    <n v="1"/>
    <n v="-1"/>
    <n v="1"/>
    <n v="-8"/>
    <n v="8"/>
    <n v="1629.5129865196341"/>
    <n v="1370.7630047438151"/>
    <n v="0.71378496608279507"/>
    <n v="84"/>
    <n v="79"/>
    <n v="0"/>
    <n v="5"/>
    <n v="1"/>
    <n v="0.27290980327475917"/>
    <n v="1"/>
    <n v="74.05"/>
    <n v="74.05"/>
    <n v="5.7841113008761269"/>
    <n v="1635.2970978205101"/>
    <n v="1"/>
    <n v="0"/>
    <n v="0"/>
    <n v="0"/>
    <n v="0"/>
    <n v="0"/>
    <n v="0"/>
    <n v="0"/>
    <n v="0"/>
    <n v="0"/>
  </r>
  <r>
    <d v="2006-06-23T00:00:00"/>
    <n v="2006"/>
    <x v="12"/>
    <s v="R"/>
    <s v="RS"/>
    <x v="0"/>
    <s v="CON"/>
    <s v="H"/>
    <n v="1"/>
    <n v="0"/>
    <n v="1"/>
    <n v="-1"/>
    <n v="8"/>
    <n v="-8"/>
    <n v="1370.7630047438151"/>
    <n v="1629.5129865196341"/>
    <n v="0.28621503391720493"/>
    <n v="79"/>
    <n v="84"/>
    <n v="0"/>
    <n v="-5"/>
    <n v="0"/>
    <n v="0.27290980327475917"/>
    <n v="1"/>
    <n v="74.05"/>
    <n v="74.05"/>
    <n v="-5.7841113008761269"/>
    <n v="1364.9788934429391"/>
    <n v="0"/>
    <n v="1"/>
    <n v="0"/>
    <n v="0"/>
    <n v="0"/>
    <n v="0"/>
    <n v="0"/>
    <n v="0"/>
    <n v="0"/>
    <n v="0"/>
  </r>
  <r>
    <d v="2006-06-23T00:00:00"/>
    <n v="2006"/>
    <x v="11"/>
    <s v="R"/>
    <s v="RS"/>
    <x v="1"/>
    <s v="HOU"/>
    <s v="A"/>
    <n v="0"/>
    <n v="1"/>
    <n v="-1"/>
    <n v="1"/>
    <n v="-8"/>
    <n v="8"/>
    <n v="1352.1728266321652"/>
    <n v="1551.9152328218022"/>
    <n v="0.15116973165641051"/>
    <n v="70"/>
    <n v="85"/>
    <n v="0"/>
    <n v="-15"/>
    <n v="0"/>
    <n v="0.43109191447384443"/>
    <n v="1"/>
    <n v="74.2"/>
    <n v="74.2"/>
    <n v="-4.8354692380452429"/>
    <n v="1347.3373573941199"/>
    <n v="0"/>
    <n v="1"/>
    <n v="0"/>
    <n v="0"/>
    <n v="0"/>
    <n v="0"/>
    <n v="0"/>
    <n v="0"/>
    <n v="0"/>
    <n v="0"/>
  </r>
  <r>
    <d v="2006-06-23T00:00:00"/>
    <n v="2006"/>
    <x v="13"/>
    <s v="R"/>
    <s v="RS"/>
    <x v="9"/>
    <s v="CHA"/>
    <s v="H"/>
    <n v="1"/>
    <n v="0"/>
    <n v="1"/>
    <n v="-1"/>
    <n v="8"/>
    <n v="-8"/>
    <n v="1551.9152328218022"/>
    <n v="1352.1728266321652"/>
    <n v="0.84883026834358943"/>
    <n v="85"/>
    <n v="70"/>
    <n v="0"/>
    <n v="15"/>
    <n v="1"/>
    <n v="0.43109191447384443"/>
    <n v="1"/>
    <n v="73.900000000000006"/>
    <n v="73.900000000000006"/>
    <n v="4.8159188233361672"/>
    <n v="1556.7311516451384"/>
    <n v="1"/>
    <n v="0"/>
    <n v="0"/>
    <n v="0"/>
    <n v="0"/>
    <n v="0"/>
    <n v="0"/>
    <n v="0"/>
    <n v="0"/>
    <n v="0"/>
  </r>
  <r>
    <d v="2006-06-23T00:00:00"/>
    <n v="2006"/>
    <x v="13"/>
    <s v="R"/>
    <s v="RS"/>
    <x v="5"/>
    <s v="PHX"/>
    <s v="A"/>
    <n v="1"/>
    <n v="1"/>
    <n v="0"/>
    <n v="0"/>
    <n v="0"/>
    <n v="0"/>
    <n v="1566.8533681899082"/>
    <n v="1481.8843407366405"/>
    <n v="0.50139453898933661"/>
    <n v="83"/>
    <n v="73"/>
    <n v="0"/>
    <n v="10"/>
    <n v="1"/>
    <n v="0.39515009961374886"/>
    <n v="1"/>
    <n v="73.900000000000006"/>
    <n v="73.900000000000006"/>
    <n v="14.560073421629257"/>
    <n v="1581.4134416115376"/>
    <n v="1"/>
    <n v="0"/>
    <n v="0"/>
    <n v="0"/>
    <n v="0"/>
    <n v="0"/>
    <n v="0"/>
    <n v="0"/>
    <n v="0"/>
    <n v="0"/>
  </r>
  <r>
    <d v="2006-06-23T00:00:00"/>
    <n v="2006"/>
    <x v="10"/>
    <s v="R"/>
    <s v="RS"/>
    <x v="6"/>
    <s v="IND"/>
    <s v="H"/>
    <n v="1"/>
    <n v="1"/>
    <n v="0"/>
    <n v="0"/>
    <n v="0"/>
    <n v="0"/>
    <n v="1481.8843407366405"/>
    <n v="1566.8533681899082"/>
    <n v="0.49860546101066339"/>
    <n v="73"/>
    <n v="83"/>
    <n v="0"/>
    <n v="-10"/>
    <n v="0"/>
    <n v="0.39515009961374886"/>
    <n v="1"/>
    <n v="74.349999999999994"/>
    <n v="74.349999999999994"/>
    <n v="-14.648734220543101"/>
    <n v="1467.2356065160975"/>
    <n v="0"/>
    <n v="1"/>
    <n v="0"/>
    <n v="0"/>
    <n v="0"/>
    <n v="0"/>
    <n v="0"/>
    <n v="0"/>
    <n v="0"/>
    <n v="0"/>
  </r>
  <r>
    <d v="2006-06-23T00:00:00"/>
    <n v="2006"/>
    <x v="12"/>
    <s v="R"/>
    <s v="RS"/>
    <x v="10"/>
    <s v="SAC"/>
    <s v="A"/>
    <n v="1"/>
    <n v="1"/>
    <n v="0"/>
    <n v="0"/>
    <n v="0"/>
    <n v="0"/>
    <n v="1562.1674113182198"/>
    <n v="1573.7205106691219"/>
    <n v="0.36585330624493728"/>
    <n v="77"/>
    <n v="63"/>
    <n v="0"/>
    <n v="14"/>
    <n v="1"/>
    <n v="0.48295838172871564"/>
    <n v="1"/>
    <n v="74.05"/>
    <n v="74.05"/>
    <n v="22.679031436647204"/>
    <n v="1584.846442754867"/>
    <n v="1"/>
    <n v="0"/>
    <n v="0"/>
    <n v="0"/>
    <n v="0"/>
    <n v="0"/>
    <n v="0"/>
    <n v="0"/>
    <n v="0"/>
    <n v="0"/>
  </r>
  <r>
    <d v="2006-06-23T00:00:00"/>
    <n v="2006"/>
    <x v="11"/>
    <s v="R"/>
    <s v="RS"/>
    <x v="7"/>
    <s v="LAS"/>
    <s v="H"/>
    <n v="1"/>
    <n v="1"/>
    <n v="0"/>
    <n v="0"/>
    <n v="0"/>
    <n v="0"/>
    <n v="1573.7205106691219"/>
    <n v="1562.1674113182198"/>
    <n v="0.63414669375506272"/>
    <n v="63"/>
    <n v="77"/>
    <n v="0"/>
    <n v="-14"/>
    <n v="0"/>
    <n v="0.48295838172871564"/>
    <n v="1"/>
    <n v="74.2"/>
    <n v="74.2"/>
    <n v="-22.724971405796392"/>
    <n v="1550.9955392633256"/>
    <n v="0"/>
    <n v="1"/>
    <n v="0"/>
    <n v="0"/>
    <n v="0"/>
    <n v="0"/>
    <n v="0"/>
    <n v="0"/>
    <n v="0"/>
    <n v="0"/>
  </r>
  <r>
    <d v="2006-06-23T00:00:00"/>
    <n v="2006"/>
    <x v="11"/>
    <s v="R"/>
    <s v="RS"/>
    <x v="8"/>
    <s v="SEA"/>
    <s v="A"/>
    <n v="1"/>
    <n v="1"/>
    <n v="0"/>
    <n v="0"/>
    <n v="0"/>
    <n v="0"/>
    <n v="1447.8997360076196"/>
    <n v="1518.470920034184"/>
    <n v="0.29115455691101244"/>
    <n v="57"/>
    <n v="87"/>
    <n v="0"/>
    <n v="-30"/>
    <n v="0"/>
    <n v="0.66441866629972501"/>
    <n v="1"/>
    <n v="74.2"/>
    <n v="74.2"/>
    <n v="-14.353880361330749"/>
    <n v="1433.5458556462888"/>
    <n v="0"/>
    <n v="1"/>
    <n v="0"/>
    <n v="0"/>
    <n v="0"/>
    <n v="0"/>
    <n v="0"/>
    <n v="0"/>
    <n v="0"/>
    <n v="0"/>
  </r>
  <r>
    <d v="2006-06-23T00:00:00"/>
    <n v="2006"/>
    <x v="13"/>
    <s v="R"/>
    <s v="RS"/>
    <x v="11"/>
    <s v="SAS"/>
    <s v="H"/>
    <n v="1"/>
    <n v="1"/>
    <n v="0"/>
    <n v="0"/>
    <n v="0"/>
    <n v="0"/>
    <n v="1518.470920034184"/>
    <n v="1447.8997360076196"/>
    <n v="0.70884544308898756"/>
    <n v="87"/>
    <n v="57"/>
    <n v="0"/>
    <n v="30"/>
    <n v="1"/>
    <n v="0.66441866629972501"/>
    <n v="1"/>
    <n v="73.900000000000006"/>
    <n v="73.900000000000006"/>
    <n v="14.29584580461378"/>
    <n v="1532.7667658387977"/>
    <n v="1"/>
    <n v="0"/>
    <n v="0"/>
    <n v="0"/>
    <n v="0"/>
    <n v="0"/>
    <n v="0"/>
    <n v="0"/>
    <n v="0"/>
    <n v="0"/>
  </r>
  <r>
    <d v="2006-06-24T00:00:00"/>
    <n v="2006"/>
    <x v="11"/>
    <s v="R"/>
    <s v="RS"/>
    <x v="13"/>
    <s v="DET"/>
    <s v="A"/>
    <n v="2"/>
    <n v="1"/>
    <n v="1"/>
    <n v="-1"/>
    <n v="8"/>
    <n v="-8"/>
    <n v="1536.2097323403291"/>
    <n v="1523.4545239065035"/>
    <n v="0.42115968504702178"/>
    <n v="86"/>
    <n v="92"/>
    <n v="0"/>
    <n v="-6"/>
    <n v="0"/>
    <n v="0.34758614960192219"/>
    <n v="1"/>
    <n v="74.2"/>
    <n v="74.2"/>
    <n v="-10.862084078344498"/>
    <n v="1525.3476482619847"/>
    <n v="0"/>
    <n v="1"/>
    <n v="0"/>
    <n v="0"/>
    <n v="0"/>
    <n v="0"/>
    <n v="0"/>
    <n v="0"/>
    <n v="0"/>
    <n v="0"/>
  </r>
  <r>
    <d v="2006-06-24T00:00:00"/>
    <n v="2006"/>
    <x v="11"/>
    <s v="R"/>
    <s v="RS"/>
    <x v="4"/>
    <s v="WAS"/>
    <s v="H"/>
    <n v="1"/>
    <n v="2"/>
    <n v="-1"/>
    <n v="1"/>
    <n v="-8"/>
    <n v="8"/>
    <n v="1523.4545239065035"/>
    <n v="1536.2097323403291"/>
    <n v="0.57884031495297816"/>
    <n v="92"/>
    <n v="86"/>
    <n v="0"/>
    <n v="6"/>
    <n v="1"/>
    <n v="0.34758614960192219"/>
    <n v="1"/>
    <n v="74.2"/>
    <n v="74.2"/>
    <n v="10.8620840783445"/>
    <n v="1534.3166079848479"/>
    <n v="1"/>
    <n v="0"/>
    <n v="0"/>
    <n v="0"/>
    <n v="0"/>
    <n v="0"/>
    <n v="0"/>
    <n v="0"/>
    <n v="0"/>
    <n v="0"/>
  </r>
  <r>
    <d v="2006-06-24T00:00:00"/>
    <n v="2006"/>
    <x v="12"/>
    <s v="R"/>
    <s v="RS"/>
    <x v="2"/>
    <s v="MIN"/>
    <s v="A"/>
    <n v="2"/>
    <n v="1"/>
    <n v="1"/>
    <n v="-1"/>
    <n v="8"/>
    <n v="-8"/>
    <n v="1430.9155792276099"/>
    <n v="1459.3849205820904"/>
    <n v="0.36463050904118854"/>
    <n v="93"/>
    <n v="83"/>
    <n v="0"/>
    <n v="10"/>
    <n v="1"/>
    <n v="0.41332381859762296"/>
    <n v="1"/>
    <n v="74.05"/>
    <n v="74.05"/>
    <n v="19.446518139751937"/>
    <n v="1450.3620973673619"/>
    <n v="1"/>
    <n v="0"/>
    <n v="0"/>
    <n v="0"/>
    <n v="0"/>
    <n v="0"/>
    <n v="0"/>
    <n v="0"/>
    <n v="0"/>
    <n v="0"/>
  </r>
  <r>
    <d v="2006-06-24T00:00:00"/>
    <n v="2006"/>
    <x v="12"/>
    <s v="R"/>
    <s v="RS"/>
    <x v="12"/>
    <s v="NYL"/>
    <s v="H"/>
    <n v="1"/>
    <n v="2"/>
    <n v="-1"/>
    <n v="1"/>
    <n v="-8"/>
    <n v="8"/>
    <n v="1459.3849205820904"/>
    <n v="1430.9155792276099"/>
    <n v="0.63536949095881157"/>
    <n v="83"/>
    <n v="93"/>
    <n v="0"/>
    <n v="-10"/>
    <n v="0"/>
    <n v="0.41332381859762296"/>
    <n v="1"/>
    <n v="74.05"/>
    <n v="74.05"/>
    <n v="-19.446518139751941"/>
    <n v="1439.9384024423384"/>
    <n v="0"/>
    <n v="1"/>
    <n v="0"/>
    <n v="0"/>
    <n v="0"/>
    <n v="0"/>
    <n v="0"/>
    <n v="0"/>
    <n v="0"/>
    <n v="0"/>
  </r>
  <r>
    <d v="2006-06-25T00:00:00"/>
    <n v="2006"/>
    <x v="12"/>
    <s v="R"/>
    <s v="RS"/>
    <x v="1"/>
    <s v="DET"/>
    <s v="A"/>
    <n v="1"/>
    <n v="0"/>
    <n v="1"/>
    <n v="-1"/>
    <n v="8"/>
    <n v="-8"/>
    <n v="1347.3373573941199"/>
    <n v="1534.3166079848479"/>
    <n v="0.18728049771754696"/>
    <n v="61"/>
    <n v="71"/>
    <n v="0"/>
    <n v="-10"/>
    <n v="0"/>
    <n v="0.36608740828853975"/>
    <n v="1"/>
    <n v="74.05"/>
    <n v="74.05"/>
    <n v="-5.0769444219995563"/>
    <n v="1342.2604129721203"/>
    <n v="0"/>
    <n v="1"/>
    <n v="0"/>
    <n v="0"/>
    <n v="0"/>
    <n v="0"/>
    <n v="0"/>
    <n v="0"/>
    <n v="0"/>
    <n v="0"/>
  </r>
  <r>
    <d v="2006-06-25T00:00:00"/>
    <n v="2006"/>
    <x v="12"/>
    <s v="R"/>
    <s v="RS"/>
    <x v="4"/>
    <s v="CHA"/>
    <s v="H"/>
    <n v="0"/>
    <n v="1"/>
    <n v="-1"/>
    <n v="1"/>
    <n v="-8"/>
    <n v="8"/>
    <n v="1534.3166079848479"/>
    <n v="1347.3373573941199"/>
    <n v="0.81271950228245293"/>
    <n v="71"/>
    <n v="61"/>
    <n v="0"/>
    <n v="10"/>
    <n v="1"/>
    <n v="0.36608740828853975"/>
    <n v="1"/>
    <n v="74.05"/>
    <n v="74.05"/>
    <n v="5.0769444219995599"/>
    <n v="1539.3935524068474"/>
    <n v="1"/>
    <n v="0"/>
    <n v="0"/>
    <n v="0"/>
    <n v="0"/>
    <n v="0"/>
    <n v="0"/>
    <n v="0"/>
    <n v="0"/>
    <n v="0"/>
  </r>
  <r>
    <d v="2006-06-25T00:00:00"/>
    <n v="2006"/>
    <x v="14"/>
    <s v="R"/>
    <s v="RS"/>
    <x v="11"/>
    <s v="HOU"/>
    <s v="A"/>
    <n v="1"/>
    <n v="1"/>
    <n v="0"/>
    <n v="0"/>
    <n v="0"/>
    <n v="0"/>
    <n v="1532.7667658387977"/>
    <n v="1556.7311516451384"/>
    <n v="0.34944197642282532"/>
    <n v="74"/>
    <n v="84"/>
    <n v="0"/>
    <n v="-10"/>
    <n v="0"/>
    <n v="0.41484510912810113"/>
    <n v="1"/>
    <n v="73.75"/>
    <n v="73.75"/>
    <n v="-10.69111674467614"/>
    <n v="1522.0756490941217"/>
    <n v="0"/>
    <n v="1"/>
    <n v="0"/>
    <n v="0"/>
    <n v="0"/>
    <n v="0"/>
    <n v="0"/>
    <n v="0"/>
    <n v="0"/>
    <n v="0"/>
  </r>
  <r>
    <d v="2006-06-25T00:00:00"/>
    <n v="2006"/>
    <x v="14"/>
    <s v="R"/>
    <s v="RS"/>
    <x v="9"/>
    <s v="SEA"/>
    <s v="H"/>
    <n v="1"/>
    <n v="1"/>
    <n v="0"/>
    <n v="0"/>
    <n v="0"/>
    <n v="0"/>
    <n v="1556.7311516451384"/>
    <n v="1532.7667658387977"/>
    <n v="0.65055802357717463"/>
    <n v="84"/>
    <n v="74"/>
    <n v="0"/>
    <n v="10"/>
    <n v="1"/>
    <n v="0.41484510912810113"/>
    <n v="1"/>
    <n v="73.75"/>
    <n v="73.75"/>
    <n v="10.691116744676142"/>
    <n v="1567.4222683898145"/>
    <n v="1"/>
    <n v="0"/>
    <n v="0"/>
    <n v="0"/>
    <n v="0"/>
    <n v="0"/>
    <n v="0"/>
    <n v="0"/>
    <n v="0"/>
    <n v="0"/>
  </r>
  <r>
    <d v="2006-06-25T00:00:00"/>
    <n v="2006"/>
    <x v="12"/>
    <s v="R"/>
    <s v="RS"/>
    <x v="8"/>
    <s v="LAS"/>
    <s v="A"/>
    <n v="1"/>
    <n v="1"/>
    <n v="0"/>
    <n v="0"/>
    <n v="0"/>
    <n v="0"/>
    <n v="1433.5458556462888"/>
    <n v="1584.846442754867"/>
    <n v="0.20513580374765258"/>
    <n v="80"/>
    <n v="105"/>
    <n v="0"/>
    <n v="-25"/>
    <n v="0"/>
    <n v="0.56953548412154187"/>
    <n v="1"/>
    <n v="74.05"/>
    <n v="74.05"/>
    <n v="-8.6514184340228919"/>
    <n v="1424.894437212266"/>
    <n v="0"/>
    <n v="1"/>
    <n v="0"/>
    <n v="0"/>
    <n v="0"/>
    <n v="0"/>
    <n v="0"/>
    <n v="0"/>
    <n v="0"/>
    <n v="0"/>
  </r>
  <r>
    <d v="2006-06-25T00:00:00"/>
    <n v="2006"/>
    <x v="13"/>
    <s v="R"/>
    <s v="RS"/>
    <x v="10"/>
    <s v="SAS"/>
    <s v="H"/>
    <n v="1"/>
    <n v="1"/>
    <n v="0"/>
    <n v="0"/>
    <n v="0"/>
    <n v="0"/>
    <n v="1584.846442754867"/>
    <n v="1433.5458556462888"/>
    <n v="0.79486419625234739"/>
    <n v="105"/>
    <n v="80"/>
    <n v="0"/>
    <n v="25"/>
    <n v="1"/>
    <n v="0.56953548412154187"/>
    <n v="1"/>
    <n v="73.900000000000006"/>
    <n v="73.900000000000006"/>
    <n v="8.6338936161281818"/>
    <n v="1593.4803363709952"/>
    <n v="1"/>
    <n v="0"/>
    <n v="0"/>
    <n v="0"/>
    <n v="0"/>
    <n v="0"/>
    <n v="0"/>
    <n v="0"/>
    <n v="0"/>
    <n v="0"/>
  </r>
  <r>
    <d v="2006-06-25T00:00:00"/>
    <n v="2006"/>
    <x v="13"/>
    <s v="R"/>
    <s v="RS"/>
    <x v="0"/>
    <s v="PHX"/>
    <s v="A"/>
    <n v="1"/>
    <n v="1"/>
    <n v="0"/>
    <n v="0"/>
    <n v="0"/>
    <n v="0"/>
    <n v="1364.9788934429391"/>
    <n v="1467.2356065160975"/>
    <n v="0.25498876233238654"/>
    <n v="77"/>
    <n v="90"/>
    <n v="0"/>
    <n v="-13"/>
    <n v="0"/>
    <n v="0.43497760548316622"/>
    <n v="1"/>
    <n v="73.900000000000006"/>
    <n v="73.900000000000006"/>
    <n v="-8.1965742534434209"/>
    <n v="1356.7823191894956"/>
    <n v="0"/>
    <n v="1"/>
    <n v="0"/>
    <n v="0"/>
    <n v="0"/>
    <n v="0"/>
    <n v="0"/>
    <n v="0"/>
    <n v="0"/>
    <n v="0"/>
  </r>
  <r>
    <d v="2006-06-25T00:00:00"/>
    <n v="2006"/>
    <x v="11"/>
    <s v="R"/>
    <s v="RS"/>
    <x v="6"/>
    <s v="CHI"/>
    <s v="H"/>
    <n v="1"/>
    <n v="1"/>
    <n v="0"/>
    <n v="0"/>
    <n v="0"/>
    <n v="0"/>
    <n v="1467.2356065160975"/>
    <n v="1364.9788934429391"/>
    <n v="0.74501123766761357"/>
    <n v="90"/>
    <n v="77"/>
    <n v="0"/>
    <n v="13"/>
    <n v="1"/>
    <n v="0.43497760548316622"/>
    <n v="1"/>
    <n v="74.2"/>
    <n v="74.2"/>
    <n v="8.2298485738227551"/>
    <n v="1475.4654550899202"/>
    <n v="1"/>
    <n v="0"/>
    <n v="0"/>
    <n v="0"/>
    <n v="0"/>
    <n v="0"/>
    <n v="0"/>
    <n v="0"/>
    <n v="0"/>
    <n v="0"/>
  </r>
  <r>
    <d v="2006-06-25T00:00:00"/>
    <n v="2006"/>
    <x v="14"/>
    <s v="R"/>
    <s v="RS"/>
    <x v="5"/>
    <s v="SAC"/>
    <s v="A"/>
    <n v="1"/>
    <n v="1"/>
    <n v="0"/>
    <n v="0"/>
    <n v="0"/>
    <n v="0"/>
    <n v="1581.4134416115376"/>
    <n v="1550.9955392633256"/>
    <n v="0.4234947453035719"/>
    <n v="61"/>
    <n v="82"/>
    <n v="0"/>
    <n v="-21"/>
    <n v="0"/>
    <n v="0.57402574034151355"/>
    <n v="1"/>
    <n v="73.75"/>
    <n v="73.75"/>
    <n v="-17.92839524689224"/>
    <n v="1563.4850463646453"/>
    <n v="0"/>
    <n v="1"/>
    <n v="0"/>
    <n v="0"/>
    <n v="0"/>
    <n v="0"/>
    <n v="0"/>
    <n v="0"/>
    <n v="0"/>
    <n v="0"/>
  </r>
  <r>
    <d v="2006-06-25T00:00:00"/>
    <n v="2006"/>
    <x v="12"/>
    <s v="R"/>
    <s v="RS"/>
    <x v="7"/>
    <s v="IND"/>
    <s v="H"/>
    <n v="1"/>
    <n v="1"/>
    <n v="0"/>
    <n v="0"/>
    <n v="0"/>
    <n v="0"/>
    <n v="1550.9955392633256"/>
    <n v="1581.4134416115376"/>
    <n v="0.5765052546964281"/>
    <n v="82"/>
    <n v="61"/>
    <n v="0"/>
    <n v="21"/>
    <n v="1"/>
    <n v="0.57402574034151355"/>
    <n v="1"/>
    <n v="74.05"/>
    <n v="74.05"/>
    <n v="18.001324312303325"/>
    <n v="1568.9968635756288"/>
    <n v="1"/>
    <n v="0"/>
    <n v="0"/>
    <n v="0"/>
    <n v="0"/>
    <n v="0"/>
    <n v="0"/>
    <n v="0"/>
    <n v="0"/>
    <n v="0"/>
  </r>
  <r>
    <d v="2006-06-25T00:00:00"/>
    <n v="2006"/>
    <x v="13"/>
    <s v="R"/>
    <s v="RS"/>
    <x v="3"/>
    <s v="WAS"/>
    <s v="A"/>
    <n v="1"/>
    <n v="0"/>
    <n v="1"/>
    <n v="-1"/>
    <n v="8"/>
    <n v="-8"/>
    <n v="1635.2970978205101"/>
    <n v="1525.3476482619847"/>
    <n v="0.56007844886409797"/>
    <n v="80"/>
    <n v="87"/>
    <n v="0"/>
    <n v="-7"/>
    <n v="0"/>
    <n v="0.33904255399646349"/>
    <n v="1"/>
    <n v="73.900000000000006"/>
    <n v="73.900000000000006"/>
    <n v="-14.032902610079223"/>
    <n v="1621.2641952104309"/>
    <n v="0"/>
    <n v="1"/>
    <n v="0"/>
    <n v="0"/>
    <n v="0"/>
    <n v="0"/>
    <n v="0"/>
    <n v="0"/>
    <n v="0"/>
    <n v="0"/>
  </r>
  <r>
    <d v="2006-06-25T00:00:00"/>
    <n v="2006"/>
    <x v="12"/>
    <s v="R"/>
    <s v="RS"/>
    <x v="13"/>
    <s v="CON"/>
    <s v="H"/>
    <n v="0"/>
    <n v="1"/>
    <n v="-1"/>
    <n v="1"/>
    <n v="-8"/>
    <n v="8"/>
    <n v="1525.3476482619847"/>
    <n v="1635.2970978205101"/>
    <n v="0.43992155113590203"/>
    <n v="87"/>
    <n v="80"/>
    <n v="0"/>
    <n v="7"/>
    <n v="1"/>
    <n v="0.33904255399646349"/>
    <n v="1"/>
    <n v="74.05"/>
    <n v="74.05"/>
    <n v="14.061386174240409"/>
    <n v="1539.4090344362251"/>
    <n v="1"/>
    <n v="0"/>
    <n v="0"/>
    <n v="0"/>
    <n v="0"/>
    <n v="0"/>
    <n v="0"/>
    <n v="0"/>
    <n v="0"/>
    <n v="0"/>
  </r>
  <r>
    <d v="2006-06-27T00:00:00"/>
    <n v="2006"/>
    <x v="15"/>
    <s v="R"/>
    <s v="RS"/>
    <x v="9"/>
    <s v="CON"/>
    <s v="A"/>
    <n v="1"/>
    <n v="1"/>
    <n v="0"/>
    <n v="0"/>
    <n v="0"/>
    <n v="0"/>
    <n v="1567.4222683898145"/>
    <n v="1621.2641952104309"/>
    <n v="0.31142152420606095"/>
    <n v="57"/>
    <n v="73"/>
    <n v="0"/>
    <n v="-16"/>
    <n v="0"/>
    <n v="0.49555149293150735"/>
    <n v="1"/>
    <n v="73.599999999999994"/>
    <n v="73.599999999999994"/>
    <n v="-11.358349532097082"/>
    <n v="1556.0639188577175"/>
    <n v="0"/>
    <n v="1"/>
    <n v="0"/>
    <n v="0"/>
    <n v="0"/>
    <n v="0"/>
    <n v="0"/>
    <n v="0"/>
    <n v="0"/>
    <n v="0"/>
  </r>
  <r>
    <d v="2006-06-27T00:00:00"/>
    <n v="2006"/>
    <x v="14"/>
    <s v="R"/>
    <s v="RS"/>
    <x v="3"/>
    <s v="HOU"/>
    <s v="H"/>
    <n v="1"/>
    <n v="1"/>
    <n v="0"/>
    <n v="0"/>
    <n v="0"/>
    <n v="0"/>
    <n v="1621.2641952104309"/>
    <n v="1567.4222683898145"/>
    <n v="0.68857847579393905"/>
    <n v="73"/>
    <n v="57"/>
    <n v="0"/>
    <n v="16"/>
    <n v="1"/>
    <n v="0.49555149293150735"/>
    <n v="1"/>
    <n v="73.75"/>
    <n v="73.75"/>
    <n v="11.381498342284781"/>
    <n v="1632.6456935527158"/>
    <n v="1"/>
    <n v="0"/>
    <n v="0"/>
    <n v="0"/>
    <n v="0"/>
    <n v="0"/>
    <n v="0"/>
    <n v="0"/>
    <n v="0"/>
    <n v="0"/>
  </r>
  <r>
    <d v="2006-06-27T00:00:00"/>
    <n v="2006"/>
    <x v="13"/>
    <s v="R"/>
    <s v="RS"/>
    <x v="1"/>
    <s v="NYL"/>
    <s v="A"/>
    <n v="1"/>
    <n v="2"/>
    <n v="-1"/>
    <n v="1"/>
    <n v="-8"/>
    <n v="8"/>
    <n v="1342.2604129721203"/>
    <n v="1450.3620973673619"/>
    <n v="0.2318437355383538"/>
    <n v="73"/>
    <n v="67"/>
    <n v="0"/>
    <n v="6"/>
    <n v="1"/>
    <n v="0.3222508757062521"/>
    <n v="1"/>
    <n v="73.900000000000006"/>
    <n v="73.900000000000006"/>
    <n v="18.293134235858457"/>
    <n v="1360.5535472079787"/>
    <n v="1"/>
    <n v="0"/>
    <n v="0"/>
    <n v="0"/>
    <n v="0"/>
    <n v="0"/>
    <n v="0"/>
    <n v="0"/>
    <n v="0"/>
    <n v="0"/>
  </r>
  <r>
    <d v="2006-06-27T00:00:00"/>
    <n v="2006"/>
    <x v="13"/>
    <s v="R"/>
    <s v="RS"/>
    <x v="2"/>
    <s v="CHA"/>
    <s v="H"/>
    <n v="2"/>
    <n v="1"/>
    <n v="1"/>
    <n v="-1"/>
    <n v="8"/>
    <n v="-8"/>
    <n v="1450.3620973673619"/>
    <n v="1342.2604129721203"/>
    <n v="0.76815626446164609"/>
    <n v="67"/>
    <n v="73"/>
    <n v="0"/>
    <n v="-6"/>
    <n v="0"/>
    <n v="0.3222508757062521"/>
    <n v="1"/>
    <n v="73.900000000000006"/>
    <n v="73.900000000000006"/>
    <n v="-18.293134235858453"/>
    <n v="1432.0689631315036"/>
    <n v="0"/>
    <n v="1"/>
    <n v="0"/>
    <n v="0"/>
    <n v="0"/>
    <n v="0"/>
    <n v="0"/>
    <n v="0"/>
    <n v="0"/>
    <n v="0"/>
  </r>
  <r>
    <d v="2006-06-27T00:00:00"/>
    <n v="2006"/>
    <x v="13"/>
    <s v="R"/>
    <s v="RS"/>
    <x v="4"/>
    <s v="SAS"/>
    <s v="A"/>
    <n v="1"/>
    <n v="1"/>
    <n v="0"/>
    <n v="0"/>
    <n v="0"/>
    <n v="0"/>
    <n v="1539.3935524068474"/>
    <n v="1424.894437212266"/>
    <n v="0.54377935895434371"/>
    <n v="63"/>
    <n v="59"/>
    <n v="0"/>
    <n v="4"/>
    <n v="1"/>
    <n v="0.28430546476962415"/>
    <n v="1"/>
    <n v="73.900000000000006"/>
    <n v="73.900000000000006"/>
    <n v="9.5852749807196105"/>
    <n v="1548.978827387567"/>
    <n v="1"/>
    <n v="0"/>
    <n v="0"/>
    <n v="0"/>
    <n v="0"/>
    <n v="0"/>
    <n v="0"/>
    <n v="0"/>
    <n v="0"/>
    <n v="0"/>
  </r>
  <r>
    <d v="2006-06-27T00:00:00"/>
    <n v="2006"/>
    <x v="13"/>
    <s v="R"/>
    <s v="RS"/>
    <x v="8"/>
    <s v="DET"/>
    <s v="H"/>
    <n v="1"/>
    <n v="1"/>
    <n v="0"/>
    <n v="0"/>
    <n v="0"/>
    <n v="0"/>
    <n v="1424.894437212266"/>
    <n v="1539.3935524068474"/>
    <n v="0.45622064104565629"/>
    <n v="59"/>
    <n v="63"/>
    <n v="0"/>
    <n v="-4"/>
    <n v="0"/>
    <n v="0.28430546476962415"/>
    <n v="1"/>
    <n v="73.900000000000006"/>
    <n v="73.900000000000006"/>
    <n v="-9.5852749807196105"/>
    <n v="1415.3091622315465"/>
    <n v="0"/>
    <n v="1"/>
    <n v="0"/>
    <n v="0"/>
    <n v="0"/>
    <n v="0"/>
    <n v="0"/>
    <n v="0"/>
    <n v="0"/>
    <n v="0"/>
  </r>
  <r>
    <d v="2006-06-27T00:00:00"/>
    <n v="2006"/>
    <x v="13"/>
    <s v="R"/>
    <s v="RS"/>
    <x v="7"/>
    <s v="SEA"/>
    <s v="A"/>
    <n v="1"/>
    <n v="1"/>
    <n v="0"/>
    <n v="0"/>
    <n v="0"/>
    <n v="0"/>
    <n v="1568.9968635756288"/>
    <n v="1522.0756490941217"/>
    <n v="0.44684100226385237"/>
    <n v="53"/>
    <n v="68"/>
    <n v="0"/>
    <n v="-15"/>
    <n v="0"/>
    <n v="0.48392603048736194"/>
    <n v="1"/>
    <n v="73.900000000000006"/>
    <n v="73.900000000000006"/>
    <n v="-15.979987644607537"/>
    <n v="1553.0168759310213"/>
    <n v="0"/>
    <n v="1"/>
    <n v="0"/>
    <n v="0"/>
    <n v="0"/>
    <n v="0"/>
    <n v="0"/>
    <n v="0"/>
    <n v="0"/>
    <n v="0"/>
  </r>
  <r>
    <d v="2006-06-27T00:00:00"/>
    <n v="2006"/>
    <x v="15"/>
    <s v="R"/>
    <s v="RS"/>
    <x v="11"/>
    <s v="SAC"/>
    <s v="H"/>
    <n v="1"/>
    <n v="1"/>
    <n v="0"/>
    <n v="0"/>
    <n v="0"/>
    <n v="0"/>
    <n v="1522.0756490941217"/>
    <n v="1568.9968635756288"/>
    <n v="0.55315899773614774"/>
    <n v="68"/>
    <n v="53"/>
    <n v="0"/>
    <n v="15"/>
    <n v="1"/>
    <n v="0.48392603048736194"/>
    <n v="1"/>
    <n v="73.599999999999994"/>
    <n v="73.599999999999994"/>
    <n v="15.915116246862169"/>
    <n v="1537.9907653409839"/>
    <n v="1"/>
    <n v="0"/>
    <n v="0"/>
    <n v="0"/>
    <n v="0"/>
    <n v="0"/>
    <n v="0"/>
    <n v="0"/>
    <n v="0"/>
    <n v="0"/>
  </r>
  <r>
    <d v="2006-06-27T00:00:00"/>
    <n v="2006"/>
    <x v="15"/>
    <s v="R"/>
    <s v="RS"/>
    <x v="5"/>
    <s v="WAS"/>
    <s v="A"/>
    <n v="1"/>
    <n v="1"/>
    <n v="0"/>
    <n v="0"/>
    <n v="0"/>
    <n v="0"/>
    <n v="1563.4850463646453"/>
    <n v="1539.4090344362251"/>
    <n v="0.41460751668473611"/>
    <n v="74"/>
    <n v="67"/>
    <n v="0"/>
    <n v="7"/>
    <n v="1"/>
    <n v="0.36282763705572491"/>
    <n v="1"/>
    <n v="73.599999999999994"/>
    <n v="73.599999999999994"/>
    <n v="15.632387660299463"/>
    <n v="1579.1174340249447"/>
    <n v="1"/>
    <n v="0"/>
    <n v="0"/>
    <n v="0"/>
    <n v="0"/>
    <n v="0"/>
    <n v="0"/>
    <n v="0"/>
    <n v="0"/>
    <n v="0"/>
  </r>
  <r>
    <d v="2006-06-27T00:00:00"/>
    <n v="2006"/>
    <x v="13"/>
    <s v="R"/>
    <s v="RS"/>
    <x v="13"/>
    <s v="IND"/>
    <s v="H"/>
    <n v="1"/>
    <n v="1"/>
    <n v="0"/>
    <n v="0"/>
    <n v="0"/>
    <n v="0"/>
    <n v="1539.4090344362251"/>
    <n v="1563.4850463646453"/>
    <n v="0.58539248331526395"/>
    <n v="67"/>
    <n v="74"/>
    <n v="0"/>
    <n v="-7"/>
    <n v="0"/>
    <n v="0.36282763705572491"/>
    <n v="1"/>
    <n v="73.900000000000006"/>
    <n v="73.900000000000006"/>
    <n v="-15.6961066317409"/>
    <n v="1523.7129278044843"/>
    <n v="0"/>
    <n v="1"/>
    <n v="0"/>
    <n v="0"/>
    <n v="0"/>
    <n v="0"/>
    <n v="0"/>
    <n v="0"/>
    <n v="0"/>
    <n v="0"/>
  </r>
  <r>
    <d v="2006-06-28T00:00:00"/>
    <n v="2006"/>
    <x v="16"/>
    <s v="R"/>
    <s v="RS"/>
    <x v="11"/>
    <s v="LAS"/>
    <s v="A"/>
    <n v="0"/>
    <n v="2"/>
    <n v="-2"/>
    <n v="2"/>
    <n v="-16"/>
    <n v="16"/>
    <n v="1537.9907653409839"/>
    <n v="1593.4803363709952"/>
    <n v="0.27147076036669182"/>
    <n v="75"/>
    <n v="67"/>
    <n v="0"/>
    <n v="8"/>
    <n v="1"/>
    <n v="0.37115293727315857"/>
    <n v="1"/>
    <n v="73.45"/>
    <n v="73.45"/>
    <n v="19.860569099318347"/>
    <n v="1557.8513344403023"/>
    <n v="1"/>
    <n v="0"/>
    <n v="0"/>
    <n v="0"/>
    <n v="0"/>
    <n v="0"/>
    <n v="0"/>
    <n v="0"/>
    <n v="0"/>
    <n v="0"/>
  </r>
  <r>
    <d v="2006-06-28T00:00:00"/>
    <n v="2006"/>
    <x v="14"/>
    <s v="R"/>
    <s v="RS"/>
    <x v="10"/>
    <s v="SEA"/>
    <s v="H"/>
    <n v="2"/>
    <n v="0"/>
    <n v="2"/>
    <n v="-2"/>
    <n v="16"/>
    <n v="-16"/>
    <n v="1593.4803363709952"/>
    <n v="1537.9907653409839"/>
    <n v="0.72852923963330818"/>
    <n v="67"/>
    <n v="75"/>
    <n v="0"/>
    <n v="-8"/>
    <n v="0"/>
    <n v="0.37115293727315857"/>
    <n v="1"/>
    <n v="73.75"/>
    <n v="73.75"/>
    <n v="-19.94168782947213"/>
    <n v="1573.5386485415231"/>
    <n v="0"/>
    <n v="1"/>
    <n v="0"/>
    <n v="0"/>
    <n v="0"/>
    <n v="0"/>
    <n v="0"/>
    <n v="0"/>
    <n v="0"/>
    <n v="0"/>
  </r>
  <r>
    <d v="2006-06-28T00:00:00"/>
    <n v="2006"/>
    <x v="13"/>
    <s v="R"/>
    <s v="RS"/>
    <x v="12"/>
    <s v="PHX"/>
    <s v="A"/>
    <n v="3"/>
    <n v="2"/>
    <n v="1"/>
    <n v="-1"/>
    <n v="8"/>
    <n v="-8"/>
    <n v="1439.9384024423384"/>
    <n v="1475.4654550899202"/>
    <n v="0.35527090255302268"/>
    <n v="78"/>
    <n v="81"/>
    <n v="0"/>
    <n v="-3"/>
    <n v="0"/>
    <n v="0.28183941790044725"/>
    <n v="1"/>
    <n v="73.900000000000006"/>
    <n v="73.900000000000006"/>
    <n v="-7.3995585491285212"/>
    <n v="1432.53884389321"/>
    <n v="0"/>
    <n v="1"/>
    <n v="0"/>
    <n v="0"/>
    <n v="0"/>
    <n v="0"/>
    <n v="0"/>
    <n v="0"/>
    <n v="0"/>
    <n v="0"/>
  </r>
  <r>
    <d v="2006-06-28T00:00:00"/>
    <n v="2006"/>
    <x v="12"/>
    <s v="R"/>
    <s v="RS"/>
    <x v="6"/>
    <s v="MIN"/>
    <s v="H"/>
    <n v="2"/>
    <n v="3"/>
    <n v="-1"/>
    <n v="1"/>
    <n v="-8"/>
    <n v="8"/>
    <n v="1475.4654550899202"/>
    <n v="1439.9384024423384"/>
    <n v="0.64472909744697726"/>
    <n v="81"/>
    <n v="78"/>
    <n v="0"/>
    <n v="3"/>
    <n v="1"/>
    <n v="0.28183941790044725"/>
    <n v="1"/>
    <n v="74.05"/>
    <n v="74.05"/>
    <n v="7.4145779507843983"/>
    <n v="1482.8800330407046"/>
    <n v="1"/>
    <n v="0"/>
    <n v="0"/>
    <n v="0"/>
    <n v="0"/>
    <n v="0"/>
    <n v="0"/>
    <n v="0"/>
    <n v="0"/>
    <n v="0"/>
  </r>
  <r>
    <d v="2006-06-29T00:00:00"/>
    <n v="2006"/>
    <x v="14"/>
    <s v="R"/>
    <s v="RS"/>
    <x v="1"/>
    <s v="CHI"/>
    <s v="A"/>
    <n v="1"/>
    <n v="3"/>
    <n v="-2"/>
    <n v="2"/>
    <n v="-16"/>
    <n v="16"/>
    <n v="1360.5535472079787"/>
    <n v="1356.7823191894956"/>
    <n v="0.34388230056273844"/>
    <n v="69"/>
    <n v="75"/>
    <n v="0"/>
    <n v="-6"/>
    <n v="0"/>
    <n v="0.3501802531059644"/>
    <n v="1"/>
    <n v="73.75"/>
    <n v="73.75"/>
    <n v="-8.8810333399169288"/>
    <n v="1351.6725138680617"/>
    <n v="0"/>
    <n v="1"/>
    <n v="0"/>
    <n v="0"/>
    <n v="0"/>
    <n v="0"/>
    <n v="0"/>
    <n v="0"/>
    <n v="0"/>
    <n v="0"/>
  </r>
  <r>
    <d v="2006-06-29T00:00:00"/>
    <n v="2006"/>
    <x v="14"/>
    <s v="R"/>
    <s v="RS"/>
    <x v="0"/>
    <s v="CHA"/>
    <s v="H"/>
    <n v="3"/>
    <n v="1"/>
    <n v="2"/>
    <n v="-2"/>
    <n v="16"/>
    <n v="-16"/>
    <n v="1356.7823191894956"/>
    <n v="1360.5535472079787"/>
    <n v="0.65611769943726161"/>
    <n v="75"/>
    <n v="69"/>
    <n v="0"/>
    <n v="6"/>
    <n v="1"/>
    <n v="0.3501802531059644"/>
    <n v="1"/>
    <n v="73.75"/>
    <n v="73.75"/>
    <n v="8.881033339916927"/>
    <n v="1365.6633525294126"/>
    <n v="1"/>
    <n v="0"/>
    <n v="0"/>
    <n v="0"/>
    <n v="0"/>
    <n v="0"/>
    <n v="0"/>
    <n v="0"/>
    <n v="0"/>
    <n v="0"/>
  </r>
  <r>
    <d v="2006-06-29T00:00:00"/>
    <n v="2006"/>
    <x v="14"/>
    <s v="R"/>
    <s v="RS"/>
    <x v="13"/>
    <s v="HOU"/>
    <s v="A"/>
    <n v="1"/>
    <n v="1"/>
    <n v="0"/>
    <n v="0"/>
    <n v="0"/>
    <n v="0"/>
    <n v="1523.7129278044843"/>
    <n v="1556.0639188577175"/>
    <n v="0.33854831133693269"/>
    <n v="76"/>
    <n v="83"/>
    <n v="0"/>
    <n v="-7"/>
    <n v="0"/>
    <n v="0.36039132536827673"/>
    <n v="1"/>
    <n v="73.75"/>
    <n v="73.75"/>
    <n v="-8.9982282535133002"/>
    <n v="1514.7146995509709"/>
    <n v="0"/>
    <n v="1"/>
    <n v="0"/>
    <n v="0"/>
    <n v="0"/>
    <n v="0"/>
    <n v="0"/>
    <n v="0"/>
    <n v="0"/>
    <n v="0"/>
  </r>
  <r>
    <d v="2006-06-29T00:00:00"/>
    <n v="2006"/>
    <x v="16"/>
    <s v="R"/>
    <s v="RS"/>
    <x v="9"/>
    <s v="WAS"/>
    <s v="H"/>
    <n v="1"/>
    <n v="1"/>
    <n v="0"/>
    <n v="0"/>
    <n v="0"/>
    <n v="0"/>
    <n v="1556.0639188577175"/>
    <n v="1523.7129278044843"/>
    <n v="0.66145168866306736"/>
    <n v="83"/>
    <n v="76"/>
    <n v="0"/>
    <n v="7"/>
    <n v="1"/>
    <n v="0.36039132536827673"/>
    <n v="1"/>
    <n v="73.45"/>
    <n v="73.45"/>
    <n v="8.9616252911261274"/>
    <n v="1565.0255441488437"/>
    <n v="1"/>
    <n v="0"/>
    <n v="0"/>
    <n v="0"/>
    <n v="0"/>
    <n v="0"/>
    <n v="0"/>
    <n v="0"/>
    <n v="0"/>
    <n v="0"/>
  </r>
  <r>
    <d v="2006-06-29T00:00:00"/>
    <n v="2006"/>
    <x v="14"/>
    <s v="R"/>
    <s v="RS"/>
    <x v="4"/>
    <s v="IND"/>
    <s v="A"/>
    <n v="1"/>
    <n v="1"/>
    <n v="0"/>
    <n v="0"/>
    <n v="0"/>
    <n v="0"/>
    <n v="1548.978827387567"/>
    <n v="1579.1174340249447"/>
    <n v="0.34140605381122857"/>
    <n v="56"/>
    <n v="66"/>
    <n v="0"/>
    <n v="-10"/>
    <n v="0"/>
    <n v="0.41276294919863271"/>
    <n v="1"/>
    <n v="73.75"/>
    <n v="73.75"/>
    <n v="-10.392833011347498"/>
    <n v="1538.5859943762196"/>
    <n v="0"/>
    <n v="1"/>
    <n v="0"/>
    <n v="0"/>
    <n v="0"/>
    <n v="0"/>
    <n v="0"/>
    <n v="0"/>
    <n v="0"/>
    <n v="0"/>
  </r>
  <r>
    <d v="2006-06-29T00:00:00"/>
    <n v="2006"/>
    <x v="16"/>
    <s v="R"/>
    <s v="RS"/>
    <x v="5"/>
    <s v="DET"/>
    <s v="H"/>
    <n v="1"/>
    <n v="1"/>
    <n v="0"/>
    <n v="0"/>
    <n v="0"/>
    <n v="0"/>
    <n v="1579.1174340249447"/>
    <n v="1548.978827387567"/>
    <n v="0.65859394618877143"/>
    <n v="66"/>
    <n v="56"/>
    <n v="0"/>
    <n v="10"/>
    <n v="1"/>
    <n v="0.41276294919863271"/>
    <n v="1"/>
    <n v="73.45"/>
    <n v="73.45"/>
    <n v="10.350557080453882"/>
    <n v="1589.4679911053986"/>
    <n v="1"/>
    <n v="0"/>
    <n v="0"/>
    <n v="0"/>
    <n v="0"/>
    <n v="0"/>
    <n v="0"/>
    <n v="0"/>
    <n v="0"/>
    <n v="0"/>
  </r>
  <r>
    <d v="2006-06-29T00:00:00"/>
    <n v="2006"/>
    <x v="14"/>
    <s v="R"/>
    <s v="RS"/>
    <x v="12"/>
    <s v="SAC"/>
    <s v="A"/>
    <n v="0"/>
    <n v="1"/>
    <n v="-1"/>
    <n v="1"/>
    <n v="-8"/>
    <n v="8"/>
    <n v="1432.53884389321"/>
    <n v="1553.0168759310213"/>
    <n v="0.21939875528376102"/>
    <n v="78"/>
    <n v="87"/>
    <n v="0"/>
    <n v="-9"/>
    <n v="0"/>
    <n v="0.36893141783273653"/>
    <n v="1"/>
    <n v="73.75"/>
    <n v="73.75"/>
    <n v="-5.9695531719961963"/>
    <n v="1426.5692907212137"/>
    <n v="0"/>
    <n v="1"/>
    <n v="0"/>
    <n v="0"/>
    <n v="0"/>
    <n v="0"/>
    <n v="0"/>
    <n v="0"/>
    <n v="0"/>
    <n v="0"/>
  </r>
  <r>
    <d v="2006-06-29T00:00:00"/>
    <n v="2006"/>
    <x v="14"/>
    <s v="R"/>
    <s v="RS"/>
    <x v="7"/>
    <s v="MIN"/>
    <s v="H"/>
    <n v="1"/>
    <n v="0"/>
    <n v="1"/>
    <n v="-1"/>
    <n v="8"/>
    <n v="-8"/>
    <n v="1553.0168759310213"/>
    <n v="1432.53884389321"/>
    <n v="0.78060124471623893"/>
    <n v="87"/>
    <n v="78"/>
    <n v="0"/>
    <n v="9"/>
    <n v="1"/>
    <n v="0.36893141783273653"/>
    <n v="1"/>
    <n v="73.75"/>
    <n v="73.75"/>
    <n v="5.9695531719961981"/>
    <n v="1558.9864291030176"/>
    <n v="1"/>
    <n v="0"/>
    <n v="0"/>
    <n v="0"/>
    <n v="0"/>
    <n v="0"/>
    <n v="0"/>
    <n v="0"/>
    <n v="0"/>
    <n v="0"/>
  </r>
  <r>
    <d v="2006-06-30T00:00:00"/>
    <n v="2006"/>
    <x v="15"/>
    <s v="R"/>
    <s v="RS"/>
    <x v="4"/>
    <s v="CON"/>
    <s v="A"/>
    <n v="0"/>
    <n v="2"/>
    <n v="-2"/>
    <n v="2"/>
    <n v="-16"/>
    <n v="16"/>
    <n v="1538.5859943762196"/>
    <n v="1632.6456935527158"/>
    <n v="0.22984248543793384"/>
    <n v="70"/>
    <n v="64"/>
    <n v="0"/>
    <n v="6"/>
    <n v="1"/>
    <n v="0.32574765567418906"/>
    <n v="1"/>
    <n v="73.599999999999994"/>
    <n v="73.599999999999994"/>
    <n v="18.464547558318152"/>
    <n v="1557.0505419345377"/>
    <n v="1"/>
    <n v="0"/>
    <n v="0"/>
    <n v="0"/>
    <n v="0"/>
    <n v="0"/>
    <n v="0"/>
    <n v="0"/>
    <n v="0"/>
    <n v="0"/>
  </r>
  <r>
    <d v="2006-06-30T00:00:00"/>
    <n v="2006"/>
    <x v="15"/>
    <s v="R"/>
    <s v="RS"/>
    <x v="3"/>
    <s v="DET"/>
    <s v="H"/>
    <n v="2"/>
    <n v="0"/>
    <n v="2"/>
    <n v="-2"/>
    <n v="16"/>
    <n v="-16"/>
    <n v="1632.6456935527158"/>
    <n v="1538.5859943762196"/>
    <n v="0.77015751456206616"/>
    <n v="64"/>
    <n v="70"/>
    <n v="0"/>
    <n v="-6"/>
    <n v="0"/>
    <n v="0.32574765567418906"/>
    <n v="1"/>
    <n v="73.599999999999994"/>
    <n v="73.599999999999994"/>
    <n v="-18.464547558318152"/>
    <n v="1614.1811459943976"/>
    <n v="0"/>
    <n v="1"/>
    <n v="0"/>
    <n v="0"/>
    <n v="0"/>
    <n v="0"/>
    <n v="0"/>
    <n v="0"/>
    <n v="0"/>
    <n v="0"/>
  </r>
  <r>
    <d v="2006-06-30T00:00:00"/>
    <n v="2006"/>
    <x v="13"/>
    <s v="R"/>
    <s v="RS"/>
    <x v="6"/>
    <s v="LAS"/>
    <s v="A"/>
    <n v="1"/>
    <n v="1"/>
    <n v="0"/>
    <n v="0"/>
    <n v="0"/>
    <n v="0"/>
    <n v="1482.8800330407046"/>
    <n v="1573.5386485415231"/>
    <n v="0.26787794169730422"/>
    <n v="83"/>
    <n v="85"/>
    <n v="0"/>
    <n v="-2"/>
    <n v="0"/>
    <n v="0.24902757484548788"/>
    <n v="1"/>
    <n v="73.900000000000006"/>
    <n v="73.900000000000006"/>
    <n v="-4.9297946695680208"/>
    <n v="1477.9502383711365"/>
    <n v="0"/>
    <n v="1"/>
    <n v="0"/>
    <n v="0"/>
    <n v="0"/>
    <n v="0"/>
    <n v="0"/>
    <n v="0"/>
    <n v="0"/>
    <n v="0"/>
  </r>
  <r>
    <d v="2006-06-30T00:00:00"/>
    <n v="2006"/>
    <x v="15"/>
    <s v="R"/>
    <s v="RS"/>
    <x v="10"/>
    <s v="PHX"/>
    <s v="H"/>
    <n v="1"/>
    <n v="1"/>
    <n v="0"/>
    <n v="0"/>
    <n v="0"/>
    <n v="0"/>
    <n v="1573.5386485415231"/>
    <n v="1482.8800330407046"/>
    <n v="0.73212205830269583"/>
    <n v="85"/>
    <n v="83"/>
    <n v="0"/>
    <n v="2"/>
    <n v="1"/>
    <n v="0.24902757484548788"/>
    <n v="1"/>
    <n v="73.599999999999994"/>
    <n v="73.599999999999994"/>
    <n v="4.9097819713153754"/>
    <n v="1578.4484305128385"/>
    <n v="1"/>
    <n v="0"/>
    <n v="0"/>
    <n v="0"/>
    <n v="0"/>
    <n v="0"/>
    <n v="0"/>
    <n v="0"/>
    <n v="0"/>
    <n v="0"/>
  </r>
  <r>
    <d v="2006-06-30T00:00:00"/>
    <n v="2006"/>
    <x v="14"/>
    <s v="R"/>
    <s v="RS"/>
    <x v="8"/>
    <s v="NYL"/>
    <s v="A"/>
    <n v="2"/>
    <n v="2"/>
    <n v="0"/>
    <n v="0"/>
    <n v="0"/>
    <n v="0"/>
    <n v="1415.3091622315465"/>
    <n v="1432.0689631315036"/>
    <n v="0.35892798274755783"/>
    <n v="91"/>
    <n v="78"/>
    <n v="0"/>
    <n v="13"/>
    <n v="1"/>
    <n v="0.46554176622039412"/>
    <n v="1"/>
    <n v="73.75"/>
    <n v="73.75"/>
    <n v="22.010377689980253"/>
    <n v="1437.3195399215267"/>
    <n v="1"/>
    <n v="0"/>
    <n v="0"/>
    <n v="0"/>
    <n v="0"/>
    <n v="0"/>
    <n v="0"/>
    <n v="0"/>
    <n v="0"/>
    <n v="0"/>
  </r>
  <r>
    <d v="2006-06-30T00:00:00"/>
    <n v="2006"/>
    <x v="14"/>
    <s v="R"/>
    <s v="RS"/>
    <x v="2"/>
    <s v="SAS"/>
    <s v="H"/>
    <n v="2"/>
    <n v="2"/>
    <n v="0"/>
    <n v="0"/>
    <n v="0"/>
    <n v="0"/>
    <n v="1432.0689631315036"/>
    <n v="1415.3091622315465"/>
    <n v="0.64107201725244223"/>
    <n v="78"/>
    <n v="91"/>
    <n v="0"/>
    <n v="-13"/>
    <n v="0"/>
    <n v="0.46554176622039412"/>
    <n v="1"/>
    <n v="73.75"/>
    <n v="73.75"/>
    <n v="-22.010377689980253"/>
    <n v="1410.0585854415233"/>
    <n v="0"/>
    <n v="1"/>
    <n v="0"/>
    <n v="0"/>
    <n v="0"/>
    <n v="0"/>
    <n v="0"/>
    <n v="0"/>
    <n v="0"/>
    <n v="0"/>
  </r>
  <r>
    <d v="2006-07-01T00:00:00"/>
    <n v="2006"/>
    <x v="15"/>
    <s v="R"/>
    <s v="RS"/>
    <x v="7"/>
    <s v="CHA"/>
    <s v="A"/>
    <n v="1"/>
    <n v="1"/>
    <n v="0"/>
    <n v="0"/>
    <n v="0"/>
    <n v="0"/>
    <n v="1558.9864291030176"/>
    <n v="1351.6725138680617"/>
    <n v="0.67036844699118336"/>
    <n v="65"/>
    <n v="57"/>
    <n v="0"/>
    <n v="8"/>
    <n v="1"/>
    <n v="0.33111208306769985"/>
    <n v="1"/>
    <n v="73.599999999999994"/>
    <n v="73.599999999999994"/>
    <n v="8.0330712758930378"/>
    <n v="1567.0195003789106"/>
    <n v="1"/>
    <n v="0"/>
    <n v="0"/>
    <n v="0"/>
    <n v="0"/>
    <n v="0"/>
    <n v="0"/>
    <n v="0"/>
    <n v="0"/>
    <n v="0"/>
  </r>
  <r>
    <d v="2006-07-01T00:00:00"/>
    <n v="2006"/>
    <x v="15"/>
    <s v="R"/>
    <s v="RS"/>
    <x v="1"/>
    <s v="SAC"/>
    <s v="H"/>
    <n v="1"/>
    <n v="1"/>
    <n v="0"/>
    <n v="0"/>
    <n v="0"/>
    <n v="0"/>
    <n v="1351.6725138680617"/>
    <n v="1558.9864291030176"/>
    <n v="0.32963155300881669"/>
    <n v="57"/>
    <n v="65"/>
    <n v="0"/>
    <n v="-8"/>
    <n v="0"/>
    <n v="0.33111208306769985"/>
    <n v="1"/>
    <n v="73.599999999999994"/>
    <n v="73.599999999999994"/>
    <n v="-8.0330712758930396"/>
    <n v="1343.6394425921687"/>
    <n v="0"/>
    <n v="1"/>
    <n v="0"/>
    <n v="0"/>
    <n v="0"/>
    <n v="0"/>
    <n v="0"/>
    <n v="0"/>
    <n v="0"/>
    <n v="0"/>
  </r>
  <r>
    <d v="2006-07-01T00:00:00"/>
    <n v="2006"/>
    <x v="16"/>
    <s v="R"/>
    <s v="RS"/>
    <x v="3"/>
    <s v="IND"/>
    <s v="A"/>
    <n v="0"/>
    <n v="1"/>
    <n v="-1"/>
    <n v="1"/>
    <n v="-8"/>
    <n v="8"/>
    <n v="1614.1811459943976"/>
    <n v="1589.4679911053986"/>
    <n v="0.39331809609182106"/>
    <n v="76"/>
    <n v="66"/>
    <n v="0"/>
    <n v="10"/>
    <n v="1"/>
    <n v="0.41459147978594285"/>
    <n v="1"/>
    <n v="73.45"/>
    <n v="73.45"/>
    <n v="18.474522142682382"/>
    <n v="1632.6556681370801"/>
    <n v="1"/>
    <n v="0"/>
    <n v="0"/>
    <n v="0"/>
    <n v="0"/>
    <n v="0"/>
    <n v="0"/>
    <n v="0"/>
    <n v="0"/>
    <n v="0"/>
  </r>
  <r>
    <d v="2006-07-01T00:00:00"/>
    <n v="2006"/>
    <x v="17"/>
    <s v="R"/>
    <s v="RS"/>
    <x v="5"/>
    <s v="CON"/>
    <s v="H"/>
    <n v="1"/>
    <n v="0"/>
    <n v="1"/>
    <n v="-1"/>
    <n v="8"/>
    <n v="-8"/>
    <n v="1589.4679911053986"/>
    <n v="1614.1811459943976"/>
    <n v="0.606681903908179"/>
    <n v="66"/>
    <n v="76"/>
    <n v="0"/>
    <n v="-10"/>
    <n v="0"/>
    <n v="0.41459147978594285"/>
    <n v="1"/>
    <n v="73.3"/>
    <n v="73.3"/>
    <n v="-18.436793370437286"/>
    <n v="1571.0311977349613"/>
    <n v="0"/>
    <n v="1"/>
    <n v="0"/>
    <n v="0"/>
    <n v="0"/>
    <n v="0"/>
    <n v="0"/>
    <n v="0"/>
    <n v="0"/>
    <n v="0"/>
  </r>
  <r>
    <d v="2006-07-01T00:00:00"/>
    <n v="2006"/>
    <x v="15"/>
    <s v="R"/>
    <s v="RS"/>
    <x v="13"/>
    <s v="LAS"/>
    <s v="A"/>
    <n v="1"/>
    <n v="0"/>
    <n v="1"/>
    <n v="-1"/>
    <n v="8"/>
    <n v="-8"/>
    <n v="1514.7146995509709"/>
    <n v="1578.4484305128385"/>
    <n v="0.31901105549696041"/>
    <n v="75"/>
    <n v="80"/>
    <n v="0"/>
    <n v="-5"/>
    <n v="0"/>
    <n v="0.31502456633050807"/>
    <n v="1"/>
    <n v="73.599999999999994"/>
    <n v="73.599999999999994"/>
    <n v="-7.396529108764974"/>
    <n v="1507.3181704422059"/>
    <n v="0"/>
    <n v="1"/>
    <n v="0"/>
    <n v="0"/>
    <n v="0"/>
    <n v="0"/>
    <n v="0"/>
    <n v="0"/>
    <n v="0"/>
    <n v="0"/>
  </r>
  <r>
    <d v="2006-07-01T00:00:00"/>
    <n v="2006"/>
    <x v="16"/>
    <s v="R"/>
    <s v="RS"/>
    <x v="10"/>
    <s v="WAS"/>
    <s v="H"/>
    <n v="0"/>
    <n v="1"/>
    <n v="-1"/>
    <n v="1"/>
    <n v="-8"/>
    <n v="8"/>
    <n v="1578.4484305128385"/>
    <n v="1514.7146995509709"/>
    <n v="0.68098894450303959"/>
    <n v="80"/>
    <n v="75"/>
    <n v="0"/>
    <n v="5"/>
    <n v="1"/>
    <n v="0.31502456633050807"/>
    <n v="1"/>
    <n v="73.45"/>
    <n v="73.45"/>
    <n v="7.3814546608530902"/>
    <n v="1585.8298851736915"/>
    <n v="1"/>
    <n v="0"/>
    <n v="0"/>
    <n v="0"/>
    <n v="0"/>
    <n v="0"/>
    <n v="0"/>
    <n v="0"/>
    <n v="0"/>
    <n v="0"/>
  </r>
  <r>
    <d v="2006-07-01T00:00:00"/>
    <n v="2006"/>
    <x v="15"/>
    <s v="R"/>
    <s v="RS"/>
    <x v="0"/>
    <s v="SAS"/>
    <s v="A"/>
    <n v="1"/>
    <n v="0"/>
    <n v="1"/>
    <n v="-1"/>
    <n v="8"/>
    <n v="-8"/>
    <n v="1365.6633525294126"/>
    <n v="1437.3195399215267"/>
    <n v="0.3091864136792255"/>
    <n v="57"/>
    <n v="69"/>
    <n v="0"/>
    <n v="-12"/>
    <n v="0"/>
    <n v="0.43042713676748878"/>
    <n v="1"/>
    <n v="73.599999999999994"/>
    <n v="73.599999999999994"/>
    <n v="-9.7948515956775015"/>
    <n v="1355.868500933735"/>
    <n v="0"/>
    <n v="1"/>
    <n v="0"/>
    <n v="0"/>
    <n v="0"/>
    <n v="0"/>
    <n v="0"/>
    <n v="0"/>
    <n v="0"/>
    <n v="0"/>
  </r>
  <r>
    <d v="2006-07-01T00:00:00"/>
    <n v="2006"/>
    <x v="15"/>
    <s v="R"/>
    <s v="RS"/>
    <x v="8"/>
    <s v="CHI"/>
    <s v="H"/>
    <n v="0"/>
    <n v="1"/>
    <n v="-1"/>
    <n v="1"/>
    <n v="-8"/>
    <n v="8"/>
    <n v="1437.3195399215267"/>
    <n v="1365.6633525294126"/>
    <n v="0.6908135863207745"/>
    <n v="69"/>
    <n v="57"/>
    <n v="0"/>
    <n v="12"/>
    <n v="1"/>
    <n v="0.43042713676748878"/>
    <n v="1"/>
    <n v="73.599999999999994"/>
    <n v="73.599999999999994"/>
    <n v="9.7948515956775015"/>
    <n v="1447.1143915172042"/>
    <n v="1"/>
    <n v="0"/>
    <n v="0"/>
    <n v="0"/>
    <n v="0"/>
    <n v="0"/>
    <n v="0"/>
    <n v="0"/>
    <n v="0"/>
    <n v="0"/>
  </r>
  <r>
    <d v="2006-07-01T00:00:00"/>
    <n v="2006"/>
    <x v="15"/>
    <s v="R"/>
    <s v="RS"/>
    <x v="12"/>
    <s v="SEA"/>
    <s v="A"/>
    <n v="1"/>
    <n v="2"/>
    <n v="-1"/>
    <n v="1"/>
    <n v="-8"/>
    <n v="8"/>
    <n v="1426.5692907212137"/>
    <n v="1557.8513344403023"/>
    <n v="0.20893342564906384"/>
    <n v="75"/>
    <n v="92"/>
    <n v="0"/>
    <n v="-17"/>
    <n v="0"/>
    <n v="0.47993622832429367"/>
    <n v="1"/>
    <n v="73.599999999999994"/>
    <n v="73.599999999999994"/>
    <n v="-7.3802194123788043"/>
    <n v="1419.1890713088349"/>
    <n v="0"/>
    <n v="1"/>
    <n v="0"/>
    <n v="0"/>
    <n v="0"/>
    <n v="0"/>
    <n v="0"/>
    <n v="0"/>
    <n v="0"/>
    <n v="0"/>
  </r>
  <r>
    <d v="2006-07-01T00:00:00"/>
    <n v="2006"/>
    <x v="17"/>
    <s v="R"/>
    <s v="RS"/>
    <x v="11"/>
    <s v="MIN"/>
    <s v="H"/>
    <n v="2"/>
    <n v="1"/>
    <n v="1"/>
    <n v="-1"/>
    <n v="8"/>
    <n v="-8"/>
    <n v="1557.8513344403023"/>
    <n v="1426.5692907212137"/>
    <n v="0.79106657435093608"/>
    <n v="92"/>
    <n v="75"/>
    <n v="0"/>
    <n v="17"/>
    <n v="1"/>
    <n v="0.47993622832429367"/>
    <n v="1"/>
    <n v="73.3"/>
    <n v="73.3"/>
    <n v="7.350136996295741"/>
    <n v="1565.201471436598"/>
    <n v="1"/>
    <n v="0"/>
    <n v="0"/>
    <n v="0"/>
    <n v="0"/>
    <n v="0"/>
    <n v="0"/>
    <n v="0"/>
    <n v="0"/>
    <n v="0"/>
  </r>
  <r>
    <d v="2006-07-02T00:00:00"/>
    <n v="2006"/>
    <x v="16"/>
    <s v="R"/>
    <s v="RS"/>
    <x v="7"/>
    <s v="HOU"/>
    <s v="A"/>
    <n v="0"/>
    <n v="2"/>
    <n v="-2"/>
    <n v="2"/>
    <n v="-16"/>
    <n v="16"/>
    <n v="1567.0195003789106"/>
    <n v="1565.0255441488437"/>
    <n v="0.34157765452122768"/>
    <n v="62"/>
    <n v="77"/>
    <n v="0"/>
    <n v="-15"/>
    <n v="0"/>
    <n v="0.50201386664794467"/>
    <n v="1"/>
    <n v="73.45"/>
    <n v="73.45"/>
    <n v="-12.594965018389855"/>
    <n v="1554.4245353605208"/>
    <n v="0"/>
    <n v="1"/>
    <n v="0"/>
    <n v="0"/>
    <n v="0"/>
    <n v="0"/>
    <n v="0"/>
    <n v="0"/>
    <n v="0"/>
    <n v="0"/>
  </r>
  <r>
    <d v="2006-07-02T00:00:00"/>
    <n v="2006"/>
    <x v="17"/>
    <s v="R"/>
    <s v="RS"/>
    <x v="9"/>
    <s v="SAC"/>
    <s v="H"/>
    <n v="2"/>
    <n v="0"/>
    <n v="2"/>
    <n v="-2"/>
    <n v="16"/>
    <n v="-16"/>
    <n v="1565.0255441488437"/>
    <n v="1567.0195003789106"/>
    <n v="0.65842234547877232"/>
    <n v="77"/>
    <n v="62"/>
    <n v="0"/>
    <n v="15"/>
    <n v="1"/>
    <n v="0.50201386664794467"/>
    <n v="1"/>
    <n v="73.3"/>
    <n v="73.3"/>
    <n v="12.569243510523844"/>
    <n v="1577.5947876593675"/>
    <n v="1"/>
    <n v="0"/>
    <n v="0"/>
    <n v="0"/>
    <n v="0"/>
    <n v="0"/>
    <n v="0"/>
    <n v="0"/>
    <n v="0"/>
    <n v="0"/>
  </r>
  <r>
    <d v="2006-07-02T00:00:00"/>
    <n v="2006"/>
    <x v="16"/>
    <s v="R"/>
    <s v="RS"/>
    <x v="13"/>
    <s v="PHX"/>
    <s v="A"/>
    <n v="0"/>
    <n v="1"/>
    <n v="-1"/>
    <n v="1"/>
    <n v="-8"/>
    <n v="8"/>
    <n v="1507.3181704422059"/>
    <n v="1477.9502383711365"/>
    <n v="0.39972984836674502"/>
    <n v="81"/>
    <n v="78"/>
    <n v="0"/>
    <n v="3"/>
    <n v="1"/>
    <n v="0.28325143045810236"/>
    <n v="1"/>
    <n v="73.45"/>
    <n v="73.45"/>
    <n v="12.488510995733908"/>
    <n v="1519.8066814379397"/>
    <n v="1"/>
    <n v="0"/>
    <n v="0"/>
    <n v="0"/>
    <n v="0"/>
    <n v="0"/>
    <n v="0"/>
    <n v="0"/>
    <n v="0"/>
    <n v="0"/>
  </r>
  <r>
    <d v="2006-07-02T00:00:00"/>
    <n v="2006"/>
    <x v="14"/>
    <s v="R"/>
    <s v="RS"/>
    <x v="6"/>
    <s v="WAS"/>
    <s v="H"/>
    <n v="1"/>
    <n v="0"/>
    <n v="1"/>
    <n v="-1"/>
    <n v="8"/>
    <n v="-8"/>
    <n v="1477.9502383711365"/>
    <n v="1507.3181704422059"/>
    <n v="0.60027015163325503"/>
    <n v="78"/>
    <n v="81"/>
    <n v="0"/>
    <n v="-3"/>
    <n v="0"/>
    <n v="0.28325143045810236"/>
    <n v="1"/>
    <n v="73.75"/>
    <n v="73.75"/>
    <n v="-12.539519209467336"/>
    <n v="1465.4107191616692"/>
    <n v="0"/>
    <n v="1"/>
    <n v="0"/>
    <n v="0"/>
    <n v="0"/>
    <n v="0"/>
    <n v="0"/>
    <n v="0"/>
    <n v="0"/>
    <n v="0"/>
  </r>
  <r>
    <d v="2006-07-03T00:00:00"/>
    <n v="2006"/>
    <x v="16"/>
    <s v="R"/>
    <s v="RS"/>
    <x v="8"/>
    <s v="LAS"/>
    <s v="A"/>
    <n v="1"/>
    <n v="1"/>
    <n v="0"/>
    <n v="0"/>
    <n v="0"/>
    <n v="0"/>
    <n v="1447.1143915172042"/>
    <n v="1585.8298851736915"/>
    <n v="0.21720088553499936"/>
    <n v="85"/>
    <n v="63"/>
    <n v="0"/>
    <n v="22"/>
    <n v="1"/>
    <n v="0.53967210285353717"/>
    <n v="1"/>
    <n v="73.45"/>
    <n v="73.45"/>
    <n v="31.02930830760744"/>
    <n v="1478.1436998248116"/>
    <n v="1"/>
    <n v="0"/>
    <n v="0"/>
    <n v="0"/>
    <n v="0"/>
    <n v="0"/>
    <n v="0"/>
    <n v="0"/>
    <n v="0"/>
    <n v="0"/>
  </r>
  <r>
    <d v="2006-07-03T00:00:00"/>
    <n v="2006"/>
    <x v="17"/>
    <s v="R"/>
    <s v="RS"/>
    <x v="10"/>
    <s v="SAS"/>
    <s v="H"/>
    <n v="1"/>
    <n v="1"/>
    <n v="0"/>
    <n v="0"/>
    <n v="0"/>
    <n v="0"/>
    <n v="1585.8298851736915"/>
    <n v="1447.1143915172042"/>
    <n v="0.78279911446500072"/>
    <n v="63"/>
    <n v="85"/>
    <n v="0"/>
    <n v="-22"/>
    <n v="0"/>
    <n v="0.53967210285353717"/>
    <n v="1"/>
    <n v="73.3"/>
    <n v="73.3"/>
    <n v="-30.965940080975162"/>
    <n v="1554.8639450927164"/>
    <n v="0"/>
    <n v="1"/>
    <n v="0"/>
    <n v="0"/>
    <n v="0"/>
    <n v="0"/>
    <n v="0"/>
    <n v="0"/>
    <n v="0"/>
    <n v="0"/>
  </r>
  <r>
    <d v="2006-07-05T00:00:00"/>
    <n v="2006"/>
    <x v="18"/>
    <s v="R"/>
    <s v="RS"/>
    <x v="9"/>
    <s v="LAS"/>
    <s v="A"/>
    <n v="2"/>
    <n v="1"/>
    <n v="1"/>
    <n v="-1"/>
    <n v="8"/>
    <n v="-8"/>
    <n v="1577.5947876593675"/>
    <n v="1554.8639450927164"/>
    <n v="0.43521862515313725"/>
    <n v="62"/>
    <n v="74"/>
    <n v="0"/>
    <n v="-12"/>
    <n v="0"/>
    <n v="0.4476498936944191"/>
    <n v="1"/>
    <n v="73.150000000000006"/>
    <n v="73.150000000000006"/>
    <n v="-14.251490539397764"/>
    <n v="1563.3432971199697"/>
    <n v="0"/>
    <n v="1"/>
    <n v="0"/>
    <n v="0"/>
    <n v="0"/>
    <n v="0"/>
    <n v="0"/>
    <n v="0"/>
    <n v="0"/>
    <n v="0"/>
  </r>
  <r>
    <d v="2006-07-05T00:00:00"/>
    <n v="2006"/>
    <x v="18"/>
    <s v="R"/>
    <s v="RS"/>
    <x v="10"/>
    <s v="HOU"/>
    <s v="H"/>
    <n v="1"/>
    <n v="2"/>
    <n v="-1"/>
    <n v="1"/>
    <n v="-8"/>
    <n v="8"/>
    <n v="1554.8639450927164"/>
    <n v="1577.5947876593675"/>
    <n v="0.56478137484686275"/>
    <n v="74"/>
    <n v="62"/>
    <n v="0"/>
    <n v="12"/>
    <n v="1"/>
    <n v="0.4476498936944191"/>
    <n v="1"/>
    <n v="73.150000000000006"/>
    <n v="73.150000000000006"/>
    <n v="14.251490539397764"/>
    <n v="1569.1154356321142"/>
    <n v="1"/>
    <n v="0"/>
    <n v="0"/>
    <n v="0"/>
    <n v="0"/>
    <n v="0"/>
    <n v="0"/>
    <n v="0"/>
    <n v="0"/>
    <n v="0"/>
  </r>
  <r>
    <d v="2006-07-05T00:00:00"/>
    <n v="2006"/>
    <x v="17"/>
    <s v="R"/>
    <s v="RS"/>
    <x v="13"/>
    <s v="MIN"/>
    <s v="A"/>
    <n v="2"/>
    <n v="3"/>
    <n v="-1"/>
    <n v="1"/>
    <n v="-8"/>
    <n v="8"/>
    <n v="1519.8066814379397"/>
    <n v="1419.1890713088349"/>
    <n v="0.50088881148664954"/>
    <n v="74"/>
    <n v="84"/>
    <n v="0"/>
    <n v="-10"/>
    <n v="0"/>
    <n v="0.39039578984966899"/>
    <n v="1"/>
    <n v="73.3"/>
    <n v="73.3"/>
    <n v="-14.333439937621209"/>
    <n v="1505.4732415003184"/>
    <n v="0"/>
    <n v="1"/>
    <n v="0"/>
    <n v="0"/>
    <n v="0"/>
    <n v="0"/>
    <n v="0"/>
    <n v="0"/>
    <n v="0"/>
    <n v="0"/>
  </r>
  <r>
    <d v="2006-07-05T00:00:00"/>
    <n v="2006"/>
    <x v="16"/>
    <s v="R"/>
    <s v="RS"/>
    <x v="12"/>
    <s v="WAS"/>
    <s v="H"/>
    <n v="3"/>
    <n v="2"/>
    <n v="1"/>
    <n v="-1"/>
    <n v="8"/>
    <n v="-8"/>
    <n v="1419.1890713088349"/>
    <n v="1519.8066814379397"/>
    <n v="0.49911118851335046"/>
    <n v="84"/>
    <n v="74"/>
    <n v="0"/>
    <n v="10"/>
    <n v="1"/>
    <n v="0.39039578984966899"/>
    <n v="1"/>
    <n v="73.45"/>
    <n v="73.45"/>
    <n v="14.36277167009929"/>
    <n v="1433.5518429789342"/>
    <n v="1"/>
    <n v="0"/>
    <n v="0"/>
    <n v="0"/>
    <n v="0"/>
    <n v="0"/>
    <n v="0"/>
    <n v="0"/>
    <n v="0"/>
    <n v="0"/>
  </r>
  <r>
    <d v="2006-07-06T00:00:00"/>
    <n v="2006"/>
    <x v="16"/>
    <s v="R"/>
    <s v="RS"/>
    <x v="1"/>
    <s v="CON"/>
    <s v="A"/>
    <n v="4"/>
    <n v="4"/>
    <n v="0"/>
    <n v="0"/>
    <n v="0"/>
    <n v="0"/>
    <n v="1343.6394425921687"/>
    <n v="1632.6556681370801"/>
    <n v="0.10458810528914811"/>
    <n v="71"/>
    <n v="76"/>
    <n v="0"/>
    <n v="-5"/>
    <n v="0"/>
    <n v="0.26736254697816231"/>
    <n v="1"/>
    <n v="73.45"/>
    <n v="73.45"/>
    <n v="-2.0538781055982369"/>
    <n v="1341.5855644865705"/>
    <n v="0"/>
    <n v="1"/>
    <n v="0"/>
    <n v="0"/>
    <n v="0"/>
    <n v="0"/>
    <n v="0"/>
    <n v="0"/>
    <n v="0"/>
    <n v="0"/>
  </r>
  <r>
    <d v="2006-07-06T00:00:00"/>
    <n v="2006"/>
    <x v="17"/>
    <s v="R"/>
    <s v="RS"/>
    <x v="3"/>
    <s v="CHA"/>
    <s v="H"/>
    <n v="4"/>
    <n v="4"/>
    <n v="0"/>
    <n v="0"/>
    <n v="0"/>
    <n v="0"/>
    <n v="1632.6556681370801"/>
    <n v="1343.6394425921687"/>
    <n v="0.89541189471085181"/>
    <n v="76"/>
    <n v="71"/>
    <n v="0"/>
    <n v="5"/>
    <n v="1"/>
    <n v="0.26736254697816231"/>
    <n v="1"/>
    <n v="73.3"/>
    <n v="73.3"/>
    <n v="2.0496836642661793"/>
    <n v="1634.7053518013463"/>
    <n v="1"/>
    <n v="0"/>
    <n v="0"/>
    <n v="0"/>
    <n v="0"/>
    <n v="0"/>
    <n v="0"/>
    <n v="0"/>
    <n v="0"/>
    <n v="0"/>
  </r>
  <r>
    <d v="2006-07-06T00:00:00"/>
    <n v="2006"/>
    <x v="15"/>
    <s v="R"/>
    <s v="RS"/>
    <x v="6"/>
    <s v="DET"/>
    <s v="A"/>
    <n v="3"/>
    <n v="5"/>
    <n v="-2"/>
    <n v="2"/>
    <n v="-16"/>
    <n v="16"/>
    <n v="1465.4107191616692"/>
    <n v="1557.0505419345377"/>
    <n v="0.2323175649322797"/>
    <n v="91"/>
    <n v="76"/>
    <n v="0"/>
    <n v="15"/>
    <n v="1"/>
    <n v="0.46717174789416943"/>
    <n v="1"/>
    <n v="73.599999999999994"/>
    <n v="73.599999999999994"/>
    <n v="26.395870513342398"/>
    <n v="1491.8065896750115"/>
    <n v="1"/>
    <n v="0"/>
    <n v="0"/>
    <n v="0"/>
    <n v="0"/>
    <n v="0"/>
    <n v="0"/>
    <n v="0"/>
    <n v="0"/>
    <n v="0"/>
  </r>
  <r>
    <d v="2006-07-06T00:00:00"/>
    <n v="2006"/>
    <x v="16"/>
    <s v="R"/>
    <s v="RS"/>
    <x v="4"/>
    <s v="PHX"/>
    <s v="H"/>
    <n v="5"/>
    <n v="3"/>
    <n v="2"/>
    <n v="-2"/>
    <n v="16"/>
    <n v="-16"/>
    <n v="1557.0505419345377"/>
    <n v="1465.4107191616692"/>
    <n v="0.76768243506772038"/>
    <n v="76"/>
    <n v="91"/>
    <n v="0"/>
    <n v="-15"/>
    <n v="0"/>
    <n v="0.46717174789416943"/>
    <n v="1"/>
    <n v="73.45"/>
    <n v="73.45"/>
    <n v="-26.342074581589667"/>
    <n v="1530.708467352948"/>
    <n v="0"/>
    <n v="1"/>
    <n v="0"/>
    <n v="0"/>
    <n v="0"/>
    <n v="0"/>
    <n v="0"/>
    <n v="0"/>
    <n v="0"/>
    <n v="0"/>
  </r>
  <r>
    <d v="2006-07-06T00:00:00"/>
    <n v="2006"/>
    <x v="17"/>
    <s v="R"/>
    <s v="RS"/>
    <x v="7"/>
    <s v="NYL"/>
    <s v="A"/>
    <n v="3"/>
    <n v="5"/>
    <n v="-2"/>
    <n v="2"/>
    <n v="-16"/>
    <n v="16"/>
    <n v="1554.4245353605208"/>
    <n v="1410.0585854415233"/>
    <n v="0.54073142237591643"/>
    <n v="79"/>
    <n v="58"/>
    <n v="0"/>
    <n v="21"/>
    <n v="1"/>
    <n v="0.52537149380155079"/>
    <n v="1"/>
    <n v="73.3"/>
    <n v="73.3"/>
    <n v="17.686309149425657"/>
    <n v="1572.1108445099464"/>
    <n v="1"/>
    <n v="0"/>
    <n v="0"/>
    <n v="0"/>
    <n v="0"/>
    <n v="0"/>
    <n v="0"/>
    <n v="0"/>
    <n v="0"/>
    <n v="0"/>
  </r>
  <r>
    <d v="2006-07-06T00:00:00"/>
    <n v="2006"/>
    <x v="15"/>
    <s v="R"/>
    <s v="RS"/>
    <x v="2"/>
    <s v="SAC"/>
    <s v="H"/>
    <n v="5"/>
    <n v="3"/>
    <n v="2"/>
    <n v="-2"/>
    <n v="16"/>
    <n v="-16"/>
    <n v="1410.0585854415233"/>
    <n v="1554.4245353605208"/>
    <n v="0.45926857762408357"/>
    <n v="58"/>
    <n v="79"/>
    <n v="0"/>
    <n v="-21"/>
    <n v="0"/>
    <n v="0.52537149380155079"/>
    <n v="1"/>
    <n v="73.599999999999994"/>
    <n v="73.599999999999994"/>
    <n v="-17.758695135030401"/>
    <n v="1392.2998903064929"/>
    <n v="0"/>
    <n v="1"/>
    <n v="0"/>
    <n v="0"/>
    <n v="0"/>
    <n v="0"/>
    <n v="0"/>
    <n v="0"/>
    <n v="0"/>
    <n v="0"/>
  </r>
  <r>
    <d v="2006-07-07T00:00:00"/>
    <n v="2006"/>
    <x v="16"/>
    <s v="R"/>
    <s v="RS"/>
    <x v="2"/>
    <s v="CHI"/>
    <s v="A"/>
    <n v="0"/>
    <n v="5"/>
    <n v="-5"/>
    <n v="5"/>
    <n v="-16"/>
    <n v="16"/>
    <n v="1392.2998903064929"/>
    <n v="1355.868500933735"/>
    <n v="0.38745237849649422"/>
    <n v="73"/>
    <n v="78"/>
    <n v="0"/>
    <n v="-5"/>
    <n v="0"/>
    <n v="0.32198080214985259"/>
    <n v="1"/>
    <n v="73.45"/>
    <n v="73.45"/>
    <n v="-9.1630511189218016"/>
    <n v="1383.136839187571"/>
    <n v="0"/>
    <n v="1"/>
    <n v="0"/>
    <n v="0"/>
    <n v="0"/>
    <n v="0"/>
    <n v="0"/>
    <n v="0"/>
    <n v="0"/>
    <n v="0"/>
  </r>
  <r>
    <d v="2006-07-07T00:00:00"/>
    <n v="2006"/>
    <x v="16"/>
    <s v="R"/>
    <s v="RS"/>
    <x v="0"/>
    <s v="NYL"/>
    <s v="H"/>
    <n v="5"/>
    <n v="0"/>
    <n v="5"/>
    <n v="-5"/>
    <n v="16"/>
    <n v="-16"/>
    <n v="1355.868500933735"/>
    <n v="1392.2998903064929"/>
    <n v="0.61254762150350572"/>
    <n v="78"/>
    <n v="73"/>
    <n v="0"/>
    <n v="5"/>
    <n v="1"/>
    <n v="0.32198080214985259"/>
    <n v="1"/>
    <n v="73.45"/>
    <n v="73.45"/>
    <n v="9.1630511189218016"/>
    <n v="1365.0315520526569"/>
    <n v="1"/>
    <n v="0"/>
    <n v="0"/>
    <n v="0"/>
    <n v="0"/>
    <n v="0"/>
    <n v="0"/>
    <n v="0"/>
    <n v="0"/>
    <n v="0"/>
  </r>
  <r>
    <d v="2006-07-07T00:00:00"/>
    <n v="2006"/>
    <x v="18"/>
    <s v="R"/>
    <s v="RS"/>
    <x v="5"/>
    <s v="LAS"/>
    <s v="A"/>
    <n v="5"/>
    <n v="1"/>
    <n v="4"/>
    <n v="-4"/>
    <n v="16"/>
    <n v="-16"/>
    <n v="1571.0311977349613"/>
    <n v="1569.1154356321142"/>
    <n v="0.42841813506615406"/>
    <n v="60"/>
    <n v="72"/>
    <n v="0"/>
    <n v="-12"/>
    <n v="0"/>
    <n v="0.45540240751498862"/>
    <n v="1"/>
    <n v="73.150000000000006"/>
    <n v="73.150000000000006"/>
    <n v="-14.271758857171026"/>
    <n v="1556.7594388777902"/>
    <n v="0"/>
    <n v="1"/>
    <n v="0"/>
    <n v="0"/>
    <n v="0"/>
    <n v="0"/>
    <n v="0"/>
    <n v="0"/>
    <n v="0"/>
    <n v="0"/>
  </r>
  <r>
    <d v="2006-07-07T00:00:00"/>
    <n v="2006"/>
    <x v="19"/>
    <s v="R"/>
    <s v="RS"/>
    <x v="10"/>
    <s v="IND"/>
    <s v="H"/>
    <n v="1"/>
    <n v="5"/>
    <n v="-4"/>
    <n v="4"/>
    <n v="-16"/>
    <n v="16"/>
    <n v="1569.1154356321142"/>
    <n v="1571.0311977349613"/>
    <n v="0.57158186493384588"/>
    <n v="72"/>
    <n v="60"/>
    <n v="0"/>
    <n v="12"/>
    <n v="1"/>
    <n v="0.45540240751498862"/>
    <n v="1"/>
    <n v="73"/>
    <n v="73"/>
    <n v="14.242493459651193"/>
    <n v="1583.3579290917653"/>
    <n v="1"/>
    <n v="0"/>
    <n v="0"/>
    <n v="0"/>
    <n v="0"/>
    <n v="0"/>
    <n v="0"/>
    <n v="0"/>
    <n v="0"/>
    <n v="0"/>
  </r>
  <r>
    <d v="2006-07-07T00:00:00"/>
    <n v="2006"/>
    <x v="17"/>
    <s v="R"/>
    <s v="RS"/>
    <x v="4"/>
    <s v="MIN"/>
    <s v="A"/>
    <n v="0"/>
    <n v="1"/>
    <n v="-1"/>
    <n v="1"/>
    <n v="-8"/>
    <n v="8"/>
    <n v="1530.708467352948"/>
    <n v="1433.5518429789342"/>
    <n v="0.49590814489540042"/>
    <n v="92"/>
    <n v="80"/>
    <n v="0"/>
    <n v="12"/>
    <n v="1"/>
    <n v="0.42196549083345541"/>
    <n v="1"/>
    <n v="73.3"/>
    <n v="73.3"/>
    <n v="15.591596605817548"/>
    <n v="1546.3000639587656"/>
    <n v="1"/>
    <n v="0"/>
    <n v="0"/>
    <n v="0"/>
    <n v="0"/>
    <n v="0"/>
    <n v="0"/>
    <n v="0"/>
    <n v="0"/>
    <n v="0"/>
  </r>
  <r>
    <d v="2006-07-07T00:00:00"/>
    <n v="2006"/>
    <x v="17"/>
    <s v="R"/>
    <s v="RS"/>
    <x v="12"/>
    <s v="DET"/>
    <s v="H"/>
    <n v="1"/>
    <n v="0"/>
    <n v="1"/>
    <n v="-1"/>
    <n v="8"/>
    <n v="-8"/>
    <n v="1433.5518429789342"/>
    <n v="1530.708467352948"/>
    <n v="0.50409185510459964"/>
    <n v="80"/>
    <n v="92"/>
    <n v="0"/>
    <n v="-12"/>
    <n v="0"/>
    <n v="0.42196549083345541"/>
    <n v="1"/>
    <n v="73.3"/>
    <n v="73.3"/>
    <n v="-15.591596605817548"/>
    <n v="1417.9602463731167"/>
    <n v="0"/>
    <n v="1"/>
    <n v="0"/>
    <n v="0"/>
    <n v="0"/>
    <n v="0"/>
    <n v="0"/>
    <n v="0"/>
    <n v="0"/>
    <n v="0"/>
  </r>
  <r>
    <d v="2006-07-07T00:00:00"/>
    <n v="2006"/>
    <x v="19"/>
    <s v="R"/>
    <s v="RS"/>
    <x v="9"/>
    <s v="SAS"/>
    <s v="A"/>
    <n v="1"/>
    <n v="3"/>
    <n v="-2"/>
    <n v="2"/>
    <n v="-16"/>
    <n v="16"/>
    <n v="1563.3432971199697"/>
    <n v="1478.1436998248116"/>
    <n v="0.45579041035103263"/>
    <n v="75"/>
    <n v="94"/>
    <n v="0"/>
    <n v="-19"/>
    <n v="0"/>
    <n v="0.52378874743229409"/>
    <n v="1"/>
    <n v="73"/>
    <n v="73"/>
    <n v="-17.427865833447566"/>
    <n v="1545.9154312865221"/>
    <n v="0"/>
    <n v="1"/>
    <n v="0"/>
    <n v="0"/>
    <n v="0"/>
    <n v="0"/>
    <n v="0"/>
    <n v="0"/>
    <n v="0"/>
    <n v="0"/>
  </r>
  <r>
    <d v="2006-07-07T00:00:00"/>
    <n v="2006"/>
    <x v="17"/>
    <s v="R"/>
    <s v="RS"/>
    <x v="8"/>
    <s v="HOU"/>
    <s v="H"/>
    <n v="3"/>
    <n v="1"/>
    <n v="2"/>
    <n v="-2"/>
    <n v="16"/>
    <n v="-16"/>
    <n v="1478.1436998248116"/>
    <n v="1563.3432971199697"/>
    <n v="0.54420958964896737"/>
    <n v="94"/>
    <n v="75"/>
    <n v="0"/>
    <n v="19"/>
    <n v="1"/>
    <n v="0.52378874743229409"/>
    <n v="1"/>
    <n v="73.3"/>
    <n v="73.3"/>
    <n v="17.499487199886392"/>
    <n v="1495.6431870246979"/>
    <n v="1"/>
    <n v="0"/>
    <n v="0"/>
    <n v="0"/>
    <n v="0"/>
    <n v="0"/>
    <n v="0"/>
    <n v="0"/>
    <n v="0"/>
    <n v="0"/>
  </r>
  <r>
    <d v="2006-07-07T00:00:00"/>
    <n v="2006"/>
    <x v="18"/>
    <s v="R"/>
    <s v="RS"/>
    <x v="7"/>
    <s v="WAS"/>
    <s v="A"/>
    <n v="0"/>
    <n v="1"/>
    <n v="-1"/>
    <n v="1"/>
    <n v="-8"/>
    <n v="8"/>
    <n v="1572.1108445099464"/>
    <n v="1505.4732415003184"/>
    <n v="0.45213467884228942"/>
    <n v="73"/>
    <n v="60"/>
    <n v="0"/>
    <n v="13"/>
    <n v="1"/>
    <n v="0.44720960867655157"/>
    <n v="1"/>
    <n v="73.150000000000006"/>
    <n v="73.150000000000006"/>
    <n v="17.922528014797049"/>
    <n v="1590.0333725247435"/>
    <n v="1"/>
    <n v="0"/>
    <n v="0"/>
    <n v="0"/>
    <n v="0"/>
    <n v="0"/>
    <n v="0"/>
    <n v="0"/>
    <n v="0"/>
    <n v="0"/>
  </r>
  <r>
    <d v="2006-07-07T00:00:00"/>
    <n v="2006"/>
    <x v="18"/>
    <s v="R"/>
    <s v="RS"/>
    <x v="13"/>
    <s v="SAC"/>
    <s v="H"/>
    <n v="1"/>
    <n v="0"/>
    <n v="1"/>
    <n v="-1"/>
    <n v="8"/>
    <n v="-8"/>
    <n v="1505.4732415003184"/>
    <n v="1572.1108445099464"/>
    <n v="0.54786532115771069"/>
    <n v="60"/>
    <n v="73"/>
    <n v="0"/>
    <n v="-13"/>
    <n v="0"/>
    <n v="0.44720960867655157"/>
    <n v="1"/>
    <n v="73.150000000000006"/>
    <n v="73.150000000000006"/>
    <n v="-17.922528014797052"/>
    <n v="1487.5507134855213"/>
    <n v="0"/>
    <n v="1"/>
    <n v="0"/>
    <n v="0"/>
    <n v="0"/>
    <n v="0"/>
    <n v="0"/>
    <n v="0"/>
    <n v="0"/>
    <n v="0"/>
  </r>
  <r>
    <d v="2006-07-08T00:00:00"/>
    <n v="2006"/>
    <x v="16"/>
    <s v="R"/>
    <s v="RS"/>
    <x v="6"/>
    <s v="CON"/>
    <s v="A"/>
    <n v="1"/>
    <n v="1"/>
    <n v="0"/>
    <n v="0"/>
    <n v="0"/>
    <n v="0"/>
    <n v="1491.8065896750115"/>
    <n v="1634.7053518013463"/>
    <n v="0.21313443989342598"/>
    <n v="77"/>
    <n v="82"/>
    <n v="0"/>
    <n v="-5"/>
    <n v="0"/>
    <n v="0.29645359857442843"/>
    <n v="1"/>
    <n v="73.45"/>
    <n v="73.45"/>
    <n v="-4.6408994453771966"/>
    <n v="1487.1656902296343"/>
    <n v="0"/>
    <n v="1"/>
    <n v="0"/>
    <n v="0"/>
    <n v="0"/>
    <n v="0"/>
    <n v="0"/>
    <n v="0"/>
    <n v="0"/>
    <n v="0"/>
  </r>
  <r>
    <d v="2006-07-08T00:00:00"/>
    <n v="2006"/>
    <x v="18"/>
    <s v="R"/>
    <s v="RS"/>
    <x v="3"/>
    <s v="PHX"/>
    <s v="H"/>
    <n v="1"/>
    <n v="1"/>
    <n v="0"/>
    <n v="0"/>
    <n v="0"/>
    <n v="0"/>
    <n v="1634.7053518013463"/>
    <n v="1491.8065896750115"/>
    <n v="0.78686556010657394"/>
    <n v="82"/>
    <n v="77"/>
    <n v="0"/>
    <n v="5"/>
    <n v="1"/>
    <n v="0.29645359857442843"/>
    <n v="1"/>
    <n v="73.150000000000006"/>
    <n v="73.150000000000006"/>
    <n v="4.6219441038712334"/>
    <n v="1639.3272959052176"/>
    <n v="1"/>
    <n v="0"/>
    <n v="0"/>
    <n v="0"/>
    <n v="0"/>
    <n v="0"/>
    <n v="0"/>
    <n v="0"/>
    <n v="0"/>
    <n v="0"/>
  </r>
  <r>
    <d v="2006-07-08T00:00:00"/>
    <n v="2006"/>
    <x v="17"/>
    <s v="R"/>
    <s v="RS"/>
    <x v="1"/>
    <s v="LAS"/>
    <s v="A"/>
    <n v="1"/>
    <n v="0"/>
    <n v="1"/>
    <n v="-1"/>
    <n v="8"/>
    <n v="-8"/>
    <n v="1341.5855644865705"/>
    <n v="1583.3579290917653"/>
    <n v="0.14390930197733576"/>
    <n v="64"/>
    <n v="66"/>
    <n v="0"/>
    <n v="-2"/>
    <n v="0"/>
    <n v="0.22292672051570117"/>
    <n v="1"/>
    <n v="73.3"/>
    <n v="73.3"/>
    <n v="-2.3515540667527688"/>
    <n v="1339.2340104198179"/>
    <n v="0"/>
    <n v="1"/>
    <n v="0"/>
    <n v="0"/>
    <n v="0"/>
    <n v="0"/>
    <n v="0"/>
    <n v="0"/>
    <n v="0"/>
    <n v="0"/>
  </r>
  <r>
    <d v="2006-07-08T00:00:00"/>
    <n v="2006"/>
    <x v="20"/>
    <s v="R"/>
    <s v="RS"/>
    <x v="10"/>
    <s v="CHA"/>
    <s v="H"/>
    <n v="0"/>
    <n v="1"/>
    <n v="-1"/>
    <n v="1"/>
    <n v="-8"/>
    <n v="8"/>
    <n v="1583.3579290917653"/>
    <n v="1341.5855644865705"/>
    <n v="0.85609069802266435"/>
    <n v="66"/>
    <n v="64"/>
    <n v="0"/>
    <n v="2"/>
    <n v="1"/>
    <n v="0.22292672051570117"/>
    <n v="1"/>
    <n v="72.849999999999994"/>
    <n v="72.849999999999994"/>
    <n v="2.3371175138190869"/>
    <n v="1585.6950466055844"/>
    <n v="1"/>
    <n v="0"/>
    <n v="0"/>
    <n v="0"/>
    <n v="0"/>
    <n v="0"/>
    <n v="0"/>
    <n v="0"/>
    <n v="0"/>
    <n v="0"/>
  </r>
  <r>
    <d v="2006-07-09T00:00:00"/>
    <n v="2006"/>
    <x v="18"/>
    <s v="R"/>
    <s v="RS"/>
    <x v="4"/>
    <s v="HOU"/>
    <s v="A"/>
    <n v="1"/>
    <n v="1"/>
    <n v="0"/>
    <n v="0"/>
    <n v="0"/>
    <n v="0"/>
    <n v="1546.3000639587656"/>
    <n v="1545.9154312865221"/>
    <n v="0.3819384103682002"/>
    <n v="66"/>
    <n v="60"/>
    <n v="0"/>
    <n v="6"/>
    <n v="1"/>
    <n v="0.35116820212100103"/>
    <n v="1"/>
    <n v="73.150000000000006"/>
    <n v="73.150000000000006"/>
    <n v="15.876737674451094"/>
    <n v="1562.1768016332167"/>
    <n v="1"/>
    <n v="0"/>
    <n v="0"/>
    <n v="0"/>
    <n v="0"/>
    <n v="0"/>
    <n v="0"/>
    <n v="0"/>
    <n v="0"/>
    <n v="0"/>
  </r>
  <r>
    <d v="2006-07-09T00:00:00"/>
    <n v="2006"/>
    <x v="20"/>
    <s v="R"/>
    <s v="RS"/>
    <x v="9"/>
    <s v="DET"/>
    <s v="H"/>
    <n v="1"/>
    <n v="1"/>
    <n v="0"/>
    <n v="0"/>
    <n v="0"/>
    <n v="0"/>
    <n v="1545.9154312865221"/>
    <n v="1546.3000639587656"/>
    <n v="0.6180615896317998"/>
    <n v="60"/>
    <n v="66"/>
    <n v="0"/>
    <n v="-6"/>
    <n v="0"/>
    <n v="0.35116820212100103"/>
    <n v="1"/>
    <n v="72.849999999999994"/>
    <n v="72.849999999999994"/>
    <n v="-15.811624601281778"/>
    <n v="1530.1038066852402"/>
    <n v="0"/>
    <n v="1"/>
    <n v="0"/>
    <n v="0"/>
    <n v="0"/>
    <n v="0"/>
    <n v="0"/>
    <n v="0"/>
    <n v="0"/>
    <n v="0"/>
  </r>
  <r>
    <d v="2006-07-09T00:00:00"/>
    <n v="2006"/>
    <x v="18"/>
    <s v="R"/>
    <s v="RS"/>
    <x v="8"/>
    <s v="MIN"/>
    <s v="A"/>
    <n v="1"/>
    <n v="1"/>
    <n v="0"/>
    <n v="0"/>
    <n v="0"/>
    <n v="0"/>
    <n v="1495.6431870246979"/>
    <n v="1417.9602463731167"/>
    <n v="0.49091002246427001"/>
    <n v="80"/>
    <n v="85"/>
    <n v="0"/>
    <n v="-5"/>
    <n v="0"/>
    <n v="0.31158525944666221"/>
    <n v="1"/>
    <n v="73.150000000000006"/>
    <n v="73.150000000000006"/>
    <n v="-11.189047899165409"/>
    <n v="1484.4541391255325"/>
    <n v="0"/>
    <n v="1"/>
    <n v="0"/>
    <n v="0"/>
    <n v="0"/>
    <n v="0"/>
    <n v="0"/>
    <n v="0"/>
    <n v="0"/>
    <n v="0"/>
  </r>
  <r>
    <d v="2006-07-09T00:00:00"/>
    <n v="2006"/>
    <x v="18"/>
    <s v="R"/>
    <s v="RS"/>
    <x v="12"/>
    <s v="SAS"/>
    <s v="H"/>
    <n v="1"/>
    <n v="1"/>
    <n v="0"/>
    <n v="0"/>
    <n v="0"/>
    <n v="0"/>
    <n v="1417.9602463731167"/>
    <n v="1495.6431870246979"/>
    <n v="0.50908997753573004"/>
    <n v="85"/>
    <n v="80"/>
    <n v="0"/>
    <n v="5"/>
    <n v="1"/>
    <n v="0.31158525944666221"/>
    <n v="1"/>
    <n v="73.150000000000006"/>
    <n v="73.150000000000006"/>
    <n v="11.189047899165407"/>
    <n v="1429.1492942722821"/>
    <n v="1"/>
    <n v="0"/>
    <n v="0"/>
    <n v="0"/>
    <n v="0"/>
    <n v="0"/>
    <n v="0"/>
    <n v="0"/>
    <n v="0"/>
    <n v="0"/>
  </r>
  <r>
    <d v="2006-07-09T00:00:00"/>
    <n v="2006"/>
    <x v="17"/>
    <s v="R"/>
    <s v="RS"/>
    <x v="6"/>
    <s v="NYL"/>
    <s v="A"/>
    <n v="0"/>
    <n v="1"/>
    <n v="-1"/>
    <n v="1"/>
    <n v="-8"/>
    <n v="8"/>
    <n v="1487.1656902296343"/>
    <n v="1383.136839187571"/>
    <n v="0.50579772285558744"/>
    <n v="94"/>
    <n v="88"/>
    <n v="1"/>
    <n v="6"/>
    <n v="1"/>
    <n v="0.29093161679291213"/>
    <n v="1"/>
    <n v="73.3"/>
    <n v="73.3"/>
    <n v="10.539005648656191"/>
    <n v="1497.7046958782905"/>
    <n v="1"/>
    <n v="0"/>
    <n v="0"/>
    <n v="0"/>
    <n v="0"/>
    <n v="0"/>
    <n v="0"/>
    <n v="0"/>
    <n v="0"/>
    <n v="0"/>
  </r>
  <r>
    <d v="2006-07-09T00:00:00"/>
    <n v="2006"/>
    <x v="17"/>
    <s v="R"/>
    <s v="RS"/>
    <x v="2"/>
    <s v="PHX"/>
    <s v="H"/>
    <n v="1"/>
    <n v="0"/>
    <n v="1"/>
    <n v="-1"/>
    <n v="8"/>
    <n v="-8"/>
    <n v="1383.136839187571"/>
    <n v="1487.1656902296343"/>
    <n v="0.49420227714441256"/>
    <n v="88"/>
    <n v="94"/>
    <n v="1"/>
    <n v="-6"/>
    <n v="0"/>
    <n v="0.29093161679291213"/>
    <n v="1"/>
    <n v="73.3"/>
    <n v="73.3"/>
    <n v="-10.539005648656191"/>
    <n v="1372.5978335389148"/>
    <n v="0"/>
    <n v="1"/>
    <n v="0"/>
    <n v="0"/>
    <n v="0"/>
    <n v="0"/>
    <n v="0"/>
    <n v="0"/>
    <n v="0"/>
    <n v="0"/>
  </r>
  <r>
    <d v="2006-07-09T00:00:00"/>
    <n v="2006"/>
    <x v="18"/>
    <s v="R"/>
    <s v="RS"/>
    <x v="1"/>
    <s v="SAC"/>
    <s v="A"/>
    <n v="0"/>
    <n v="1"/>
    <n v="-1"/>
    <n v="1"/>
    <n v="-8"/>
    <n v="8"/>
    <n v="1339.2340104198179"/>
    <n v="1590.0333725247435"/>
    <n v="0.11718482707781111"/>
    <n v="61"/>
    <n v="70"/>
    <n v="0"/>
    <n v="-9"/>
    <n v="0"/>
    <n v="0.33579131980722382"/>
    <n v="1"/>
    <n v="73.150000000000006"/>
    <n v="73.150000000000006"/>
    <n v="-2.8784267326081592"/>
    <n v="1336.3555836872097"/>
    <n v="0"/>
    <n v="1"/>
    <n v="0"/>
    <n v="0"/>
    <n v="0"/>
    <n v="0"/>
    <n v="0"/>
    <n v="0"/>
    <n v="0"/>
    <n v="0"/>
  </r>
  <r>
    <d v="2006-07-09T00:00:00"/>
    <n v="2006"/>
    <x v="19"/>
    <s v="R"/>
    <s v="RS"/>
    <x v="7"/>
    <s v="CHA"/>
    <s v="H"/>
    <n v="1"/>
    <n v="0"/>
    <n v="1"/>
    <n v="-1"/>
    <n v="8"/>
    <n v="-8"/>
    <n v="1590.0333725247435"/>
    <n v="1339.2340104198179"/>
    <n v="0.88281517292218892"/>
    <n v="70"/>
    <n v="61"/>
    <n v="0"/>
    <n v="9"/>
    <n v="1"/>
    <n v="0.33579131980722382"/>
    <n v="1"/>
    <n v="73"/>
    <n v="73"/>
    <n v="2.8725242854462825"/>
    <n v="1592.9058968101899"/>
    <n v="1"/>
    <n v="0"/>
    <n v="0"/>
    <n v="0"/>
    <n v="0"/>
    <n v="0"/>
    <n v="0"/>
    <n v="0"/>
    <n v="0"/>
    <n v="0"/>
  </r>
  <r>
    <d v="2006-07-09T00:00:00"/>
    <n v="2006"/>
    <x v="19"/>
    <s v="R"/>
    <s v="RS"/>
    <x v="5"/>
    <s v="SEA"/>
    <s v="A"/>
    <n v="1"/>
    <n v="7"/>
    <n v="-6"/>
    <n v="6"/>
    <n v="-16"/>
    <n v="16"/>
    <n v="1556.7594388777902"/>
    <n v="1565.201471436598"/>
    <n v="0.32819814258234492"/>
    <n v="74"/>
    <n v="62"/>
    <n v="0"/>
    <n v="12"/>
    <n v="1"/>
    <n v="0.45294297694433461"/>
    <n v="1"/>
    <n v="73"/>
    <n v="73"/>
    <n v="22.213019124730486"/>
    <n v="1578.9724580025206"/>
    <n v="1"/>
    <n v="0"/>
    <n v="0"/>
    <n v="0"/>
    <n v="0"/>
    <n v="0"/>
    <n v="0"/>
    <n v="0"/>
    <n v="0"/>
    <n v="0"/>
  </r>
  <r>
    <d v="2006-07-09T00:00:00"/>
    <n v="2006"/>
    <x v="18"/>
    <s v="R"/>
    <s v="RS"/>
    <x v="11"/>
    <s v="IND"/>
    <s v="H"/>
    <n v="7"/>
    <n v="1"/>
    <n v="6"/>
    <n v="-6"/>
    <n v="16"/>
    <n v="-16"/>
    <n v="1565.201471436598"/>
    <n v="1556.7594388777902"/>
    <n v="0.67180185741765508"/>
    <n v="62"/>
    <n v="74"/>
    <n v="0"/>
    <n v="-12"/>
    <n v="0"/>
    <n v="0.45294297694433461"/>
    <n v="1"/>
    <n v="73.150000000000006"/>
    <n v="73.150000000000006"/>
    <n v="-22.258662314712812"/>
    <n v="1542.9428091218851"/>
    <n v="0"/>
    <n v="1"/>
    <n v="0"/>
    <n v="0"/>
    <n v="0"/>
    <n v="0"/>
    <n v="0"/>
    <n v="0"/>
    <n v="0"/>
    <n v="0"/>
  </r>
  <r>
    <d v="2006-07-09T00:00:00"/>
    <n v="2006"/>
    <x v="17"/>
    <s v="R"/>
    <s v="RS"/>
    <x v="0"/>
    <s v="WAS"/>
    <s v="A"/>
    <n v="1"/>
    <n v="1"/>
    <n v="0"/>
    <n v="0"/>
    <n v="0"/>
    <n v="0"/>
    <n v="1365.0315520526569"/>
    <n v="1487.5507134855213"/>
    <n v="0.23347006996680741"/>
    <n v="83"/>
    <n v="89"/>
    <n v="0"/>
    <n v="-6"/>
    <n v="0"/>
    <n v="0.31873784940286376"/>
    <n v="1"/>
    <n v="73.3"/>
    <n v="73.3"/>
    <n v="-5.4546743284847583"/>
    <n v="1359.5768777241722"/>
    <n v="0"/>
    <n v="1"/>
    <n v="0"/>
    <n v="0"/>
    <n v="0"/>
    <n v="0"/>
    <n v="0"/>
    <n v="0"/>
    <n v="0"/>
    <n v="0"/>
  </r>
  <r>
    <d v="2006-07-09T00:00:00"/>
    <n v="2006"/>
    <x v="19"/>
    <s v="R"/>
    <s v="RS"/>
    <x v="13"/>
    <s v="CHI"/>
    <s v="H"/>
    <n v="1"/>
    <n v="1"/>
    <n v="0"/>
    <n v="0"/>
    <n v="0"/>
    <n v="0"/>
    <n v="1487.5507134855213"/>
    <n v="1365.0315520526569"/>
    <n v="0.76652993003319259"/>
    <n v="89"/>
    <n v="83"/>
    <n v="0"/>
    <n v="6"/>
    <n v="1"/>
    <n v="0.31873784940286376"/>
    <n v="1"/>
    <n v="73"/>
    <n v="73"/>
    <n v="5.4323496040844121"/>
    <n v="1492.9830630896058"/>
    <n v="1"/>
    <n v="0"/>
    <n v="0"/>
    <n v="0"/>
    <n v="0"/>
    <n v="0"/>
    <n v="0"/>
    <n v="0"/>
    <n v="0"/>
    <n v="0"/>
  </r>
  <r>
    <d v="2006-07-14T00:00:00"/>
    <n v="2006"/>
    <x v="19"/>
    <s v="R"/>
    <s v="RS"/>
    <x v="8"/>
    <s v="CHA"/>
    <s v="A"/>
    <n v="4"/>
    <n v="4"/>
    <n v="0"/>
    <n v="0"/>
    <n v="0"/>
    <n v="0"/>
    <n v="1484.4541391255325"/>
    <n v="1336.3555836872097"/>
    <n v="0.59121271602877001"/>
    <n v="65"/>
    <n v="81"/>
    <n v="0"/>
    <n v="-16"/>
    <n v="0"/>
    <n v="0.4609034229949529"/>
    <n v="1"/>
    <n v="73"/>
    <n v="73"/>
    <n v="-19.891913411113631"/>
    <n v="1464.5622257144189"/>
    <n v="0"/>
    <n v="1"/>
    <n v="0"/>
    <n v="0"/>
    <n v="0"/>
    <n v="0"/>
    <n v="0"/>
    <n v="0"/>
    <n v="0"/>
    <n v="0"/>
  </r>
  <r>
    <d v="2006-07-14T00:00:00"/>
    <n v="2006"/>
    <x v="19"/>
    <s v="R"/>
    <s v="RS"/>
    <x v="1"/>
    <s v="SAS"/>
    <s v="H"/>
    <n v="4"/>
    <n v="4"/>
    <n v="0"/>
    <n v="0"/>
    <n v="0"/>
    <n v="0"/>
    <n v="1336.3555836872097"/>
    <n v="1484.4541391255325"/>
    <n v="0.40878728397122993"/>
    <n v="81"/>
    <n v="65"/>
    <n v="0"/>
    <n v="16"/>
    <n v="1"/>
    <n v="0.4609034229949529"/>
    <n v="1"/>
    <n v="73"/>
    <n v="73"/>
    <n v="19.891913411113634"/>
    <n v="1356.2474970983233"/>
    <n v="1"/>
    <n v="0"/>
    <n v="0"/>
    <n v="0"/>
    <n v="0"/>
    <n v="0"/>
    <n v="0"/>
    <n v="0"/>
    <n v="0"/>
    <n v="0"/>
  </r>
  <r>
    <d v="2006-07-14T00:00:00"/>
    <n v="2006"/>
    <x v="21"/>
    <s v="R"/>
    <s v="RS"/>
    <x v="9"/>
    <s v="CHI"/>
    <s v="A"/>
    <n v="4"/>
    <n v="4"/>
    <n v="0"/>
    <n v="0"/>
    <n v="0"/>
    <n v="0"/>
    <n v="1530.1038066852402"/>
    <n v="1359.5768777241722"/>
    <n v="0.62201014397967902"/>
    <n v="82"/>
    <n v="77"/>
    <n v="0"/>
    <n v="5"/>
    <n v="1"/>
    <n v="0.29047745224187865"/>
    <n v="1"/>
    <n v="72.7"/>
    <n v="72.7"/>
    <n v="7.9822804564491721"/>
    <n v="1538.0860871416894"/>
    <n v="1"/>
    <n v="0"/>
    <n v="0"/>
    <n v="0"/>
    <n v="0"/>
    <n v="0"/>
    <n v="0"/>
    <n v="0"/>
    <n v="0"/>
    <n v="0"/>
  </r>
  <r>
    <d v="2006-07-14T00:00:00"/>
    <n v="2006"/>
    <x v="18"/>
    <s v="R"/>
    <s v="RS"/>
    <x v="0"/>
    <s v="HOU"/>
    <s v="H"/>
    <n v="4"/>
    <n v="4"/>
    <n v="0"/>
    <n v="0"/>
    <n v="0"/>
    <n v="0"/>
    <n v="1359.5768777241722"/>
    <n v="1530.1038066852402"/>
    <n v="0.37798985602032104"/>
    <n v="77"/>
    <n v="82"/>
    <n v="0"/>
    <n v="-5"/>
    <n v="0"/>
    <n v="0.29047745224187865"/>
    <n v="1"/>
    <n v="73.150000000000006"/>
    <n v="73.150000000000006"/>
    <n v="-8.0316893451066989"/>
    <n v="1351.5451883790654"/>
    <n v="0"/>
    <n v="1"/>
    <n v="0"/>
    <n v="0"/>
    <n v="0"/>
    <n v="0"/>
    <n v="0"/>
    <n v="0"/>
    <n v="0"/>
    <n v="0"/>
  </r>
  <r>
    <d v="2006-07-14T00:00:00"/>
    <n v="2006"/>
    <x v="21"/>
    <s v="R"/>
    <s v="RS"/>
    <x v="10"/>
    <s v="PHX"/>
    <s v="A"/>
    <n v="5"/>
    <n v="4"/>
    <n v="1"/>
    <n v="-1"/>
    <n v="8"/>
    <n v="-8"/>
    <n v="1585.6950466055844"/>
    <n v="1497.7046958782905"/>
    <n v="0.52873672336426325"/>
    <n v="95"/>
    <n v="85"/>
    <n v="0"/>
    <n v="10"/>
    <n v="1"/>
    <n v="0.39422317015964026"/>
    <n v="1"/>
    <n v="72.7"/>
    <n v="72.7"/>
    <n v="13.506417040478109"/>
    <n v="1599.2014636460624"/>
    <n v="1"/>
    <n v="0"/>
    <n v="0"/>
    <n v="0"/>
    <n v="0"/>
    <n v="0"/>
    <n v="0"/>
    <n v="0"/>
    <n v="0"/>
    <n v="0"/>
  </r>
  <r>
    <d v="2006-07-14T00:00:00"/>
    <n v="2006"/>
    <x v="18"/>
    <s v="R"/>
    <s v="RS"/>
    <x v="6"/>
    <s v="LAS"/>
    <s v="H"/>
    <n v="4"/>
    <n v="5"/>
    <n v="-1"/>
    <n v="1"/>
    <n v="-8"/>
    <n v="8"/>
    <n v="1497.7046958782905"/>
    <n v="1585.6950466055844"/>
    <n v="0.47126327663573681"/>
    <n v="85"/>
    <n v="95"/>
    <n v="0"/>
    <n v="-10"/>
    <n v="0"/>
    <n v="0.39422317015964026"/>
    <n v="1"/>
    <n v="73.150000000000006"/>
    <n v="73.150000000000006"/>
    <n v="-13.590019346780933"/>
    <n v="1484.1146765315095"/>
    <n v="0"/>
    <n v="1"/>
    <n v="0"/>
    <n v="0"/>
    <n v="0"/>
    <n v="0"/>
    <n v="0"/>
    <n v="0"/>
    <n v="0"/>
    <n v="0"/>
  </r>
  <r>
    <d v="2006-07-14T00:00:00"/>
    <n v="2006"/>
    <x v="18"/>
    <s v="R"/>
    <s v="RS"/>
    <x v="2"/>
    <s v="SEA"/>
    <s v="A"/>
    <n v="4"/>
    <n v="4"/>
    <n v="0"/>
    <n v="0"/>
    <n v="0"/>
    <n v="0"/>
    <n v="1372.5978335389148"/>
    <n v="1542.9428091218851"/>
    <n v="0.1878368658013112"/>
    <n v="66"/>
    <n v="86"/>
    <n v="0"/>
    <n v="-20"/>
    <n v="0"/>
    <n v="0.50342420559985335"/>
    <n v="1"/>
    <n v="73.150000000000006"/>
    <n v="73.150000000000006"/>
    <n v="-6.9171828649748281"/>
    <n v="1365.6806506739399"/>
    <n v="0"/>
    <n v="1"/>
    <n v="0"/>
    <n v="0"/>
    <n v="0"/>
    <n v="0"/>
    <n v="0"/>
    <n v="0"/>
    <n v="0"/>
    <n v="0"/>
  </r>
  <r>
    <d v="2006-07-14T00:00:00"/>
    <n v="2006"/>
    <x v="19"/>
    <s v="R"/>
    <s v="RS"/>
    <x v="11"/>
    <s v="NYL"/>
    <s v="H"/>
    <n v="4"/>
    <n v="4"/>
    <n v="0"/>
    <n v="0"/>
    <n v="0"/>
    <n v="0"/>
    <n v="1542.9428091218851"/>
    <n v="1372.5978335389148"/>
    <n v="0.8121631341986888"/>
    <n v="86"/>
    <n v="66"/>
    <n v="0"/>
    <n v="20"/>
    <n v="1"/>
    <n v="0.50342420559985335"/>
    <n v="1"/>
    <n v="73"/>
    <n v="73"/>
    <n v="6.9029986212325678"/>
    <n v="1549.8458077431178"/>
    <n v="1"/>
    <n v="0"/>
    <n v="0"/>
    <n v="0"/>
    <n v="0"/>
    <n v="0"/>
    <n v="0"/>
    <n v="0"/>
    <n v="0"/>
    <n v="0"/>
  </r>
  <r>
    <d v="2006-07-15T00:00:00"/>
    <n v="2006"/>
    <x v="20"/>
    <s v="R"/>
    <s v="RS"/>
    <x v="5"/>
    <s v="CHA"/>
    <s v="A"/>
    <n v="5"/>
    <n v="0"/>
    <n v="5"/>
    <n v="-5"/>
    <n v="16"/>
    <n v="-16"/>
    <n v="1578.9724580025206"/>
    <n v="1356.2474970983233"/>
    <n v="0.72765787055122944"/>
    <n v="65"/>
    <n v="75"/>
    <n v="0"/>
    <n v="-10"/>
    <n v="0"/>
    <n v="0.35688952759783044"/>
    <n v="1"/>
    <n v="72.849999999999994"/>
    <n v="72.849999999999994"/>
    <n v="-18.918669557141538"/>
    <n v="1560.053788445379"/>
    <n v="0"/>
    <n v="1"/>
    <n v="0"/>
    <n v="0"/>
    <n v="0"/>
    <n v="0"/>
    <n v="0"/>
    <n v="0"/>
    <n v="0"/>
    <n v="0"/>
  </r>
  <r>
    <d v="2006-07-15T00:00:00"/>
    <n v="2006"/>
    <x v="20"/>
    <s v="R"/>
    <s v="RS"/>
    <x v="1"/>
    <s v="IND"/>
    <s v="H"/>
    <n v="0"/>
    <n v="5"/>
    <n v="-5"/>
    <n v="5"/>
    <n v="-16"/>
    <n v="16"/>
    <n v="1356.2474970983233"/>
    <n v="1578.9724580025206"/>
    <n v="0.27234212944877068"/>
    <n v="75"/>
    <n v="65"/>
    <n v="0"/>
    <n v="10"/>
    <n v="1"/>
    <n v="0.35688952759783044"/>
    <n v="1"/>
    <n v="72.849999999999994"/>
    <n v="72.849999999999994"/>
    <n v="18.918669557141538"/>
    <n v="1375.1661666554648"/>
    <n v="1"/>
    <n v="0"/>
    <n v="0"/>
    <n v="0"/>
    <n v="0"/>
    <n v="0"/>
    <n v="0"/>
    <n v="0"/>
    <n v="0"/>
    <n v="0"/>
  </r>
  <r>
    <d v="2006-07-15T00:00:00"/>
    <n v="2006"/>
    <x v="19"/>
    <s v="R"/>
    <s v="RS"/>
    <x v="3"/>
    <s v="SAC"/>
    <s v="A"/>
    <n v="6"/>
    <n v="5"/>
    <n v="1"/>
    <n v="-1"/>
    <n v="8"/>
    <n v="-8"/>
    <n v="1639.3272959052176"/>
    <n v="1592.9058968101899"/>
    <n v="0.4689857651719081"/>
    <n v="63"/>
    <n v="69"/>
    <n v="0"/>
    <n v="-6"/>
    <n v="0"/>
    <n v="0.33819775046805967"/>
    <n v="1"/>
    <n v="73"/>
    <n v="73"/>
    <n v="-11.578524947135714"/>
    <n v="1627.7487709580819"/>
    <n v="0"/>
    <n v="1"/>
    <n v="0"/>
    <n v="0"/>
    <n v="0"/>
    <n v="0"/>
    <n v="0"/>
    <n v="0"/>
    <n v="0"/>
    <n v="0"/>
  </r>
  <r>
    <d v="2006-07-15T00:00:00"/>
    <n v="2006"/>
    <x v="20"/>
    <s v="R"/>
    <s v="RS"/>
    <x v="7"/>
    <s v="CON"/>
    <s v="H"/>
    <n v="5"/>
    <n v="6"/>
    <n v="-1"/>
    <n v="1"/>
    <n v="-8"/>
    <n v="8"/>
    <n v="1592.9058968101899"/>
    <n v="1639.3272959052176"/>
    <n v="0.53101423482809196"/>
    <n v="69"/>
    <n v="63"/>
    <n v="0"/>
    <n v="6"/>
    <n v="1"/>
    <n v="0.33819775046805967"/>
    <n v="1"/>
    <n v="72.849999999999994"/>
    <n v="72.849999999999994"/>
    <n v="11.55473345751831"/>
    <n v="1604.4606302677082"/>
    <n v="1"/>
    <n v="0"/>
    <n v="0"/>
    <n v="0"/>
    <n v="0"/>
    <n v="0"/>
    <n v="0"/>
    <n v="0"/>
    <n v="0"/>
    <n v="0"/>
  </r>
  <r>
    <d v="2006-07-16T00:00:00"/>
    <n v="2006"/>
    <x v="20"/>
    <s v="R"/>
    <s v="RS"/>
    <x v="13"/>
    <s v="CHI"/>
    <s v="A"/>
    <n v="6"/>
    <n v="1"/>
    <n v="5"/>
    <n v="-5"/>
    <n v="16"/>
    <n v="-16"/>
    <n v="1492.9830630896058"/>
    <n v="1351.5451883790654"/>
    <n v="0.6259417525618528"/>
    <n v="83"/>
    <n v="75"/>
    <n v="0"/>
    <n v="8"/>
    <n v="1"/>
    <n v="0.34737251034018768"/>
    <n v="1"/>
    <n v="72.849999999999994"/>
    <n v="72.849999999999994"/>
    <n v="9.4659506942370317"/>
    <n v="1502.4490137838429"/>
    <n v="1"/>
    <n v="0"/>
    <n v="0"/>
    <n v="0"/>
    <n v="0"/>
    <n v="0"/>
    <n v="0"/>
    <n v="0"/>
    <n v="0"/>
    <n v="0"/>
  </r>
  <r>
    <d v="2006-07-16T00:00:00"/>
    <n v="2006"/>
    <x v="19"/>
    <s v="R"/>
    <s v="RS"/>
    <x v="0"/>
    <s v="WAS"/>
    <s v="H"/>
    <n v="1"/>
    <n v="6"/>
    <n v="-5"/>
    <n v="5"/>
    <n v="-16"/>
    <n v="16"/>
    <n v="1351.5451883790654"/>
    <n v="1492.9830630896058"/>
    <n v="0.37405824743814714"/>
    <n v="75"/>
    <n v="83"/>
    <n v="0"/>
    <n v="-8"/>
    <n v="0"/>
    <n v="0.34737251034018768"/>
    <n v="1"/>
    <n v="73"/>
    <n v="73"/>
    <n v="-9.4854413271009381"/>
    <n v="1342.0597470519645"/>
    <n v="0"/>
    <n v="1"/>
    <n v="0"/>
    <n v="0"/>
    <n v="0"/>
    <n v="0"/>
    <n v="0"/>
    <n v="0"/>
    <n v="0"/>
    <n v="0"/>
  </r>
  <r>
    <d v="2006-07-16T00:00:00"/>
    <n v="2006"/>
    <x v="20"/>
    <s v="R"/>
    <s v="RS"/>
    <x v="8"/>
    <s v="DET"/>
    <s v="A"/>
    <n v="1"/>
    <n v="6"/>
    <n v="-5"/>
    <n v="5"/>
    <n v="-16"/>
    <n v="16"/>
    <n v="1464.5622257144189"/>
    <n v="1562.1768016332167"/>
    <n v="0.22624017853666412"/>
    <n v="67"/>
    <n v="77"/>
    <n v="0"/>
    <n v="-10"/>
    <n v="0"/>
    <n v="0.39129927223514416"/>
    <n v="1"/>
    <n v="72.849999999999994"/>
    <n v="72.849999999999994"/>
    <n v="-6.4492369138756773"/>
    <n v="1458.1129888005432"/>
    <n v="0"/>
    <n v="1"/>
    <n v="0"/>
    <n v="0"/>
    <n v="0"/>
    <n v="0"/>
    <n v="0"/>
    <n v="0"/>
    <n v="0"/>
    <n v="0"/>
  </r>
  <r>
    <d v="2006-07-16T00:00:00"/>
    <n v="2006"/>
    <x v="19"/>
    <s v="R"/>
    <s v="RS"/>
    <x v="4"/>
    <s v="SAS"/>
    <s v="H"/>
    <n v="6"/>
    <n v="1"/>
    <n v="5"/>
    <n v="-5"/>
    <n v="16"/>
    <n v="-16"/>
    <n v="1562.1768016332167"/>
    <n v="1464.5622257144189"/>
    <n v="0.77375982146333599"/>
    <n v="77"/>
    <n v="67"/>
    <n v="0"/>
    <n v="10"/>
    <n v="1"/>
    <n v="0.39129927223514416"/>
    <n v="1"/>
    <n v="73"/>
    <n v="73"/>
    <n v="6.4625160564574369"/>
    <n v="1568.639317689674"/>
    <n v="1"/>
    <n v="0"/>
    <n v="0"/>
    <n v="0"/>
    <n v="0"/>
    <n v="0"/>
    <n v="0"/>
    <n v="0"/>
    <n v="0"/>
    <n v="0"/>
  </r>
  <r>
    <d v="2006-07-16T00:00:00"/>
    <n v="2006"/>
    <x v="22"/>
    <s v="R"/>
    <s v="RS"/>
    <x v="9"/>
    <s v="IND"/>
    <s v="A"/>
    <n v="1"/>
    <n v="0"/>
    <n v="1"/>
    <n v="-1"/>
    <n v="8"/>
    <n v="-8"/>
    <n v="1538.0860871416894"/>
    <n v="1560.053788445379"/>
    <n v="0.37334441630797638"/>
    <n v="56"/>
    <n v="60"/>
    <n v="0"/>
    <n v="-4"/>
    <n v="0"/>
    <n v="0.30583400975814873"/>
    <n v="1"/>
    <n v="72.55"/>
    <n v="72.55"/>
    <n v="-8.2838620108636025"/>
    <n v="1529.8022251308257"/>
    <n v="0"/>
    <n v="1"/>
    <n v="0"/>
    <n v="0"/>
    <n v="0"/>
    <n v="0"/>
    <n v="0"/>
    <n v="0"/>
    <n v="0"/>
    <n v="0"/>
  </r>
  <r>
    <d v="2006-07-16T00:00:00"/>
    <n v="2006"/>
    <x v="21"/>
    <s v="R"/>
    <s v="RS"/>
    <x v="5"/>
    <s v="HOU"/>
    <s v="H"/>
    <n v="0"/>
    <n v="1"/>
    <n v="-1"/>
    <n v="1"/>
    <n v="-8"/>
    <n v="8"/>
    <n v="1560.053788445379"/>
    <n v="1538.0860871416894"/>
    <n v="0.62665558369202357"/>
    <n v="60"/>
    <n v="56"/>
    <n v="0"/>
    <n v="4"/>
    <n v="1"/>
    <n v="0.30583400975814873"/>
    <n v="1"/>
    <n v="72.7"/>
    <n v="72.7"/>
    <n v="8.300989223842647"/>
    <n v="1568.3547776692217"/>
    <n v="1"/>
    <n v="0"/>
    <n v="0"/>
    <n v="0"/>
    <n v="0"/>
    <n v="0"/>
    <n v="0"/>
    <n v="0"/>
    <n v="0"/>
    <n v="0"/>
  </r>
  <r>
    <d v="2006-07-16T00:00:00"/>
    <n v="2006"/>
    <x v="22"/>
    <s v="R"/>
    <s v="RS"/>
    <x v="10"/>
    <s v="MIN"/>
    <s v="A"/>
    <n v="1"/>
    <n v="6"/>
    <n v="-5"/>
    <n v="5"/>
    <n v="-16"/>
    <n v="16"/>
    <n v="1599.2014636460624"/>
    <n v="1429.1492942722821"/>
    <n v="0.57716576706831368"/>
    <n v="90"/>
    <n v="78"/>
    <n v="0"/>
    <n v="12"/>
    <n v="1"/>
    <n v="0.39951422575538315"/>
    <n v="1"/>
    <n v="72.55"/>
    <n v="72.55"/>
    <n v="12.255747526021242"/>
    <n v="1611.4572111720836"/>
    <n v="1"/>
    <n v="0"/>
    <n v="0"/>
    <n v="0"/>
    <n v="0"/>
    <n v="0"/>
    <n v="0"/>
    <n v="0"/>
    <n v="0"/>
    <n v="0"/>
  </r>
  <r>
    <d v="2006-07-16T00:00:00"/>
    <n v="2006"/>
    <x v="19"/>
    <s v="R"/>
    <s v="RS"/>
    <x v="12"/>
    <s v="LAS"/>
    <s v="H"/>
    <n v="6"/>
    <n v="1"/>
    <n v="5"/>
    <n v="-5"/>
    <n v="16"/>
    <n v="-16"/>
    <n v="1429.1492942722821"/>
    <n v="1599.2014636460624"/>
    <n v="0.42283423293168632"/>
    <n v="78"/>
    <n v="90"/>
    <n v="0"/>
    <n v="-12"/>
    <n v="0"/>
    <n v="0.39951422575538315"/>
    <n v="1"/>
    <n v="73"/>
    <n v="73"/>
    <n v="-12.331765257057901"/>
    <n v="1416.8175290152242"/>
    <n v="0"/>
    <n v="1"/>
    <n v="0"/>
    <n v="0"/>
    <n v="0"/>
    <n v="0"/>
    <n v="0"/>
    <n v="0"/>
    <n v="0"/>
    <n v="0"/>
  </r>
  <r>
    <d v="2006-07-16T00:00:00"/>
    <n v="2006"/>
    <x v="19"/>
    <s v="R"/>
    <s v="RS"/>
    <x v="2"/>
    <s v="PHX"/>
    <s v="A"/>
    <n v="1"/>
    <n v="1"/>
    <n v="0"/>
    <n v="0"/>
    <n v="0"/>
    <n v="0"/>
    <n v="1365.6806506739399"/>
    <n v="1484.1146765315095"/>
    <n v="0.23770487047302422"/>
    <n v="70"/>
    <n v="80"/>
    <n v="0"/>
    <n v="-10"/>
    <n v="0"/>
    <n v="0.38512024814322682"/>
    <n v="1"/>
    <n v="73"/>
    <n v="73"/>
    <n v="-6.6827819852040014"/>
    <n v="1358.9978686887359"/>
    <n v="0"/>
    <n v="1"/>
    <n v="0"/>
    <n v="0"/>
    <n v="0"/>
    <n v="0"/>
    <n v="0"/>
    <n v="0"/>
    <n v="0"/>
    <n v="0"/>
  </r>
  <r>
    <d v="2006-07-16T00:00:00"/>
    <n v="2006"/>
    <x v="19"/>
    <s v="R"/>
    <s v="RS"/>
    <x v="6"/>
    <s v="NYL"/>
    <s v="H"/>
    <n v="1"/>
    <n v="1"/>
    <n v="0"/>
    <n v="0"/>
    <n v="0"/>
    <n v="0"/>
    <n v="1484.1146765315095"/>
    <n v="1365.6806506739399"/>
    <n v="0.76229512952697576"/>
    <n v="80"/>
    <n v="70"/>
    <n v="0"/>
    <n v="10"/>
    <n v="1"/>
    <n v="0.38512024814322682"/>
    <n v="1"/>
    <n v="73"/>
    <n v="73"/>
    <n v="6.6827819852040014"/>
    <n v="1490.7974585167135"/>
    <n v="1"/>
    <n v="0"/>
    <n v="0"/>
    <n v="0"/>
    <n v="0"/>
    <n v="0"/>
    <n v="0"/>
    <n v="0"/>
    <n v="0"/>
    <n v="0"/>
  </r>
  <r>
    <d v="2006-07-16T00:00:00"/>
    <n v="2006"/>
    <x v="20"/>
    <s v="R"/>
    <s v="RS"/>
    <x v="3"/>
    <s v="SEA"/>
    <s v="A"/>
    <n v="0"/>
    <n v="1"/>
    <n v="-1"/>
    <n v="1"/>
    <n v="-8"/>
    <n v="8"/>
    <n v="1627.7487709580819"/>
    <n v="1549.8458077431178"/>
    <n v="0.46824261590323413"/>
    <n v="92"/>
    <n v="83"/>
    <n v="0"/>
    <n v="9"/>
    <n v="1"/>
    <n v="0.38122286793284649"/>
    <n v="1"/>
    <n v="72.849999999999994"/>
    <n v="72.849999999999994"/>
    <n v="14.768011764466646"/>
    <n v="1642.5167827225484"/>
    <n v="1"/>
    <n v="0"/>
    <n v="0"/>
    <n v="0"/>
    <n v="0"/>
    <n v="0"/>
    <n v="0"/>
    <n v="0"/>
    <n v="0"/>
    <n v="0"/>
  </r>
  <r>
    <d v="2006-07-16T00:00:00"/>
    <n v="2006"/>
    <x v="20"/>
    <s v="R"/>
    <s v="RS"/>
    <x v="11"/>
    <s v="CON"/>
    <s v="H"/>
    <n v="1"/>
    <n v="0"/>
    <n v="1"/>
    <n v="-1"/>
    <n v="8"/>
    <n v="-8"/>
    <n v="1549.8458077431178"/>
    <n v="1627.7487709580819"/>
    <n v="0.53175738409676587"/>
    <n v="83"/>
    <n v="92"/>
    <n v="0"/>
    <n v="-9"/>
    <n v="0"/>
    <n v="0.38122286793284649"/>
    <n v="1"/>
    <n v="72.849999999999994"/>
    <n v="72.849999999999994"/>
    <n v="-14.768011764466646"/>
    <n v="1535.0777959786512"/>
    <n v="0"/>
    <n v="1"/>
    <n v="0"/>
    <n v="0"/>
    <n v="0"/>
    <n v="0"/>
    <n v="0"/>
    <n v="0"/>
    <n v="0"/>
    <n v="0"/>
  </r>
  <r>
    <d v="2006-07-18T00:00:00"/>
    <n v="2006"/>
    <x v="20"/>
    <s v="R"/>
    <s v="RS"/>
    <x v="6"/>
    <s v="IND"/>
    <s v="A"/>
    <n v="1"/>
    <n v="1"/>
    <n v="0"/>
    <n v="0"/>
    <n v="0"/>
    <n v="0"/>
    <n v="1490.7974585167135"/>
    <n v="1568.3547776692217"/>
    <n v="0.28292498091441304"/>
    <n v="65"/>
    <n v="71"/>
    <n v="0"/>
    <n v="-6"/>
    <n v="0"/>
    <n v="0.32995538203234942"/>
    <n v="1"/>
    <n v="72.849999999999994"/>
    <n v="72.849999999999994"/>
    <n v="-6.8007383789554359"/>
    <n v="1483.9967201377581"/>
    <n v="0"/>
    <n v="1"/>
    <n v="0"/>
    <n v="0"/>
    <n v="0"/>
    <n v="0"/>
    <n v="0"/>
    <n v="0"/>
    <n v="0"/>
    <n v="0"/>
  </r>
  <r>
    <d v="2006-07-18T00:00:00"/>
    <n v="2006"/>
    <x v="22"/>
    <s v="R"/>
    <s v="RS"/>
    <x v="5"/>
    <s v="PHX"/>
    <s v="H"/>
    <n v="1"/>
    <n v="1"/>
    <n v="0"/>
    <n v="0"/>
    <n v="0"/>
    <n v="0"/>
    <n v="1568.3547776692217"/>
    <n v="1490.7974585167135"/>
    <n v="0.71707501908558691"/>
    <n v="71"/>
    <n v="65"/>
    <n v="0"/>
    <n v="6"/>
    <n v="1"/>
    <n v="0.32995538203234942"/>
    <n v="1"/>
    <n v="72.55"/>
    <n v="72.55"/>
    <n v="6.7727325929062046"/>
    <n v="1575.1275102621278"/>
    <n v="1"/>
    <n v="0"/>
    <n v="0"/>
    <n v="0"/>
    <n v="0"/>
    <n v="0"/>
    <n v="0"/>
    <n v="0"/>
    <n v="0"/>
    <n v="0"/>
  </r>
  <r>
    <d v="2006-07-18T00:00:00"/>
    <n v="2006"/>
    <x v="20"/>
    <s v="R"/>
    <s v="RS"/>
    <x v="2"/>
    <s v="LAS"/>
    <s v="A"/>
    <n v="1"/>
    <n v="1"/>
    <n v="0"/>
    <n v="0"/>
    <n v="0"/>
    <n v="0"/>
    <n v="1358.9978686887359"/>
    <n v="1611.4572111720836"/>
    <n v="0.12599810617696008"/>
    <n v="62"/>
    <n v="70"/>
    <n v="0"/>
    <n v="-8"/>
    <n v="0"/>
    <n v="0.32082043770457486"/>
    <n v="1"/>
    <n v="72.849999999999994"/>
    <n v="72.849999999999994"/>
    <n v="-2.9447986177396617"/>
    <n v="1356.0530700709962"/>
    <n v="0"/>
    <n v="1"/>
    <n v="0"/>
    <n v="0"/>
    <n v="0"/>
    <n v="0"/>
    <n v="0"/>
    <n v="0"/>
    <n v="0"/>
    <n v="0"/>
  </r>
  <r>
    <d v="2006-07-18T00:00:00"/>
    <n v="2006"/>
    <x v="23"/>
    <s v="R"/>
    <s v="RS"/>
    <x v="10"/>
    <s v="NYL"/>
    <s v="H"/>
    <n v="1"/>
    <n v="1"/>
    <n v="0"/>
    <n v="0"/>
    <n v="0"/>
    <n v="0"/>
    <n v="1611.4572111720836"/>
    <n v="1358.9978686887359"/>
    <n v="0.87400189382303983"/>
    <n v="70"/>
    <n v="62"/>
    <n v="0"/>
    <n v="8"/>
    <n v="1"/>
    <n v="0.32082043770457486"/>
    <n v="1"/>
    <n v="72.400000000000006"/>
    <n v="72.400000000000006"/>
    <n v="2.9266083723315259"/>
    <n v="1614.383819544415"/>
    <n v="1"/>
    <n v="0"/>
    <n v="0"/>
    <n v="0"/>
    <n v="0"/>
    <n v="0"/>
    <n v="0"/>
    <n v="0"/>
    <n v="0"/>
    <n v="0"/>
  </r>
  <r>
    <d v="2006-07-18T00:00:00"/>
    <n v="2006"/>
    <x v="23"/>
    <s v="R"/>
    <s v="RS"/>
    <x v="9"/>
    <s v="SAS"/>
    <s v="A"/>
    <n v="1"/>
    <n v="1"/>
    <n v="0"/>
    <n v="0"/>
    <n v="0"/>
    <n v="0"/>
    <n v="1529.8022251308257"/>
    <n v="1458.1129888005432"/>
    <n v="0.4822907976923872"/>
    <n v="64"/>
    <n v="67"/>
    <n v="0"/>
    <n v="-3"/>
    <n v="0"/>
    <n v="0.27382493723333684"/>
    <n v="1"/>
    <n v="72.400000000000006"/>
    <n v="72.400000000000006"/>
    <n v="-9.5613791122185727"/>
    <n v="1520.240846018607"/>
    <n v="0"/>
    <n v="1"/>
    <n v="0"/>
    <n v="0"/>
    <n v="0"/>
    <n v="0"/>
    <n v="0"/>
    <n v="0"/>
    <n v="0"/>
    <n v="0"/>
  </r>
  <r>
    <d v="2006-07-18T00:00:00"/>
    <n v="2006"/>
    <x v="21"/>
    <s v="R"/>
    <s v="RS"/>
    <x v="8"/>
    <s v="HOU"/>
    <s v="H"/>
    <n v="1"/>
    <n v="1"/>
    <n v="0"/>
    <n v="0"/>
    <n v="0"/>
    <n v="0"/>
    <n v="1458.1129888005432"/>
    <n v="1529.8022251308257"/>
    <n v="0.51770920230761286"/>
    <n v="67"/>
    <n v="64"/>
    <n v="0"/>
    <n v="3"/>
    <n v="1"/>
    <n v="0.27382493723333684"/>
    <n v="1"/>
    <n v="72.7"/>
    <n v="72.7"/>
    <n v="9.6009980864404714"/>
    <n v="1467.7139868869838"/>
    <n v="1"/>
    <n v="0"/>
    <n v="0"/>
    <n v="0"/>
    <n v="0"/>
    <n v="0"/>
    <n v="0"/>
    <n v="0"/>
    <n v="0"/>
    <n v="0"/>
  </r>
  <r>
    <d v="2006-07-18T00:00:00"/>
    <n v="2006"/>
    <x v="21"/>
    <s v="R"/>
    <s v="RS"/>
    <x v="7"/>
    <s v="SEA"/>
    <s v="A"/>
    <n v="2"/>
    <n v="1"/>
    <n v="1"/>
    <n v="-1"/>
    <n v="8"/>
    <n v="-8"/>
    <n v="1604.4606302677082"/>
    <n v="1535.0777959786512"/>
    <n v="0.5019900480042141"/>
    <n v="74"/>
    <n v="61"/>
    <n v="0"/>
    <n v="13"/>
    <n v="1"/>
    <n v="0.44624245064271256"/>
    <n v="1"/>
    <n v="72.7"/>
    <n v="72.7"/>
    <n v="16.1563522894564"/>
    <n v="1620.6169825571646"/>
    <n v="1"/>
    <n v="0"/>
    <n v="0"/>
    <n v="0"/>
    <n v="0"/>
    <n v="0"/>
    <n v="0"/>
    <n v="0"/>
    <n v="0"/>
    <n v="0"/>
  </r>
  <r>
    <d v="2006-07-18T00:00:00"/>
    <n v="2006"/>
    <x v="21"/>
    <s v="R"/>
    <s v="RS"/>
    <x v="11"/>
    <s v="SAC"/>
    <s v="H"/>
    <n v="1"/>
    <n v="2"/>
    <n v="-1"/>
    <n v="1"/>
    <n v="-8"/>
    <n v="8"/>
    <n v="1535.0777959786512"/>
    <n v="1604.4606302677082"/>
    <n v="0.4980099519957859"/>
    <n v="61"/>
    <n v="74"/>
    <n v="0"/>
    <n v="-13"/>
    <n v="0"/>
    <n v="0.44624245064271256"/>
    <n v="1"/>
    <n v="72.7"/>
    <n v="72.7"/>
    <n v="-16.1563522894564"/>
    <n v="1518.9214436891948"/>
    <n v="0"/>
    <n v="1"/>
    <n v="0"/>
    <n v="0"/>
    <n v="0"/>
    <n v="0"/>
    <n v="0"/>
    <n v="0"/>
    <n v="0"/>
    <n v="0"/>
  </r>
  <r>
    <d v="2006-07-19T00:00:00"/>
    <n v="2006"/>
    <x v="21"/>
    <s v="R"/>
    <s v="RS"/>
    <x v="1"/>
    <s v="DET"/>
    <s v="A"/>
    <n v="3"/>
    <n v="2"/>
    <n v="1"/>
    <n v="-1"/>
    <n v="8"/>
    <n v="-8"/>
    <n v="1375.1661666554648"/>
    <n v="1568.639317689674"/>
    <n v="0.18165712205902546"/>
    <n v="73"/>
    <n v="67"/>
    <n v="0"/>
    <n v="6"/>
    <n v="1"/>
    <n v="0.30250809855671301"/>
    <n v="1"/>
    <n v="72.7"/>
    <n v="72.7"/>
    <n v="17.997273797662725"/>
    <n v="1393.1634404531276"/>
    <n v="1"/>
    <n v="0"/>
    <n v="0"/>
    <n v="0"/>
    <n v="0"/>
    <n v="0"/>
    <n v="0"/>
    <n v="0"/>
    <n v="0"/>
    <n v="0"/>
  </r>
  <r>
    <d v="2006-07-19T00:00:00"/>
    <n v="2006"/>
    <x v="20"/>
    <s v="R"/>
    <s v="RS"/>
    <x v="4"/>
    <s v="CHA"/>
    <s v="H"/>
    <n v="2"/>
    <n v="3"/>
    <n v="-1"/>
    <n v="1"/>
    <n v="-8"/>
    <n v="8"/>
    <n v="1568.639317689674"/>
    <n v="1375.1661666554648"/>
    <n v="0.8183428779409746"/>
    <n v="67"/>
    <n v="73"/>
    <n v="0"/>
    <n v="-6"/>
    <n v="0"/>
    <n v="0.30250809855671301"/>
    <n v="1"/>
    <n v="72.849999999999994"/>
    <n v="72.849999999999994"/>
    <n v="-18.034407099858729"/>
    <n v="1550.6049105898153"/>
    <n v="0"/>
    <n v="1"/>
    <n v="0"/>
    <n v="0"/>
    <n v="0"/>
    <n v="0"/>
    <n v="0"/>
    <n v="0"/>
    <n v="0"/>
    <n v="0"/>
  </r>
  <r>
    <d v="2006-07-19T00:00:00"/>
    <n v="2006"/>
    <x v="20"/>
    <s v="R"/>
    <s v="RS"/>
    <x v="0"/>
    <s v="MIN"/>
    <s v="A"/>
    <n v="2"/>
    <n v="2"/>
    <n v="0"/>
    <n v="0"/>
    <n v="0"/>
    <n v="0"/>
    <n v="1342.0597470519645"/>
    <n v="1416.8175290152242"/>
    <n v="0.28620586081133226"/>
    <n v="82"/>
    <n v="90"/>
    <n v="0"/>
    <n v="-8"/>
    <n v="0"/>
    <n v="0.36554288869368651"/>
    <n v="1"/>
    <n v="72.849999999999994"/>
    <n v="72.849999999999994"/>
    <n v="-7.6216046723404354"/>
    <n v="1334.438142379624"/>
    <n v="0"/>
    <n v="1"/>
    <n v="0"/>
    <n v="0"/>
    <n v="0"/>
    <n v="0"/>
    <n v="0"/>
    <n v="0"/>
    <n v="0"/>
    <n v="0"/>
  </r>
  <r>
    <d v="2006-07-19T00:00:00"/>
    <n v="2006"/>
    <x v="20"/>
    <s v="R"/>
    <s v="RS"/>
    <x v="12"/>
    <s v="CHI"/>
    <s v="H"/>
    <n v="2"/>
    <n v="2"/>
    <n v="0"/>
    <n v="0"/>
    <n v="0"/>
    <n v="0"/>
    <n v="1416.8175290152242"/>
    <n v="1342.0597470519645"/>
    <n v="0.71379413918866774"/>
    <n v="90"/>
    <n v="82"/>
    <n v="0"/>
    <n v="8"/>
    <n v="1"/>
    <n v="0.36554288869368651"/>
    <n v="1"/>
    <n v="72.849999999999994"/>
    <n v="72.849999999999994"/>
    <n v="7.6216046723404354"/>
    <n v="1424.4391336875647"/>
    <n v="1"/>
    <n v="0"/>
    <n v="0"/>
    <n v="0"/>
    <n v="0"/>
    <n v="0"/>
    <n v="0"/>
    <n v="0"/>
    <n v="0"/>
    <n v="0"/>
  </r>
  <r>
    <d v="2006-07-19T00:00:00"/>
    <n v="2006"/>
    <x v="21"/>
    <s v="R"/>
    <s v="RS"/>
    <x v="6"/>
    <s v="WAS"/>
    <s v="A"/>
    <n v="0"/>
    <n v="2"/>
    <n v="-2"/>
    <n v="2"/>
    <n v="-16"/>
    <n v="16"/>
    <n v="1483.9967201377581"/>
    <n v="1502.4490137838429"/>
    <n v="0.31562102449140272"/>
    <n v="96"/>
    <n v="83"/>
    <n v="0"/>
    <n v="13"/>
    <n v="1"/>
    <n v="0.46489510482342655"/>
    <n v="1"/>
    <n v="72.7"/>
    <n v="72.7"/>
    <n v="23.130554465067952"/>
    <n v="1507.127274602826"/>
    <n v="1"/>
    <n v="0"/>
    <n v="0"/>
    <n v="0"/>
    <n v="0"/>
    <n v="0"/>
    <n v="0"/>
    <n v="0"/>
    <n v="0"/>
    <n v="0"/>
  </r>
  <r>
    <d v="2006-07-19T00:00:00"/>
    <n v="2006"/>
    <x v="21"/>
    <s v="R"/>
    <s v="RS"/>
    <x v="13"/>
    <s v="PHX"/>
    <s v="H"/>
    <n v="2"/>
    <n v="0"/>
    <n v="2"/>
    <n v="-2"/>
    <n v="16"/>
    <n v="-16"/>
    <n v="1502.4490137838429"/>
    <n v="1483.9967201377581"/>
    <n v="0.68437897550859728"/>
    <n v="83"/>
    <n v="96"/>
    <n v="0"/>
    <n v="-13"/>
    <n v="0"/>
    <n v="0.46489510482342655"/>
    <n v="1"/>
    <n v="72.7"/>
    <n v="72.7"/>
    <n v="-23.130554465067952"/>
    <n v="1479.318459318775"/>
    <n v="0"/>
    <n v="1"/>
    <n v="0"/>
    <n v="0"/>
    <n v="0"/>
    <n v="0"/>
    <n v="0"/>
    <n v="0"/>
    <n v="0"/>
    <n v="0"/>
  </r>
  <r>
    <d v="2006-07-20T00:00:00"/>
    <n v="2006"/>
    <x v="22"/>
    <s v="R"/>
    <s v="RS"/>
    <x v="11"/>
    <s v="CHA"/>
    <s v="A"/>
    <n v="1"/>
    <n v="0"/>
    <n v="1"/>
    <n v="-1"/>
    <n v="8"/>
    <n v="-8"/>
    <n v="1518.9214436891948"/>
    <n v="1393.1634404531276"/>
    <n v="0.5823631125271278"/>
    <n v="72"/>
    <n v="86"/>
    <n v="0"/>
    <n v="-14"/>
    <n v="0"/>
    <n v="0.44135484968800309"/>
    <n v="1"/>
    <n v="72.55"/>
    <n v="72.55"/>
    <n v="-18.647438278710151"/>
    <n v="1500.2740054104847"/>
    <n v="0"/>
    <n v="1"/>
    <n v="0"/>
    <n v="0"/>
    <n v="0"/>
    <n v="0"/>
    <n v="0"/>
    <n v="0"/>
    <n v="0"/>
    <n v="0"/>
  </r>
  <r>
    <d v="2006-07-20T00:00:00"/>
    <n v="2006"/>
    <x v="22"/>
    <s v="R"/>
    <s v="RS"/>
    <x v="1"/>
    <s v="SEA"/>
    <s v="H"/>
    <n v="0"/>
    <n v="1"/>
    <n v="-1"/>
    <n v="1"/>
    <n v="-8"/>
    <n v="8"/>
    <n v="1393.1634404531276"/>
    <n v="1518.9214436891948"/>
    <n v="0.41763688747287225"/>
    <n v="86"/>
    <n v="72"/>
    <n v="0"/>
    <n v="14"/>
    <n v="1"/>
    <n v="0.44135484968800309"/>
    <n v="1"/>
    <n v="72.55"/>
    <n v="72.55"/>
    <n v="18.647438278710151"/>
    <n v="1411.8108787318376"/>
    <n v="1"/>
    <n v="0"/>
    <n v="0"/>
    <n v="0"/>
    <n v="0"/>
    <n v="0"/>
    <n v="0"/>
    <n v="0"/>
    <n v="0"/>
    <n v="0"/>
  </r>
  <r>
    <d v="2006-07-20T00:00:00"/>
    <n v="2006"/>
    <x v="21"/>
    <s v="R"/>
    <s v="RS"/>
    <x v="0"/>
    <s v="CON"/>
    <s v="A"/>
    <n v="0"/>
    <n v="3"/>
    <n v="-3"/>
    <n v="3"/>
    <n v="-16"/>
    <n v="16"/>
    <n v="1334.438142379624"/>
    <n v="1642.5167827225484"/>
    <n v="8.0084986376181444E-2"/>
    <n v="72"/>
    <n v="86"/>
    <n v="0"/>
    <n v="-14"/>
    <n v="0"/>
    <n v="0.38799682495858961"/>
    <n v="1"/>
    <n v="72.7"/>
    <n v="72.7"/>
    <n v="-2.2589867760469091"/>
    <n v="1332.1791556035771"/>
    <n v="0"/>
    <n v="1"/>
    <n v="0"/>
    <n v="0"/>
    <n v="0"/>
    <n v="0"/>
    <n v="0"/>
    <n v="0"/>
    <n v="0"/>
    <n v="0"/>
  </r>
  <r>
    <d v="2006-07-20T00:00:00"/>
    <n v="2006"/>
    <x v="21"/>
    <s v="R"/>
    <s v="RS"/>
    <x v="3"/>
    <s v="CHI"/>
    <s v="H"/>
    <n v="3"/>
    <n v="0"/>
    <n v="3"/>
    <n v="-3"/>
    <n v="16"/>
    <n v="-16"/>
    <n v="1642.5167827225484"/>
    <n v="1334.438142379624"/>
    <n v="0.91991501362381844"/>
    <n v="86"/>
    <n v="72"/>
    <n v="0"/>
    <n v="14"/>
    <n v="1"/>
    <n v="0.38799682495858961"/>
    <n v="1"/>
    <n v="72.7"/>
    <n v="72.7"/>
    <n v="2.2589867760469122"/>
    <n v="1644.7757694985953"/>
    <n v="1"/>
    <n v="0"/>
    <n v="0"/>
    <n v="0"/>
    <n v="0"/>
    <n v="0"/>
    <n v="0"/>
    <n v="0"/>
    <n v="0"/>
    <n v="0"/>
  </r>
  <r>
    <d v="2006-07-20T00:00:00"/>
    <n v="2006"/>
    <x v="21"/>
    <s v="R"/>
    <s v="RS"/>
    <x v="12"/>
    <s v="HOU"/>
    <s v="A"/>
    <n v="0"/>
    <n v="1"/>
    <n v="-1"/>
    <n v="1"/>
    <n v="-8"/>
    <n v="8"/>
    <n v="1424.4391336875647"/>
    <n v="1520.240846018607"/>
    <n v="0.24469201409607472"/>
    <n v="55"/>
    <n v="78"/>
    <n v="0"/>
    <n v="-23"/>
    <n v="0"/>
    <n v="0.56984437977473479"/>
    <n v="1"/>
    <n v="72.7"/>
    <n v="72.7"/>
    <n v="-10.137024026911288"/>
    <n v="1414.3021096606533"/>
    <n v="0"/>
    <n v="1"/>
    <n v="0"/>
    <n v="0"/>
    <n v="0"/>
    <n v="0"/>
    <n v="0"/>
    <n v="0"/>
    <n v="0"/>
    <n v="0"/>
  </r>
  <r>
    <d v="2006-07-20T00:00:00"/>
    <n v="2006"/>
    <x v="24"/>
    <s v="R"/>
    <s v="RS"/>
    <x v="9"/>
    <s v="MIN"/>
    <s v="H"/>
    <n v="1"/>
    <n v="0"/>
    <n v="1"/>
    <n v="-1"/>
    <n v="8"/>
    <n v="-8"/>
    <n v="1520.240846018607"/>
    <n v="1424.4391336875647"/>
    <n v="0.75530798590392534"/>
    <n v="78"/>
    <n v="55"/>
    <n v="0"/>
    <n v="23"/>
    <n v="1"/>
    <n v="0.56984437977473479"/>
    <n v="1"/>
    <n v="72.25"/>
    <n v="72.25"/>
    <n v="10.074277660857502"/>
    <n v="1530.3151236794645"/>
    <n v="1"/>
    <n v="0"/>
    <n v="0"/>
    <n v="0"/>
    <n v="0"/>
    <n v="0"/>
    <n v="0"/>
    <n v="0"/>
    <n v="0"/>
    <n v="0"/>
  </r>
  <r>
    <d v="2006-07-20T00:00:00"/>
    <n v="2006"/>
    <x v="21"/>
    <s v="R"/>
    <s v="RS"/>
    <x v="2"/>
    <s v="SAC"/>
    <s v="A"/>
    <n v="1"/>
    <n v="1"/>
    <n v="0"/>
    <n v="0"/>
    <n v="0"/>
    <n v="0"/>
    <n v="1356.0530700709962"/>
    <n v="1620.6169825571646"/>
    <n v="0.11852265553746061"/>
    <n v="62"/>
    <n v="71"/>
    <n v="0"/>
    <n v="-9"/>
    <n v="0"/>
    <n v="0.3326354202936106"/>
    <n v="1"/>
    <n v="72.7"/>
    <n v="72.7"/>
    <n v="-2.8661853837466116"/>
    <n v="1353.1868846872496"/>
    <n v="0"/>
    <n v="1"/>
    <n v="0"/>
    <n v="0"/>
    <n v="0"/>
    <n v="0"/>
    <n v="0"/>
    <n v="0"/>
    <n v="0"/>
    <n v="0"/>
  </r>
  <r>
    <d v="2006-07-20T00:00:00"/>
    <n v="2006"/>
    <x v="22"/>
    <s v="R"/>
    <s v="RS"/>
    <x v="7"/>
    <s v="NYL"/>
    <s v="H"/>
    <n v="1"/>
    <n v="1"/>
    <n v="0"/>
    <n v="0"/>
    <n v="0"/>
    <n v="0"/>
    <n v="1620.6169825571646"/>
    <n v="1356.0530700709962"/>
    <n v="0.88147734446253945"/>
    <n v="71"/>
    <n v="62"/>
    <n v="0"/>
    <n v="9"/>
    <n v="1"/>
    <n v="0.3326354202936106"/>
    <n v="1"/>
    <n v="72.55"/>
    <n v="72.55"/>
    <n v="2.8602716587457575"/>
    <n v="1623.4772542159103"/>
    <n v="1"/>
    <n v="0"/>
    <n v="0"/>
    <n v="0"/>
    <n v="0"/>
    <n v="0"/>
    <n v="0"/>
    <n v="0"/>
    <n v="0"/>
    <n v="0"/>
  </r>
  <r>
    <d v="2006-07-21T00:00:00"/>
    <n v="2006"/>
    <x v="24"/>
    <s v="R"/>
    <s v="RS"/>
    <x v="10"/>
    <s v="DET"/>
    <s v="A"/>
    <n v="2"/>
    <n v="1"/>
    <n v="1"/>
    <n v="-1"/>
    <n v="8"/>
    <n v="-8"/>
    <n v="1614.383819544415"/>
    <n v="1550.6049105898153"/>
    <n v="0.49392566054121023"/>
    <n v="59"/>
    <n v="73"/>
    <n v="0"/>
    <n v="-14"/>
    <n v="0"/>
    <n v="0.46300007073621913"/>
    <n v="1"/>
    <n v="72.25"/>
    <n v="72.25"/>
    <n v="-16.522680239311271"/>
    <n v="1597.8611393051037"/>
    <n v="0"/>
    <n v="1"/>
    <n v="0"/>
    <n v="0"/>
    <n v="0"/>
    <n v="0"/>
    <n v="0"/>
    <n v="0"/>
    <n v="0"/>
    <n v="0"/>
  </r>
  <r>
    <d v="2006-07-21T00:00:00"/>
    <n v="2006"/>
    <x v="21"/>
    <s v="R"/>
    <s v="RS"/>
    <x v="4"/>
    <s v="LAS"/>
    <s v="H"/>
    <n v="1"/>
    <n v="2"/>
    <n v="-1"/>
    <n v="1"/>
    <n v="-8"/>
    <n v="8"/>
    <n v="1550.6049105898153"/>
    <n v="1614.383819544415"/>
    <n v="0.50607433945878988"/>
    <n v="73"/>
    <n v="59"/>
    <n v="0"/>
    <n v="14"/>
    <n v="1"/>
    <n v="0.46300007073621913"/>
    <n v="1"/>
    <n v="72.7"/>
    <n v="72.7"/>
    <n v="16.625589666407318"/>
    <n v="1567.2305002562225"/>
    <n v="1"/>
    <n v="0"/>
    <n v="0"/>
    <n v="0"/>
    <n v="0"/>
    <n v="0"/>
    <n v="0"/>
    <n v="0"/>
    <n v="0"/>
    <n v="0"/>
  </r>
  <r>
    <d v="2006-07-21T00:00:00"/>
    <n v="2006"/>
    <x v="22"/>
    <s v="R"/>
    <s v="RS"/>
    <x v="13"/>
    <s v="SAS"/>
    <s v="A"/>
    <n v="1"/>
    <n v="2"/>
    <n v="-1"/>
    <n v="1"/>
    <n v="-8"/>
    <n v="8"/>
    <n v="1479.318459318775"/>
    <n v="1467.7139868869838"/>
    <n v="0.37546419214612509"/>
    <n v="80"/>
    <n v="77"/>
    <n v="0"/>
    <n v="3"/>
    <n v="1"/>
    <n v="0.28740420924622589"/>
    <n v="1"/>
    <n v="72.55"/>
    <n v="72.55"/>
    <n v="13.022305661159306"/>
    <n v="1492.3407649799344"/>
    <n v="1"/>
    <n v="0"/>
    <n v="0"/>
    <n v="0"/>
    <n v="0"/>
    <n v="0"/>
    <n v="0"/>
    <n v="0"/>
    <n v="0"/>
    <n v="0"/>
  </r>
  <r>
    <d v="2006-07-21T00:00:00"/>
    <n v="2006"/>
    <x v="22"/>
    <s v="R"/>
    <s v="RS"/>
    <x v="8"/>
    <s v="WAS"/>
    <s v="H"/>
    <n v="2"/>
    <n v="1"/>
    <n v="1"/>
    <n v="-1"/>
    <n v="8"/>
    <n v="-8"/>
    <n v="1467.7139868869838"/>
    <n v="1479.318459318775"/>
    <n v="0.62453580785387497"/>
    <n v="77"/>
    <n v="80"/>
    <n v="0"/>
    <n v="-3"/>
    <n v="0"/>
    <n v="0.28740420924622589"/>
    <n v="1"/>
    <n v="72.55"/>
    <n v="72.55"/>
    <n v="-13.022305661159306"/>
    <n v="1454.6916812258244"/>
    <n v="0"/>
    <n v="1"/>
    <n v="0"/>
    <n v="0"/>
    <n v="0"/>
    <n v="0"/>
    <n v="0"/>
    <n v="0"/>
    <n v="0"/>
    <n v="0"/>
  </r>
  <r>
    <d v="2006-07-22T00:00:00"/>
    <n v="2006"/>
    <x v="22"/>
    <s v="R"/>
    <s v="RS"/>
    <x v="6"/>
    <s v="CHA"/>
    <s v="A"/>
    <n v="2"/>
    <n v="1"/>
    <n v="1"/>
    <n v="-1"/>
    <n v="8"/>
    <n v="-8"/>
    <n v="1507.127274602826"/>
    <n v="1411.8108787318376"/>
    <n v="0.53923065143493876"/>
    <n v="78"/>
    <n v="74"/>
    <n v="0"/>
    <n v="4"/>
    <n v="1"/>
    <n v="0.28851582754293886"/>
    <n v="1"/>
    <n v="72.55"/>
    <n v="72.55"/>
    <n v="9.644742580801422"/>
    <n v="1516.7720171836274"/>
    <n v="1"/>
    <n v="0"/>
    <n v="0"/>
    <n v="0"/>
    <n v="0"/>
    <n v="0"/>
    <n v="0"/>
    <n v="0"/>
    <n v="0"/>
    <n v="0"/>
  </r>
  <r>
    <d v="2006-07-22T00:00:00"/>
    <n v="2006"/>
    <x v="23"/>
    <s v="R"/>
    <s v="RS"/>
    <x v="1"/>
    <s v="PHX"/>
    <s v="H"/>
    <n v="1"/>
    <n v="2"/>
    <n v="-1"/>
    <n v="1"/>
    <n v="-8"/>
    <n v="8"/>
    <n v="1411.8108787318376"/>
    <n v="1507.127274602826"/>
    <n v="0.4607693485650613"/>
    <n v="74"/>
    <n v="78"/>
    <n v="0"/>
    <n v="-4"/>
    <n v="0"/>
    <n v="0.28851582754293886"/>
    <n v="1"/>
    <n v="72.400000000000006"/>
    <n v="72.400000000000006"/>
    <n v="-9.6248016933152734"/>
    <n v="1402.1860770385224"/>
    <n v="0"/>
    <n v="1"/>
    <n v="0"/>
    <n v="0"/>
    <n v="0"/>
    <n v="0"/>
    <n v="0"/>
    <n v="0"/>
    <n v="0"/>
    <n v="0"/>
  </r>
  <r>
    <d v="2006-07-22T00:00:00"/>
    <n v="2006"/>
    <x v="22"/>
    <s v="R"/>
    <s v="RS"/>
    <x v="0"/>
    <s v="DET"/>
    <s v="A"/>
    <n v="1"/>
    <n v="0"/>
    <n v="1"/>
    <n v="-1"/>
    <n v="8"/>
    <n v="-8"/>
    <n v="1332.1791556035771"/>
    <n v="1567.2305002562225"/>
    <n v="0.1487417749210731"/>
    <n v="70"/>
    <n v="89"/>
    <n v="0"/>
    <n v="-19"/>
    <n v="0"/>
    <n v="0.46909338106690629"/>
    <n v="1"/>
    <n v="72.55"/>
    <n v="72.55"/>
    <n v="-5.062087891617554"/>
    <n v="1327.1170677119596"/>
    <n v="0"/>
    <n v="1"/>
    <n v="0"/>
    <n v="0"/>
    <n v="0"/>
    <n v="0"/>
    <n v="0"/>
    <n v="0"/>
    <n v="0"/>
    <n v="0"/>
  </r>
  <r>
    <d v="2006-07-22T00:00:00"/>
    <n v="2006"/>
    <x v="22"/>
    <s v="R"/>
    <s v="RS"/>
    <x v="4"/>
    <s v="CHI"/>
    <s v="H"/>
    <n v="0"/>
    <n v="1"/>
    <n v="-1"/>
    <n v="1"/>
    <n v="-8"/>
    <n v="8"/>
    <n v="1567.2305002562225"/>
    <n v="1332.1791556035771"/>
    <n v="0.8512582250789269"/>
    <n v="89"/>
    <n v="70"/>
    <n v="0"/>
    <n v="19"/>
    <n v="1"/>
    <n v="0.46909338106690629"/>
    <n v="1"/>
    <n v="72.55"/>
    <n v="72.55"/>
    <n v="5.062087891617554"/>
    <n v="1572.29258814784"/>
    <n v="1"/>
    <n v="0"/>
    <n v="0"/>
    <n v="0"/>
    <n v="0"/>
    <n v="0"/>
    <n v="0"/>
    <n v="0"/>
    <n v="0"/>
    <n v="0"/>
  </r>
  <r>
    <d v="2006-07-22T00:00:00"/>
    <n v="2006"/>
    <x v="25"/>
    <s v="R"/>
    <s v="RS"/>
    <x v="10"/>
    <s v="IND"/>
    <s v="A"/>
    <n v="0"/>
    <n v="3"/>
    <n v="-3"/>
    <n v="3"/>
    <n v="-16"/>
    <n v="16"/>
    <n v="1597.8611393051037"/>
    <n v="1575.1275102621278"/>
    <n v="0.36891265006136381"/>
    <n v="73"/>
    <n v="68"/>
    <n v="0"/>
    <n v="5"/>
    <n v="1"/>
    <n v="0.3255878149561427"/>
    <n v="1"/>
    <n v="72.099999999999994"/>
    <n v="72.099999999999994"/>
    <n v="14.814700729666086"/>
    <n v="1612.6758400347699"/>
    <n v="1"/>
    <n v="0"/>
    <n v="0"/>
    <n v="0"/>
    <n v="0"/>
    <n v="0"/>
    <n v="0"/>
    <n v="0"/>
    <n v="0"/>
    <n v="0"/>
  </r>
  <r>
    <d v="2006-07-22T00:00:00"/>
    <n v="2006"/>
    <x v="23"/>
    <s v="R"/>
    <s v="RS"/>
    <x v="5"/>
    <s v="LAS"/>
    <s v="H"/>
    <n v="3"/>
    <n v="0"/>
    <n v="3"/>
    <n v="-3"/>
    <n v="16"/>
    <n v="-16"/>
    <n v="1575.1275102621278"/>
    <n v="1597.8611393051037"/>
    <n v="0.63108734993863613"/>
    <n v="68"/>
    <n v="73"/>
    <n v="0"/>
    <n v="-5"/>
    <n v="0"/>
    <n v="0.3255878149561427"/>
    <n v="1"/>
    <n v="72.400000000000006"/>
    <n v="72.400000000000006"/>
    <n v="-14.87634303505998"/>
    <n v="1560.2511672270678"/>
    <n v="0"/>
    <n v="1"/>
    <n v="0"/>
    <n v="0"/>
    <n v="0"/>
    <n v="0"/>
    <n v="0"/>
    <n v="0"/>
    <n v="0"/>
    <n v="0"/>
  </r>
  <r>
    <d v="2006-07-22T00:00:00"/>
    <n v="2006"/>
    <x v="23"/>
    <s v="R"/>
    <s v="RS"/>
    <x v="7"/>
    <s v="MIN"/>
    <s v="A"/>
    <n v="1"/>
    <n v="1"/>
    <n v="0"/>
    <n v="0"/>
    <n v="0"/>
    <n v="0"/>
    <n v="1623.4772542159103"/>
    <n v="1414.3021096606533"/>
    <n v="0.67273165398335288"/>
    <n v="86"/>
    <n v="59"/>
    <n v="0"/>
    <n v="27"/>
    <n v="1"/>
    <n v="0.56770799789580728"/>
    <n v="1"/>
    <n v="72.400000000000006"/>
    <n v="72.400000000000006"/>
    <n v="13.451402882405093"/>
    <n v="1636.9286570983154"/>
    <n v="1"/>
    <n v="0"/>
    <n v="0"/>
    <n v="0"/>
    <n v="0"/>
    <n v="0"/>
    <n v="0"/>
    <n v="0"/>
    <n v="0"/>
    <n v="0"/>
  </r>
  <r>
    <d v="2006-07-22T00:00:00"/>
    <n v="2006"/>
    <x v="22"/>
    <s v="R"/>
    <s v="RS"/>
    <x v="12"/>
    <s v="SAC"/>
    <s v="H"/>
    <n v="1"/>
    <n v="1"/>
    <n v="0"/>
    <n v="0"/>
    <n v="0"/>
    <n v="0"/>
    <n v="1414.3021096606533"/>
    <n v="1623.4772542159103"/>
    <n v="0.32726834601664717"/>
    <n v="59"/>
    <n v="86"/>
    <n v="0"/>
    <n v="-27"/>
    <n v="0"/>
    <n v="0.56770799789580728"/>
    <n v="1"/>
    <n v="72.55"/>
    <n v="72.55"/>
    <n v="-13.479271811028861"/>
    <n v="1400.8228378496244"/>
    <n v="0"/>
    <n v="1"/>
    <n v="0"/>
    <n v="0"/>
    <n v="0"/>
    <n v="0"/>
    <n v="0"/>
    <n v="0"/>
    <n v="0"/>
    <n v="0"/>
  </r>
  <r>
    <d v="2006-07-22T00:00:00"/>
    <n v="2006"/>
    <x v="23"/>
    <s v="R"/>
    <s v="RS"/>
    <x v="11"/>
    <s v="NYL"/>
    <s v="A"/>
    <n v="1"/>
    <n v="1"/>
    <n v="0"/>
    <n v="0"/>
    <n v="0"/>
    <n v="0"/>
    <n v="1500.2740054104847"/>
    <n v="1353.1868846872496"/>
    <n v="0.58980484079119888"/>
    <n v="91"/>
    <n v="54"/>
    <n v="0"/>
    <n v="37"/>
    <n v="1"/>
    <n v="0.69912348351743003"/>
    <n v="1"/>
    <n v="72.400000000000006"/>
    <n v="72.400000000000006"/>
    <n v="20.762659768670378"/>
    <n v="1521.0366651791551"/>
    <n v="1"/>
    <n v="0"/>
    <n v="0"/>
    <n v="0"/>
    <n v="0"/>
    <n v="0"/>
    <n v="0"/>
    <n v="0"/>
    <n v="0"/>
    <n v="0"/>
  </r>
  <r>
    <d v="2006-07-22T00:00:00"/>
    <n v="2006"/>
    <x v="22"/>
    <s v="R"/>
    <s v="RS"/>
    <x v="2"/>
    <s v="SEA"/>
    <s v="H"/>
    <n v="1"/>
    <n v="1"/>
    <n v="0"/>
    <n v="0"/>
    <n v="0"/>
    <n v="0"/>
    <n v="1353.1868846872496"/>
    <n v="1500.2740054104847"/>
    <n v="0.41019515920880117"/>
    <n v="54"/>
    <n v="91"/>
    <n v="0"/>
    <n v="-37"/>
    <n v="0"/>
    <n v="0.69912348351743003"/>
    <n v="1"/>
    <n v="72.55"/>
    <n v="72.55"/>
    <n v="-20.805676328964584"/>
    <n v="1332.381208358285"/>
    <n v="0"/>
    <n v="1"/>
    <n v="0"/>
    <n v="0"/>
    <n v="0"/>
    <n v="0"/>
    <n v="0"/>
    <n v="0"/>
    <n v="0"/>
    <n v="0"/>
  </r>
  <r>
    <d v="2006-07-22T00:00:00"/>
    <n v="2006"/>
    <x v="22"/>
    <s v="R"/>
    <s v="RS"/>
    <x v="3"/>
    <s v="SAS"/>
    <s v="A"/>
    <n v="1"/>
    <n v="0"/>
    <n v="1"/>
    <n v="-1"/>
    <n v="8"/>
    <n v="-8"/>
    <n v="1644.7757694985953"/>
    <n v="1454.6916812258244"/>
    <n v="0.66880218518343792"/>
    <n v="79"/>
    <n v="61"/>
    <n v="0"/>
    <n v="18"/>
    <n v="1"/>
    <n v="0.47205829063689103"/>
    <n v="1"/>
    <n v="72.55"/>
    <n v="72.55"/>
    <n v="11.342806122277288"/>
    <n v="1656.1185756208727"/>
    <n v="1"/>
    <n v="0"/>
    <n v="0"/>
    <n v="0"/>
    <n v="0"/>
    <n v="0"/>
    <n v="0"/>
    <n v="0"/>
    <n v="0"/>
    <n v="0"/>
  </r>
  <r>
    <d v="2006-07-22T00:00:00"/>
    <n v="2006"/>
    <x v="23"/>
    <s v="R"/>
    <s v="RS"/>
    <x v="8"/>
    <s v="CON"/>
    <s v="H"/>
    <n v="0"/>
    <n v="1"/>
    <n v="-1"/>
    <n v="1"/>
    <n v="-8"/>
    <n v="8"/>
    <n v="1454.6916812258244"/>
    <n v="1644.7757694985953"/>
    <n v="0.33119781481656213"/>
    <n v="61"/>
    <n v="79"/>
    <n v="0"/>
    <n v="-18"/>
    <n v="0"/>
    <n v="0.47205829063689103"/>
    <n v="1"/>
    <n v="72.400000000000006"/>
    <n v="72.400000000000006"/>
    <n v="-11.319354421128546"/>
    <n v="1443.3723268046958"/>
    <n v="0"/>
    <n v="1"/>
    <n v="0"/>
    <n v="0"/>
    <n v="0"/>
    <n v="0"/>
    <n v="0"/>
    <n v="0"/>
    <n v="0"/>
    <n v="0"/>
  </r>
  <r>
    <d v="2006-07-23T00:00:00"/>
    <n v="2006"/>
    <x v="24"/>
    <s v="R"/>
    <s v="RS"/>
    <x v="11"/>
    <s v="WAS"/>
    <s v="A"/>
    <n v="0"/>
    <n v="1"/>
    <n v="-1"/>
    <n v="1"/>
    <n v="-8"/>
    <n v="8"/>
    <n v="1521.0366651791551"/>
    <n v="1492.3407649799344"/>
    <n v="0.39880197240290033"/>
    <n v="73"/>
    <n v="71"/>
    <n v="0"/>
    <n v="2"/>
    <n v="1"/>
    <n v="0.26158595053462008"/>
    <n v="1"/>
    <n v="72.25"/>
    <n v="72.25"/>
    <n v="11.362393179991008"/>
    <n v="1532.399058359146"/>
    <n v="1"/>
    <n v="0"/>
    <n v="0"/>
    <n v="0"/>
    <n v="0"/>
    <n v="0"/>
    <n v="0"/>
    <n v="0"/>
    <n v="0"/>
    <n v="0"/>
  </r>
  <r>
    <d v="2006-07-23T00:00:00"/>
    <n v="2006"/>
    <x v="23"/>
    <s v="R"/>
    <s v="RS"/>
    <x v="13"/>
    <s v="SEA"/>
    <s v="H"/>
    <n v="1"/>
    <n v="0"/>
    <n v="1"/>
    <n v="-1"/>
    <n v="8"/>
    <n v="-8"/>
    <n v="1492.3407649799344"/>
    <n v="1521.0366651791551"/>
    <n v="0.60119802759709962"/>
    <n v="71"/>
    <n v="73"/>
    <n v="0"/>
    <n v="-2"/>
    <n v="0"/>
    <n v="0.26158595053462008"/>
    <n v="1"/>
    <n v="72.400000000000006"/>
    <n v="72.400000000000006"/>
    <n v="-11.385982923617288"/>
    <n v="1480.9547820563171"/>
    <n v="0"/>
    <n v="1"/>
    <n v="0"/>
    <n v="0"/>
    <n v="0"/>
    <n v="0"/>
    <n v="0"/>
    <n v="0"/>
    <n v="0"/>
    <n v="0"/>
  </r>
  <r>
    <d v="2006-07-24T00:00:00"/>
    <n v="2006"/>
    <x v="23"/>
    <s v="R"/>
    <s v="RS"/>
    <x v="3"/>
    <s v="NYL"/>
    <s v="A"/>
    <n v="1"/>
    <n v="1"/>
    <n v="0"/>
    <n v="0"/>
    <n v="0"/>
    <n v="0"/>
    <n v="1656.1185756208727"/>
    <n v="1332.381208358285"/>
    <n v="0.79899729911658812"/>
    <n v="89"/>
    <n v="71"/>
    <n v="0"/>
    <n v="18"/>
    <n v="1"/>
    <n v="0.4306521141044522"/>
    <n v="1"/>
    <n v="72.400000000000006"/>
    <n v="72.400000000000006"/>
    <n v="6.2671060367129829"/>
    <n v="1662.3856816575856"/>
    <n v="1"/>
    <n v="0"/>
    <n v="0"/>
    <n v="0"/>
    <n v="0"/>
    <n v="0"/>
    <n v="0"/>
    <n v="0"/>
    <n v="0"/>
    <n v="0"/>
  </r>
  <r>
    <d v="2006-07-24T00:00:00"/>
    <n v="2006"/>
    <x v="23"/>
    <s v="R"/>
    <s v="RS"/>
    <x v="2"/>
    <s v="CON"/>
    <s v="H"/>
    <n v="1"/>
    <n v="1"/>
    <n v="0"/>
    <n v="0"/>
    <n v="0"/>
    <n v="0"/>
    <n v="1332.381208358285"/>
    <n v="1656.1185756208727"/>
    <n v="0.20100270088341182"/>
    <n v="71"/>
    <n v="89"/>
    <n v="0"/>
    <n v="-18"/>
    <n v="0"/>
    <n v="0.4306521141044522"/>
    <n v="1"/>
    <n v="72.400000000000006"/>
    <n v="72.400000000000006"/>
    <n v="-6.2671060367129812"/>
    <n v="1326.1141023215721"/>
    <n v="0"/>
    <n v="1"/>
    <n v="0"/>
    <n v="0"/>
    <n v="0"/>
    <n v="0"/>
    <n v="0"/>
    <n v="0"/>
    <n v="0"/>
    <n v="0"/>
  </r>
  <r>
    <d v="2006-07-25T00:00:00"/>
    <n v="2006"/>
    <x v="23"/>
    <s v="R"/>
    <s v="RS"/>
    <x v="12"/>
    <s v="CHA"/>
    <s v="A"/>
    <n v="2"/>
    <n v="2"/>
    <n v="0"/>
    <n v="0"/>
    <n v="0"/>
    <n v="0"/>
    <n v="1400.8228378496244"/>
    <n v="1402.1860770385224"/>
    <n v="0.37956610203562341"/>
    <n v="70"/>
    <n v="62"/>
    <n v="0"/>
    <n v="8"/>
    <n v="1"/>
    <n v="0.3878748964536427"/>
    <n v="1"/>
    <n v="72.400000000000006"/>
    <n v="72.400000000000006"/>
    <n v="17.423113136478609"/>
    <n v="1418.245950986103"/>
    <n v="1"/>
    <n v="0"/>
    <n v="0"/>
    <n v="0"/>
    <n v="0"/>
    <n v="0"/>
    <n v="0"/>
    <n v="0"/>
    <n v="0"/>
    <n v="0"/>
  </r>
  <r>
    <d v="2006-07-25T00:00:00"/>
    <n v="2006"/>
    <x v="24"/>
    <s v="R"/>
    <s v="RS"/>
    <x v="1"/>
    <s v="MIN"/>
    <s v="H"/>
    <n v="2"/>
    <n v="2"/>
    <n v="0"/>
    <n v="0"/>
    <n v="0"/>
    <n v="0"/>
    <n v="1402.1860770385224"/>
    <n v="1400.8228378496244"/>
    <n v="0.62043389796437665"/>
    <n v="62"/>
    <n v="70"/>
    <n v="0"/>
    <n v="-8"/>
    <n v="0"/>
    <n v="0.3878748964536427"/>
    <n v="1"/>
    <n v="72.25"/>
    <n v="72.25"/>
    <n v="-17.387015526389217"/>
    <n v="1384.7990615121332"/>
    <n v="0"/>
    <n v="1"/>
    <n v="0"/>
    <n v="0"/>
    <n v="0"/>
    <n v="0"/>
    <n v="0"/>
    <n v="0"/>
    <n v="0"/>
    <n v="0"/>
  </r>
  <r>
    <d v="2006-07-25T00:00:00"/>
    <n v="2006"/>
    <x v="24"/>
    <s v="R"/>
    <s v="RS"/>
    <x v="2"/>
    <s v="CHI"/>
    <s v="A"/>
    <n v="0"/>
    <n v="2"/>
    <n v="-2"/>
    <n v="2"/>
    <n v="-16"/>
    <n v="16"/>
    <n v="1326.1141023215721"/>
    <n v="1327.1170677119596"/>
    <n v="0.33770838462227831"/>
    <n v="79"/>
    <n v="72"/>
    <n v="0"/>
    <n v="7"/>
    <n v="1"/>
    <n v="0.36979809357941046"/>
    <n v="1"/>
    <n v="72.25"/>
    <n v="72.25"/>
    <n v="17.695049270932373"/>
    <n v="1343.8091515925043"/>
    <n v="1"/>
    <n v="0"/>
    <n v="0"/>
    <n v="0"/>
    <n v="0"/>
    <n v="0"/>
    <n v="0"/>
    <n v="0"/>
    <n v="0"/>
    <n v="0"/>
  </r>
  <r>
    <d v="2006-07-25T00:00:00"/>
    <n v="2006"/>
    <x v="23"/>
    <s v="R"/>
    <s v="RS"/>
    <x v="0"/>
    <s v="NYL"/>
    <s v="H"/>
    <n v="2"/>
    <n v="0"/>
    <n v="2"/>
    <n v="-2"/>
    <n v="16"/>
    <n v="-16"/>
    <n v="1327.1170677119596"/>
    <n v="1326.1141023215721"/>
    <n v="0.66229161537772163"/>
    <n v="72"/>
    <n v="79"/>
    <n v="0"/>
    <n v="-7"/>
    <n v="0"/>
    <n v="0.36979809357941046"/>
    <n v="1"/>
    <n v="72.400000000000006"/>
    <n v="72.400000000000006"/>
    <n v="-17.73178639744642"/>
    <n v="1309.3852813145131"/>
    <n v="0"/>
    <n v="1"/>
    <n v="0"/>
    <n v="0"/>
    <n v="0"/>
    <n v="0"/>
    <n v="0"/>
    <n v="0"/>
    <n v="0"/>
    <n v="0"/>
  </r>
  <r>
    <d v="2006-07-25T00:00:00"/>
    <n v="2006"/>
    <x v="24"/>
    <s v="R"/>
    <s v="RS"/>
    <x v="13"/>
    <s v="CON"/>
    <s v="A"/>
    <n v="1"/>
    <n v="0"/>
    <n v="1"/>
    <n v="-1"/>
    <n v="8"/>
    <n v="-8"/>
    <n v="1480.9547820563171"/>
    <n v="1662.3856816575856"/>
    <n v="0.19219042514879317"/>
    <n v="73"/>
    <n v="86"/>
    <n v="0"/>
    <n v="-13"/>
    <n v="0"/>
    <n v="0.41004765923539138"/>
    <n v="1"/>
    <n v="72.25"/>
    <n v="72.25"/>
    <n v="-5.693822653589578"/>
    <n v="1475.2609594027274"/>
    <n v="0"/>
    <n v="1"/>
    <n v="0"/>
    <n v="0"/>
    <n v="0"/>
    <n v="0"/>
    <n v="0"/>
    <n v="0"/>
    <n v="0"/>
    <n v="0"/>
  </r>
  <r>
    <d v="2006-07-25T00:00:00"/>
    <n v="2006"/>
    <x v="24"/>
    <s v="R"/>
    <s v="RS"/>
    <x v="3"/>
    <s v="WAS"/>
    <s v="H"/>
    <n v="0"/>
    <n v="1"/>
    <n v="-1"/>
    <n v="1"/>
    <n v="-8"/>
    <n v="8"/>
    <n v="1662.3856816575856"/>
    <n v="1480.9547820563171"/>
    <n v="0.80780957485120686"/>
    <n v="86"/>
    <n v="73"/>
    <n v="0"/>
    <n v="13"/>
    <n v="1"/>
    <n v="0.41004765923539138"/>
    <n v="1"/>
    <n v="72.25"/>
    <n v="72.25"/>
    <n v="5.6938226535895771"/>
    <n v="1668.0795043111752"/>
    <n v="1"/>
    <n v="0"/>
    <n v="0"/>
    <n v="0"/>
    <n v="0"/>
    <n v="0"/>
    <n v="0"/>
    <n v="0"/>
    <n v="0"/>
    <n v="0"/>
  </r>
  <r>
    <d v="2006-07-25T00:00:00"/>
    <n v="2006"/>
    <x v="26"/>
    <s v="R"/>
    <s v="RS"/>
    <x v="10"/>
    <s v="HOU"/>
    <s v="A"/>
    <n v="2"/>
    <n v="4"/>
    <n v="-2"/>
    <n v="2"/>
    <n v="-16"/>
    <n v="16"/>
    <n v="1612.6758400347699"/>
    <n v="1530.3151236794645"/>
    <n v="0.45173988885702648"/>
    <n v="56"/>
    <n v="52"/>
    <n v="0"/>
    <n v="4"/>
    <n v="1"/>
    <n v="0.29143070051836201"/>
    <n v="1"/>
    <n v="71.95"/>
    <n v="71.95"/>
    <n v="11.496158643067533"/>
    <n v="1624.1719986778373"/>
    <n v="1"/>
    <n v="0"/>
    <n v="0"/>
    <n v="0"/>
    <n v="0"/>
    <n v="0"/>
    <n v="0"/>
    <n v="0"/>
    <n v="0"/>
    <n v="0"/>
  </r>
  <r>
    <d v="2006-07-25T00:00:00"/>
    <n v="2006"/>
    <x v="25"/>
    <s v="R"/>
    <s v="RS"/>
    <x v="9"/>
    <s v="LAS"/>
    <s v="H"/>
    <n v="4"/>
    <n v="2"/>
    <n v="2"/>
    <n v="-2"/>
    <n v="16"/>
    <n v="-16"/>
    <n v="1530.3151236794645"/>
    <n v="1612.6758400347699"/>
    <n v="0.54826011114297357"/>
    <n v="52"/>
    <n v="56"/>
    <n v="0"/>
    <n v="-4"/>
    <n v="0"/>
    <n v="0.29143070051836201"/>
    <n v="1"/>
    <n v="72.099999999999994"/>
    <n v="72.099999999999994"/>
    <n v="-11.520125617306036"/>
    <n v="1518.7949980621584"/>
    <n v="0"/>
    <n v="1"/>
    <n v="0"/>
    <n v="0"/>
    <n v="0"/>
    <n v="0"/>
    <n v="0"/>
    <n v="0"/>
    <n v="0"/>
    <n v="0"/>
  </r>
  <r>
    <d v="2006-07-25T00:00:00"/>
    <n v="2006"/>
    <x v="24"/>
    <s v="R"/>
    <s v="RS"/>
    <x v="7"/>
    <s v="IND"/>
    <s v="A"/>
    <n v="2"/>
    <n v="2"/>
    <n v="0"/>
    <n v="0"/>
    <n v="0"/>
    <n v="0"/>
    <n v="1636.9286570983154"/>
    <n v="1560.2511672270678"/>
    <n v="0.48946362084841888"/>
    <n v="60"/>
    <n v="75"/>
    <n v="0"/>
    <n v="-15"/>
    <n v="0"/>
    <n v="0.47264688101876895"/>
    <n v="1"/>
    <n v="72.25"/>
    <n v="72.25"/>
    <n v="-16.71456453460495"/>
    <n v="1620.2140925637104"/>
    <n v="0"/>
    <n v="1"/>
    <n v="0"/>
    <n v="0"/>
    <n v="0"/>
    <n v="0"/>
    <n v="0"/>
    <n v="0"/>
    <n v="0"/>
    <n v="0"/>
  </r>
  <r>
    <d v="2006-07-25T00:00:00"/>
    <n v="2006"/>
    <x v="24"/>
    <s v="R"/>
    <s v="RS"/>
    <x v="5"/>
    <s v="SAC"/>
    <s v="H"/>
    <n v="2"/>
    <n v="2"/>
    <n v="0"/>
    <n v="0"/>
    <n v="0"/>
    <n v="0"/>
    <n v="1560.2511672270678"/>
    <n v="1636.9286570983154"/>
    <n v="0.51053637915158101"/>
    <n v="75"/>
    <n v="60"/>
    <n v="0"/>
    <n v="15"/>
    <n v="1"/>
    <n v="0.47264688101876895"/>
    <n v="1"/>
    <n v="72.25"/>
    <n v="72.25"/>
    <n v="16.714564534604953"/>
    <n v="1576.9657317616727"/>
    <n v="1"/>
    <n v="0"/>
    <n v="0"/>
    <n v="0"/>
    <n v="0"/>
    <n v="0"/>
    <n v="0"/>
    <n v="0"/>
    <n v="0"/>
    <n v="0"/>
  </r>
  <r>
    <d v="2006-07-25T00:00:00"/>
    <n v="2006"/>
    <x v="25"/>
    <s v="R"/>
    <s v="RS"/>
    <x v="11"/>
    <s v="PHX"/>
    <s v="A"/>
    <n v="1"/>
    <n v="2"/>
    <n v="-1"/>
    <n v="1"/>
    <n v="-8"/>
    <n v="8"/>
    <n v="1532.399058359146"/>
    <n v="1516.7720171836274"/>
    <n v="0.38090946659562658"/>
    <n v="91"/>
    <n v="85"/>
    <n v="0"/>
    <n v="6"/>
    <n v="1"/>
    <n v="0.34676500195451504"/>
    <n v="1"/>
    <n v="72.099999999999994"/>
    <n v="72.099999999999994"/>
    <n v="15.478350854873829"/>
    <n v="1547.8774092140197"/>
    <n v="1"/>
    <n v="0"/>
    <n v="0"/>
    <n v="0"/>
    <n v="0"/>
    <n v="0"/>
    <n v="0"/>
    <n v="0"/>
    <n v="0"/>
    <n v="0"/>
  </r>
  <r>
    <d v="2006-07-25T00:00:00"/>
    <n v="2006"/>
    <x v="23"/>
    <s v="R"/>
    <s v="RS"/>
    <x v="6"/>
    <s v="SEA"/>
    <s v="H"/>
    <n v="2"/>
    <n v="1"/>
    <n v="1"/>
    <n v="-1"/>
    <n v="8"/>
    <n v="-8"/>
    <n v="1516.7720171836274"/>
    <n v="1532.399058359146"/>
    <n v="0.61909053340437337"/>
    <n v="85"/>
    <n v="91"/>
    <n v="0"/>
    <n v="-6"/>
    <n v="0"/>
    <n v="0.34676500195451504"/>
    <n v="1"/>
    <n v="72.400000000000006"/>
    <n v="72.400000000000006"/>
    <n v="-15.542754533881626"/>
    <n v="1501.2292626497458"/>
    <n v="0"/>
    <n v="1"/>
    <n v="0"/>
    <n v="0"/>
    <n v="0"/>
    <n v="0"/>
    <n v="0"/>
    <n v="0"/>
    <n v="0"/>
    <n v="0"/>
  </r>
  <r>
    <d v="2006-07-26T00:00:00"/>
    <n v="2006"/>
    <x v="25"/>
    <s v="R"/>
    <s v="RS"/>
    <x v="7"/>
    <s v="DET"/>
    <s v="A"/>
    <n v="0"/>
    <n v="3"/>
    <n v="-3"/>
    <n v="3"/>
    <n v="-16"/>
    <n v="16"/>
    <n v="1620.2140925637104"/>
    <n v="1572.29258814784"/>
    <n v="0.40326208629477917"/>
    <n v="71"/>
    <n v="91"/>
    <n v="0"/>
    <n v="-20"/>
    <n v="0"/>
    <n v="0.55281107689022513"/>
    <n v="1"/>
    <n v="72.099999999999994"/>
    <n v="72.099999999999994"/>
    <n v="-16.073090644759695"/>
    <n v="1604.1410019189507"/>
    <n v="0"/>
    <n v="1"/>
    <n v="0"/>
    <n v="0"/>
    <n v="0"/>
    <n v="0"/>
    <n v="0"/>
    <n v="0"/>
    <n v="0"/>
    <n v="0"/>
  </r>
  <r>
    <d v="2006-07-26T00:00:00"/>
    <n v="2006"/>
    <x v="23"/>
    <s v="R"/>
    <s v="RS"/>
    <x v="4"/>
    <s v="SAC"/>
    <s v="H"/>
    <n v="3"/>
    <n v="0"/>
    <n v="3"/>
    <n v="-3"/>
    <n v="16"/>
    <n v="-16"/>
    <n v="1572.29258814784"/>
    <n v="1620.2140925637104"/>
    <n v="0.59673791370522078"/>
    <n v="91"/>
    <n v="71"/>
    <n v="0"/>
    <n v="20"/>
    <n v="1"/>
    <n v="0.55281107689022513"/>
    <n v="1"/>
    <n v="72.400000000000006"/>
    <n v="72.400000000000006"/>
    <n v="16.139968969217783"/>
    <n v="1588.4325571170577"/>
    <n v="1"/>
    <n v="0"/>
    <n v="0"/>
    <n v="0"/>
    <n v="0"/>
    <n v="0"/>
    <n v="0"/>
    <n v="0"/>
    <n v="0"/>
    <n v="0"/>
  </r>
  <r>
    <d v="2006-07-26T00:00:00"/>
    <n v="2006"/>
    <x v="27"/>
    <s v="R"/>
    <s v="RS"/>
    <x v="10"/>
    <s v="SAS"/>
    <s v="A"/>
    <n v="0"/>
    <n v="3"/>
    <n v="-3"/>
    <n v="3"/>
    <n v="-16"/>
    <n v="16"/>
    <n v="1624.1719986778373"/>
    <n v="1443.3723268046958"/>
    <n v="0.59218776527853001"/>
    <n v="81"/>
    <n v="67"/>
    <n v="0"/>
    <n v="14"/>
    <n v="1"/>
    <n v="0.42376148847656975"/>
    <n v="1"/>
    <n v="71.8"/>
    <n v="71.8"/>
    <n v="12.408125587604992"/>
    <n v="1636.5801242654422"/>
    <n v="1"/>
    <n v="0"/>
    <n v="0"/>
    <n v="0"/>
    <n v="0"/>
    <n v="0"/>
    <n v="0"/>
    <n v="0"/>
    <n v="0"/>
    <n v="0"/>
  </r>
  <r>
    <d v="2006-07-26T00:00:00"/>
    <n v="2006"/>
    <x v="24"/>
    <s v="R"/>
    <s v="RS"/>
    <x v="8"/>
    <s v="LAS"/>
    <s v="H"/>
    <n v="3"/>
    <n v="0"/>
    <n v="3"/>
    <n v="-3"/>
    <n v="16"/>
    <n v="-16"/>
    <n v="1443.3723268046958"/>
    <n v="1624.1719986778373"/>
    <n v="0.40781223472147005"/>
    <n v="67"/>
    <n v="81"/>
    <n v="0"/>
    <n v="-14"/>
    <n v="0"/>
    <n v="0.42376148847656975"/>
    <n v="1"/>
    <n v="72.25"/>
    <n v="72.25"/>
    <n v="-12.485892391427031"/>
    <n v="1430.8864344132687"/>
    <n v="0"/>
    <n v="1"/>
    <n v="0"/>
    <n v="0"/>
    <n v="0"/>
    <n v="0"/>
    <n v="0"/>
    <n v="0"/>
    <n v="0"/>
    <n v="0"/>
  </r>
  <r>
    <d v="2006-07-27T00:00:00"/>
    <n v="2006"/>
    <x v="24"/>
    <s v="R"/>
    <s v="RS"/>
    <x v="6"/>
    <s v="HOU"/>
    <s v="A"/>
    <n v="1"/>
    <n v="1"/>
    <n v="0"/>
    <n v="0"/>
    <n v="0"/>
    <n v="0"/>
    <n v="1501.2292626497458"/>
    <n v="1518.7949980621584"/>
    <n v="0.35786117866924022"/>
    <n v="95"/>
    <n v="98"/>
    <n v="0"/>
    <n v="-3"/>
    <n v="0"/>
    <n v="0.28599706380575901"/>
    <n v="1"/>
    <n v="72.25"/>
    <n v="72.25"/>
    <n v="-7.3945885487492671"/>
    <n v="1493.8346741009966"/>
    <n v="0"/>
    <n v="1"/>
    <n v="0"/>
    <n v="0"/>
    <n v="0"/>
    <n v="0"/>
    <n v="0"/>
    <n v="0"/>
    <n v="0"/>
    <n v="0"/>
  </r>
  <r>
    <d v="2006-07-27T00:00:00"/>
    <n v="2006"/>
    <x v="26"/>
    <s v="R"/>
    <s v="RS"/>
    <x v="9"/>
    <s v="PHX"/>
    <s v="H"/>
    <n v="1"/>
    <n v="1"/>
    <n v="0"/>
    <n v="0"/>
    <n v="0"/>
    <n v="0"/>
    <n v="1518.7949980621584"/>
    <n v="1501.2292626497458"/>
    <n v="0.64213882133075972"/>
    <n v="98"/>
    <n v="95"/>
    <n v="0"/>
    <n v="3"/>
    <n v="1"/>
    <n v="0.28599706380575901"/>
    <n v="1"/>
    <n v="71.95"/>
    <n v="71.95"/>
    <n v="7.3638843748444263"/>
    <n v="1526.1588824370028"/>
    <n v="1"/>
    <n v="0"/>
    <n v="0"/>
    <n v="0"/>
    <n v="0"/>
    <n v="0"/>
    <n v="0"/>
    <n v="0"/>
    <n v="0"/>
    <n v="0"/>
  </r>
  <r>
    <d v="2006-07-27T00:00:00"/>
    <n v="2006"/>
    <x v="25"/>
    <s v="R"/>
    <s v="RS"/>
    <x v="1"/>
    <s v="MIN"/>
    <s v="A"/>
    <n v="1"/>
    <n v="1"/>
    <n v="0"/>
    <n v="0"/>
    <n v="0"/>
    <n v="0"/>
    <n v="1384.7990615121332"/>
    <n v="1418.245950986103"/>
    <n v="0.33713707019315864"/>
    <n v="81"/>
    <n v="68"/>
    <n v="0"/>
    <n v="13"/>
    <n v="1"/>
    <n v="0.45924353258413664"/>
    <n v="1"/>
    <n v="72.099999999999994"/>
    <n v="72.099999999999994"/>
    <n v="21.948358523606995"/>
    <n v="1406.7474200357401"/>
    <n v="1"/>
    <n v="0"/>
    <n v="0"/>
    <n v="0"/>
    <n v="0"/>
    <n v="0"/>
    <n v="0"/>
    <n v="0"/>
    <n v="0"/>
    <n v="0"/>
  </r>
  <r>
    <d v="2006-07-27T00:00:00"/>
    <n v="2006"/>
    <x v="24"/>
    <s v="R"/>
    <s v="RS"/>
    <x v="12"/>
    <s v="CHA"/>
    <s v="H"/>
    <n v="1"/>
    <n v="1"/>
    <n v="0"/>
    <n v="0"/>
    <n v="0"/>
    <n v="0"/>
    <n v="1418.245950986103"/>
    <n v="1384.7990615121332"/>
    <n v="0.66286292980684136"/>
    <n v="68"/>
    <n v="81"/>
    <n v="0"/>
    <n v="-13"/>
    <n v="0"/>
    <n v="0.45924353258413664"/>
    <n v="1"/>
    <n v="72.25"/>
    <n v="72.25"/>
    <n v="-21.994020850632531"/>
    <n v="1396.2519301354705"/>
    <n v="0"/>
    <n v="1"/>
    <n v="0"/>
    <n v="0"/>
    <n v="0"/>
    <n v="0"/>
    <n v="0"/>
    <n v="0"/>
    <n v="0"/>
    <n v="0"/>
  </r>
  <r>
    <d v="2006-07-27T00:00:00"/>
    <n v="2006"/>
    <x v="24"/>
    <s v="R"/>
    <s v="RS"/>
    <x v="0"/>
    <s v="WAS"/>
    <s v="A"/>
    <n v="1"/>
    <n v="1"/>
    <n v="0"/>
    <n v="0"/>
    <n v="0"/>
    <n v="0"/>
    <n v="1309.3852813145131"/>
    <n v="1475.2609594027274"/>
    <n v="0.19179323557064781"/>
    <n v="74"/>
    <n v="92"/>
    <n v="0"/>
    <n v="-18"/>
    <n v="0"/>
    <n v="0.4804249237895904"/>
    <n v="1"/>
    <n v="72.25"/>
    <n v="72.25"/>
    <n v="-6.6572776045774926"/>
    <n v="1302.7280037099356"/>
    <n v="0"/>
    <n v="1"/>
    <n v="0"/>
    <n v="0"/>
    <n v="0"/>
    <n v="0"/>
    <n v="0"/>
    <n v="0"/>
    <n v="0"/>
    <n v="0"/>
  </r>
  <r>
    <d v="2006-07-27T00:00:00"/>
    <n v="2006"/>
    <x v="25"/>
    <s v="R"/>
    <s v="RS"/>
    <x v="13"/>
    <s v="CHI"/>
    <s v="H"/>
    <n v="1"/>
    <n v="1"/>
    <n v="0"/>
    <n v="0"/>
    <n v="0"/>
    <n v="0"/>
    <n v="1475.2609594027274"/>
    <n v="1309.3852813145131"/>
    <n v="0.80820676442935224"/>
    <n v="92"/>
    <n v="74"/>
    <n v="0"/>
    <n v="18"/>
    <n v="1"/>
    <n v="0.4804249237895904"/>
    <n v="1"/>
    <n v="72.099999999999994"/>
    <n v="72.099999999999994"/>
    <n v="6.6434562669901309"/>
    <n v="1481.9044156697175"/>
    <n v="1"/>
    <n v="0"/>
    <n v="0"/>
    <n v="0"/>
    <n v="0"/>
    <n v="0"/>
    <n v="0"/>
    <n v="0"/>
    <n v="0"/>
    <n v="0"/>
  </r>
  <r>
    <d v="2006-07-28T00:00:00"/>
    <n v="2006"/>
    <x v="25"/>
    <s v="R"/>
    <s v="RS"/>
    <x v="12"/>
    <s v="CHI"/>
    <s v="A"/>
    <n v="0"/>
    <n v="0"/>
    <n v="0"/>
    <n v="0"/>
    <n v="0"/>
    <n v="0"/>
    <n v="1396.2519301354705"/>
    <n v="1302.7280037099356"/>
    <n v="0.51370259991426082"/>
    <n v="65"/>
    <n v="79"/>
    <n v="0"/>
    <n v="-14"/>
    <n v="0"/>
    <n v="0.45235322848479681"/>
    <n v="1"/>
    <n v="72.099999999999994"/>
    <n v="72.099999999999994"/>
    <n v="-16.754239630717205"/>
    <n v="1379.4976905047533"/>
    <n v="0"/>
    <n v="1"/>
    <n v="0"/>
    <n v="0"/>
    <n v="0"/>
    <n v="0"/>
    <n v="0"/>
    <n v="0"/>
    <n v="0"/>
    <n v="0"/>
  </r>
  <r>
    <d v="2006-07-28T00:00:00"/>
    <n v="2006"/>
    <x v="25"/>
    <s v="R"/>
    <s v="RS"/>
    <x v="0"/>
    <s v="MIN"/>
    <s v="H"/>
    <n v="0"/>
    <n v="0"/>
    <n v="0"/>
    <n v="0"/>
    <n v="0"/>
    <n v="0"/>
    <n v="1302.7280037099356"/>
    <n v="1396.2519301354705"/>
    <n v="0.48629740008573924"/>
    <n v="79"/>
    <n v="65"/>
    <n v="0"/>
    <n v="14"/>
    <n v="1"/>
    <n v="0.45235322848479681"/>
    <n v="1"/>
    <n v="72.099999999999994"/>
    <n v="72.099999999999994"/>
    <n v="16.754239630717205"/>
    <n v="1319.4822433406528"/>
    <n v="1"/>
    <n v="0"/>
    <n v="0"/>
    <n v="0"/>
    <n v="0"/>
    <n v="0"/>
    <n v="0"/>
    <n v="0"/>
    <n v="0"/>
    <n v="0"/>
  </r>
  <r>
    <d v="2006-07-28T00:00:00"/>
    <n v="2006"/>
    <x v="26"/>
    <s v="R"/>
    <s v="RS"/>
    <x v="7"/>
    <s v="CON"/>
    <s v="A"/>
    <n v="1"/>
    <n v="2"/>
    <n v="-1"/>
    <n v="1"/>
    <n v="-8"/>
    <n v="8"/>
    <n v="1604.1410019189507"/>
    <n v="1668.0795043111752"/>
    <n v="0.28015238037473877"/>
    <n v="68"/>
    <n v="75"/>
    <n v="0"/>
    <n v="-7"/>
    <n v="0"/>
    <n v="0.3513846647949983"/>
    <n v="1"/>
    <n v="71.95"/>
    <n v="71.95"/>
    <n v="-7.0828479568904132"/>
    <n v="1597.0581539620603"/>
    <n v="0"/>
    <n v="1"/>
    <n v="0"/>
    <n v="0"/>
    <n v="0"/>
    <n v="0"/>
    <n v="0"/>
    <n v="0"/>
    <n v="0"/>
    <n v="0"/>
  </r>
  <r>
    <d v="2006-07-28T00:00:00"/>
    <n v="2006"/>
    <x v="25"/>
    <s v="R"/>
    <s v="RS"/>
    <x v="3"/>
    <s v="SAC"/>
    <s v="H"/>
    <n v="2"/>
    <n v="1"/>
    <n v="1"/>
    <n v="-1"/>
    <n v="8"/>
    <n v="-8"/>
    <n v="1668.0795043111752"/>
    <n v="1604.1410019189507"/>
    <n v="0.71984761962526123"/>
    <n v="75"/>
    <n v="68"/>
    <n v="0"/>
    <n v="7"/>
    <n v="1"/>
    <n v="0.3513846647949983"/>
    <n v="1"/>
    <n v="72.099999999999994"/>
    <n v="72.099999999999994"/>
    <n v="7.0976141444308372"/>
    <n v="1675.177118455606"/>
    <n v="1"/>
    <n v="0"/>
    <n v="0"/>
    <n v="0"/>
    <n v="0"/>
    <n v="0"/>
    <n v="0"/>
    <n v="0"/>
    <n v="0"/>
    <n v="0"/>
  </r>
  <r>
    <d v="2006-07-28T00:00:00"/>
    <n v="2006"/>
    <x v="25"/>
    <s v="R"/>
    <s v="RS"/>
    <x v="6"/>
    <s v="SAS"/>
    <s v="A"/>
    <n v="0"/>
    <n v="1"/>
    <n v="-1"/>
    <n v="1"/>
    <n v="-8"/>
    <n v="8"/>
    <n v="1493.8346741009966"/>
    <n v="1430.8864344132687"/>
    <n v="0.44687945535904011"/>
    <n v="96"/>
    <n v="98"/>
    <n v="0"/>
    <n v="-2"/>
    <n v="0"/>
    <n v="0.25449149448204972"/>
    <n v="1"/>
    <n v="72.099999999999994"/>
    <n v="72.099999999999994"/>
    <n v="-8.1997181742753149"/>
    <n v="1485.6349559267212"/>
    <n v="0"/>
    <n v="1"/>
    <n v="0"/>
    <n v="0"/>
    <n v="0"/>
    <n v="0"/>
    <n v="0"/>
    <n v="0"/>
    <n v="0"/>
    <n v="0"/>
  </r>
  <r>
    <d v="2006-07-28T00:00:00"/>
    <n v="2006"/>
    <x v="25"/>
    <s v="R"/>
    <s v="RS"/>
    <x v="8"/>
    <s v="PHX"/>
    <s v="H"/>
    <n v="1"/>
    <n v="0"/>
    <n v="1"/>
    <n v="-1"/>
    <n v="8"/>
    <n v="-8"/>
    <n v="1430.8864344132687"/>
    <n v="1493.8346741009966"/>
    <n v="0.55312054464095983"/>
    <n v="98"/>
    <n v="96"/>
    <n v="0"/>
    <n v="2"/>
    <n v="1"/>
    <n v="0.25449149448204972"/>
    <n v="1"/>
    <n v="72.099999999999994"/>
    <n v="72.099999999999994"/>
    <n v="8.1997181742753167"/>
    <n v="1439.0861525875441"/>
    <n v="1"/>
    <n v="0"/>
    <n v="0"/>
    <n v="0"/>
    <n v="0"/>
    <n v="0"/>
    <n v="0"/>
    <n v="0"/>
    <n v="0"/>
    <n v="0"/>
  </r>
  <r>
    <d v="2006-07-28T00:00:00"/>
    <n v="2006"/>
    <x v="24"/>
    <s v="R"/>
    <s v="RS"/>
    <x v="4"/>
    <s v="SEA"/>
    <s v="A"/>
    <n v="1"/>
    <n v="2"/>
    <n v="-1"/>
    <n v="1"/>
    <n v="-8"/>
    <n v="8"/>
    <n v="1588.4325571170577"/>
    <n v="1547.8774092140197"/>
    <n v="0.41527709412614006"/>
    <n v="77"/>
    <n v="67"/>
    <n v="0"/>
    <n v="10"/>
    <n v="1"/>
    <n v="0.40929711190753687"/>
    <n v="1"/>
    <n v="72.25"/>
    <n v="72.25"/>
    <n v="17.29125990726553"/>
    <n v="1605.7238170243234"/>
    <n v="1"/>
    <n v="0"/>
    <n v="0"/>
    <n v="0"/>
    <n v="0"/>
    <n v="0"/>
    <n v="0"/>
    <n v="0"/>
    <n v="0"/>
    <n v="0"/>
  </r>
  <r>
    <d v="2006-07-28T00:00:00"/>
    <n v="2006"/>
    <x v="26"/>
    <s v="R"/>
    <s v="RS"/>
    <x v="11"/>
    <s v="DET"/>
    <s v="H"/>
    <n v="2"/>
    <n v="1"/>
    <n v="1"/>
    <n v="-1"/>
    <n v="8"/>
    <n v="-8"/>
    <n v="1547.8774092140197"/>
    <n v="1588.4325571170577"/>
    <n v="0.58472290587386"/>
    <n v="67"/>
    <n v="77"/>
    <n v="0"/>
    <n v="-10"/>
    <n v="0"/>
    <n v="0.40929711190753687"/>
    <n v="1"/>
    <n v="71.95"/>
    <n v="71.95"/>
    <n v="-17.21946228827343"/>
    <n v="1530.6579469257463"/>
    <n v="0"/>
    <n v="1"/>
    <n v="0"/>
    <n v="0"/>
    <n v="0"/>
    <n v="0"/>
    <n v="0"/>
    <n v="0"/>
    <n v="0"/>
    <n v="0"/>
  </r>
  <r>
    <d v="2006-07-29T00:00:00"/>
    <n v="2006"/>
    <x v="25"/>
    <s v="R"/>
    <s v="RS"/>
    <x v="2"/>
    <s v="CHA"/>
    <s v="A"/>
    <n v="3"/>
    <n v="1"/>
    <n v="2"/>
    <n v="-2"/>
    <n v="16"/>
    <n v="-16"/>
    <n v="1343.8091515925043"/>
    <n v="1406.7474200357401"/>
    <n v="0.34037178531000944"/>
    <n v="85"/>
    <n v="80"/>
    <n v="0"/>
    <n v="5"/>
    <n v="1"/>
    <n v="0.31522298476569655"/>
    <n v="1"/>
    <n v="72.099999999999994"/>
    <n v="72.099999999999994"/>
    <n v="14.991751173724772"/>
    <n v="1358.8009027662292"/>
    <n v="1"/>
    <n v="0"/>
    <n v="0"/>
    <n v="0"/>
    <n v="0"/>
    <n v="0"/>
    <n v="0"/>
    <n v="0"/>
    <n v="0"/>
    <n v="0"/>
  </r>
  <r>
    <d v="2006-07-29T00:00:00"/>
    <n v="2006"/>
    <x v="26"/>
    <s v="R"/>
    <s v="RS"/>
    <x v="1"/>
    <s v="NYL"/>
    <s v="H"/>
    <n v="1"/>
    <n v="3"/>
    <n v="-2"/>
    <n v="2"/>
    <n v="-16"/>
    <n v="16"/>
    <n v="1406.7474200357401"/>
    <n v="1343.8091515925043"/>
    <n v="0.65962821468999056"/>
    <n v="80"/>
    <n v="85"/>
    <n v="0"/>
    <n v="-5"/>
    <n v="0"/>
    <n v="0.31522298476569655"/>
    <n v="1"/>
    <n v="71.95"/>
    <n v="71.95"/>
    <n v="-14.960561677524236"/>
    <n v="1391.7868583582158"/>
    <n v="0"/>
    <n v="1"/>
    <n v="0"/>
    <n v="0"/>
    <n v="0"/>
    <n v="0"/>
    <n v="0"/>
    <n v="0"/>
    <n v="0"/>
    <n v="0"/>
  </r>
  <r>
    <d v="2006-07-29T00:00:00"/>
    <n v="2006"/>
    <x v="26"/>
    <s v="R"/>
    <s v="RS"/>
    <x v="13"/>
    <s v="IND"/>
    <s v="A"/>
    <n v="1"/>
    <n v="3"/>
    <n v="-2"/>
    <n v="2"/>
    <n v="-16"/>
    <n v="16"/>
    <n v="1481.9044156697175"/>
    <n v="1576.9657317616727"/>
    <n v="0.22882344820205763"/>
    <n v="74"/>
    <n v="67"/>
    <n v="0"/>
    <n v="7"/>
    <n v="1"/>
    <n v="0.34294021562222993"/>
    <n v="1"/>
    <n v="71.95"/>
    <n v="71.95"/>
    <n v="19.028433240212557"/>
    <n v="1500.93284890993"/>
    <n v="1"/>
    <n v="0"/>
    <n v="0"/>
    <n v="0"/>
    <n v="0"/>
    <n v="0"/>
    <n v="0"/>
    <n v="0"/>
    <n v="0"/>
    <n v="0"/>
  </r>
  <r>
    <d v="2006-07-29T00:00:00"/>
    <n v="2006"/>
    <x v="25"/>
    <s v="R"/>
    <s v="RS"/>
    <x v="5"/>
    <s v="WAS"/>
    <s v="H"/>
    <n v="3"/>
    <n v="1"/>
    <n v="2"/>
    <n v="-2"/>
    <n v="16"/>
    <n v="-16"/>
    <n v="1576.9657317616727"/>
    <n v="1481.9044156697175"/>
    <n v="0.77117655179794231"/>
    <n v="67"/>
    <n v="74"/>
    <n v="0"/>
    <n v="-7"/>
    <n v="0"/>
    <n v="0.34294021562222993"/>
    <n v="1"/>
    <n v="72.099999999999994"/>
    <n v="72.099999999999994"/>
    <n v="-19.068103358156012"/>
    <n v="1557.8976284035166"/>
    <n v="0"/>
    <n v="1"/>
    <n v="0"/>
    <n v="0"/>
    <n v="0"/>
    <n v="0"/>
    <n v="0"/>
    <n v="0"/>
    <n v="0"/>
    <n v="0"/>
  </r>
  <r>
    <d v="2006-07-30T00:00:00"/>
    <n v="2006"/>
    <x v="26"/>
    <s v="R"/>
    <s v="RS"/>
    <x v="5"/>
    <s v="CHI"/>
    <s v="A"/>
    <n v="0"/>
    <n v="1"/>
    <n v="-1"/>
    <n v="1"/>
    <n v="-8"/>
    <n v="8"/>
    <n v="1557.8976284035166"/>
    <n v="1319.4822433406528"/>
    <n v="0.68928591463543054"/>
    <n v="69"/>
    <n v="64"/>
    <n v="0"/>
    <n v="5"/>
    <n v="1"/>
    <n v="0.27676787573855"/>
    <n v="1"/>
    <n v="71.95"/>
    <n v="71.95"/>
    <n v="6.1873889866562637"/>
    <n v="1564.0850173901729"/>
    <n v="1"/>
    <n v="0"/>
    <n v="0"/>
    <n v="0"/>
    <n v="0"/>
    <n v="0"/>
    <n v="0"/>
    <n v="0"/>
    <n v="0"/>
    <n v="0"/>
  </r>
  <r>
    <d v="2006-07-30T00:00:00"/>
    <n v="2006"/>
    <x v="26"/>
    <s v="R"/>
    <s v="RS"/>
    <x v="0"/>
    <s v="IND"/>
    <s v="H"/>
    <n v="1"/>
    <n v="0"/>
    <n v="1"/>
    <n v="-1"/>
    <n v="8"/>
    <n v="-8"/>
    <n v="1319.4822433406528"/>
    <n v="1557.8976284035166"/>
    <n v="0.31071408536456951"/>
    <n v="64"/>
    <n v="69"/>
    <n v="0"/>
    <n v="-5"/>
    <n v="0"/>
    <n v="0.27676787573855"/>
    <n v="1"/>
    <n v="71.95"/>
    <n v="71.95"/>
    <n v="-6.1873889866562646"/>
    <n v="1313.2948543539965"/>
    <n v="0"/>
    <n v="1"/>
    <n v="0"/>
    <n v="0"/>
    <n v="0"/>
    <n v="0"/>
    <n v="0"/>
    <n v="0"/>
    <n v="0"/>
    <n v="0"/>
  </r>
  <r>
    <d v="2006-07-30T00:00:00"/>
    <n v="2006"/>
    <x v="26"/>
    <s v="R"/>
    <s v="RS"/>
    <x v="8"/>
    <s v="CON"/>
    <s v="A"/>
    <n v="1"/>
    <n v="1"/>
    <n v="0"/>
    <n v="0"/>
    <n v="0"/>
    <n v="0"/>
    <n v="1439.0861525875441"/>
    <n v="1675.177118455606"/>
    <n v="0.13674506312278586"/>
    <n v="65"/>
    <n v="72"/>
    <n v="0"/>
    <n v="-7"/>
    <n v="0"/>
    <n v="0.30926216899924952"/>
    <n v="1"/>
    <n v="71.95"/>
    <n v="71.95"/>
    <n v="-3.0427708833919627"/>
    <n v="1436.0433817041521"/>
    <n v="0"/>
    <n v="1"/>
    <n v="0"/>
    <n v="0"/>
    <n v="0"/>
    <n v="0"/>
    <n v="0"/>
    <n v="0"/>
    <n v="0"/>
    <n v="0"/>
  </r>
  <r>
    <d v="2006-07-30T00:00:00"/>
    <n v="2006"/>
    <x v="26"/>
    <s v="R"/>
    <s v="RS"/>
    <x v="3"/>
    <s v="SAS"/>
    <s v="H"/>
    <n v="1"/>
    <n v="1"/>
    <n v="0"/>
    <n v="0"/>
    <n v="0"/>
    <n v="0"/>
    <n v="1675.177118455606"/>
    <n v="1439.0861525875441"/>
    <n v="0.86325493687721422"/>
    <n v="72"/>
    <n v="65"/>
    <n v="0"/>
    <n v="7"/>
    <n v="1"/>
    <n v="0.30926216899924952"/>
    <n v="1"/>
    <n v="71.95"/>
    <n v="71.95"/>
    <n v="3.0427708833919609"/>
    <n v="1678.219889338998"/>
    <n v="1"/>
    <n v="0"/>
    <n v="0"/>
    <n v="0"/>
    <n v="0"/>
    <n v="0"/>
    <n v="0"/>
    <n v="0"/>
    <n v="0"/>
    <n v="0"/>
  </r>
  <r>
    <d v="2006-07-30T00:00:00"/>
    <n v="2006"/>
    <x v="26"/>
    <s v="R"/>
    <s v="RS"/>
    <x v="12"/>
    <s v="NYL"/>
    <s v="A"/>
    <n v="1"/>
    <n v="0"/>
    <n v="1"/>
    <n v="-1"/>
    <n v="8"/>
    <n v="-8"/>
    <n v="1379.4976905047533"/>
    <n v="1358.8009027662292"/>
    <n v="0.43234273736791473"/>
    <n v="69"/>
    <n v="78"/>
    <n v="0"/>
    <n v="-9"/>
    <n v="0"/>
    <n v="0.39908832190770327"/>
    <n v="1"/>
    <n v="71.95"/>
    <n v="71.95"/>
    <n v="-12.414464356373109"/>
    <n v="1367.0832261483802"/>
    <n v="0"/>
    <n v="1"/>
    <n v="0"/>
    <n v="0"/>
    <n v="0"/>
    <n v="0"/>
    <n v="0"/>
    <n v="0"/>
    <n v="0"/>
    <n v="0"/>
  </r>
  <r>
    <d v="2006-07-30T00:00:00"/>
    <n v="2006"/>
    <x v="26"/>
    <s v="R"/>
    <s v="RS"/>
    <x v="2"/>
    <s v="MIN"/>
    <s v="H"/>
    <n v="0"/>
    <n v="1"/>
    <n v="-1"/>
    <n v="1"/>
    <n v="-8"/>
    <n v="8"/>
    <n v="1358.8009027662292"/>
    <n v="1379.4976905047533"/>
    <n v="0.56765726263208527"/>
    <n v="78"/>
    <n v="69"/>
    <n v="0"/>
    <n v="9"/>
    <n v="1"/>
    <n v="0.39908832190770327"/>
    <n v="1"/>
    <n v="71.95"/>
    <n v="71.95"/>
    <n v="12.414464356373109"/>
    <n v="1371.2153671226024"/>
    <n v="1"/>
    <n v="0"/>
    <n v="0"/>
    <n v="0"/>
    <n v="0"/>
    <n v="0"/>
    <n v="0"/>
    <n v="0"/>
    <n v="0"/>
    <n v="0"/>
  </r>
  <r>
    <d v="2006-07-30T00:00:00"/>
    <n v="2006"/>
    <x v="27"/>
    <s v="R"/>
    <s v="RS"/>
    <x v="9"/>
    <s v="PHX"/>
    <s v="A"/>
    <n v="2"/>
    <n v="1"/>
    <n v="1"/>
    <n v="-1"/>
    <n v="8"/>
    <n v="-8"/>
    <n v="1526.1588824370028"/>
    <n v="1485.6349559267212"/>
    <n v="0.46054097690665502"/>
    <n v="82"/>
    <n v="80"/>
    <n v="0"/>
    <n v="2"/>
    <n v="1"/>
    <n v="0.25909180637552176"/>
    <n v="1"/>
    <n v="71.8"/>
    <n v="71.8"/>
    <n v="10.035443836083926"/>
    <n v="1536.1943262730867"/>
    <n v="1"/>
    <n v="0"/>
    <n v="0"/>
    <n v="0"/>
    <n v="0"/>
    <n v="0"/>
    <n v="0"/>
    <n v="0"/>
    <n v="0"/>
    <n v="0"/>
  </r>
  <r>
    <d v="2006-07-30T00:00:00"/>
    <n v="2006"/>
    <x v="26"/>
    <s v="R"/>
    <s v="RS"/>
    <x v="6"/>
    <s v="HOU"/>
    <s v="H"/>
    <n v="1"/>
    <n v="2"/>
    <n v="-1"/>
    <n v="1"/>
    <n v="-8"/>
    <n v="8"/>
    <n v="1485.6349559267212"/>
    <n v="1526.1588824370028"/>
    <n v="0.53945902309334504"/>
    <n v="80"/>
    <n v="82"/>
    <n v="0"/>
    <n v="-2"/>
    <n v="0"/>
    <n v="0.25909180637552176"/>
    <n v="1"/>
    <n v="71.95"/>
    <n v="71.95"/>
    <n v="-10.056409247997752"/>
    <n v="1475.5785466787233"/>
    <n v="0"/>
    <n v="1"/>
    <n v="0"/>
    <n v="0"/>
    <n v="0"/>
    <n v="0"/>
    <n v="0"/>
    <n v="0"/>
    <n v="0"/>
    <n v="0"/>
  </r>
  <r>
    <d v="2006-07-30T00:00:00"/>
    <n v="2006"/>
    <x v="25"/>
    <s v="R"/>
    <s v="RS"/>
    <x v="4"/>
    <s v="SAC"/>
    <s v="A"/>
    <n v="1"/>
    <n v="1"/>
    <n v="0"/>
    <n v="0"/>
    <n v="0"/>
    <n v="0"/>
    <n v="1605.7238170243234"/>
    <n v="1597.0581539620603"/>
    <n v="0.39325286316380559"/>
    <n v="61"/>
    <n v="94"/>
    <n v="0"/>
    <n v="-33"/>
    <n v="0"/>
    <n v="0.73377679510031601"/>
    <n v="1"/>
    <n v="72.099999999999994"/>
    <n v="72.099999999999994"/>
    <n v="-20.805163425497582"/>
    <n v="1584.9186535988258"/>
    <n v="0"/>
    <n v="1"/>
    <n v="0"/>
    <n v="0"/>
    <n v="0"/>
    <n v="0"/>
    <n v="0"/>
    <n v="0"/>
    <n v="0"/>
    <n v="0"/>
  </r>
  <r>
    <d v="2006-07-30T00:00:00"/>
    <n v="2006"/>
    <x v="27"/>
    <s v="R"/>
    <s v="RS"/>
    <x v="7"/>
    <s v="DET"/>
    <s v="H"/>
    <n v="1"/>
    <n v="1"/>
    <n v="0"/>
    <n v="0"/>
    <n v="0"/>
    <n v="0"/>
    <n v="1597.0581539620603"/>
    <n v="1605.7238170243234"/>
    <n v="0.60674713683619441"/>
    <n v="94"/>
    <n v="61"/>
    <n v="0"/>
    <n v="33"/>
    <n v="1"/>
    <n v="0.73377679510031601"/>
    <n v="1"/>
    <n v="71.8"/>
    <n v="71.8"/>
    <n v="20.718595477818678"/>
    <n v="1617.776749439879"/>
    <n v="1"/>
    <n v="0"/>
    <n v="0"/>
    <n v="0"/>
    <n v="0"/>
    <n v="0"/>
    <n v="0"/>
    <n v="0"/>
    <n v="0"/>
    <n v="0"/>
  </r>
  <r>
    <d v="2006-07-30T00:00:00"/>
    <n v="2006"/>
    <x v="28"/>
    <s v="R"/>
    <s v="RS"/>
    <x v="10"/>
    <s v="SEA"/>
    <s v="A"/>
    <n v="3"/>
    <n v="1"/>
    <n v="2"/>
    <n v="-2"/>
    <n v="16"/>
    <n v="-16"/>
    <n v="1636.5801242654422"/>
    <n v="1530.6579469257463"/>
    <n v="0.57698313871646734"/>
    <n v="71"/>
    <n v="70"/>
    <n v="0"/>
    <n v="1"/>
    <n v="1"/>
    <n v="0.2243744767052325"/>
    <n v="1"/>
    <n v="71.650000000000006"/>
    <n v="71.650000000000006"/>
    <n v="6.8006014905239525"/>
    <n v="1643.3807257559663"/>
    <n v="1"/>
    <n v="0"/>
    <n v="0"/>
    <n v="0"/>
    <n v="0"/>
    <n v="0"/>
    <n v="0"/>
    <n v="0"/>
    <n v="0"/>
    <n v="0"/>
  </r>
  <r>
    <d v="2006-07-30T00:00:00"/>
    <n v="2006"/>
    <x v="27"/>
    <s v="R"/>
    <s v="RS"/>
    <x v="11"/>
    <s v="LAS"/>
    <s v="H"/>
    <n v="1"/>
    <n v="3"/>
    <n v="-2"/>
    <n v="2"/>
    <n v="-16"/>
    <n v="16"/>
    <n v="1530.6579469257463"/>
    <n v="1636.5801242654422"/>
    <n v="0.42301686128353266"/>
    <n v="70"/>
    <n v="71"/>
    <n v="0"/>
    <n v="-1"/>
    <n v="0"/>
    <n v="0.2243744767052325"/>
    <n v="1"/>
    <n v="71.8"/>
    <n v="71.8"/>
    <n v="-6.8148386185571486"/>
    <n v="1523.8431083071891"/>
    <n v="0"/>
    <n v="1"/>
    <n v="0"/>
    <n v="0"/>
    <n v="0"/>
    <n v="0"/>
    <n v="0"/>
    <n v="0"/>
    <n v="0"/>
    <n v="0"/>
  </r>
  <r>
    <d v="2006-07-30T00:00:00"/>
    <n v="2006"/>
    <x v="27"/>
    <s v="R"/>
    <s v="RS"/>
    <x v="1"/>
    <s v="WAS"/>
    <s v="A"/>
    <n v="0"/>
    <n v="0"/>
    <n v="0"/>
    <n v="0"/>
    <n v="0"/>
    <n v="0"/>
    <n v="1391.7868583582158"/>
    <n v="1500.93284890993"/>
    <n v="0.24752844388365111"/>
    <n v="73"/>
    <n v="78"/>
    <n v="0"/>
    <n v="-5"/>
    <n v="0"/>
    <n v="0.30409684895855099"/>
    <n v="1"/>
    <n v="71.8"/>
    <n v="71.8"/>
    <n v="-5.404574102546964"/>
    <n v="1386.3822842556688"/>
    <n v="0"/>
    <n v="1"/>
    <n v="0"/>
    <n v="0"/>
    <n v="0"/>
    <n v="0"/>
    <n v="0"/>
    <n v="0"/>
    <n v="0"/>
    <n v="0"/>
  </r>
  <r>
    <d v="2006-07-30T00:00:00"/>
    <n v="2006"/>
    <x v="27"/>
    <s v="R"/>
    <s v="RS"/>
    <x v="13"/>
    <s v="CHA"/>
    <s v="H"/>
    <n v="0"/>
    <n v="0"/>
    <n v="0"/>
    <n v="0"/>
    <n v="0"/>
    <n v="0"/>
    <n v="1500.93284890993"/>
    <n v="1391.7868583582158"/>
    <n v="0.75247155611634886"/>
    <n v="78"/>
    <n v="73"/>
    <n v="0"/>
    <n v="5"/>
    <n v="1"/>
    <n v="0.30409684895855099"/>
    <n v="1"/>
    <n v="71.8"/>
    <n v="71.8"/>
    <n v="5.404574102546964"/>
    <n v="1506.3374230124771"/>
    <n v="1"/>
    <n v="0"/>
    <n v="0"/>
    <n v="0"/>
    <n v="0"/>
    <n v="0"/>
    <n v="0"/>
    <n v="0"/>
    <n v="0"/>
    <n v="0"/>
  </r>
  <r>
    <d v="2006-08-01T00:00:00"/>
    <n v="2006"/>
    <x v="27"/>
    <s v="R"/>
    <s v="RS"/>
    <x v="6"/>
    <s v="CHI"/>
    <s v="A"/>
    <n v="1"/>
    <n v="1"/>
    <n v="0"/>
    <n v="0"/>
    <n v="0"/>
    <n v="0"/>
    <n v="1475.5785466787233"/>
    <n v="1313.2948543539965"/>
    <n v="0.61079071315315858"/>
    <n v="90"/>
    <n v="70"/>
    <n v="0"/>
    <n v="20"/>
    <n v="1"/>
    <n v="0.50640320706868192"/>
    <n v="1"/>
    <n v="71.8"/>
    <n v="71.8"/>
    <n v="14.151552471555132"/>
    <n v="1489.7300991502784"/>
    <n v="1"/>
    <n v="0"/>
    <n v="0"/>
    <n v="0"/>
    <n v="0"/>
    <n v="0"/>
    <n v="0"/>
    <n v="0"/>
    <n v="0"/>
    <n v="0"/>
  </r>
  <r>
    <d v="2006-08-01T00:00:00"/>
    <n v="2006"/>
    <x v="27"/>
    <s v="R"/>
    <s v="RS"/>
    <x v="0"/>
    <s v="PHX"/>
    <s v="H"/>
    <n v="1"/>
    <n v="1"/>
    <n v="0"/>
    <n v="0"/>
    <n v="0"/>
    <n v="0"/>
    <n v="1313.2948543539965"/>
    <n v="1475.5785466787233"/>
    <n v="0.38920928684684142"/>
    <n v="70"/>
    <n v="90"/>
    <n v="0"/>
    <n v="-20"/>
    <n v="0"/>
    <n v="0.50640320706868192"/>
    <n v="1"/>
    <n v="71.8"/>
    <n v="71.8"/>
    <n v="-14.151552471555132"/>
    <n v="1299.1433018824414"/>
    <n v="0"/>
    <n v="1"/>
    <n v="0"/>
    <n v="0"/>
    <n v="0"/>
    <n v="0"/>
    <n v="0"/>
    <n v="0"/>
    <n v="0"/>
    <n v="0"/>
  </r>
  <r>
    <d v="2006-08-01T00:00:00"/>
    <n v="2006"/>
    <x v="27"/>
    <s v="R"/>
    <s v="RS"/>
    <x v="2"/>
    <s v="CON"/>
    <s v="A"/>
    <n v="1"/>
    <n v="1"/>
    <n v="0"/>
    <n v="0"/>
    <n v="0"/>
    <n v="0"/>
    <n v="1371.2153671226024"/>
    <n v="1678.219889338998"/>
    <n v="9.5280225688776365E-2"/>
    <n v="52"/>
    <n v="66"/>
    <n v="0"/>
    <n v="-14"/>
    <n v="0"/>
    <n v="0.38827336986378391"/>
    <n v="1"/>
    <n v="71.8"/>
    <n v="71.8"/>
    <n v="-2.6562247954266285"/>
    <n v="1368.5591423271758"/>
    <n v="0"/>
    <n v="1"/>
    <n v="0"/>
    <n v="0"/>
    <n v="0"/>
    <n v="0"/>
    <n v="0"/>
    <n v="0"/>
    <n v="0"/>
    <n v="0"/>
  </r>
  <r>
    <d v="2006-08-01T00:00:00"/>
    <n v="2006"/>
    <x v="27"/>
    <s v="R"/>
    <s v="RS"/>
    <x v="3"/>
    <s v="NYL"/>
    <s v="H"/>
    <n v="1"/>
    <n v="1"/>
    <n v="0"/>
    <n v="0"/>
    <n v="0"/>
    <n v="0"/>
    <n v="1678.219889338998"/>
    <n v="1371.2153671226024"/>
    <n v="0.90471977431122363"/>
    <n v="66"/>
    <n v="52"/>
    <n v="0"/>
    <n v="14"/>
    <n v="1"/>
    <n v="0.38827336986378391"/>
    <n v="1"/>
    <n v="71.8"/>
    <n v="71.8"/>
    <n v="2.6562247954266285"/>
    <n v="1680.8761141344246"/>
    <n v="1"/>
    <n v="0"/>
    <n v="0"/>
    <n v="0"/>
    <n v="0"/>
    <n v="0"/>
    <n v="0"/>
    <n v="0"/>
    <n v="0"/>
    <n v="0"/>
  </r>
  <r>
    <d v="2006-08-01T00:00:00"/>
    <n v="2006"/>
    <x v="27"/>
    <s v="R"/>
    <s v="RS"/>
    <x v="5"/>
    <s v="DET"/>
    <s v="A"/>
    <n v="1"/>
    <n v="1"/>
    <n v="0"/>
    <n v="0"/>
    <n v="0"/>
    <n v="0"/>
    <n v="1564.0850173901729"/>
    <n v="1584.9186535988258"/>
    <n v="0.35355000404636017"/>
    <n v="66"/>
    <n v="70"/>
    <n v="0"/>
    <n v="-4"/>
    <n v="0"/>
    <n v="0.30611810716917598"/>
    <n v="1"/>
    <n v="71.8"/>
    <n v="71.8"/>
    <n v="-7.7707745664338264"/>
    <n v="1556.3142428237391"/>
    <n v="0"/>
    <n v="1"/>
    <n v="0"/>
    <n v="0"/>
    <n v="0"/>
    <n v="0"/>
    <n v="0"/>
    <n v="0"/>
    <n v="0"/>
    <n v="0"/>
  </r>
  <r>
    <d v="2006-08-01T00:00:00"/>
    <n v="2006"/>
    <x v="26"/>
    <s v="R"/>
    <s v="RS"/>
    <x v="4"/>
    <s v="IND"/>
    <s v="H"/>
    <n v="1"/>
    <n v="1"/>
    <n v="0"/>
    <n v="0"/>
    <n v="0"/>
    <n v="0"/>
    <n v="1584.9186535988258"/>
    <n v="1564.0850173901729"/>
    <n v="0.64644999595363994"/>
    <n v="70"/>
    <n v="66"/>
    <n v="0"/>
    <n v="4"/>
    <n v="1"/>
    <n v="0.30611810716917598"/>
    <n v="1"/>
    <n v="71.95"/>
    <n v="71.95"/>
    <n v="7.7870087751380739"/>
    <n v="1592.7056623739638"/>
    <n v="1"/>
    <n v="0"/>
    <n v="0"/>
    <n v="0"/>
    <n v="0"/>
    <n v="0"/>
    <n v="0"/>
    <n v="0"/>
    <n v="0"/>
    <n v="0"/>
  </r>
  <r>
    <d v="2006-08-01T00:00:00"/>
    <n v="2006"/>
    <x v="28"/>
    <s v="R"/>
    <s v="RS"/>
    <x v="11"/>
    <s v="MIN"/>
    <s v="A"/>
    <n v="1"/>
    <n v="1"/>
    <n v="0"/>
    <n v="0"/>
    <n v="0"/>
    <n v="0"/>
    <n v="1523.8431083071891"/>
    <n v="1367.0832261483802"/>
    <n v="0.60320553106875263"/>
    <n v="77"/>
    <n v="75"/>
    <n v="0"/>
    <n v="2"/>
    <n v="1"/>
    <n v="0.23689496512838576"/>
    <n v="1"/>
    <n v="71.650000000000006"/>
    <n v="71.650000000000006"/>
    <n v="6.7350005412452907"/>
    <n v="1530.5781088484343"/>
    <n v="1"/>
    <n v="0"/>
    <n v="0"/>
    <n v="0"/>
    <n v="0"/>
    <n v="0"/>
    <n v="0"/>
    <n v="0"/>
    <n v="0"/>
    <n v="0"/>
  </r>
  <r>
    <d v="2006-08-01T00:00:00"/>
    <n v="2006"/>
    <x v="27"/>
    <s v="R"/>
    <s v="RS"/>
    <x v="12"/>
    <s v="SEA"/>
    <s v="H"/>
    <n v="1"/>
    <n v="1"/>
    <n v="0"/>
    <n v="0"/>
    <n v="0"/>
    <n v="0"/>
    <n v="1367.0832261483802"/>
    <n v="1523.8431083071891"/>
    <n v="0.39679446893124737"/>
    <n v="75"/>
    <n v="77"/>
    <n v="0"/>
    <n v="-2"/>
    <n v="0"/>
    <n v="0.23689496512838576"/>
    <n v="1"/>
    <n v="71.8"/>
    <n v="71.8"/>
    <n v="-6.7491003330273802"/>
    <n v="1360.3341258153528"/>
    <n v="0"/>
    <n v="1"/>
    <n v="0"/>
    <n v="0"/>
    <n v="0"/>
    <n v="0"/>
    <n v="0"/>
    <n v="0"/>
    <n v="0"/>
    <n v="0"/>
  </r>
  <r>
    <d v="2006-08-01T00:00:00"/>
    <n v="2006"/>
    <x v="28"/>
    <s v="R"/>
    <s v="RS"/>
    <x v="9"/>
    <s v="SAC"/>
    <s v="A"/>
    <n v="1"/>
    <n v="1"/>
    <n v="0"/>
    <n v="0"/>
    <n v="0"/>
    <n v="0"/>
    <n v="1536.1943262730867"/>
    <n v="1617.776749439879"/>
    <n v="0.27824794760820992"/>
    <n v="62"/>
    <n v="74"/>
    <n v="0"/>
    <n v="-12"/>
    <n v="0"/>
    <n v="0.42709335099909762"/>
    <n v="1"/>
    <n v="71.650000000000006"/>
    <n v="71.650000000000006"/>
    <n v="-8.5147318344646301"/>
    <n v="1527.6795944386222"/>
    <n v="0"/>
    <n v="1"/>
    <n v="0"/>
    <n v="0"/>
    <n v="0"/>
    <n v="0"/>
    <n v="0"/>
    <n v="0"/>
    <n v="0"/>
    <n v="0"/>
  </r>
  <r>
    <d v="2006-08-01T00:00:00"/>
    <n v="2006"/>
    <x v="28"/>
    <s v="R"/>
    <s v="RS"/>
    <x v="7"/>
    <s v="HOU"/>
    <s v="H"/>
    <n v="1"/>
    <n v="1"/>
    <n v="0"/>
    <n v="0"/>
    <n v="0"/>
    <n v="0"/>
    <n v="1617.776749439879"/>
    <n v="1536.1943262730867"/>
    <n v="0.72175205239179008"/>
    <n v="74"/>
    <n v="62"/>
    <n v="0"/>
    <n v="12"/>
    <n v="1"/>
    <n v="0.42709335099909762"/>
    <n v="1"/>
    <n v="71.650000000000006"/>
    <n v="71.650000000000006"/>
    <n v="8.5147318344646301"/>
    <n v="1626.2914812743436"/>
    <n v="1"/>
    <n v="0"/>
    <n v="0"/>
    <n v="0"/>
    <n v="0"/>
    <n v="0"/>
    <n v="0"/>
    <n v="0"/>
    <n v="0"/>
    <n v="0"/>
  </r>
  <r>
    <d v="2006-08-01T00:00:00"/>
    <n v="2006"/>
    <x v="28"/>
    <s v="R"/>
    <s v="RS"/>
    <x v="1"/>
    <s v="SAS"/>
    <s v="A"/>
    <n v="1"/>
    <n v="1"/>
    <n v="0"/>
    <n v="0"/>
    <n v="0"/>
    <n v="0"/>
    <n v="1386.3822842556688"/>
    <n v="1436.0433817041521"/>
    <n v="0.31660563978007888"/>
    <n v="68"/>
    <n v="65"/>
    <n v="0"/>
    <n v="3"/>
    <n v="1"/>
    <n v="0.27865172888028139"/>
    <n v="1"/>
    <n v="71.650000000000006"/>
    <n v="71.650000000000006"/>
    <n v="13.644239281732856"/>
    <n v="1400.0265235374015"/>
    <n v="1"/>
    <n v="0"/>
    <n v="0"/>
    <n v="0"/>
    <n v="0"/>
    <n v="0"/>
    <n v="0"/>
    <n v="0"/>
    <n v="0"/>
    <n v="0"/>
  </r>
  <r>
    <d v="2006-08-01T00:00:00"/>
    <n v="2006"/>
    <x v="27"/>
    <s v="R"/>
    <s v="RS"/>
    <x v="8"/>
    <s v="CHA"/>
    <s v="H"/>
    <n v="1"/>
    <n v="1"/>
    <n v="0"/>
    <n v="0"/>
    <n v="0"/>
    <n v="0"/>
    <n v="1436.0433817041521"/>
    <n v="1386.3822842556688"/>
    <n v="0.68339436021992106"/>
    <n v="65"/>
    <n v="68"/>
    <n v="0"/>
    <n v="-3"/>
    <n v="0"/>
    <n v="0.27865172888028139"/>
    <n v="1"/>
    <n v="71.8"/>
    <n v="71.8"/>
    <n v="-13.672803634730201"/>
    <n v="1422.370578069422"/>
    <n v="0"/>
    <n v="1"/>
    <n v="0"/>
    <n v="0"/>
    <n v="0"/>
    <n v="0"/>
    <n v="0"/>
    <n v="0"/>
    <n v="0"/>
    <n v="0"/>
  </r>
  <r>
    <d v="2006-08-01T00:00:00"/>
    <n v="2006"/>
    <x v="29"/>
    <s v="R"/>
    <s v="RS"/>
    <x v="10"/>
    <s v="WAS"/>
    <s v="A"/>
    <n v="1"/>
    <n v="1"/>
    <n v="0"/>
    <n v="0"/>
    <n v="0"/>
    <n v="0"/>
    <n v="1643.3807257559663"/>
    <n v="1506.3374230124771"/>
    <n v="0.57574784093415765"/>
    <n v="74"/>
    <n v="84"/>
    <n v="0"/>
    <n v="-10"/>
    <n v="0"/>
    <n v="0.37976005575651373"/>
    <n v="1"/>
    <n v="71.5"/>
    <n v="71.5"/>
    <n v="-15.63319130050164"/>
    <n v="1627.7475344554646"/>
    <n v="0"/>
    <n v="1"/>
    <n v="0"/>
    <n v="0"/>
    <n v="0"/>
    <n v="0"/>
    <n v="0"/>
    <n v="0"/>
    <n v="0"/>
    <n v="0"/>
  </r>
  <r>
    <d v="2006-08-01T00:00:00"/>
    <n v="2006"/>
    <x v="28"/>
    <s v="R"/>
    <s v="RS"/>
    <x v="13"/>
    <s v="LAS"/>
    <s v="H"/>
    <n v="1"/>
    <n v="1"/>
    <n v="0"/>
    <n v="0"/>
    <n v="0"/>
    <n v="0"/>
    <n v="1506.3374230124771"/>
    <n v="1643.3807257559663"/>
    <n v="0.42425215906584235"/>
    <n v="84"/>
    <n v="74"/>
    <n v="0"/>
    <n v="10"/>
    <n v="1"/>
    <n v="0.37976005575651373"/>
    <n v="1"/>
    <n v="71.650000000000006"/>
    <n v="71.650000000000006"/>
    <n v="15.665988205327869"/>
    <n v="1522.003411217805"/>
    <n v="1"/>
    <n v="0"/>
    <n v="0"/>
    <n v="0"/>
    <n v="0"/>
    <n v="0"/>
    <n v="0"/>
    <n v="0"/>
    <n v="0"/>
    <n v="0"/>
  </r>
  <r>
    <d v="2006-08-03T00:00:00"/>
    <n v="2006"/>
    <x v="30"/>
    <s v="R"/>
    <s v="RS"/>
    <x v="10"/>
    <s v="CON"/>
    <s v="A"/>
    <n v="1"/>
    <n v="1"/>
    <n v="0"/>
    <n v="0"/>
    <n v="0"/>
    <n v="0"/>
    <n v="1627.7475344554646"/>
    <n v="1680.8761141344246"/>
    <n v="0.31230276484374087"/>
    <n v="63"/>
    <n v="72"/>
    <n v="0"/>
    <n v="-9"/>
    <n v="0"/>
    <n v="0.38875965361950232"/>
    <n v="1"/>
    <n v="71.349999999999994"/>
    <n v="71.349999999999994"/>
    <n v="-8.6626544927794278"/>
    <n v="1619.0848799626851"/>
    <n v="0"/>
    <n v="1"/>
    <n v="0"/>
    <n v="0"/>
    <n v="0"/>
    <n v="0"/>
    <n v="0"/>
    <n v="0"/>
    <n v="0"/>
    <n v="0"/>
  </r>
  <r>
    <d v="2006-08-03T00:00:00"/>
    <n v="2006"/>
    <x v="28"/>
    <s v="R"/>
    <s v="RS"/>
    <x v="3"/>
    <s v="LAS"/>
    <s v="H"/>
    <n v="1"/>
    <n v="1"/>
    <n v="0"/>
    <n v="0"/>
    <n v="0"/>
    <n v="0"/>
    <n v="1680.8761141344246"/>
    <n v="1627.7475344554646"/>
    <n v="0.68769723515625913"/>
    <n v="72"/>
    <n v="63"/>
    <n v="0"/>
    <n v="9"/>
    <n v="1"/>
    <n v="0.38875965361950232"/>
    <n v="1"/>
    <n v="71.650000000000006"/>
    <n v="71.650000000000006"/>
    <n v="8.6990777071849497"/>
    <n v="1689.5751918416095"/>
    <n v="1"/>
    <n v="0"/>
    <n v="0"/>
    <n v="0"/>
    <n v="0"/>
    <n v="0"/>
    <n v="0"/>
    <n v="0"/>
    <n v="0"/>
    <n v="0"/>
  </r>
  <r>
    <d v="2006-08-03T00:00:00"/>
    <n v="2006"/>
    <x v="28"/>
    <s v="R"/>
    <s v="RS"/>
    <x v="12"/>
    <s v="IND"/>
    <s v="A"/>
    <n v="1"/>
    <n v="1"/>
    <n v="0"/>
    <n v="0"/>
    <n v="0"/>
    <n v="0"/>
    <n v="1360.3341258153528"/>
    <n v="1556.3142428237391"/>
    <n v="0.16635340292101083"/>
    <n v="59"/>
    <n v="69"/>
    <n v="0"/>
    <n v="-10"/>
    <n v="0"/>
    <n v="0.36372698508548346"/>
    <n v="1"/>
    <n v="71.650000000000006"/>
    <n v="71.650000000000006"/>
    <n v="-4.3353424350321257"/>
    <n v="1355.9987833803207"/>
    <n v="0"/>
    <n v="1"/>
    <n v="0"/>
    <n v="0"/>
    <n v="0"/>
    <n v="0"/>
    <n v="0"/>
    <n v="0"/>
    <n v="0"/>
    <n v="0"/>
  </r>
  <r>
    <d v="2006-08-03T00:00:00"/>
    <n v="2006"/>
    <x v="28"/>
    <s v="R"/>
    <s v="RS"/>
    <x v="5"/>
    <s v="MIN"/>
    <s v="H"/>
    <n v="1"/>
    <n v="1"/>
    <n v="0"/>
    <n v="0"/>
    <n v="0"/>
    <n v="0"/>
    <n v="1556.3142428237391"/>
    <n v="1360.3341258153528"/>
    <n v="0.83364659707898925"/>
    <n v="69"/>
    <n v="59"/>
    <n v="0"/>
    <n v="10"/>
    <n v="1"/>
    <n v="0.36372698508548346"/>
    <n v="1"/>
    <n v="71.650000000000006"/>
    <n v="71.650000000000006"/>
    <n v="4.335342435032123"/>
    <n v="1560.6495852587711"/>
    <n v="1"/>
    <n v="0"/>
    <n v="0"/>
    <n v="0"/>
    <n v="0"/>
    <n v="0"/>
    <n v="0"/>
    <n v="0"/>
    <n v="0"/>
    <n v="0"/>
  </r>
  <r>
    <d v="2006-08-03T00:00:00"/>
    <n v="2006"/>
    <x v="27"/>
    <s v="R"/>
    <s v="RS"/>
    <x v="4"/>
    <s v="NYL"/>
    <s v="A"/>
    <n v="1"/>
    <n v="1"/>
    <n v="0"/>
    <n v="0"/>
    <n v="0"/>
    <n v="0"/>
    <n v="1592.7056623739638"/>
    <n v="1368.5591423271758"/>
    <n v="0.69141613710478267"/>
    <n v="67"/>
    <n v="75"/>
    <n v="0"/>
    <n v="-8"/>
    <n v="0"/>
    <n v="0.32719852588503157"/>
    <n v="1"/>
    <n v="71.8"/>
    <n v="71.8"/>
    <n v="-16.243338471867396"/>
    <n v="1576.4623239020964"/>
    <n v="0"/>
    <n v="1"/>
    <n v="0"/>
    <n v="0"/>
    <n v="0"/>
    <n v="0"/>
    <n v="0"/>
    <n v="0"/>
    <n v="0"/>
    <n v="0"/>
  </r>
  <r>
    <d v="2006-08-03T00:00:00"/>
    <n v="2006"/>
    <x v="28"/>
    <s v="R"/>
    <s v="RS"/>
    <x v="2"/>
    <s v="DET"/>
    <s v="H"/>
    <n v="1"/>
    <n v="1"/>
    <n v="0"/>
    <n v="0"/>
    <n v="0"/>
    <n v="0"/>
    <n v="1368.5591423271758"/>
    <n v="1592.7056623739638"/>
    <n v="0.30858386289521733"/>
    <n v="75"/>
    <n v="67"/>
    <n v="0"/>
    <n v="8"/>
    <n v="1"/>
    <n v="0.32719852588503157"/>
    <n v="1"/>
    <n v="71.650000000000006"/>
    <n v="71.650000000000006"/>
    <n v="16.209403920742329"/>
    <n v="1384.768546247918"/>
    <n v="1"/>
    <n v="0"/>
    <n v="0"/>
    <n v="0"/>
    <n v="0"/>
    <n v="0"/>
    <n v="0"/>
    <n v="0"/>
    <n v="0"/>
    <n v="0"/>
  </r>
  <r>
    <d v="2006-08-03T00:00:00"/>
    <n v="2006"/>
    <x v="29"/>
    <s v="R"/>
    <s v="RS"/>
    <x v="1"/>
    <s v="PHX"/>
    <s v="A"/>
    <n v="1"/>
    <n v="1"/>
    <n v="0"/>
    <n v="0"/>
    <n v="0"/>
    <n v="0"/>
    <n v="1400.0265235374015"/>
    <n v="1489.7300991502784"/>
    <n v="0.26895751249025424"/>
    <n v="84"/>
    <n v="112"/>
    <n v="0"/>
    <n v="-28"/>
    <n v="0"/>
    <n v="0.63185650369158086"/>
    <n v="1"/>
    <n v="71.5"/>
    <n v="71.5"/>
    <n v="-12.150892574082887"/>
    <n v="1387.8756309633186"/>
    <n v="0"/>
    <n v="1"/>
    <n v="0"/>
    <n v="0"/>
    <n v="0"/>
    <n v="0"/>
    <n v="0"/>
    <n v="0"/>
    <n v="0"/>
    <n v="0"/>
  </r>
  <r>
    <d v="2006-08-03T00:00:00"/>
    <n v="2006"/>
    <x v="28"/>
    <s v="R"/>
    <s v="RS"/>
    <x v="6"/>
    <s v="CHA"/>
    <s v="H"/>
    <n v="1"/>
    <n v="1"/>
    <n v="0"/>
    <n v="0"/>
    <n v="0"/>
    <n v="0"/>
    <n v="1489.7300991502784"/>
    <n v="1400.0265235374015"/>
    <n v="0.73104248750974576"/>
    <n v="112"/>
    <n v="84"/>
    <n v="0"/>
    <n v="28"/>
    <n v="1"/>
    <n v="0.63185650369158086"/>
    <n v="1"/>
    <n v="71.650000000000006"/>
    <n v="71.650000000000006"/>
    <n v="12.176383957105438"/>
    <n v="1501.9064831073838"/>
    <n v="1"/>
    <n v="0"/>
    <n v="0"/>
    <n v="0"/>
    <n v="0"/>
    <n v="0"/>
    <n v="0"/>
    <n v="0"/>
    <n v="0"/>
    <n v="0"/>
  </r>
  <r>
    <d v="2006-08-03T00:00:00"/>
    <n v="2006"/>
    <x v="29"/>
    <s v="R"/>
    <s v="RS"/>
    <x v="7"/>
    <s v="SAS"/>
    <s v="A"/>
    <n v="1"/>
    <n v="1"/>
    <n v="0"/>
    <n v="0"/>
    <n v="0"/>
    <n v="0"/>
    <n v="1626.2914812743436"/>
    <n v="1422.370578069422"/>
    <n v="0.66603815530699295"/>
    <n v="87"/>
    <n v="69"/>
    <n v="0"/>
    <n v="18"/>
    <n v="1"/>
    <n v="0.46740576128867845"/>
    <n v="1"/>
    <n v="71.5"/>
    <n v="71.5"/>
    <n v="11.160841853597605"/>
    <n v="1637.4523231279411"/>
    <n v="1"/>
    <n v="0"/>
    <n v="0"/>
    <n v="0"/>
    <n v="0"/>
    <n v="0"/>
    <n v="0"/>
    <n v="0"/>
    <n v="0"/>
    <n v="0"/>
  </r>
  <r>
    <d v="2006-08-03T00:00:00"/>
    <n v="2006"/>
    <x v="28"/>
    <s v="R"/>
    <s v="RS"/>
    <x v="8"/>
    <s v="SAC"/>
    <s v="H"/>
    <n v="1"/>
    <n v="1"/>
    <n v="0"/>
    <n v="0"/>
    <n v="0"/>
    <n v="0"/>
    <n v="1422.370578069422"/>
    <n v="1626.2914812743436"/>
    <n v="0.33396184469300699"/>
    <n v="69"/>
    <n v="87"/>
    <n v="0"/>
    <n v="-18"/>
    <n v="0"/>
    <n v="0.46740576128867845"/>
    <n v="1"/>
    <n v="71.650000000000006"/>
    <n v="71.650000000000006"/>
    <n v="-11.184256207136618"/>
    <n v="1411.1863218622855"/>
    <n v="0"/>
    <n v="1"/>
    <n v="0"/>
    <n v="0"/>
    <n v="0"/>
    <n v="0"/>
    <n v="0"/>
    <n v="0"/>
    <n v="0"/>
    <n v="0"/>
  </r>
  <r>
    <d v="2006-08-03T00:00:00"/>
    <n v="2006"/>
    <x v="29"/>
    <s v="R"/>
    <s v="RS"/>
    <x v="13"/>
    <s v="SEA"/>
    <s v="A"/>
    <n v="1"/>
    <n v="1"/>
    <n v="0"/>
    <n v="0"/>
    <n v="0"/>
    <n v="0"/>
    <n v="1522.003411217805"/>
    <n v="1530.5781088484343"/>
    <n v="0.36984011159611824"/>
    <n v="78"/>
    <n v="86"/>
    <n v="0"/>
    <n v="-8"/>
    <n v="0"/>
    <n v="0.38556048121571823"/>
    <n v="1"/>
    <n v="71.5"/>
    <n v="71.5"/>
    <n v="-10.195594795091012"/>
    <n v="1511.807816422714"/>
    <n v="0"/>
    <n v="1"/>
    <n v="0"/>
    <n v="0"/>
    <n v="0"/>
    <n v="0"/>
    <n v="0"/>
    <n v="0"/>
    <n v="0"/>
    <n v="0"/>
  </r>
  <r>
    <d v="2006-08-03T00:00:00"/>
    <n v="2006"/>
    <x v="29"/>
    <s v="R"/>
    <s v="RS"/>
    <x v="11"/>
    <s v="WAS"/>
    <s v="H"/>
    <n v="1"/>
    <n v="1"/>
    <n v="0"/>
    <n v="0"/>
    <n v="0"/>
    <n v="0"/>
    <n v="1530.5781088484343"/>
    <n v="1522.003411217805"/>
    <n v="0.63015988840388182"/>
    <n v="86"/>
    <n v="78"/>
    <n v="0"/>
    <n v="8"/>
    <n v="1"/>
    <n v="0.38556048121571823"/>
    <n v="1"/>
    <n v="71.5"/>
    <n v="71.5"/>
    <n v="10.19559479509101"/>
    <n v="1540.7737036435253"/>
    <n v="1"/>
    <n v="0"/>
    <n v="0"/>
    <n v="0"/>
    <n v="0"/>
    <n v="0"/>
    <n v="0"/>
    <n v="0"/>
    <n v="0"/>
    <n v="0"/>
  </r>
  <r>
    <d v="2006-08-04T00:00:00"/>
    <n v="2006"/>
    <x v="28"/>
    <s v="R"/>
    <s v="RS"/>
    <x v="4"/>
    <s v="CHI"/>
    <s v="A"/>
    <n v="0"/>
    <n v="2"/>
    <n v="-2"/>
    <n v="2"/>
    <n v="-16"/>
    <n v="16"/>
    <n v="1576.4623239020964"/>
    <n v="1299.1433018824414"/>
    <n v="0.71679663803158122"/>
    <n v="76"/>
    <n v="49"/>
    <n v="0"/>
    <n v="27"/>
    <n v="1"/>
    <n v="0.54152149134742289"/>
    <n v="1"/>
    <n v="71.650000000000006"/>
    <n v="71.650000000000006"/>
    <n v="10.988294651372726"/>
    <n v="1587.4506185534692"/>
    <n v="1"/>
    <n v="0"/>
    <n v="0"/>
    <n v="0"/>
    <n v="0"/>
    <n v="0"/>
    <n v="0"/>
    <n v="0"/>
    <n v="0"/>
    <n v="0"/>
  </r>
  <r>
    <d v="2006-08-04T00:00:00"/>
    <n v="2006"/>
    <x v="28"/>
    <s v="R"/>
    <s v="RS"/>
    <x v="0"/>
    <s v="DET"/>
    <s v="H"/>
    <n v="2"/>
    <n v="0"/>
    <n v="2"/>
    <n v="-2"/>
    <n v="16"/>
    <n v="-16"/>
    <n v="1299.1433018824414"/>
    <n v="1576.4623239020964"/>
    <n v="0.28320336196841883"/>
    <n v="49"/>
    <n v="76"/>
    <n v="0"/>
    <n v="-27"/>
    <n v="0"/>
    <n v="0.54152149134742289"/>
    <n v="1"/>
    <n v="71.650000000000006"/>
    <n v="71.650000000000006"/>
    <n v="-10.98829465137273"/>
    <n v="1288.1550072310686"/>
    <n v="0"/>
    <n v="1"/>
    <n v="0"/>
    <n v="0"/>
    <n v="0"/>
    <n v="0"/>
    <n v="0"/>
    <n v="0"/>
    <n v="0"/>
    <n v="0"/>
  </r>
  <r>
    <d v="2006-08-04T00:00:00"/>
    <n v="2006"/>
    <x v="29"/>
    <s v="R"/>
    <s v="RS"/>
    <x v="9"/>
    <s v="MIN"/>
    <s v="A"/>
    <n v="2"/>
    <n v="0"/>
    <n v="2"/>
    <n v="-2"/>
    <n v="16"/>
    <n v="-16"/>
    <n v="1527.6795944386222"/>
    <n v="1355.9987833803207"/>
    <n v="0.66573066656763624"/>
    <n v="77"/>
    <n v="73"/>
    <n v="1"/>
    <n v="4"/>
    <n v="1"/>
    <n v="0.2452081788887063"/>
    <n v="1"/>
    <n v="71.5"/>
    <n v="71.5"/>
    <n v="5.8605385774143546"/>
    <n v="1533.5401330160366"/>
    <n v="1"/>
    <n v="0"/>
    <n v="0"/>
    <n v="0"/>
    <n v="0"/>
    <n v="0"/>
    <n v="0"/>
    <n v="0"/>
    <n v="0"/>
    <n v="0"/>
  </r>
  <r>
    <d v="2006-08-04T00:00:00"/>
    <n v="2006"/>
    <x v="29"/>
    <s v="R"/>
    <s v="RS"/>
    <x v="12"/>
    <s v="HOU"/>
    <s v="H"/>
    <n v="0"/>
    <n v="2"/>
    <n v="-2"/>
    <n v="2"/>
    <n v="-16"/>
    <n v="16"/>
    <n v="1355.9987833803207"/>
    <n v="1527.6795944386222"/>
    <n v="0.33426933343236376"/>
    <n v="73"/>
    <n v="77"/>
    <n v="1"/>
    <n v="-4"/>
    <n v="0"/>
    <n v="0.2452081788887063"/>
    <n v="1"/>
    <n v="71.5"/>
    <n v="71.5"/>
    <n v="-5.8605385774143546"/>
    <n v="1350.1382448029062"/>
    <n v="0"/>
    <n v="1"/>
    <n v="0"/>
    <n v="0"/>
    <n v="0"/>
    <n v="0"/>
    <n v="0"/>
    <n v="0"/>
    <n v="0"/>
    <n v="0"/>
  </r>
  <r>
    <d v="2006-08-05T00:00:00"/>
    <n v="2006"/>
    <x v="29"/>
    <s v="R"/>
    <s v="RS"/>
    <x v="8"/>
    <s v="IND"/>
    <s v="A"/>
    <n v="1"/>
    <n v="1"/>
    <n v="0"/>
    <n v="0"/>
    <n v="0"/>
    <n v="0"/>
    <n v="1411.1863218622855"/>
    <n v="1560.6495852587711"/>
    <n v="0.20686573258212301"/>
    <n v="70"/>
    <n v="76"/>
    <n v="0"/>
    <n v="-6"/>
    <n v="0"/>
    <n v="0.31237375980744891"/>
    <n v="1"/>
    <n v="71.5"/>
    <n v="71.5"/>
    <n v="-4.620289006333004"/>
    <n v="1406.5660328559525"/>
    <n v="0"/>
    <n v="1"/>
    <n v="0"/>
    <n v="0"/>
    <n v="0"/>
    <n v="0"/>
    <n v="0"/>
    <n v="0"/>
    <n v="0"/>
    <n v="0"/>
  </r>
  <r>
    <d v="2006-08-05T00:00:00"/>
    <n v="2006"/>
    <x v="29"/>
    <s v="R"/>
    <s v="RS"/>
    <x v="5"/>
    <s v="SAS"/>
    <s v="H"/>
    <n v="1"/>
    <n v="1"/>
    <n v="0"/>
    <n v="0"/>
    <n v="0"/>
    <n v="0"/>
    <n v="1560.6495852587711"/>
    <n v="1411.1863218622855"/>
    <n v="0.79313426741787696"/>
    <n v="76"/>
    <n v="70"/>
    <n v="0"/>
    <n v="6"/>
    <n v="1"/>
    <n v="0.31237375980744891"/>
    <n v="1"/>
    <n v="71.5"/>
    <n v="71.5"/>
    <n v="4.620289006333004"/>
    <n v="1565.2698742651041"/>
    <n v="1"/>
    <n v="0"/>
    <n v="0"/>
    <n v="0"/>
    <n v="0"/>
    <n v="0"/>
    <n v="0"/>
    <n v="0"/>
    <n v="0"/>
    <n v="0"/>
  </r>
  <r>
    <d v="2006-08-05T00:00:00"/>
    <n v="2006"/>
    <x v="29"/>
    <s v="R"/>
    <s v="RS"/>
    <x v="0"/>
    <s v="NYL"/>
    <s v="A"/>
    <n v="0"/>
    <n v="1"/>
    <n v="-1"/>
    <n v="1"/>
    <n v="-8"/>
    <n v="8"/>
    <n v="1288.1550072310686"/>
    <n v="1384.768546247918"/>
    <n v="0.24382934498574749"/>
    <n v="69"/>
    <n v="80"/>
    <n v="0"/>
    <n v="-11"/>
    <n v="0"/>
    <n v="0.40706282051424647"/>
    <n v="1"/>
    <n v="71.5"/>
    <n v="71.5"/>
    <n v="-7.0966510539238321"/>
    <n v="1281.0583561771448"/>
    <n v="0"/>
    <n v="1"/>
    <n v="0"/>
    <n v="0"/>
    <n v="0"/>
    <n v="0"/>
    <n v="0"/>
    <n v="0"/>
    <n v="0"/>
    <n v="0"/>
  </r>
  <r>
    <d v="2006-08-05T00:00:00"/>
    <n v="2006"/>
    <x v="29"/>
    <s v="R"/>
    <s v="RS"/>
    <x v="2"/>
    <s v="CHI"/>
    <s v="H"/>
    <n v="1"/>
    <n v="0"/>
    <n v="1"/>
    <n v="-1"/>
    <n v="8"/>
    <n v="-8"/>
    <n v="1384.768546247918"/>
    <n v="1288.1550072310686"/>
    <n v="0.75617065501425262"/>
    <n v="80"/>
    <n v="69"/>
    <n v="0"/>
    <n v="11"/>
    <n v="1"/>
    <n v="0.40706282051424647"/>
    <n v="1"/>
    <n v="71.5"/>
    <n v="71.5"/>
    <n v="7.0966510539238294"/>
    <n v="1391.8651973018418"/>
    <n v="1"/>
    <n v="0"/>
    <n v="0"/>
    <n v="0"/>
    <n v="0"/>
    <n v="0"/>
    <n v="0"/>
    <n v="0"/>
    <n v="0"/>
    <n v="0"/>
  </r>
  <r>
    <d v="2006-08-05T00:00:00"/>
    <n v="2006"/>
    <x v="31"/>
    <s v="R"/>
    <s v="RS"/>
    <x v="10"/>
    <s v="PHX"/>
    <s v="A"/>
    <n v="1"/>
    <n v="1"/>
    <n v="0"/>
    <n v="0"/>
    <n v="0"/>
    <n v="0"/>
    <n v="1619.0848799626851"/>
    <n v="1501.9064831073838"/>
    <n v="0.5476029370980382"/>
    <n v="80"/>
    <n v="96"/>
    <n v="0"/>
    <n v="-16"/>
    <n v="0"/>
    <n v="0.47172291940066791"/>
    <n v="1"/>
    <n v="71.2"/>
    <n v="71.2"/>
    <n v="-18.392160158611006"/>
    <n v="1600.6927198040742"/>
    <n v="0"/>
    <n v="1"/>
    <n v="0"/>
    <n v="0"/>
    <n v="0"/>
    <n v="0"/>
    <n v="0"/>
    <n v="0"/>
    <n v="0"/>
    <n v="0"/>
  </r>
  <r>
    <d v="2006-08-05T00:00:00"/>
    <n v="2006"/>
    <x v="29"/>
    <s v="R"/>
    <s v="RS"/>
    <x v="6"/>
    <s v="LAS"/>
    <s v="H"/>
    <n v="1"/>
    <n v="1"/>
    <n v="0"/>
    <n v="0"/>
    <n v="0"/>
    <n v="0"/>
    <n v="1501.9064831073838"/>
    <n v="1619.0848799626851"/>
    <n v="0.4523970629019618"/>
    <n v="96"/>
    <n v="80"/>
    <n v="0"/>
    <n v="16"/>
    <n v="1"/>
    <n v="0.47172291940066791"/>
    <n v="1"/>
    <n v="71.5"/>
    <n v="71.5"/>
    <n v="18.469655215459081"/>
    <n v="1520.376138322843"/>
    <n v="1"/>
    <n v="0"/>
    <n v="0"/>
    <n v="0"/>
    <n v="0"/>
    <n v="0"/>
    <n v="0"/>
    <n v="0"/>
    <n v="0"/>
    <n v="0"/>
  </r>
  <r>
    <d v="2006-08-05T00:00:00"/>
    <n v="2006"/>
    <x v="30"/>
    <s v="R"/>
    <s v="RS"/>
    <x v="13"/>
    <s v="SAC"/>
    <s v="A"/>
    <n v="1"/>
    <n v="1"/>
    <n v="0"/>
    <n v="0"/>
    <n v="0"/>
    <n v="0"/>
    <n v="1511.807816422714"/>
    <n v="1637.4523231279411"/>
    <n v="0.23026583131627459"/>
    <n v="95"/>
    <n v="99"/>
    <n v="1"/>
    <n v="-4"/>
    <n v="0"/>
    <n v="0.25372364309957535"/>
    <n v="1"/>
    <n v="71.349999999999994"/>
    <n v="71.349999999999994"/>
    <n v="-4.1685442377681614"/>
    <n v="1507.6392721849459"/>
    <n v="0"/>
    <n v="1"/>
    <n v="0"/>
    <n v="0"/>
    <n v="0"/>
    <n v="0"/>
    <n v="0"/>
    <n v="0"/>
    <n v="0"/>
    <n v="0"/>
  </r>
  <r>
    <d v="2006-08-05T00:00:00"/>
    <n v="2006"/>
    <x v="30"/>
    <s v="R"/>
    <s v="RS"/>
    <x v="7"/>
    <s v="WAS"/>
    <s v="H"/>
    <n v="1"/>
    <n v="1"/>
    <n v="0"/>
    <n v="0"/>
    <n v="0"/>
    <n v="0"/>
    <n v="1637.4523231279411"/>
    <n v="1511.807816422714"/>
    <n v="0.76973416868372546"/>
    <n v="99"/>
    <n v="95"/>
    <n v="1"/>
    <n v="4"/>
    <n v="1"/>
    <n v="0.25372364309957535"/>
    <n v="1"/>
    <n v="71.349999999999994"/>
    <n v="71.349999999999994"/>
    <n v="4.1685442377681605"/>
    <n v="1641.6208673657093"/>
    <n v="1"/>
    <n v="0"/>
    <n v="0"/>
    <n v="0"/>
    <n v="0"/>
    <n v="0"/>
    <n v="0"/>
    <n v="0"/>
    <n v="0"/>
    <n v="0"/>
  </r>
  <r>
    <d v="2006-08-05T00:00:00"/>
    <n v="2006"/>
    <x v="30"/>
    <s v="R"/>
    <s v="RS"/>
    <x v="1"/>
    <s v="SEA"/>
    <s v="A"/>
    <n v="1"/>
    <n v="1"/>
    <n v="0"/>
    <n v="0"/>
    <n v="0"/>
    <n v="0"/>
    <n v="1387.8756309633186"/>
    <n v="1540.7737036435253"/>
    <n v="0.2036404360931125"/>
    <n v="81"/>
    <n v="87"/>
    <n v="0"/>
    <n v="-6"/>
    <n v="0"/>
    <n v="0.31158068876104561"/>
    <n v="1"/>
    <n v="71.349999999999994"/>
    <n v="71.349999999999994"/>
    <n v="-4.5271879905300318"/>
    <n v="1383.3484429727885"/>
    <n v="0"/>
    <n v="1"/>
    <n v="0"/>
    <n v="0"/>
    <n v="0"/>
    <n v="0"/>
    <n v="0"/>
    <n v="0"/>
    <n v="0"/>
    <n v="0"/>
  </r>
  <r>
    <d v="2006-08-05T00:00:00"/>
    <n v="2006"/>
    <x v="30"/>
    <s v="R"/>
    <s v="RS"/>
    <x v="11"/>
    <s v="CHA"/>
    <s v="H"/>
    <n v="1"/>
    <n v="1"/>
    <n v="0"/>
    <n v="0"/>
    <n v="0"/>
    <n v="0"/>
    <n v="1540.7737036435253"/>
    <n v="1387.8756309633186"/>
    <n v="0.79635956390688745"/>
    <n v="87"/>
    <n v="81"/>
    <n v="0"/>
    <n v="6"/>
    <n v="1"/>
    <n v="0.31158068876104561"/>
    <n v="1"/>
    <n v="71.349999999999994"/>
    <n v="71.349999999999994"/>
    <n v="4.5271879905300327"/>
    <n v="1545.3008916340555"/>
    <n v="1"/>
    <n v="0"/>
    <n v="0"/>
    <n v="0"/>
    <n v="0"/>
    <n v="0"/>
    <n v="0"/>
    <n v="0"/>
    <n v="0"/>
    <n v="0"/>
  </r>
  <r>
    <d v="2006-08-06T00:00:00"/>
    <n v="2006"/>
    <x v="30"/>
    <s v="R"/>
    <s v="RS"/>
    <x v="2"/>
    <s v="DET"/>
    <s v="A"/>
    <n v="0"/>
    <n v="1"/>
    <n v="-1"/>
    <n v="1"/>
    <n v="-8"/>
    <n v="8"/>
    <n v="1391.8651973018418"/>
    <n v="1587.4506185534692"/>
    <n v="0.15426600555011549"/>
    <n v="53"/>
    <n v="65"/>
    <n v="0"/>
    <n v="-12"/>
    <n v="0"/>
    <n v="0.39220482197424689"/>
    <n v="1"/>
    <n v="71.349999999999994"/>
    <n v="71.349999999999994"/>
    <n v="-4.3169512132209586"/>
    <n v="1387.5482460886208"/>
    <n v="0"/>
    <n v="1"/>
    <n v="0"/>
    <n v="0"/>
    <n v="0"/>
    <n v="0"/>
    <n v="0"/>
    <n v="0"/>
    <n v="0"/>
    <n v="0"/>
  </r>
  <r>
    <d v="2006-08-06T00:00:00"/>
    <n v="2006"/>
    <x v="29"/>
    <s v="R"/>
    <s v="RS"/>
    <x v="4"/>
    <s v="NYL"/>
    <s v="H"/>
    <n v="1"/>
    <n v="0"/>
    <n v="1"/>
    <n v="-1"/>
    <n v="8"/>
    <n v="-8"/>
    <n v="1587.4506185534692"/>
    <n v="1391.8651973018418"/>
    <n v="0.84573399444988451"/>
    <n v="65"/>
    <n v="53"/>
    <n v="0"/>
    <n v="12"/>
    <n v="1"/>
    <n v="0.39220482197424689"/>
    <n v="1"/>
    <n v="71.5"/>
    <n v="71.5"/>
    <n v="4.3260267939074781"/>
    <n v="1591.7766453473766"/>
    <n v="1"/>
    <n v="0"/>
    <n v="0"/>
    <n v="0"/>
    <n v="0"/>
    <n v="0"/>
    <n v="0"/>
    <n v="0"/>
    <n v="0"/>
    <n v="0"/>
  </r>
  <r>
    <d v="2006-08-06T00:00:00"/>
    <n v="2006"/>
    <x v="29"/>
    <s v="R"/>
    <s v="RS"/>
    <x v="3"/>
    <s v="HOU"/>
    <s v="A"/>
    <n v="2"/>
    <n v="1"/>
    <n v="1"/>
    <n v="-1"/>
    <n v="8"/>
    <n v="-8"/>
    <n v="1689.5751918416095"/>
    <n v="1533.5401330160366"/>
    <n v="0.6240491079455488"/>
    <n v="86"/>
    <n v="67"/>
    <n v="0"/>
    <n v="19"/>
    <n v="1"/>
    <n v="0.49642749491354421"/>
    <n v="1"/>
    <n v="71.5"/>
    <n v="71.5"/>
    <n v="13.344213708046899"/>
    <n v="1702.9194055496564"/>
    <n v="1"/>
    <n v="0"/>
    <n v="0"/>
    <n v="0"/>
    <n v="0"/>
    <n v="0"/>
    <n v="0"/>
    <n v="0"/>
    <n v="0"/>
    <n v="0"/>
  </r>
  <r>
    <d v="2006-08-06T00:00:00"/>
    <n v="2006"/>
    <x v="30"/>
    <s v="R"/>
    <s v="RS"/>
    <x v="9"/>
    <s v="CON"/>
    <s v="H"/>
    <n v="1"/>
    <n v="2"/>
    <n v="-1"/>
    <n v="1"/>
    <n v="-8"/>
    <n v="8"/>
    <n v="1533.5401330160366"/>
    <n v="1689.5751918416095"/>
    <n v="0.3759508920544512"/>
    <n v="67"/>
    <n v="86"/>
    <n v="0"/>
    <n v="-19"/>
    <n v="0"/>
    <n v="0.49642749491354421"/>
    <n v="1"/>
    <n v="71.349999999999994"/>
    <n v="71.349999999999994"/>
    <n v="-13.316218854113934"/>
    <n v="1520.2239141619227"/>
    <n v="0"/>
    <n v="1"/>
    <n v="0"/>
    <n v="0"/>
    <n v="0"/>
    <n v="0"/>
    <n v="0"/>
    <n v="0"/>
    <n v="0"/>
    <n v="0"/>
  </r>
  <r>
    <d v="2006-08-06T00:00:00"/>
    <n v="2006"/>
    <x v="30"/>
    <s v="R"/>
    <s v="RS"/>
    <x v="8"/>
    <s v="MIN"/>
    <s v="A"/>
    <n v="0"/>
    <n v="1"/>
    <n v="-1"/>
    <n v="1"/>
    <n v="-8"/>
    <n v="8"/>
    <n v="1406.5660328559525"/>
    <n v="1350.1382448029062"/>
    <n v="0.43762123296561628"/>
    <n v="68"/>
    <n v="82"/>
    <n v="0"/>
    <n v="-14"/>
    <n v="0"/>
    <n v="0.46570899641406011"/>
    <n v="1"/>
    <n v="71.349999999999994"/>
    <n v="71.349999999999994"/>
    <n v="-14.541425761011816"/>
    <n v="1392.0246070949406"/>
    <n v="0"/>
    <n v="1"/>
    <n v="0"/>
    <n v="0"/>
    <n v="0"/>
    <n v="0"/>
    <n v="0"/>
    <n v="0"/>
    <n v="0"/>
    <n v="0"/>
  </r>
  <r>
    <d v="2006-08-06T00:00:00"/>
    <n v="2006"/>
    <x v="30"/>
    <s v="R"/>
    <s v="RS"/>
    <x v="12"/>
    <s v="SAS"/>
    <s v="H"/>
    <n v="1"/>
    <n v="0"/>
    <n v="1"/>
    <n v="-1"/>
    <n v="8"/>
    <n v="-8"/>
    <n v="1350.1382448029062"/>
    <n v="1406.5660328559525"/>
    <n v="0.56237876703438372"/>
    <n v="82"/>
    <n v="68"/>
    <n v="0"/>
    <n v="14"/>
    <n v="1"/>
    <n v="0.46570899641406011"/>
    <n v="1"/>
    <n v="71.349999999999994"/>
    <n v="71.349999999999994"/>
    <n v="14.541425761011816"/>
    <n v="1364.6796705639181"/>
    <n v="1"/>
    <n v="0"/>
    <n v="0"/>
    <n v="0"/>
    <n v="0"/>
    <n v="0"/>
    <n v="0"/>
    <n v="0"/>
    <n v="0"/>
    <n v="0"/>
  </r>
  <r>
    <d v="2006-08-08T00:00:00"/>
    <n v="2006"/>
    <x v="31"/>
    <s v="R"/>
    <s v="RS"/>
    <x v="9"/>
    <s v="CHA"/>
    <s v="A"/>
    <n v="1"/>
    <n v="2"/>
    <n v="-1"/>
    <n v="1"/>
    <n v="-8"/>
    <n v="8"/>
    <n v="1520.2239141619227"/>
    <n v="1383.3484429727885"/>
    <n v="0.55286969425784493"/>
    <n v="57"/>
    <n v="68"/>
    <n v="0"/>
    <n v="-11"/>
    <n v="0"/>
    <n v="0.39480353681684593"/>
    <n v="1"/>
    <n v="71.2"/>
    <n v="71.2"/>
    <n v="-15.541173641259396"/>
    <n v="1504.6827405206634"/>
    <n v="0"/>
    <n v="1"/>
    <n v="0"/>
    <n v="0"/>
    <n v="0"/>
    <n v="0"/>
    <n v="0"/>
    <n v="0"/>
    <n v="0"/>
    <n v="0"/>
  </r>
  <r>
    <d v="2006-08-08T00:00:00"/>
    <n v="2006"/>
    <x v="31"/>
    <s v="R"/>
    <s v="RS"/>
    <x v="1"/>
    <s v="HOU"/>
    <s v="H"/>
    <n v="2"/>
    <n v="1"/>
    <n v="1"/>
    <n v="-1"/>
    <n v="8"/>
    <n v="-8"/>
    <n v="1383.3484429727885"/>
    <n v="1520.2239141619227"/>
    <n v="0.44713030574215518"/>
    <n v="68"/>
    <n v="57"/>
    <n v="0"/>
    <n v="11"/>
    <n v="1"/>
    <n v="0.39480353681684593"/>
    <n v="1"/>
    <n v="71.2"/>
    <n v="71.2"/>
    <n v="15.541173641259393"/>
    <n v="1398.8896166140478"/>
    <n v="1"/>
    <n v="0"/>
    <n v="0"/>
    <n v="0"/>
    <n v="0"/>
    <n v="0"/>
    <n v="0"/>
    <n v="0"/>
    <n v="0"/>
    <n v="0"/>
  </r>
  <r>
    <d v="2006-08-08T00:00:00"/>
    <n v="2006"/>
    <x v="30"/>
    <s v="R"/>
    <s v="RS"/>
    <x v="3"/>
    <s v="CHI"/>
    <s v="A"/>
    <n v="1"/>
    <n v="2"/>
    <n v="-1"/>
    <n v="1"/>
    <n v="-8"/>
    <n v="8"/>
    <n v="1702.9194055496564"/>
    <n v="1281.0583561771448"/>
    <n v="0.86445330962465528"/>
    <n v="85"/>
    <n v="59"/>
    <n v="0"/>
    <n v="26"/>
    <n v="1"/>
    <n v="0.4839532072885519"/>
    <n v="1"/>
    <n v="71.349999999999994"/>
    <n v="71.349999999999994"/>
    <n v="4.6804355330998151"/>
    <n v="1707.5998410827563"/>
    <n v="1"/>
    <n v="0"/>
    <n v="0"/>
    <n v="0"/>
    <n v="0"/>
    <n v="0"/>
    <n v="0"/>
    <n v="0"/>
    <n v="0"/>
    <n v="0"/>
  </r>
  <r>
    <d v="2006-08-08T00:00:00"/>
    <n v="2006"/>
    <x v="30"/>
    <s v="R"/>
    <s v="RS"/>
    <x v="0"/>
    <s v="CON"/>
    <s v="H"/>
    <n v="2"/>
    <n v="1"/>
    <n v="1"/>
    <n v="-1"/>
    <n v="8"/>
    <n v="-8"/>
    <n v="1281.0583561771448"/>
    <n v="1702.9194055496564"/>
    <n v="0.13554669037534472"/>
    <n v="59"/>
    <n v="85"/>
    <n v="0"/>
    <n v="-26"/>
    <n v="0"/>
    <n v="0.4839532072885519"/>
    <n v="1"/>
    <n v="71.349999999999994"/>
    <n v="71.349999999999994"/>
    <n v="-4.6804355330998151"/>
    <n v="1276.3779206440449"/>
    <n v="0"/>
    <n v="1"/>
    <n v="0"/>
    <n v="0"/>
    <n v="0"/>
    <n v="0"/>
    <n v="0"/>
    <n v="0"/>
    <n v="0"/>
    <n v="0"/>
  </r>
  <r>
    <d v="2006-08-08T00:00:00"/>
    <n v="2006"/>
    <x v="31"/>
    <s v="R"/>
    <s v="RS"/>
    <x v="11"/>
    <s v="DET"/>
    <s v="A"/>
    <n v="2"/>
    <n v="1"/>
    <n v="1"/>
    <n v="-1"/>
    <n v="8"/>
    <n v="-8"/>
    <n v="1545.3008916340555"/>
    <n v="1591.7766453473766"/>
    <n v="0.34096980901702656"/>
    <n v="81"/>
    <n v="79"/>
    <n v="0"/>
    <n v="2"/>
    <n v="1"/>
    <n v="0.25785466264715273"/>
    <n v="1"/>
    <n v="71.2"/>
    <n v="71.2"/>
    <n v="12.099301338998472"/>
    <n v="1557.4001929730539"/>
    <n v="1"/>
    <n v="0"/>
    <n v="0"/>
    <n v="0"/>
    <n v="0"/>
    <n v="0"/>
    <n v="0"/>
    <n v="0"/>
    <n v="0"/>
    <n v="0"/>
  </r>
  <r>
    <d v="2006-08-08T00:00:00"/>
    <n v="2006"/>
    <x v="30"/>
    <s v="R"/>
    <s v="RS"/>
    <x v="4"/>
    <s v="SEA"/>
    <s v="H"/>
    <n v="1"/>
    <n v="2"/>
    <n v="-1"/>
    <n v="1"/>
    <n v="-8"/>
    <n v="8"/>
    <n v="1591.7766453473766"/>
    <n v="1545.3008916340555"/>
    <n v="0.65903019098297344"/>
    <n v="79"/>
    <n v="81"/>
    <n v="0"/>
    <n v="-2"/>
    <n v="0"/>
    <n v="0.25785466264715273"/>
    <n v="1"/>
    <n v="71.349999999999994"/>
    <n v="71.349999999999994"/>
    <n v="-12.124791440134002"/>
    <n v="1579.6518539072426"/>
    <n v="0"/>
    <n v="1"/>
    <n v="0"/>
    <n v="0"/>
    <n v="0"/>
    <n v="0"/>
    <n v="0"/>
    <n v="0"/>
    <n v="0"/>
    <n v="0"/>
  </r>
  <r>
    <d v="2006-08-08T00:00:00"/>
    <n v="2006"/>
    <x v="30"/>
    <s v="R"/>
    <s v="RS"/>
    <x v="5"/>
    <s v="NYL"/>
    <s v="A"/>
    <n v="2"/>
    <n v="1"/>
    <n v="1"/>
    <n v="-1"/>
    <n v="8"/>
    <n v="-8"/>
    <n v="1565.2698742651041"/>
    <n v="1387.5482460886208"/>
    <n v="0.65285408690678681"/>
    <n v="77"/>
    <n v="44"/>
    <n v="0"/>
    <n v="33"/>
    <n v="1"/>
    <n v="0.64373731126184863"/>
    <n v="1"/>
    <n v="71.349999999999994"/>
    <n v="71.349999999999994"/>
    <n v="15.94463991827023"/>
    <n v="1581.2145141833744"/>
    <n v="1"/>
    <n v="0"/>
    <n v="0"/>
    <n v="0"/>
    <n v="0"/>
    <n v="0"/>
    <n v="0"/>
    <n v="0"/>
    <n v="0"/>
    <n v="0"/>
  </r>
  <r>
    <d v="2006-08-08T00:00:00"/>
    <n v="2006"/>
    <x v="31"/>
    <s v="R"/>
    <s v="RS"/>
    <x v="2"/>
    <s v="IND"/>
    <s v="H"/>
    <n v="1"/>
    <n v="2"/>
    <n v="-1"/>
    <n v="1"/>
    <n v="-8"/>
    <n v="8"/>
    <n v="1387.5482460886208"/>
    <n v="1565.2698742651041"/>
    <n v="0.34714591309321313"/>
    <n v="44"/>
    <n v="77"/>
    <n v="0"/>
    <n v="-33"/>
    <n v="0"/>
    <n v="0.64373731126184863"/>
    <n v="1"/>
    <n v="71.2"/>
    <n v="71.2"/>
    <n v="-15.911119301763705"/>
    <n v="1371.6371267868572"/>
    <n v="0"/>
    <n v="1"/>
    <n v="0"/>
    <n v="0"/>
    <n v="0"/>
    <n v="0"/>
    <n v="0"/>
    <n v="0"/>
    <n v="0"/>
    <n v="0"/>
  </r>
  <r>
    <d v="2006-08-08T00:00:00"/>
    <n v="2006"/>
    <x v="31"/>
    <s v="R"/>
    <s v="RS"/>
    <x v="12"/>
    <s v="PHX"/>
    <s v="A"/>
    <n v="1"/>
    <n v="2"/>
    <n v="-1"/>
    <n v="1"/>
    <n v="-8"/>
    <n v="8"/>
    <n v="1364.6796705639181"/>
    <n v="1520.376138322843"/>
    <n v="0.18665290392918574"/>
    <n v="68"/>
    <n v="99"/>
    <n v="0"/>
    <n v="-31"/>
    <n v="0"/>
    <n v="0.63331392319879476"/>
    <n v="1"/>
    <n v="71.2"/>
    <n v="71.2"/>
    <n v="-8.4165436599054342"/>
    <n v="1356.2631269040126"/>
    <n v="0"/>
    <n v="1"/>
    <n v="0"/>
    <n v="0"/>
    <n v="0"/>
    <n v="0"/>
    <n v="0"/>
    <n v="0"/>
    <n v="0"/>
    <n v="0"/>
  </r>
  <r>
    <d v="2006-08-08T00:00:00"/>
    <n v="2006"/>
    <x v="30"/>
    <s v="R"/>
    <s v="RS"/>
    <x v="6"/>
    <s v="MIN"/>
    <s v="H"/>
    <n v="2"/>
    <n v="1"/>
    <n v="1"/>
    <n v="-1"/>
    <n v="8"/>
    <n v="-8"/>
    <n v="1520.376138322843"/>
    <n v="1364.6796705639181"/>
    <n v="0.81334709607081423"/>
    <n v="99"/>
    <n v="68"/>
    <n v="0"/>
    <n v="31"/>
    <n v="1"/>
    <n v="0.63331392319879476"/>
    <n v="1"/>
    <n v="71.349999999999994"/>
    <n v="71.349999999999994"/>
    <n v="8.4342751423350091"/>
    <n v="1528.810413465178"/>
    <n v="1"/>
    <n v="0"/>
    <n v="0"/>
    <n v="0"/>
    <n v="0"/>
    <n v="0"/>
    <n v="0"/>
    <n v="0"/>
    <n v="0"/>
    <n v="0"/>
  </r>
  <r>
    <d v="2006-08-08T00:00:00"/>
    <n v="2006"/>
    <x v="31"/>
    <s v="R"/>
    <s v="RS"/>
    <x v="8"/>
    <s v="WAS"/>
    <s v="A"/>
    <n v="1"/>
    <n v="2"/>
    <n v="-1"/>
    <n v="1"/>
    <n v="-8"/>
    <n v="8"/>
    <n v="1392.0246070949406"/>
    <n v="1507.6392721849459"/>
    <n v="0.22423104188843909"/>
    <n v="79"/>
    <n v="91"/>
    <n v="0"/>
    <n v="-12"/>
    <n v="0"/>
    <n v="0.4160453255926595"/>
    <n v="1"/>
    <n v="71.2"/>
    <n v="71.2"/>
    <n v="-6.6422677103285324"/>
    <n v="1385.3823393846121"/>
    <n v="0"/>
    <n v="1"/>
    <n v="0"/>
    <n v="0"/>
    <n v="0"/>
    <n v="0"/>
    <n v="0"/>
    <n v="0"/>
    <n v="0"/>
    <n v="0"/>
  </r>
  <r>
    <d v="2006-08-08T00:00:00"/>
    <n v="2006"/>
    <x v="31"/>
    <s v="R"/>
    <s v="RS"/>
    <x v="13"/>
    <s v="SAS"/>
    <s v="H"/>
    <n v="2"/>
    <n v="1"/>
    <n v="1"/>
    <n v="-1"/>
    <n v="8"/>
    <n v="-8"/>
    <n v="1507.6392721849459"/>
    <n v="1392.0246070949406"/>
    <n v="0.77576895811156088"/>
    <n v="91"/>
    <n v="79"/>
    <n v="0"/>
    <n v="12"/>
    <n v="1"/>
    <n v="0.4160453255926595"/>
    <n v="1"/>
    <n v="71.2"/>
    <n v="71.2"/>
    <n v="6.6422677103285332"/>
    <n v="1514.2815398952744"/>
    <n v="1"/>
    <n v="0"/>
    <n v="0"/>
    <n v="0"/>
    <n v="0"/>
    <n v="0"/>
    <n v="0"/>
    <n v="0"/>
    <n v="0"/>
    <n v="0"/>
  </r>
  <r>
    <d v="2006-08-09T00:00:00"/>
    <n v="2006"/>
    <x v="31"/>
    <s v="R"/>
    <s v="RS"/>
    <x v="3"/>
    <s v="IND"/>
    <s v="A"/>
    <n v="0"/>
    <n v="0"/>
    <n v="0"/>
    <n v="0"/>
    <n v="0"/>
    <n v="0"/>
    <n v="1707.5998410827563"/>
    <n v="1581.2145141833744"/>
    <n v="0.56069657684026775"/>
    <n v="71"/>
    <n v="63"/>
    <n v="0"/>
    <n v="8"/>
    <n v="1"/>
    <n v="0.35131468401637045"/>
    <n v="1"/>
    <n v="71.2"/>
    <n v="71.2"/>
    <n v="10.988562522580592"/>
    <n v="1718.5884036053369"/>
    <n v="1"/>
    <n v="0"/>
    <n v="0"/>
    <n v="0"/>
    <n v="0"/>
    <n v="0"/>
    <n v="0"/>
    <n v="0"/>
    <n v="0"/>
    <n v="0"/>
  </r>
  <r>
    <d v="2006-08-09T00:00:00"/>
    <n v="2006"/>
    <x v="31"/>
    <s v="R"/>
    <s v="RS"/>
    <x v="5"/>
    <s v="CON"/>
    <s v="H"/>
    <n v="0"/>
    <n v="0"/>
    <n v="0"/>
    <n v="0"/>
    <n v="0"/>
    <n v="0"/>
    <n v="1581.2145141833744"/>
    <n v="1707.5998410827563"/>
    <n v="0.43930342315973231"/>
    <n v="63"/>
    <n v="71"/>
    <n v="0"/>
    <n v="-8"/>
    <n v="0"/>
    <n v="0.35131468401637045"/>
    <n v="1"/>
    <n v="71.2"/>
    <n v="71.2"/>
    <n v="-10.988562522580592"/>
    <n v="1570.2259516607937"/>
    <n v="0"/>
    <n v="1"/>
    <n v="0"/>
    <n v="0"/>
    <n v="0"/>
    <n v="0"/>
    <n v="0"/>
    <n v="0"/>
    <n v="0"/>
    <n v="0"/>
  </r>
  <r>
    <d v="2006-08-09T00:00:00"/>
    <n v="2006"/>
    <x v="31"/>
    <s v="R"/>
    <s v="RS"/>
    <x v="7"/>
    <s v="LAS"/>
    <s v="A"/>
    <n v="3"/>
    <n v="3"/>
    <n v="0"/>
    <n v="0"/>
    <n v="0"/>
    <n v="0"/>
    <n v="1641.6208673657093"/>
    <n v="1600.6927198040742"/>
    <n v="0.43833022750708728"/>
    <n v="58"/>
    <n v="69"/>
    <n v="0"/>
    <n v="-11"/>
    <n v="0"/>
    <n v="0.42532935153922152"/>
    <n v="1"/>
    <n v="71.2"/>
    <n v="71.2"/>
    <n v="-13.274151453504777"/>
    <n v="1628.3467159122044"/>
    <n v="0"/>
    <n v="1"/>
    <n v="0"/>
    <n v="0"/>
    <n v="0"/>
    <n v="0"/>
    <n v="0"/>
    <n v="0"/>
    <n v="0"/>
    <n v="0"/>
  </r>
  <r>
    <d v="2006-08-09T00:00:00"/>
    <n v="2006"/>
    <x v="32"/>
    <s v="R"/>
    <s v="RS"/>
    <x v="10"/>
    <s v="SAC"/>
    <s v="H"/>
    <n v="3"/>
    <n v="3"/>
    <n v="0"/>
    <n v="0"/>
    <n v="0"/>
    <n v="0"/>
    <n v="1600.6927198040742"/>
    <n v="1641.6208673657093"/>
    <n v="0.56166977249291272"/>
    <n v="69"/>
    <n v="58"/>
    <n v="0"/>
    <n v="11"/>
    <n v="1"/>
    <n v="0.42532935153922152"/>
    <n v="1"/>
    <n v="71.05"/>
    <n v="71.05"/>
    <n v="13.246186246790931"/>
    <n v="1613.9389060508652"/>
    <n v="1"/>
    <n v="0"/>
    <n v="0"/>
    <n v="0"/>
    <n v="0"/>
    <n v="0"/>
    <n v="0"/>
    <n v="0"/>
    <n v="0"/>
    <n v="0"/>
  </r>
  <r>
    <d v="2006-08-10T00:00:00"/>
    <n v="2006"/>
    <x v="31"/>
    <s v="R"/>
    <s v="RS"/>
    <x v="0"/>
    <s v="DET"/>
    <s v="A"/>
    <n v="1"/>
    <n v="1"/>
    <n v="0"/>
    <n v="0"/>
    <n v="0"/>
    <n v="0"/>
    <n v="1276.3779206440449"/>
    <n v="1579.6518539072426"/>
    <n v="9.7147569245590398E-2"/>
    <n v="48"/>
    <n v="82"/>
    <n v="0"/>
    <n v="-34"/>
    <n v="0"/>
    <n v="0.59923978199210859"/>
    <n v="1"/>
    <n v="71.2"/>
    <n v="71.2"/>
    <n v="-4.1448858009643095"/>
    <n v="1272.2330348430805"/>
    <n v="0"/>
    <n v="1"/>
    <n v="0"/>
    <n v="0"/>
    <n v="0"/>
    <n v="0"/>
    <n v="0"/>
    <n v="0"/>
    <n v="0"/>
    <n v="0"/>
  </r>
  <r>
    <d v="2006-08-10T00:00:00"/>
    <n v="2006"/>
    <x v="31"/>
    <s v="R"/>
    <s v="RS"/>
    <x v="4"/>
    <s v="CHI"/>
    <s v="H"/>
    <n v="1"/>
    <n v="1"/>
    <n v="0"/>
    <n v="0"/>
    <n v="0"/>
    <n v="0"/>
    <n v="1579.6518539072426"/>
    <n v="1276.3779206440449"/>
    <n v="0.90285243075440957"/>
    <n v="82"/>
    <n v="48"/>
    <n v="0"/>
    <n v="34"/>
    <n v="1"/>
    <n v="0.59923978199210859"/>
    <n v="1"/>
    <n v="71.2"/>
    <n v="71.2"/>
    <n v="4.1448858009643113"/>
    <n v="1583.796739708207"/>
    <n v="1"/>
    <n v="0"/>
    <n v="0"/>
    <n v="0"/>
    <n v="0"/>
    <n v="0"/>
    <n v="0"/>
    <n v="0"/>
    <n v="0"/>
    <n v="0"/>
  </r>
  <r>
    <d v="2006-08-10T00:00:00"/>
    <n v="2006"/>
    <x v="31"/>
    <s v="R"/>
    <s v="RS"/>
    <x v="6"/>
    <s v="HOU"/>
    <s v="A"/>
    <n v="1"/>
    <n v="1"/>
    <n v="0"/>
    <n v="0"/>
    <n v="0"/>
    <n v="0"/>
    <n v="1528.810413465178"/>
    <n v="1504.6827405206634"/>
    <n v="0.41467969620310924"/>
    <n v="111"/>
    <n v="110"/>
    <n v="1"/>
    <n v="1"/>
    <n v="1"/>
    <n v="0.21543017976889584"/>
    <n v="1"/>
    <n v="71.2"/>
    <n v="71.2"/>
    <n v="8.978010868777643"/>
    <n v="1537.7884243339556"/>
    <n v="1"/>
    <n v="0"/>
    <n v="0"/>
    <n v="0"/>
    <n v="0"/>
    <n v="0"/>
    <n v="0"/>
    <n v="0"/>
    <n v="0"/>
    <n v="0"/>
  </r>
  <r>
    <d v="2006-08-10T00:00:00"/>
    <n v="2006"/>
    <x v="32"/>
    <s v="R"/>
    <s v="RS"/>
    <x v="9"/>
    <s v="PHX"/>
    <s v="H"/>
    <n v="1"/>
    <n v="1"/>
    <n v="0"/>
    <n v="0"/>
    <n v="0"/>
    <n v="0"/>
    <n v="1504.6827405206634"/>
    <n v="1528.810413465178"/>
    <n v="0.58532030379689082"/>
    <n v="110"/>
    <n v="111"/>
    <n v="1"/>
    <n v="-1"/>
    <n v="0"/>
    <n v="0.21543017976889584"/>
    <n v="1"/>
    <n v="71.05"/>
    <n v="71.05"/>
    <n v="-8.9590965200372388"/>
    <n v="1495.7236440006261"/>
    <n v="0"/>
    <n v="1"/>
    <n v="0"/>
    <n v="0"/>
    <n v="0"/>
    <n v="0"/>
    <n v="0"/>
    <n v="0"/>
    <n v="0"/>
    <n v="0"/>
  </r>
  <r>
    <d v="2006-08-10T00:00:00"/>
    <n v="2006"/>
    <x v="32"/>
    <s v="R"/>
    <s v="RS"/>
    <x v="12"/>
    <s v="SAC"/>
    <s v="A"/>
    <n v="1"/>
    <n v="0"/>
    <n v="1"/>
    <n v="-1"/>
    <n v="8"/>
    <n v="-8"/>
    <n v="1356.2631269040126"/>
    <n v="1628.3467159122044"/>
    <n v="0.12371850614696868"/>
    <n v="66"/>
    <n v="74"/>
    <n v="0"/>
    <n v="-8"/>
    <n v="0"/>
    <n v="0.31654360219962585"/>
    <n v="1"/>
    <n v="71.05"/>
    <n v="71.05"/>
    <n v="-2.7824815282905053"/>
    <n v="1353.4806453757221"/>
    <n v="0"/>
    <n v="1"/>
    <n v="0"/>
    <n v="0"/>
    <n v="0"/>
    <n v="0"/>
    <n v="0"/>
    <n v="0"/>
    <n v="0"/>
    <n v="0"/>
  </r>
  <r>
    <d v="2006-08-10T00:00:00"/>
    <n v="2006"/>
    <x v="32"/>
    <s v="R"/>
    <s v="RS"/>
    <x v="7"/>
    <s v="MIN"/>
    <s v="H"/>
    <n v="0"/>
    <n v="1"/>
    <n v="-1"/>
    <n v="1"/>
    <n v="-8"/>
    <n v="8"/>
    <n v="1628.3467159122044"/>
    <n v="1356.2631269040126"/>
    <n v="0.87628149385303122"/>
    <n v="74"/>
    <n v="66"/>
    <n v="0"/>
    <n v="8"/>
    <n v="1"/>
    <n v="0.31654360219962585"/>
    <n v="1"/>
    <n v="71.05"/>
    <n v="71.05"/>
    <n v="2.7824815282905075"/>
    <n v="1631.1291974404949"/>
    <n v="1"/>
    <n v="0"/>
    <n v="0"/>
    <n v="0"/>
    <n v="0"/>
    <n v="0"/>
    <n v="0"/>
    <n v="0"/>
    <n v="0"/>
    <n v="0"/>
  </r>
  <r>
    <d v="2006-08-10T00:00:00"/>
    <n v="2006"/>
    <x v="32"/>
    <s v="R"/>
    <s v="RS"/>
    <x v="11"/>
    <s v="SAS"/>
    <s v="A"/>
    <n v="1"/>
    <n v="1"/>
    <n v="0"/>
    <n v="0"/>
    <n v="0"/>
    <n v="0"/>
    <n v="1557.4001929730539"/>
    <n v="1385.3823393846121"/>
    <n v="0.6240258713990634"/>
    <n v="65"/>
    <n v="75"/>
    <n v="0"/>
    <n v="-10"/>
    <n v="0"/>
    <n v="0.37007946935291847"/>
    <n v="1"/>
    <n v="71.05"/>
    <n v="71.05"/>
    <n v="-16.408227556007407"/>
    <n v="1540.9919654170465"/>
    <n v="0"/>
    <n v="1"/>
    <n v="0"/>
    <n v="0"/>
    <n v="0"/>
    <n v="0"/>
    <n v="0"/>
    <n v="0"/>
    <n v="0"/>
    <n v="0"/>
  </r>
  <r>
    <d v="2006-08-10T00:00:00"/>
    <n v="2006"/>
    <x v="32"/>
    <s v="R"/>
    <s v="RS"/>
    <x v="8"/>
    <s v="SEA"/>
    <s v="H"/>
    <n v="1"/>
    <n v="1"/>
    <n v="0"/>
    <n v="0"/>
    <n v="0"/>
    <n v="0"/>
    <n v="1385.3823393846121"/>
    <n v="1557.4001929730539"/>
    <n v="0.37597412860093665"/>
    <n v="75"/>
    <n v="65"/>
    <n v="0"/>
    <n v="10"/>
    <n v="1"/>
    <n v="0.37007946935291847"/>
    <n v="1"/>
    <n v="71.05"/>
    <n v="71.05"/>
    <n v="16.408227556007407"/>
    <n v="1401.7905669406196"/>
    <n v="1"/>
    <n v="0"/>
    <n v="0"/>
    <n v="0"/>
    <n v="0"/>
    <n v="0"/>
    <n v="0"/>
    <n v="0"/>
    <n v="0"/>
    <n v="0"/>
  </r>
  <r>
    <d v="2006-08-11T00:00:00"/>
    <n v="2006"/>
    <x v="32"/>
    <s v="R"/>
    <s v="RS"/>
    <x v="5"/>
    <s v="CON"/>
    <s v="A"/>
    <n v="1"/>
    <n v="1"/>
    <n v="0"/>
    <n v="0"/>
    <n v="0"/>
    <n v="0"/>
    <n v="1570.2259516607937"/>
    <n v="1718.5884036053369"/>
    <n v="0.20790735403038069"/>
    <n v="87"/>
    <n v="68"/>
    <n v="0"/>
    <n v="19"/>
    <n v="1"/>
    <n v="0.49925232365889605"/>
    <n v="1"/>
    <n v="71.05"/>
    <n v="71.05"/>
    <n v="28.097013382498034"/>
    <n v="1598.3229650432918"/>
    <n v="1"/>
    <n v="0"/>
    <n v="0"/>
    <n v="0"/>
    <n v="0"/>
    <n v="0"/>
    <n v="0"/>
    <n v="0"/>
    <n v="0"/>
    <n v="0"/>
  </r>
  <r>
    <d v="2006-08-11T00:00:00"/>
    <n v="2006"/>
    <x v="32"/>
    <s v="R"/>
    <s v="RS"/>
    <x v="3"/>
    <s v="IND"/>
    <s v="H"/>
    <n v="1"/>
    <n v="1"/>
    <n v="0"/>
    <n v="0"/>
    <n v="0"/>
    <n v="0"/>
    <n v="1718.5884036053369"/>
    <n v="1570.2259516607937"/>
    <n v="0.79209264596961926"/>
    <n v="68"/>
    <n v="87"/>
    <n v="0"/>
    <n v="-19"/>
    <n v="0"/>
    <n v="0.49925232365889605"/>
    <n v="1"/>
    <n v="71.05"/>
    <n v="71.05"/>
    <n v="-28.09701338249803"/>
    <n v="1690.4913902228388"/>
    <n v="0"/>
    <n v="1"/>
    <n v="0"/>
    <n v="0"/>
    <n v="0"/>
    <n v="0"/>
    <n v="0"/>
    <n v="0"/>
    <n v="0"/>
    <n v="0"/>
  </r>
  <r>
    <d v="2006-08-11T00:00:00"/>
    <n v="2006"/>
    <x v="32"/>
    <s v="R"/>
    <s v="RS"/>
    <x v="1"/>
    <s v="NYL"/>
    <s v="A"/>
    <n v="2"/>
    <n v="2"/>
    <n v="0"/>
    <n v="0"/>
    <n v="0"/>
    <n v="0"/>
    <n v="1398.8896166140478"/>
    <n v="1371.6371267868572"/>
    <n v="0.41905231825424805"/>
    <n v="62"/>
    <n v="64"/>
    <n v="0"/>
    <n v="-2"/>
    <n v="0"/>
    <n v="0.26189361002385214"/>
    <n v="1"/>
    <n v="71.05"/>
    <n v="71.05"/>
    <n v="-7.797533189790137"/>
    <n v="1391.0920834242577"/>
    <n v="0"/>
    <n v="1"/>
    <n v="0"/>
    <n v="0"/>
    <n v="0"/>
    <n v="0"/>
    <n v="0"/>
    <n v="0"/>
    <n v="0"/>
    <n v="0"/>
  </r>
  <r>
    <d v="2006-08-11T00:00:00"/>
    <n v="2006"/>
    <x v="32"/>
    <s v="R"/>
    <s v="RS"/>
    <x v="2"/>
    <s v="CHA"/>
    <s v="H"/>
    <n v="2"/>
    <n v="2"/>
    <n v="0"/>
    <n v="0"/>
    <n v="0"/>
    <n v="0"/>
    <n v="1371.6371267868572"/>
    <n v="1398.8896166140478"/>
    <n v="0.58094768174575195"/>
    <n v="64"/>
    <n v="62"/>
    <n v="0"/>
    <n v="2"/>
    <n v="1"/>
    <n v="0.26189361002385214"/>
    <n v="1"/>
    <n v="71.05"/>
    <n v="71.05"/>
    <n v="7.797533189790137"/>
    <n v="1379.4346599766473"/>
    <n v="1"/>
    <n v="0"/>
    <n v="0"/>
    <n v="0"/>
    <n v="0"/>
    <n v="0"/>
    <n v="0"/>
    <n v="0"/>
    <n v="0"/>
    <n v="0"/>
  </r>
  <r>
    <d v="2006-08-11T00:00:00"/>
    <n v="2006"/>
    <x v="32"/>
    <s v="R"/>
    <s v="RS"/>
    <x v="4"/>
    <s v="WAS"/>
    <s v="A"/>
    <n v="0"/>
    <n v="2"/>
    <n v="-2"/>
    <n v="2"/>
    <n v="-16"/>
    <n v="16"/>
    <n v="1583.796739708207"/>
    <n v="1514.2815398952744"/>
    <n v="0.43349932818377729"/>
    <n v="66"/>
    <n v="78"/>
    <n v="0"/>
    <n v="-12"/>
    <n v="0"/>
    <n v="0.4311530352472373"/>
    <n v="1"/>
    <n v="71.05"/>
    <n v="71.05"/>
    <n v="-13.279568357365443"/>
    <n v="1570.5171713508416"/>
    <n v="0"/>
    <n v="1"/>
    <n v="0"/>
    <n v="0"/>
    <n v="0"/>
    <n v="0"/>
    <n v="0"/>
    <n v="0"/>
    <n v="0"/>
    <n v="0"/>
  </r>
  <r>
    <d v="2006-08-11T00:00:00"/>
    <n v="2006"/>
    <x v="32"/>
    <s v="R"/>
    <s v="RS"/>
    <x v="13"/>
    <s v="DET"/>
    <s v="H"/>
    <n v="2"/>
    <n v="0"/>
    <n v="2"/>
    <n v="-2"/>
    <n v="16"/>
    <n v="-16"/>
    <n v="1514.2815398952744"/>
    <n v="1583.796739708207"/>
    <n v="0.56650067181622266"/>
    <n v="78"/>
    <n v="66"/>
    <n v="0"/>
    <n v="12"/>
    <n v="1"/>
    <n v="0.4311530352472373"/>
    <n v="1"/>
    <n v="71.05"/>
    <n v="71.05"/>
    <n v="13.279568357365445"/>
    <n v="1527.5611082526398"/>
    <n v="1"/>
    <n v="0"/>
    <n v="0"/>
    <n v="0"/>
    <n v="0"/>
    <n v="0"/>
    <n v="0"/>
    <n v="0"/>
    <n v="0"/>
    <n v="0"/>
  </r>
  <r>
    <d v="2006-08-12T00:00:00"/>
    <n v="2006"/>
    <x v="32"/>
    <s v="R"/>
    <s v="RS"/>
    <x v="0"/>
    <s v="CHA"/>
    <s v="A"/>
    <n v="1"/>
    <n v="0"/>
    <n v="1"/>
    <n v="-1"/>
    <n v="8"/>
    <n v="-8"/>
    <n v="1272.2330348430805"/>
    <n v="1391.0920834242577"/>
    <n v="0.25433063670537942"/>
    <n v="57"/>
    <n v="84"/>
    <n v="0"/>
    <n v="-27"/>
    <n v="0"/>
    <n v="0.60658491205761256"/>
    <n v="1"/>
    <n v="71.05"/>
    <n v="71.05"/>
    <n v="-10.961105666208706"/>
    <n v="1261.2719291768719"/>
    <n v="0"/>
    <n v="1"/>
    <n v="0"/>
    <n v="0"/>
    <n v="0"/>
    <n v="0"/>
    <n v="0"/>
    <n v="0"/>
    <n v="0"/>
    <n v="0"/>
  </r>
  <r>
    <d v="2006-08-12T00:00:00"/>
    <n v="2006"/>
    <x v="33"/>
    <s v="R"/>
    <s v="RS"/>
    <x v="1"/>
    <s v="CHI"/>
    <s v="H"/>
    <n v="0"/>
    <n v="1"/>
    <n v="-1"/>
    <n v="1"/>
    <n v="-8"/>
    <n v="8"/>
    <n v="1391.0920834242577"/>
    <n v="1272.2330348430805"/>
    <n v="0.74566936329462052"/>
    <n v="84"/>
    <n v="57"/>
    <n v="0"/>
    <n v="27"/>
    <n v="1"/>
    <n v="0.60658491205761256"/>
    <n v="1"/>
    <n v="70.900000000000006"/>
    <n v="70.900000000000006"/>
    <n v="10.937964697173786"/>
    <n v="1402.0300481214315"/>
    <n v="1"/>
    <n v="0"/>
    <n v="0"/>
    <n v="0"/>
    <n v="0"/>
    <n v="0"/>
    <n v="0"/>
    <n v="0"/>
    <n v="0"/>
    <n v="0"/>
  </r>
  <r>
    <d v="2006-08-12T00:00:00"/>
    <n v="2006"/>
    <x v="33"/>
    <s v="R"/>
    <s v="RS"/>
    <x v="11"/>
    <s v="HOU"/>
    <s v="A"/>
    <n v="1"/>
    <n v="1"/>
    <n v="0"/>
    <n v="0"/>
    <n v="0"/>
    <n v="0"/>
    <n v="1540.9919654170465"/>
    <n v="1495.7236440006261"/>
    <n v="0.44449039232210436"/>
    <n v="72"/>
    <n v="89"/>
    <n v="0"/>
    <n v="-17"/>
    <n v="0"/>
    <n v="0.51308659500118858"/>
    <n v="1"/>
    <n v="70.900000000000006"/>
    <n v="70.900000000000006"/>
    <n v="-16.169600189226934"/>
    <n v="1524.8223652278195"/>
    <n v="0"/>
    <n v="1"/>
    <n v="0"/>
    <n v="0"/>
    <n v="0"/>
    <n v="0"/>
    <n v="0"/>
    <n v="0"/>
    <n v="0"/>
    <n v="0"/>
  </r>
  <r>
    <d v="2006-08-12T00:00:00"/>
    <n v="2006"/>
    <x v="33"/>
    <s v="R"/>
    <s v="RS"/>
    <x v="9"/>
    <s v="SEA"/>
    <s v="H"/>
    <n v="1"/>
    <n v="1"/>
    <n v="0"/>
    <n v="0"/>
    <n v="0"/>
    <n v="0"/>
    <n v="1495.7236440006261"/>
    <n v="1540.9919654170465"/>
    <n v="0.55550960767789559"/>
    <n v="89"/>
    <n v="72"/>
    <n v="0"/>
    <n v="17"/>
    <n v="1"/>
    <n v="0.51308659500118858"/>
    <n v="1"/>
    <n v="70.900000000000006"/>
    <n v="70.900000000000006"/>
    <n v="16.169600189226934"/>
    <n v="1511.893244189853"/>
    <n v="1"/>
    <n v="0"/>
    <n v="0"/>
    <n v="0"/>
    <n v="0"/>
    <n v="0"/>
    <n v="0"/>
    <n v="0"/>
    <n v="0"/>
    <n v="0"/>
  </r>
  <r>
    <d v="2006-08-12T00:00:00"/>
    <n v="2006"/>
    <x v="32"/>
    <s v="R"/>
    <s v="RS"/>
    <x v="6"/>
    <s v="SAS"/>
    <s v="A"/>
    <n v="1"/>
    <n v="1"/>
    <n v="0"/>
    <n v="0"/>
    <n v="0"/>
    <n v="0"/>
    <n v="1537.7884243339556"/>
    <n v="1401.7905669406196"/>
    <n v="0.57427718824544605"/>
    <n v="95"/>
    <n v="93"/>
    <n v="0"/>
    <n v="2"/>
    <n v="1"/>
    <n v="0.24057642247922889"/>
    <n v="1"/>
    <n v="71.05"/>
    <n v="71.05"/>
    <n v="7.2768607859503103"/>
    <n v="1545.0652851199059"/>
    <n v="1"/>
    <n v="0"/>
    <n v="0"/>
    <n v="0"/>
    <n v="0"/>
    <n v="0"/>
    <n v="0"/>
    <n v="0"/>
    <n v="0"/>
    <n v="0"/>
  </r>
  <r>
    <d v="2006-08-12T00:00:00"/>
    <n v="2006"/>
    <x v="33"/>
    <s v="R"/>
    <s v="RS"/>
    <x v="8"/>
    <s v="PHX"/>
    <s v="H"/>
    <n v="1"/>
    <n v="1"/>
    <n v="0"/>
    <n v="0"/>
    <n v="0"/>
    <n v="0"/>
    <n v="1401.7905669406196"/>
    <n v="1537.7884243339556"/>
    <n v="0.42572281175455395"/>
    <n v="93"/>
    <n v="95"/>
    <n v="0"/>
    <n v="-2"/>
    <n v="0"/>
    <n v="0.24057642247922889"/>
    <n v="1"/>
    <n v="70.900000000000006"/>
    <n v="70.900000000000006"/>
    <n v="-7.2614979552973544"/>
    <n v="1394.5290689853223"/>
    <n v="0"/>
    <n v="1"/>
    <n v="0"/>
    <n v="0"/>
    <n v="0"/>
    <n v="0"/>
    <n v="0"/>
    <n v="0"/>
    <n v="0"/>
    <n v="0"/>
  </r>
  <r>
    <d v="2006-08-13T00:00:00"/>
    <n v="2006"/>
    <x v="33"/>
    <s v="R"/>
    <s v="RS"/>
    <x v="3"/>
    <s v="DET"/>
    <s v="A"/>
    <n v="1"/>
    <n v="1"/>
    <n v="0"/>
    <n v="0"/>
    <n v="0"/>
    <n v="0"/>
    <n v="1690.4913902228388"/>
    <n v="1570.5171713508416"/>
    <n v="0.55158684051037055"/>
    <n v="65"/>
    <n v="88"/>
    <n v="0"/>
    <n v="-23"/>
    <n v="0"/>
    <n v="0.55940889792933746"/>
    <n v="1"/>
    <n v="70.900000000000006"/>
    <n v="70.900000000000006"/>
    <n v="-21.877087387262225"/>
    <n v="1668.6143028355766"/>
    <n v="0"/>
    <n v="1"/>
    <n v="0"/>
    <n v="0"/>
    <n v="0"/>
    <n v="0"/>
    <n v="0"/>
    <n v="0"/>
    <n v="0"/>
    <n v="0"/>
  </r>
  <r>
    <d v="2006-08-13T00:00:00"/>
    <n v="2006"/>
    <x v="33"/>
    <s v="R"/>
    <s v="RS"/>
    <x v="4"/>
    <s v="CON"/>
    <s v="H"/>
    <n v="1"/>
    <n v="1"/>
    <n v="0"/>
    <n v="0"/>
    <n v="0"/>
    <n v="0"/>
    <n v="1570.5171713508416"/>
    <n v="1690.4913902228388"/>
    <n v="0.44841315948962945"/>
    <n v="88"/>
    <n v="65"/>
    <n v="0"/>
    <n v="23"/>
    <n v="1"/>
    <n v="0.55940889792933746"/>
    <n v="1"/>
    <n v="70.900000000000006"/>
    <n v="70.900000000000006"/>
    <n v="21.877087387262225"/>
    <n v="1592.3942587381039"/>
    <n v="1"/>
    <n v="0"/>
    <n v="0"/>
    <n v="0"/>
    <n v="0"/>
    <n v="0"/>
    <n v="0"/>
    <n v="0"/>
    <n v="0"/>
    <n v="0"/>
  </r>
  <r>
    <d v="2006-08-13T00:00:00"/>
    <n v="2006"/>
    <x v="33"/>
    <s v="R"/>
    <s v="RS"/>
    <x v="0"/>
    <s v="IND"/>
    <s v="A"/>
    <n v="0"/>
    <n v="1"/>
    <n v="-1"/>
    <n v="1"/>
    <n v="-8"/>
    <n v="8"/>
    <n v="1261.2719291768719"/>
    <n v="1598.3229650432918"/>
    <n v="7.4753234019405965E-2"/>
    <n v="80"/>
    <n v="73"/>
    <n v="0"/>
    <n v="7"/>
    <n v="1"/>
    <n v="0.28894851024529145"/>
    <n v="1"/>
    <n v="70.900000000000006"/>
    <n v="70.900000000000006"/>
    <n v="18.955021031931082"/>
    <n v="1280.2269502088029"/>
    <n v="1"/>
    <n v="0"/>
    <n v="0"/>
    <n v="0"/>
    <n v="0"/>
    <n v="0"/>
    <n v="0"/>
    <n v="0"/>
    <n v="0"/>
    <n v="0"/>
  </r>
  <r>
    <d v="2006-08-13T00:00:00"/>
    <n v="2006"/>
    <x v="33"/>
    <s v="R"/>
    <s v="RS"/>
    <x v="5"/>
    <s v="CHI"/>
    <s v="H"/>
    <n v="1"/>
    <n v="0"/>
    <n v="1"/>
    <n v="-1"/>
    <n v="8"/>
    <n v="-8"/>
    <n v="1598.3229650432918"/>
    <n v="1261.2719291768719"/>
    <n v="0.92524676598059397"/>
    <n v="73"/>
    <n v="80"/>
    <n v="0"/>
    <n v="-7"/>
    <n v="0"/>
    <n v="0.28894851024529145"/>
    <n v="1"/>
    <n v="70.900000000000006"/>
    <n v="70.900000000000006"/>
    <n v="-18.955021031931082"/>
    <n v="1579.3679440113608"/>
    <n v="0"/>
    <n v="1"/>
    <n v="0"/>
    <n v="0"/>
    <n v="0"/>
    <n v="0"/>
    <n v="0"/>
    <n v="0"/>
    <n v="0"/>
    <n v="0"/>
  </r>
  <r>
    <d v="2006-08-13T00:00:00"/>
    <n v="2006"/>
    <x v="33"/>
    <s v="R"/>
    <s v="RS"/>
    <x v="12"/>
    <s v="LAS"/>
    <s v="A"/>
    <n v="2"/>
    <n v="3"/>
    <n v="-1"/>
    <n v="1"/>
    <n v="-8"/>
    <n v="8"/>
    <n v="1353.4806453757221"/>
    <n v="1613.9389060508652"/>
    <n v="0.11155405415057955"/>
    <n v="59"/>
    <n v="78"/>
    <n v="0"/>
    <n v="-19"/>
    <n v="0"/>
    <n v="0.46093278075370958"/>
    <n v="1"/>
    <n v="70.900000000000006"/>
    <n v="70.900000000000006"/>
    <n v="-3.645601455223936"/>
    <n v="1349.8350439204983"/>
    <n v="0"/>
    <n v="1"/>
    <n v="0"/>
    <n v="0"/>
    <n v="0"/>
    <n v="0"/>
    <n v="0"/>
    <n v="0"/>
    <n v="0"/>
    <n v="0"/>
  </r>
  <r>
    <d v="2006-08-13T00:00:00"/>
    <n v="2006"/>
    <x v="33"/>
    <s v="R"/>
    <s v="RS"/>
    <x v="10"/>
    <s v="MIN"/>
    <s v="H"/>
    <n v="3"/>
    <n v="2"/>
    <n v="1"/>
    <n v="-1"/>
    <n v="8"/>
    <n v="-8"/>
    <n v="1613.9389060508652"/>
    <n v="1353.4806453757221"/>
    <n v="0.88844594584942049"/>
    <n v="78"/>
    <n v="59"/>
    <n v="0"/>
    <n v="19"/>
    <n v="1"/>
    <n v="0.46093278075370958"/>
    <n v="1"/>
    <n v="70.900000000000006"/>
    <n v="70.900000000000006"/>
    <n v="3.6456014552239346"/>
    <n v="1617.584507506089"/>
    <n v="1"/>
    <n v="0"/>
    <n v="0"/>
    <n v="0"/>
    <n v="0"/>
    <n v="0"/>
    <n v="0"/>
    <n v="0"/>
    <n v="0"/>
    <n v="0"/>
  </r>
  <r>
    <d v="2006-08-13T00:00:00"/>
    <n v="2006"/>
    <x v="33"/>
    <s v="R"/>
    <s v="RS"/>
    <x v="13"/>
    <s v="NYL"/>
    <s v="A"/>
    <n v="1"/>
    <n v="1"/>
    <n v="0"/>
    <n v="0"/>
    <n v="0"/>
    <n v="0"/>
    <n v="1527.5611082526398"/>
    <n v="1379.4346599766473"/>
    <n v="0.59125152062596664"/>
    <n v="81"/>
    <n v="93"/>
    <n v="0"/>
    <n v="-12"/>
    <n v="0"/>
    <n v="0.40601186364366365"/>
    <n v="1"/>
    <n v="70.900000000000006"/>
    <n v="70.900000000000006"/>
    <n v="-17.019908842599261"/>
    <n v="1510.5411994100405"/>
    <n v="0"/>
    <n v="1"/>
    <n v="0"/>
    <n v="0"/>
    <n v="0"/>
    <n v="0"/>
    <n v="0"/>
    <n v="0"/>
    <n v="0"/>
    <n v="0"/>
  </r>
  <r>
    <d v="2006-08-13T00:00:00"/>
    <n v="2006"/>
    <x v="33"/>
    <s v="R"/>
    <s v="RS"/>
    <x v="2"/>
    <s v="WAS"/>
    <s v="H"/>
    <n v="1"/>
    <n v="1"/>
    <n v="0"/>
    <n v="0"/>
    <n v="0"/>
    <n v="0"/>
    <n v="1379.4346599766473"/>
    <n v="1527.5611082526398"/>
    <n v="0.40874847937403325"/>
    <n v="93"/>
    <n v="81"/>
    <n v="0"/>
    <n v="12"/>
    <n v="1"/>
    <n v="0.40601186364366365"/>
    <n v="1"/>
    <n v="70.900000000000006"/>
    <n v="70.900000000000006"/>
    <n v="17.019908842599264"/>
    <n v="1396.4545688192466"/>
    <n v="1"/>
    <n v="0"/>
    <n v="0"/>
    <n v="0"/>
    <n v="0"/>
    <n v="0"/>
    <n v="0"/>
    <n v="0"/>
    <n v="0"/>
    <n v="0"/>
  </r>
  <r>
    <d v="2006-08-13T00:00:00"/>
    <n v="2006"/>
    <x v="33"/>
    <s v="R"/>
    <s v="RS"/>
    <x v="7"/>
    <s v="PHX"/>
    <s v="A"/>
    <n v="2"/>
    <n v="0"/>
    <n v="2"/>
    <n v="-2"/>
    <n v="16"/>
    <n v="-16"/>
    <n v="1631.1291974404949"/>
    <n v="1545.0652851199059"/>
    <n v="0.54886543621521955"/>
    <n v="71"/>
    <n v="81"/>
    <n v="0"/>
    <n v="-10"/>
    <n v="0"/>
    <n v="0.39481369031072522"/>
    <n v="1"/>
    <n v="70.900000000000006"/>
    <n v="70.900000000000006"/>
    <n v="-15.364000814450099"/>
    <n v="1615.7651966260448"/>
    <n v="0"/>
    <n v="1"/>
    <n v="0"/>
    <n v="0"/>
    <n v="0"/>
    <n v="0"/>
    <n v="0"/>
    <n v="0"/>
    <n v="0"/>
    <n v="0"/>
  </r>
  <r>
    <d v="2006-08-13T00:00:00"/>
    <n v="2006"/>
    <x v="33"/>
    <s v="R"/>
    <s v="RS"/>
    <x v="6"/>
    <s v="SAC"/>
    <s v="H"/>
    <n v="0"/>
    <n v="2"/>
    <n v="-2"/>
    <n v="2"/>
    <n v="-16"/>
    <n v="16"/>
    <n v="1545.0652851199059"/>
    <n v="1631.1291974404949"/>
    <n v="0.45113456378478051"/>
    <n v="81"/>
    <n v="71"/>
    <n v="0"/>
    <n v="10"/>
    <n v="1"/>
    <n v="0.39481369031072522"/>
    <n v="1"/>
    <n v="70.900000000000006"/>
    <n v="70.900000000000006"/>
    <n v="15.364000814450096"/>
    <n v="1560.4292859343559"/>
    <n v="1"/>
    <n v="0"/>
    <n v="0"/>
    <n v="0"/>
    <n v="0"/>
    <n v="0"/>
    <n v="0"/>
    <n v="0"/>
    <n v="0"/>
    <n v="0"/>
  </r>
  <r>
    <d v="2006-08-17T00:00:00"/>
    <n v="2006"/>
    <x v="34"/>
    <s v="P"/>
    <n v="1"/>
    <x v="7"/>
    <s v="HOU"/>
    <s v="A"/>
    <n v="3"/>
    <n v="4"/>
    <n v="-1"/>
    <n v="1"/>
    <n v="-8"/>
    <n v="8"/>
    <n v="1615.7651966260448"/>
    <n v="1511.893244189853"/>
    <n v="0.50557195680352063"/>
    <n v="93"/>
    <n v="78"/>
    <n v="0"/>
    <n v="15"/>
    <n v="1"/>
    <n v="0.4627890281151254"/>
    <n v="1.1000000000000001"/>
    <n v="70.75"/>
    <n v="77.825000000000003"/>
    <n v="17.807595361656272"/>
    <n v="1633.5727919877011"/>
    <n v="0"/>
    <n v="0"/>
    <n v="1"/>
    <n v="0"/>
    <n v="0"/>
    <n v="0"/>
    <n v="0"/>
    <n v="0"/>
    <n v="0"/>
    <n v="0"/>
  </r>
  <r>
    <d v="2006-08-17T00:00:00"/>
    <n v="2006"/>
    <x v="34"/>
    <s v="P"/>
    <n v="1"/>
    <x v="9"/>
    <s v="SAC"/>
    <s v="H"/>
    <n v="4"/>
    <n v="3"/>
    <n v="1"/>
    <n v="-1"/>
    <n v="8"/>
    <n v="-8"/>
    <n v="1511.893244189853"/>
    <n v="1615.7651966260448"/>
    <n v="0.49442804319647937"/>
    <n v="78"/>
    <n v="93"/>
    <n v="0"/>
    <n v="-15"/>
    <n v="0"/>
    <n v="0.4627890281151254"/>
    <n v="1.1000000000000001"/>
    <n v="70.75"/>
    <n v="77.825000000000003"/>
    <n v="-17.807595361656272"/>
    <n v="1494.0856488281968"/>
    <n v="0"/>
    <n v="0"/>
    <n v="0"/>
    <n v="1"/>
    <n v="0"/>
    <n v="0"/>
    <n v="0"/>
    <n v="0"/>
    <n v="0"/>
    <n v="0"/>
  </r>
  <r>
    <d v="2006-08-17T00:00:00"/>
    <n v="2006"/>
    <x v="34"/>
    <s v="P"/>
    <n v="1"/>
    <x v="4"/>
    <s v="IND"/>
    <s v="A"/>
    <n v="3"/>
    <n v="3"/>
    <n v="0"/>
    <n v="0"/>
    <n v="0"/>
    <n v="0"/>
    <n v="1592.3942587381039"/>
    <n v="1579.3679440113608"/>
    <n v="0.39925808613363023"/>
    <n v="68"/>
    <n v="56"/>
    <n v="0"/>
    <n v="12"/>
    <n v="1"/>
    <n v="0.45123120994712379"/>
    <n v="1.1000000000000001"/>
    <n v="70.75"/>
    <n v="77.825000000000003"/>
    <n v="21.096295188854608"/>
    <n v="1613.4905539269585"/>
    <n v="0"/>
    <n v="0"/>
    <n v="1"/>
    <n v="0"/>
    <n v="0"/>
    <n v="0"/>
    <n v="0"/>
    <n v="0"/>
    <n v="0"/>
    <n v="0"/>
  </r>
  <r>
    <d v="2006-08-17T00:00:00"/>
    <n v="2006"/>
    <x v="34"/>
    <s v="P"/>
    <n v="1"/>
    <x v="5"/>
    <s v="DET"/>
    <s v="H"/>
    <n v="3"/>
    <n v="3"/>
    <n v="0"/>
    <n v="0"/>
    <n v="0"/>
    <n v="0"/>
    <n v="1579.3679440113608"/>
    <n v="1592.3942587381039"/>
    <n v="0.60074191386636977"/>
    <n v="56"/>
    <n v="68"/>
    <n v="0"/>
    <n v="-12"/>
    <n v="0"/>
    <n v="0.45123120994712379"/>
    <n v="1.1000000000000001"/>
    <n v="70.75"/>
    <n v="77.825000000000003"/>
    <n v="-21.096295188854608"/>
    <n v="1558.2716488225062"/>
    <n v="0"/>
    <n v="0"/>
    <n v="0"/>
    <n v="1"/>
    <n v="0"/>
    <n v="0"/>
    <n v="0"/>
    <n v="0"/>
    <n v="0"/>
    <n v="0"/>
  </r>
  <r>
    <d v="2006-08-18T00:00:00"/>
    <n v="2006"/>
    <x v="34"/>
    <s v="P"/>
    <n v="1"/>
    <x v="10"/>
    <s v="SEA"/>
    <s v="A"/>
    <n v="4"/>
    <n v="5"/>
    <n v="-1"/>
    <n v="1"/>
    <n v="-8"/>
    <n v="8"/>
    <n v="1617.584507506089"/>
    <n v="1524.8223652278195"/>
    <n v="0.48958539198021134"/>
    <n v="72"/>
    <n v="84"/>
    <n v="0"/>
    <n v="-12"/>
    <n v="0"/>
    <n v="0.42339987673774998"/>
    <n v="1.1000000000000001"/>
    <n v="70.75"/>
    <n v="77.825000000000003"/>
    <n v="-16.132374961069932"/>
    <n v="1601.4521325450191"/>
    <n v="0"/>
    <n v="0"/>
    <n v="0"/>
    <n v="1"/>
    <n v="0"/>
    <n v="0"/>
    <n v="0"/>
    <n v="0"/>
    <n v="0"/>
    <n v="0"/>
  </r>
  <r>
    <d v="2006-08-18T00:00:00"/>
    <n v="2006"/>
    <x v="34"/>
    <s v="P"/>
    <n v="1"/>
    <x v="11"/>
    <s v="LAS"/>
    <s v="H"/>
    <n v="5"/>
    <n v="4"/>
    <n v="1"/>
    <n v="-1"/>
    <n v="8"/>
    <n v="-8"/>
    <n v="1524.8223652278195"/>
    <n v="1617.584507506089"/>
    <n v="0.51041460801978866"/>
    <n v="84"/>
    <n v="72"/>
    <n v="0"/>
    <n v="12"/>
    <n v="1"/>
    <n v="0.42339987673774998"/>
    <n v="1.1000000000000001"/>
    <n v="70.75"/>
    <n v="77.825000000000003"/>
    <n v="16.132374961069932"/>
    <n v="1540.9547401888894"/>
    <n v="0"/>
    <n v="0"/>
    <n v="1"/>
    <n v="0"/>
    <n v="0"/>
    <n v="0"/>
    <n v="0"/>
    <n v="0"/>
    <n v="0"/>
    <n v="0"/>
  </r>
  <r>
    <d v="2006-08-18T00:00:00"/>
    <n v="2006"/>
    <x v="34"/>
    <s v="P"/>
    <n v="1"/>
    <x v="3"/>
    <s v="WAS"/>
    <s v="A"/>
    <n v="4"/>
    <n v="4"/>
    <n v="0"/>
    <n v="0"/>
    <n v="0"/>
    <n v="0"/>
    <n v="1668.6143028355766"/>
    <n v="1510.5411994100405"/>
    <n v="0.605013470037435"/>
    <n v="76"/>
    <n v="61"/>
    <n v="0"/>
    <n v="15"/>
    <n v="1"/>
    <n v="0.44431896348766908"/>
    <n v="1.1000000000000001"/>
    <n v="70.75"/>
    <n v="77.825000000000003"/>
    <n v="13.658287934618228"/>
    <n v="1682.2725907701949"/>
    <n v="0"/>
    <n v="0"/>
    <n v="1"/>
    <n v="0"/>
    <n v="0"/>
    <n v="0"/>
    <n v="0"/>
    <n v="0"/>
    <n v="0"/>
    <n v="0"/>
  </r>
  <r>
    <d v="2006-08-18T00:00:00"/>
    <n v="2006"/>
    <x v="34"/>
    <s v="P"/>
    <n v="1"/>
    <x v="13"/>
    <s v="CON"/>
    <s v="H"/>
    <n v="4"/>
    <n v="4"/>
    <n v="0"/>
    <n v="0"/>
    <n v="0"/>
    <n v="0"/>
    <n v="1510.5411994100405"/>
    <n v="1668.6143028355766"/>
    <n v="0.394986529962565"/>
    <n v="61"/>
    <n v="76"/>
    <n v="0"/>
    <n v="-15"/>
    <n v="0"/>
    <n v="0.44431896348766908"/>
    <n v="1.1000000000000001"/>
    <n v="70.75"/>
    <n v="77.825000000000003"/>
    <n v="-13.658287934618228"/>
    <n v="1496.8829114754221"/>
    <n v="0"/>
    <n v="0"/>
    <n v="0"/>
    <n v="1"/>
    <n v="0"/>
    <n v="0"/>
    <n v="0"/>
    <n v="0"/>
    <n v="0"/>
    <n v="0"/>
  </r>
  <r>
    <d v="2006-08-19T00:00:00"/>
    <n v="2006"/>
    <x v="35"/>
    <s v="P"/>
    <n v="1"/>
    <x v="5"/>
    <s v="DET"/>
    <s v="A"/>
    <n v="1"/>
    <n v="1"/>
    <n v="0"/>
    <n v="0"/>
    <n v="0"/>
    <n v="0"/>
    <n v="1558.2716488225062"/>
    <n v="1613.4905539269585"/>
    <n v="0.30972432077720802"/>
    <n v="83"/>
    <n v="98"/>
    <n v="0"/>
    <n v="-15"/>
    <n v="0"/>
    <n v="0.48072701199820062"/>
    <n v="1.1000000000000001"/>
    <n v="70.599999999999994"/>
    <n v="77.66"/>
    <n v="-11.563018519019218"/>
    <n v="1546.7086303034871"/>
    <n v="0"/>
    <n v="0"/>
    <n v="0"/>
    <n v="1"/>
    <n v="0"/>
    <n v="0"/>
    <n v="0"/>
    <n v="0"/>
    <n v="0"/>
    <n v="0"/>
  </r>
  <r>
    <d v="2006-08-19T00:00:00"/>
    <n v="2006"/>
    <x v="35"/>
    <s v="P"/>
    <n v="1"/>
    <x v="4"/>
    <s v="IND"/>
    <s v="H"/>
    <n v="1"/>
    <n v="1"/>
    <n v="0"/>
    <n v="0"/>
    <n v="0"/>
    <n v="0"/>
    <n v="1613.4905539269585"/>
    <n v="1558.2716488225062"/>
    <n v="0.69027567922279187"/>
    <n v="98"/>
    <n v="83"/>
    <n v="0"/>
    <n v="15"/>
    <n v="1"/>
    <n v="0.48072701199820062"/>
    <n v="1.1000000000000001"/>
    <n v="70.599999999999994"/>
    <n v="77.66"/>
    <n v="11.563018519019224"/>
    <n v="1625.0535724459776"/>
    <n v="0"/>
    <n v="0"/>
    <n v="1"/>
    <n v="0"/>
    <n v="0"/>
    <n v="0"/>
    <n v="0"/>
    <n v="0"/>
    <n v="0"/>
    <n v="0"/>
  </r>
  <r>
    <d v="2006-08-19T00:00:00"/>
    <n v="2006"/>
    <x v="35"/>
    <s v="P"/>
    <n v="1"/>
    <x v="9"/>
    <s v="SAC"/>
    <s v="A"/>
    <n v="1"/>
    <n v="1"/>
    <n v="0"/>
    <n v="0"/>
    <n v="0"/>
    <n v="0"/>
    <n v="1494.0856488281968"/>
    <n v="1633.5727919877011"/>
    <n v="0.21644658959502072"/>
    <n v="64"/>
    <n v="92"/>
    <n v="0"/>
    <n v="-28"/>
    <n v="0"/>
    <n v="0.60837283601179348"/>
    <n v="1.1000000000000001"/>
    <n v="70.599999999999994"/>
    <n v="77.66"/>
    <n v="-10.226286316756891"/>
    <n v="1483.8593625114399"/>
    <n v="0"/>
    <n v="0"/>
    <n v="0"/>
    <n v="1"/>
    <n v="0"/>
    <n v="0"/>
    <n v="0"/>
    <n v="0"/>
    <n v="0"/>
    <n v="0"/>
  </r>
  <r>
    <d v="2006-08-19T00:00:00"/>
    <n v="2006"/>
    <x v="35"/>
    <s v="P"/>
    <n v="1"/>
    <x v="7"/>
    <s v="HOU"/>
    <s v="H"/>
    <n v="1"/>
    <n v="1"/>
    <n v="0"/>
    <n v="0"/>
    <n v="0"/>
    <n v="0"/>
    <n v="1633.5727919877011"/>
    <n v="1494.0856488281968"/>
    <n v="0.78355341040497928"/>
    <n v="92"/>
    <n v="64"/>
    <n v="0"/>
    <n v="28"/>
    <n v="1"/>
    <n v="0.60837283601179348"/>
    <n v="1.1000000000000001"/>
    <n v="70.599999999999994"/>
    <n v="77.66"/>
    <n v="10.226286316756891"/>
    <n v="1643.7990783044579"/>
    <n v="0"/>
    <n v="0"/>
    <n v="1"/>
    <n v="0"/>
    <n v="0"/>
    <n v="0"/>
    <n v="0"/>
    <n v="0"/>
    <n v="0"/>
    <n v="0"/>
  </r>
  <r>
    <d v="2006-08-20T00:00:00"/>
    <n v="2006"/>
    <x v="35"/>
    <s v="P"/>
    <n v="1"/>
    <x v="13"/>
    <s v="CON"/>
    <s v="A"/>
    <n v="1"/>
    <n v="1"/>
    <n v="0"/>
    <n v="0"/>
    <n v="0"/>
    <n v="0"/>
    <n v="1496.8829114754221"/>
    <n v="1682.2725907701949"/>
    <n v="0.17498062038363732"/>
    <n v="65"/>
    <n v="68"/>
    <n v="0"/>
    <n v="-3"/>
    <n v="0"/>
    <n v="0.25135182578789661"/>
    <n v="1.1000000000000001"/>
    <n v="70.599999999999994"/>
    <n v="77.66"/>
    <n v="-3.4156186985925192"/>
    <n v="1493.4672927768297"/>
    <n v="0"/>
    <n v="0"/>
    <n v="0"/>
    <n v="1"/>
    <n v="0"/>
    <n v="0"/>
    <n v="0"/>
    <n v="0"/>
    <n v="0"/>
    <n v="0"/>
  </r>
  <r>
    <d v="2006-08-20T00:00:00"/>
    <n v="2006"/>
    <x v="35"/>
    <s v="P"/>
    <n v="1"/>
    <x v="3"/>
    <s v="WAS"/>
    <s v="H"/>
    <n v="1"/>
    <n v="1"/>
    <n v="0"/>
    <n v="0"/>
    <n v="0"/>
    <n v="0"/>
    <n v="1682.2725907701949"/>
    <n v="1496.8829114754221"/>
    <n v="0.82501937961636274"/>
    <n v="68"/>
    <n v="65"/>
    <n v="0"/>
    <n v="3"/>
    <n v="1"/>
    <n v="0.25135182578789661"/>
    <n v="1.1000000000000001"/>
    <n v="70.599999999999994"/>
    <n v="77.66"/>
    <n v="3.4156186985925183"/>
    <n v="1685.6882094687874"/>
    <n v="0"/>
    <n v="0"/>
    <n v="1"/>
    <n v="0"/>
    <n v="0"/>
    <n v="0"/>
    <n v="0"/>
    <n v="0"/>
    <n v="0"/>
    <n v="0"/>
  </r>
  <r>
    <d v="2006-08-20T00:00:00"/>
    <n v="2006"/>
    <x v="35"/>
    <s v="P"/>
    <n v="1"/>
    <x v="11"/>
    <s v="LAS"/>
    <s v="A"/>
    <n v="1"/>
    <n v="1"/>
    <n v="0"/>
    <n v="0"/>
    <n v="0"/>
    <n v="0"/>
    <n v="1540.9547401888894"/>
    <n v="1601.4521325450191"/>
    <n v="0.30326590282905025"/>
    <n v="70"/>
    <n v="78"/>
    <n v="0"/>
    <n v="-8"/>
    <n v="0"/>
    <n v="0.36967838634921441"/>
    <n v="1.1000000000000001"/>
    <n v="70.599999999999994"/>
    <n v="77.66"/>
    <n v="-8.7065285793598353"/>
    <n v="1532.2482116095296"/>
    <n v="0"/>
    <n v="0"/>
    <n v="0"/>
    <n v="1"/>
    <n v="0"/>
    <n v="0"/>
    <n v="0"/>
    <n v="0"/>
    <n v="0"/>
    <n v="0"/>
  </r>
  <r>
    <d v="2006-08-20T00:00:00"/>
    <n v="2006"/>
    <x v="35"/>
    <s v="P"/>
    <n v="1"/>
    <x v="10"/>
    <s v="SEA"/>
    <s v="H"/>
    <n v="1"/>
    <n v="1"/>
    <n v="0"/>
    <n v="0"/>
    <n v="0"/>
    <n v="0"/>
    <n v="1601.4521325450191"/>
    <n v="1540.9547401888894"/>
    <n v="0.69673409717094981"/>
    <n v="78"/>
    <n v="70"/>
    <n v="0"/>
    <n v="8"/>
    <n v="1"/>
    <n v="0.36967838634921441"/>
    <n v="1.1000000000000001"/>
    <n v="70.599999999999994"/>
    <n v="77.66"/>
    <n v="8.7065285793598353"/>
    <n v="1610.158661124379"/>
    <n v="0"/>
    <n v="0"/>
    <n v="1"/>
    <n v="0"/>
    <n v="0"/>
    <n v="0"/>
    <n v="0"/>
    <n v="0"/>
    <n v="0"/>
    <n v="0"/>
  </r>
  <r>
    <d v="2006-08-22T00:00:00"/>
    <n v="2006"/>
    <x v="36"/>
    <s v="P"/>
    <n v="1"/>
    <x v="11"/>
    <s v="LAS"/>
    <s v="A"/>
    <n v="1"/>
    <n v="1"/>
    <n v="0"/>
    <n v="0"/>
    <n v="0"/>
    <n v="0"/>
    <n v="1532.2482116095296"/>
    <n v="1610.158661124379"/>
    <n v="0.28251275537102333"/>
    <n v="63"/>
    <n v="68"/>
    <n v="0"/>
    <n v="-5"/>
    <n v="0"/>
    <n v="0.31152978732166725"/>
    <n v="1.1000000000000001"/>
    <n v="70.45"/>
    <n v="77.495000000000005"/>
    <n v="-6.8204231855274839"/>
    <n v="1525.4277884240021"/>
    <n v="0"/>
    <n v="0"/>
    <n v="0"/>
    <n v="1"/>
    <n v="0"/>
    <n v="0"/>
    <n v="0"/>
    <n v="0"/>
    <n v="0"/>
    <n v="0"/>
  </r>
  <r>
    <d v="2006-08-22T00:00:00"/>
    <n v="2006"/>
    <x v="36"/>
    <s v="P"/>
    <n v="1"/>
    <x v="10"/>
    <s v="SEA"/>
    <s v="H"/>
    <n v="1"/>
    <n v="1"/>
    <n v="0"/>
    <n v="0"/>
    <n v="0"/>
    <n v="0"/>
    <n v="1610.158661124379"/>
    <n v="1532.2482116095296"/>
    <n v="0.71748724462897662"/>
    <n v="68"/>
    <n v="63"/>
    <n v="0"/>
    <n v="5"/>
    <n v="1"/>
    <n v="0.31152978732166725"/>
    <n v="1.1000000000000001"/>
    <n v="70.45"/>
    <n v="77.495000000000005"/>
    <n v="6.8204231855274857"/>
    <n v="1616.9790843099065"/>
    <n v="0"/>
    <n v="0"/>
    <n v="1"/>
    <n v="0"/>
    <n v="0"/>
    <n v="0"/>
    <n v="0"/>
    <n v="0"/>
    <n v="0"/>
    <n v="0"/>
  </r>
  <r>
    <d v="2006-08-24T00:00:00"/>
    <n v="2006"/>
    <x v="36"/>
    <s v="P"/>
    <n v="2"/>
    <x v="3"/>
    <s v="DET"/>
    <s v="A"/>
    <n v="3"/>
    <n v="4"/>
    <n v="-1"/>
    <n v="1"/>
    <n v="-8"/>
    <n v="8"/>
    <n v="1685.6882094687874"/>
    <n v="1625.0535724459776"/>
    <n v="0.44358987048221121"/>
    <n v="59"/>
    <n v="70"/>
    <n v="0"/>
    <n v="-11"/>
    <n v="0"/>
    <n v="0.41868051916743237"/>
    <n v="1.2"/>
    <n v="70.45"/>
    <n v="84.54"/>
    <n v="-15.700974846882419"/>
    <n v="1669.9872346219049"/>
    <n v="0"/>
    <n v="0"/>
    <n v="0"/>
    <n v="0"/>
    <n v="0"/>
    <n v="1"/>
    <n v="0"/>
    <n v="0"/>
    <n v="0"/>
    <n v="0"/>
  </r>
  <r>
    <d v="2006-08-24T00:00:00"/>
    <n v="2006"/>
    <x v="36"/>
    <s v="P"/>
    <n v="2"/>
    <x v="4"/>
    <s v="CON"/>
    <s v="H"/>
    <n v="4"/>
    <n v="3"/>
    <n v="1"/>
    <n v="-1"/>
    <n v="8"/>
    <n v="-8"/>
    <n v="1625.0535724459776"/>
    <n v="1685.6882094687874"/>
    <n v="0.5564101295177889"/>
    <n v="70"/>
    <n v="59"/>
    <n v="0"/>
    <n v="11"/>
    <n v="1"/>
    <n v="0.41868051916743237"/>
    <n v="1.2"/>
    <n v="70.45"/>
    <n v="84.54"/>
    <n v="15.700974846882415"/>
    <n v="1640.75454729286"/>
    <n v="0"/>
    <n v="0"/>
    <n v="0"/>
    <n v="0"/>
    <n v="1"/>
    <n v="0"/>
    <n v="0"/>
    <n v="0"/>
    <n v="0"/>
    <n v="0"/>
  </r>
  <r>
    <d v="2006-08-24T00:00:00"/>
    <n v="2006"/>
    <x v="37"/>
    <s v="P"/>
    <n v="2"/>
    <x v="10"/>
    <s v="SAC"/>
    <s v="A"/>
    <n v="1"/>
    <n v="4"/>
    <n v="-3"/>
    <n v="3"/>
    <n v="-16"/>
    <n v="16"/>
    <n v="1616.9790843099065"/>
    <n v="1643.7990783044579"/>
    <n v="0.30531001614836989"/>
    <n v="61"/>
    <n v="64"/>
    <n v="0"/>
    <n v="-3"/>
    <n v="0"/>
    <n v="0.28383970510998713"/>
    <n v="1.2"/>
    <n v="70.3"/>
    <n v="84.36"/>
    <n v="-7.3105620936392564"/>
    <n v="1609.6685222162673"/>
    <n v="0"/>
    <n v="0"/>
    <n v="0"/>
    <n v="0"/>
    <n v="0"/>
    <n v="1"/>
    <n v="0"/>
    <n v="0"/>
    <n v="0"/>
    <n v="0"/>
  </r>
  <r>
    <d v="2006-08-24T00:00:00"/>
    <n v="2006"/>
    <x v="36"/>
    <s v="P"/>
    <n v="2"/>
    <x v="7"/>
    <s v="LAS"/>
    <s v="H"/>
    <n v="4"/>
    <n v="1"/>
    <n v="3"/>
    <n v="-3"/>
    <n v="16"/>
    <n v="-16"/>
    <n v="1643.7990783044579"/>
    <n v="1616.9790843099065"/>
    <n v="0.69468998385163017"/>
    <n v="64"/>
    <n v="61"/>
    <n v="0"/>
    <n v="3"/>
    <n v="1"/>
    <n v="0.28383970510998713"/>
    <n v="1.2"/>
    <n v="70.45"/>
    <n v="84.54"/>
    <n v="7.3261607325303784"/>
    <n v="1651.1252390369882"/>
    <n v="0"/>
    <n v="0"/>
    <n v="0"/>
    <n v="0"/>
    <n v="1"/>
    <n v="0"/>
    <n v="0"/>
    <n v="0"/>
    <n v="0"/>
    <n v="0"/>
  </r>
  <r>
    <d v="2006-08-26T00:00:00"/>
    <n v="2006"/>
    <x v="37"/>
    <s v="P"/>
    <n v="2"/>
    <x v="4"/>
    <s v="CON"/>
    <s v="A"/>
    <n v="1"/>
    <n v="1"/>
    <n v="0"/>
    <n v="0"/>
    <n v="0"/>
    <n v="0"/>
    <n v="1640.75454729286"/>
    <n v="1669.9872346219049"/>
    <n v="0.34257957926112254"/>
    <n v="68"/>
    <n v="77"/>
    <n v="0"/>
    <n v="-9"/>
    <n v="0"/>
    <n v="0.39631701759838195"/>
    <n v="1.2"/>
    <n v="70.3"/>
    <n v="84.36"/>
    <n v="-11.453567082173068"/>
    <n v="1629.3009802106869"/>
    <n v="0"/>
    <n v="0"/>
    <n v="0"/>
    <n v="0"/>
    <n v="0"/>
    <n v="1"/>
    <n v="0"/>
    <n v="0"/>
    <n v="0"/>
    <n v="0"/>
  </r>
  <r>
    <d v="2006-08-26T00:00:00"/>
    <n v="2006"/>
    <x v="37"/>
    <s v="P"/>
    <n v="2"/>
    <x v="3"/>
    <s v="DET"/>
    <s v="H"/>
    <n v="1"/>
    <n v="1"/>
    <n v="0"/>
    <n v="0"/>
    <n v="0"/>
    <n v="0"/>
    <n v="1669.9872346219049"/>
    <n v="1640.75454729286"/>
    <n v="0.65742042073887741"/>
    <n v="77"/>
    <n v="68"/>
    <n v="0"/>
    <n v="9"/>
    <n v="1"/>
    <n v="0.39631701759838195"/>
    <n v="1.2"/>
    <n v="70.3"/>
    <n v="84.36"/>
    <n v="11.45356708217307"/>
    <n v="1681.440801704078"/>
    <n v="0"/>
    <n v="0"/>
    <n v="0"/>
    <n v="0"/>
    <n v="1"/>
    <n v="0"/>
    <n v="0"/>
    <n v="0"/>
    <n v="0"/>
    <n v="0"/>
  </r>
  <r>
    <d v="2006-08-26T00:00:00"/>
    <n v="2006"/>
    <x v="37"/>
    <s v="P"/>
    <n v="2"/>
    <x v="7"/>
    <s v="LAS"/>
    <s v="A"/>
    <n v="1"/>
    <n v="1"/>
    <n v="0"/>
    <n v="0"/>
    <n v="0"/>
    <n v="0"/>
    <n v="1651.1252390369882"/>
    <n v="1609.6685222162673"/>
    <n v="0.4390794679917957"/>
    <n v="72"/>
    <n v="58"/>
    <n v="0"/>
    <n v="14"/>
    <n v="1"/>
    <n v="0.47132511050356685"/>
    <n v="1.2"/>
    <n v="70.3"/>
    <n v="84.36"/>
    <n v="22.302753600952549"/>
    <n v="1673.4279926379409"/>
    <n v="0"/>
    <n v="0"/>
    <n v="0"/>
    <n v="0"/>
    <n v="1"/>
    <n v="0"/>
    <n v="0"/>
    <n v="0"/>
    <n v="0"/>
    <n v="0"/>
  </r>
  <r>
    <d v="2006-08-26T00:00:00"/>
    <n v="2006"/>
    <x v="38"/>
    <s v="P"/>
    <n v="2"/>
    <x v="10"/>
    <s v="SAC"/>
    <s v="H"/>
    <n v="1"/>
    <n v="1"/>
    <n v="0"/>
    <n v="0"/>
    <n v="0"/>
    <n v="0"/>
    <n v="1609.6685222162673"/>
    <n v="1651.1252390369882"/>
    <n v="0.56092053200820435"/>
    <n v="58"/>
    <n v="72"/>
    <n v="0"/>
    <n v="-14"/>
    <n v="0"/>
    <n v="0.47132511050356685"/>
    <n v="1.2"/>
    <n v="70.150000000000006"/>
    <n v="84.18"/>
    <n v="-22.255165933240708"/>
    <n v="1587.4133562830266"/>
    <n v="0"/>
    <n v="0"/>
    <n v="0"/>
    <n v="0"/>
    <n v="0"/>
    <n v="1"/>
    <n v="0"/>
    <n v="0"/>
    <n v="0"/>
    <n v="0"/>
  </r>
  <r>
    <d v="2006-08-27T00:00:00"/>
    <n v="2006"/>
    <x v="38"/>
    <s v="P"/>
    <n v="2"/>
    <x v="4"/>
    <s v="CON"/>
    <s v="A"/>
    <n v="0"/>
    <n v="0"/>
    <n v="0"/>
    <n v="0"/>
    <n v="0"/>
    <n v="0"/>
    <n v="1629.3009802106869"/>
    <n v="1681.440801704078"/>
    <n v="0.31352648450804688"/>
    <n v="79"/>
    <n v="55"/>
    <n v="0"/>
    <n v="24"/>
    <n v="1"/>
    <n v="0.60226270612362631"/>
    <n v="1.2"/>
    <n v="70.150000000000006"/>
    <n v="84.18"/>
    <n v="34.803160089762187"/>
    <n v="1664.1041403004492"/>
    <n v="0"/>
    <n v="0"/>
    <n v="0"/>
    <n v="0"/>
    <n v="1"/>
    <n v="0"/>
    <n v="0"/>
    <n v="0"/>
    <n v="0"/>
    <n v="0"/>
  </r>
  <r>
    <d v="2006-08-27T00:00:00"/>
    <n v="2006"/>
    <x v="38"/>
    <s v="P"/>
    <n v="2"/>
    <x v="3"/>
    <s v="DET"/>
    <s v="H"/>
    <n v="0"/>
    <n v="0"/>
    <n v="0"/>
    <n v="0"/>
    <n v="0"/>
    <n v="0"/>
    <n v="1681.440801704078"/>
    <n v="1629.3009802106869"/>
    <n v="0.68647351549195312"/>
    <n v="55"/>
    <n v="79"/>
    <n v="0"/>
    <n v="-24"/>
    <n v="0"/>
    <n v="0.60226270612362631"/>
    <n v="1.2"/>
    <n v="70.150000000000006"/>
    <n v="84.18"/>
    <n v="-34.803160089762187"/>
    <n v="1646.6376416143157"/>
    <n v="0"/>
    <n v="0"/>
    <n v="0"/>
    <n v="0"/>
    <n v="0"/>
    <n v="1"/>
    <n v="0"/>
    <n v="0"/>
    <n v="0"/>
    <n v="0"/>
  </r>
  <r>
    <d v="2006-08-30T00:00:00"/>
    <n v="2006"/>
    <x v="38"/>
    <s v="P"/>
    <n v="3"/>
    <x v="7"/>
    <s v="DET"/>
    <s v="A"/>
    <n v="3"/>
    <n v="2"/>
    <n v="1"/>
    <n v="-1"/>
    <n v="8"/>
    <n v="-8"/>
    <n v="1673.4279926379409"/>
    <n v="1664.1041403004492"/>
    <n v="0.41635198730442896"/>
    <n v="95"/>
    <n v="71"/>
    <n v="0"/>
    <n v="24"/>
    <n v="1"/>
    <n v="0.62358574659727217"/>
    <n v="1.35"/>
    <n v="70.150000000000006"/>
    <n v="94.702500000000015"/>
    <n v="34.46740877787461"/>
    <n v="1707.8954014158155"/>
    <n v="0"/>
    <n v="0"/>
    <n v="0"/>
    <n v="0"/>
    <n v="0"/>
    <n v="0"/>
    <n v="1"/>
    <n v="0"/>
    <n v="0"/>
    <n v="0"/>
  </r>
  <r>
    <d v="2006-08-30T00:00:00"/>
    <n v="2006"/>
    <x v="39"/>
    <s v="P"/>
    <n v="3"/>
    <x v="4"/>
    <s v="SAC"/>
    <s v="H"/>
    <n v="2"/>
    <n v="3"/>
    <n v="-1"/>
    <n v="1"/>
    <n v="-8"/>
    <n v="8"/>
    <n v="1664.1041403004492"/>
    <n v="1673.4279926379409"/>
    <n v="0.58364801269557109"/>
    <n v="71"/>
    <n v="95"/>
    <n v="0"/>
    <n v="-24"/>
    <n v="0"/>
    <n v="0.62358574659727217"/>
    <n v="1.35"/>
    <n v="70"/>
    <n v="94.5"/>
    <n v="-34.393707975070889"/>
    <n v="1629.7104323253784"/>
    <n v="0"/>
    <n v="0"/>
    <n v="0"/>
    <n v="0"/>
    <n v="0"/>
    <n v="0"/>
    <n v="0"/>
    <n v="1"/>
    <n v="0"/>
    <n v="0"/>
  </r>
  <r>
    <d v="2006-09-01T00:00:00"/>
    <n v="2006"/>
    <x v="39"/>
    <s v="P"/>
    <n v="3"/>
    <x v="7"/>
    <s v="DET"/>
    <s v="A"/>
    <n v="1"/>
    <n v="1"/>
    <n v="0"/>
    <n v="0"/>
    <n v="0"/>
    <n v="0"/>
    <n v="1707.8954014158155"/>
    <n v="1629.7104323253784"/>
    <n v="0.49163227914801322"/>
    <n v="63"/>
    <n v="73"/>
    <n v="0"/>
    <n v="-10"/>
    <n v="0"/>
    <n v="0.39724738709770796"/>
    <n v="1.35"/>
    <n v="70"/>
    <n v="94.5"/>
    <n v="-18.455815819769505"/>
    <n v="1689.4395855960461"/>
    <n v="0"/>
    <n v="0"/>
    <n v="0"/>
    <n v="0"/>
    <n v="0"/>
    <n v="0"/>
    <n v="0"/>
    <n v="1"/>
    <n v="0"/>
    <n v="0"/>
  </r>
  <r>
    <d v="2006-09-01T00:00:00"/>
    <n v="2006"/>
    <x v="40"/>
    <s v="P"/>
    <n v="3"/>
    <x v="4"/>
    <s v="SAC"/>
    <s v="H"/>
    <n v="1"/>
    <n v="1"/>
    <n v="0"/>
    <n v="0"/>
    <n v="0"/>
    <n v="0"/>
    <n v="1629.7104323253784"/>
    <n v="1707.8954014158155"/>
    <n v="0.50836772085198678"/>
    <n v="73"/>
    <n v="63"/>
    <n v="0"/>
    <n v="10"/>
    <n v="1"/>
    <n v="0.39724738709770796"/>
    <n v="1.35"/>
    <n v="69.849999999999994"/>
    <n v="94.297499999999999"/>
    <n v="18.416267643012858"/>
    <n v="1648.1266999683912"/>
    <n v="0"/>
    <n v="0"/>
    <n v="0"/>
    <n v="0"/>
    <n v="0"/>
    <n v="0"/>
    <n v="1"/>
    <n v="0"/>
    <n v="0"/>
    <n v="0"/>
  </r>
  <r>
    <d v="2006-09-03T00:00:00"/>
    <n v="2006"/>
    <x v="41"/>
    <s v="P"/>
    <n v="3"/>
    <x v="4"/>
    <s v="SAC"/>
    <s v="A"/>
    <n v="1"/>
    <n v="1"/>
    <n v="0"/>
    <n v="0"/>
    <n v="0"/>
    <n v="0"/>
    <n v="1648.1266999683912"/>
    <n v="1689.4395855960461"/>
    <n v="0.32709380177624336"/>
    <n v="69"/>
    <n v="89"/>
    <n v="0"/>
    <n v="-20"/>
    <n v="0"/>
    <n v="0.55575418471692206"/>
    <n v="1.35"/>
    <n v="69.7"/>
    <n v="94.095000000000013"/>
    <n v="-17.104941874586331"/>
    <n v="1631.0217580938049"/>
    <n v="0"/>
    <n v="0"/>
    <n v="0"/>
    <n v="0"/>
    <n v="0"/>
    <n v="0"/>
    <n v="0"/>
    <n v="1"/>
    <n v="0"/>
    <n v="0"/>
  </r>
  <r>
    <d v="2006-09-03T00:00:00"/>
    <n v="2006"/>
    <x v="40"/>
    <s v="P"/>
    <n v="3"/>
    <x v="7"/>
    <s v="DET"/>
    <s v="H"/>
    <n v="1"/>
    <n v="1"/>
    <n v="0"/>
    <n v="0"/>
    <n v="0"/>
    <n v="0"/>
    <n v="1689.4395855960461"/>
    <n v="1648.1266999683912"/>
    <n v="0.67290619822375664"/>
    <n v="89"/>
    <n v="69"/>
    <n v="0"/>
    <n v="20"/>
    <n v="1"/>
    <n v="0.55575418471692206"/>
    <n v="1.35"/>
    <n v="69.849999999999994"/>
    <n v="94.297499999999999"/>
    <n v="17.141753083785581"/>
    <n v="1706.5813386798316"/>
    <n v="0"/>
    <n v="0"/>
    <n v="0"/>
    <n v="0"/>
    <n v="0"/>
    <n v="0"/>
    <n v="1"/>
    <n v="0"/>
    <n v="0"/>
    <n v="0"/>
  </r>
  <r>
    <d v="2006-09-06T00:00:00"/>
    <n v="2006"/>
    <x v="42"/>
    <s v="P"/>
    <n v="3"/>
    <x v="4"/>
    <s v="SAC"/>
    <s v="A"/>
    <n v="2"/>
    <n v="2"/>
    <n v="0"/>
    <n v="0"/>
    <n v="0"/>
    <n v="0"/>
    <n v="1631.0217580938049"/>
    <n v="1706.5813386798316"/>
    <n v="0.28526387709513656"/>
    <n v="72"/>
    <n v="52"/>
    <n v="0"/>
    <n v="20"/>
    <n v="1"/>
    <n v="0.54083309100596044"/>
    <n v="1.35"/>
    <n v="69.55"/>
    <n v="93.892499999999998"/>
    <n v="36.294422539039857"/>
    <n v="1667.3161806328449"/>
    <n v="0"/>
    <n v="0"/>
    <n v="0"/>
    <n v="0"/>
    <n v="0"/>
    <n v="0"/>
    <n v="1"/>
    <n v="0"/>
    <n v="0"/>
    <n v="0"/>
  </r>
  <r>
    <d v="2006-09-06T00:00:00"/>
    <n v="2006"/>
    <x v="41"/>
    <s v="P"/>
    <n v="3"/>
    <x v="7"/>
    <s v="DET"/>
    <s v="H"/>
    <n v="2"/>
    <n v="2"/>
    <n v="0"/>
    <n v="0"/>
    <n v="0"/>
    <n v="0"/>
    <n v="1706.5813386798316"/>
    <n v="1631.0217580938049"/>
    <n v="0.71473612290486344"/>
    <n v="52"/>
    <n v="72"/>
    <n v="0"/>
    <n v="-20"/>
    <n v="0"/>
    <n v="0.54083309100596044"/>
    <n v="1.35"/>
    <n v="69.7"/>
    <n v="94.095000000000013"/>
    <n v="-36.372699510727223"/>
    <n v="1670.2086391691043"/>
    <n v="0"/>
    <n v="0"/>
    <n v="0"/>
    <n v="0"/>
    <n v="0"/>
    <n v="0"/>
    <n v="0"/>
    <n v="1"/>
    <n v="0"/>
    <n v="0"/>
  </r>
  <r>
    <d v="2006-09-09T00:00:00"/>
    <n v="2006"/>
    <x v="42"/>
    <s v="P"/>
    <n v="3"/>
    <x v="7"/>
    <s v="DET"/>
    <s v="A"/>
    <n v="2"/>
    <n v="2"/>
    <n v="0"/>
    <n v="0"/>
    <n v="0"/>
    <n v="0"/>
    <n v="1670.2086391691043"/>
    <n v="1667.3161806328449"/>
    <n v="0.38535200098691919"/>
    <n v="75"/>
    <n v="80"/>
    <n v="0"/>
    <n v="-5"/>
    <n v="0"/>
    <n v="0.33095823964008736"/>
    <n v="1.35"/>
    <n v="69.55"/>
    <n v="93.892499999999998"/>
    <n v="-11.974619411873098"/>
    <n v="1658.2340197572312"/>
    <n v="0"/>
    <n v="0"/>
    <n v="0"/>
    <n v="0"/>
    <n v="0"/>
    <n v="0"/>
    <n v="0"/>
    <n v="1"/>
    <n v="0"/>
    <n v="0"/>
  </r>
  <r>
    <d v="2006-09-09T00:00:00"/>
    <n v="2006"/>
    <x v="43"/>
    <s v="P"/>
    <n v="3"/>
    <x v="4"/>
    <s v="SAC"/>
    <s v="H"/>
    <n v="2"/>
    <n v="2"/>
    <n v="0"/>
    <n v="0"/>
    <n v="0"/>
    <n v="0"/>
    <n v="1667.3161806328449"/>
    <n v="1670.2086391691043"/>
    <n v="0.61464799901308087"/>
    <n v="80"/>
    <n v="75"/>
    <n v="0"/>
    <n v="5"/>
    <n v="1"/>
    <n v="0.33095823964008736"/>
    <n v="1.35"/>
    <n v="69.400000000000006"/>
    <n v="93.690000000000012"/>
    <n v="11.948793489345693"/>
    <n v="1679.2649741221906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8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m="1" x="32"/>
        <item m="1" x="49"/>
        <item m="1" x="25"/>
        <item m="1" x="23"/>
        <item m="1" x="37"/>
        <item m="1" x="53"/>
        <item x="1"/>
        <item x="0"/>
        <item m="1" x="39"/>
        <item m="1" x="14"/>
        <item x="3"/>
        <item m="1" x="27"/>
        <item m="1" x="31"/>
        <item x="4"/>
        <item m="1" x="54"/>
        <item m="1" x="34"/>
        <item x="9"/>
        <item x="5"/>
        <item m="1" x="48"/>
        <item m="1" x="47"/>
        <item m="1" x="22"/>
        <item m="1" x="21"/>
        <item m="1" x="56"/>
        <item x="10"/>
        <item m="1" x="55"/>
        <item m="1" x="24"/>
        <item m="1" x="16"/>
        <item m="1" x="33"/>
        <item x="12"/>
        <item m="1" x="41"/>
        <item m="1" x="19"/>
        <item m="1" x="28"/>
        <item m="1" x="42"/>
        <item m="1" x="50"/>
        <item x="2"/>
        <item m="1" x="43"/>
        <item m="1" x="30"/>
        <item m="1" x="18"/>
        <item m="1" x="26"/>
        <item x="6"/>
        <item m="1" x="45"/>
        <item m="1" x="17"/>
        <item m="1" x="29"/>
        <item x="7"/>
        <item x="8"/>
        <item m="1" x="40"/>
        <item x="11"/>
        <item m="1" x="51"/>
        <item m="1" x="46"/>
        <item m="1" x="52"/>
        <item m="1" x="44"/>
        <item m="1" x="20"/>
        <item m="1" x="15"/>
        <item m="1" x="36"/>
        <item x="13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5">
    <i>
      <x v="7"/>
    </i>
    <i>
      <x v="8"/>
    </i>
    <i>
      <x v="11"/>
    </i>
    <i>
      <x v="14"/>
    </i>
    <i>
      <x v="17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9">
      <pivotArea outline="0" collapsedLevelsAreSubtotals="1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8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5" totalsRowShown="0">
  <autoFilter ref="A1:D15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5">
    <sortCondition ref="C15"/>
  </sortState>
  <tableColumns count="4">
    <tableColumn id="1" xr3:uid="{8C17ECDF-4459-4994-A3F5-8E8FEDF92B6F}" name="TeamID"/>
    <tableColumn id="4" xr3:uid="{789F069E-DAF9-4B19-A6DB-107BA6995CE5}" name="Logo" dataDxfId="52"/>
    <tableColumn id="5" xr3:uid="{A9DA91BA-5529-4913-978B-19C8EF225B29}" name="TeamName" dataDxfId="51"/>
    <tableColumn id="2" xr3:uid="{AA4C8157-DB69-4779-8EEE-6F419B992D71}" name="PreSeasonElo" dataDxfId="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15" totalsRowShown="0" headerRowDxfId="47" dataDxfId="46">
  <autoFilter ref="A1:AL51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5"/>
    <tableColumn id="21" xr3:uid="{D754AB95-C77C-4DD5-B1B9-A24A4FEE7279}" name="Season" dataDxfId="44"/>
    <tableColumn id="19" xr3:uid="{4C42B78B-6AFC-42C3-A5F4-3266E247C458}" name="GamesPlayed" dataDxfId="43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2"/>
    <tableColumn id="14" xr3:uid="{EFA83923-8CCA-4DC9-BC85-5D86949A45D9}" name="Round" dataDxfId="41"/>
    <tableColumn id="2" xr3:uid="{6E102E51-A49B-416B-8CD2-B93B2A4EA389}" name="Team" dataDxfId="40"/>
    <tableColumn id="3" xr3:uid="{19101345-1C34-4AF3-88E6-76A7F19B7FE6}" name="Opponent" dataDxfId="39"/>
    <tableColumn id="16" xr3:uid="{4CBCDF29-B095-48DF-8EF6-06DC7D78C844}" name="HomeAway" dataDxfId="38"/>
    <tableColumn id="32" xr3:uid="{E3FA53E3-DAD6-4BC2-969A-C53F4798E86D}" name="DaysOff" dataDxfId="37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6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5">
      <calculatedColumnFormula>Games[[#This Row],[DaysOff]]-Games[[#This Row],[OppDaysOff]]</calculatedColumnFormula>
    </tableColumn>
    <tableColumn id="35" xr3:uid="{3F2DB366-7372-41BA-8B0C-09F9BA7EA850}" name="OppRestDiff" dataDxfId="34">
      <calculatedColumnFormula>Games[[#This Row],[OppDaysOff]]-Games[[#This Row],[DaysOff]]</calculatedColumnFormula>
    </tableColumn>
    <tableColumn id="36" xr3:uid="{BDD0FD2C-608F-4CCC-867B-4481F0F4B802}" name="RestAdj" dataDxfId="33">
      <calculatedColumnFormula>MAX(-16, MIN(16, Games[[#This Row],[RestDiff]]*8))</calculatedColumnFormula>
    </tableColumn>
    <tableColumn id="37" xr3:uid="{5F89213A-4C28-428C-B766-3B05D4F530A5}" name="OppRestAdj" dataDxfId="32">
      <calculatedColumnFormula>MAX(-16, MIN(16, Games[[#This Row],[OppRestDiff]]*8))</calculatedColumnFormula>
    </tableColumn>
    <tableColumn id="4" xr3:uid="{68053CFA-948B-4F2C-A114-7C46ABD9EA33}" name="PreGmRate" dataDxfId="31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0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9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8"/>
    <tableColumn id="8" xr3:uid="{0CDDF0F9-2F1E-487C-96DD-90F70CE7DAFC}" name="PointsAgainst" dataDxfId="27"/>
    <tableColumn id="22" xr3:uid="{AB7B5B5C-5BAD-4213-990E-8EB9B177497C}" name="OT" dataDxfId="26"/>
    <tableColumn id="9" xr3:uid="{CE171F1D-5E5D-4800-A6DC-8F6DBD74C939}" name="MOV" dataDxfId="25">
      <calculatedColumnFormula>Games[[#This Row],[PointsFor]]-Games[[#This Row],[PointsAgainst]]</calculatedColumnFormula>
    </tableColumn>
    <tableColumn id="10" xr3:uid="{883A3911-25F6-4C39-9637-F1C42D6A1FC2}" name="Result" dataDxfId="24">
      <calculatedColumnFormula>IF(Games[[#This Row],[MOV]]&gt;0,1,IF(Games[[#This Row],[MOV]]=0,0.5,0))</calculatedColumnFormula>
    </tableColumn>
    <tableColumn id="15" xr3:uid="{00048431-5FD6-47EE-807E-5B63FD521193}" name="MOVMult" dataDxfId="23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2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1">
      <calculatedColumnFormula>MAX(kmin, kmax - 0.15 * MIN(Games[[#This Row],[GamesPlayed]], 82))</calculatedColumnFormula>
    </tableColumn>
    <tableColumn id="29" xr3:uid="{FBA5D644-15ED-4725-9E52-1D37FD0FAC64}" name="Keff" dataDxfId="20">
      <calculatedColumnFormula>Games[[#This Row],[K]]*Games[[#This Row],[POMult]]</calculatedColumnFormula>
    </tableColumn>
    <tableColumn id="11" xr3:uid="{309DAEBD-E62C-4090-89E9-A58FD32AB89B}" name="RatingChange" dataDxfId="19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8">
      <calculatedColumnFormula>Games[[#This Row],[PreGmRate]]+Games[[#This Row],[RatingChange]]</calculatedColumnFormula>
    </tableColumn>
    <tableColumn id="17" xr3:uid="{90B7BF87-E472-4474-A10D-555BD3BF8F04}" name="W" dataDxfId="17">
      <calculatedColumnFormula>IF(Games[[#This Row],[Type]]="R",IF(Games[[#This Row],[Result]]&gt;0.5,1,0),0)</calculatedColumnFormula>
    </tableColumn>
    <tableColumn id="18" xr3:uid="{29756EA1-783D-4C76-A7B8-F906AF0EC7E7}" name="L" dataDxfId="16">
      <calculatedColumnFormula>IF(Games[[#This Row],[Type]]="R",IF(Games[[#This Row],[Result]]&lt;0.5,1,0),0)</calculatedColumnFormula>
    </tableColumn>
    <tableColumn id="23" xr3:uid="{C253CFA7-28A4-4AE5-B131-DC1E8F2B73F8}" name="R1W" dataDxfId="15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4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3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2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1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0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9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8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8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1334.8876459130818</v>
      </c>
      <c r="G2" t="s">
        <v>68</v>
      </c>
      <c r="H2" s="12">
        <v>1402.0300481214315</v>
      </c>
    </row>
    <row r="3" spans="1:8" x14ac:dyDescent="0.35">
      <c r="A3" t="s">
        <v>87</v>
      </c>
      <c r="B3" s="8"/>
      <c r="C3" s="15" t="s">
        <v>88</v>
      </c>
      <c r="D3" s="13">
        <v>1500</v>
      </c>
      <c r="G3" t="s">
        <v>88</v>
      </c>
      <c r="H3" s="12">
        <v>1280.2269502088029</v>
      </c>
    </row>
    <row r="4" spans="1:8" x14ac:dyDescent="0.35">
      <c r="A4" t="s">
        <v>86</v>
      </c>
      <c r="B4" s="8"/>
      <c r="C4" s="15" t="s">
        <v>85</v>
      </c>
      <c r="D4" s="13">
        <v>1660.0384745185409</v>
      </c>
      <c r="G4" t="s">
        <v>85</v>
      </c>
      <c r="H4" s="12">
        <v>1646.6376416143157</v>
      </c>
    </row>
    <row r="5" spans="1:8" x14ac:dyDescent="0.35">
      <c r="A5" t="s">
        <v>75</v>
      </c>
      <c r="B5" s="8"/>
      <c r="C5" s="15" t="s">
        <v>76</v>
      </c>
      <c r="D5" s="13">
        <v>1461.7374900062805</v>
      </c>
      <c r="G5" t="s">
        <v>76</v>
      </c>
      <c r="H5" s="12">
        <v>1679.2649741221906</v>
      </c>
    </row>
    <row r="6" spans="1:8" x14ac:dyDescent="0.35">
      <c r="A6" t="s">
        <v>2</v>
      </c>
      <c r="B6" s="8"/>
      <c r="C6" s="15" t="s">
        <v>65</v>
      </c>
      <c r="D6" s="13">
        <v>1544.8218520340195</v>
      </c>
      <c r="G6" t="s">
        <v>65</v>
      </c>
      <c r="H6" s="12">
        <v>1483.8593625114399</v>
      </c>
    </row>
    <row r="7" spans="1:8" x14ac:dyDescent="0.35">
      <c r="A7" t="s">
        <v>79</v>
      </c>
      <c r="B7" s="8"/>
      <c r="C7" s="15" t="s">
        <v>80</v>
      </c>
      <c r="D7" s="13">
        <v>1558.8859035717262</v>
      </c>
      <c r="G7" t="s">
        <v>80</v>
      </c>
      <c r="H7" s="12">
        <v>1546.7086303034871</v>
      </c>
    </row>
    <row r="8" spans="1:8" x14ac:dyDescent="0.35">
      <c r="A8" t="s">
        <v>70</v>
      </c>
      <c r="B8" s="8"/>
      <c r="C8" s="15" t="s">
        <v>71</v>
      </c>
      <c r="D8" s="13">
        <v>1486.6612439048865</v>
      </c>
      <c r="G8" t="s">
        <v>71</v>
      </c>
      <c r="H8" s="12">
        <v>1587.4133562830266</v>
      </c>
    </row>
    <row r="9" spans="1:8" x14ac:dyDescent="0.35">
      <c r="A9" t="s">
        <v>77</v>
      </c>
      <c r="B9" s="8"/>
      <c r="C9" s="15" t="s">
        <v>78</v>
      </c>
      <c r="D9" s="13">
        <v>1426.8597299264743</v>
      </c>
      <c r="G9" t="s">
        <v>78</v>
      </c>
      <c r="H9" s="12">
        <v>1349.8350439204983</v>
      </c>
    </row>
    <row r="10" spans="1:8" x14ac:dyDescent="0.35">
      <c r="A10" t="s">
        <v>66</v>
      </c>
      <c r="B10" s="8"/>
      <c r="C10" s="15" t="s">
        <v>67</v>
      </c>
      <c r="D10" s="13">
        <v>1486.3194747677353</v>
      </c>
      <c r="G10" t="s">
        <v>67</v>
      </c>
      <c r="H10" s="12">
        <v>1396.4545688192466</v>
      </c>
    </row>
    <row r="11" spans="1:8" x14ac:dyDescent="0.35">
      <c r="A11" t="s">
        <v>44</v>
      </c>
      <c r="B11" s="8"/>
      <c r="C11" s="15" t="s">
        <v>69</v>
      </c>
      <c r="D11" s="13">
        <v>1500.6824084719617</v>
      </c>
      <c r="G11" t="s">
        <v>69</v>
      </c>
      <c r="H11" s="12">
        <v>1560.4292859343559</v>
      </c>
    </row>
    <row r="12" spans="1:8" x14ac:dyDescent="0.35">
      <c r="A12" t="s">
        <v>45</v>
      </c>
      <c r="B12" s="8"/>
      <c r="C12" s="15" t="s">
        <v>72</v>
      </c>
      <c r="D12" s="13">
        <v>1707.7053983317542</v>
      </c>
      <c r="G12" t="s">
        <v>72</v>
      </c>
      <c r="H12" s="12">
        <v>1658.2340197572312</v>
      </c>
    </row>
    <row r="13" spans="1:8" x14ac:dyDescent="0.35">
      <c r="A13" t="s">
        <v>84</v>
      </c>
      <c r="B13" s="8"/>
      <c r="C13" s="15" t="s">
        <v>83</v>
      </c>
      <c r="D13" s="13">
        <v>1310.8824704806163</v>
      </c>
      <c r="G13" t="s">
        <v>83</v>
      </c>
      <c r="H13" s="12">
        <v>1394.5290689853223</v>
      </c>
    </row>
    <row r="14" spans="1:8" x14ac:dyDescent="0.35">
      <c r="A14" t="s">
        <v>81</v>
      </c>
      <c r="B14" s="8"/>
      <c r="C14" s="15" t="s">
        <v>82</v>
      </c>
      <c r="D14" s="13">
        <v>1557.4496424274842</v>
      </c>
      <c r="G14" t="s">
        <v>82</v>
      </c>
      <c r="H14" s="12">
        <v>1525.4277884240021</v>
      </c>
    </row>
    <row r="15" spans="1:8" x14ac:dyDescent="0.35">
      <c r="A15" t="s">
        <v>73</v>
      </c>
      <c r="B15" s="8"/>
      <c r="C15" s="15" t="s">
        <v>74</v>
      </c>
      <c r="D15" s="13">
        <v>1473.2198700737006</v>
      </c>
      <c r="G15" t="s">
        <v>74</v>
      </c>
      <c r="H15" s="12">
        <v>1493.4672927768297</v>
      </c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8"/>
      <c r="D26" s="13"/>
    </row>
    <row r="27" spans="2:4" x14ac:dyDescent="0.35">
      <c r="B27" s="8"/>
      <c r="C27" s="8"/>
      <c r="D27" s="13"/>
    </row>
    <row r="28" spans="2:4" x14ac:dyDescent="0.35">
      <c r="B28" s="8"/>
      <c r="C28" s="8"/>
      <c r="D28" s="13"/>
    </row>
  </sheetData>
  <sortState xmlns:xlrd2="http://schemas.microsoft.com/office/spreadsheetml/2017/richdata2" ref="G2:H15">
    <sortCondition ref="G2:G1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8"/>
  <sheetViews>
    <sheetView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5">_xlfn.SORTBY(A25:H38,G25:G38,-1)</f>
        <v>DET</v>
      </c>
      <c r="B2">
        <v>0</v>
      </c>
      <c r="C2" t="str">
        <v>Detroit Shock</v>
      </c>
      <c r="D2" s="1">
        <v>23</v>
      </c>
      <c r="E2" s="1">
        <v>11</v>
      </c>
      <c r="F2" s="3">
        <v>0.67647058823529416</v>
      </c>
      <c r="G2" s="9">
        <v>1679.2649741221906</v>
      </c>
      <c r="H2" s="1">
        <v>38969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2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0</v>
      </c>
      <c r="AW2" s="1">
        <f t="shared" ref="AW2:AW5" si="1">SUM(AO2,AQ2,AS2,AU2)</f>
        <v>2</v>
      </c>
      <c r="AX2" s="4" cm="1">
        <f t="array" ref="AX2">_xlfn.IFNA(INDEX(Games[PostGmRate], MATCH(1, (Games[Team]=AK2)*(Games[Date]=AY2), 0)),0)</f>
        <v>1483.8593625114399</v>
      </c>
      <c r="AY2" s="1">
        <f>_xlfn.MAXIFS(Games[Date], Games[Team], AK2)</f>
        <v>38948</v>
      </c>
      <c r="AZ2">
        <f t="shared" ref="AZ2:AZ5" si="2">SUM(AV2:AW2)</f>
        <v>2</v>
      </c>
    </row>
    <row r="3" spans="1:68" x14ac:dyDescent="0.35">
      <c r="A3" t="str">
        <v>SAC</v>
      </c>
      <c r="B3">
        <v>0</v>
      </c>
      <c r="C3" t="str">
        <v>Sacramento Monarchs</v>
      </c>
      <c r="D3" s="1">
        <v>21</v>
      </c>
      <c r="E3" s="1">
        <v>13</v>
      </c>
      <c r="F3" s="3">
        <v>0.61764705882352944</v>
      </c>
      <c r="G3" s="9">
        <v>1658.2340197572312</v>
      </c>
      <c r="H3" s="1">
        <v>38969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1396.4545688192466</v>
      </c>
      <c r="AY3" s="1">
        <f>_xlfn.MAXIFS(Games[Date], Games[Team], AK3)</f>
        <v>38942</v>
      </c>
      <c r="AZ3">
        <f t="shared" si="2"/>
        <v>0</v>
      </c>
    </row>
    <row r="4" spans="1:68" x14ac:dyDescent="0.35">
      <c r="A4" t="str">
        <v>CON</v>
      </c>
      <c r="B4">
        <v>0</v>
      </c>
      <c r="C4" t="str">
        <v>Connecticut Sun</v>
      </c>
      <c r="D4" s="1">
        <v>26</v>
      </c>
      <c r="E4" s="1">
        <v>8</v>
      </c>
      <c r="F4" s="3">
        <v>0.76470588235294112</v>
      </c>
      <c r="G4" s="9">
        <v>1646.6376416143157</v>
      </c>
      <c r="H4" s="1">
        <v>38956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0</v>
      </c>
      <c r="AO4" s="1">
        <f>_xlfn.XLOOKUP($AK4,StandingsPivot!$A$4:$A$33,StandingsPivot!E$4:E$33)</f>
        <v>0</v>
      </c>
      <c r="AP4" s="1">
        <f>_xlfn.XLOOKUP($AK4,StandingsPivot!$A$4:$A$33,StandingsPivot!F$4:F$33)</f>
        <v>0</v>
      </c>
      <c r="AQ4" s="1">
        <f>_xlfn.XLOOKUP($AK4,StandingsPivot!$A$4:$A$33,StandingsPivot!G$4:G$33)</f>
        <v>0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0</v>
      </c>
      <c r="AW4" s="1">
        <f t="shared" si="1"/>
        <v>0</v>
      </c>
      <c r="AX4" s="4" cm="1">
        <f t="array" ref="AX4">_xlfn.IFNA(INDEX(Games[PostGmRate], MATCH(1, (Games[Team]=AK4)*(Games[Date]=AY4), 0)),0)</f>
        <v>1402.0300481214315</v>
      </c>
      <c r="AY4" s="1">
        <f>_xlfn.MAXIFS(Games[Date], Games[Team], AK4)</f>
        <v>38941</v>
      </c>
      <c r="AZ4">
        <f t="shared" si="2"/>
        <v>0</v>
      </c>
    </row>
    <row r="5" spans="1:68" x14ac:dyDescent="0.35">
      <c r="A5" t="str">
        <v>LAS</v>
      </c>
      <c r="B5">
        <v>0</v>
      </c>
      <c r="C5" t="str">
        <v>Los Angeles Sparks</v>
      </c>
      <c r="D5" s="1">
        <v>25</v>
      </c>
      <c r="E5" s="1">
        <v>9</v>
      </c>
      <c r="F5" s="3">
        <v>0.73529411764705888</v>
      </c>
      <c r="G5" s="9">
        <v>1587.4133562830266</v>
      </c>
      <c r="H5" s="1">
        <v>38955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PHX</v>
      </c>
      <c r="B6">
        <v>0</v>
      </c>
      <c r="C6" t="str">
        <v>Phoenix Mercury</v>
      </c>
      <c r="D6" s="1">
        <v>18</v>
      </c>
      <c r="E6" s="1">
        <v>16</v>
      </c>
      <c r="F6" s="3">
        <v>0.52941176470588236</v>
      </c>
      <c r="G6" s="9">
        <v>1560.4292859343559</v>
      </c>
      <c r="H6" s="1">
        <v>38942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1560.4292859343559</v>
      </c>
      <c r="AY6" s="1">
        <f>_xlfn.MAXIFS(Games[Date], Games[Team], AK6)</f>
        <v>38942</v>
      </c>
      <c r="AZ6">
        <f>SUM(AV6:AW6)</f>
        <v>0</v>
      </c>
      <c r="BO6" s="4"/>
      <c r="BP6" s="1"/>
    </row>
    <row r="7" spans="1:68" x14ac:dyDescent="0.35">
      <c r="A7" t="str">
        <v>IND</v>
      </c>
      <c r="B7">
        <v>0</v>
      </c>
      <c r="C7" t="str">
        <v>Indiana Fever</v>
      </c>
      <c r="D7" s="1">
        <v>21</v>
      </c>
      <c r="E7" s="1">
        <v>13</v>
      </c>
      <c r="F7" s="3">
        <v>0.61764705882352944</v>
      </c>
      <c r="G7" s="9">
        <v>1546.7086303034871</v>
      </c>
      <c r="H7" s="1">
        <v>38948</v>
      </c>
      <c r="AK7" t="s">
        <v>70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1</v>
      </c>
      <c r="AP7" s="1">
        <f>_xlfn.XLOOKUP($AK7,StandingsPivot!$A$4:$A$33,StandingsPivot!F$4:F$33)</f>
        <v>0</v>
      </c>
      <c r="AQ7" s="1">
        <f>_xlfn.XLOOKUP($AK7,StandingsPivot!$A$4:$A$33,StandingsPivot!G$4:G$33)</f>
        <v>2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2</v>
      </c>
      <c r="AW7" s="1">
        <f t="shared" si="3"/>
        <v>3</v>
      </c>
      <c r="AX7" s="4" cm="1">
        <f t="array" ref="AX7">_xlfn.IFNA(INDEX(Games[PostGmRate], MATCH(1, (Games[Team]=AK7)*(Games[Date]=AY7), 0)),0)</f>
        <v>1587.4133562830266</v>
      </c>
      <c r="AY7" s="1">
        <f>_xlfn.MAXIFS(Games[Date], Games[Team], AK7)</f>
        <v>38955</v>
      </c>
      <c r="AZ7">
        <f>SUM(AV7:AW7)</f>
        <v>5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18</v>
      </c>
      <c r="E8" s="1">
        <v>16</v>
      </c>
      <c r="F8" s="3">
        <v>0.52941176470588236</v>
      </c>
      <c r="G8" s="9">
        <v>1525.4277884240021</v>
      </c>
      <c r="H8" s="1">
        <v>38951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2</v>
      </c>
      <c r="AO8" s="1">
        <f>_xlfn.XLOOKUP($AK8,StandingsPivot!$A$4:$A$33,StandingsPivot!E$4:E$33)</f>
        <v>0</v>
      </c>
      <c r="AP8" s="1">
        <f>_xlfn.XLOOKUP($AK8,StandingsPivot!$A$4:$A$33,StandingsPivot!F$4:F$33)</f>
        <v>2</v>
      </c>
      <c r="AQ8" s="1">
        <f>_xlfn.XLOOKUP($AK8,StandingsPivot!$A$4:$A$33,StandingsPivot!G$4:G$33)</f>
        <v>0</v>
      </c>
      <c r="AR8" s="1">
        <f>_xlfn.XLOOKUP($AK8,StandingsPivot!$A$4:$A$33,StandingsPivot!H$4:H$33)</f>
        <v>2</v>
      </c>
      <c r="AS8" s="1">
        <f>_xlfn.XLOOKUP($AK8,StandingsPivot!$A$4:$A$33,StandingsPivot!I$4:I$33)</f>
        <v>3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6</v>
      </c>
      <c r="AW8" s="1">
        <f t="shared" si="3"/>
        <v>3</v>
      </c>
      <c r="AX8" s="4" cm="1">
        <f t="array" ref="AX8">_xlfn.IFNA(INDEX(Games[PostGmRate], MATCH(1, (Games[Team]=AK8)*(Games[Date]=AY8), 0)),0)</f>
        <v>1658.2340197572312</v>
      </c>
      <c r="AY8" s="1">
        <f>_xlfn.MAXIFS(Games[Date], Games[Team], AK8)</f>
        <v>38969</v>
      </c>
      <c r="AZ8">
        <f>SUM(AV8:AW8)</f>
        <v>9</v>
      </c>
      <c r="BO8" s="4"/>
      <c r="BP8" s="1"/>
    </row>
    <row r="9" spans="1:68" x14ac:dyDescent="0.35">
      <c r="A9" t="str">
        <v>WAS</v>
      </c>
      <c r="B9">
        <v>0</v>
      </c>
      <c r="C9" t="str">
        <v>Washington Mystics</v>
      </c>
      <c r="D9" s="1">
        <v>18</v>
      </c>
      <c r="E9" s="1">
        <v>16</v>
      </c>
      <c r="F9" s="3">
        <v>0.52941176470588236</v>
      </c>
      <c r="G9" s="9">
        <v>1493.4672927768297</v>
      </c>
      <c r="H9" s="1">
        <v>38949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HOU</v>
      </c>
      <c r="B10">
        <v>0</v>
      </c>
      <c r="C10" t="str">
        <v>Houston Comets</v>
      </c>
      <c r="D10" s="1">
        <v>18</v>
      </c>
      <c r="E10" s="1">
        <v>16</v>
      </c>
      <c r="F10" s="3">
        <v>0.52941176470588236</v>
      </c>
      <c r="G10" s="9">
        <v>1483.8593625114399</v>
      </c>
      <c r="H10" s="1">
        <v>38948</v>
      </c>
      <c r="O10" s="3"/>
      <c r="P10" s="4"/>
      <c r="Q10" s="1"/>
      <c r="AX10" s="4"/>
      <c r="BO10" s="4"/>
      <c r="BP10" s="1"/>
    </row>
    <row r="11" spans="1:68" x14ac:dyDescent="0.35">
      <c r="A11" t="str">
        <v>CHA</v>
      </c>
      <c r="B11">
        <v>0</v>
      </c>
      <c r="C11" t="str">
        <v>Charlotte Sting</v>
      </c>
      <c r="D11" s="1">
        <v>11</v>
      </c>
      <c r="E11" s="1">
        <v>23</v>
      </c>
      <c r="F11" s="3">
        <v>0.3235294117647059</v>
      </c>
      <c r="G11" s="9">
        <v>1402.0300481214315</v>
      </c>
      <c r="H11" s="1">
        <v>38941</v>
      </c>
      <c r="O11" s="3"/>
      <c r="P11" s="4"/>
      <c r="Q11" s="1"/>
      <c r="AX11" s="4"/>
      <c r="BO11" s="4"/>
      <c r="BP11" s="1"/>
    </row>
    <row r="12" spans="1:68" x14ac:dyDescent="0.35">
      <c r="A12" t="str">
        <v>NYL</v>
      </c>
      <c r="B12">
        <v>0</v>
      </c>
      <c r="C12" t="str">
        <v>New York Liberty</v>
      </c>
      <c r="D12" s="1">
        <v>11</v>
      </c>
      <c r="E12" s="1">
        <v>23</v>
      </c>
      <c r="F12" s="3">
        <v>0.3235294117647059</v>
      </c>
      <c r="G12" s="9">
        <v>1396.4545688192466</v>
      </c>
      <c r="H12" s="1">
        <v>38942</v>
      </c>
      <c r="O12" s="3"/>
      <c r="P12" s="4"/>
      <c r="Q12" s="1"/>
      <c r="AX12" s="4"/>
      <c r="BO12" s="4"/>
      <c r="BP12" s="1"/>
    </row>
    <row r="13" spans="1:68" x14ac:dyDescent="0.35">
      <c r="A13" t="str">
        <v>SAS</v>
      </c>
      <c r="B13">
        <v>0</v>
      </c>
      <c r="C13" t="str">
        <v>San Antonio Silver Stars</v>
      </c>
      <c r="D13" s="1">
        <v>13</v>
      </c>
      <c r="E13" s="1">
        <v>21</v>
      </c>
      <c r="F13" s="3">
        <v>0.38235294117647056</v>
      </c>
      <c r="G13" s="9">
        <v>1394.5290689853223</v>
      </c>
      <c r="H13" s="1">
        <v>38941</v>
      </c>
      <c r="AX13" s="4"/>
      <c r="BO13" s="4"/>
      <c r="BP13" s="1"/>
    </row>
    <row r="14" spans="1:68" x14ac:dyDescent="0.35">
      <c r="A14" t="str">
        <v>MIN</v>
      </c>
      <c r="B14">
        <v>0</v>
      </c>
      <c r="C14" t="str">
        <v>Minnesota Lynx</v>
      </c>
      <c r="D14" s="1">
        <v>10</v>
      </c>
      <c r="E14" s="1">
        <v>24</v>
      </c>
      <c r="F14" s="3">
        <v>0.29411764705882354</v>
      </c>
      <c r="G14" s="9">
        <v>1349.8350439204983</v>
      </c>
      <c r="H14" s="1">
        <v>38942</v>
      </c>
      <c r="O14" s="3"/>
      <c r="P14" s="4"/>
      <c r="Q14" s="1"/>
      <c r="AX14" s="4"/>
      <c r="BO14" s="4"/>
      <c r="BP14" s="1"/>
    </row>
    <row r="15" spans="1:68" x14ac:dyDescent="0.35">
      <c r="A15" t="str">
        <v>CHI</v>
      </c>
      <c r="B15">
        <v>0</v>
      </c>
      <c r="C15" t="str">
        <v>Chicago Sky</v>
      </c>
      <c r="D15" s="1">
        <v>5</v>
      </c>
      <c r="E15" s="1">
        <v>29</v>
      </c>
      <c r="F15" s="3">
        <v>0.14705882352941177</v>
      </c>
      <c r="G15" s="9">
        <v>1280.2269502088029</v>
      </c>
      <c r="H15" s="1">
        <v>38942</v>
      </c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11</v>
      </c>
      <c r="E25" s="1">
        <f>_xlfn.XLOOKUP($A25,StandingsPivot!$A$4:$A$35,StandingsPivot!C$4:C$35)</f>
        <v>23</v>
      </c>
      <c r="F25" s="3">
        <f>(D25)/(D25+E25)</f>
        <v>0.3235294117647059</v>
      </c>
      <c r="G25" s="9" cm="1">
        <f t="array" ref="G25">INDEX(Games[PostGmRate], MATCH(1, (Games[Team]=A25)*(Games[Date]=H25), 0))</f>
        <v>1402.0300481214315</v>
      </c>
      <c r="H25" s="1">
        <f>_xlfn.MAXIFS(Games[Date], Games[Team], A25)</f>
        <v>38941</v>
      </c>
      <c r="AR25" s="3"/>
      <c r="AS25" s="4"/>
      <c r="BD25" s="1"/>
      <c r="BG25" s="3"/>
      <c r="BH25" s="4"/>
    </row>
    <row r="26" spans="1:60" x14ac:dyDescent="0.35">
      <c r="A26" t="s">
        <v>87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5</v>
      </c>
      <c r="E26" s="1">
        <f>_xlfn.XLOOKUP($A26,StandingsPivot!$A$4:$A$35,StandingsPivot!C$4:C$35)</f>
        <v>29</v>
      </c>
      <c r="F26" s="3">
        <f>(D26)/(D26+E26)</f>
        <v>0.14705882352941177</v>
      </c>
      <c r="G26" s="9" cm="1">
        <f t="array" ref="G26">INDEX(Games[PostGmRate], MATCH(1, (Games[Team]=A26)*(Games[Date]=H26), 0))</f>
        <v>1280.2269502088029</v>
      </c>
      <c r="H26" s="1">
        <f>_xlfn.MAXIFS(Games[Date], Games[Team], A26)</f>
        <v>38942</v>
      </c>
      <c r="AR26" s="3"/>
      <c r="AS26" s="4"/>
      <c r="BD26" s="1"/>
      <c r="BG26" s="3"/>
      <c r="BH26" s="4"/>
    </row>
    <row r="27" spans="1:60" x14ac:dyDescent="0.35">
      <c r="A27" t="s">
        <v>86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26</v>
      </c>
      <c r="E27" s="1">
        <f>_xlfn.XLOOKUP($A27,StandingsPivot!$A$4:$A$35,StandingsPivot!C$4:C$35)</f>
        <v>8</v>
      </c>
      <c r="F27" s="3">
        <f>(D27)/(D27+E27)</f>
        <v>0.76470588235294112</v>
      </c>
      <c r="G27" s="9" cm="1">
        <f t="array" ref="G27">INDEX(Games[PostGmRate], MATCH(1, (Games[Team]=A27)*(Games[Date]=H27), 0))</f>
        <v>1646.6376416143157</v>
      </c>
      <c r="H27" s="1">
        <f>_xlfn.MAXIFS(Games[Date], Games[Team], A27)</f>
        <v>38956</v>
      </c>
      <c r="AR27" s="3"/>
      <c r="AS27" s="4"/>
      <c r="BD27" s="1"/>
      <c r="BG27" s="3"/>
      <c r="BH27" s="4"/>
    </row>
    <row r="28" spans="1:60" x14ac:dyDescent="0.35">
      <c r="A28" t="s">
        <v>75</v>
      </c>
      <c r="B28">
        <f>_xlfn.XLOOKUP(A28,ConfDiv[TeamID],ConfDiv[Logo])</f>
        <v>0</v>
      </c>
      <c r="C28" t="str">
        <f>_xlfn.XLOOKUP(A28,ConfDiv[TeamID],ConfDiv[TeamName])</f>
        <v>Detroit Shock</v>
      </c>
      <c r="D28" s="1">
        <f>_xlfn.XLOOKUP($A28,StandingsPivot!$A$4:$A$35,StandingsPivot!B$4:B$35)</f>
        <v>23</v>
      </c>
      <c r="E28" s="1">
        <f>_xlfn.XLOOKUP($A28,StandingsPivot!$A$4:$A$35,StandingsPivot!C$4:C$35)</f>
        <v>11</v>
      </c>
      <c r="F28" s="3">
        <f>(D28)/(D28+E28)</f>
        <v>0.67647058823529416</v>
      </c>
      <c r="G28" s="9" cm="1">
        <f t="array" ref="G28">INDEX(Games[PostGmRate], MATCH(1, (Games[Team]=A28)*(Games[Date]=H28), 0))</f>
        <v>1679.2649741221906</v>
      </c>
      <c r="H28" s="1">
        <f>_xlfn.MAXIFS(Games[Date], Games[Team], A28)</f>
        <v>38969</v>
      </c>
      <c r="AR28" s="3"/>
      <c r="AS28" s="4"/>
      <c r="BD28" s="1"/>
      <c r="BG28" s="3"/>
      <c r="BH28" s="4"/>
    </row>
    <row r="29" spans="1:60" x14ac:dyDescent="0.35">
      <c r="A29" t="s">
        <v>2</v>
      </c>
      <c r="B29">
        <f>_xlfn.XLOOKUP(A29,ConfDiv[TeamID],ConfDiv[Logo])</f>
        <v>0</v>
      </c>
      <c r="C29" t="str">
        <f>_xlfn.XLOOKUP(A29,ConfDiv[TeamID],ConfDiv[TeamName])</f>
        <v>Houston Comets</v>
      </c>
      <c r="D29" s="1">
        <f>_xlfn.XLOOKUP($A29,StandingsPivot!$A$4:$A$35,StandingsPivot!B$4:B$35)</f>
        <v>18</v>
      </c>
      <c r="E29" s="1">
        <f>_xlfn.XLOOKUP($A29,StandingsPivot!$A$4:$A$35,StandingsPivot!C$4:C$35)</f>
        <v>16</v>
      </c>
      <c r="F29" s="3">
        <f>(D29)/(D29+E29)</f>
        <v>0.52941176470588236</v>
      </c>
      <c r="G29" s="9" cm="1">
        <f t="array" ref="G29">INDEX(Games[PostGmRate], MATCH(1, (Games[Team]=A29)*(Games[Date]=H29), 0))</f>
        <v>1483.8593625114399</v>
      </c>
      <c r="H29" s="1">
        <f>_xlfn.MAXIFS(Games[Date], Games[Team], A29)</f>
        <v>38948</v>
      </c>
      <c r="AR29" s="3"/>
      <c r="AS29" s="4"/>
      <c r="BD29" s="1"/>
      <c r="BG29" s="3"/>
      <c r="BH29" s="4"/>
    </row>
    <row r="30" spans="1:60" x14ac:dyDescent="0.35">
      <c r="A30" t="s">
        <v>79</v>
      </c>
      <c r="B30">
        <f>_xlfn.XLOOKUP(A30,ConfDiv[TeamID],ConfDiv[Logo])</f>
        <v>0</v>
      </c>
      <c r="C30" t="str">
        <f>_xlfn.XLOOKUP(A30,ConfDiv[TeamID],ConfDiv[TeamName])</f>
        <v>Indiana Fever</v>
      </c>
      <c r="D30" s="1">
        <f>_xlfn.XLOOKUP($A30,StandingsPivot!$A$4:$A$35,StandingsPivot!B$4:B$35)</f>
        <v>21</v>
      </c>
      <c r="E30" s="1">
        <f>_xlfn.XLOOKUP($A30,StandingsPivot!$A$4:$A$35,StandingsPivot!C$4:C$35)</f>
        <v>13</v>
      </c>
      <c r="F30" s="3">
        <f>(D30)/(D30+E30)</f>
        <v>0.61764705882352944</v>
      </c>
      <c r="G30" s="9" cm="1">
        <f t="array" ref="G30">INDEX(Games[PostGmRate], MATCH(1, (Games[Team]=A30)*(Games[Date]=H30), 0))</f>
        <v>1546.7086303034871</v>
      </c>
      <c r="H30" s="1">
        <f>_xlfn.MAXIFS(Games[Date], Games[Team], A30)</f>
        <v>38948</v>
      </c>
      <c r="AR30" s="3"/>
      <c r="AS30" s="4"/>
      <c r="BD30" s="1"/>
      <c r="BG30" s="3"/>
      <c r="BH30" s="4"/>
    </row>
    <row r="31" spans="1:60" x14ac:dyDescent="0.35">
      <c r="A31" t="s">
        <v>70</v>
      </c>
      <c r="B31">
        <f>_xlfn.XLOOKUP(A31,ConfDiv[TeamID],ConfDiv[Logo])</f>
        <v>0</v>
      </c>
      <c r="C31" t="str">
        <f>_xlfn.XLOOKUP(A31,ConfDiv[TeamID],ConfDiv[TeamName])</f>
        <v>Los Angeles Sparks</v>
      </c>
      <c r="D31" s="1">
        <f>_xlfn.XLOOKUP($A31,StandingsPivot!$A$4:$A$35,StandingsPivot!B$4:B$35)</f>
        <v>25</v>
      </c>
      <c r="E31" s="1">
        <f>_xlfn.XLOOKUP($A31,StandingsPivot!$A$4:$A$35,StandingsPivot!C$4:C$35)</f>
        <v>9</v>
      </c>
      <c r="F31" s="3">
        <f>(D31)/(D31+E31)</f>
        <v>0.73529411764705888</v>
      </c>
      <c r="G31" s="9" cm="1">
        <f t="array" ref="G31">INDEX(Games[PostGmRate], MATCH(1, (Games[Team]=A31)*(Games[Date]=H31), 0))</f>
        <v>1587.4133562830266</v>
      </c>
      <c r="H31" s="1">
        <f>_xlfn.MAXIFS(Games[Date], Games[Team], A31)</f>
        <v>38955</v>
      </c>
      <c r="AR31" s="3"/>
      <c r="AS31" s="4"/>
      <c r="BD31" s="1"/>
      <c r="BG31" s="3"/>
      <c r="BH31" s="4"/>
    </row>
    <row r="32" spans="1:60" x14ac:dyDescent="0.35">
      <c r="A32" t="s">
        <v>77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10</v>
      </c>
      <c r="E32" s="1">
        <f>_xlfn.XLOOKUP($A32,StandingsPivot!$A$4:$A$35,StandingsPivot!C$4:C$35)</f>
        <v>24</v>
      </c>
      <c r="F32" s="3">
        <f>(D32)/(D32+E32)</f>
        <v>0.29411764705882354</v>
      </c>
      <c r="G32" s="9" cm="1">
        <f t="array" ref="G32">INDEX(Games[PostGmRate], MATCH(1, (Games[Team]=A32)*(Games[Date]=H32), 0))</f>
        <v>1349.8350439204983</v>
      </c>
      <c r="H32" s="1">
        <f>_xlfn.MAXIFS(Games[Date], Games[Team], A32)</f>
        <v>38942</v>
      </c>
      <c r="AR32" s="3"/>
      <c r="AS32" s="4"/>
      <c r="BD32" s="1"/>
      <c r="BG32" s="3"/>
      <c r="BH32" s="4"/>
    </row>
    <row r="33" spans="1:60" x14ac:dyDescent="0.35">
      <c r="A33" t="s">
        <v>66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11</v>
      </c>
      <c r="E33" s="1">
        <f>_xlfn.XLOOKUP($A33,StandingsPivot!$A$4:$A$35,StandingsPivot!C$4:C$35)</f>
        <v>23</v>
      </c>
      <c r="F33" s="3">
        <f>(D33)/(D33+E33)</f>
        <v>0.3235294117647059</v>
      </c>
      <c r="G33" s="9" cm="1">
        <f t="array" ref="G33">INDEX(Games[PostGmRate], MATCH(1, (Games[Team]=A33)*(Games[Date]=H33), 0))</f>
        <v>1396.4545688192466</v>
      </c>
      <c r="H33" s="1">
        <f>_xlfn.MAXIFS(Games[Date], Games[Team], A33)</f>
        <v>38942</v>
      </c>
      <c r="AR33" s="3"/>
      <c r="AS33" s="4"/>
      <c r="BD33" s="1"/>
      <c r="BG33" s="3"/>
      <c r="BH33" s="4"/>
    </row>
    <row r="34" spans="1:60" x14ac:dyDescent="0.35">
      <c r="A34" t="s">
        <v>44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18</v>
      </c>
      <c r="E34" s="1">
        <f>_xlfn.XLOOKUP($A34,StandingsPivot!$A$4:$A$35,StandingsPivot!C$4:C$35)</f>
        <v>16</v>
      </c>
      <c r="F34" s="3">
        <f>(D34)/(D34+E34)</f>
        <v>0.52941176470588236</v>
      </c>
      <c r="G34" s="9" cm="1">
        <f t="array" ref="G34">INDEX(Games[PostGmRate], MATCH(1, (Games[Team]=A34)*(Games[Date]=H34), 0))</f>
        <v>1560.4292859343559</v>
      </c>
      <c r="H34" s="1">
        <f>_xlfn.MAXIFS(Games[Date], Games[Team], A34)</f>
        <v>38942</v>
      </c>
    </row>
    <row r="35" spans="1:60" x14ac:dyDescent="0.35">
      <c r="A35" t="s">
        <v>45</v>
      </c>
      <c r="B35">
        <f>_xlfn.XLOOKUP(A35,ConfDiv[TeamID],ConfDiv[Logo])</f>
        <v>0</v>
      </c>
      <c r="C35" t="str">
        <f>_xlfn.XLOOKUP(A35,ConfDiv[TeamID],ConfDiv[TeamName])</f>
        <v>Sacramento Monarchs</v>
      </c>
      <c r="D35" s="1">
        <f>_xlfn.XLOOKUP($A35,StandingsPivot!$A$4:$A$35,StandingsPivot!B$4:B$35)</f>
        <v>21</v>
      </c>
      <c r="E35" s="1">
        <f>_xlfn.XLOOKUP($A35,StandingsPivot!$A$4:$A$35,StandingsPivot!C$4:C$35)</f>
        <v>13</v>
      </c>
      <c r="F35" s="3">
        <f>(D35)/(D35+E35)</f>
        <v>0.61764705882352944</v>
      </c>
      <c r="G35" s="9" cm="1">
        <f t="array" ref="G35">INDEX(Games[PostGmRate], MATCH(1, (Games[Team]=A35)*(Games[Date]=H35), 0))</f>
        <v>1658.2340197572312</v>
      </c>
      <c r="H35" s="1">
        <f>_xlfn.MAXIFS(Games[Date], Games[Team], A35)</f>
        <v>38969</v>
      </c>
    </row>
    <row r="36" spans="1:60" x14ac:dyDescent="0.35">
      <c r="A36" t="s">
        <v>84</v>
      </c>
      <c r="B36">
        <f>_xlfn.XLOOKUP(A36,ConfDiv[TeamID],ConfDiv[Logo])</f>
        <v>0</v>
      </c>
      <c r="C36" t="str">
        <f>_xlfn.XLOOKUP(A36,ConfDiv[TeamID],ConfDiv[TeamName])</f>
        <v>San Antonio Silver Stars</v>
      </c>
      <c r="D36" s="1">
        <f>_xlfn.XLOOKUP($A36,StandingsPivot!$A$4:$A$35,StandingsPivot!B$4:B$35)</f>
        <v>13</v>
      </c>
      <c r="E36" s="1">
        <f>_xlfn.XLOOKUP($A36,StandingsPivot!$A$4:$A$35,StandingsPivot!C$4:C$35)</f>
        <v>21</v>
      </c>
      <c r="F36" s="3">
        <f>(D36)/(D36+E36)</f>
        <v>0.38235294117647056</v>
      </c>
      <c r="G36" s="9" cm="1">
        <f t="array" ref="G36">INDEX(Games[PostGmRate], MATCH(1, (Games[Team]=A36)*(Games[Date]=H36), 0))</f>
        <v>1394.5290689853223</v>
      </c>
      <c r="H36" s="1">
        <f>_xlfn.MAXIFS(Games[Date], Games[Team], A36)</f>
        <v>38941</v>
      </c>
    </row>
    <row r="37" spans="1:60" x14ac:dyDescent="0.35">
      <c r="A37" t="s">
        <v>81</v>
      </c>
      <c r="B37">
        <f>_xlfn.XLOOKUP(A37,ConfDiv[TeamID],ConfDiv[Logo])</f>
        <v>0</v>
      </c>
      <c r="C37" t="str">
        <f>_xlfn.XLOOKUP(A37,ConfDiv[TeamID],ConfDiv[TeamName])</f>
        <v>Seattle Storm</v>
      </c>
      <c r="D37" s="1">
        <f>_xlfn.XLOOKUP($A37,StandingsPivot!$A$4:$A$35,StandingsPivot!B$4:B$35)</f>
        <v>18</v>
      </c>
      <c r="E37" s="1">
        <f>_xlfn.XLOOKUP($A37,StandingsPivot!$A$4:$A$35,StandingsPivot!C$4:C$35)</f>
        <v>16</v>
      </c>
      <c r="F37" s="3">
        <f>(D37)/(D37+E37)</f>
        <v>0.52941176470588236</v>
      </c>
      <c r="G37" s="9" cm="1">
        <f t="array" ref="G37">INDEX(Games[PostGmRate], MATCH(1, (Games[Team]=A37)*(Games[Date]=H37), 0))</f>
        <v>1525.4277884240021</v>
      </c>
      <c r="H37" s="1">
        <f>_xlfn.MAXIFS(Games[Date], Games[Team], A37)</f>
        <v>38951</v>
      </c>
    </row>
    <row r="38" spans="1:60" x14ac:dyDescent="0.35">
      <c r="A38" t="s">
        <v>73</v>
      </c>
      <c r="B38">
        <f>_xlfn.XLOOKUP(A38,ConfDiv[TeamID],ConfDiv[Logo])</f>
        <v>0</v>
      </c>
      <c r="C38" t="str">
        <f>_xlfn.XLOOKUP(A38,ConfDiv[TeamID],ConfDiv[TeamName])</f>
        <v>Washington Mystics</v>
      </c>
      <c r="D38" s="1">
        <f>_xlfn.XLOOKUP($A38,StandingsPivot!$A$4:$A$35,StandingsPivot!B$4:B$35)</f>
        <v>18</v>
      </c>
      <c r="E38" s="1">
        <f>_xlfn.XLOOKUP($A38,StandingsPivot!$A$4:$A$35,StandingsPivot!C$4:C$35)</f>
        <v>16</v>
      </c>
      <c r="F38" s="3">
        <f>(D38)/(D38+E38)</f>
        <v>0.52941176470588236</v>
      </c>
      <c r="G38" s="9" cm="1">
        <f t="array" ref="G38">INDEX(Games[PostGmRate], MATCH(1, (Games[Team]=A38)*(Games[Date]=H38), 0))</f>
        <v>1493.4672927768297</v>
      </c>
      <c r="H38" s="1">
        <f>_xlfn.MAXIFS(Games[Date], Games[Team], A38)</f>
        <v>38949</v>
      </c>
    </row>
  </sheetData>
  <sortState xmlns:xlrd2="http://schemas.microsoft.com/office/spreadsheetml/2017/richdata2" ref="A25:G38">
    <sortCondition ref="A25:A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11</v>
      </c>
      <c r="C4" s="2">
        <v>23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87</v>
      </c>
      <c r="B5" s="2">
        <v>5</v>
      </c>
      <c r="C5" s="2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86</v>
      </c>
      <c r="B6" s="2">
        <v>26</v>
      </c>
      <c r="C6" s="2">
        <v>8</v>
      </c>
      <c r="D6" s="2">
        <v>2</v>
      </c>
      <c r="E6" s="2">
        <v>0</v>
      </c>
      <c r="F6" s="2">
        <v>1</v>
      </c>
      <c r="G6" s="2">
        <v>2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75</v>
      </c>
      <c r="B7" s="2">
        <v>23</v>
      </c>
      <c r="C7" s="2">
        <v>11</v>
      </c>
      <c r="D7" s="2">
        <v>2</v>
      </c>
      <c r="E7" s="2">
        <v>0</v>
      </c>
      <c r="F7" s="2">
        <v>2</v>
      </c>
      <c r="G7" s="2">
        <v>1</v>
      </c>
      <c r="H7" s="2">
        <v>3</v>
      </c>
      <c r="I7" s="2">
        <v>2</v>
      </c>
      <c r="J7" s="2">
        <v>0</v>
      </c>
      <c r="K7" s="2">
        <v>0</v>
      </c>
    </row>
    <row r="8" spans="1:11" x14ac:dyDescent="0.35">
      <c r="A8" s="6" t="s">
        <v>2</v>
      </c>
      <c r="B8" s="2">
        <v>18</v>
      </c>
      <c r="C8" s="2">
        <v>16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79</v>
      </c>
      <c r="B9" s="2">
        <v>21</v>
      </c>
      <c r="C9" s="2">
        <v>13</v>
      </c>
      <c r="D9" s="2">
        <v>0</v>
      </c>
      <c r="E9" s="2">
        <v>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70</v>
      </c>
      <c r="B10" s="2">
        <v>25</v>
      </c>
      <c r="C10" s="2">
        <v>9</v>
      </c>
      <c r="D10" s="2">
        <v>2</v>
      </c>
      <c r="E10" s="2">
        <v>1</v>
      </c>
      <c r="F10" s="2">
        <v>0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77</v>
      </c>
      <c r="B11" s="2">
        <v>10</v>
      </c>
      <c r="C11" s="2">
        <v>24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66</v>
      </c>
      <c r="B12" s="2">
        <v>11</v>
      </c>
      <c r="C12" s="2">
        <v>23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44</v>
      </c>
      <c r="B13" s="2">
        <v>18</v>
      </c>
      <c r="C13" s="2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45</v>
      </c>
      <c r="B14" s="2">
        <v>21</v>
      </c>
      <c r="C14" s="2">
        <v>13</v>
      </c>
      <c r="D14" s="2">
        <v>2</v>
      </c>
      <c r="E14" s="2">
        <v>0</v>
      </c>
      <c r="F14" s="2">
        <v>2</v>
      </c>
      <c r="G14" s="2">
        <v>0</v>
      </c>
      <c r="H14" s="2">
        <v>2</v>
      </c>
      <c r="I14" s="2">
        <v>3</v>
      </c>
      <c r="J14" s="2">
        <v>0</v>
      </c>
      <c r="K14" s="2">
        <v>0</v>
      </c>
    </row>
    <row r="15" spans="1:11" x14ac:dyDescent="0.35">
      <c r="A15" s="6" t="s">
        <v>84</v>
      </c>
      <c r="B15" s="2">
        <v>13</v>
      </c>
      <c r="C15" s="2">
        <v>21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81</v>
      </c>
      <c r="B16" s="2">
        <v>18</v>
      </c>
      <c r="C16" s="2">
        <v>16</v>
      </c>
      <c r="D16" s="2">
        <v>1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73</v>
      </c>
      <c r="B17" s="2">
        <v>18</v>
      </c>
      <c r="C17" s="2">
        <v>16</v>
      </c>
      <c r="D17" s="2">
        <v>0</v>
      </c>
      <c r="E17" s="2">
        <v>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s="6" t="s">
        <v>20</v>
      </c>
      <c r="B18" s="2">
        <v>238</v>
      </c>
      <c r="C18" s="2">
        <v>238</v>
      </c>
      <c r="D18" s="2">
        <v>9</v>
      </c>
      <c r="E18" s="2">
        <v>9</v>
      </c>
      <c r="F18" s="2">
        <v>5</v>
      </c>
      <c r="G18" s="2">
        <v>5</v>
      </c>
      <c r="H18" s="2">
        <v>5</v>
      </c>
      <c r="I18" s="2">
        <v>5</v>
      </c>
      <c r="J18" s="2">
        <v>0</v>
      </c>
      <c r="K18" s="2">
        <v>0</v>
      </c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8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15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38857</v>
      </c>
      <c r="B2" s="2">
        <v>2006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87</v>
      </c>
      <c r="G2" s="1" t="s">
        <v>64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1417.4438229565408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0.49792218370051433</v>
      </c>
      <c r="R2" s="1">
        <v>83</v>
      </c>
      <c r="S2" s="1">
        <v>82</v>
      </c>
      <c r="T2" s="1">
        <v>0</v>
      </c>
      <c r="U2" s="1">
        <f>Games[[#This Row],[PointsFor]]-Games[[#This Row],[PointsAgainst]]</f>
        <v>1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0.22846219947558938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8.7004350983628349</v>
      </c>
      <c r="AB2" s="4">
        <f>Games[[#This Row],[PreGmRate]]+Games[[#This Row],[RatingChange]]</f>
        <v>1508.7004350983627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38857</v>
      </c>
      <c r="B3" s="2">
        <v>2006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64</v>
      </c>
      <c r="G3" s="1" t="s">
        <v>87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1417.4438229565408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0.50207781629948567</v>
      </c>
      <c r="R3" s="1">
        <v>82</v>
      </c>
      <c r="S3" s="1">
        <v>83</v>
      </c>
      <c r="T3" s="1">
        <v>0</v>
      </c>
      <c r="U3" s="1">
        <f>Games[[#This Row],[PointsFor]]-Games[[#This Row],[PointsAgainst]]</f>
        <v>-1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0.22846219947558938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-8.7004350983628349</v>
      </c>
      <c r="AB3" s="4">
        <f>Games[[#This Row],[PreGmRate]]+Games[[#This Row],[RatingChange]]</f>
        <v>1408.743387858178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38857</v>
      </c>
      <c r="B4" s="2">
        <v>2006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66</v>
      </c>
      <c r="G4" s="1" t="s">
        <v>86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1493.1597373838677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1580.0192372592705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0.27218867860785456</v>
      </c>
      <c r="R4" s="1">
        <v>74</v>
      </c>
      <c r="S4" s="1">
        <v>91</v>
      </c>
      <c r="T4" s="1">
        <v>0</v>
      </c>
      <c r="U4" s="1">
        <f>Games[[#This Row],[PointsFor]]-Games[[#This Row],[PointsAgainst]]</f>
        <v>-17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0.49650368432626851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-10.250572411548971</v>
      </c>
      <c r="AB4" s="4">
        <f>Games[[#This Row],[PreGmRate]]+Games[[#This Row],[RatingChange]]</f>
        <v>1482.9091649723186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38857</v>
      </c>
      <c r="B5" s="2">
        <v>2006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86</v>
      </c>
      <c r="G5" s="1" t="s">
        <v>66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1580.0192372592705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1493.1597373838677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0.72781132139214544</v>
      </c>
      <c r="R5" s="1">
        <v>91</v>
      </c>
      <c r="S5" s="1">
        <v>74</v>
      </c>
      <c r="T5" s="1">
        <v>0</v>
      </c>
      <c r="U5" s="1">
        <f>Games[[#This Row],[PointsFor]]-Games[[#This Row],[PointsAgainst]]</f>
        <v>17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0.49650368432626851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10.250572411548971</v>
      </c>
      <c r="AB5" s="4">
        <f>Games[[#This Row],[PreGmRate]]+Games[[#This Row],[RatingChange]]</f>
        <v>1590.2698096708195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38857</v>
      </c>
      <c r="B6" s="2">
        <v>2006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75</v>
      </c>
      <c r="G6" s="1" t="s">
        <v>79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1480.8687450031402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1529.442951785863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0.3179609190186109</v>
      </c>
      <c r="R6" s="1">
        <v>60</v>
      </c>
      <c r="S6" s="1">
        <v>67</v>
      </c>
      <c r="T6" s="1">
        <v>0</v>
      </c>
      <c r="U6" s="1">
        <f>Games[[#This Row],[PointsFor]]-Games[[#This Row],[PointsAgainst]]</f>
        <v>-7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0.35570861913686114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-8.5787441817968624</v>
      </c>
      <c r="AB6" s="4">
        <f>Games[[#This Row],[PreGmRate]]+Games[[#This Row],[RatingChange]]</f>
        <v>1472.2900008213435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38857</v>
      </c>
      <c r="B7" s="2">
        <v>2006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79</v>
      </c>
      <c r="G7" s="1" t="s">
        <v>75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1529.442951785863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1480.8687450031402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0.6820390809813891</v>
      </c>
      <c r="R7" s="1">
        <v>67</v>
      </c>
      <c r="S7" s="1">
        <v>60</v>
      </c>
      <c r="T7" s="1">
        <v>0</v>
      </c>
      <c r="U7" s="1">
        <f>Games[[#This Row],[PointsFor]]-Games[[#This Row],[PointsAgainst]]</f>
        <v>7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0.35570861913686114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8.5787441817968624</v>
      </c>
      <c r="AB7" s="4">
        <f>Games[[#This Row],[PreGmRate]]+Games[[#This Row],[RatingChange]]</f>
        <v>1538.0216959676598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38857</v>
      </c>
      <c r="B8" s="2">
        <v>2006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44</v>
      </c>
      <c r="G8" s="1" t="s">
        <v>45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1500.341204235981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1603.8526991658771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0.25361902277624232</v>
      </c>
      <c r="R8" s="1">
        <v>78</v>
      </c>
      <c r="S8" s="1">
        <v>105</v>
      </c>
      <c r="T8" s="1">
        <v>0</v>
      </c>
      <c r="U8" s="1">
        <f>Games[[#This Row],[PointsFor]]-Games[[#This Row],[PointsAgainst]]</f>
        <v>-27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0.61372684714454662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-11.806265124566503</v>
      </c>
      <c r="AB8" s="4">
        <f>Games[[#This Row],[PreGmRate]]+Games[[#This Row],[RatingChange]]</f>
        <v>1488.5349391114144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38857</v>
      </c>
      <c r="B9" s="2">
        <v>2006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45</v>
      </c>
      <c r="G9" s="1" t="s">
        <v>44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1603.8526991658771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1500.341204235981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0.74638097722375762</v>
      </c>
      <c r="R9" s="1">
        <v>105</v>
      </c>
      <c r="S9" s="1">
        <v>78</v>
      </c>
      <c r="T9" s="1">
        <v>0</v>
      </c>
      <c r="U9" s="1">
        <f>Games[[#This Row],[PointsFor]]-Games[[#This Row],[PointsAgainst]]</f>
        <v>27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0.61372684714454662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11.806265124566504</v>
      </c>
      <c r="AB9" s="4">
        <f>Games[[#This Row],[PreGmRate]]+Games[[#This Row],[RatingChange]]</f>
        <v>1615.6589642904437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38858</v>
      </c>
      <c r="B10" s="2">
        <v>2006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84</v>
      </c>
      <c r="G10" s="1" t="s">
        <v>2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1405.4412352403083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1522.4109260170098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0.23923566216052081</v>
      </c>
      <c r="R10" s="1">
        <v>79</v>
      </c>
      <c r="S10" s="1">
        <v>63</v>
      </c>
      <c r="T10" s="1">
        <v>0</v>
      </c>
      <c r="U10" s="1">
        <f>Games[[#This Row],[PointsFor]]-Games[[#This Row],[PointsAgainst]]</f>
        <v>16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0.47179767544204321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27.224601280619453</v>
      </c>
      <c r="AB10" s="4">
        <f>Games[[#This Row],[PreGmRate]]+Games[[#This Row],[RatingChange]]</f>
        <v>1432.6658365209278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38858</v>
      </c>
      <c r="B11" s="2">
        <v>2006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2</v>
      </c>
      <c r="G11" s="1" t="s">
        <v>84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1522.4109260170098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1405.4412352403083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0.76076433783947917</v>
      </c>
      <c r="R11" s="1">
        <v>63</v>
      </c>
      <c r="S11" s="1">
        <v>79</v>
      </c>
      <c r="T11" s="1">
        <v>0</v>
      </c>
      <c r="U11" s="1">
        <f>Games[[#This Row],[PointsFor]]-Games[[#This Row],[PointsAgainst]]</f>
        <v>-16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0.47179767544204321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-27.224601280619453</v>
      </c>
      <c r="AB11" s="4">
        <f>Games[[#This Row],[PreGmRate]]+Games[[#This Row],[RatingChange]]</f>
        <v>1495.1863247363904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38858</v>
      </c>
      <c r="B12" s="2">
        <v>2006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70</v>
      </c>
      <c r="G12" s="1" t="s">
        <v>81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1493.3306219524434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1528.724821213742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0.33463658488846176</v>
      </c>
      <c r="R12" s="1">
        <v>67</v>
      </c>
      <c r="S12" s="1">
        <v>90</v>
      </c>
      <c r="T12" s="1">
        <v>0</v>
      </c>
      <c r="U12" s="1">
        <f>Games[[#This Row],[PointsFor]]-Games[[#This Row],[PointsAgainst]]</f>
        <v>-23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0.59770826471085103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-15.17114172927667</v>
      </c>
      <c r="AB12" s="4">
        <f>Games[[#This Row],[PreGmRate]]+Games[[#This Row],[RatingChange]]</f>
        <v>1478.1594802231666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38858</v>
      </c>
      <c r="B13" s="2">
        <v>2006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81</v>
      </c>
      <c r="G13" s="1" t="s">
        <v>70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1528.724821213742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1493.3306219524434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0.66536341511153829</v>
      </c>
      <c r="R13" s="1">
        <v>90</v>
      </c>
      <c r="S13" s="1">
        <v>67</v>
      </c>
      <c r="T13" s="1">
        <v>0</v>
      </c>
      <c r="U13" s="1">
        <f>Games[[#This Row],[PointsFor]]-Games[[#This Row],[PointsAgainst]]</f>
        <v>23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0.59770826471085103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15.171141729276668</v>
      </c>
      <c r="AB13" s="4">
        <f>Games[[#This Row],[PreGmRate]]+Games[[#This Row],[RatingChange]]</f>
        <v>1543.8959629430187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38860</v>
      </c>
      <c r="B14" s="2">
        <v>2006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70</v>
      </c>
      <c r="G14" s="1" t="s">
        <v>64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1478.1594802231666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1408.743387858178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0.45609955302162647</v>
      </c>
      <c r="R14" s="1">
        <v>72</v>
      </c>
      <c r="S14" s="1">
        <v>65</v>
      </c>
      <c r="T14" s="1">
        <v>0</v>
      </c>
      <c r="U14" s="1">
        <f>Games[[#This Row],[PointsFor]]-Games[[#This Row],[PointsAgainst]]</f>
        <v>7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0.34986842348685621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14.405224908201681</v>
      </c>
      <c r="AB14" s="4">
        <f>Games[[#This Row],[PreGmRate]]+Games[[#This Row],[RatingChange]]</f>
        <v>1492.5647051313683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38860</v>
      </c>
      <c r="B15" s="2">
        <v>2006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64</v>
      </c>
      <c r="G15" s="1" t="s">
        <v>70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1408.743387858178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1478.1594802231666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0.54390044697837348</v>
      </c>
      <c r="R15" s="1">
        <v>65</v>
      </c>
      <c r="S15" s="1">
        <v>72</v>
      </c>
      <c r="T15" s="1">
        <v>0</v>
      </c>
      <c r="U15" s="1">
        <f>Games[[#This Row],[PointsFor]]-Games[[#This Row],[PointsAgainst]]</f>
        <v>-7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0.34986842348685621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-14.405224908201681</v>
      </c>
      <c r="AB15" s="4">
        <f>Games[[#This Row],[PreGmRate]]+Games[[#This Row],[RatingChange]]</f>
        <v>1394.3381629499763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38860</v>
      </c>
      <c r="B16" s="2">
        <v>2006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45</v>
      </c>
      <c r="G16" s="1" t="s">
        <v>87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1615.6589642904437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1508.7004350983627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0.5329919729078969</v>
      </c>
      <c r="R16" s="1">
        <v>76</v>
      </c>
      <c r="S16" s="1">
        <v>63</v>
      </c>
      <c r="T16" s="1">
        <v>0</v>
      </c>
      <c r="U16" s="1">
        <f>Games[[#This Row],[PointsFor]]-Games[[#This Row],[PointsAgainst]]</f>
        <v>13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0.43341276262767381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15.322228006780499</v>
      </c>
      <c r="AB16" s="4">
        <f>Games[[#This Row],[PreGmRate]]+Games[[#This Row],[RatingChange]]</f>
        <v>1630.9811922972242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38860</v>
      </c>
      <c r="B17" s="2">
        <v>2006</v>
      </c>
      <c r="C17" s="2">
        <f>COUNTIFS(Games[Team],Games[[#This Row],[Team]],Games[Season],Games[[#This Row],[Season]],Games[Date],"&lt;=" &amp; Games[[#This Row],[Date]])</f>
        <v>2</v>
      </c>
      <c r="D17" s="2" t="s">
        <v>23</v>
      </c>
      <c r="E17" s="2" t="s">
        <v>29</v>
      </c>
      <c r="F17" s="1" t="s">
        <v>87</v>
      </c>
      <c r="G17" s="1" t="s">
        <v>45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1508.7004350983627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1615.6589642904437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0.46700802709210304</v>
      </c>
      <c r="R17" s="1">
        <v>63</v>
      </c>
      <c r="S17" s="1">
        <v>76</v>
      </c>
      <c r="T17" s="1">
        <v>0</v>
      </c>
      <c r="U17" s="1">
        <f>Games[[#This Row],[PointsFor]]-Games[[#This Row],[PointsAgainst]]</f>
        <v>-13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0.43341276262767381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-15.322228006780497</v>
      </c>
      <c r="AB17" s="4">
        <f>Games[[#This Row],[PreGmRate]]+Games[[#This Row],[RatingChange]]</f>
        <v>1493.3782070915822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38860</v>
      </c>
      <c r="B18" s="2">
        <v>2006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86</v>
      </c>
      <c r="G18" s="1" t="s">
        <v>77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1590.2698096708195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1463.4298649632372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0.53854913128624482</v>
      </c>
      <c r="R18" s="1">
        <v>81</v>
      </c>
      <c r="S18" s="1">
        <v>69</v>
      </c>
      <c r="T18" s="1">
        <v>0</v>
      </c>
      <c r="U18" s="1">
        <f>Games[[#This Row],[PointsFor]]-Games[[#This Row],[PointsAgainst]]</f>
        <v>12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0.41252551513474262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14.410271479541587</v>
      </c>
      <c r="AB18" s="4">
        <f>Games[[#This Row],[PreGmRate]]+Games[[#This Row],[RatingChange]]</f>
        <v>1604.680081150361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38860</v>
      </c>
      <c r="B19" s="2">
        <v>2006</v>
      </c>
      <c r="C19" s="2">
        <f>COUNTIFS(Games[Team],Games[[#This Row],[Team]],Games[Season],Games[[#This Row],[Season]],Games[Date],"&lt;=" &amp; Games[[#This Row],[Date]])</f>
        <v>1</v>
      </c>
      <c r="D19" s="2" t="s">
        <v>23</v>
      </c>
      <c r="E19" s="2" t="s">
        <v>29</v>
      </c>
      <c r="F19" s="1" t="s">
        <v>77</v>
      </c>
      <c r="G19" s="1" t="s">
        <v>86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1463.4298649632372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1590.2698096708195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0.46145086871375518</v>
      </c>
      <c r="R19" s="1">
        <v>69</v>
      </c>
      <c r="S19" s="1">
        <v>81</v>
      </c>
      <c r="T19" s="1">
        <v>0</v>
      </c>
      <c r="U19" s="1">
        <f>Games[[#This Row],[PointsFor]]-Games[[#This Row],[PointsAgainst]]</f>
        <v>-12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0.41252551513474262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75.849999999999994</v>
      </c>
      <c r="Z19" s="4">
        <f>Games[[#This Row],[K]]*Games[[#This Row],[POMult]]</f>
        <v>75.849999999999994</v>
      </c>
      <c r="AA19" s="4">
        <f>(Games[[#This Row],[Keff]]*Games[[#This Row],[MOVMult]])*(Games[[#This Row],[Result]]-Games[[#This Row],[ExpectedWin%]])</f>
        <v>-14.438825518140412</v>
      </c>
      <c r="AB19" s="4">
        <f>Games[[#This Row],[PreGmRate]]+Games[[#This Row],[RatingChange]]</f>
        <v>1448.9910394450967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38860</v>
      </c>
      <c r="B20" s="2">
        <v>2006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79</v>
      </c>
      <c r="G20" s="1" t="s">
        <v>84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1</v>
      </c>
      <c r="L20" s="2">
        <f>Games[[#This Row],[OppDaysOff]]-Games[[#This Row],[DaysOff]]</f>
        <v>-1</v>
      </c>
      <c r="M20" s="1">
        <f>MAX(-16, MIN(16, Games[[#This Row],[RestDiff]]*8))</f>
        <v>8</v>
      </c>
      <c r="N20" s="1">
        <f>MAX(-16, MIN(16, Games[[#This Row],[OppRestDiff]]*8))</f>
        <v>-8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1538.0216959676598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1432.6658365209278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0.5535531984848201</v>
      </c>
      <c r="R20" s="1">
        <v>62</v>
      </c>
      <c r="S20" s="1">
        <v>53</v>
      </c>
      <c r="T20" s="1">
        <v>0</v>
      </c>
      <c r="U20" s="1">
        <f>Games[[#This Row],[PointsFor]]-Games[[#This Row],[PointsAgainst]]</f>
        <v>9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0.37320538231097683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12.612857637542604</v>
      </c>
      <c r="AB20" s="4">
        <f>Games[[#This Row],[PreGmRate]]+Games[[#This Row],[RatingChange]]</f>
        <v>1550.6345536052024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38860</v>
      </c>
      <c r="B21" s="2">
        <v>2006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84</v>
      </c>
      <c r="G21" s="1" t="s">
        <v>79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-1</v>
      </c>
      <c r="L21" s="2">
        <f>Games[[#This Row],[OppDaysOff]]-Games[[#This Row],[DaysOff]]</f>
        <v>1</v>
      </c>
      <c r="M21" s="1">
        <f>MAX(-16, MIN(16, Games[[#This Row],[RestDiff]]*8))</f>
        <v>-8</v>
      </c>
      <c r="N21" s="1">
        <f>MAX(-16, MIN(16, Games[[#This Row],[OppRestDiff]]*8))</f>
        <v>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1432.6658365209278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1538.0216959676598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0.4464468015151799</v>
      </c>
      <c r="R21" s="1">
        <v>53</v>
      </c>
      <c r="S21" s="1">
        <v>62</v>
      </c>
      <c r="T21" s="1">
        <v>0</v>
      </c>
      <c r="U21" s="1">
        <f>Games[[#This Row],[PointsFor]]-Games[[#This Row],[PointsAgainst]]</f>
        <v>-9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0.37320538231097683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-12.612857637542604</v>
      </c>
      <c r="AB21" s="4">
        <f>Games[[#This Row],[PreGmRate]]+Games[[#This Row],[RatingChange]]</f>
        <v>1420.0529788833851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38860</v>
      </c>
      <c r="B22" s="2">
        <v>2006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2</v>
      </c>
      <c r="G22" s="1" t="s">
        <v>81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1495.1863247363904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1543.8959629430187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0.31779187629013894</v>
      </c>
      <c r="R22" s="1">
        <v>84</v>
      </c>
      <c r="S22" s="1">
        <v>59</v>
      </c>
      <c r="T22" s="1">
        <v>0</v>
      </c>
      <c r="U22" s="1">
        <f>Games[[#This Row],[PointsFor]]-Games[[#This Row],[PointsAgainst]]</f>
        <v>25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0.61632713524812022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31.82907775465241</v>
      </c>
      <c r="AB22" s="4">
        <f>Games[[#This Row],[PreGmRate]]+Games[[#This Row],[RatingChange]]</f>
        <v>1527.0154024910428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38860</v>
      </c>
      <c r="B23" s="2">
        <v>2006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81</v>
      </c>
      <c r="G23" s="1" t="s">
        <v>2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1543.8959629430187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1495.1863247363904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0.68220812370986106</v>
      </c>
      <c r="R23" s="1">
        <v>59</v>
      </c>
      <c r="S23" s="1">
        <v>84</v>
      </c>
      <c r="T23" s="1">
        <v>0</v>
      </c>
      <c r="U23" s="1">
        <f>Games[[#This Row],[PointsFor]]-Games[[#This Row],[PointsAgainst]]</f>
        <v>-25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0.61632713524812022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-31.82907775465241</v>
      </c>
      <c r="AB23" s="4">
        <f>Games[[#This Row],[PreGmRate]]+Games[[#This Row],[RatingChange]]</f>
        <v>1512.0668851883663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38860</v>
      </c>
      <c r="B24" s="2">
        <v>2006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66</v>
      </c>
      <c r="G24" s="1" t="s">
        <v>73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1482.9091649723186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1486.6099350368504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0.35504188272503817</v>
      </c>
      <c r="R24" s="1">
        <v>60</v>
      </c>
      <c r="S24" s="1">
        <v>95</v>
      </c>
      <c r="T24" s="1">
        <v>0</v>
      </c>
      <c r="U24" s="1">
        <f>Games[[#This Row],[PointsFor]]-Games[[#This Row],[PointsAgainst]]</f>
        <v>-35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0.75983178427776465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-20.421748518393709</v>
      </c>
      <c r="AB24" s="4">
        <f>Games[[#This Row],[PreGmRate]]+Games[[#This Row],[RatingChange]]</f>
        <v>1462.4874164539249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38860</v>
      </c>
      <c r="B25" s="2">
        <v>2006</v>
      </c>
      <c r="C25" s="2">
        <f>COUNTIFS(Games[Team],Games[[#This Row],[Team]],Games[Season],Games[[#This Row],[Season]],Games[Date],"&lt;=" &amp; Games[[#This Row],[Date]])</f>
        <v>1</v>
      </c>
      <c r="D25" s="2" t="s">
        <v>23</v>
      </c>
      <c r="E25" s="2" t="s">
        <v>29</v>
      </c>
      <c r="F25" s="1" t="s">
        <v>73</v>
      </c>
      <c r="G25" s="1" t="s">
        <v>66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1486.6099350368504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1482.9091649723186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0.64495811727496177</v>
      </c>
      <c r="R25" s="1">
        <v>95</v>
      </c>
      <c r="S25" s="1">
        <v>60</v>
      </c>
      <c r="T25" s="1">
        <v>0</v>
      </c>
      <c r="U25" s="1">
        <f>Games[[#This Row],[PointsFor]]-Games[[#This Row],[PointsAgainst]]</f>
        <v>35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0.75983178427776465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75.849999999999994</v>
      </c>
      <c r="Z25" s="4">
        <f>Games[[#This Row],[K]]*Games[[#This Row],[POMult]]</f>
        <v>75.849999999999994</v>
      </c>
      <c r="AA25" s="4">
        <f>(Games[[#This Row],[Keff]]*Games[[#This Row],[MOVMult]])*(Games[[#This Row],[Result]]-Games[[#This Row],[ExpectedWin%]])</f>
        <v>20.462214334480354</v>
      </c>
      <c r="AB25" s="4">
        <f>Games[[#This Row],[PreGmRate]]+Games[[#This Row],[RatingChange]]</f>
        <v>1507.0721493713309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38861</v>
      </c>
      <c r="B26" s="2">
        <v>2006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77</v>
      </c>
      <c r="G26" s="1" t="s">
        <v>75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" s="2">
        <f>Games[[#This Row],[DaysOff]]-Games[[#This Row],[OppDaysOff]]</f>
        <v>-3</v>
      </c>
      <c r="L26" s="2">
        <f>Games[[#This Row],[OppDaysOff]]-Games[[#This Row],[DaysOff]]</f>
        <v>3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1448.9910394450967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1472.2900008213435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0.30962580385128119</v>
      </c>
      <c r="R26" s="1">
        <v>69</v>
      </c>
      <c r="S26" s="1">
        <v>78</v>
      </c>
      <c r="T26" s="1">
        <v>0</v>
      </c>
      <c r="U26" s="1">
        <f>Games[[#This Row],[PointsFor]]-Games[[#This Row],[PointsAgainst]]</f>
        <v>-9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0.39823939033563449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-9.334202985794164</v>
      </c>
      <c r="AB26" s="4">
        <f>Games[[#This Row],[PreGmRate]]+Games[[#This Row],[RatingChange]]</f>
        <v>1439.6568364593024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38861</v>
      </c>
      <c r="B27" s="2">
        <v>2006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75</v>
      </c>
      <c r="G27" s="1" t="s">
        <v>77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" s="2">
        <f>Games[[#This Row],[DaysOff]]-Games[[#This Row],[OppDaysOff]]</f>
        <v>3</v>
      </c>
      <c r="L27" s="2">
        <f>Games[[#This Row],[OppDaysOff]]-Games[[#This Row],[DaysOff]]</f>
        <v>-3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1472.2900008213435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1448.9910394450967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0.69037419614871887</v>
      </c>
      <c r="R27" s="1">
        <v>78</v>
      </c>
      <c r="S27" s="1">
        <v>69</v>
      </c>
      <c r="T27" s="1">
        <v>0</v>
      </c>
      <c r="U27" s="1">
        <f>Games[[#This Row],[PointsFor]]-Games[[#This Row],[PointsAgainst]]</f>
        <v>9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0.39823939033563449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9.3342029857941622</v>
      </c>
      <c r="AB27" s="4">
        <f>Games[[#This Row],[PreGmRate]]+Games[[#This Row],[RatingChange]]</f>
        <v>1481.6242038071377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38862</v>
      </c>
      <c r="B28" s="2">
        <v>2006</v>
      </c>
      <c r="C28" s="2">
        <f>COUNTIFS(Games[Team],Games[[#This Row],[Team]],Games[Season],Games[[#This Row],[Season]],Games[Date],"&lt;=" &amp; Games[[#This Row],[Date]])</f>
        <v>2</v>
      </c>
      <c r="D28" s="2" t="s">
        <v>23</v>
      </c>
      <c r="E28" s="2" t="s">
        <v>29</v>
      </c>
      <c r="F28" s="1" t="s">
        <v>73</v>
      </c>
      <c r="G28" s="1" t="s">
        <v>64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1507.0721493713309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1394.3381629499763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0.54125750904249215</v>
      </c>
      <c r="R28" s="1">
        <v>63</v>
      </c>
      <c r="S28" s="1">
        <v>73</v>
      </c>
      <c r="T28" s="1">
        <v>0</v>
      </c>
      <c r="U28" s="1">
        <f>Games[[#This Row],[PointsFor]]-Games[[#This Row],[PointsAgainst]]</f>
        <v>-10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0.38679248381687281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-15.848123258445884</v>
      </c>
      <c r="AB28" s="4">
        <f>Games[[#This Row],[PreGmRate]]+Games[[#This Row],[RatingChange]]</f>
        <v>1491.224026112885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38862</v>
      </c>
      <c r="B29" s="2">
        <v>2006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64</v>
      </c>
      <c r="G29" s="1" t="s">
        <v>73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1394.3381629499763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1507.0721493713309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0.45874249095750791</v>
      </c>
      <c r="R29" s="1">
        <v>73</v>
      </c>
      <c r="S29" s="1">
        <v>63</v>
      </c>
      <c r="T29" s="1">
        <v>0</v>
      </c>
      <c r="U29" s="1">
        <f>Games[[#This Row],[PointsFor]]-Games[[#This Row],[PointsAgainst]]</f>
        <v>10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0.38679248381687281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15.816720107999815</v>
      </c>
      <c r="AB29" s="4">
        <f>Games[[#This Row],[PreGmRate]]+Games[[#This Row],[RatingChange]]</f>
        <v>1410.1548830579761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38862</v>
      </c>
      <c r="B30" s="2">
        <v>2006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81</v>
      </c>
      <c r="G30" s="1" t="s">
        <v>44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" s="2">
        <f>Games[[#This Row],[DaysOff]]-Games[[#This Row],[OppDaysOff]]</f>
        <v>-3</v>
      </c>
      <c r="L30" s="2">
        <f>Games[[#This Row],[OppDaysOff]]-Games[[#This Row],[DaysOff]]</f>
        <v>3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1512.0668851883663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1488.5349391114144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0.36998319537100927</v>
      </c>
      <c r="R30" s="1">
        <v>94</v>
      </c>
      <c r="S30" s="1">
        <v>81</v>
      </c>
      <c r="T30" s="1">
        <v>0</v>
      </c>
      <c r="U30" s="1">
        <f>Games[[#This Row],[PointsFor]]-Games[[#This Row],[PointsAgainst]]</f>
        <v>13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0.46296503217032881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22.036102929340728</v>
      </c>
      <c r="AB30" s="4">
        <f>Games[[#This Row],[PreGmRate]]+Games[[#This Row],[RatingChange]]</f>
        <v>1534.1029881177071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38862</v>
      </c>
      <c r="B31" s="2">
        <v>2006</v>
      </c>
      <c r="C31" s="2">
        <f>COUNTIFS(Games[Team],Games[[#This Row],[Team]],Games[Season],Games[[#This Row],[Season]],Games[Date],"&lt;=" &amp; Games[[#This Row],[Date]])</f>
        <v>2</v>
      </c>
      <c r="D31" s="2" t="s">
        <v>23</v>
      </c>
      <c r="E31" s="2" t="s">
        <v>29</v>
      </c>
      <c r="F31" s="1" t="s">
        <v>44</v>
      </c>
      <c r="G31" s="1" t="s">
        <v>81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3</v>
      </c>
      <c r="L31" s="2">
        <f>Games[[#This Row],[OppDaysOff]]-Games[[#This Row],[DaysOff]]</f>
        <v>-3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1488.5349391114144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1512.0668851883663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0.63001680462899068</v>
      </c>
      <c r="R31" s="1">
        <v>81</v>
      </c>
      <c r="S31" s="1">
        <v>94</v>
      </c>
      <c r="T31" s="1">
        <v>0</v>
      </c>
      <c r="U31" s="1">
        <f>Games[[#This Row],[PointsFor]]-Games[[#This Row],[PointsAgainst]]</f>
        <v>-13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0.46296503217032881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-22.07985429187417</v>
      </c>
      <c r="AB31" s="4">
        <f>Games[[#This Row],[PreGmRate]]+Games[[#This Row],[RatingChange]]</f>
        <v>1466.4550848195402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38862</v>
      </c>
      <c r="B32" s="2">
        <v>2006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2</v>
      </c>
      <c r="G32" s="1" t="s">
        <v>45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1527.0154024910428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1630.9811922972242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0.2531243067929615</v>
      </c>
      <c r="R32" s="1">
        <v>81</v>
      </c>
      <c r="S32" s="1">
        <v>66</v>
      </c>
      <c r="T32" s="1">
        <v>0</v>
      </c>
      <c r="U32" s="1">
        <f>Games[[#This Row],[PointsFor]]-Games[[#This Row],[PointsAgainst]]</f>
        <v>15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0.46275572439995288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26.111666734851209</v>
      </c>
      <c r="AB32" s="4">
        <f>Games[[#This Row],[PreGmRate]]+Games[[#This Row],[RatingChange]]</f>
        <v>1553.127069225894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38862</v>
      </c>
      <c r="B33" s="2">
        <v>2006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45</v>
      </c>
      <c r="G33" s="1" t="s">
        <v>2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1630.9811922972242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1527.0154024910428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0.74687569320703839</v>
      </c>
      <c r="R33" s="1">
        <v>66</v>
      </c>
      <c r="S33" s="1">
        <v>81</v>
      </c>
      <c r="T33" s="1">
        <v>0</v>
      </c>
      <c r="U33" s="1">
        <f>Games[[#This Row],[PointsFor]]-Games[[#This Row],[PointsAgainst]]</f>
        <v>-15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0.46275572439995288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-26.111666734851205</v>
      </c>
      <c r="AB33" s="4">
        <f>Games[[#This Row],[PreGmRate]]+Games[[#This Row],[RatingChange]]</f>
        <v>1604.8695255623729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38862</v>
      </c>
      <c r="B34" s="2">
        <v>2006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70</v>
      </c>
      <c r="G34" s="1" t="s">
        <v>84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1492.5647051313683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1420.0529788833851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0.48347306789710542</v>
      </c>
      <c r="R34" s="1">
        <v>80</v>
      </c>
      <c r="S34" s="1">
        <v>71</v>
      </c>
      <c r="T34" s="1">
        <v>0</v>
      </c>
      <c r="U34" s="1">
        <f>Games[[#This Row],[PointsFor]]-Games[[#This Row],[PointsAgainst]]</f>
        <v>9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0.38283799082394782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14.93972034004574</v>
      </c>
      <c r="AB34" s="4">
        <f>Games[[#This Row],[PreGmRate]]+Games[[#This Row],[RatingChange]]</f>
        <v>1507.5044254714142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38862</v>
      </c>
      <c r="B35" s="2">
        <v>2006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84</v>
      </c>
      <c r="G35" s="1" t="s">
        <v>70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1420.0529788833851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1492.5647051313683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0.51652693210289458</v>
      </c>
      <c r="R35" s="1">
        <v>71</v>
      </c>
      <c r="S35" s="1">
        <v>80</v>
      </c>
      <c r="T35" s="1">
        <v>0</v>
      </c>
      <c r="U35" s="1">
        <f>Games[[#This Row],[PointsFor]]-Games[[#This Row],[PointsAgainst]]</f>
        <v>-9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0.38283799082394782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-14.93972034004574</v>
      </c>
      <c r="AB35" s="4">
        <f>Games[[#This Row],[PreGmRate]]+Games[[#This Row],[RatingChange]]</f>
        <v>1405.1132585433393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38863</v>
      </c>
      <c r="B36" s="2">
        <v>2006</v>
      </c>
      <c r="C36" s="2">
        <f>COUNTIFS(Games[Team],Games[[#This Row],[Team]],Games[Season],Games[[#This Row],[Season]],Games[Date],"&lt;=" &amp; Games[[#This Row],[Date]])</f>
        <v>3</v>
      </c>
      <c r="D36" s="2" t="s">
        <v>23</v>
      </c>
      <c r="E36" s="2" t="s">
        <v>29</v>
      </c>
      <c r="F36" s="1" t="s">
        <v>79</v>
      </c>
      <c r="G36" s="1" t="s">
        <v>87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1550.6345536052024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1493.3782070915822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0.4615886221555025</v>
      </c>
      <c r="R36" s="1">
        <v>75</v>
      </c>
      <c r="S36" s="1">
        <v>60</v>
      </c>
      <c r="T36" s="1">
        <v>0</v>
      </c>
      <c r="U36" s="1">
        <f>Games[[#This Row],[PointsFor]]-Games[[#This Row],[PointsAgainst]]</f>
        <v>15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0.47994797188958094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19.522833859766912</v>
      </c>
      <c r="AB36" s="4">
        <f>Games[[#This Row],[PreGmRate]]+Games[[#This Row],[RatingChange]]</f>
        <v>1570.1573874649694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38863</v>
      </c>
      <c r="B37" s="2">
        <v>2006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87</v>
      </c>
      <c r="G37" s="1" t="s">
        <v>79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1493.3782070915822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1550.6345536052024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0.53841137784449755</v>
      </c>
      <c r="R37" s="1">
        <v>60</v>
      </c>
      <c r="S37" s="1">
        <v>75</v>
      </c>
      <c r="T37" s="1">
        <v>0</v>
      </c>
      <c r="U37" s="1">
        <f>Games[[#This Row],[PointsFor]]-Games[[#This Row],[PointsAgainst]]</f>
        <v>-15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0.47994797188958094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-19.522833859766916</v>
      </c>
      <c r="AB37" s="4">
        <f>Games[[#This Row],[PreGmRate]]+Games[[#This Row],[RatingChange]]</f>
        <v>1473.8553732318153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38864</v>
      </c>
      <c r="B38" s="2">
        <v>2006</v>
      </c>
      <c r="C38" s="2">
        <f>COUNTIFS(Games[Team],Games[[#This Row],[Team]],Games[Season],Games[[#This Row],[Season]],Games[Date],"&lt;=" &amp; Games[[#This Row],[Date]])</f>
        <v>3</v>
      </c>
      <c r="D38" s="2" t="s">
        <v>23</v>
      </c>
      <c r="E38" s="2" t="s">
        <v>29</v>
      </c>
      <c r="F38" s="1" t="s">
        <v>75</v>
      </c>
      <c r="G38" s="1" t="s">
        <v>86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1481.6242038071377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1604.680081150361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0.21686792280036821</v>
      </c>
      <c r="R38" s="1">
        <v>77</v>
      </c>
      <c r="S38" s="1">
        <v>73</v>
      </c>
      <c r="T38" s="1">
        <v>1</v>
      </c>
      <c r="U38" s="1">
        <f>Games[[#This Row],[PointsFor]]-Games[[#This Row],[PointsAgainst]]</f>
        <v>4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0.25422006693443339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15.041090020310723</v>
      </c>
      <c r="AB38" s="4">
        <f>Games[[#This Row],[PreGmRate]]+Games[[#This Row],[RatingChange]]</f>
        <v>1496.6652938274485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38864</v>
      </c>
      <c r="B39" s="2">
        <v>2006</v>
      </c>
      <c r="C39" s="2">
        <f>COUNTIFS(Games[Team],Games[[#This Row],[Team]],Games[Season],Games[[#This Row],[Season]],Games[Date],"&lt;=" &amp; Games[[#This Row],[Date]])</f>
        <v>3</v>
      </c>
      <c r="D39" s="2" t="s">
        <v>23</v>
      </c>
      <c r="E39" s="2" t="s">
        <v>29</v>
      </c>
      <c r="F39" s="1" t="s">
        <v>86</v>
      </c>
      <c r="G39" s="1" t="s">
        <v>75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1604.680081150361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1481.6242038071377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0.78313207719963185</v>
      </c>
      <c r="R39" s="1">
        <v>73</v>
      </c>
      <c r="S39" s="1">
        <v>77</v>
      </c>
      <c r="T39" s="1">
        <v>1</v>
      </c>
      <c r="U39" s="1">
        <f>Games[[#This Row],[PointsFor]]-Games[[#This Row],[PointsAgainst]]</f>
        <v>-4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0.25422006693443339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-15.041090020310724</v>
      </c>
      <c r="AB39" s="4">
        <f>Games[[#This Row],[PreGmRate]]+Games[[#This Row],[RatingChange]]</f>
        <v>1589.6389911300503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38864</v>
      </c>
      <c r="B40" s="2">
        <v>2006</v>
      </c>
      <c r="C40" s="2">
        <f>COUNTIFS(Games[Team],Games[[#This Row],[Team]],Games[Season],Games[[#This Row],[Season]],Games[Date],"&lt;=" &amp; Games[[#This Row],[Date]])</f>
        <v>3</v>
      </c>
      <c r="D40" s="2" t="s">
        <v>23</v>
      </c>
      <c r="E40" s="2" t="s">
        <v>29</v>
      </c>
      <c r="F40" s="1" t="s">
        <v>77</v>
      </c>
      <c r="G40" s="1" t="s">
        <v>73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1439.6568364593024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1491.224026112885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0.33441489878384434</v>
      </c>
      <c r="R40" s="1">
        <v>75</v>
      </c>
      <c r="S40" s="1">
        <v>90</v>
      </c>
      <c r="T40" s="1">
        <v>0</v>
      </c>
      <c r="U40" s="1">
        <f>Games[[#This Row],[PointsFor]]-Games[[#This Row],[PointsAgainst]]</f>
        <v>-15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0.48212963606175574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-12.181027241715636</v>
      </c>
      <c r="AB40" s="4">
        <f>Games[[#This Row],[PreGmRate]]+Games[[#This Row],[RatingChange]]</f>
        <v>1427.4758092175869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38864</v>
      </c>
      <c r="B41" s="2">
        <v>2006</v>
      </c>
      <c r="C41" s="2">
        <f>COUNTIFS(Games[Team],Games[[#This Row],[Team]],Games[Season],Games[[#This Row],[Season]],Games[Date],"&lt;=" &amp; Games[[#This Row],[Date]])</f>
        <v>3</v>
      </c>
      <c r="D41" s="2" t="s">
        <v>23</v>
      </c>
      <c r="E41" s="2" t="s">
        <v>29</v>
      </c>
      <c r="F41" s="1" t="s">
        <v>73</v>
      </c>
      <c r="G41" s="1" t="s">
        <v>77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1491.224026112885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1439.6568364593024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0.66558510121615577</v>
      </c>
      <c r="R41" s="1">
        <v>90</v>
      </c>
      <c r="S41" s="1">
        <v>75</v>
      </c>
      <c r="T41" s="1">
        <v>0</v>
      </c>
      <c r="U41" s="1">
        <f>Games[[#This Row],[PointsFor]]-Games[[#This Row],[PointsAgainst]]</f>
        <v>15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0.48212963606175574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12.181027241715633</v>
      </c>
      <c r="AB41" s="4">
        <f>Games[[#This Row],[PreGmRate]]+Games[[#This Row],[RatingChange]]</f>
        <v>1503.4050533546006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38867</v>
      </c>
      <c r="B42" s="2">
        <v>2006</v>
      </c>
      <c r="C42" s="2">
        <f>COUNTIFS(Games[Team],Games[[#This Row],[Team]],Games[Season],Games[[#This Row],[Season]],Games[Date],"&lt;=" &amp; Games[[#This Row],[Date]])</f>
        <v>4</v>
      </c>
      <c r="D42" s="2" t="s">
        <v>23</v>
      </c>
      <c r="E42" s="2" t="s">
        <v>29</v>
      </c>
      <c r="F42" s="1" t="s">
        <v>70</v>
      </c>
      <c r="G42" s="1" t="s">
        <v>87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" s="2">
        <f>Games[[#This Row],[DaysOff]]-Games[[#This Row],[OppDaysOff]]</f>
        <v>1</v>
      </c>
      <c r="L42" s="2">
        <f>Games[[#This Row],[OppDaysOff]]-Games[[#This Row],[DaysOff]]</f>
        <v>-1</v>
      </c>
      <c r="M42" s="1">
        <f>MAX(-16, MIN(16, Games[[#This Row],[RestDiff]]*8))</f>
        <v>8</v>
      </c>
      <c r="N42" s="1">
        <f>MAX(-16, MIN(16, Games[[#This Row],[OppRestDiff]]*8))</f>
        <v>-8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1507.5044254714142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1473.8553732318153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0.45072546513972367</v>
      </c>
      <c r="R42" s="1">
        <v>64</v>
      </c>
      <c r="S42" s="1">
        <v>55</v>
      </c>
      <c r="T42" s="1">
        <v>0</v>
      </c>
      <c r="U42" s="1">
        <f>Games[[#This Row],[PointsFor]]-Games[[#This Row],[PointsAgainst]]</f>
        <v>9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0.39489823438219951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16.354828818159998</v>
      </c>
      <c r="AB42" s="4">
        <f>Games[[#This Row],[PreGmRate]]+Games[[#This Row],[RatingChange]]</f>
        <v>1523.8592542895742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38867</v>
      </c>
      <c r="B43" s="2">
        <v>2006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87</v>
      </c>
      <c r="G43" s="1" t="s">
        <v>70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" s="2">
        <f>Games[[#This Row],[DaysOff]]-Games[[#This Row],[OppDaysOff]]</f>
        <v>-1</v>
      </c>
      <c r="L43" s="2">
        <f>Games[[#This Row],[OppDaysOff]]-Games[[#This Row],[DaysOff]]</f>
        <v>1</v>
      </c>
      <c r="M43" s="1">
        <f>MAX(-16, MIN(16, Games[[#This Row],[RestDiff]]*8))</f>
        <v>-8</v>
      </c>
      <c r="N43" s="1">
        <f>MAX(-16, MIN(16, Games[[#This Row],[OppRestDiff]]*8))</f>
        <v>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1473.8553732318153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1507.5044254714142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0.54927453486027633</v>
      </c>
      <c r="R43" s="1">
        <v>55</v>
      </c>
      <c r="S43" s="1">
        <v>64</v>
      </c>
      <c r="T43" s="1">
        <v>0</v>
      </c>
      <c r="U43" s="1">
        <f>Games[[#This Row],[PointsFor]]-Games[[#This Row],[PointsAgainst]]</f>
        <v>-9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0.39489823438219951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-16.354828818159998</v>
      </c>
      <c r="AB43" s="4">
        <f>Games[[#This Row],[PreGmRate]]+Games[[#This Row],[RatingChange]]</f>
        <v>1457.5005444136552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38867</v>
      </c>
      <c r="B44" s="2">
        <v>2006</v>
      </c>
      <c r="C44" s="2">
        <f>COUNTIFS(Games[Team],Games[[#This Row],[Team]],Games[Season],Games[[#This Row],[Season]],Games[Date],"&lt;=" &amp; Games[[#This Row],[Date]])</f>
        <v>3</v>
      </c>
      <c r="D44" s="2" t="s">
        <v>23</v>
      </c>
      <c r="E44" s="2" t="s">
        <v>29</v>
      </c>
      <c r="F44" s="1" t="s">
        <v>66</v>
      </c>
      <c r="G44" s="1" t="s">
        <v>79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6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" s="2">
        <f>Games[[#This Row],[DaysOff]]-Games[[#This Row],[OppDaysOff]]</f>
        <v>3</v>
      </c>
      <c r="L44" s="2">
        <f>Games[[#This Row],[OppDaysOff]]-Games[[#This Row],[DaysOff]]</f>
        <v>-3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1462.4874164539249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1570.1573874649694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0.28513433218838991</v>
      </c>
      <c r="R44" s="1">
        <v>70</v>
      </c>
      <c r="S44" s="1">
        <v>91</v>
      </c>
      <c r="T44" s="1">
        <v>0</v>
      </c>
      <c r="U44" s="1">
        <f>Games[[#This Row],[PointsFor]]-Games[[#This Row],[PointsAgainst]]</f>
        <v>-21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0.54011452658716697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-11.635092470440039</v>
      </c>
      <c r="AB44" s="4">
        <f>Games[[#This Row],[PreGmRate]]+Games[[#This Row],[RatingChange]]</f>
        <v>1450.8523239834849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38867</v>
      </c>
      <c r="B45" s="2">
        <v>2006</v>
      </c>
      <c r="C45" s="2">
        <f>COUNTIFS(Games[Team],Games[[#This Row],[Team]],Games[Season],Games[[#This Row],[Season]],Games[Date],"&lt;=" &amp; Games[[#This Row],[Date]])</f>
        <v>4</v>
      </c>
      <c r="D45" s="2" t="s">
        <v>23</v>
      </c>
      <c r="E45" s="2" t="s">
        <v>29</v>
      </c>
      <c r="F45" s="1" t="s">
        <v>79</v>
      </c>
      <c r="G45" s="1" t="s">
        <v>66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5" s="2">
        <f>Games[[#This Row],[DaysOff]]-Games[[#This Row],[OppDaysOff]]</f>
        <v>-3</v>
      </c>
      <c r="L45" s="2">
        <f>Games[[#This Row],[OppDaysOff]]-Games[[#This Row],[DaysOff]]</f>
        <v>3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1570.1573874649694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1462.4874164539249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0.71486566781161009</v>
      </c>
      <c r="R45" s="1">
        <v>91</v>
      </c>
      <c r="S45" s="1">
        <v>70</v>
      </c>
      <c r="T45" s="1">
        <v>0</v>
      </c>
      <c r="U45" s="1">
        <f>Games[[#This Row],[PointsFor]]-Games[[#This Row],[PointsAgainst]]</f>
        <v>21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0.54011452658716697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11.611991691213488</v>
      </c>
      <c r="AB45" s="4">
        <f>Games[[#This Row],[PreGmRate]]+Games[[#This Row],[RatingChange]]</f>
        <v>1581.7693791561828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38868</v>
      </c>
      <c r="B46" s="2">
        <v>2006</v>
      </c>
      <c r="C46" s="2">
        <f>COUNTIFS(Games[Team],Games[[#This Row],[Team]],Games[Season],Games[[#This Row],[Season]],Games[Date],"&lt;=" &amp; Games[[#This Row],[Date]])</f>
        <v>5</v>
      </c>
      <c r="D46" s="2" t="s">
        <v>23</v>
      </c>
      <c r="E46" s="2" t="s">
        <v>29</v>
      </c>
      <c r="F46" s="1" t="s">
        <v>79</v>
      </c>
      <c r="G46" s="1" t="s">
        <v>2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" s="2">
        <f>Games[[#This Row],[DaysOff]]-Games[[#This Row],[OppDaysOff]]</f>
        <v>-5</v>
      </c>
      <c r="L46" s="2">
        <f>Games[[#This Row],[OppDaysOff]]-Games[[#This Row],[DaysOff]]</f>
        <v>5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1581.7693791561828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1553.127069225894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0.37686614326534423</v>
      </c>
      <c r="R46" s="1">
        <v>60</v>
      </c>
      <c r="S46" s="1">
        <v>73</v>
      </c>
      <c r="T46" s="1">
        <v>0</v>
      </c>
      <c r="U46" s="1">
        <f>Games[[#This Row],[PointsFor]]-Games[[#This Row],[PointsAgainst]]</f>
        <v>-13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0.46103939462175997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-13.074697925473005</v>
      </c>
      <c r="AB46" s="4">
        <f>Games[[#This Row],[PreGmRate]]+Games[[#This Row],[RatingChange]]</f>
        <v>1568.6946812307099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38868</v>
      </c>
      <c r="B47" s="2">
        <v>2006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2</v>
      </c>
      <c r="G47" s="1" t="s">
        <v>79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" s="2">
        <f>Games[[#This Row],[DaysOff]]-Games[[#This Row],[OppDaysOff]]</f>
        <v>5</v>
      </c>
      <c r="L47" s="2">
        <f>Games[[#This Row],[OppDaysOff]]-Games[[#This Row],[DaysOff]]</f>
        <v>-5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1553.127069225894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1581.7693791561828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0.62313385673465571</v>
      </c>
      <c r="R47" s="1">
        <v>73</v>
      </c>
      <c r="S47" s="1">
        <v>60</v>
      </c>
      <c r="T47" s="1">
        <v>0</v>
      </c>
      <c r="U47" s="1">
        <f>Games[[#This Row],[PointsFor]]-Games[[#This Row],[PointsAgainst]]</f>
        <v>13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0.46103939462175997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13.100760446254681</v>
      </c>
      <c r="AB47" s="4">
        <f>Games[[#This Row],[PreGmRate]]+Games[[#This Row],[RatingChange]]</f>
        <v>1566.2278296721488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38868</v>
      </c>
      <c r="B48" s="2">
        <v>2006</v>
      </c>
      <c r="C48" s="2">
        <f>COUNTIFS(Games[Team],Games[[#This Row],[Team]],Games[Season],Games[[#This Row],[Season]],Games[Date],"&lt;=" &amp; Games[[#This Row],[Date]])</f>
        <v>5</v>
      </c>
      <c r="D48" s="2" t="s">
        <v>23</v>
      </c>
      <c r="E48" s="2" t="s">
        <v>29</v>
      </c>
      <c r="F48" s="1" t="s">
        <v>70</v>
      </c>
      <c r="G48" s="1" t="s">
        <v>77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" s="2">
        <f>Games[[#This Row],[DaysOff]]-Games[[#This Row],[OppDaysOff]]</f>
        <v>-3</v>
      </c>
      <c r="L48" s="2">
        <f>Games[[#This Row],[OppDaysOff]]-Games[[#This Row],[DaysOff]]</f>
        <v>3</v>
      </c>
      <c r="M48" s="1">
        <f>MAX(-16, MIN(16, Games[[#This Row],[RestDiff]]*8))</f>
        <v>-16</v>
      </c>
      <c r="N48" s="1">
        <f>MAX(-16, MIN(16, Games[[#This Row],[OppRestDiff]]*8))</f>
        <v>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1523.8592542895742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1427.4758092175869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0.47179946807411788</v>
      </c>
      <c r="R48" s="1">
        <v>71</v>
      </c>
      <c r="S48" s="1">
        <v>114</v>
      </c>
      <c r="T48" s="1">
        <v>0</v>
      </c>
      <c r="U48" s="1">
        <f>Games[[#This Row],[PointsFor]]-Games[[#This Row],[PointsAgainst]]</f>
        <v>-43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0.78706620666848615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-27.943140677809236</v>
      </c>
      <c r="AB48" s="4">
        <f>Games[[#This Row],[PreGmRate]]+Games[[#This Row],[RatingChange]]</f>
        <v>1495.916113611765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38868</v>
      </c>
      <c r="B49" s="2">
        <v>2006</v>
      </c>
      <c r="C49" s="2">
        <f>COUNTIFS(Games[Team],Games[[#This Row],[Team]],Games[Season],Games[[#This Row],[Season]],Games[Date],"&lt;=" &amp; Games[[#This Row],[Date]])</f>
        <v>4</v>
      </c>
      <c r="D49" s="2" t="s">
        <v>23</v>
      </c>
      <c r="E49" s="2" t="s">
        <v>29</v>
      </c>
      <c r="F49" s="1" t="s">
        <v>77</v>
      </c>
      <c r="G49" s="1" t="s">
        <v>70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" s="2">
        <f>Games[[#This Row],[DaysOff]]-Games[[#This Row],[OppDaysOff]]</f>
        <v>3</v>
      </c>
      <c r="L49" s="2">
        <f>Games[[#This Row],[OppDaysOff]]-Games[[#This Row],[DaysOff]]</f>
        <v>-3</v>
      </c>
      <c r="M49" s="1">
        <f>MAX(-16, MIN(16, Games[[#This Row],[RestDiff]]*8))</f>
        <v>16</v>
      </c>
      <c r="N49" s="1">
        <f>MAX(-16, MIN(16, Games[[#This Row],[OppRestDiff]]*8))</f>
        <v>-16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1427.4758092175869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1523.8592542895742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0.52820053192588212</v>
      </c>
      <c r="R49" s="1">
        <v>114</v>
      </c>
      <c r="S49" s="1">
        <v>71</v>
      </c>
      <c r="T49" s="1">
        <v>0</v>
      </c>
      <c r="U49" s="1">
        <f>Games[[#This Row],[PointsFor]]-Games[[#This Row],[PointsAgainst]]</f>
        <v>43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0.78706620666848615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27.998841290456038</v>
      </c>
      <c r="AB49" s="4">
        <f>Games[[#This Row],[PreGmRate]]+Games[[#This Row],[RatingChange]]</f>
        <v>1455.4746505080429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38868</v>
      </c>
      <c r="B50" s="2">
        <v>2006</v>
      </c>
      <c r="C50" s="2">
        <f>COUNTIFS(Games[Team],Games[[#This Row],[Team]],Games[Season],Games[[#This Row],[Season]],Games[Date],"&lt;=" &amp; Games[[#This Row],[Date]])</f>
        <v>4</v>
      </c>
      <c r="D50" s="2" t="s">
        <v>23</v>
      </c>
      <c r="E50" s="2" t="s">
        <v>29</v>
      </c>
      <c r="F50" s="1" t="s">
        <v>84</v>
      </c>
      <c r="G50" s="1" t="s">
        <v>44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5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1405.1132585433393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1466.4550848195402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0.30223978782494054</v>
      </c>
      <c r="R50" s="1">
        <v>82</v>
      </c>
      <c r="S50" s="1">
        <v>76</v>
      </c>
      <c r="T50" s="1">
        <v>0</v>
      </c>
      <c r="U50" s="1">
        <f>Games[[#This Row],[PointsFor]]-Games[[#This Row],[PointsAgainst]]</f>
        <v>6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0.33419720533146297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75.400000000000006</v>
      </c>
      <c r="Z50" s="4">
        <f>Games[[#This Row],[K]]*Games[[#This Row],[POMult]]</f>
        <v>75.400000000000006</v>
      </c>
      <c r="AA50" s="4">
        <f>(Games[[#This Row],[Keff]]*Games[[#This Row],[MOVMult]])*(Games[[#This Row],[Result]]-Games[[#This Row],[ExpectedWin%]])</f>
        <v>17.582489272689671</v>
      </c>
      <c r="AB50" s="4">
        <f>Games[[#This Row],[PreGmRate]]+Games[[#This Row],[RatingChange]]</f>
        <v>1422.6957478160289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38868</v>
      </c>
      <c r="B51" s="2">
        <v>2006</v>
      </c>
      <c r="C51" s="2">
        <f>COUNTIFS(Games[Team],Games[[#This Row],[Team]],Games[Season],Games[[#This Row],[Season]],Games[Date],"&lt;=" &amp; Games[[#This Row],[Date]])</f>
        <v>3</v>
      </c>
      <c r="D51" s="2" t="s">
        <v>23</v>
      </c>
      <c r="E51" s="2" t="s">
        <v>29</v>
      </c>
      <c r="F51" s="1" t="s">
        <v>44</v>
      </c>
      <c r="G51" s="1" t="s">
        <v>84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1466.4550848195402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1405.1132585433393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0.69776021217505946</v>
      </c>
      <c r="R51" s="1">
        <v>76</v>
      </c>
      <c r="S51" s="1">
        <v>82</v>
      </c>
      <c r="T51" s="1">
        <v>0</v>
      </c>
      <c r="U51" s="1">
        <f>Games[[#This Row],[PointsFor]]-Games[[#This Row],[PointsAgainst]]</f>
        <v>-6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0.33419720533146297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75.55</v>
      </c>
      <c r="Z51" s="4">
        <f>Games[[#This Row],[K]]*Games[[#This Row],[POMult]]</f>
        <v>75.55</v>
      </c>
      <c r="AA51" s="4">
        <f>(Games[[#This Row],[Keff]]*Games[[#This Row],[MOVMult]])*(Games[[#This Row],[Result]]-Games[[#This Row],[ExpectedWin%]])</f>
        <v>-17.617467699624729</v>
      </c>
      <c r="AB51" s="4">
        <f>Games[[#This Row],[PreGmRate]]+Games[[#This Row],[RatingChange]]</f>
        <v>1448.8376171199154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38868</v>
      </c>
      <c r="B52" s="2">
        <v>2006</v>
      </c>
      <c r="C52" s="2">
        <f>COUNTIFS(Games[Team],Games[[#This Row],[Team]],Games[Season],Games[[#This Row],[Season]],Games[Date],"&lt;=" &amp; Games[[#This Row],[Date]])</f>
        <v>4</v>
      </c>
      <c r="D52" s="2" t="s">
        <v>23</v>
      </c>
      <c r="E52" s="2" t="s">
        <v>29</v>
      </c>
      <c r="F52" s="1" t="s">
        <v>81</v>
      </c>
      <c r="G52" s="1" t="s">
        <v>45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5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1534.1029881177071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1604.8695255623729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0.29092252387374617</v>
      </c>
      <c r="R52" s="1">
        <v>66</v>
      </c>
      <c r="S52" s="1">
        <v>87</v>
      </c>
      <c r="T52" s="1">
        <v>0</v>
      </c>
      <c r="U52" s="1">
        <f>Games[[#This Row],[PointsFor]]-Games[[#This Row],[PointsAgainst]]</f>
        <v>-21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0.55579961111121035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-12.191774772692003</v>
      </c>
      <c r="AB52" s="4">
        <f>Games[[#This Row],[PreGmRate]]+Games[[#This Row],[RatingChange]]</f>
        <v>1521.9112133450151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38868</v>
      </c>
      <c r="B53" s="2">
        <v>2006</v>
      </c>
      <c r="C53" s="2">
        <f>COUNTIFS(Games[Team],Games[[#This Row],[Team]],Games[Season],Games[[#This Row],[Season]],Games[Date],"&lt;=" &amp; Games[[#This Row],[Date]])</f>
        <v>4</v>
      </c>
      <c r="D53" s="2" t="s">
        <v>23</v>
      </c>
      <c r="E53" s="2" t="s">
        <v>29</v>
      </c>
      <c r="F53" s="1" t="s">
        <v>45</v>
      </c>
      <c r="G53" s="1" t="s">
        <v>81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5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1604.8695255623729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1534.1029881177071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0.70907747612625371</v>
      </c>
      <c r="R53" s="1">
        <v>87</v>
      </c>
      <c r="S53" s="1">
        <v>66</v>
      </c>
      <c r="T53" s="1">
        <v>0</v>
      </c>
      <c r="U53" s="1">
        <f>Games[[#This Row],[PointsFor]]-Games[[#This Row],[PointsAgainst]]</f>
        <v>21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0.55579961111121035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12.191774772692009</v>
      </c>
      <c r="AB53" s="4">
        <f>Games[[#This Row],[PreGmRate]]+Games[[#This Row],[RatingChange]]</f>
        <v>1617.061300335065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38869</v>
      </c>
      <c r="B54" s="2">
        <v>2006</v>
      </c>
      <c r="C54" s="2">
        <f>COUNTIFS(Games[Team],Games[[#This Row],[Team]],Games[Season],Games[[#This Row],[Season]],Games[Date],"&lt;=" &amp; Games[[#This Row],[Date]])</f>
        <v>4</v>
      </c>
      <c r="D54" s="2" t="s">
        <v>23</v>
      </c>
      <c r="E54" s="2" t="s">
        <v>29</v>
      </c>
      <c r="F54" s="1" t="s">
        <v>86</v>
      </c>
      <c r="G54" s="1" t="s">
        <v>64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4" s="2">
        <f>Games[[#This Row],[DaysOff]]-Games[[#This Row],[OppDaysOff]]</f>
        <v>-2</v>
      </c>
      <c r="L54" s="2">
        <f>Games[[#This Row],[OppDaysOff]]-Games[[#This Row],[DaysOff]]</f>
        <v>2</v>
      </c>
      <c r="M54" s="1">
        <f>MAX(-16, MIN(16, Games[[#This Row],[RestDiff]]*8))</f>
        <v>-16</v>
      </c>
      <c r="N54" s="1">
        <f>MAX(-16, MIN(16, Games[[#This Row],[OppRestDiff]]*8))</f>
        <v>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1589.6389911300503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1410.1548830579761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0.59035760755146938</v>
      </c>
      <c r="R54" s="1">
        <v>89</v>
      </c>
      <c r="S54" s="1">
        <v>65</v>
      </c>
      <c r="T54" s="1">
        <v>0</v>
      </c>
      <c r="U54" s="1">
        <f>Games[[#This Row],[PointsFor]]-Games[[#This Row],[PointsAgainst]]</f>
        <v>24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0.54666604198267688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16.884893932234711</v>
      </c>
      <c r="AB54" s="4">
        <f>Games[[#This Row],[PreGmRate]]+Games[[#This Row],[RatingChange]]</f>
        <v>1606.523885062285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38869</v>
      </c>
      <c r="B55" s="2">
        <v>2006</v>
      </c>
      <c r="C55" s="2">
        <f>COUNTIFS(Games[Team],Games[[#This Row],[Team]],Games[Season],Games[[#This Row],[Season]],Games[Date],"&lt;=" &amp; Games[[#This Row],[Date]])</f>
        <v>4</v>
      </c>
      <c r="D55" s="2" t="s">
        <v>23</v>
      </c>
      <c r="E55" s="2" t="s">
        <v>29</v>
      </c>
      <c r="F55" s="1" t="s">
        <v>64</v>
      </c>
      <c r="G55" s="1" t="s">
        <v>86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6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5" s="2">
        <f>Games[[#This Row],[DaysOff]]-Games[[#This Row],[OppDaysOff]]</f>
        <v>2</v>
      </c>
      <c r="L55" s="2">
        <f>Games[[#This Row],[OppDaysOff]]-Games[[#This Row],[DaysOff]]</f>
        <v>-2</v>
      </c>
      <c r="M55" s="1">
        <f>MAX(-16, MIN(16, Games[[#This Row],[RestDiff]]*8))</f>
        <v>16</v>
      </c>
      <c r="N55" s="1">
        <f>MAX(-16, MIN(16, Games[[#This Row],[OppRestDiff]]*8))</f>
        <v>-16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1410.1548830579761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1589.6389911300503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0.40964239244853057</v>
      </c>
      <c r="R55" s="1">
        <v>65</v>
      </c>
      <c r="S55" s="1">
        <v>89</v>
      </c>
      <c r="T55" s="1">
        <v>0</v>
      </c>
      <c r="U55" s="1">
        <f>Games[[#This Row],[PointsFor]]-Games[[#This Row],[PointsAgainst]]</f>
        <v>-24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0.54666604198267688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-16.884893932234707</v>
      </c>
      <c r="AB55" s="4">
        <f>Games[[#This Row],[PreGmRate]]+Games[[#This Row],[RatingChange]]</f>
        <v>1393.2699891257414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38869</v>
      </c>
      <c r="B56" s="2">
        <v>2006</v>
      </c>
      <c r="C56" s="2">
        <f>COUNTIFS(Games[Team],Games[[#This Row],[Team]],Games[Season],Games[[#This Row],[Season]],Games[Date],"&lt;=" &amp; Games[[#This Row],[Date]])</f>
        <v>4</v>
      </c>
      <c r="D56" s="2" t="s">
        <v>23</v>
      </c>
      <c r="E56" s="2" t="s">
        <v>29</v>
      </c>
      <c r="F56" s="1" t="s">
        <v>66</v>
      </c>
      <c r="G56" s="1" t="s">
        <v>75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6" s="2">
        <f>Games[[#This Row],[DaysOff]]-Games[[#This Row],[OppDaysOff]]</f>
        <v>-3</v>
      </c>
      <c r="L56" s="2">
        <f>Games[[#This Row],[OppDaysOff]]-Games[[#This Row],[DaysOff]]</f>
        <v>3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1450.8523239834849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1496.6652938274485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0.28262651154858004</v>
      </c>
      <c r="R56" s="1">
        <v>63</v>
      </c>
      <c r="S56" s="1">
        <v>64</v>
      </c>
      <c r="T56" s="1">
        <v>0</v>
      </c>
      <c r="U56" s="1">
        <f>Games[[#This Row],[PointsFor]]-Games[[#This Row],[PointsAgainst]]</f>
        <v>-1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0.23520031678194195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-5.0121279165589714</v>
      </c>
      <c r="AB56" s="4">
        <f>Games[[#This Row],[PreGmRate]]+Games[[#This Row],[RatingChange]]</f>
        <v>1445.840196066926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38869</v>
      </c>
      <c r="B57" s="2">
        <v>2006</v>
      </c>
      <c r="C57" s="2">
        <f>COUNTIFS(Games[Team],Games[[#This Row],[Team]],Games[Season],Games[[#This Row],[Season]],Games[Date],"&lt;=" &amp; Games[[#This Row],[Date]])</f>
        <v>4</v>
      </c>
      <c r="D57" s="2" t="s">
        <v>23</v>
      </c>
      <c r="E57" s="2" t="s">
        <v>29</v>
      </c>
      <c r="F57" s="1" t="s">
        <v>75</v>
      </c>
      <c r="G57" s="1" t="s">
        <v>66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3</v>
      </c>
      <c r="L57" s="2">
        <f>Games[[#This Row],[OppDaysOff]]-Games[[#This Row],[DaysOff]]</f>
        <v>-3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1496.6652938274485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1450.8523239834849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0.71737348845141991</v>
      </c>
      <c r="R57" s="1">
        <v>64</v>
      </c>
      <c r="S57" s="1">
        <v>63</v>
      </c>
      <c r="T57" s="1">
        <v>0</v>
      </c>
      <c r="U57" s="1">
        <f>Games[[#This Row],[PointsFor]]-Games[[#This Row],[PointsAgainst]]</f>
        <v>1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0.23520031678194195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5.0121279165589723</v>
      </c>
      <c r="AB57" s="4">
        <f>Games[[#This Row],[PreGmRate]]+Games[[#This Row],[RatingChange]]</f>
        <v>1501.6774217440075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38870</v>
      </c>
      <c r="B58" s="2">
        <v>2006</v>
      </c>
      <c r="C58" s="2">
        <f>COUNTIFS(Games[Team],Games[[#This Row],[Team]],Games[Season],Games[[#This Row],[Season]],Games[Date],"&lt;=" &amp; Games[[#This Row],[Date]])</f>
        <v>5</v>
      </c>
      <c r="D58" s="2" t="s">
        <v>23</v>
      </c>
      <c r="E58" s="2" t="s">
        <v>29</v>
      </c>
      <c r="F58" s="1" t="s">
        <v>87</v>
      </c>
      <c r="G58" s="1" t="s">
        <v>2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1457.5005444136552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1566.2278296721488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0.26554897442021569</v>
      </c>
      <c r="R58" s="1">
        <v>60</v>
      </c>
      <c r="S58" s="1">
        <v>71</v>
      </c>
      <c r="T58" s="1">
        <v>0</v>
      </c>
      <c r="U58" s="1">
        <f>Games[[#This Row],[PointsFor]]-Games[[#This Row],[PointsAgainst]]</f>
        <v>-11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0.40329499526320983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-8.0588665716665719</v>
      </c>
      <c r="AB58" s="4">
        <f>Games[[#This Row],[PreGmRate]]+Games[[#This Row],[RatingChange]]</f>
        <v>1449.4416778419886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38870</v>
      </c>
      <c r="B59" s="2">
        <v>2006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2</v>
      </c>
      <c r="G59" s="1" t="s">
        <v>87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1566.2278296721488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1457.5005444136552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0.73445102557978426</v>
      </c>
      <c r="R59" s="1">
        <v>71</v>
      </c>
      <c r="S59" s="1">
        <v>60</v>
      </c>
      <c r="T59" s="1">
        <v>0</v>
      </c>
      <c r="U59" s="1">
        <f>Games[[#This Row],[PointsFor]]-Games[[#This Row],[PointsAgainst]]</f>
        <v>11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0.40329499526320983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8.0588665716665737</v>
      </c>
      <c r="AB59" s="4">
        <f>Games[[#This Row],[PreGmRate]]+Games[[#This Row],[RatingChange]]</f>
        <v>1574.2866962438154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38870</v>
      </c>
      <c r="B60" s="2">
        <v>2006</v>
      </c>
      <c r="C60" s="2">
        <f>COUNTIFS(Games[Team],Games[[#This Row],[Team]],Games[Season],Games[[#This Row],[Season]],Games[Date],"&lt;=" &amp; Games[[#This Row],[Date]])</f>
        <v>6</v>
      </c>
      <c r="D60" s="2" t="s">
        <v>23</v>
      </c>
      <c r="E60" s="2" t="s">
        <v>29</v>
      </c>
      <c r="F60" s="1" t="s">
        <v>79</v>
      </c>
      <c r="G60" s="1" t="s">
        <v>77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1568.6946812307099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1455.4746505080429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0.54195213985369906</v>
      </c>
      <c r="R60" s="1">
        <v>87</v>
      </c>
      <c r="S60" s="1">
        <v>92</v>
      </c>
      <c r="T60" s="1">
        <v>0</v>
      </c>
      <c r="U60" s="1">
        <f>Games[[#This Row],[PointsFor]]-Games[[#This Row],[PointsAgainst]]</f>
        <v>-5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0.30315344058102606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-12.338528652600059</v>
      </c>
      <c r="AB60" s="4">
        <f>Games[[#This Row],[PreGmRate]]+Games[[#This Row],[RatingChange]]</f>
        <v>1556.3561525781099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38870</v>
      </c>
      <c r="B61" s="2">
        <v>2006</v>
      </c>
      <c r="C61" s="2">
        <f>COUNTIFS(Games[Team],Games[[#This Row],[Team]],Games[Season],Games[[#This Row],[Season]],Games[Date],"&lt;=" &amp; Games[[#This Row],[Date]])</f>
        <v>5</v>
      </c>
      <c r="D61" s="2" t="s">
        <v>23</v>
      </c>
      <c r="E61" s="2" t="s">
        <v>29</v>
      </c>
      <c r="F61" s="1" t="s">
        <v>77</v>
      </c>
      <c r="G61" s="1" t="s">
        <v>79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1455.4746505080429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1568.6946812307099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0.45804786014630106</v>
      </c>
      <c r="R61" s="1">
        <v>92</v>
      </c>
      <c r="S61" s="1">
        <v>87</v>
      </c>
      <c r="T61" s="1">
        <v>0</v>
      </c>
      <c r="U61" s="1">
        <f>Games[[#This Row],[PointsFor]]-Games[[#This Row],[PointsAgainst]]</f>
        <v>5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0.30315344058102606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12.363172850974093</v>
      </c>
      <c r="AB61" s="4">
        <f>Games[[#This Row],[PreGmRate]]+Games[[#This Row],[RatingChange]]</f>
        <v>1467.837823359017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38870</v>
      </c>
      <c r="B62" s="2">
        <v>2006</v>
      </c>
      <c r="C62" s="2">
        <f>COUNTIFS(Games[Team],Games[[#This Row],[Team]],Games[Season],Games[[#This Row],[Season]],Games[Date],"&lt;=" &amp; Games[[#This Row],[Date]])</f>
        <v>5</v>
      </c>
      <c r="D62" s="2" t="s">
        <v>23</v>
      </c>
      <c r="E62" s="2" t="s">
        <v>29</v>
      </c>
      <c r="F62" s="1" t="s">
        <v>84</v>
      </c>
      <c r="G62" s="1" t="s">
        <v>45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1422.6957478160289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1617.061300335065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0.16764631935596203</v>
      </c>
      <c r="R62" s="1">
        <v>74</v>
      </c>
      <c r="S62" s="1">
        <v>71</v>
      </c>
      <c r="T62" s="1">
        <v>0</v>
      </c>
      <c r="U62" s="1">
        <f>Games[[#This Row],[PointsFor]]-Games[[#This Row],[PointsAgainst]]</f>
        <v>3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0.24973381240619516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15.64198105980171</v>
      </c>
      <c r="AB62" s="4">
        <f>Games[[#This Row],[PreGmRate]]+Games[[#This Row],[RatingChange]]</f>
        <v>1438.3377288758306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38870</v>
      </c>
      <c r="B63" s="2">
        <v>2006</v>
      </c>
      <c r="C63" s="2">
        <f>COUNTIFS(Games[Team],Games[[#This Row],[Team]],Games[Season],Games[[#This Row],[Season]],Games[Date],"&lt;=" &amp; Games[[#This Row],[Date]])</f>
        <v>5</v>
      </c>
      <c r="D63" s="2" t="s">
        <v>23</v>
      </c>
      <c r="E63" s="2" t="s">
        <v>29</v>
      </c>
      <c r="F63" s="1" t="s">
        <v>45</v>
      </c>
      <c r="G63" s="1" t="s">
        <v>84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1617.061300335065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1422.6957478160289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0.83235368064403803</v>
      </c>
      <c r="R63" s="1">
        <v>71</v>
      </c>
      <c r="S63" s="1">
        <v>74</v>
      </c>
      <c r="T63" s="1">
        <v>0</v>
      </c>
      <c r="U63" s="1">
        <f>Games[[#This Row],[PointsFor]]-Games[[#This Row],[PointsAgainst]]</f>
        <v>-3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0.24973381240619516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-15.641981059801711</v>
      </c>
      <c r="AB63" s="4">
        <f>Games[[#This Row],[PreGmRate]]+Games[[#This Row],[RatingChange]]</f>
        <v>1601.4193192752632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38870</v>
      </c>
      <c r="B64" s="2">
        <v>2006</v>
      </c>
      <c r="C64" s="2">
        <f>COUNTIFS(Games[Team],Games[[#This Row],[Team]],Games[Season],Games[[#This Row],[Season]],Games[Date],"&lt;=" &amp; Games[[#This Row],[Date]])</f>
        <v>4</v>
      </c>
      <c r="D64" s="2" t="s">
        <v>23</v>
      </c>
      <c r="E64" s="2" t="s">
        <v>29</v>
      </c>
      <c r="F64" s="1" t="s">
        <v>44</v>
      </c>
      <c r="G64" s="1" t="s">
        <v>81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1448.8376171199154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1521.9112133450151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0.28819056086475486</v>
      </c>
      <c r="R64" s="1">
        <v>87</v>
      </c>
      <c r="S64" s="1">
        <v>97</v>
      </c>
      <c r="T64" s="1">
        <v>0</v>
      </c>
      <c r="U64" s="1">
        <f>Games[[#This Row],[PointsFor]]-Games[[#This Row],[PointsAgainst]]</f>
        <v>-10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0.39884232985770091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75.400000000000006</v>
      </c>
      <c r="Z64" s="4">
        <f>Games[[#This Row],[K]]*Games[[#This Row],[POMult]]</f>
        <v>75.400000000000006</v>
      </c>
      <c r="AA64" s="4">
        <f>(Games[[#This Row],[Keff]]*Games[[#This Row],[MOVMult]])*(Games[[#This Row],[Result]]-Games[[#This Row],[ExpectedWin%]])</f>
        <v>-8.6666716432675486</v>
      </c>
      <c r="AB64" s="4">
        <f>Games[[#This Row],[PreGmRate]]+Games[[#This Row],[RatingChange]]</f>
        <v>1440.1709454766478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38870</v>
      </c>
      <c r="B65" s="2">
        <v>2006</v>
      </c>
      <c r="C65" s="2">
        <f>COUNTIFS(Games[Team],Games[[#This Row],[Team]],Games[Season],Games[[#This Row],[Season]],Games[Date],"&lt;=" &amp; Games[[#This Row],[Date]])</f>
        <v>5</v>
      </c>
      <c r="D65" s="2" t="s">
        <v>23</v>
      </c>
      <c r="E65" s="2" t="s">
        <v>29</v>
      </c>
      <c r="F65" s="1" t="s">
        <v>81</v>
      </c>
      <c r="G65" s="1" t="s">
        <v>44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1521.9112133450151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1448.8376171199154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0.71180943913524508</v>
      </c>
      <c r="R65" s="1">
        <v>97</v>
      </c>
      <c r="S65" s="1">
        <v>87</v>
      </c>
      <c r="T65" s="1">
        <v>0</v>
      </c>
      <c r="U65" s="1">
        <f>Games[[#This Row],[PointsFor]]-Games[[#This Row],[PointsAgainst]]</f>
        <v>10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0.39884232985770091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8.6494302540568047</v>
      </c>
      <c r="AB65" s="4">
        <f>Games[[#This Row],[PreGmRate]]+Games[[#This Row],[RatingChange]]</f>
        <v>1530.5606435990719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38871</v>
      </c>
      <c r="B66" s="2">
        <v>2006</v>
      </c>
      <c r="C66" s="2">
        <f>COUNTIFS(Games[Team],Games[[#This Row],[Team]],Games[Season],Games[[#This Row],[Season]],Games[Date],"&lt;=" &amp; Games[[#This Row],[Date]])</f>
        <v>5</v>
      </c>
      <c r="D66" s="2" t="s">
        <v>23</v>
      </c>
      <c r="E66" s="2" t="s">
        <v>29</v>
      </c>
      <c r="F66" s="1" t="s">
        <v>64</v>
      </c>
      <c r="G66" s="1" t="s">
        <v>86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1393.2699891257414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1606.523885062285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0.15301708077321072</v>
      </c>
      <c r="R66" s="1">
        <v>71</v>
      </c>
      <c r="S66" s="1">
        <v>89</v>
      </c>
      <c r="T66" s="1">
        <v>0</v>
      </c>
      <c r="U66" s="1">
        <f>Games[[#This Row],[PointsFor]]-Games[[#This Row],[PointsAgainst]]</f>
        <v>-18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0.46431905861949202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75.25</v>
      </c>
      <c r="Z66" s="4">
        <f>Games[[#This Row],[K]]*Games[[#This Row],[POMult]]</f>
        <v>75.25</v>
      </c>
      <c r="AA66" s="4">
        <f>(Games[[#This Row],[Keff]]*Games[[#This Row],[MOVMult]])*(Games[[#This Row],[Result]]-Games[[#This Row],[ExpectedWin%]])</f>
        <v>-5.3464182040233279</v>
      </c>
      <c r="AB66" s="4">
        <f>Games[[#This Row],[PreGmRate]]+Games[[#This Row],[RatingChange]]</f>
        <v>1387.923570921718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38871</v>
      </c>
      <c r="B67" s="2">
        <v>2006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86</v>
      </c>
      <c r="G67" s="1" t="s">
        <v>64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1606.523885062285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1393.2699891257414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0.84698291922678925</v>
      </c>
      <c r="R67" s="1">
        <v>89</v>
      </c>
      <c r="S67" s="1">
        <v>71</v>
      </c>
      <c r="T67" s="1">
        <v>0</v>
      </c>
      <c r="U67" s="1">
        <f>Games[[#This Row],[PointsFor]]-Games[[#This Row],[PointsAgainst]]</f>
        <v>18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0.46431905861949202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5.3464182040233288</v>
      </c>
      <c r="AB67" s="4">
        <f>Games[[#This Row],[PreGmRate]]+Games[[#This Row],[RatingChange]]</f>
        <v>1611.8703032663084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38871</v>
      </c>
      <c r="B68" s="2">
        <v>2006</v>
      </c>
      <c r="C68" s="2">
        <f>COUNTIFS(Games[Team],Games[[#This Row],[Team]],Games[Season],Games[[#This Row],[Season]],Games[Date],"&lt;=" &amp; Games[[#This Row],[Date]])</f>
        <v>6</v>
      </c>
      <c r="D68" s="2" t="s">
        <v>23</v>
      </c>
      <c r="E68" s="2" t="s">
        <v>29</v>
      </c>
      <c r="F68" s="1" t="s">
        <v>70</v>
      </c>
      <c r="G68" s="1" t="s">
        <v>66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1</v>
      </c>
      <c r="L68" s="2">
        <f>Games[[#This Row],[OppDaysOff]]-Games[[#This Row],[DaysOff]]</f>
        <v>-1</v>
      </c>
      <c r="M68" s="1">
        <f>MAX(-16, MIN(16, Games[[#This Row],[RestDiff]]*8))</f>
        <v>8</v>
      </c>
      <c r="N68" s="1">
        <f>MAX(-16, MIN(16, Games[[#This Row],[OppRestDiff]]*8))</f>
        <v>-8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1495.916113611765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1445.840196066926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0.47422803174537609</v>
      </c>
      <c r="R68" s="1">
        <v>79</v>
      </c>
      <c r="S68" s="1">
        <v>89</v>
      </c>
      <c r="T68" s="1">
        <v>1</v>
      </c>
      <c r="U68" s="1">
        <f>Games[[#This Row],[PointsFor]]-Games[[#This Row],[PointsAgainst]]</f>
        <v>-10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0.36556185817608572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-13.019312004350461</v>
      </c>
      <c r="AB68" s="4">
        <f>Games[[#This Row],[PreGmRate]]+Games[[#This Row],[RatingChange]]</f>
        <v>1482.8968016074145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38871</v>
      </c>
      <c r="B69" s="2">
        <v>2006</v>
      </c>
      <c r="C69" s="2">
        <f>COUNTIFS(Games[Team],Games[[#This Row],[Team]],Games[Season],Games[[#This Row],[Season]],Games[Date],"&lt;=" &amp; Games[[#This Row],[Date]])</f>
        <v>5</v>
      </c>
      <c r="D69" s="2" t="s">
        <v>23</v>
      </c>
      <c r="E69" s="2" t="s">
        <v>29</v>
      </c>
      <c r="F69" s="1" t="s">
        <v>66</v>
      </c>
      <c r="G69" s="1" t="s">
        <v>70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9" s="2">
        <f>Games[[#This Row],[DaysOff]]-Games[[#This Row],[OppDaysOff]]</f>
        <v>-1</v>
      </c>
      <c r="L69" s="2">
        <f>Games[[#This Row],[OppDaysOff]]-Games[[#This Row],[DaysOff]]</f>
        <v>1</v>
      </c>
      <c r="M69" s="1">
        <f>MAX(-16, MIN(16, Games[[#This Row],[RestDiff]]*8))</f>
        <v>-8</v>
      </c>
      <c r="N69" s="1">
        <f>MAX(-16, MIN(16, Games[[#This Row],[OppRestDiff]]*8))</f>
        <v>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1445.840196066926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1495.916113611765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0.52577196825462391</v>
      </c>
      <c r="R69" s="1">
        <v>89</v>
      </c>
      <c r="S69" s="1">
        <v>79</v>
      </c>
      <c r="T69" s="1">
        <v>1</v>
      </c>
      <c r="U69" s="1">
        <f>Games[[#This Row],[PointsFor]]-Games[[#This Row],[PointsAgainst]]</f>
        <v>10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0.36556185817608572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13.045315956423066</v>
      </c>
      <c r="AB69" s="4">
        <f>Games[[#This Row],[PreGmRate]]+Games[[#This Row],[RatingChange]]</f>
        <v>1458.8855120233491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38871</v>
      </c>
      <c r="B70" s="2">
        <v>2006</v>
      </c>
      <c r="C70" s="2">
        <f>COUNTIFS(Games[Team],Games[[#This Row],[Team]],Games[Season],Games[[#This Row],[Season]],Games[Date],"&lt;=" &amp; Games[[#This Row],[Date]])</f>
        <v>5</v>
      </c>
      <c r="D70" s="2" t="s">
        <v>23</v>
      </c>
      <c r="E70" s="2" t="s">
        <v>29</v>
      </c>
      <c r="F70" s="1" t="s">
        <v>75</v>
      </c>
      <c r="G70" s="1" t="s">
        <v>73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70" s="2">
        <f>Games[[#This Row],[DaysOff]]-Games[[#This Row],[OppDaysOff]]</f>
        <v>-5</v>
      </c>
      <c r="L70" s="2">
        <f>Games[[#This Row],[OppDaysOff]]-Games[[#This Row],[DaysOff]]</f>
        <v>5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1501.6774217440075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1503.4050533546006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0.33677601038010174</v>
      </c>
      <c r="R70" s="1">
        <v>68</v>
      </c>
      <c r="S70" s="1">
        <v>92</v>
      </c>
      <c r="T70" s="1">
        <v>0</v>
      </c>
      <c r="U70" s="1">
        <f>Games[[#This Row],[PointsFor]]-Games[[#This Row],[PointsAgainst]]</f>
        <v>-24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0.62752748418297799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75.25</v>
      </c>
      <c r="Z70" s="4">
        <f>Games[[#This Row],[K]]*Games[[#This Row],[POMult]]</f>
        <v>75.25</v>
      </c>
      <c r="AA70" s="4">
        <f>(Games[[#This Row],[Keff]]*Games[[#This Row],[MOVMult]])*(Games[[#This Row],[Result]]-Games[[#This Row],[ExpectedWin%]])</f>
        <v>-15.903049240157181</v>
      </c>
      <c r="AB70" s="4">
        <f>Games[[#This Row],[PreGmRate]]+Games[[#This Row],[RatingChange]]</f>
        <v>1485.7743725038504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38871</v>
      </c>
      <c r="B71" s="2">
        <v>2006</v>
      </c>
      <c r="C71" s="2">
        <f>COUNTIFS(Games[Team],Games[[#This Row],[Team]],Games[Season],Games[[#This Row],[Season]],Games[Date],"&lt;=" &amp; Games[[#This Row],[Date]])</f>
        <v>4</v>
      </c>
      <c r="D71" s="2" t="s">
        <v>23</v>
      </c>
      <c r="E71" s="2" t="s">
        <v>29</v>
      </c>
      <c r="F71" s="1" t="s">
        <v>73</v>
      </c>
      <c r="G71" s="1" t="s">
        <v>75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6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5</v>
      </c>
      <c r="L71" s="2">
        <f>Games[[#This Row],[OppDaysOff]]-Games[[#This Row],[DaysOff]]</f>
        <v>-5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1503.4050533546006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1501.6774217440075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0.66322398961989826</v>
      </c>
      <c r="R71" s="1">
        <v>92</v>
      </c>
      <c r="S71" s="1">
        <v>68</v>
      </c>
      <c r="T71" s="1">
        <v>0</v>
      </c>
      <c r="U71" s="1">
        <f>Games[[#This Row],[PointsFor]]-Games[[#This Row],[PointsAgainst]]</f>
        <v>24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0.62752748418297799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75.400000000000006</v>
      </c>
      <c r="Z71" s="4">
        <f>Games[[#This Row],[K]]*Games[[#This Row],[POMult]]</f>
        <v>75.400000000000006</v>
      </c>
      <c r="AA71" s="4">
        <f>(Games[[#This Row],[Keff]]*Games[[#This Row],[MOVMult]])*(Games[[#This Row],[Result]]-Games[[#This Row],[ExpectedWin%]])</f>
        <v>15.934749670536233</v>
      </c>
      <c r="AB71" s="4">
        <f>Games[[#This Row],[PreGmRate]]+Games[[#This Row],[RatingChange]]</f>
        <v>1519.3398030251367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38872</v>
      </c>
      <c r="B72" s="2">
        <v>2006</v>
      </c>
      <c r="C72" s="2">
        <f>COUNTIFS(Games[Team],Games[[#This Row],[Team]],Games[Season],Games[[#This Row],[Season]],Games[Date],"&lt;=" &amp; Games[[#This Row],[Date]])</f>
        <v>6</v>
      </c>
      <c r="D72" s="2" t="s">
        <v>23</v>
      </c>
      <c r="E72" s="2" t="s">
        <v>29</v>
      </c>
      <c r="F72" s="1" t="s">
        <v>75</v>
      </c>
      <c r="G72" s="1" t="s">
        <v>87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-1</v>
      </c>
      <c r="L72" s="2">
        <f>Games[[#This Row],[OppDaysOff]]-Games[[#This Row],[DaysOff]]</f>
        <v>1</v>
      </c>
      <c r="M72" s="1">
        <f>MAX(-16, MIN(16, Games[[#This Row],[RestDiff]]*8))</f>
        <v>-8</v>
      </c>
      <c r="N72" s="1">
        <f>MAX(-16, MIN(16, Games[[#This Row],[OppRestDiff]]*8))</f>
        <v>8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1485.7743725038504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1449.4416778419886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0.40938738473215314</v>
      </c>
      <c r="R72" s="1">
        <v>81</v>
      </c>
      <c r="S72" s="1">
        <v>66</v>
      </c>
      <c r="T72" s="1">
        <v>0</v>
      </c>
      <c r="U72" s="1">
        <f>Games[[#This Row],[PointsFor]]-Games[[#This Row],[PointsAgainst]]</f>
        <v>15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0.48807059480017356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75.099999999999994</v>
      </c>
      <c r="Z72" s="4">
        <f>Games[[#This Row],[K]]*Games[[#This Row],[POMult]]</f>
        <v>75.099999999999994</v>
      </c>
      <c r="AA72" s="4">
        <f>(Games[[#This Row],[Keff]]*Games[[#This Row],[MOVMult]])*(Games[[#This Row],[Result]]-Games[[#This Row],[ExpectedWin%]])</f>
        <v>21.64837484731283</v>
      </c>
      <c r="AB72" s="4">
        <f>Games[[#This Row],[PreGmRate]]+Games[[#This Row],[RatingChange]]</f>
        <v>1507.4227473511633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38872</v>
      </c>
      <c r="B73" s="2">
        <v>2006</v>
      </c>
      <c r="C73" s="2">
        <f>COUNTIFS(Games[Team],Games[[#This Row],[Team]],Games[Season],Games[[#This Row],[Season]],Games[Date],"&lt;=" &amp; Games[[#This Row],[Date]])</f>
        <v>6</v>
      </c>
      <c r="D73" s="2" t="s">
        <v>23</v>
      </c>
      <c r="E73" s="2" t="s">
        <v>29</v>
      </c>
      <c r="F73" s="1" t="s">
        <v>87</v>
      </c>
      <c r="G73" s="1" t="s">
        <v>75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3" s="2">
        <f>Games[[#This Row],[DaysOff]]-Games[[#This Row],[OppDaysOff]]</f>
        <v>1</v>
      </c>
      <c r="L73" s="2">
        <f>Games[[#This Row],[OppDaysOff]]-Games[[#This Row],[DaysOff]]</f>
        <v>-1</v>
      </c>
      <c r="M73" s="1">
        <f>MAX(-16, MIN(16, Games[[#This Row],[RestDiff]]*8))</f>
        <v>8</v>
      </c>
      <c r="N73" s="1">
        <f>MAX(-16, MIN(16, Games[[#This Row],[OppRestDiff]]*8))</f>
        <v>-8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1449.4416778419886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1485.7743725038504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0.59061261526784692</v>
      </c>
      <c r="R73" s="1">
        <v>66</v>
      </c>
      <c r="S73" s="1">
        <v>81</v>
      </c>
      <c r="T73" s="1">
        <v>0</v>
      </c>
      <c r="U73" s="1">
        <f>Games[[#This Row],[PointsFor]]-Games[[#This Row],[PointsAgainst]]</f>
        <v>-15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0.48807059480017356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-21.648374847312834</v>
      </c>
      <c r="AB73" s="4">
        <f>Games[[#This Row],[PreGmRate]]+Games[[#This Row],[RatingChange]]</f>
        <v>1427.7933029946757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38872</v>
      </c>
      <c r="B74" s="2">
        <v>2006</v>
      </c>
      <c r="C74" s="2">
        <f>COUNTIFS(Games[Team],Games[[#This Row],[Team]],Games[Season],Games[[#This Row],[Season]],Games[Date],"&lt;=" &amp; Games[[#This Row],[Date]])</f>
        <v>6</v>
      </c>
      <c r="D74" s="2" t="s">
        <v>23</v>
      </c>
      <c r="E74" s="2" t="s">
        <v>29</v>
      </c>
      <c r="F74" s="1" t="s">
        <v>77</v>
      </c>
      <c r="G74" s="1" t="s">
        <v>2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1467.837823359017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1574.2866962438154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0.25043158229229023</v>
      </c>
      <c r="R74" s="1">
        <v>62</v>
      </c>
      <c r="S74" s="1">
        <v>85</v>
      </c>
      <c r="T74" s="1">
        <v>0</v>
      </c>
      <c r="U74" s="1">
        <f>Games[[#This Row],[PointsFor]]-Games[[#This Row],[PointsAgainst]]</f>
        <v>-23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0.56520032157388078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-10.629955214373751</v>
      </c>
      <c r="AB74" s="4">
        <f>Games[[#This Row],[PreGmRate]]+Games[[#This Row],[RatingChange]]</f>
        <v>1457.2078681446433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38872</v>
      </c>
      <c r="B75" s="2">
        <v>2006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2</v>
      </c>
      <c r="G75" s="1" t="s">
        <v>77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1574.2866962438154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1467.837823359017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0.74956841770770977</v>
      </c>
      <c r="R75" s="1">
        <v>85</v>
      </c>
      <c r="S75" s="1">
        <v>62</v>
      </c>
      <c r="T75" s="1">
        <v>0</v>
      </c>
      <c r="U75" s="1">
        <f>Games[[#This Row],[PointsFor]]-Games[[#This Row],[PointsAgainst]]</f>
        <v>23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0.56520032157388078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10.629955214373751</v>
      </c>
      <c r="AB75" s="4">
        <f>Games[[#This Row],[PreGmRate]]+Games[[#This Row],[RatingChange]]</f>
        <v>1584.9166514581891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38872</v>
      </c>
      <c r="B76" s="2">
        <v>2006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84</v>
      </c>
      <c r="G76" s="1" t="s">
        <v>81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1438.3377288758306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1530.5606435990719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0.26611561581258192</v>
      </c>
      <c r="R76" s="1">
        <v>89</v>
      </c>
      <c r="S76" s="1">
        <v>87</v>
      </c>
      <c r="T76" s="1">
        <v>0</v>
      </c>
      <c r="U76" s="1">
        <f>Games[[#This Row],[PointsFor]]-Games[[#This Row],[PointsAgainst]]</f>
        <v>2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0.24872611475121609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13.708469487819949</v>
      </c>
      <c r="AB76" s="4">
        <f>Games[[#This Row],[PreGmRate]]+Games[[#This Row],[RatingChange]]</f>
        <v>1452.0461983636505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38872</v>
      </c>
      <c r="B77" s="2">
        <v>2006</v>
      </c>
      <c r="C77" s="2">
        <f>COUNTIFS(Games[Team],Games[[#This Row],[Team]],Games[Season],Games[[#This Row],[Season]],Games[Date],"&lt;=" &amp; Games[[#This Row],[Date]])</f>
        <v>6</v>
      </c>
      <c r="D77" s="2" t="s">
        <v>23</v>
      </c>
      <c r="E77" s="2" t="s">
        <v>29</v>
      </c>
      <c r="F77" s="1" t="s">
        <v>81</v>
      </c>
      <c r="G77" s="1" t="s">
        <v>84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1530.5606435990719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1438.3377288758306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0.73388438418741808</v>
      </c>
      <c r="R77" s="1">
        <v>87</v>
      </c>
      <c r="S77" s="1">
        <v>89</v>
      </c>
      <c r="T77" s="1">
        <v>0</v>
      </c>
      <c r="U77" s="1">
        <f>Games[[#This Row],[PointsFor]]-Games[[#This Row],[PointsAgainst]]</f>
        <v>-2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0.24872611475121609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-13.708469487819949</v>
      </c>
      <c r="AB77" s="4">
        <f>Games[[#This Row],[PreGmRate]]+Games[[#This Row],[RatingChange]]</f>
        <v>1516.852174111252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38874</v>
      </c>
      <c r="B78" s="2">
        <v>2006</v>
      </c>
      <c r="C78" s="2">
        <f>COUNTIFS(Games[Team],Games[[#This Row],[Team]],Games[Season],Games[[#This Row],[Season]],Games[Date],"&lt;=" &amp; Games[[#This Row],[Date]])</f>
        <v>6</v>
      </c>
      <c r="D78" s="2" t="s">
        <v>23</v>
      </c>
      <c r="E78" s="2" t="s">
        <v>29</v>
      </c>
      <c r="F78" s="1" t="s">
        <v>45</v>
      </c>
      <c r="G78" s="1" t="s">
        <v>44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1601.4193192752632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1440.1709454766478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0.609372991835056</v>
      </c>
      <c r="R78" s="1">
        <v>76</v>
      </c>
      <c r="S78" s="1">
        <v>90</v>
      </c>
      <c r="T78" s="1">
        <v>0</v>
      </c>
      <c r="U78" s="1">
        <f>Games[[#This Row],[PointsFor]]-Games[[#This Row],[PointsAgainst]]</f>
        <v>-14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0.42984787750974113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-19.671520305119675</v>
      </c>
      <c r="AB78" s="4">
        <f>Games[[#This Row],[PreGmRate]]+Games[[#This Row],[RatingChange]]</f>
        <v>1581.7477989701435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38874</v>
      </c>
      <c r="B79" s="2">
        <v>2006</v>
      </c>
      <c r="C79" s="2">
        <f>COUNTIFS(Games[Team],Games[[#This Row],[Team]],Games[Season],Games[[#This Row],[Season]],Games[Date],"&lt;=" &amp; Games[[#This Row],[Date]])</f>
        <v>5</v>
      </c>
      <c r="D79" s="2" t="s">
        <v>23</v>
      </c>
      <c r="E79" s="2" t="s">
        <v>29</v>
      </c>
      <c r="F79" s="1" t="s">
        <v>44</v>
      </c>
      <c r="G79" s="1" t="s">
        <v>45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1440.1709454766478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1601.4193192752632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0.39062700816494395</v>
      </c>
      <c r="R79" s="1">
        <v>90</v>
      </c>
      <c r="S79" s="1">
        <v>76</v>
      </c>
      <c r="T79" s="1">
        <v>0</v>
      </c>
      <c r="U79" s="1">
        <f>Games[[#This Row],[PointsFor]]-Games[[#This Row],[PointsAgainst]]</f>
        <v>14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0.42984787750974113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75.25</v>
      </c>
      <c r="Z79" s="4">
        <f>Games[[#This Row],[K]]*Games[[#This Row],[POMult]]</f>
        <v>75.25</v>
      </c>
      <c r="AA79" s="4">
        <f>(Games[[#This Row],[Keff]]*Games[[#This Row],[MOVMult]])*(Games[[#This Row],[Result]]-Games[[#This Row],[ExpectedWin%]])</f>
        <v>19.710810958192489</v>
      </c>
      <c r="AB79" s="4">
        <f>Games[[#This Row],[PreGmRate]]+Games[[#This Row],[RatingChange]]</f>
        <v>1459.8817564348403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38874</v>
      </c>
      <c r="B80" s="2">
        <v>2006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2</v>
      </c>
      <c r="G80" s="1" t="s">
        <v>73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-1</v>
      </c>
      <c r="L80" s="2">
        <f>Games[[#This Row],[OppDaysOff]]-Games[[#This Row],[DaysOff]]</f>
        <v>1</v>
      </c>
      <c r="M80" s="1">
        <f>MAX(-16, MIN(16, Games[[#This Row],[RestDiff]]*8))</f>
        <v>-8</v>
      </c>
      <c r="N80" s="1">
        <f>MAX(-16, MIN(16, Games[[#This Row],[OppRestDiff]]*8))</f>
        <v>8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1584.9166514581891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1519.3398030251367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0.4506225667801505</v>
      </c>
      <c r="R80" s="1">
        <v>79</v>
      </c>
      <c r="S80" s="1">
        <v>93</v>
      </c>
      <c r="T80" s="1">
        <v>0</v>
      </c>
      <c r="U80" s="1">
        <f>Games[[#This Row],[PointsFor]]-Games[[#This Row],[PointsAgainst]]</f>
        <v>-14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0.46234231051665309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-15.615223808271168</v>
      </c>
      <c r="AB80" s="4">
        <f>Games[[#This Row],[PreGmRate]]+Games[[#This Row],[RatingChange]]</f>
        <v>1569.301427649918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38874</v>
      </c>
      <c r="B81" s="2">
        <v>2006</v>
      </c>
      <c r="C81" s="2">
        <f>COUNTIFS(Games[Team],Games[[#This Row],[Team]],Games[Season],Games[[#This Row],[Season]],Games[Date],"&lt;=" &amp; Games[[#This Row],[Date]])</f>
        <v>5</v>
      </c>
      <c r="D81" s="2" t="s">
        <v>23</v>
      </c>
      <c r="E81" s="2" t="s">
        <v>29</v>
      </c>
      <c r="F81" s="1" t="s">
        <v>73</v>
      </c>
      <c r="G81" s="1" t="s">
        <v>2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1</v>
      </c>
      <c r="L81" s="2">
        <f>Games[[#This Row],[OppDaysOff]]-Games[[#This Row],[DaysOff]]</f>
        <v>-1</v>
      </c>
      <c r="M81" s="1">
        <f>MAX(-16, MIN(16, Games[[#This Row],[RestDiff]]*8))</f>
        <v>8</v>
      </c>
      <c r="N81" s="1">
        <f>MAX(-16, MIN(16, Games[[#This Row],[OppRestDiff]]*8))</f>
        <v>-8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1519.3398030251367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1584.9166514581891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0.54937743321984955</v>
      </c>
      <c r="R81" s="1">
        <v>93</v>
      </c>
      <c r="S81" s="1">
        <v>79</v>
      </c>
      <c r="T81" s="1">
        <v>0</v>
      </c>
      <c r="U81" s="1">
        <f>Games[[#This Row],[PointsFor]]-Games[[#This Row],[PointsAgainst]]</f>
        <v>14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0.46234231051665309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75.25</v>
      </c>
      <c r="Z81" s="4">
        <f>Games[[#This Row],[K]]*Games[[#This Row],[POMult]]</f>
        <v>75.25</v>
      </c>
      <c r="AA81" s="4">
        <f>(Games[[#This Row],[Keff]]*Games[[#This Row],[MOVMult]])*(Games[[#This Row],[Result]]-Games[[#This Row],[ExpectedWin%]])</f>
        <v>15.677726371879986</v>
      </c>
      <c r="AB81" s="4">
        <f>Games[[#This Row],[PreGmRate]]+Games[[#This Row],[RatingChange]]</f>
        <v>1535.0175293970167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38875</v>
      </c>
      <c r="B82" s="2">
        <v>2006</v>
      </c>
      <c r="C82" s="2">
        <f>COUNTIFS(Games[Team],Games[[#This Row],[Team]],Games[Season],Games[[#This Row],[Season]],Games[Date],"&lt;=" &amp; Games[[#This Row],[Date]])</f>
        <v>6</v>
      </c>
      <c r="D82" s="2" t="s">
        <v>23</v>
      </c>
      <c r="E82" s="2" t="s">
        <v>29</v>
      </c>
      <c r="F82" s="1" t="s">
        <v>73</v>
      </c>
      <c r="G82" s="1" t="s">
        <v>79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2" s="2">
        <f>Games[[#This Row],[DaysOff]]-Games[[#This Row],[OppDaysOff]]</f>
        <v>-4</v>
      </c>
      <c r="L82" s="2">
        <f>Games[[#This Row],[OppDaysOff]]-Games[[#This Row],[DaysOff]]</f>
        <v>4</v>
      </c>
      <c r="M82" s="1">
        <f>MAX(-16, MIN(16, Games[[#This Row],[RestDiff]]*8))</f>
        <v>-16</v>
      </c>
      <c r="N82" s="1">
        <f>MAX(-16, MIN(16, Games[[#This Row],[OppRestDiff]]*8))</f>
        <v>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1535.0175293970167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1556.3561525781099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0.31204314406252226</v>
      </c>
      <c r="R82" s="1">
        <v>70</v>
      </c>
      <c r="S82" s="1">
        <v>83</v>
      </c>
      <c r="T82" s="1">
        <v>0</v>
      </c>
      <c r="U82" s="1">
        <f>Games[[#This Row],[PointsFor]]-Games[[#This Row],[PointsAgainst]]</f>
        <v>-13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0.46379644107345214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-10.868809925785381</v>
      </c>
      <c r="AB82" s="4">
        <f>Games[[#This Row],[PreGmRate]]+Games[[#This Row],[RatingChange]]</f>
        <v>1524.1487194712313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38875</v>
      </c>
      <c r="B83" s="2">
        <v>2006</v>
      </c>
      <c r="C83" s="2">
        <f>COUNTIFS(Games[Team],Games[[#This Row],[Team]],Games[Season],Games[[#This Row],[Season]],Games[Date],"&lt;=" &amp; Games[[#This Row],[Date]])</f>
        <v>7</v>
      </c>
      <c r="D83" s="2" t="s">
        <v>23</v>
      </c>
      <c r="E83" s="2" t="s">
        <v>29</v>
      </c>
      <c r="F83" s="1" t="s">
        <v>79</v>
      </c>
      <c r="G83" s="1" t="s">
        <v>73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3" s="2">
        <f>Games[[#This Row],[DaysOff]]-Games[[#This Row],[OppDaysOff]]</f>
        <v>4</v>
      </c>
      <c r="L83" s="2">
        <f>Games[[#This Row],[OppDaysOff]]-Games[[#This Row],[DaysOff]]</f>
        <v>-4</v>
      </c>
      <c r="M83" s="1">
        <f>MAX(-16, MIN(16, Games[[#This Row],[RestDiff]]*8))</f>
        <v>16</v>
      </c>
      <c r="N83" s="1">
        <f>MAX(-16, MIN(16, Games[[#This Row],[OppRestDiff]]*8))</f>
        <v>-16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1556.3561525781099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1535.0175293970167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0.6879568559374778</v>
      </c>
      <c r="R83" s="1">
        <v>83</v>
      </c>
      <c r="S83" s="1">
        <v>70</v>
      </c>
      <c r="T83" s="1">
        <v>0</v>
      </c>
      <c r="U83" s="1">
        <f>Games[[#This Row],[PointsFor]]-Games[[#This Row],[PointsAgainst]]</f>
        <v>13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0.46379644107345214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10.847101250833747</v>
      </c>
      <c r="AB83" s="4">
        <f>Games[[#This Row],[PreGmRate]]+Games[[#This Row],[RatingChange]]</f>
        <v>1567.2032538289436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38875</v>
      </c>
      <c r="B84" s="2">
        <v>2006</v>
      </c>
      <c r="C84" s="2">
        <f>COUNTIFS(Games[Team],Games[[#This Row],[Team]],Games[Season],Games[[#This Row],[Season]],Games[Date],"&lt;=" &amp; Games[[#This Row],[Date]])</f>
        <v>7</v>
      </c>
      <c r="D84" s="2" t="s">
        <v>23</v>
      </c>
      <c r="E84" s="2" t="s">
        <v>29</v>
      </c>
      <c r="F84" s="1" t="s">
        <v>75</v>
      </c>
      <c r="G84" s="1" t="s">
        <v>70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4" s="2">
        <f>Games[[#This Row],[DaysOff]]-Games[[#This Row],[OppDaysOff]]</f>
        <v>-1</v>
      </c>
      <c r="L84" s="2">
        <f>Games[[#This Row],[OppDaysOff]]-Games[[#This Row],[DaysOff]]</f>
        <v>1</v>
      </c>
      <c r="M84" s="1">
        <f>MAX(-16, MIN(16, Games[[#This Row],[RestDiff]]*8))</f>
        <v>-8</v>
      </c>
      <c r="N84" s="1">
        <f>MAX(-16, MIN(16, Games[[#This Row],[OppRestDiff]]*8))</f>
        <v>8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1507.4227473511633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1482.8968016074145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0.39306097496760795</v>
      </c>
      <c r="R84" s="1">
        <v>78</v>
      </c>
      <c r="S84" s="1">
        <v>86</v>
      </c>
      <c r="T84" s="1">
        <v>0</v>
      </c>
      <c r="U84" s="1">
        <f>Games[[#This Row],[PointsFor]]-Games[[#This Row],[PointsAgainst]]</f>
        <v>-8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0.38053798992440452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-11.21061876822592</v>
      </c>
      <c r="AB84" s="4">
        <f>Games[[#This Row],[PreGmRate]]+Games[[#This Row],[RatingChange]]</f>
        <v>1496.2121285829373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38875</v>
      </c>
      <c r="B85" s="2">
        <v>2006</v>
      </c>
      <c r="C85" s="2">
        <f>COUNTIFS(Games[Team],Games[[#This Row],[Team]],Games[Season],Games[[#This Row],[Season]],Games[Date],"&lt;=" &amp; Games[[#This Row],[Date]])</f>
        <v>7</v>
      </c>
      <c r="D85" s="2" t="s">
        <v>23</v>
      </c>
      <c r="E85" s="2" t="s">
        <v>29</v>
      </c>
      <c r="F85" s="1" t="s">
        <v>70</v>
      </c>
      <c r="G85" s="1" t="s">
        <v>75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1</v>
      </c>
      <c r="L85" s="2">
        <f>Games[[#This Row],[OppDaysOff]]-Games[[#This Row],[DaysOff]]</f>
        <v>-1</v>
      </c>
      <c r="M85" s="1">
        <f>MAX(-16, MIN(16, Games[[#This Row],[RestDiff]]*8))</f>
        <v>8</v>
      </c>
      <c r="N85" s="1">
        <f>MAX(-16, MIN(16, Games[[#This Row],[OppRestDiff]]*8))</f>
        <v>-8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1482.8968016074145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1507.4227473511633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0.60693902503239205</v>
      </c>
      <c r="R85" s="1">
        <v>86</v>
      </c>
      <c r="S85" s="1">
        <v>78</v>
      </c>
      <c r="T85" s="1">
        <v>0</v>
      </c>
      <c r="U85" s="1">
        <f>Games[[#This Row],[PointsFor]]-Games[[#This Row],[PointsAgainst]]</f>
        <v>8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0.38053798992440452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11.21061876822592</v>
      </c>
      <c r="AB85" s="4">
        <f>Games[[#This Row],[PreGmRate]]+Games[[#This Row],[RatingChange]]</f>
        <v>1494.1074203756405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38875</v>
      </c>
      <c r="B86" s="2">
        <v>2006</v>
      </c>
      <c r="C86" s="2">
        <f>COUNTIFS(Games[Team],Games[[#This Row],[Team]],Games[Season],Games[[#This Row],[Season]],Games[Date],"&lt;=" &amp; Games[[#This Row],[Date]])</f>
        <v>6</v>
      </c>
      <c r="D86" s="2" t="s">
        <v>23</v>
      </c>
      <c r="E86" s="2" t="s">
        <v>29</v>
      </c>
      <c r="F86" s="1" t="s">
        <v>86</v>
      </c>
      <c r="G86" s="1" t="s">
        <v>66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1611.8703032663084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1458.8855120233491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0.59799271948138077</v>
      </c>
      <c r="R86" s="1">
        <v>75</v>
      </c>
      <c r="S86" s="1">
        <v>60</v>
      </c>
      <c r="T86" s="1">
        <v>0</v>
      </c>
      <c r="U86" s="1">
        <f>Games[[#This Row],[PointsFor]]-Games[[#This Row],[PointsAgainst]]</f>
        <v>15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0.44598996053767082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75.099999999999994</v>
      </c>
      <c r="Z86" s="4">
        <f>Games[[#This Row],[K]]*Games[[#This Row],[POMult]]</f>
        <v>75.099999999999994</v>
      </c>
      <c r="AA86" s="4">
        <f>(Games[[#This Row],[Keff]]*Games[[#This Row],[MOVMult]])*(Games[[#This Row],[Result]]-Games[[#This Row],[ExpectedWin%]])</f>
        <v>13.464769959194086</v>
      </c>
      <c r="AB86" s="4">
        <f>Games[[#This Row],[PreGmRate]]+Games[[#This Row],[RatingChange]]</f>
        <v>1625.3350732255026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38875</v>
      </c>
      <c r="B87" s="2">
        <v>2006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66</v>
      </c>
      <c r="G87" s="1" t="s">
        <v>86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1458.8855120233491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1611.8703032663084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0.40200728051861934</v>
      </c>
      <c r="R87" s="1">
        <v>60</v>
      </c>
      <c r="S87" s="1">
        <v>75</v>
      </c>
      <c r="T87" s="1">
        <v>0</v>
      </c>
      <c r="U87" s="1">
        <f>Games[[#This Row],[PointsFor]]-Games[[#This Row],[PointsAgainst]]</f>
        <v>-15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0.44598996053767082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-13.46476995919409</v>
      </c>
      <c r="AB87" s="4">
        <f>Games[[#This Row],[PreGmRate]]+Games[[#This Row],[RatingChange]]</f>
        <v>1445.4207420641549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38875</v>
      </c>
      <c r="B88" s="2">
        <v>2006</v>
      </c>
      <c r="C88" s="2">
        <f>COUNTIFS(Games[Team],Games[[#This Row],[Team]],Games[Season],Games[[#This Row],[Season]],Games[Date],"&lt;=" &amp; Games[[#This Row],[Date]])</f>
        <v>7</v>
      </c>
      <c r="D88" s="2" t="s">
        <v>23</v>
      </c>
      <c r="E88" s="2" t="s">
        <v>29</v>
      </c>
      <c r="F88" s="1" t="s">
        <v>87</v>
      </c>
      <c r="G88" s="1" t="s">
        <v>81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1427.7933029946757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1516.852174111252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0.2696878350908733</v>
      </c>
      <c r="R88" s="1">
        <v>73</v>
      </c>
      <c r="S88" s="1">
        <v>86</v>
      </c>
      <c r="T88" s="1">
        <v>0</v>
      </c>
      <c r="U88" s="1">
        <f>Games[[#This Row],[PointsFor]]-Games[[#This Row],[PointsAgainst]]</f>
        <v>-13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0.43943106049631608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-8.8822653927015089</v>
      </c>
      <c r="AB88" s="4">
        <f>Games[[#This Row],[PreGmRate]]+Games[[#This Row],[RatingChange]]</f>
        <v>1418.9110376019742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38875</v>
      </c>
      <c r="B89" s="2">
        <v>2006</v>
      </c>
      <c r="C89" s="2">
        <f>COUNTIFS(Games[Team],Games[[#This Row],[Team]],Games[Season],Games[[#This Row],[Season]],Games[Date],"&lt;=" &amp; Games[[#This Row],[Date]])</f>
        <v>7</v>
      </c>
      <c r="D89" s="2" t="s">
        <v>23</v>
      </c>
      <c r="E89" s="2" t="s">
        <v>29</v>
      </c>
      <c r="F89" s="1" t="s">
        <v>81</v>
      </c>
      <c r="G89" s="1" t="s">
        <v>87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1516.852174111252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1427.7933029946757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0.73031216490912665</v>
      </c>
      <c r="R89" s="1">
        <v>86</v>
      </c>
      <c r="S89" s="1">
        <v>73</v>
      </c>
      <c r="T89" s="1">
        <v>0</v>
      </c>
      <c r="U89" s="1">
        <f>Games[[#This Row],[PointsFor]]-Games[[#This Row],[PointsAgainst]]</f>
        <v>13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0.43943106049631608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74.95</v>
      </c>
      <c r="Z89" s="4">
        <f>Games[[#This Row],[K]]*Games[[#This Row],[POMult]]</f>
        <v>74.95</v>
      </c>
      <c r="AA89" s="4">
        <f>(Games[[#This Row],[Keff]]*Games[[#This Row],[MOVMult]])*(Games[[#This Row],[Result]]-Games[[#This Row],[ExpectedWin%]])</f>
        <v>8.8822653927015107</v>
      </c>
      <c r="AB89" s="4">
        <f>Games[[#This Row],[PreGmRate]]+Games[[#This Row],[RatingChange]]</f>
        <v>1525.7344395039536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38877</v>
      </c>
      <c r="B90" s="2">
        <v>2006</v>
      </c>
      <c r="C90" s="2">
        <f>COUNTIFS(Games[Team],Games[[#This Row],[Team]],Games[Season],Games[[#This Row],[Season]],Games[Date],"&lt;=" &amp; Games[[#This Row],[Date]])</f>
        <v>8</v>
      </c>
      <c r="D90" s="2" t="s">
        <v>23</v>
      </c>
      <c r="E90" s="2" t="s">
        <v>29</v>
      </c>
      <c r="F90" s="1" t="s">
        <v>79</v>
      </c>
      <c r="G90" s="1" t="s">
        <v>64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0" s="2">
        <f>Games[[#This Row],[DaysOff]]-Games[[#This Row],[OppDaysOff]]</f>
        <v>-4</v>
      </c>
      <c r="L90" s="2">
        <f>Games[[#This Row],[OppDaysOff]]-Games[[#This Row],[DaysOff]]</f>
        <v>4</v>
      </c>
      <c r="M90" s="1">
        <f>MAX(-16, MIN(16, Games[[#This Row],[RestDiff]]*8))</f>
        <v>-16</v>
      </c>
      <c r="N90" s="1">
        <f>MAX(-16, MIN(16, Games[[#This Row],[OppRestDiff]]*8))</f>
        <v>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1567.2032538289436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1387.923570921718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0.5900729935621023</v>
      </c>
      <c r="R90" s="1">
        <v>59</v>
      </c>
      <c r="S90" s="1">
        <v>70</v>
      </c>
      <c r="T90" s="1">
        <v>0</v>
      </c>
      <c r="U90" s="1">
        <f>Games[[#This Row],[PointsFor]]-Games[[#This Row],[PointsAgainst]]</f>
        <v>-11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0.38266580074366202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-16.889896442483138</v>
      </c>
      <c r="AB90" s="4">
        <f>Games[[#This Row],[PreGmRate]]+Games[[#This Row],[RatingChange]]</f>
        <v>1550.3133573864604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38877</v>
      </c>
      <c r="B91" s="2">
        <v>2006</v>
      </c>
      <c r="C91" s="2">
        <f>COUNTIFS(Games[Team],Games[[#This Row],[Team]],Games[Season],Games[[#This Row],[Season]],Games[Date],"&lt;=" &amp; Games[[#This Row],[Date]])</f>
        <v>6</v>
      </c>
      <c r="D91" s="2" t="s">
        <v>23</v>
      </c>
      <c r="E91" s="2" t="s">
        <v>29</v>
      </c>
      <c r="F91" s="1" t="s">
        <v>64</v>
      </c>
      <c r="G91" s="1" t="s">
        <v>79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5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4</v>
      </c>
      <c r="L91" s="2">
        <f>Games[[#This Row],[OppDaysOff]]-Games[[#This Row],[DaysOff]]</f>
        <v>-4</v>
      </c>
      <c r="M91" s="1">
        <f>MAX(-16, MIN(16, Games[[#This Row],[RestDiff]]*8))</f>
        <v>16</v>
      </c>
      <c r="N91" s="1">
        <f>MAX(-16, MIN(16, Games[[#This Row],[OppRestDiff]]*8))</f>
        <v>-16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1387.923570921718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1567.2032538289436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0.4099270064378977</v>
      </c>
      <c r="R91" s="1">
        <v>70</v>
      </c>
      <c r="S91" s="1">
        <v>59</v>
      </c>
      <c r="T91" s="1">
        <v>0</v>
      </c>
      <c r="U91" s="1">
        <f>Games[[#This Row],[PointsFor]]-Games[[#This Row],[PointsAgainst]]</f>
        <v>11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0.38266580074366202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16.957636668856733</v>
      </c>
      <c r="AB91" s="4">
        <f>Games[[#This Row],[PreGmRate]]+Games[[#This Row],[RatingChange]]</f>
        <v>1404.8812075905748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38877</v>
      </c>
      <c r="B92" s="2">
        <v>2006</v>
      </c>
      <c r="C92" s="2">
        <f>COUNTIFS(Games[Team],Games[[#This Row],[Team]],Games[Season],Games[[#This Row],[Season]],Games[Date],"&lt;=" &amp; Games[[#This Row],[Date]])</f>
        <v>8</v>
      </c>
      <c r="D92" s="2" t="s">
        <v>23</v>
      </c>
      <c r="E92" s="2" t="s">
        <v>29</v>
      </c>
      <c r="F92" s="1" t="s">
        <v>81</v>
      </c>
      <c r="G92" s="1" t="s">
        <v>86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1525.7344395039536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1625.3350732255026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0.25790418880946681</v>
      </c>
      <c r="R92" s="1">
        <v>81</v>
      </c>
      <c r="S92" s="1">
        <v>85</v>
      </c>
      <c r="T92" s="1">
        <v>0</v>
      </c>
      <c r="U92" s="1">
        <f>Games[[#This Row],[PointsFor]]-Games[[#This Row],[PointsAgainst]]</f>
        <v>-4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0.28756471194883082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-5.5474779536512608</v>
      </c>
      <c r="AB92" s="4">
        <f>Games[[#This Row],[PreGmRate]]+Games[[#This Row],[RatingChange]]</f>
        <v>1520.1869615503024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38877</v>
      </c>
      <c r="B93" s="2">
        <v>2006</v>
      </c>
      <c r="C93" s="2">
        <f>COUNTIFS(Games[Team],Games[[#This Row],[Team]],Games[Season],Games[[#This Row],[Season]],Games[Date],"&lt;=" &amp; Games[[#This Row],[Date]])</f>
        <v>7</v>
      </c>
      <c r="D93" s="2" t="s">
        <v>23</v>
      </c>
      <c r="E93" s="2" t="s">
        <v>29</v>
      </c>
      <c r="F93" s="1" t="s">
        <v>86</v>
      </c>
      <c r="G93" s="1" t="s">
        <v>81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1625.3350732255026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1525.7344395039536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0.74209581119053325</v>
      </c>
      <c r="R93" s="1">
        <v>85</v>
      </c>
      <c r="S93" s="1">
        <v>81</v>
      </c>
      <c r="T93" s="1">
        <v>0</v>
      </c>
      <c r="U93" s="1">
        <f>Games[[#This Row],[PointsFor]]-Games[[#This Row],[PointsAgainst]]</f>
        <v>4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0.28756471194883082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5.558602575216069</v>
      </c>
      <c r="AB93" s="4">
        <f>Games[[#This Row],[PreGmRate]]+Games[[#This Row],[RatingChange]]</f>
        <v>1630.8936758007187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38877</v>
      </c>
      <c r="B94" s="2">
        <v>2006</v>
      </c>
      <c r="C94" s="2">
        <f>COUNTIFS(Games[Team],Games[[#This Row],[Team]],Games[Season],Games[[#This Row],[Season]],Games[Date],"&lt;=" &amp; Games[[#This Row],[Date]])</f>
        <v>7</v>
      </c>
      <c r="D94" s="2" t="s">
        <v>23</v>
      </c>
      <c r="E94" s="2" t="s">
        <v>29</v>
      </c>
      <c r="F94" s="1" t="s">
        <v>66</v>
      </c>
      <c r="G94" s="1" t="s">
        <v>2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-1</v>
      </c>
      <c r="L94" s="2">
        <f>Games[[#This Row],[OppDaysOff]]-Games[[#This Row],[DaysOff]]</f>
        <v>1</v>
      </c>
      <c r="M94" s="1">
        <f>MAX(-16, MIN(16, Games[[#This Row],[RestDiff]]*8))</f>
        <v>-8</v>
      </c>
      <c r="N94" s="1">
        <f>MAX(-16, MIN(16, Games[[#This Row],[OppRestDiff]]*8))</f>
        <v>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1445.4207420641549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1569.301427649918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0.21606262822121866</v>
      </c>
      <c r="R94" s="1">
        <v>62</v>
      </c>
      <c r="S94" s="1">
        <v>97</v>
      </c>
      <c r="T94" s="1">
        <v>0</v>
      </c>
      <c r="U94" s="1">
        <f>Games[[#This Row],[PointsFor]]-Games[[#This Row],[PointsAgainst]]</f>
        <v>-35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0.69085538735688623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-11.187638901948114</v>
      </c>
      <c r="AB94" s="4">
        <f>Games[[#This Row],[PreGmRate]]+Games[[#This Row],[RatingChange]]</f>
        <v>1434.2331031622068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38877</v>
      </c>
      <c r="B95" s="2">
        <v>2006</v>
      </c>
      <c r="C95" s="2">
        <f>COUNTIFS(Games[Team],Games[[#This Row],[Team]],Games[Season],Games[[#This Row],[Season]],Games[Date],"&lt;=" &amp; Games[[#This Row],[Date]])</f>
        <v>8</v>
      </c>
      <c r="D95" s="2" t="s">
        <v>23</v>
      </c>
      <c r="E95" s="2" t="s">
        <v>29</v>
      </c>
      <c r="F95" s="1" t="s">
        <v>2</v>
      </c>
      <c r="G95" s="1" t="s">
        <v>66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1</v>
      </c>
      <c r="L95" s="2">
        <f>Games[[#This Row],[OppDaysOff]]-Games[[#This Row],[DaysOff]]</f>
        <v>-1</v>
      </c>
      <c r="M95" s="1">
        <f>MAX(-16, MIN(16, Games[[#This Row],[RestDiff]]*8))</f>
        <v>8</v>
      </c>
      <c r="N95" s="1">
        <f>MAX(-16, MIN(16, Games[[#This Row],[OppRestDiff]]*8))</f>
        <v>-8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1569.301427649918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1445.4207420641549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0.78393737177878142</v>
      </c>
      <c r="R95" s="1">
        <v>97</v>
      </c>
      <c r="S95" s="1">
        <v>62</v>
      </c>
      <c r="T95" s="1">
        <v>0</v>
      </c>
      <c r="U95" s="1">
        <f>Games[[#This Row],[PointsFor]]-Games[[#This Row],[PointsAgainst]]</f>
        <v>35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0.69085538735688623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11.165248697341141</v>
      </c>
      <c r="AB95" s="4">
        <f>Games[[#This Row],[PreGmRate]]+Games[[#This Row],[RatingChange]]</f>
        <v>1580.4666763472592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38877</v>
      </c>
      <c r="B96" s="2">
        <v>2006</v>
      </c>
      <c r="C96" s="2">
        <f>COUNTIFS(Games[Team],Games[[#This Row],[Team]],Games[Season],Games[[#This Row],[Season]],Games[Date],"&lt;=" &amp; Games[[#This Row],[Date]])</f>
        <v>8</v>
      </c>
      <c r="D96" s="2" t="s">
        <v>23</v>
      </c>
      <c r="E96" s="2" t="s">
        <v>29</v>
      </c>
      <c r="F96" s="1" t="s">
        <v>87</v>
      </c>
      <c r="G96" s="1" t="s">
        <v>70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1418.9110376019742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1494.1074203756405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0.28569034494698536</v>
      </c>
      <c r="R96" s="1">
        <v>65</v>
      </c>
      <c r="S96" s="1">
        <v>73</v>
      </c>
      <c r="T96" s="1">
        <v>0</v>
      </c>
      <c r="U96" s="1">
        <f>Games[[#This Row],[PointsFor]]-Games[[#This Row],[PointsAgainst]]</f>
        <v>-8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0.3654171610729175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-7.808832378775949</v>
      </c>
      <c r="AB96" s="4">
        <f>Games[[#This Row],[PreGmRate]]+Games[[#This Row],[RatingChange]]</f>
        <v>1411.1022052231981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38877</v>
      </c>
      <c r="B97" s="2">
        <v>2006</v>
      </c>
      <c r="C97" s="2">
        <f>COUNTIFS(Games[Team],Games[[#This Row],[Team]],Games[Season],Games[[#This Row],[Season]],Games[Date],"&lt;=" &amp; Games[[#This Row],[Date]])</f>
        <v>8</v>
      </c>
      <c r="D97" s="2" t="s">
        <v>23</v>
      </c>
      <c r="E97" s="2" t="s">
        <v>29</v>
      </c>
      <c r="F97" s="1" t="s">
        <v>70</v>
      </c>
      <c r="G97" s="1" t="s">
        <v>87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1494.1074203756405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1418.9110376019742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0.71430965505301469</v>
      </c>
      <c r="R97" s="1">
        <v>73</v>
      </c>
      <c r="S97" s="1">
        <v>65</v>
      </c>
      <c r="T97" s="1">
        <v>0</v>
      </c>
      <c r="U97" s="1">
        <f>Games[[#This Row],[PointsFor]]-Games[[#This Row],[PointsAgainst]]</f>
        <v>8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0.3654171610729175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7.8088323787759473</v>
      </c>
      <c r="AB97" s="4">
        <f>Games[[#This Row],[PreGmRate]]+Games[[#This Row],[RatingChange]]</f>
        <v>1501.9162527544165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38877</v>
      </c>
      <c r="B98" s="2">
        <v>2006</v>
      </c>
      <c r="C98" s="2">
        <f>COUNTIFS(Games[Team],Games[[#This Row],[Team]],Games[Season],Games[[#This Row],[Season]],Games[Date],"&lt;=" &amp; Games[[#This Row],[Date]])</f>
        <v>8</v>
      </c>
      <c r="D98" s="2" t="s">
        <v>23</v>
      </c>
      <c r="E98" s="2" t="s">
        <v>29</v>
      </c>
      <c r="F98" s="1" t="s">
        <v>75</v>
      </c>
      <c r="G98" s="1" t="s">
        <v>44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-1</v>
      </c>
      <c r="L98" s="2">
        <f>Games[[#This Row],[OppDaysOff]]-Games[[#This Row],[DaysOff]]</f>
        <v>1</v>
      </c>
      <c r="M98" s="1">
        <f>MAX(-16, MIN(16, Games[[#This Row],[RestDiff]]*8))</f>
        <v>-8</v>
      </c>
      <c r="N98" s="1">
        <f>MAX(-16, MIN(16, Games[[#This Row],[OppRestDiff]]*8))</f>
        <v>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1496.2121285829373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1459.8817564348403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0.4093841521420224</v>
      </c>
      <c r="R98" s="1">
        <v>79</v>
      </c>
      <c r="S98" s="1">
        <v>93</v>
      </c>
      <c r="T98" s="1">
        <v>0</v>
      </c>
      <c r="U98" s="1">
        <f>Games[[#This Row],[PointsFor]]-Games[[#This Row],[PointsAgainst]]</f>
        <v>-14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0.47327942225043895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-14.492731506318808</v>
      </c>
      <c r="AB98" s="4">
        <f>Games[[#This Row],[PreGmRate]]+Games[[#This Row],[RatingChange]]</f>
        <v>1481.7193970766186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38877</v>
      </c>
      <c r="B99" s="2">
        <v>2006</v>
      </c>
      <c r="C99" s="2">
        <f>COUNTIFS(Games[Team],Games[[#This Row],[Team]],Games[Season],Games[[#This Row],[Season]],Games[Date],"&lt;=" &amp; Games[[#This Row],[Date]])</f>
        <v>6</v>
      </c>
      <c r="D99" s="2" t="s">
        <v>23</v>
      </c>
      <c r="E99" s="2" t="s">
        <v>29</v>
      </c>
      <c r="F99" s="1" t="s">
        <v>44</v>
      </c>
      <c r="G99" s="1" t="s">
        <v>75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1</v>
      </c>
      <c r="L99" s="2">
        <f>Games[[#This Row],[OppDaysOff]]-Games[[#This Row],[DaysOff]]</f>
        <v>-1</v>
      </c>
      <c r="M99" s="1">
        <f>MAX(-16, MIN(16, Games[[#This Row],[RestDiff]]*8))</f>
        <v>8</v>
      </c>
      <c r="N99" s="1">
        <f>MAX(-16, MIN(16, Games[[#This Row],[OppRestDiff]]*8))</f>
        <v>-8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1459.8817564348403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1496.2121285829373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0.59061584785797772</v>
      </c>
      <c r="R99" s="1">
        <v>93</v>
      </c>
      <c r="S99" s="1">
        <v>79</v>
      </c>
      <c r="T99" s="1">
        <v>0</v>
      </c>
      <c r="U99" s="1">
        <f>Games[[#This Row],[PointsFor]]-Games[[#This Row],[PointsAgainst]]</f>
        <v>14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0.47327942225043895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75.099999999999994</v>
      </c>
      <c r="Z99" s="4">
        <f>Games[[#This Row],[K]]*Games[[#This Row],[POMult]]</f>
        <v>75.099999999999994</v>
      </c>
      <c r="AA99" s="4">
        <f>(Games[[#This Row],[Keff]]*Games[[#This Row],[MOVMult]])*(Games[[#This Row],[Result]]-Games[[#This Row],[ExpectedWin%]])</f>
        <v>14.550857434820083</v>
      </c>
      <c r="AB99" s="4">
        <f>Games[[#This Row],[PreGmRate]]+Games[[#This Row],[RatingChange]]</f>
        <v>1474.4326138696604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38877</v>
      </c>
      <c r="B100" s="2">
        <v>2006</v>
      </c>
      <c r="C100" s="2">
        <f>COUNTIFS(Games[Team],Games[[#This Row],[Team]],Games[Season],Games[[#This Row],[Season]],Games[Date],"&lt;=" &amp; Games[[#This Row],[Date]])</f>
        <v>7</v>
      </c>
      <c r="D100" s="2" t="s">
        <v>23</v>
      </c>
      <c r="E100" s="2" t="s">
        <v>29</v>
      </c>
      <c r="F100" s="1" t="s">
        <v>77</v>
      </c>
      <c r="G100" s="1" t="s">
        <v>84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1457.2078681446433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1452.0461983636505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0.38845055748368507</v>
      </c>
      <c r="R100" s="1">
        <v>86</v>
      </c>
      <c r="S100" s="1">
        <v>79</v>
      </c>
      <c r="T100" s="1">
        <v>0</v>
      </c>
      <c r="U100" s="1">
        <f>Games[[#This Row],[PointsFor]]-Games[[#This Row],[PointsAgainst]]</f>
        <v>7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0.36852201502997772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74.95</v>
      </c>
      <c r="Z100" s="4">
        <f>Games[[#This Row],[K]]*Games[[#This Row],[POMult]]</f>
        <v>74.95</v>
      </c>
      <c r="AA100" s="4">
        <f>(Games[[#This Row],[Keff]]*Games[[#This Row],[MOVMult]])*(Games[[#This Row],[Result]]-Games[[#This Row],[ExpectedWin%]])</f>
        <v>16.891438991850567</v>
      </c>
      <c r="AB100" s="4">
        <f>Games[[#This Row],[PreGmRate]]+Games[[#This Row],[RatingChange]]</f>
        <v>1474.0993071364937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38877</v>
      </c>
      <c r="B101" s="2">
        <v>2006</v>
      </c>
      <c r="C101" s="2">
        <f>COUNTIFS(Games[Team],Games[[#This Row],[Team]],Games[Season],Games[[#This Row],[Season]],Games[Date],"&lt;=" &amp; Games[[#This Row],[Date]])</f>
        <v>7</v>
      </c>
      <c r="D101" s="2" t="s">
        <v>23</v>
      </c>
      <c r="E101" s="2" t="s">
        <v>29</v>
      </c>
      <c r="F101" s="1" t="s">
        <v>84</v>
      </c>
      <c r="G101" s="1" t="s">
        <v>77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1452.0461983636505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1457.2078681446433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0.61154944251631482</v>
      </c>
      <c r="R101" s="1">
        <v>79</v>
      </c>
      <c r="S101" s="1">
        <v>86</v>
      </c>
      <c r="T101" s="1">
        <v>0</v>
      </c>
      <c r="U101" s="1">
        <f>Games[[#This Row],[PointsFor]]-Games[[#This Row],[PointsAgainst]]</f>
        <v>-7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0.36852201502997772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-16.891438991850563</v>
      </c>
      <c r="AB101" s="4">
        <f>Games[[#This Row],[PreGmRate]]+Games[[#This Row],[RatingChange]]</f>
        <v>1435.1547593718001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38878</v>
      </c>
      <c r="B102" s="2">
        <v>2006</v>
      </c>
      <c r="C102" s="2">
        <f>COUNTIFS(Games[Team],Games[[#This Row],[Team]],Games[Season],Games[[#This Row],[Season]],Games[Date],"&lt;=" &amp; Games[[#This Row],[Date]])</f>
        <v>9</v>
      </c>
      <c r="D102" s="2" t="s">
        <v>23</v>
      </c>
      <c r="E102" s="2" t="s">
        <v>29</v>
      </c>
      <c r="F102" s="1" t="s">
        <v>87</v>
      </c>
      <c r="G102" s="1" t="s">
        <v>45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-3</v>
      </c>
      <c r="L102" s="2">
        <f>Games[[#This Row],[OppDaysOff]]-Games[[#This Row],[DaysOff]]</f>
        <v>3</v>
      </c>
      <c r="M102" s="1">
        <f>MAX(-16, MIN(16, Games[[#This Row],[RestDiff]]*8))</f>
        <v>-16</v>
      </c>
      <c r="N102" s="1">
        <f>MAX(-16, MIN(16, Games[[#This Row],[OppRestDiff]]*8))</f>
        <v>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1411.1022052231981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1581.7477989701435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0.16110020837401937</v>
      </c>
      <c r="R102" s="1">
        <v>70</v>
      </c>
      <c r="S102" s="1">
        <v>80</v>
      </c>
      <c r="T102" s="1">
        <v>0</v>
      </c>
      <c r="U102" s="1">
        <f>Games[[#This Row],[PointsFor]]-Games[[#This Row],[PointsAgainst]]</f>
        <v>-10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0.37044998467523965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-4.4550798798468376</v>
      </c>
      <c r="AB102" s="4">
        <f>Games[[#This Row],[PreGmRate]]+Games[[#This Row],[RatingChange]]</f>
        <v>1406.6471253433513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38878</v>
      </c>
      <c r="B103" s="2">
        <v>2006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45</v>
      </c>
      <c r="G103" s="1" t="s">
        <v>87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3" s="2">
        <f>Games[[#This Row],[DaysOff]]-Games[[#This Row],[OppDaysOff]]</f>
        <v>3</v>
      </c>
      <c r="L103" s="2">
        <f>Games[[#This Row],[OppDaysOff]]-Games[[#This Row],[DaysOff]]</f>
        <v>-3</v>
      </c>
      <c r="M103" s="1">
        <f>MAX(-16, MIN(16, Games[[#This Row],[RestDiff]]*8))</f>
        <v>16</v>
      </c>
      <c r="N103" s="1">
        <f>MAX(-16, MIN(16, Games[[#This Row],[OppRestDiff]]*8))</f>
        <v>-16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1581.7477989701435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1411.1022052231981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0.83889979162598061</v>
      </c>
      <c r="R103" s="1">
        <v>80</v>
      </c>
      <c r="S103" s="1">
        <v>70</v>
      </c>
      <c r="T103" s="1">
        <v>0</v>
      </c>
      <c r="U103" s="1">
        <f>Games[[#This Row],[PointsFor]]-Games[[#This Row],[PointsAgainst]]</f>
        <v>10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0.37044998467523965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4.4729837507638379</v>
      </c>
      <c r="AB103" s="4">
        <f>Games[[#This Row],[PreGmRate]]+Games[[#This Row],[RatingChange]]</f>
        <v>1586.2207827209074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38878</v>
      </c>
      <c r="B104" s="2">
        <v>2006</v>
      </c>
      <c r="C104" s="2">
        <f>COUNTIFS(Games[Team],Games[[#This Row],[Team]],Games[Season],Games[[#This Row],[Season]],Games[Date],"&lt;=" &amp; Games[[#This Row],[Date]])</f>
        <v>8</v>
      </c>
      <c r="D104" s="2" t="s">
        <v>23</v>
      </c>
      <c r="E104" s="2" t="s">
        <v>29</v>
      </c>
      <c r="F104" s="1" t="s">
        <v>66</v>
      </c>
      <c r="G104" s="1" t="s">
        <v>84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1434.2331031622068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1435.1547593718001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0.38016490466781894</v>
      </c>
      <c r="R104" s="1">
        <v>71</v>
      </c>
      <c r="S104" s="1">
        <v>67</v>
      </c>
      <c r="T104" s="1">
        <v>0</v>
      </c>
      <c r="U104" s="1">
        <f>Games[[#This Row],[PointsFor]]-Games[[#This Row],[PointsAgainst]]</f>
        <v>4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0.31119372354746772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14.428081589376212</v>
      </c>
      <c r="AB104" s="4">
        <f>Games[[#This Row],[PreGmRate]]+Games[[#This Row],[RatingChange]]</f>
        <v>1448.6611847515831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38878</v>
      </c>
      <c r="B105" s="2">
        <v>2006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84</v>
      </c>
      <c r="G105" s="1" t="s">
        <v>66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1435.1547593718001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1434.2331031622068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0.61983509533218106</v>
      </c>
      <c r="R105" s="1">
        <v>67</v>
      </c>
      <c r="S105" s="1">
        <v>71</v>
      </c>
      <c r="T105" s="1">
        <v>0</v>
      </c>
      <c r="U105" s="1">
        <f>Games[[#This Row],[PointsFor]]-Games[[#This Row],[PointsAgainst]]</f>
        <v>-4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0.31119372354746772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-14.428081589376212</v>
      </c>
      <c r="AB105" s="4">
        <f>Games[[#This Row],[PreGmRate]]+Games[[#This Row],[RatingChange]]</f>
        <v>1420.7266777824238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38879</v>
      </c>
      <c r="B106" s="2">
        <v>2006</v>
      </c>
      <c r="C106" s="2">
        <f>COUNTIFS(Games[Team],Games[[#This Row],[Team]],Games[Season],Games[[#This Row],[Season]],Games[Date],"&lt;=" &amp; Games[[#This Row],[Date]])</f>
        <v>7</v>
      </c>
      <c r="D106" s="2" t="s">
        <v>23</v>
      </c>
      <c r="E106" s="2" t="s">
        <v>29</v>
      </c>
      <c r="F106" s="1" t="s">
        <v>73</v>
      </c>
      <c r="G106" s="1" t="s">
        <v>86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2</v>
      </c>
      <c r="L106" s="2">
        <f>Games[[#This Row],[OppDaysOff]]-Games[[#This Row],[DaysOff]]</f>
        <v>-2</v>
      </c>
      <c r="M106" s="1">
        <f>MAX(-16, MIN(16, Games[[#This Row],[RestDiff]]*8))</f>
        <v>16</v>
      </c>
      <c r="N106" s="1">
        <f>MAX(-16, MIN(16, Games[[#This Row],[OppRestDiff]]*8))</f>
        <v>-16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1524.1487194712313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1630.8936758007187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0.28622094399042203</v>
      </c>
      <c r="R106" s="1">
        <v>71</v>
      </c>
      <c r="S106" s="1">
        <v>85</v>
      </c>
      <c r="T106" s="1">
        <v>0</v>
      </c>
      <c r="U106" s="1">
        <f>Games[[#This Row],[PointsFor]]-Games[[#This Row],[PointsAgainst]]</f>
        <v>-14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0.44777653160758385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74.95</v>
      </c>
      <c r="Z106" s="4">
        <f>Games[[#This Row],[K]]*Games[[#This Row],[POMult]]</f>
        <v>74.95</v>
      </c>
      <c r="AA106" s="4">
        <f>(Games[[#This Row],[Keff]]*Games[[#This Row],[MOVMult]])*(Games[[#This Row],[Result]]-Games[[#This Row],[ExpectedWin%]])</f>
        <v>-9.6058184669323037</v>
      </c>
      <c r="AB106" s="4">
        <f>Games[[#This Row],[PreGmRate]]+Games[[#This Row],[RatingChange]]</f>
        <v>1514.542901004299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38879</v>
      </c>
      <c r="B107" s="2">
        <v>2006</v>
      </c>
      <c r="C107" s="2">
        <f>COUNTIFS(Games[Team],Games[[#This Row],[Team]],Games[Season],Games[[#This Row],[Season]],Games[Date],"&lt;=" &amp; Games[[#This Row],[Date]])</f>
        <v>8</v>
      </c>
      <c r="D107" s="2" t="s">
        <v>23</v>
      </c>
      <c r="E107" s="2" t="s">
        <v>29</v>
      </c>
      <c r="F107" s="1" t="s">
        <v>86</v>
      </c>
      <c r="G107" s="1" t="s">
        <v>73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7" s="2">
        <f>Games[[#This Row],[DaysOff]]-Games[[#This Row],[OppDaysOff]]</f>
        <v>-2</v>
      </c>
      <c r="L107" s="2">
        <f>Games[[#This Row],[OppDaysOff]]-Games[[#This Row],[DaysOff]]</f>
        <v>2</v>
      </c>
      <c r="M107" s="1">
        <f>MAX(-16, MIN(16, Games[[#This Row],[RestDiff]]*8))</f>
        <v>-16</v>
      </c>
      <c r="N107" s="1">
        <f>MAX(-16, MIN(16, Games[[#This Row],[OppRestDiff]]*8))</f>
        <v>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1630.8936758007187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1524.1487194712313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0.71377905600957803</v>
      </c>
      <c r="R107" s="1">
        <v>85</v>
      </c>
      <c r="S107" s="1">
        <v>71</v>
      </c>
      <c r="T107" s="1">
        <v>0</v>
      </c>
      <c r="U107" s="1">
        <f>Games[[#This Row],[PointsFor]]-Games[[#This Row],[PointsAgainst]]</f>
        <v>14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0.44777653160758385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9.5865940136962777</v>
      </c>
      <c r="AB107" s="4">
        <f>Games[[#This Row],[PreGmRate]]+Games[[#This Row],[RatingChange]]</f>
        <v>1640.4802698144149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38879</v>
      </c>
      <c r="B108" s="2">
        <v>2006</v>
      </c>
      <c r="C108" s="2">
        <f>COUNTIFS(Games[Team],Games[[#This Row],[Team]],Games[Season],Games[[#This Row],[Season]],Games[Date],"&lt;=" &amp; Games[[#This Row],[Date]])</f>
        <v>9</v>
      </c>
      <c r="D108" s="2" t="s">
        <v>23</v>
      </c>
      <c r="E108" s="2" t="s">
        <v>29</v>
      </c>
      <c r="F108" s="1" t="s">
        <v>81</v>
      </c>
      <c r="G108" s="1" t="s">
        <v>79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1520.1869615503024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1550.3133573864604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0.34142185878036579</v>
      </c>
      <c r="R108" s="1">
        <v>62</v>
      </c>
      <c r="S108" s="1">
        <v>69</v>
      </c>
      <c r="T108" s="1">
        <v>0</v>
      </c>
      <c r="U108" s="1">
        <f>Games[[#This Row],[PointsFor]]-Games[[#This Row],[PointsAgainst]]</f>
        <v>-7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0.36104306719042062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-9.2019558342088725</v>
      </c>
      <c r="AB108" s="4">
        <f>Games[[#This Row],[PreGmRate]]+Games[[#This Row],[RatingChange]]</f>
        <v>1510.9850057160936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38879</v>
      </c>
      <c r="B109" s="2">
        <v>2006</v>
      </c>
      <c r="C109" s="2">
        <f>COUNTIFS(Games[Team],Games[[#This Row],[Team]],Games[Season],Games[[#This Row],[Season]],Games[Date],"&lt;=" &amp; Games[[#This Row],[Date]])</f>
        <v>9</v>
      </c>
      <c r="D109" s="2" t="s">
        <v>23</v>
      </c>
      <c r="E109" s="2" t="s">
        <v>29</v>
      </c>
      <c r="F109" s="1" t="s">
        <v>79</v>
      </c>
      <c r="G109" s="1" t="s">
        <v>81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1550.3133573864604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1520.1869615503024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0.65857814121963421</v>
      </c>
      <c r="R109" s="1">
        <v>69</v>
      </c>
      <c r="S109" s="1">
        <v>62</v>
      </c>
      <c r="T109" s="1">
        <v>0</v>
      </c>
      <c r="U109" s="1">
        <f>Games[[#This Row],[PointsFor]]-Games[[#This Row],[PointsAgainst]]</f>
        <v>7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0.36104306719042062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9.2019558342088725</v>
      </c>
      <c r="AB109" s="4">
        <f>Games[[#This Row],[PreGmRate]]+Games[[#This Row],[RatingChange]]</f>
        <v>1559.5153132206692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38879</v>
      </c>
      <c r="B110" s="2">
        <v>2006</v>
      </c>
      <c r="C110" s="2">
        <f>COUNTIFS(Games[Team],Games[[#This Row],[Team]],Games[Season],Games[[#This Row],[Season]],Games[Date],"&lt;=" &amp; Games[[#This Row],[Date]])</f>
        <v>9</v>
      </c>
      <c r="D110" s="2" t="s">
        <v>23</v>
      </c>
      <c r="E110" s="2" t="s">
        <v>29</v>
      </c>
      <c r="F110" s="1" t="s">
        <v>2</v>
      </c>
      <c r="G110" s="1" t="s">
        <v>77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1580.4666763472592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1474.0993071364937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0.53214483506964361</v>
      </c>
      <c r="R110" s="1">
        <v>62</v>
      </c>
      <c r="S110" s="1">
        <v>75</v>
      </c>
      <c r="T110" s="1">
        <v>0</v>
      </c>
      <c r="U110" s="1">
        <f>Games[[#This Row],[PointsFor]]-Games[[#This Row],[PointsAgainst]]</f>
        <v>-13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0.43360889144005504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-17.2249449453004</v>
      </c>
      <c r="AB110" s="4">
        <f>Games[[#This Row],[PreGmRate]]+Games[[#This Row],[RatingChange]]</f>
        <v>1563.2417314019588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38879</v>
      </c>
      <c r="B111" s="2">
        <v>2006</v>
      </c>
      <c r="C111" s="2">
        <f>COUNTIFS(Games[Team],Games[[#This Row],[Team]],Games[Season],Games[[#This Row],[Season]],Games[Date],"&lt;=" &amp; Games[[#This Row],[Date]])</f>
        <v>8</v>
      </c>
      <c r="D111" s="2" t="s">
        <v>23</v>
      </c>
      <c r="E111" s="2" t="s">
        <v>29</v>
      </c>
      <c r="F111" s="1" t="s">
        <v>77</v>
      </c>
      <c r="G111" s="1" t="s">
        <v>2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1474.0993071364937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1580.4666763472592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0.46785516493035645</v>
      </c>
      <c r="R111" s="1">
        <v>75</v>
      </c>
      <c r="S111" s="1">
        <v>62</v>
      </c>
      <c r="T111" s="1">
        <v>0</v>
      </c>
      <c r="U111" s="1">
        <f>Games[[#This Row],[PointsFor]]-Games[[#This Row],[PointsAgainst]]</f>
        <v>13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0.43360889144005504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74.8</v>
      </c>
      <c r="Z111" s="4">
        <f>Games[[#This Row],[K]]*Games[[#This Row],[POMult]]</f>
        <v>74.8</v>
      </c>
      <c r="AA111" s="4">
        <f>(Games[[#This Row],[Keff]]*Games[[#This Row],[MOVMult]])*(Games[[#This Row],[Result]]-Games[[#This Row],[ExpectedWin%]])</f>
        <v>17.259556355103413</v>
      </c>
      <c r="AB111" s="4">
        <f>Games[[#This Row],[PreGmRate]]+Games[[#This Row],[RatingChange]]</f>
        <v>1491.358863491597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38881</v>
      </c>
      <c r="B112" s="2">
        <v>2006</v>
      </c>
      <c r="C112" s="2">
        <f>COUNTIFS(Games[Team],Games[[#This Row],[Team]],Games[Season],Games[[#This Row],[Season]],Games[Date],"&lt;=" &amp; Games[[#This Row],[Date]])</f>
        <v>7</v>
      </c>
      <c r="D112" s="2" t="s">
        <v>23</v>
      </c>
      <c r="E112" s="2" t="s">
        <v>29</v>
      </c>
      <c r="F112" s="1" t="s">
        <v>44</v>
      </c>
      <c r="G112" s="1" t="s">
        <v>70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1474.4326138696604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1501.9162527544165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0.34485073757808649</v>
      </c>
      <c r="R112" s="1">
        <v>84</v>
      </c>
      <c r="S112" s="1">
        <v>98</v>
      </c>
      <c r="T112" s="1">
        <v>0</v>
      </c>
      <c r="U112" s="1">
        <f>Games[[#This Row],[PointsFor]]-Games[[#This Row],[PointsAgainst]]</f>
        <v>-14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0.47669044678473077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74.95</v>
      </c>
      <c r="Z112" s="4">
        <f>Games[[#This Row],[K]]*Games[[#This Row],[POMult]]</f>
        <v>74.95</v>
      </c>
      <c r="AA112" s="4">
        <f>(Games[[#This Row],[Keff]]*Games[[#This Row],[MOVMult]])*(Games[[#This Row],[Result]]-Games[[#This Row],[ExpectedWin%]])</f>
        <v>-12.320809560152142</v>
      </c>
      <c r="AB112" s="4">
        <f>Games[[#This Row],[PreGmRate]]+Games[[#This Row],[RatingChange]]</f>
        <v>1462.1118043095082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38881</v>
      </c>
      <c r="B113" s="2">
        <v>2006</v>
      </c>
      <c r="C113" s="2">
        <f>COUNTIFS(Games[Team],Games[[#This Row],[Team]],Games[Season],Games[[#This Row],[Season]],Games[Date],"&lt;=" &amp; Games[[#This Row],[Date]])</f>
        <v>9</v>
      </c>
      <c r="D113" s="2" t="s">
        <v>23</v>
      </c>
      <c r="E113" s="2" t="s">
        <v>29</v>
      </c>
      <c r="F113" s="1" t="s">
        <v>70</v>
      </c>
      <c r="G113" s="1" t="s">
        <v>44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1501.9162527544165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1474.4326138696604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0.65514926242191351</v>
      </c>
      <c r="R113" s="1">
        <v>98</v>
      </c>
      <c r="S113" s="1">
        <v>84</v>
      </c>
      <c r="T113" s="1">
        <v>0</v>
      </c>
      <c r="U113" s="1">
        <f>Games[[#This Row],[PointsFor]]-Games[[#This Row],[PointsAgainst]]</f>
        <v>14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0.47669044678473077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74.650000000000006</v>
      </c>
      <c r="Z113" s="4">
        <f>Games[[#This Row],[K]]*Games[[#This Row],[POMult]]</f>
        <v>74.650000000000006</v>
      </c>
      <c r="AA113" s="4">
        <f>(Games[[#This Row],[Keff]]*Games[[#This Row],[MOVMult]])*(Games[[#This Row],[Result]]-Games[[#This Row],[ExpectedWin%]])</f>
        <v>12.2714934445011</v>
      </c>
      <c r="AB113" s="4">
        <f>Games[[#This Row],[PreGmRate]]+Games[[#This Row],[RatingChange]]</f>
        <v>1514.1877461989177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38881</v>
      </c>
      <c r="B114" s="2">
        <v>2006</v>
      </c>
      <c r="C114" s="2">
        <f>COUNTIFS(Games[Team],Games[[#This Row],[Team]],Games[Season],Games[[#This Row],[Season]],Games[Date],"&lt;=" &amp; Games[[#This Row],[Date]])</f>
        <v>10</v>
      </c>
      <c r="D114" s="2" t="s">
        <v>23</v>
      </c>
      <c r="E114" s="2" t="s">
        <v>29</v>
      </c>
      <c r="F114" s="1" t="s">
        <v>79</v>
      </c>
      <c r="G114" s="1" t="s">
        <v>66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-1</v>
      </c>
      <c r="L114" s="2">
        <f>Games[[#This Row],[OppDaysOff]]-Games[[#This Row],[DaysOff]]</f>
        <v>1</v>
      </c>
      <c r="M114" s="1">
        <f>MAX(-16, MIN(16, Games[[#This Row],[RestDiff]]*8))</f>
        <v>-8</v>
      </c>
      <c r="N114" s="1">
        <f>MAX(-16, MIN(16, Games[[#This Row],[OppRestDiff]]*8))</f>
        <v>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1559.5153132206692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1448.6611847515831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0.51561526676960945</v>
      </c>
      <c r="R114" s="1">
        <v>80</v>
      </c>
      <c r="S114" s="1">
        <v>78</v>
      </c>
      <c r="T114" s="1">
        <v>1</v>
      </c>
      <c r="U114" s="1">
        <f>Games[[#This Row],[PointsFor]]-Games[[#This Row],[PointsAgainst]]</f>
        <v>2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0.2206718659171277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74.5</v>
      </c>
      <c r="Z114" s="4">
        <f>Games[[#This Row],[K]]*Games[[#This Row],[POMult]]</f>
        <v>74.5</v>
      </c>
      <c r="AA114" s="4">
        <f>(Games[[#This Row],[Keff]]*Games[[#This Row],[MOVMult]])*(Games[[#This Row],[Result]]-Games[[#This Row],[ExpectedWin%]])</f>
        <v>7.9633111763271707</v>
      </c>
      <c r="AB114" s="4">
        <f>Games[[#This Row],[PreGmRate]]+Games[[#This Row],[RatingChange]]</f>
        <v>1567.4786243969963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38881</v>
      </c>
      <c r="B115" s="2">
        <v>2006</v>
      </c>
      <c r="C115" s="2">
        <f>COUNTIFS(Games[Team],Games[[#This Row],[Team]],Games[Season],Games[[#This Row],[Season]],Games[Date],"&lt;=" &amp; Games[[#This Row],[Date]])</f>
        <v>9</v>
      </c>
      <c r="D115" s="2" t="s">
        <v>23</v>
      </c>
      <c r="E115" s="2" t="s">
        <v>29</v>
      </c>
      <c r="F115" s="1" t="s">
        <v>66</v>
      </c>
      <c r="G115" s="1" t="s">
        <v>79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1</v>
      </c>
      <c r="L115" s="2">
        <f>Games[[#This Row],[OppDaysOff]]-Games[[#This Row],[DaysOff]]</f>
        <v>-1</v>
      </c>
      <c r="M115" s="1">
        <f>MAX(-16, MIN(16, Games[[#This Row],[RestDiff]]*8))</f>
        <v>8</v>
      </c>
      <c r="N115" s="1">
        <f>MAX(-16, MIN(16, Games[[#This Row],[OppRestDiff]]*8))</f>
        <v>-8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1448.6611847515831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1559.5153132206692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0.48438473323039055</v>
      </c>
      <c r="R115" s="1">
        <v>78</v>
      </c>
      <c r="S115" s="1">
        <v>80</v>
      </c>
      <c r="T115" s="1">
        <v>1</v>
      </c>
      <c r="U115" s="1">
        <f>Games[[#This Row],[PointsFor]]-Games[[#This Row],[PointsAgainst]]</f>
        <v>-2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0.2206718659171277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74.650000000000006</v>
      </c>
      <c r="Z115" s="4">
        <f>Games[[#This Row],[K]]*Games[[#This Row],[POMult]]</f>
        <v>74.650000000000006</v>
      </c>
      <c r="AA115" s="4">
        <f>(Games[[#This Row],[Keff]]*Games[[#This Row],[MOVMult]])*(Games[[#This Row],[Result]]-Games[[#This Row],[ExpectedWin%]])</f>
        <v>-7.9793446887627288</v>
      </c>
      <c r="AB115" s="4">
        <f>Games[[#This Row],[PreGmRate]]+Games[[#This Row],[RatingChange]]</f>
        <v>1440.6818400628204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38881</v>
      </c>
      <c r="B116" s="2">
        <v>2006</v>
      </c>
      <c r="C116" s="2">
        <f>COUNTIFS(Games[Team],Games[[#This Row],[Team]],Games[Season],Games[[#This Row],[Season]],Games[Date],"&lt;=" &amp; Games[[#This Row],[Date]])</f>
        <v>7</v>
      </c>
      <c r="D116" s="2" t="s">
        <v>23</v>
      </c>
      <c r="E116" s="2" t="s">
        <v>29</v>
      </c>
      <c r="F116" s="1" t="s">
        <v>64</v>
      </c>
      <c r="G116" s="1" t="s">
        <v>73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2</v>
      </c>
      <c r="L116" s="2">
        <f>Games[[#This Row],[OppDaysOff]]-Games[[#This Row],[DaysOff]]</f>
        <v>-2</v>
      </c>
      <c r="M116" s="1">
        <f>MAX(-16, MIN(16, Games[[#This Row],[RestDiff]]*8))</f>
        <v>16</v>
      </c>
      <c r="N116" s="1">
        <f>MAX(-16, MIN(16, Games[[#This Row],[OppRestDiff]]*8))</f>
        <v>-16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1404.8812075905748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1514.542901004299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0.28280310206426529</v>
      </c>
      <c r="R116" s="1">
        <v>70</v>
      </c>
      <c r="S116" s="1">
        <v>87</v>
      </c>
      <c r="T116" s="1">
        <v>0</v>
      </c>
      <c r="U116" s="1">
        <f>Games[[#This Row],[PointsFor]]-Games[[#This Row],[PointsAgainst]]</f>
        <v>-17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0.48785918234577064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74.95</v>
      </c>
      <c r="Z116" s="4">
        <f>Games[[#This Row],[K]]*Games[[#This Row],[POMult]]</f>
        <v>74.95</v>
      </c>
      <c r="AA116" s="4">
        <f>(Games[[#This Row],[Keff]]*Games[[#This Row],[MOVMult]])*(Games[[#This Row],[Result]]-Games[[#This Row],[ExpectedWin%]])</f>
        <v>-10.340708355837103</v>
      </c>
      <c r="AB116" s="4">
        <f>Games[[#This Row],[PreGmRate]]+Games[[#This Row],[RatingChange]]</f>
        <v>1394.5404992347378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38881</v>
      </c>
      <c r="B117" s="2">
        <v>2006</v>
      </c>
      <c r="C117" s="2">
        <f>COUNTIFS(Games[Team],Games[[#This Row],[Team]],Games[Season],Games[[#This Row],[Season]],Games[Date],"&lt;=" &amp; Games[[#This Row],[Date]])</f>
        <v>8</v>
      </c>
      <c r="D117" s="2" t="s">
        <v>23</v>
      </c>
      <c r="E117" s="2" t="s">
        <v>29</v>
      </c>
      <c r="F117" s="1" t="s">
        <v>73</v>
      </c>
      <c r="G117" s="1" t="s">
        <v>64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7" s="2">
        <f>Games[[#This Row],[DaysOff]]-Games[[#This Row],[OppDaysOff]]</f>
        <v>-2</v>
      </c>
      <c r="L117" s="2">
        <f>Games[[#This Row],[OppDaysOff]]-Games[[#This Row],[DaysOff]]</f>
        <v>2</v>
      </c>
      <c r="M117" s="1">
        <f>MAX(-16, MIN(16, Games[[#This Row],[RestDiff]]*8))</f>
        <v>-16</v>
      </c>
      <c r="N117" s="1">
        <f>MAX(-16, MIN(16, Games[[#This Row],[OppRestDiff]]*8))</f>
        <v>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1514.542901004299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1404.8812075905748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0.71719689793573471</v>
      </c>
      <c r="R117" s="1">
        <v>87</v>
      </c>
      <c r="S117" s="1">
        <v>70</v>
      </c>
      <c r="T117" s="1">
        <v>0</v>
      </c>
      <c r="U117" s="1">
        <f>Games[[#This Row],[PointsFor]]-Games[[#This Row],[PointsAgainst]]</f>
        <v>17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0.48785918234577064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74.8</v>
      </c>
      <c r="Z117" s="4">
        <f>Games[[#This Row],[K]]*Games[[#This Row],[POMult]]</f>
        <v>74.8</v>
      </c>
      <c r="AA117" s="4">
        <f>(Games[[#This Row],[Keff]]*Games[[#This Row],[MOVMult]])*(Games[[#This Row],[Result]]-Games[[#This Row],[ExpectedWin%]])</f>
        <v>10.320013142316414</v>
      </c>
      <c r="AB117" s="4">
        <f>Games[[#This Row],[PreGmRate]]+Games[[#This Row],[RatingChange]]</f>
        <v>1524.8629141466154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38882</v>
      </c>
      <c r="B118" s="2">
        <v>2006</v>
      </c>
      <c r="C118" s="2">
        <f>COUNTIFS(Games[Team],Games[[#This Row],[Team]],Games[Season],Games[[#This Row],[Season]],Games[Date],"&lt;=" &amp; Games[[#This Row],[Date]])</f>
        <v>8</v>
      </c>
      <c r="D118" s="2" t="s">
        <v>23</v>
      </c>
      <c r="E118" s="2" t="s">
        <v>29</v>
      </c>
      <c r="F118" s="1" t="s">
        <v>45</v>
      </c>
      <c r="G118" s="1" t="s">
        <v>2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1586.2207827209074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1563.2417314019588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0.43556986255342384</v>
      </c>
      <c r="R118" s="1">
        <v>66</v>
      </c>
      <c r="S118" s="1">
        <v>73</v>
      </c>
      <c r="T118" s="1">
        <v>1</v>
      </c>
      <c r="U118" s="1">
        <f>Games[[#This Row],[PointsFor]]-Games[[#This Row],[PointsAgainst]]</f>
        <v>-7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0.32683777032406514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-10.648579065759579</v>
      </c>
      <c r="AB118" s="4">
        <f>Games[[#This Row],[PreGmRate]]+Games[[#This Row],[RatingChange]]</f>
        <v>1575.5722036551479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38882</v>
      </c>
      <c r="B119" s="2">
        <v>2006</v>
      </c>
      <c r="C119" s="2">
        <f>COUNTIFS(Games[Team],Games[[#This Row],[Team]],Games[Season],Games[[#This Row],[Season]],Games[Date],"&lt;=" &amp; Games[[#This Row],[Date]])</f>
        <v>10</v>
      </c>
      <c r="D119" s="2" t="s">
        <v>23</v>
      </c>
      <c r="E119" s="2" t="s">
        <v>29</v>
      </c>
      <c r="F119" s="1" t="s">
        <v>2</v>
      </c>
      <c r="G119" s="1" t="s">
        <v>45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1563.2417314019588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1586.2207827209074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0.56443013744657622</v>
      </c>
      <c r="R119" s="1">
        <v>73</v>
      </c>
      <c r="S119" s="1">
        <v>66</v>
      </c>
      <c r="T119" s="1">
        <v>1</v>
      </c>
      <c r="U119" s="1">
        <f>Games[[#This Row],[PointsFor]]-Games[[#This Row],[PointsAgainst]]</f>
        <v>7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0.32683777032406514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10.605870860950381</v>
      </c>
      <c r="AB119" s="4">
        <f>Games[[#This Row],[PreGmRate]]+Games[[#This Row],[RatingChange]]</f>
        <v>1573.847602262909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38882</v>
      </c>
      <c r="B120" s="2">
        <v>2006</v>
      </c>
      <c r="C120" s="2">
        <f>COUNTIFS(Games[Team],Games[[#This Row],[Team]],Games[Season],Games[[#This Row],[Season]],Games[Date],"&lt;=" &amp; Games[[#This Row],[Date]])</f>
        <v>10</v>
      </c>
      <c r="D120" s="2" t="s">
        <v>23</v>
      </c>
      <c r="E120" s="2" t="s">
        <v>29</v>
      </c>
      <c r="F120" s="1" t="s">
        <v>81</v>
      </c>
      <c r="G120" s="1" t="s">
        <v>77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1510.9850057160936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1491.358863491597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0.40840433238212803</v>
      </c>
      <c r="R120" s="1">
        <v>74</v>
      </c>
      <c r="S120" s="1">
        <v>66</v>
      </c>
      <c r="T120" s="1">
        <v>0</v>
      </c>
      <c r="U120" s="1">
        <f>Games[[#This Row],[PointsFor]]-Games[[#This Row],[PointsAgainst]]</f>
        <v>8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0.38206678741216576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74.5</v>
      </c>
      <c r="Z120" s="4">
        <f>Games[[#This Row],[K]]*Games[[#This Row],[POMult]]</f>
        <v>74.5</v>
      </c>
      <c r="AA120" s="4">
        <f>(Games[[#This Row],[Keff]]*Games[[#This Row],[MOVMult]])*(Games[[#This Row],[Result]]-Games[[#This Row],[ExpectedWin%]])</f>
        <v>16.839164684941824</v>
      </c>
      <c r="AB120" s="4">
        <f>Games[[#This Row],[PreGmRate]]+Games[[#This Row],[RatingChange]]</f>
        <v>1527.8241704010354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38882</v>
      </c>
      <c r="B121" s="2">
        <v>2006</v>
      </c>
      <c r="C121" s="2">
        <f>COUNTIFS(Games[Team],Games[[#This Row],[Team]],Games[Season],Games[[#This Row],[Season]],Games[Date],"&lt;=" &amp; Games[[#This Row],[Date]])</f>
        <v>9</v>
      </c>
      <c r="D121" s="2" t="s">
        <v>23</v>
      </c>
      <c r="E121" s="2" t="s">
        <v>29</v>
      </c>
      <c r="F121" s="1" t="s">
        <v>77</v>
      </c>
      <c r="G121" s="1" t="s">
        <v>81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1491.358863491597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1510.9850057160936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0.59159566761787186</v>
      </c>
      <c r="R121" s="1">
        <v>66</v>
      </c>
      <c r="S121" s="1">
        <v>74</v>
      </c>
      <c r="T121" s="1">
        <v>0</v>
      </c>
      <c r="U121" s="1">
        <f>Games[[#This Row],[PointsFor]]-Games[[#This Row],[PointsAgainst]]</f>
        <v>-8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0.38206678741216576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74.650000000000006</v>
      </c>
      <c r="Z121" s="4">
        <f>Games[[#This Row],[K]]*Games[[#This Row],[POMult]]</f>
        <v>74.650000000000006</v>
      </c>
      <c r="AA121" s="4">
        <f>(Games[[#This Row],[Keff]]*Games[[#This Row],[MOVMult]])*(Games[[#This Row],[Result]]-Games[[#This Row],[ExpectedWin%]])</f>
        <v>-16.873069043367881</v>
      </c>
      <c r="AB121" s="4">
        <f>Games[[#This Row],[PreGmRate]]+Games[[#This Row],[RatingChange]]</f>
        <v>1474.4857944482292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38883</v>
      </c>
      <c r="B122" s="2">
        <v>2006</v>
      </c>
      <c r="C122" s="2">
        <f>COUNTIFS(Games[Team],Games[[#This Row],[Team]],Games[Season],Games[[#This Row],[Season]],Games[Date],"&lt;=" &amp; Games[[#This Row],[Date]])</f>
        <v>9</v>
      </c>
      <c r="D122" s="2" t="s">
        <v>23</v>
      </c>
      <c r="E122" s="2" t="s">
        <v>29</v>
      </c>
      <c r="F122" s="1" t="s">
        <v>73</v>
      </c>
      <c r="G122" s="1" t="s">
        <v>64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1524.8629141466154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1394.5404992347378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0.56627110021305715</v>
      </c>
      <c r="R122" s="1">
        <v>96</v>
      </c>
      <c r="S122" s="1">
        <v>77</v>
      </c>
      <c r="T122" s="1">
        <v>0</v>
      </c>
      <c r="U122" s="1">
        <f>Games[[#This Row],[PointsFor]]-Games[[#This Row],[PointsAgainst]]</f>
        <v>19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0.5060225098231631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74.650000000000006</v>
      </c>
      <c r="Z122" s="4">
        <f>Games[[#This Row],[K]]*Games[[#This Row],[POMult]]</f>
        <v>74.650000000000006</v>
      </c>
      <c r="AA122" s="4">
        <f>(Games[[#This Row],[Keff]]*Games[[#This Row],[MOVMult]])*(Games[[#This Row],[Result]]-Games[[#This Row],[ExpectedWin%]])</f>
        <v>16.38392717871854</v>
      </c>
      <c r="AB122" s="4">
        <f>Games[[#This Row],[PreGmRate]]+Games[[#This Row],[RatingChange]]</f>
        <v>1541.2468413253339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38883</v>
      </c>
      <c r="B123" s="2">
        <v>2006</v>
      </c>
      <c r="C123" s="2">
        <f>COUNTIFS(Games[Team],Games[[#This Row],[Team]],Games[Season],Games[[#This Row],[Season]],Games[Date],"&lt;=" &amp; Games[[#This Row],[Date]])</f>
        <v>8</v>
      </c>
      <c r="D123" s="2" t="s">
        <v>23</v>
      </c>
      <c r="E123" s="2" t="s">
        <v>29</v>
      </c>
      <c r="F123" s="1" t="s">
        <v>64</v>
      </c>
      <c r="G123" s="1" t="s">
        <v>73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1394.5404992347378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1524.8629141466154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0.4337288997869429</v>
      </c>
      <c r="R123" s="1">
        <v>77</v>
      </c>
      <c r="S123" s="1">
        <v>96</v>
      </c>
      <c r="T123" s="1">
        <v>0</v>
      </c>
      <c r="U123" s="1">
        <f>Games[[#This Row],[PointsFor]]-Games[[#This Row],[PointsAgainst]]</f>
        <v>-19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0.5060225098231631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74.8</v>
      </c>
      <c r="Z123" s="4">
        <f>Games[[#This Row],[K]]*Games[[#This Row],[POMult]]</f>
        <v>74.8</v>
      </c>
      <c r="AA123" s="4">
        <f>(Games[[#This Row],[Keff]]*Games[[#This Row],[MOVMult]])*(Games[[#This Row],[Result]]-Games[[#This Row],[ExpectedWin%]])</f>
        <v>-16.416848666686494</v>
      </c>
      <c r="AB123" s="4">
        <f>Games[[#This Row],[PreGmRate]]+Games[[#This Row],[RatingChange]]</f>
        <v>1378.1236505680513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38883</v>
      </c>
      <c r="B124" s="2">
        <v>2006</v>
      </c>
      <c r="C124" s="2">
        <f>COUNTIFS(Games[Team],Games[[#This Row],[Team]],Games[Season],Games[[#This Row],[Season]],Games[Date],"&lt;=" &amp; Games[[#This Row],[Date]])</f>
        <v>11</v>
      </c>
      <c r="D124" s="2" t="s">
        <v>23</v>
      </c>
      <c r="E124" s="2" t="s">
        <v>29</v>
      </c>
      <c r="F124" s="1" t="s">
        <v>81</v>
      </c>
      <c r="G124" s="1" t="s">
        <v>87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4" s="2">
        <f>Games[[#This Row],[DaysOff]]-Games[[#This Row],[OppDaysOff]]</f>
        <v>-4</v>
      </c>
      <c r="L124" s="2">
        <f>Games[[#This Row],[OppDaysOff]]-Games[[#This Row],[DaysOff]]</f>
        <v>4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1527.8241704010354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1406.6471253433513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0.50744981537745015</v>
      </c>
      <c r="R124" s="1">
        <v>74</v>
      </c>
      <c r="S124" s="1">
        <v>61</v>
      </c>
      <c r="T124" s="1">
        <v>0</v>
      </c>
      <c r="U124" s="1">
        <f>Games[[#This Row],[PointsFor]]-Games[[#This Row],[PointsAgainst]]</f>
        <v>13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0.42874837168565028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74.349999999999994</v>
      </c>
      <c r="Z124" s="4">
        <f>Games[[#This Row],[K]]*Games[[#This Row],[POMult]]</f>
        <v>74.349999999999994</v>
      </c>
      <c r="AA124" s="4">
        <f>(Games[[#This Row],[Keff]]*Games[[#This Row],[MOVMult]])*(Games[[#This Row],[Result]]-Games[[#This Row],[ExpectedWin%]])</f>
        <v>15.701239664019099</v>
      </c>
      <c r="AB124" s="4">
        <f>Games[[#This Row],[PreGmRate]]+Games[[#This Row],[RatingChange]]</f>
        <v>1543.5254100650545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38883</v>
      </c>
      <c r="B125" s="2">
        <v>2006</v>
      </c>
      <c r="C125" s="2">
        <f>COUNTIFS(Games[Team],Games[[#This Row],[Team]],Games[Season],Games[[#This Row],[Season]],Games[Date],"&lt;=" &amp; Games[[#This Row],[Date]])</f>
        <v>10</v>
      </c>
      <c r="D125" s="2" t="s">
        <v>23</v>
      </c>
      <c r="E125" s="2" t="s">
        <v>29</v>
      </c>
      <c r="F125" s="1" t="s">
        <v>87</v>
      </c>
      <c r="G125" s="1" t="s">
        <v>81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5" s="2">
        <f>Games[[#This Row],[DaysOff]]-Games[[#This Row],[OppDaysOff]]</f>
        <v>4</v>
      </c>
      <c r="L125" s="2">
        <f>Games[[#This Row],[OppDaysOff]]-Games[[#This Row],[DaysOff]]</f>
        <v>-4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1406.6471253433513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1527.8241704010354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0.49255018462254985</v>
      </c>
      <c r="R125" s="1">
        <v>61</v>
      </c>
      <c r="S125" s="1">
        <v>74</v>
      </c>
      <c r="T125" s="1">
        <v>0</v>
      </c>
      <c r="U125" s="1">
        <f>Games[[#This Row],[PointsFor]]-Games[[#This Row],[PointsAgainst]]</f>
        <v>-13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0.42874837168565028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-15.732916677463658</v>
      </c>
      <c r="AB125" s="4">
        <f>Games[[#This Row],[PreGmRate]]+Games[[#This Row],[RatingChange]]</f>
        <v>1390.9142086658876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38884</v>
      </c>
      <c r="B126" s="2">
        <v>2006</v>
      </c>
      <c r="C126" s="2">
        <f>COUNTIFS(Games[Team],Games[[#This Row],[Team]],Games[Season],Games[[#This Row],[Season]],Games[Date],"&lt;=" &amp; Games[[#This Row],[Date]])</f>
        <v>11</v>
      </c>
      <c r="D126" s="2" t="s">
        <v>23</v>
      </c>
      <c r="E126" s="2" t="s">
        <v>29</v>
      </c>
      <c r="F126" s="1" t="s">
        <v>79</v>
      </c>
      <c r="G126" s="1" t="s">
        <v>75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6" s="2">
        <f>Games[[#This Row],[DaysOff]]-Games[[#This Row],[OppDaysOff]]</f>
        <v>-4</v>
      </c>
      <c r="L126" s="2">
        <f>Games[[#This Row],[OppDaysOff]]-Games[[#This Row],[DaysOff]]</f>
        <v>4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1567.4786243969963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1481.7193970766186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0.45658959946524519</v>
      </c>
      <c r="R126" s="1">
        <v>63</v>
      </c>
      <c r="S126" s="1">
        <v>71</v>
      </c>
      <c r="T126" s="1">
        <v>0</v>
      </c>
      <c r="U126" s="1">
        <f>Games[[#This Row],[PointsFor]]-Games[[#This Row],[PointsAgainst]]</f>
        <v>-8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0.36241516459869583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-12.303065866669945</v>
      </c>
      <c r="AB126" s="4">
        <f>Games[[#This Row],[PreGmRate]]+Games[[#This Row],[RatingChange]]</f>
        <v>1555.1755585303265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38884</v>
      </c>
      <c r="B127" s="2">
        <v>2006</v>
      </c>
      <c r="C127" s="2">
        <f>COUNTIFS(Games[Team],Games[[#This Row],[Team]],Games[Season],Games[[#This Row],[Season]],Games[Date],"&lt;=" &amp; Games[[#This Row],[Date]])</f>
        <v>9</v>
      </c>
      <c r="D127" s="2" t="s">
        <v>23</v>
      </c>
      <c r="E127" s="2" t="s">
        <v>29</v>
      </c>
      <c r="F127" s="1" t="s">
        <v>75</v>
      </c>
      <c r="G127" s="1" t="s">
        <v>79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4</v>
      </c>
      <c r="L127" s="2">
        <f>Games[[#This Row],[OppDaysOff]]-Games[[#This Row],[DaysOff]]</f>
        <v>-4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1481.7193970766186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1567.4786243969963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0.54341040053475487</v>
      </c>
      <c r="R127" s="1">
        <v>71</v>
      </c>
      <c r="S127" s="1">
        <v>63</v>
      </c>
      <c r="T127" s="1">
        <v>0</v>
      </c>
      <c r="U127" s="1">
        <f>Games[[#This Row],[PointsFor]]-Games[[#This Row],[PointsAgainst]]</f>
        <v>8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0.36241516459869583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74.650000000000006</v>
      </c>
      <c r="Z127" s="4">
        <f>Games[[#This Row],[K]]*Games[[#This Row],[POMult]]</f>
        <v>74.650000000000006</v>
      </c>
      <c r="AA127" s="4">
        <f>(Games[[#This Row],[Keff]]*Games[[#This Row],[MOVMult]])*(Games[[#This Row],[Result]]-Games[[#This Row],[ExpectedWin%]])</f>
        <v>12.352708365123219</v>
      </c>
      <c r="AB127" s="4">
        <f>Games[[#This Row],[PreGmRate]]+Games[[#This Row],[RatingChange]]</f>
        <v>1494.0721054417418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38884</v>
      </c>
      <c r="B128" s="2">
        <v>2006</v>
      </c>
      <c r="C128" s="2">
        <f>COUNTIFS(Games[Team],Games[[#This Row],[Team]],Games[Season],Games[[#This Row],[Season]],Games[Date],"&lt;=" &amp; Games[[#This Row],[Date]])</f>
        <v>11</v>
      </c>
      <c r="D128" s="2" t="s">
        <v>23</v>
      </c>
      <c r="E128" s="2" t="s">
        <v>29</v>
      </c>
      <c r="F128" s="1" t="s">
        <v>2</v>
      </c>
      <c r="G128" s="1" t="s">
        <v>66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8" s="2">
        <f>Games[[#This Row],[DaysOff]]-Games[[#This Row],[OppDaysOff]]</f>
        <v>-1</v>
      </c>
      <c r="L128" s="2">
        <f>Games[[#This Row],[OppDaysOff]]-Games[[#This Row],[DaysOff]]</f>
        <v>1</v>
      </c>
      <c r="M128" s="1">
        <f>MAX(-16, MIN(16, Games[[#This Row],[RestDiff]]*8))</f>
        <v>-8</v>
      </c>
      <c r="N128" s="1">
        <f>MAX(-16, MIN(16, Games[[#This Row],[OppRestDiff]]*8))</f>
        <v>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1573.847602262909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1440.6818400628204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0.54758491911634743</v>
      </c>
      <c r="R128" s="1">
        <v>72</v>
      </c>
      <c r="S128" s="1">
        <v>58</v>
      </c>
      <c r="T128" s="1">
        <v>0</v>
      </c>
      <c r="U128" s="1">
        <f>Games[[#This Row],[PointsFor]]-Games[[#This Row],[PointsAgainst]]</f>
        <v>14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0.43890245371685604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14.763388724461951</v>
      </c>
      <c r="AB128" s="4">
        <f>Games[[#This Row],[PreGmRate]]+Games[[#This Row],[RatingChange]]</f>
        <v>1588.610990987371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38884</v>
      </c>
      <c r="B129" s="2">
        <v>2006</v>
      </c>
      <c r="C129" s="2">
        <f>COUNTIFS(Games[Team],Games[[#This Row],[Team]],Games[Season],Games[[#This Row],[Season]],Games[Date],"&lt;=" &amp; Games[[#This Row],[Date]])</f>
        <v>10</v>
      </c>
      <c r="D129" s="2" t="s">
        <v>23</v>
      </c>
      <c r="E129" s="2" t="s">
        <v>29</v>
      </c>
      <c r="F129" s="1" t="s">
        <v>66</v>
      </c>
      <c r="G129" s="1" t="s">
        <v>2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1</v>
      </c>
      <c r="L129" s="2">
        <f>Games[[#This Row],[OppDaysOff]]-Games[[#This Row],[DaysOff]]</f>
        <v>-1</v>
      </c>
      <c r="M129" s="1">
        <f>MAX(-16, MIN(16, Games[[#This Row],[RestDiff]]*8))</f>
        <v>8</v>
      </c>
      <c r="N129" s="1">
        <f>MAX(-16, MIN(16, Games[[#This Row],[OppRestDiff]]*8))</f>
        <v>-8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1440.6818400628204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1573.847602262909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0.45241508088365262</v>
      </c>
      <c r="R129" s="1">
        <v>58</v>
      </c>
      <c r="S129" s="1">
        <v>72</v>
      </c>
      <c r="T129" s="1">
        <v>0</v>
      </c>
      <c r="U129" s="1">
        <f>Games[[#This Row],[PointsFor]]-Games[[#This Row],[PointsAgainst]]</f>
        <v>-14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0.43890245371685604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-14.793173637826705</v>
      </c>
      <c r="AB129" s="4">
        <f>Games[[#This Row],[PreGmRate]]+Games[[#This Row],[RatingChange]]</f>
        <v>1425.8886664249937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38884</v>
      </c>
      <c r="B130" s="2">
        <v>2006</v>
      </c>
      <c r="C130" s="2">
        <f>COUNTIFS(Games[Team],Games[[#This Row],[Team]],Games[Season],Games[[#This Row],[Season]],Games[Date],"&lt;=" &amp; Games[[#This Row],[Date]])</f>
        <v>9</v>
      </c>
      <c r="D130" s="2" t="s">
        <v>23</v>
      </c>
      <c r="E130" s="2" t="s">
        <v>29</v>
      </c>
      <c r="F130" s="1" t="s">
        <v>86</v>
      </c>
      <c r="G130" s="1" t="s">
        <v>44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2</v>
      </c>
      <c r="L130" s="2">
        <f>Games[[#This Row],[OppDaysOff]]-Games[[#This Row],[DaysOff]]</f>
        <v>-2</v>
      </c>
      <c r="M130" s="1">
        <f>MAX(-16, MIN(16, Games[[#This Row],[RestDiff]]*8))</f>
        <v>16</v>
      </c>
      <c r="N130" s="1">
        <f>MAX(-16, MIN(16, Games[[#This Row],[OppRestDiff]]*8))</f>
        <v>-16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1640.4802698144149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1462.1118043095082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0.67424222836820247</v>
      </c>
      <c r="R130" s="1">
        <v>86</v>
      </c>
      <c r="S130" s="1">
        <v>91</v>
      </c>
      <c r="T130" s="1">
        <v>0</v>
      </c>
      <c r="U130" s="1">
        <f>Games[[#This Row],[PointsFor]]-Games[[#This Row],[PointsAgainst]]</f>
        <v>-5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0.28882492636514839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74.650000000000006</v>
      </c>
      <c r="Z130" s="4">
        <f>Games[[#This Row],[K]]*Games[[#This Row],[POMult]]</f>
        <v>74.650000000000006</v>
      </c>
      <c r="AA130" s="4">
        <f>(Games[[#This Row],[Keff]]*Games[[#This Row],[MOVMult]])*(Games[[#This Row],[Result]]-Games[[#This Row],[ExpectedWin%]])</f>
        <v>-14.537188860367722</v>
      </c>
      <c r="AB130" s="4">
        <f>Games[[#This Row],[PreGmRate]]+Games[[#This Row],[RatingChange]]</f>
        <v>1625.9430809540472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38884</v>
      </c>
      <c r="B131" s="2">
        <v>2006</v>
      </c>
      <c r="C131" s="2">
        <f>COUNTIFS(Games[Team],Games[[#This Row],[Team]],Games[Season],Games[[#This Row],[Season]],Games[Date],"&lt;=" &amp; Games[[#This Row],[Date]])</f>
        <v>8</v>
      </c>
      <c r="D131" s="2" t="s">
        <v>23</v>
      </c>
      <c r="E131" s="2" t="s">
        <v>29</v>
      </c>
      <c r="F131" s="1" t="s">
        <v>44</v>
      </c>
      <c r="G131" s="1" t="s">
        <v>86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1" s="2">
        <f>Games[[#This Row],[DaysOff]]-Games[[#This Row],[OppDaysOff]]</f>
        <v>-2</v>
      </c>
      <c r="L131" s="2">
        <f>Games[[#This Row],[OppDaysOff]]-Games[[#This Row],[DaysOff]]</f>
        <v>2</v>
      </c>
      <c r="M131" s="1">
        <f>MAX(-16, MIN(16, Games[[#This Row],[RestDiff]]*8))</f>
        <v>-16</v>
      </c>
      <c r="N131" s="1">
        <f>MAX(-16, MIN(16, Games[[#This Row],[OppRestDiff]]*8))</f>
        <v>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1462.1118043095082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1640.4802698144149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0.32575777163179742</v>
      </c>
      <c r="R131" s="1">
        <v>91</v>
      </c>
      <c r="S131" s="1">
        <v>86</v>
      </c>
      <c r="T131" s="1">
        <v>0</v>
      </c>
      <c r="U131" s="1">
        <f>Games[[#This Row],[PointsFor]]-Games[[#This Row],[PointsAgainst]]</f>
        <v>5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0.28882492636514839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74.8</v>
      </c>
      <c r="Z131" s="4">
        <f>Games[[#This Row],[K]]*Games[[#This Row],[POMult]]</f>
        <v>74.8</v>
      </c>
      <c r="AA131" s="4">
        <f>(Games[[#This Row],[Keff]]*Games[[#This Row],[MOVMult]])*(Games[[#This Row],[Result]]-Games[[#This Row],[ExpectedWin%]])</f>
        <v>14.56639955466183</v>
      </c>
      <c r="AB131" s="4">
        <f>Games[[#This Row],[PreGmRate]]+Games[[#This Row],[RatingChange]]</f>
        <v>1476.67820386417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38884</v>
      </c>
      <c r="B132" s="2">
        <v>2006</v>
      </c>
      <c r="C132" s="2">
        <f>COUNTIFS(Games[Team],Games[[#This Row],[Team]],Games[Season],Games[[#This Row],[Season]],Games[Date],"&lt;=" &amp; Games[[#This Row],[Date]])</f>
        <v>10</v>
      </c>
      <c r="D132" s="2" t="s">
        <v>23</v>
      </c>
      <c r="E132" s="2" t="s">
        <v>29</v>
      </c>
      <c r="F132" s="1" t="s">
        <v>77</v>
      </c>
      <c r="G132" s="1" t="s">
        <v>84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2" s="2">
        <f>Games[[#This Row],[DaysOff]]-Games[[#This Row],[OppDaysOff]]</f>
        <v>-4</v>
      </c>
      <c r="L132" s="2">
        <f>Games[[#This Row],[OppDaysOff]]-Games[[#This Row],[DaysOff]]</f>
        <v>4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1474.4857944482292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1420.7266777824238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0.4113742193106637</v>
      </c>
      <c r="R132" s="1">
        <v>60</v>
      </c>
      <c r="S132" s="1">
        <v>90</v>
      </c>
      <c r="T132" s="1">
        <v>0</v>
      </c>
      <c r="U132" s="1">
        <f>Games[[#This Row],[PointsFor]]-Games[[#This Row],[PointsAgainst]]</f>
        <v>-30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0.67332807419562324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74.5</v>
      </c>
      <c r="Z132" s="4">
        <f>Games[[#This Row],[K]]*Games[[#This Row],[POMult]]</f>
        <v>74.5</v>
      </c>
      <c r="AA132" s="4">
        <f>(Games[[#This Row],[Keff]]*Games[[#This Row],[MOVMult]])*(Games[[#This Row],[Result]]-Games[[#This Row],[ExpectedWin%]])</f>
        <v>-20.635740909232201</v>
      </c>
      <c r="AB132" s="4">
        <f>Games[[#This Row],[PreGmRate]]+Games[[#This Row],[RatingChange]]</f>
        <v>1453.8500535389969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38884</v>
      </c>
      <c r="B133" s="2">
        <v>2006</v>
      </c>
      <c r="C133" s="2">
        <f>COUNTIFS(Games[Team],Games[[#This Row],[Team]],Games[Season],Games[[#This Row],[Season]],Games[Date],"&lt;=" &amp; Games[[#This Row],[Date]])</f>
        <v>9</v>
      </c>
      <c r="D133" s="2" t="s">
        <v>23</v>
      </c>
      <c r="E133" s="2" t="s">
        <v>29</v>
      </c>
      <c r="F133" s="1" t="s">
        <v>84</v>
      </c>
      <c r="G133" s="1" t="s">
        <v>77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4</v>
      </c>
      <c r="L133" s="2">
        <f>Games[[#This Row],[OppDaysOff]]-Games[[#This Row],[DaysOff]]</f>
        <v>-4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1420.7266777824238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1474.4857944482292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0.58862578068933635</v>
      </c>
      <c r="R133" s="1">
        <v>90</v>
      </c>
      <c r="S133" s="1">
        <v>60</v>
      </c>
      <c r="T133" s="1">
        <v>0</v>
      </c>
      <c r="U133" s="1">
        <f>Games[[#This Row],[PointsFor]]-Games[[#This Row],[PointsAgainst]]</f>
        <v>30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0.67332807419562324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74.650000000000006</v>
      </c>
      <c r="Z133" s="4">
        <f>Games[[#This Row],[K]]*Games[[#This Row],[POMult]]</f>
        <v>74.650000000000006</v>
      </c>
      <c r="AA133" s="4">
        <f>(Games[[#This Row],[Keff]]*Games[[#This Row],[MOVMult]])*(Games[[#This Row],[Result]]-Games[[#This Row],[ExpectedWin%]])</f>
        <v>20.677289380861524</v>
      </c>
      <c r="AB133" s="4">
        <f>Games[[#This Row],[PreGmRate]]+Games[[#This Row],[RatingChange]]</f>
        <v>1441.4039671632854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38885</v>
      </c>
      <c r="B134" s="2">
        <v>2006</v>
      </c>
      <c r="C134" s="2">
        <f>COUNTIFS(Games[Team],Games[[#This Row],[Team]],Games[Season],Games[[#This Row],[Season]],Games[Date],"&lt;=" &amp; Games[[#This Row],[Date]])</f>
        <v>10</v>
      </c>
      <c r="D134" s="2" t="s">
        <v>23</v>
      </c>
      <c r="E134" s="2" t="s">
        <v>29</v>
      </c>
      <c r="F134" s="1" t="s">
        <v>84</v>
      </c>
      <c r="G134" s="1" t="s">
        <v>87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-1</v>
      </c>
      <c r="L134" s="2">
        <f>Games[[#This Row],[OppDaysOff]]-Games[[#This Row],[DaysOff]]</f>
        <v>1</v>
      </c>
      <c r="M134" s="1">
        <f>MAX(-16, MIN(16, Games[[#This Row],[RestDiff]]*8))</f>
        <v>-8</v>
      </c>
      <c r="N134" s="1">
        <f>MAX(-16, MIN(16, Games[[#This Row],[OppRestDiff]]*8))</f>
        <v>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1441.4039671632854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1390.9142086658876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0.42922744241795807</v>
      </c>
      <c r="R134" s="1">
        <v>69</v>
      </c>
      <c r="S134" s="1">
        <v>65</v>
      </c>
      <c r="T134" s="1">
        <v>0</v>
      </c>
      <c r="U134" s="1">
        <f>Games[[#This Row],[PointsFor]]-Games[[#This Row],[PointsAgainst]]</f>
        <v>4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0.29885833078210922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74.5</v>
      </c>
      <c r="Z134" s="4">
        <f>Games[[#This Row],[K]]*Games[[#This Row],[POMult]]</f>
        <v>74.5</v>
      </c>
      <c r="AA134" s="4">
        <f>(Games[[#This Row],[Keff]]*Games[[#This Row],[MOVMult]])*(Games[[#This Row],[Result]]-Games[[#This Row],[ExpectedWin%]])</f>
        <v>12.708219969232726</v>
      </c>
      <c r="AB134" s="4">
        <f>Games[[#This Row],[PreGmRate]]+Games[[#This Row],[RatingChange]]</f>
        <v>1454.1121871325181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38885</v>
      </c>
      <c r="B135" s="2">
        <v>2006</v>
      </c>
      <c r="C135" s="2">
        <f>COUNTIFS(Games[Team],Games[[#This Row],[Team]],Games[Season],Games[[#This Row],[Season]],Games[Date],"&lt;=" &amp; Games[[#This Row],[Date]])</f>
        <v>11</v>
      </c>
      <c r="D135" s="2" t="s">
        <v>23</v>
      </c>
      <c r="E135" s="2" t="s">
        <v>29</v>
      </c>
      <c r="F135" s="1" t="s">
        <v>87</v>
      </c>
      <c r="G135" s="1" t="s">
        <v>84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1</v>
      </c>
      <c r="L135" s="2">
        <f>Games[[#This Row],[OppDaysOff]]-Games[[#This Row],[DaysOff]]</f>
        <v>-1</v>
      </c>
      <c r="M135" s="1">
        <f>MAX(-16, MIN(16, Games[[#This Row],[RestDiff]]*8))</f>
        <v>8</v>
      </c>
      <c r="N135" s="1">
        <f>MAX(-16, MIN(16, Games[[#This Row],[OppRestDiff]]*8))</f>
        <v>-8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1390.9142086658876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1441.4039671632854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0.57077255758204193</v>
      </c>
      <c r="R135" s="1">
        <v>65</v>
      </c>
      <c r="S135" s="1">
        <v>69</v>
      </c>
      <c r="T135" s="1">
        <v>0</v>
      </c>
      <c r="U135" s="1">
        <f>Games[[#This Row],[PointsFor]]-Games[[#This Row],[PointsAgainst]]</f>
        <v>-4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0.29885833078210922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-12.682632949160444</v>
      </c>
      <c r="AB135" s="4">
        <f>Games[[#This Row],[PreGmRate]]+Games[[#This Row],[RatingChange]]</f>
        <v>1378.2315757167271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38885</v>
      </c>
      <c r="B136" s="2">
        <v>2006</v>
      </c>
      <c r="C136" s="2">
        <f>COUNTIFS(Games[Team],Games[[#This Row],[Team]],Games[Season],Games[[#This Row],[Season]],Games[Date],"&lt;=" &amp; Games[[#This Row],[Date]])</f>
        <v>12</v>
      </c>
      <c r="D136" s="2" t="s">
        <v>23</v>
      </c>
      <c r="E136" s="2" t="s">
        <v>29</v>
      </c>
      <c r="F136" s="1" t="s">
        <v>2</v>
      </c>
      <c r="G136" s="1" t="s">
        <v>75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1588.610990987371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1494.0721054417418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0.51516202550178436</v>
      </c>
      <c r="R136" s="1">
        <v>55</v>
      </c>
      <c r="S136" s="1">
        <v>71</v>
      </c>
      <c r="T136" s="1">
        <v>0</v>
      </c>
      <c r="U136" s="1">
        <f>Games[[#This Row],[PointsFor]]-Games[[#This Row],[PointsAgainst]]</f>
        <v>-16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0.47997263401955453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-18.346964635058974</v>
      </c>
      <c r="AB136" s="4">
        <f>Games[[#This Row],[PreGmRate]]+Games[[#This Row],[RatingChange]]</f>
        <v>1570.2640263523119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38885</v>
      </c>
      <c r="B137" s="2">
        <v>2006</v>
      </c>
      <c r="C137" s="2">
        <f>COUNTIFS(Games[Team],Games[[#This Row],[Team]],Games[Season],Games[[#This Row],[Season]],Games[Date],"&lt;=" &amp; Games[[#This Row],[Date]])</f>
        <v>10</v>
      </c>
      <c r="D137" s="2" t="s">
        <v>23</v>
      </c>
      <c r="E137" s="2" t="s">
        <v>29</v>
      </c>
      <c r="F137" s="1" t="s">
        <v>75</v>
      </c>
      <c r="G137" s="1" t="s">
        <v>2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1494.0721054417418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1588.610990987371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0.48483797449821564</v>
      </c>
      <c r="R137" s="1">
        <v>71</v>
      </c>
      <c r="S137" s="1">
        <v>55</v>
      </c>
      <c r="T137" s="1">
        <v>0</v>
      </c>
      <c r="U137" s="1">
        <f>Games[[#This Row],[PointsFor]]-Games[[#This Row],[PointsAgainst]]</f>
        <v>16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0.47997263401955453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18.42114373735706</v>
      </c>
      <c r="AB137" s="4">
        <f>Games[[#This Row],[PreGmRate]]+Games[[#This Row],[RatingChange]]</f>
        <v>1512.4932491790989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38885</v>
      </c>
      <c r="B138" s="2">
        <v>2006</v>
      </c>
      <c r="C138" s="2">
        <f>COUNTIFS(Games[Team],Games[[#This Row],[Team]],Games[Season],Games[[#This Row],[Season]],Games[Date],"&lt;=" &amp; Games[[#This Row],[Date]])</f>
        <v>10</v>
      </c>
      <c r="D138" s="2" t="s">
        <v>23</v>
      </c>
      <c r="E138" s="2" t="s">
        <v>29</v>
      </c>
      <c r="F138" s="1" t="s">
        <v>86</v>
      </c>
      <c r="G138" s="1" t="s">
        <v>70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8" s="2">
        <f>Games[[#This Row],[DaysOff]]-Games[[#This Row],[OppDaysOff]]</f>
        <v>-3</v>
      </c>
      <c r="L138" s="2">
        <f>Games[[#This Row],[OppDaysOff]]-Games[[#This Row],[DaysOff]]</f>
        <v>3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1625.9430809540472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1514.1877461989177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0.49389173957620103</v>
      </c>
      <c r="R138" s="1">
        <v>70</v>
      </c>
      <c r="S138" s="1">
        <v>82</v>
      </c>
      <c r="T138" s="1">
        <v>0</v>
      </c>
      <c r="U138" s="1">
        <f>Games[[#This Row],[PointsFor]]-Games[[#This Row],[PointsAgainst]]</f>
        <v>-12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0.41726937729132685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74.5</v>
      </c>
      <c r="Z138" s="4">
        <f>Games[[#This Row],[K]]*Games[[#This Row],[POMult]]</f>
        <v>74.5</v>
      </c>
      <c r="AA138" s="4">
        <f>(Games[[#This Row],[Keff]]*Games[[#This Row],[MOVMult]])*(Games[[#This Row],[Result]]-Games[[#This Row],[ExpectedWin%]])</f>
        <v>-15.353399447360722</v>
      </c>
      <c r="AB138" s="4">
        <f>Games[[#This Row],[PreGmRate]]+Games[[#This Row],[RatingChange]]</f>
        <v>1610.5896815066865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38885</v>
      </c>
      <c r="B139" s="2">
        <v>2006</v>
      </c>
      <c r="C139" s="2">
        <f>COUNTIFS(Games[Team],Games[[#This Row],[Team]],Games[Season],Games[[#This Row],[Season]],Games[Date],"&lt;=" &amp; Games[[#This Row],[Date]])</f>
        <v>10</v>
      </c>
      <c r="D139" s="2" t="s">
        <v>23</v>
      </c>
      <c r="E139" s="2" t="s">
        <v>29</v>
      </c>
      <c r="F139" s="1" t="s">
        <v>70</v>
      </c>
      <c r="G139" s="1" t="s">
        <v>86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9" s="2">
        <f>Games[[#This Row],[DaysOff]]-Games[[#This Row],[OppDaysOff]]</f>
        <v>3</v>
      </c>
      <c r="L139" s="2">
        <f>Games[[#This Row],[OppDaysOff]]-Games[[#This Row],[DaysOff]]</f>
        <v>-3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1514.1877461989177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1625.9430809540472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0.50610826042379897</v>
      </c>
      <c r="R139" s="1">
        <v>82</v>
      </c>
      <c r="S139" s="1">
        <v>70</v>
      </c>
      <c r="T139" s="1">
        <v>0</v>
      </c>
      <c r="U139" s="1">
        <f>Games[[#This Row],[PointsFor]]-Games[[#This Row],[PointsAgainst]]</f>
        <v>12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0.41726937729132685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74.5</v>
      </c>
      <c r="Z139" s="4">
        <f>Games[[#This Row],[K]]*Games[[#This Row],[POMult]]</f>
        <v>74.5</v>
      </c>
      <c r="AA139" s="4">
        <f>(Games[[#This Row],[Keff]]*Games[[#This Row],[MOVMult]])*(Games[[#This Row],[Result]]-Games[[#This Row],[ExpectedWin%]])</f>
        <v>15.353399447360722</v>
      </c>
      <c r="AB139" s="4">
        <f>Games[[#This Row],[PreGmRate]]+Games[[#This Row],[RatingChange]]</f>
        <v>1529.5411456462784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38885</v>
      </c>
      <c r="B140" s="2">
        <v>2006</v>
      </c>
      <c r="C140" s="2">
        <f>COUNTIFS(Games[Team],Games[[#This Row],[Team]],Games[Season],Games[[#This Row],[Season]],Games[Date],"&lt;=" &amp; Games[[#This Row],[Date]])</f>
        <v>12</v>
      </c>
      <c r="D140" s="2" t="s">
        <v>23</v>
      </c>
      <c r="E140" s="2" t="s">
        <v>29</v>
      </c>
      <c r="F140" s="1" t="s">
        <v>81</v>
      </c>
      <c r="G140" s="1" t="s">
        <v>45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0" s="2">
        <f>Games[[#This Row],[DaysOff]]-Games[[#This Row],[OppDaysOff]]</f>
        <v>-1</v>
      </c>
      <c r="L140" s="2">
        <f>Games[[#This Row],[OppDaysOff]]-Games[[#This Row],[DaysOff]]</f>
        <v>1</v>
      </c>
      <c r="M140" s="1">
        <f>MAX(-16, MIN(16, Games[[#This Row],[RestDiff]]*8))</f>
        <v>-8</v>
      </c>
      <c r="N140" s="1">
        <f>MAX(-16, MIN(16, Games[[#This Row],[OppRestDiff]]*8))</f>
        <v>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1543.5254100650545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1575.5722036551479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0.31861968239616106</v>
      </c>
      <c r="R140" s="1">
        <v>74</v>
      </c>
      <c r="S140" s="1">
        <v>76</v>
      </c>
      <c r="T140" s="1">
        <v>0</v>
      </c>
      <c r="U140" s="1">
        <f>Games[[#This Row],[PointsFor]]-Games[[#This Row],[PointsAgainst]]</f>
        <v>-2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0.26087449490050624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-6.1674853543160006</v>
      </c>
      <c r="AB140" s="4">
        <f>Games[[#This Row],[PreGmRate]]+Games[[#This Row],[RatingChange]]</f>
        <v>1537.3579247107384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38885</v>
      </c>
      <c r="B141" s="2">
        <v>2006</v>
      </c>
      <c r="C141" s="2">
        <f>COUNTIFS(Games[Team],Games[[#This Row],[Team]],Games[Season],Games[[#This Row],[Season]],Games[Date],"&lt;=" &amp; Games[[#This Row],[Date]])</f>
        <v>9</v>
      </c>
      <c r="D141" s="2" t="s">
        <v>23</v>
      </c>
      <c r="E141" s="2" t="s">
        <v>29</v>
      </c>
      <c r="F141" s="1" t="s">
        <v>45</v>
      </c>
      <c r="G141" s="1" t="s">
        <v>81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1</v>
      </c>
      <c r="L141" s="2">
        <f>Games[[#This Row],[OppDaysOff]]-Games[[#This Row],[DaysOff]]</f>
        <v>-1</v>
      </c>
      <c r="M141" s="1">
        <f>MAX(-16, MIN(16, Games[[#This Row],[RestDiff]]*8))</f>
        <v>8</v>
      </c>
      <c r="N141" s="1">
        <f>MAX(-16, MIN(16, Games[[#This Row],[OppRestDiff]]*8))</f>
        <v>-8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1575.5722036551479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1543.5254100650545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0.68138031760383899</v>
      </c>
      <c r="R141" s="1">
        <v>76</v>
      </c>
      <c r="S141" s="1">
        <v>74</v>
      </c>
      <c r="T141" s="1">
        <v>0</v>
      </c>
      <c r="U141" s="1">
        <f>Games[[#This Row],[PointsFor]]-Games[[#This Row],[PointsAgainst]]</f>
        <v>2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0.26087449490050624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74.650000000000006</v>
      </c>
      <c r="Z141" s="4">
        <f>Games[[#This Row],[K]]*Games[[#This Row],[POMult]]</f>
        <v>74.650000000000006</v>
      </c>
      <c r="AA141" s="4">
        <f>(Games[[#This Row],[Keff]]*Games[[#This Row],[MOVMult]])*(Games[[#This Row],[Result]]-Games[[#This Row],[ExpectedWin%]])</f>
        <v>6.2048892412357075</v>
      </c>
      <c r="AB141" s="4">
        <f>Games[[#This Row],[PreGmRate]]+Games[[#This Row],[RatingChange]]</f>
        <v>1581.7770928963835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38885</v>
      </c>
      <c r="B142" s="2">
        <v>2006</v>
      </c>
      <c r="C142" s="2">
        <f>COUNTIFS(Games[Team],Games[[#This Row],[Team]],Games[Season],Games[[#This Row],[Season]],Games[Date],"&lt;=" &amp; Games[[#This Row],[Date]])</f>
        <v>11</v>
      </c>
      <c r="D142" s="2" t="s">
        <v>23</v>
      </c>
      <c r="E142" s="2" t="s">
        <v>29</v>
      </c>
      <c r="F142" s="1" t="s">
        <v>66</v>
      </c>
      <c r="G142" s="1" t="s">
        <v>73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-1</v>
      </c>
      <c r="L142" s="2">
        <f>Games[[#This Row],[OppDaysOff]]-Games[[#This Row],[DaysOff]]</f>
        <v>1</v>
      </c>
      <c r="M142" s="1">
        <f>MAX(-16, MIN(16, Games[[#This Row],[RestDiff]]*8))</f>
        <v>-8</v>
      </c>
      <c r="N142" s="1">
        <f>MAX(-16, MIN(16, Games[[#This Row],[OppRestDiff]]*8))</f>
        <v>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1425.8886664249937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1541.2468413253339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0.2244879816848781</v>
      </c>
      <c r="R142" s="1">
        <v>70</v>
      </c>
      <c r="S142" s="1">
        <v>88</v>
      </c>
      <c r="T142" s="1">
        <v>0</v>
      </c>
      <c r="U142" s="1">
        <f>Games[[#This Row],[PointsFor]]-Games[[#This Row],[PointsAgainst]]</f>
        <v>-18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0.49887607122775013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-8.326581582038413</v>
      </c>
      <c r="AB142" s="4">
        <f>Games[[#This Row],[PreGmRate]]+Games[[#This Row],[RatingChange]]</f>
        <v>1417.5620848429553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38885</v>
      </c>
      <c r="B143" s="2">
        <v>2006</v>
      </c>
      <c r="C143" s="2">
        <f>COUNTIFS(Games[Team],Games[[#This Row],[Team]],Games[Season],Games[[#This Row],[Season]],Games[Date],"&lt;=" &amp; Games[[#This Row],[Date]])</f>
        <v>10</v>
      </c>
      <c r="D143" s="2" t="s">
        <v>23</v>
      </c>
      <c r="E143" s="2" t="s">
        <v>29</v>
      </c>
      <c r="F143" s="1" t="s">
        <v>73</v>
      </c>
      <c r="G143" s="1" t="s">
        <v>66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3" s="2">
        <f>Games[[#This Row],[DaysOff]]-Games[[#This Row],[OppDaysOff]]</f>
        <v>1</v>
      </c>
      <c r="L143" s="2">
        <f>Games[[#This Row],[OppDaysOff]]-Games[[#This Row],[DaysOff]]</f>
        <v>-1</v>
      </c>
      <c r="M143" s="1">
        <f>MAX(-16, MIN(16, Games[[#This Row],[RestDiff]]*8))</f>
        <v>8</v>
      </c>
      <c r="N143" s="1">
        <f>MAX(-16, MIN(16, Games[[#This Row],[OppRestDiff]]*8))</f>
        <v>-8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1541.2468413253339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1425.8886664249937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0.77551201831512195</v>
      </c>
      <c r="R143" s="1">
        <v>88</v>
      </c>
      <c r="S143" s="1">
        <v>70</v>
      </c>
      <c r="T143" s="1">
        <v>0</v>
      </c>
      <c r="U143" s="1">
        <f>Games[[#This Row],[PointsFor]]-Games[[#This Row],[PointsAgainst]]</f>
        <v>18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0.49887607122775013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74.5</v>
      </c>
      <c r="Z143" s="4">
        <f>Games[[#This Row],[K]]*Games[[#This Row],[POMult]]</f>
        <v>74.5</v>
      </c>
      <c r="AA143" s="4">
        <f>(Games[[#This Row],[Keff]]*Games[[#This Row],[MOVMult]])*(Games[[#This Row],[Result]]-Games[[#This Row],[ExpectedWin%]])</f>
        <v>8.343380334389531</v>
      </c>
      <c r="AB143" s="4">
        <f>Games[[#This Row],[PreGmRate]]+Games[[#This Row],[RatingChange]]</f>
        <v>1549.5902216597235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38886</v>
      </c>
      <c r="B144" s="2">
        <v>2006</v>
      </c>
      <c r="C144" s="2">
        <f>COUNTIFS(Games[Team],Games[[#This Row],[Team]],Games[Season],Games[[#This Row],[Season]],Games[Date],"&lt;=" &amp; Games[[#This Row],[Date]])</f>
        <v>9</v>
      </c>
      <c r="D144" s="2" t="s">
        <v>23</v>
      </c>
      <c r="E144" s="2" t="s">
        <v>29</v>
      </c>
      <c r="F144" s="1" t="s">
        <v>64</v>
      </c>
      <c r="G144" s="1" t="s">
        <v>79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1</v>
      </c>
      <c r="L144" s="2">
        <f>Games[[#This Row],[OppDaysOff]]-Games[[#This Row],[DaysOff]]</f>
        <v>-1</v>
      </c>
      <c r="M144" s="1">
        <f>MAX(-16, MIN(16, Games[[#This Row],[RestDiff]]*8))</f>
        <v>8</v>
      </c>
      <c r="N144" s="1">
        <f>MAX(-16, MIN(16, Games[[#This Row],[OppRestDiff]]*8))</f>
        <v>-8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1378.1236505680513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1555.1755585303265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0.19613436480831764</v>
      </c>
      <c r="R144" s="1">
        <v>85</v>
      </c>
      <c r="S144" s="1">
        <v>92</v>
      </c>
      <c r="T144" s="1">
        <v>1</v>
      </c>
      <c r="U144" s="1">
        <f>Games[[#This Row],[PointsFor]]-Games[[#This Row],[PointsAgainst]]</f>
        <v>-7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0.29026919317632288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74.650000000000006</v>
      </c>
      <c r="Z144" s="4">
        <f>Games[[#This Row],[K]]*Games[[#This Row],[POMult]]</f>
        <v>74.650000000000006</v>
      </c>
      <c r="AA144" s="4">
        <f>(Games[[#This Row],[Keff]]*Games[[#This Row],[MOVMult]])*(Games[[#This Row],[Result]]-Games[[#This Row],[ExpectedWin%]])</f>
        <v>-4.2499561696900994</v>
      </c>
      <c r="AB144" s="4">
        <f>Games[[#This Row],[PreGmRate]]+Games[[#This Row],[RatingChange]]</f>
        <v>1373.8736943983613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38886</v>
      </c>
      <c r="B145" s="2">
        <v>2006</v>
      </c>
      <c r="C145" s="2">
        <f>COUNTIFS(Games[Team],Games[[#This Row],[Team]],Games[Season],Games[[#This Row],[Season]],Games[Date],"&lt;=" &amp; Games[[#This Row],[Date]])</f>
        <v>12</v>
      </c>
      <c r="D145" s="2" t="s">
        <v>23</v>
      </c>
      <c r="E145" s="2" t="s">
        <v>29</v>
      </c>
      <c r="F145" s="1" t="s">
        <v>79</v>
      </c>
      <c r="G145" s="1" t="s">
        <v>64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-1</v>
      </c>
      <c r="L145" s="2">
        <f>Games[[#This Row],[OppDaysOff]]-Games[[#This Row],[DaysOff]]</f>
        <v>1</v>
      </c>
      <c r="M145" s="1">
        <f>MAX(-16, MIN(16, Games[[#This Row],[RestDiff]]*8))</f>
        <v>-8</v>
      </c>
      <c r="N145" s="1">
        <f>MAX(-16, MIN(16, Games[[#This Row],[OppRestDiff]]*8))</f>
        <v>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1555.1755585303265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1378.1236505680513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0.80386563519168241</v>
      </c>
      <c r="R145" s="1">
        <v>92</v>
      </c>
      <c r="S145" s="1">
        <v>85</v>
      </c>
      <c r="T145" s="1">
        <v>1</v>
      </c>
      <c r="U145" s="1">
        <f>Games[[#This Row],[PointsFor]]-Games[[#This Row],[PointsAgainst]]</f>
        <v>7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0.29026919317632288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4.2243368759679205</v>
      </c>
      <c r="AB145" s="4">
        <f>Games[[#This Row],[PreGmRate]]+Games[[#This Row],[RatingChange]]</f>
        <v>1559.3998954062945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38886</v>
      </c>
      <c r="B146" s="2">
        <v>2006</v>
      </c>
      <c r="C146" s="2">
        <f>COUNTIFS(Games[Team],Games[[#This Row],[Team]],Games[Season],Games[[#This Row],[Season]],Games[Date],"&lt;=" &amp; Games[[#This Row],[Date]])</f>
        <v>10</v>
      </c>
      <c r="D146" s="2" t="s">
        <v>23</v>
      </c>
      <c r="E146" s="2" t="s">
        <v>29</v>
      </c>
      <c r="F146" s="1" t="s">
        <v>45</v>
      </c>
      <c r="G146" s="1" t="s">
        <v>70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1581.7770928963835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1529.5411456462784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0.45441478930838719</v>
      </c>
      <c r="R146" s="1">
        <v>69</v>
      </c>
      <c r="S146" s="1">
        <v>80</v>
      </c>
      <c r="T146" s="1">
        <v>0</v>
      </c>
      <c r="U146" s="1">
        <f>Games[[#This Row],[PointsFor]]-Games[[#This Row],[PointsAgainst]]</f>
        <v>-11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0.42148859044352388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74.5</v>
      </c>
      <c r="Z146" s="4">
        <f>Games[[#This Row],[K]]*Games[[#This Row],[POMult]]</f>
        <v>74.5</v>
      </c>
      <c r="AA146" s="4">
        <f>(Games[[#This Row],[Keff]]*Games[[#This Row],[MOVMult]])*(Games[[#This Row],[Result]]-Games[[#This Row],[ExpectedWin%]])</f>
        <v>-14.269033352160083</v>
      </c>
      <c r="AB146" s="4">
        <f>Games[[#This Row],[PreGmRate]]+Games[[#This Row],[RatingChange]]</f>
        <v>1567.5080595442234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38886</v>
      </c>
      <c r="B147" s="2">
        <v>2006</v>
      </c>
      <c r="C147" s="2">
        <f>COUNTIFS(Games[Team],Games[[#This Row],[Team]],Games[Season],Games[[#This Row],[Season]],Games[Date],"&lt;=" &amp; Games[[#This Row],[Date]])</f>
        <v>11</v>
      </c>
      <c r="D147" s="2" t="s">
        <v>23</v>
      </c>
      <c r="E147" s="2" t="s">
        <v>29</v>
      </c>
      <c r="F147" s="1" t="s">
        <v>70</v>
      </c>
      <c r="G147" s="1" t="s">
        <v>45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1529.5411456462784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1581.7770928963835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0.54558521069161292</v>
      </c>
      <c r="R147" s="1">
        <v>80</v>
      </c>
      <c r="S147" s="1">
        <v>69</v>
      </c>
      <c r="T147" s="1">
        <v>0</v>
      </c>
      <c r="U147" s="1">
        <f>Games[[#This Row],[PointsFor]]-Games[[#This Row],[PointsAgainst]]</f>
        <v>11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0.42148859044352388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74.349999999999994</v>
      </c>
      <c r="Z147" s="4">
        <f>Games[[#This Row],[K]]*Games[[#This Row],[POMult]]</f>
        <v>74.349999999999994</v>
      </c>
      <c r="AA147" s="4">
        <f>(Games[[#This Row],[Keff]]*Games[[#This Row],[MOVMult]])*(Games[[#This Row],[Result]]-Games[[#This Row],[ExpectedWin%]])</f>
        <v>14.240303754806737</v>
      </c>
      <c r="AB147" s="4">
        <f>Games[[#This Row],[PreGmRate]]+Games[[#This Row],[RatingChange]]</f>
        <v>1543.7814494010852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38886</v>
      </c>
      <c r="B148" s="2">
        <v>2006</v>
      </c>
      <c r="C148" s="2">
        <f>COUNTIFS(Games[Team],Games[[#This Row],[Team]],Games[Season],Games[[#This Row],[Season]],Games[Date],"&lt;=" &amp; Games[[#This Row],[Date]])</f>
        <v>9</v>
      </c>
      <c r="D148" s="2" t="s">
        <v>23</v>
      </c>
      <c r="E148" s="2" t="s">
        <v>29</v>
      </c>
      <c r="F148" s="1" t="s">
        <v>44</v>
      </c>
      <c r="G148" s="1" t="s">
        <v>77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1476.67820386417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1453.8500535389969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0.41286515523971229</v>
      </c>
      <c r="R148" s="1">
        <v>82</v>
      </c>
      <c r="S148" s="1">
        <v>94</v>
      </c>
      <c r="T148" s="1">
        <v>0</v>
      </c>
      <c r="U148" s="1">
        <f>Games[[#This Row],[PointsFor]]-Games[[#This Row],[PointsAgainst]]</f>
        <v>-12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0.44761427151173838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74.650000000000006</v>
      </c>
      <c r="Z148" s="4">
        <f>Games[[#This Row],[K]]*Games[[#This Row],[POMult]]</f>
        <v>74.650000000000006</v>
      </c>
      <c r="AA148" s="4">
        <f>(Games[[#This Row],[Keff]]*Games[[#This Row],[MOVMult]])*(Games[[#This Row],[Result]]-Games[[#This Row],[ExpectedWin%]])</f>
        <v>-13.795643659647025</v>
      </c>
      <c r="AB148" s="4">
        <f>Games[[#This Row],[PreGmRate]]+Games[[#This Row],[RatingChange]]</f>
        <v>1462.8825602045229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38886</v>
      </c>
      <c r="B149" s="2">
        <v>2006</v>
      </c>
      <c r="C149" s="2">
        <f>COUNTIFS(Games[Team],Games[[#This Row],[Team]],Games[Season],Games[[#This Row],[Season]],Games[Date],"&lt;=" &amp; Games[[#This Row],[Date]])</f>
        <v>11</v>
      </c>
      <c r="D149" s="2" t="s">
        <v>23</v>
      </c>
      <c r="E149" s="2" t="s">
        <v>29</v>
      </c>
      <c r="F149" s="1" t="s">
        <v>77</v>
      </c>
      <c r="G149" s="1" t="s">
        <v>44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1453.8500535389969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1476.67820386417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0.58713484476028766</v>
      </c>
      <c r="R149" s="1">
        <v>94</v>
      </c>
      <c r="S149" s="1">
        <v>82</v>
      </c>
      <c r="T149" s="1">
        <v>0</v>
      </c>
      <c r="U149" s="1">
        <f>Games[[#This Row],[PointsFor]]-Games[[#This Row],[PointsAgainst]]</f>
        <v>12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0.44761427151173838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13.740202358938461</v>
      </c>
      <c r="AB149" s="4">
        <f>Games[[#This Row],[PreGmRate]]+Games[[#This Row],[RatingChange]]</f>
        <v>1467.5902558979353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38888</v>
      </c>
      <c r="B150" s="2">
        <v>2006</v>
      </c>
      <c r="C150" s="2">
        <f>COUNTIFS(Games[Team],Games[[#This Row],[Team]],Games[Season],Games[[#This Row],[Season]],Games[Date],"&lt;=" &amp; Games[[#This Row],[Date]])</f>
        <v>11</v>
      </c>
      <c r="D150" s="2" t="s">
        <v>23</v>
      </c>
      <c r="E150" s="2" t="s">
        <v>29</v>
      </c>
      <c r="F150" s="1" t="s">
        <v>86</v>
      </c>
      <c r="G150" s="1" t="s">
        <v>64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1</v>
      </c>
      <c r="L150" s="2">
        <f>Games[[#This Row],[OppDaysOff]]-Games[[#This Row],[DaysOff]]</f>
        <v>-1</v>
      </c>
      <c r="M150" s="1">
        <f>MAX(-16, MIN(16, Games[[#This Row],[RestDiff]]*8))</f>
        <v>8</v>
      </c>
      <c r="N150" s="1">
        <f>MAX(-16, MIN(16, Games[[#This Row],[OppRestDiff]]*8))</f>
        <v>-8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1610.5896815066865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1373.8736943983613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0.72536007131325109</v>
      </c>
      <c r="R150" s="1">
        <v>90</v>
      </c>
      <c r="S150" s="1">
        <v>66</v>
      </c>
      <c r="T150" s="1">
        <v>0</v>
      </c>
      <c r="U150" s="1">
        <f>Games[[#This Row],[PointsFor]]-Games[[#This Row],[PointsAgainst]]</f>
        <v>24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0.52488948693024129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74.349999999999994</v>
      </c>
      <c r="Z150" s="4">
        <f>Games[[#This Row],[K]]*Games[[#This Row],[POMult]]</f>
        <v>74.349999999999994</v>
      </c>
      <c r="AA150" s="4">
        <f>(Games[[#This Row],[Keff]]*Games[[#This Row],[MOVMult]])*(Games[[#This Row],[Result]]-Games[[#This Row],[ExpectedWin%]])</f>
        <v>10.71796969710261</v>
      </c>
      <c r="AB150" s="4">
        <f>Games[[#This Row],[PreGmRate]]+Games[[#This Row],[RatingChange]]</f>
        <v>1621.3076512037892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38888</v>
      </c>
      <c r="B151" s="2">
        <v>2006</v>
      </c>
      <c r="C151" s="2">
        <f>COUNTIFS(Games[Team],Games[[#This Row],[Team]],Games[Season],Games[[#This Row],[Season]],Games[Date],"&lt;=" &amp; Games[[#This Row],[Date]])</f>
        <v>10</v>
      </c>
      <c r="D151" s="2" t="s">
        <v>23</v>
      </c>
      <c r="E151" s="2" t="s">
        <v>29</v>
      </c>
      <c r="F151" s="1" t="s">
        <v>64</v>
      </c>
      <c r="G151" s="1" t="s">
        <v>86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-1</v>
      </c>
      <c r="L151" s="2">
        <f>Games[[#This Row],[OppDaysOff]]-Games[[#This Row],[DaysOff]]</f>
        <v>1</v>
      </c>
      <c r="M151" s="1">
        <f>MAX(-16, MIN(16, Games[[#This Row],[RestDiff]]*8))</f>
        <v>-8</v>
      </c>
      <c r="N151" s="1">
        <f>MAX(-16, MIN(16, Games[[#This Row],[OppRestDiff]]*8))</f>
        <v>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1373.8736943983613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1610.5896815066865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0.2746399286867488</v>
      </c>
      <c r="R151" s="1">
        <v>66</v>
      </c>
      <c r="S151" s="1">
        <v>90</v>
      </c>
      <c r="T151" s="1">
        <v>0</v>
      </c>
      <c r="U151" s="1">
        <f>Games[[#This Row],[PointsFor]]-Games[[#This Row],[PointsAgainst]]</f>
        <v>-24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0.52488948693024129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74.5</v>
      </c>
      <c r="Z151" s="4">
        <f>Games[[#This Row],[K]]*Games[[#This Row],[POMult]]</f>
        <v>74.5</v>
      </c>
      <c r="AA151" s="4">
        <f>(Games[[#This Row],[Keff]]*Games[[#This Row],[MOVMult]])*(Games[[#This Row],[Result]]-Games[[#This Row],[ExpectedWin%]])</f>
        <v>-10.739593038791451</v>
      </c>
      <c r="AB151" s="4">
        <f>Games[[#This Row],[PreGmRate]]+Games[[#This Row],[RatingChange]]</f>
        <v>1363.1341013595697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38889</v>
      </c>
      <c r="B152" s="2">
        <v>2006</v>
      </c>
      <c r="C152" s="2">
        <f>COUNTIFS(Games[Team],Games[[#This Row],[Team]],Games[Season],Games[[#This Row],[Season]],Games[Date],"&lt;=" &amp; Games[[#This Row],[Date]])</f>
        <v>12</v>
      </c>
      <c r="D152" s="2" t="s">
        <v>23</v>
      </c>
      <c r="E152" s="2" t="s">
        <v>29</v>
      </c>
      <c r="F152" s="1" t="s">
        <v>87</v>
      </c>
      <c r="G152" s="1" t="s">
        <v>79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1</v>
      </c>
      <c r="L152" s="2">
        <f>Games[[#This Row],[OppDaysOff]]-Games[[#This Row],[DaysOff]]</f>
        <v>-1</v>
      </c>
      <c r="M152" s="1">
        <f>MAX(-16, MIN(16, Games[[#This Row],[RestDiff]]*8))</f>
        <v>8</v>
      </c>
      <c r="N152" s="1">
        <f>MAX(-16, MIN(16, Games[[#This Row],[OppRestDiff]]*8))</f>
        <v>-8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1378.2315757167271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1559.3998954062945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0.19242520453620926</v>
      </c>
      <c r="R152" s="1">
        <v>55</v>
      </c>
      <c r="S152" s="1">
        <v>77</v>
      </c>
      <c r="T152" s="1">
        <v>0</v>
      </c>
      <c r="U152" s="1">
        <f>Games[[#This Row],[PointsFor]]-Games[[#This Row],[PointsAgainst]]</f>
        <v>-22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0.52308425793214697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-7.468570972912036</v>
      </c>
      <c r="AB152" s="4">
        <f>Games[[#This Row],[PreGmRate]]+Games[[#This Row],[RatingChange]]</f>
        <v>1370.7630047438151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38889</v>
      </c>
      <c r="B153" s="2">
        <v>2006</v>
      </c>
      <c r="C153" s="2">
        <f>COUNTIFS(Games[Team],Games[[#This Row],[Team]],Games[Season],Games[[#This Row],[Season]],Games[Date],"&lt;=" &amp; Games[[#This Row],[Date]])</f>
        <v>13</v>
      </c>
      <c r="D153" s="2" t="s">
        <v>23</v>
      </c>
      <c r="E153" s="2" t="s">
        <v>29</v>
      </c>
      <c r="F153" s="1" t="s">
        <v>79</v>
      </c>
      <c r="G153" s="1" t="s">
        <v>87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3" s="2">
        <f>Games[[#This Row],[DaysOff]]-Games[[#This Row],[OppDaysOff]]</f>
        <v>-1</v>
      </c>
      <c r="L153" s="2">
        <f>Games[[#This Row],[OppDaysOff]]-Games[[#This Row],[DaysOff]]</f>
        <v>1</v>
      </c>
      <c r="M153" s="1">
        <f>MAX(-16, MIN(16, Games[[#This Row],[RestDiff]]*8))</f>
        <v>-8</v>
      </c>
      <c r="N153" s="1">
        <f>MAX(-16, MIN(16, Games[[#This Row],[OppRestDiff]]*8))</f>
        <v>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1559.3998954062945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1378.2315757167271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0.80757479546379074</v>
      </c>
      <c r="R153" s="1">
        <v>77</v>
      </c>
      <c r="S153" s="1">
        <v>55</v>
      </c>
      <c r="T153" s="1">
        <v>0</v>
      </c>
      <c r="U153" s="1">
        <f>Games[[#This Row],[PointsFor]]-Games[[#This Row],[PointsAgainst]]</f>
        <v>22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0.52308425793214697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7.4534727836136945</v>
      </c>
      <c r="AB153" s="4">
        <f>Games[[#This Row],[PreGmRate]]+Games[[#This Row],[RatingChange]]</f>
        <v>1566.8533681899082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38889</v>
      </c>
      <c r="B154" s="2">
        <v>2006</v>
      </c>
      <c r="C154" s="2">
        <f>COUNTIFS(Games[Team],Games[[#This Row],[Team]],Games[Season],Games[[#This Row],[Season]],Games[Date],"&lt;=" &amp; Games[[#This Row],[Date]])</f>
        <v>13</v>
      </c>
      <c r="D154" s="2" t="s">
        <v>23</v>
      </c>
      <c r="E154" s="2" t="s">
        <v>29</v>
      </c>
      <c r="F154" s="1" t="s">
        <v>2</v>
      </c>
      <c r="G154" s="1" t="s">
        <v>70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4" s="2">
        <f>Games[[#This Row],[DaysOff]]-Games[[#This Row],[OppDaysOff]]</f>
        <v>1</v>
      </c>
      <c r="L154" s="2">
        <f>Games[[#This Row],[OppDaysOff]]-Games[[#This Row],[DaysOff]]</f>
        <v>-1</v>
      </c>
      <c r="M154" s="1">
        <f>MAX(-16, MIN(16, Games[[#This Row],[RestDiff]]*8))</f>
        <v>8</v>
      </c>
      <c r="N154" s="1">
        <f>MAX(-16, MIN(16, Games[[#This Row],[OppRestDiff]]*8))</f>
        <v>-8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1570.2640263523119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1543.7814494010852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0.44053440208561451</v>
      </c>
      <c r="R154" s="1">
        <v>55</v>
      </c>
      <c r="S154" s="1">
        <v>75</v>
      </c>
      <c r="T154" s="1">
        <v>0</v>
      </c>
      <c r="U154" s="1">
        <f>Games[[#This Row],[PointsFor]]-Games[[#This Row],[PointsAgainst]]</f>
        <v>-20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0.56247421993181801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-18.348793530509766</v>
      </c>
      <c r="AB154" s="4">
        <f>Games[[#This Row],[PreGmRate]]+Games[[#This Row],[RatingChange]]</f>
        <v>1551.9152328218022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38889</v>
      </c>
      <c r="B155" s="2">
        <v>2006</v>
      </c>
      <c r="C155" s="2">
        <f>COUNTIFS(Games[Team],Games[[#This Row],[Team]],Games[Season],Games[[#This Row],[Season]],Games[Date],"&lt;=" &amp; Games[[#This Row],[Date]])</f>
        <v>12</v>
      </c>
      <c r="D155" s="2" t="s">
        <v>23</v>
      </c>
      <c r="E155" s="2" t="s">
        <v>29</v>
      </c>
      <c r="F155" s="1" t="s">
        <v>70</v>
      </c>
      <c r="G155" s="1" t="s">
        <v>2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5" s="2">
        <f>Games[[#This Row],[DaysOff]]-Games[[#This Row],[OppDaysOff]]</f>
        <v>-1</v>
      </c>
      <c r="L155" s="2">
        <f>Games[[#This Row],[OppDaysOff]]-Games[[#This Row],[DaysOff]]</f>
        <v>1</v>
      </c>
      <c r="M155" s="1">
        <f>MAX(-16, MIN(16, Games[[#This Row],[RestDiff]]*8))</f>
        <v>-8</v>
      </c>
      <c r="N155" s="1">
        <f>MAX(-16, MIN(16, Games[[#This Row],[OppRestDiff]]*8))</f>
        <v>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1543.7814494010852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1570.2640263523119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0.55946559791438555</v>
      </c>
      <c r="R155" s="1">
        <v>75</v>
      </c>
      <c r="S155" s="1">
        <v>55</v>
      </c>
      <c r="T155" s="1">
        <v>0</v>
      </c>
      <c r="U155" s="1">
        <f>Games[[#This Row],[PointsFor]]-Games[[#This Row],[PointsAgainst]]</f>
        <v>20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0.56247421993181801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18.385961917134701</v>
      </c>
      <c r="AB155" s="4">
        <f>Games[[#This Row],[PreGmRate]]+Games[[#This Row],[RatingChange]]</f>
        <v>1562.1674113182198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38889</v>
      </c>
      <c r="B156" s="2">
        <v>2006</v>
      </c>
      <c r="C156" s="2">
        <f>COUNTIFS(Games[Team],Games[[#This Row],[Team]],Games[Season],Games[[#This Row],[Season]],Games[Date],"&lt;=" &amp; Games[[#This Row],[Date]])</f>
        <v>11</v>
      </c>
      <c r="D156" s="2" t="s">
        <v>23</v>
      </c>
      <c r="E156" s="2" t="s">
        <v>29</v>
      </c>
      <c r="F156" s="1" t="s">
        <v>73</v>
      </c>
      <c r="G156" s="1" t="s">
        <v>66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1549.5902216597235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1417.5620848429553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0.56868112043862462</v>
      </c>
      <c r="R156" s="1">
        <v>66</v>
      </c>
      <c r="S156" s="1">
        <v>72</v>
      </c>
      <c r="T156" s="1">
        <v>0</v>
      </c>
      <c r="U156" s="1">
        <f>Games[[#This Row],[PointsFor]]-Games[[#This Row],[PointsAgainst]]</f>
        <v>-6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0.31646246926627497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74.349999999999994</v>
      </c>
      <c r="Z156" s="4">
        <f>Games[[#This Row],[K]]*Games[[#This Row],[POMult]]</f>
        <v>74.349999999999994</v>
      </c>
      <c r="AA156" s="4">
        <f>(Games[[#This Row],[Keff]]*Games[[#This Row],[MOVMult]])*(Games[[#This Row],[Result]]-Games[[#This Row],[ExpectedWin%]])</f>
        <v>-13.380489319394501</v>
      </c>
      <c r="AB156" s="4">
        <f>Games[[#This Row],[PreGmRate]]+Games[[#This Row],[RatingChange]]</f>
        <v>1536.2097323403291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38889</v>
      </c>
      <c r="B157" s="2">
        <v>2006</v>
      </c>
      <c r="C157" s="2">
        <f>COUNTIFS(Games[Team],Games[[#This Row],[Team]],Games[Season],Games[[#This Row],[Season]],Games[Date],"&lt;=" &amp; Games[[#This Row],[Date]])</f>
        <v>12</v>
      </c>
      <c r="D157" s="2" t="s">
        <v>23</v>
      </c>
      <c r="E157" s="2" t="s">
        <v>29</v>
      </c>
      <c r="F157" s="1" t="s">
        <v>66</v>
      </c>
      <c r="G157" s="1" t="s">
        <v>73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1417.5620848429553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1549.5902216597235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0.43131887956137532</v>
      </c>
      <c r="R157" s="1">
        <v>72</v>
      </c>
      <c r="S157" s="1">
        <v>66</v>
      </c>
      <c r="T157" s="1">
        <v>0</v>
      </c>
      <c r="U157" s="1">
        <f>Games[[#This Row],[PointsFor]]-Games[[#This Row],[PointsAgainst]]</f>
        <v>6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0.31646246926627497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74.2</v>
      </c>
      <c r="Z157" s="4">
        <f>Games[[#This Row],[K]]*Games[[#This Row],[POMult]]</f>
        <v>74.2</v>
      </c>
      <c r="AA157" s="4">
        <f>(Games[[#This Row],[Keff]]*Games[[#This Row],[MOVMult]])*(Games[[#This Row],[Result]]-Games[[#This Row],[ExpectedWin%]])</f>
        <v>13.353494384654635</v>
      </c>
      <c r="AB157" s="4">
        <f>Games[[#This Row],[PreGmRate]]+Games[[#This Row],[RatingChange]]</f>
        <v>1430.9155792276099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38889</v>
      </c>
      <c r="B158" s="2">
        <v>2006</v>
      </c>
      <c r="C158" s="2">
        <f>COUNTIFS(Games[Team],Games[[#This Row],[Team]],Games[Season],Games[[#This Row],[Season]],Games[Date],"&lt;=" &amp; Games[[#This Row],[Date]])</f>
        <v>11</v>
      </c>
      <c r="D158" s="2" t="s">
        <v>23</v>
      </c>
      <c r="E158" s="2" t="s">
        <v>29</v>
      </c>
      <c r="F158" s="1" t="s">
        <v>84</v>
      </c>
      <c r="G158" s="1" t="s">
        <v>45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1</v>
      </c>
      <c r="L158" s="2">
        <f>Games[[#This Row],[OppDaysOff]]-Games[[#This Row],[DaysOff]]</f>
        <v>-1</v>
      </c>
      <c r="M158" s="1">
        <f>MAX(-16, MIN(16, Games[[#This Row],[RestDiff]]*8))</f>
        <v>8</v>
      </c>
      <c r="N158" s="1">
        <f>MAX(-16, MIN(16, Games[[#This Row],[OppRestDiff]]*8))</f>
        <v>-8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1454.1121871325181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1567.5080595442234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0.26034068798073312</v>
      </c>
      <c r="R158" s="1">
        <v>69</v>
      </c>
      <c r="S158" s="1">
        <v>75</v>
      </c>
      <c r="T158" s="1">
        <v>0</v>
      </c>
      <c r="U158" s="1">
        <f>Games[[#This Row],[PointsFor]]-Games[[#This Row],[PointsAgainst]]</f>
        <v>-6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0.32095190959839742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74.349999999999994</v>
      </c>
      <c r="Z158" s="4">
        <f>Games[[#This Row],[K]]*Games[[#This Row],[POMult]]</f>
        <v>74.349999999999994</v>
      </c>
      <c r="AA158" s="4">
        <f>(Games[[#This Row],[Keff]]*Games[[#This Row],[MOVMult]])*(Games[[#This Row],[Result]]-Games[[#This Row],[ExpectedWin%]])</f>
        <v>-6.212451124898438</v>
      </c>
      <c r="AB158" s="4">
        <f>Games[[#This Row],[PreGmRate]]+Games[[#This Row],[RatingChange]]</f>
        <v>1447.8997360076196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38889</v>
      </c>
      <c r="B159" s="2">
        <v>2006</v>
      </c>
      <c r="C159" s="2">
        <f>COUNTIFS(Games[Team],Games[[#This Row],[Team]],Games[Season],Games[[#This Row],[Season]],Games[Date],"&lt;=" &amp; Games[[#This Row],[Date]])</f>
        <v>11</v>
      </c>
      <c r="D159" s="2" t="s">
        <v>23</v>
      </c>
      <c r="E159" s="2" t="s">
        <v>29</v>
      </c>
      <c r="F159" s="1" t="s">
        <v>45</v>
      </c>
      <c r="G159" s="1" t="s">
        <v>84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9" s="2">
        <f>Games[[#This Row],[DaysOff]]-Games[[#This Row],[OppDaysOff]]</f>
        <v>-1</v>
      </c>
      <c r="L159" s="2">
        <f>Games[[#This Row],[OppDaysOff]]-Games[[#This Row],[DaysOff]]</f>
        <v>1</v>
      </c>
      <c r="M159" s="1">
        <f>MAX(-16, MIN(16, Games[[#This Row],[RestDiff]]*8))</f>
        <v>-8</v>
      </c>
      <c r="N159" s="1">
        <f>MAX(-16, MIN(16, Games[[#This Row],[OppRestDiff]]*8))</f>
        <v>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1567.5080595442234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1454.1121871325181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0.73965931201926693</v>
      </c>
      <c r="R159" s="1">
        <v>75</v>
      </c>
      <c r="S159" s="1">
        <v>69</v>
      </c>
      <c r="T159" s="1">
        <v>0</v>
      </c>
      <c r="U159" s="1">
        <f>Games[[#This Row],[PointsFor]]-Games[[#This Row],[PointsAgainst]]</f>
        <v>6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0.32095190959839742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74.349999999999994</v>
      </c>
      <c r="Z159" s="4">
        <f>Games[[#This Row],[K]]*Games[[#This Row],[POMult]]</f>
        <v>74.349999999999994</v>
      </c>
      <c r="AA159" s="4">
        <f>(Games[[#This Row],[Keff]]*Games[[#This Row],[MOVMult]])*(Games[[#This Row],[Result]]-Games[[#This Row],[ExpectedWin%]])</f>
        <v>6.2124511248984371</v>
      </c>
      <c r="AB159" s="4">
        <f>Games[[#This Row],[PreGmRate]]+Games[[#This Row],[RatingChange]]</f>
        <v>1573.7205106691219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38889</v>
      </c>
      <c r="B160" s="2">
        <v>2006</v>
      </c>
      <c r="C160" s="2">
        <f>COUNTIFS(Games[Team],Games[[#This Row],[Team]],Games[Season],Games[[#This Row],[Season]],Games[Date],"&lt;=" &amp; Games[[#This Row],[Date]])</f>
        <v>10</v>
      </c>
      <c r="D160" s="2" t="s">
        <v>23</v>
      </c>
      <c r="E160" s="2" t="s">
        <v>29</v>
      </c>
      <c r="F160" s="1" t="s">
        <v>44</v>
      </c>
      <c r="G160" s="1" t="s">
        <v>81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1462.8825602045229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1537.3579247107384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0.26808487424151295</v>
      </c>
      <c r="R160" s="1">
        <v>87</v>
      </c>
      <c r="S160" s="1">
        <v>80</v>
      </c>
      <c r="T160" s="1">
        <v>0</v>
      </c>
      <c r="U160" s="1">
        <f>Games[[#This Row],[PointsFor]]-Games[[#This Row],[PointsAgainst]]</f>
        <v>7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0.34847955429617722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74.5</v>
      </c>
      <c r="Z160" s="4">
        <f>Games[[#This Row],[K]]*Games[[#This Row],[POMult]]</f>
        <v>74.5</v>
      </c>
      <c r="AA160" s="4">
        <f>(Games[[#This Row],[Keff]]*Games[[#This Row],[MOVMult]])*(Games[[#This Row],[Result]]-Games[[#This Row],[ExpectedWin%]])</f>
        <v>19.001780532117632</v>
      </c>
      <c r="AB160" s="4">
        <f>Games[[#This Row],[PreGmRate]]+Games[[#This Row],[RatingChange]]</f>
        <v>1481.8843407366405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38889</v>
      </c>
      <c r="B161" s="2">
        <v>2006</v>
      </c>
      <c r="C161" s="2">
        <f>COUNTIFS(Games[Team],Games[[#This Row],[Team]],Games[Season],Games[[#This Row],[Season]],Games[Date],"&lt;=" &amp; Games[[#This Row],[Date]])</f>
        <v>13</v>
      </c>
      <c r="D161" s="2" t="s">
        <v>23</v>
      </c>
      <c r="E161" s="2" t="s">
        <v>29</v>
      </c>
      <c r="F161" s="1" t="s">
        <v>81</v>
      </c>
      <c r="G161" s="1" t="s">
        <v>44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1537.3579247107384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1462.8825602045229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0.73191512575848705</v>
      </c>
      <c r="R161" s="1">
        <v>80</v>
      </c>
      <c r="S161" s="1">
        <v>87</v>
      </c>
      <c r="T161" s="1">
        <v>0</v>
      </c>
      <c r="U161" s="1">
        <f>Games[[#This Row],[PointsFor]]-Games[[#This Row],[PointsAgainst]]</f>
        <v>-7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0.34847955429617722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-18.887004676554504</v>
      </c>
      <c r="AB161" s="4">
        <f>Games[[#This Row],[PreGmRate]]+Games[[#This Row],[RatingChange]]</f>
        <v>1518.470920034184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38890</v>
      </c>
      <c r="B162" s="2">
        <v>2006</v>
      </c>
      <c r="C162" s="2">
        <f>COUNTIFS(Games[Team],Games[[#This Row],[Team]],Games[Season],Games[[#This Row],[Season]],Games[Date],"&lt;=" &amp; Games[[#This Row],[Date]])</f>
        <v>11</v>
      </c>
      <c r="D162" s="2" t="s">
        <v>23</v>
      </c>
      <c r="E162" s="2" t="s">
        <v>29</v>
      </c>
      <c r="F162" s="1" t="s">
        <v>75</v>
      </c>
      <c r="G162" s="1" t="s">
        <v>64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3</v>
      </c>
      <c r="L162" s="2">
        <f>Games[[#This Row],[OppDaysOff]]-Games[[#This Row],[DaysOff]]</f>
        <v>-3</v>
      </c>
      <c r="M162" s="1">
        <f>MAX(-16, MIN(16, Games[[#This Row],[RestDiff]]*8))</f>
        <v>16</v>
      </c>
      <c r="N162" s="1">
        <f>MAX(-16, MIN(16, Games[[#This Row],[OppRestDiff]]*8))</f>
        <v>-16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1512.4932491790989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1363.1341013595697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0.63655533790351648</v>
      </c>
      <c r="R162" s="1">
        <v>86</v>
      </c>
      <c r="S162" s="1">
        <v>74</v>
      </c>
      <c r="T162" s="1">
        <v>0</v>
      </c>
      <c r="U162" s="1">
        <f>Games[[#This Row],[PointsFor]]-Games[[#This Row],[PointsAgainst]]</f>
        <v>12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0.40564095376411619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74.349999999999994</v>
      </c>
      <c r="Z162" s="4">
        <f>Games[[#This Row],[K]]*Games[[#This Row],[POMult]]</f>
        <v>74.349999999999994</v>
      </c>
      <c r="AA162" s="4">
        <f>(Games[[#This Row],[Keff]]*Games[[#This Row],[MOVMult]])*(Games[[#This Row],[Result]]-Games[[#This Row],[ExpectedWin%]])</f>
        <v>10.961274727404446</v>
      </c>
      <c r="AB162" s="4">
        <f>Games[[#This Row],[PreGmRate]]+Games[[#This Row],[RatingChange]]</f>
        <v>1523.4545239065035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38890</v>
      </c>
      <c r="B163" s="2">
        <v>2006</v>
      </c>
      <c r="C163" s="2">
        <f>COUNTIFS(Games[Team],Games[[#This Row],[Team]],Games[Season],Games[[#This Row],[Season]],Games[Date],"&lt;=" &amp; Games[[#This Row],[Date]])</f>
        <v>11</v>
      </c>
      <c r="D163" s="2" t="s">
        <v>23</v>
      </c>
      <c r="E163" s="2" t="s">
        <v>29</v>
      </c>
      <c r="F163" s="1" t="s">
        <v>64</v>
      </c>
      <c r="G163" s="1" t="s">
        <v>75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3" s="2">
        <f>Games[[#This Row],[DaysOff]]-Games[[#This Row],[OppDaysOff]]</f>
        <v>-3</v>
      </c>
      <c r="L163" s="2">
        <f>Games[[#This Row],[OppDaysOff]]-Games[[#This Row],[DaysOff]]</f>
        <v>3</v>
      </c>
      <c r="M163" s="1">
        <f>MAX(-16, MIN(16, Games[[#This Row],[RestDiff]]*8))</f>
        <v>-16</v>
      </c>
      <c r="N163" s="1">
        <f>MAX(-16, MIN(16, Games[[#This Row],[OppRestDiff]]*8))</f>
        <v>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1363.1341013595697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1512.4932491790989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0.36344466209648346</v>
      </c>
      <c r="R163" s="1">
        <v>74</v>
      </c>
      <c r="S163" s="1">
        <v>86</v>
      </c>
      <c r="T163" s="1">
        <v>0</v>
      </c>
      <c r="U163" s="1">
        <f>Games[[#This Row],[PointsFor]]-Games[[#This Row],[PointsAgainst]]</f>
        <v>-12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0.40564095376411619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74.349999999999994</v>
      </c>
      <c r="Z163" s="4">
        <f>Games[[#This Row],[K]]*Games[[#This Row],[POMult]]</f>
        <v>74.349999999999994</v>
      </c>
      <c r="AA163" s="4">
        <f>(Games[[#This Row],[Keff]]*Games[[#This Row],[MOVMult]])*(Games[[#This Row],[Result]]-Games[[#This Row],[ExpectedWin%]])</f>
        <v>-10.961274727404444</v>
      </c>
      <c r="AB163" s="4">
        <f>Games[[#This Row],[PreGmRate]]+Games[[#This Row],[RatingChange]]</f>
        <v>1352.1728266321652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38890</v>
      </c>
      <c r="B164" s="2">
        <v>2006</v>
      </c>
      <c r="C164" s="2">
        <f>COUNTIFS(Games[Team],Games[[#This Row],[Team]],Games[Season],Games[[#This Row],[Season]],Games[Date],"&lt;=" &amp; Games[[#This Row],[Date]])</f>
        <v>12</v>
      </c>
      <c r="D164" s="2" t="s">
        <v>23</v>
      </c>
      <c r="E164" s="2" t="s">
        <v>29</v>
      </c>
      <c r="F164" s="1" t="s">
        <v>77</v>
      </c>
      <c r="G164" s="1" t="s">
        <v>86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2</v>
      </c>
      <c r="L164" s="2">
        <f>Games[[#This Row],[OppDaysOff]]-Games[[#This Row],[DaysOff]]</f>
        <v>-2</v>
      </c>
      <c r="M164" s="1">
        <f>MAX(-16, MIN(16, Games[[#This Row],[RestDiff]]*8))</f>
        <v>16</v>
      </c>
      <c r="N164" s="1">
        <f>MAX(-16, MIN(16, Games[[#This Row],[OppRestDiff]]*8))</f>
        <v>-16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1467.5902558979353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1621.3076512037892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0.23429705476395066</v>
      </c>
      <c r="R164" s="1">
        <v>62</v>
      </c>
      <c r="S164" s="1">
        <v>79</v>
      </c>
      <c r="T164" s="1">
        <v>0</v>
      </c>
      <c r="U164" s="1">
        <f>Games[[#This Row],[PointsFor]]-Games[[#This Row],[PointsAgainst]]</f>
        <v>-17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0.47198217671867859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74.2</v>
      </c>
      <c r="Z164" s="4">
        <f>Games[[#This Row],[K]]*Games[[#This Row],[POMult]]</f>
        <v>74.2</v>
      </c>
      <c r="AA164" s="4">
        <f>(Games[[#This Row],[Keff]]*Games[[#This Row],[MOVMult]])*(Games[[#This Row],[Result]]-Games[[#This Row],[ExpectedWin%]])</f>
        <v>-8.2053353158448541</v>
      </c>
      <c r="AB164" s="4">
        <f>Games[[#This Row],[PreGmRate]]+Games[[#This Row],[RatingChange]]</f>
        <v>1459.3849205820904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38890</v>
      </c>
      <c r="B165" s="2">
        <v>2006</v>
      </c>
      <c r="C165" s="2">
        <f>COUNTIFS(Games[Team],Games[[#This Row],[Team]],Games[Season],Games[[#This Row],[Season]],Games[Date],"&lt;=" &amp; Games[[#This Row],[Date]])</f>
        <v>12</v>
      </c>
      <c r="D165" s="2" t="s">
        <v>23</v>
      </c>
      <c r="E165" s="2" t="s">
        <v>29</v>
      </c>
      <c r="F165" s="1" t="s">
        <v>86</v>
      </c>
      <c r="G165" s="1" t="s">
        <v>77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5" s="2">
        <f>Games[[#This Row],[DaysOff]]-Games[[#This Row],[OppDaysOff]]</f>
        <v>-2</v>
      </c>
      <c r="L165" s="2">
        <f>Games[[#This Row],[OppDaysOff]]-Games[[#This Row],[DaysOff]]</f>
        <v>2</v>
      </c>
      <c r="M165" s="1">
        <f>MAX(-16, MIN(16, Games[[#This Row],[RestDiff]]*8))</f>
        <v>-16</v>
      </c>
      <c r="N165" s="1">
        <f>MAX(-16, MIN(16, Games[[#This Row],[OppRestDiff]]*8))</f>
        <v>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1621.3076512037892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1467.5902558979353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0.76570294523604931</v>
      </c>
      <c r="R165" s="1">
        <v>79</v>
      </c>
      <c r="S165" s="1">
        <v>62</v>
      </c>
      <c r="T165" s="1">
        <v>0</v>
      </c>
      <c r="U165" s="1">
        <f>Games[[#This Row],[PointsFor]]-Games[[#This Row],[PointsAgainst]]</f>
        <v>17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0.47198217671867859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8.2053353158448559</v>
      </c>
      <c r="AB165" s="4">
        <f>Games[[#This Row],[PreGmRate]]+Games[[#This Row],[RatingChange]]</f>
        <v>1629.5129865196341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38891</v>
      </c>
      <c r="B166" s="2">
        <v>2006</v>
      </c>
      <c r="C166" s="2">
        <f>COUNTIFS(Games[Team],Games[[#This Row],[Team]],Games[Season],Games[[#This Row],[Season]],Games[Date],"&lt;=" &amp; Games[[#This Row],[Date]])</f>
        <v>13</v>
      </c>
      <c r="D166" s="2" t="s">
        <v>23</v>
      </c>
      <c r="E166" s="2" t="s">
        <v>29</v>
      </c>
      <c r="F166" s="1" t="s">
        <v>86</v>
      </c>
      <c r="G166" s="1" t="s">
        <v>87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1629.5129865196341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1370.7630047438151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0.71378496608279507</v>
      </c>
      <c r="R166" s="1">
        <v>84</v>
      </c>
      <c r="S166" s="1">
        <v>79</v>
      </c>
      <c r="T166" s="1">
        <v>0</v>
      </c>
      <c r="U166" s="1">
        <f>Games[[#This Row],[PointsFor]]-Games[[#This Row],[PointsAgainst]]</f>
        <v>5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0.27290980327475917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74.05</v>
      </c>
      <c r="Z166" s="4">
        <f>Games[[#This Row],[K]]*Games[[#This Row],[POMult]]</f>
        <v>74.05</v>
      </c>
      <c r="AA166" s="4">
        <f>(Games[[#This Row],[Keff]]*Games[[#This Row],[MOVMult]])*(Games[[#This Row],[Result]]-Games[[#This Row],[ExpectedWin%]])</f>
        <v>5.7841113008761269</v>
      </c>
      <c r="AB166" s="4">
        <f>Games[[#This Row],[PreGmRate]]+Games[[#This Row],[RatingChange]]</f>
        <v>1635.2970978205101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38891</v>
      </c>
      <c r="B167" s="2">
        <v>2006</v>
      </c>
      <c r="C167" s="2">
        <f>COUNTIFS(Games[Team],Games[[#This Row],[Team]],Games[Season],Games[[#This Row],[Season]],Games[Date],"&lt;=" &amp; Games[[#This Row],[Date]])</f>
        <v>13</v>
      </c>
      <c r="D167" s="2" t="s">
        <v>23</v>
      </c>
      <c r="E167" s="2" t="s">
        <v>29</v>
      </c>
      <c r="F167" s="1" t="s">
        <v>87</v>
      </c>
      <c r="G167" s="1" t="s">
        <v>86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1370.7630047438151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1629.5129865196341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0.28621503391720493</v>
      </c>
      <c r="R167" s="1">
        <v>79</v>
      </c>
      <c r="S167" s="1">
        <v>84</v>
      </c>
      <c r="T167" s="1">
        <v>0</v>
      </c>
      <c r="U167" s="1">
        <f>Games[[#This Row],[PointsFor]]-Games[[#This Row],[PointsAgainst]]</f>
        <v>-5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0.27290980327475917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-5.7841113008761269</v>
      </c>
      <c r="AB167" s="4">
        <f>Games[[#This Row],[PreGmRate]]+Games[[#This Row],[RatingChange]]</f>
        <v>1364.9788934429391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38891</v>
      </c>
      <c r="B168" s="2">
        <v>2006</v>
      </c>
      <c r="C168" s="2">
        <f>COUNTIFS(Games[Team],Games[[#This Row],[Team]],Games[Season],Games[[#This Row],[Season]],Games[Date],"&lt;=" &amp; Games[[#This Row],[Date]])</f>
        <v>12</v>
      </c>
      <c r="D168" s="2" t="s">
        <v>23</v>
      </c>
      <c r="E168" s="2" t="s">
        <v>29</v>
      </c>
      <c r="F168" s="1" t="s">
        <v>64</v>
      </c>
      <c r="G168" s="1" t="s">
        <v>2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-1</v>
      </c>
      <c r="L168" s="2">
        <f>Games[[#This Row],[OppDaysOff]]-Games[[#This Row],[DaysOff]]</f>
        <v>1</v>
      </c>
      <c r="M168" s="1">
        <f>MAX(-16, MIN(16, Games[[#This Row],[RestDiff]]*8))</f>
        <v>-8</v>
      </c>
      <c r="N168" s="1">
        <f>MAX(-16, MIN(16, Games[[#This Row],[OppRestDiff]]*8))</f>
        <v>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1352.1728266321652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1551.9152328218022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0.15116973165641051</v>
      </c>
      <c r="R168" s="1">
        <v>70</v>
      </c>
      <c r="S168" s="1">
        <v>85</v>
      </c>
      <c r="T168" s="1">
        <v>0</v>
      </c>
      <c r="U168" s="1">
        <f>Games[[#This Row],[PointsFor]]-Games[[#This Row],[PointsAgainst]]</f>
        <v>-15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0.43109191447384443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74.2</v>
      </c>
      <c r="Z168" s="4">
        <f>Games[[#This Row],[K]]*Games[[#This Row],[POMult]]</f>
        <v>74.2</v>
      </c>
      <c r="AA168" s="4">
        <f>(Games[[#This Row],[Keff]]*Games[[#This Row],[MOVMult]])*(Games[[#This Row],[Result]]-Games[[#This Row],[ExpectedWin%]])</f>
        <v>-4.8354692380452429</v>
      </c>
      <c r="AB168" s="4">
        <f>Games[[#This Row],[PreGmRate]]+Games[[#This Row],[RatingChange]]</f>
        <v>1347.3373573941199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38891</v>
      </c>
      <c r="B169" s="2">
        <v>2006</v>
      </c>
      <c r="C169" s="2">
        <f>COUNTIFS(Games[Team],Games[[#This Row],[Team]],Games[Season],Games[[#This Row],[Season]],Games[Date],"&lt;=" &amp; Games[[#This Row],[Date]])</f>
        <v>14</v>
      </c>
      <c r="D169" s="2" t="s">
        <v>23</v>
      </c>
      <c r="E169" s="2" t="s">
        <v>29</v>
      </c>
      <c r="F169" s="1" t="s">
        <v>2</v>
      </c>
      <c r="G169" s="1" t="s">
        <v>64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9" s="2">
        <f>Games[[#This Row],[DaysOff]]-Games[[#This Row],[OppDaysOff]]</f>
        <v>1</v>
      </c>
      <c r="L169" s="2">
        <f>Games[[#This Row],[OppDaysOff]]-Games[[#This Row],[DaysOff]]</f>
        <v>-1</v>
      </c>
      <c r="M169" s="1">
        <f>MAX(-16, MIN(16, Games[[#This Row],[RestDiff]]*8))</f>
        <v>8</v>
      </c>
      <c r="N169" s="1">
        <f>MAX(-16, MIN(16, Games[[#This Row],[OppRestDiff]]*8))</f>
        <v>-8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1551.9152328218022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1352.1728266321652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0.84883026834358943</v>
      </c>
      <c r="R169" s="1">
        <v>85</v>
      </c>
      <c r="S169" s="1">
        <v>70</v>
      </c>
      <c r="T169" s="1">
        <v>0</v>
      </c>
      <c r="U169" s="1">
        <f>Games[[#This Row],[PointsFor]]-Games[[#This Row],[PointsAgainst]]</f>
        <v>15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0.43109191447384443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4.8159188233361672</v>
      </c>
      <c r="AB169" s="4">
        <f>Games[[#This Row],[PreGmRate]]+Games[[#This Row],[RatingChange]]</f>
        <v>1556.7311516451384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38891</v>
      </c>
      <c r="B170" s="2">
        <v>2006</v>
      </c>
      <c r="C170" s="2">
        <f>COUNTIFS(Games[Team],Games[[#This Row],[Team]],Games[Season],Games[[#This Row],[Season]],Games[Date],"&lt;=" &amp; Games[[#This Row],[Date]])</f>
        <v>14</v>
      </c>
      <c r="D170" s="2" t="s">
        <v>23</v>
      </c>
      <c r="E170" s="2" t="s">
        <v>29</v>
      </c>
      <c r="F170" s="1" t="s">
        <v>79</v>
      </c>
      <c r="G170" s="1" t="s">
        <v>44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1566.8533681899082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1481.8843407366405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0.50139453898933661</v>
      </c>
      <c r="R170" s="1">
        <v>83</v>
      </c>
      <c r="S170" s="1">
        <v>73</v>
      </c>
      <c r="T170" s="1">
        <v>0</v>
      </c>
      <c r="U170" s="1">
        <f>Games[[#This Row],[PointsFor]]-Games[[#This Row],[PointsAgainst]]</f>
        <v>10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0.39515009961374886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14.560073421629257</v>
      </c>
      <c r="AB170" s="4">
        <f>Games[[#This Row],[PreGmRate]]+Games[[#This Row],[RatingChange]]</f>
        <v>1581.4134416115376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38891</v>
      </c>
      <c r="B171" s="2">
        <v>2006</v>
      </c>
      <c r="C171" s="2">
        <f>COUNTIFS(Games[Team],Games[[#This Row],[Team]],Games[Season],Games[[#This Row],[Season]],Games[Date],"&lt;=" &amp; Games[[#This Row],[Date]])</f>
        <v>11</v>
      </c>
      <c r="D171" s="2" t="s">
        <v>23</v>
      </c>
      <c r="E171" s="2" t="s">
        <v>29</v>
      </c>
      <c r="F171" s="1" t="s">
        <v>44</v>
      </c>
      <c r="G171" s="1" t="s">
        <v>79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1481.8843407366405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1566.8533681899082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0.49860546101066339</v>
      </c>
      <c r="R171" s="1">
        <v>73</v>
      </c>
      <c r="S171" s="1">
        <v>83</v>
      </c>
      <c r="T171" s="1">
        <v>0</v>
      </c>
      <c r="U171" s="1">
        <f>Games[[#This Row],[PointsFor]]-Games[[#This Row],[PointsAgainst]]</f>
        <v>-10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0.39515009961374886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74.349999999999994</v>
      </c>
      <c r="Z171" s="4">
        <f>Games[[#This Row],[K]]*Games[[#This Row],[POMult]]</f>
        <v>74.349999999999994</v>
      </c>
      <c r="AA171" s="4">
        <f>(Games[[#This Row],[Keff]]*Games[[#This Row],[MOVMult]])*(Games[[#This Row],[Result]]-Games[[#This Row],[ExpectedWin%]])</f>
        <v>-14.648734220543101</v>
      </c>
      <c r="AB171" s="4">
        <f>Games[[#This Row],[PreGmRate]]+Games[[#This Row],[RatingChange]]</f>
        <v>1467.2356065160975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38891</v>
      </c>
      <c r="B172" s="2">
        <v>2006</v>
      </c>
      <c r="C172" s="2">
        <f>COUNTIFS(Games[Team],Games[[#This Row],[Team]],Games[Season],Games[[#This Row],[Season]],Games[Date],"&lt;=" &amp; Games[[#This Row],[Date]])</f>
        <v>13</v>
      </c>
      <c r="D172" s="2" t="s">
        <v>23</v>
      </c>
      <c r="E172" s="2" t="s">
        <v>29</v>
      </c>
      <c r="F172" s="1" t="s">
        <v>70</v>
      </c>
      <c r="G172" s="1" t="s">
        <v>45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1562.1674113182198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1573.7205106691219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0.36585330624493728</v>
      </c>
      <c r="R172" s="1">
        <v>77</v>
      </c>
      <c r="S172" s="1">
        <v>63</v>
      </c>
      <c r="T172" s="1">
        <v>0</v>
      </c>
      <c r="U172" s="1">
        <f>Games[[#This Row],[PointsFor]]-Games[[#This Row],[PointsAgainst]]</f>
        <v>14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0.48295838172871564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74.05</v>
      </c>
      <c r="Z172" s="4">
        <f>Games[[#This Row],[K]]*Games[[#This Row],[POMult]]</f>
        <v>74.05</v>
      </c>
      <c r="AA172" s="4">
        <f>(Games[[#This Row],[Keff]]*Games[[#This Row],[MOVMult]])*(Games[[#This Row],[Result]]-Games[[#This Row],[ExpectedWin%]])</f>
        <v>22.679031436647204</v>
      </c>
      <c r="AB172" s="4">
        <f>Games[[#This Row],[PreGmRate]]+Games[[#This Row],[RatingChange]]</f>
        <v>1584.846442754867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38891</v>
      </c>
      <c r="B173" s="2">
        <v>2006</v>
      </c>
      <c r="C173" s="2">
        <f>COUNTIFS(Games[Team],Games[[#This Row],[Team]],Games[Season],Games[[#This Row],[Season]],Games[Date],"&lt;=" &amp; Games[[#This Row],[Date]])</f>
        <v>12</v>
      </c>
      <c r="D173" s="2" t="s">
        <v>23</v>
      </c>
      <c r="E173" s="2" t="s">
        <v>29</v>
      </c>
      <c r="F173" s="1" t="s">
        <v>45</v>
      </c>
      <c r="G173" s="1" t="s">
        <v>70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1573.7205106691219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1562.1674113182198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0.63414669375506272</v>
      </c>
      <c r="R173" s="1">
        <v>63</v>
      </c>
      <c r="S173" s="1">
        <v>77</v>
      </c>
      <c r="T173" s="1">
        <v>0</v>
      </c>
      <c r="U173" s="1">
        <f>Games[[#This Row],[PointsFor]]-Games[[#This Row],[PointsAgainst]]</f>
        <v>-14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0.48295838172871564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74.2</v>
      </c>
      <c r="Z173" s="4">
        <f>Games[[#This Row],[K]]*Games[[#This Row],[POMult]]</f>
        <v>74.2</v>
      </c>
      <c r="AA173" s="4">
        <f>(Games[[#This Row],[Keff]]*Games[[#This Row],[MOVMult]])*(Games[[#This Row],[Result]]-Games[[#This Row],[ExpectedWin%]])</f>
        <v>-22.724971405796392</v>
      </c>
      <c r="AB173" s="4">
        <f>Games[[#This Row],[PreGmRate]]+Games[[#This Row],[RatingChange]]</f>
        <v>1550.9955392633256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38891</v>
      </c>
      <c r="B174" s="2">
        <v>2006</v>
      </c>
      <c r="C174" s="2">
        <f>COUNTIFS(Games[Team],Games[[#This Row],[Team]],Games[Season],Games[[#This Row],[Season]],Games[Date],"&lt;=" &amp; Games[[#This Row],[Date]])</f>
        <v>12</v>
      </c>
      <c r="D174" s="2" t="s">
        <v>23</v>
      </c>
      <c r="E174" s="2" t="s">
        <v>29</v>
      </c>
      <c r="F174" s="1" t="s">
        <v>84</v>
      </c>
      <c r="G174" s="1" t="s">
        <v>81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1447.8997360076196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1518.470920034184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0.29115455691101244</v>
      </c>
      <c r="R174" s="1">
        <v>57</v>
      </c>
      <c r="S174" s="1">
        <v>87</v>
      </c>
      <c r="T174" s="1">
        <v>0</v>
      </c>
      <c r="U174" s="1">
        <f>Games[[#This Row],[PointsFor]]-Games[[#This Row],[PointsAgainst]]</f>
        <v>-30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0.66441866629972501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74.2</v>
      </c>
      <c r="Z174" s="4">
        <f>Games[[#This Row],[K]]*Games[[#This Row],[POMult]]</f>
        <v>74.2</v>
      </c>
      <c r="AA174" s="4">
        <f>(Games[[#This Row],[Keff]]*Games[[#This Row],[MOVMult]])*(Games[[#This Row],[Result]]-Games[[#This Row],[ExpectedWin%]])</f>
        <v>-14.353880361330749</v>
      </c>
      <c r="AB174" s="4">
        <f>Games[[#This Row],[PreGmRate]]+Games[[#This Row],[RatingChange]]</f>
        <v>1433.5458556462888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38891</v>
      </c>
      <c r="B175" s="2">
        <v>2006</v>
      </c>
      <c r="C175" s="2">
        <f>COUNTIFS(Games[Team],Games[[#This Row],[Team]],Games[Season],Games[[#This Row],[Season]],Games[Date],"&lt;=" &amp; Games[[#This Row],[Date]])</f>
        <v>14</v>
      </c>
      <c r="D175" s="2" t="s">
        <v>23</v>
      </c>
      <c r="E175" s="2" t="s">
        <v>29</v>
      </c>
      <c r="F175" s="1" t="s">
        <v>81</v>
      </c>
      <c r="G175" s="1" t="s">
        <v>84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1518.470920034184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1447.8997360076196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0.70884544308898756</v>
      </c>
      <c r="R175" s="1">
        <v>87</v>
      </c>
      <c r="S175" s="1">
        <v>57</v>
      </c>
      <c r="T175" s="1">
        <v>0</v>
      </c>
      <c r="U175" s="1">
        <f>Games[[#This Row],[PointsFor]]-Games[[#This Row],[PointsAgainst]]</f>
        <v>30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0.66441866629972501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73.900000000000006</v>
      </c>
      <c r="Z175" s="4">
        <f>Games[[#This Row],[K]]*Games[[#This Row],[POMult]]</f>
        <v>73.900000000000006</v>
      </c>
      <c r="AA175" s="4">
        <f>(Games[[#This Row],[Keff]]*Games[[#This Row],[MOVMult]])*(Games[[#This Row],[Result]]-Games[[#This Row],[ExpectedWin%]])</f>
        <v>14.29584580461378</v>
      </c>
      <c r="AB175" s="4">
        <f>Games[[#This Row],[PreGmRate]]+Games[[#This Row],[RatingChange]]</f>
        <v>1532.7667658387977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38892</v>
      </c>
      <c r="B176" s="2">
        <v>2006</v>
      </c>
      <c r="C176" s="2">
        <f>COUNTIFS(Games[Team],Games[[#This Row],[Team]],Games[Season],Games[[#This Row],[Season]],Games[Date],"&lt;=" &amp; Games[[#This Row],[Date]])</f>
        <v>12</v>
      </c>
      <c r="D176" s="2" t="s">
        <v>23</v>
      </c>
      <c r="E176" s="2" t="s">
        <v>29</v>
      </c>
      <c r="F176" s="1" t="s">
        <v>73</v>
      </c>
      <c r="G176" s="1" t="s">
        <v>75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1536.2097323403291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1523.4545239065035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0.42115968504702178</v>
      </c>
      <c r="R176" s="1">
        <v>86</v>
      </c>
      <c r="S176" s="1">
        <v>92</v>
      </c>
      <c r="T176" s="1">
        <v>0</v>
      </c>
      <c r="U176" s="1">
        <f>Games[[#This Row],[PointsFor]]-Games[[#This Row],[PointsAgainst]]</f>
        <v>-6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0.34758614960192219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74.2</v>
      </c>
      <c r="Z176" s="4">
        <f>Games[[#This Row],[K]]*Games[[#This Row],[POMult]]</f>
        <v>74.2</v>
      </c>
      <c r="AA176" s="4">
        <f>(Games[[#This Row],[Keff]]*Games[[#This Row],[MOVMult]])*(Games[[#This Row],[Result]]-Games[[#This Row],[ExpectedWin%]])</f>
        <v>-10.862084078344498</v>
      </c>
      <c r="AB176" s="4">
        <f>Games[[#This Row],[PreGmRate]]+Games[[#This Row],[RatingChange]]</f>
        <v>1525.3476482619847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38892</v>
      </c>
      <c r="B177" s="2">
        <v>2006</v>
      </c>
      <c r="C177" s="2">
        <f>COUNTIFS(Games[Team],Games[[#This Row],[Team]],Games[Season],Games[[#This Row],[Season]],Games[Date],"&lt;=" &amp; Games[[#This Row],[Date]])</f>
        <v>12</v>
      </c>
      <c r="D177" s="2" t="s">
        <v>23</v>
      </c>
      <c r="E177" s="2" t="s">
        <v>29</v>
      </c>
      <c r="F177" s="1" t="s">
        <v>75</v>
      </c>
      <c r="G177" s="1" t="s">
        <v>73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1523.4545239065035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1536.2097323403291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0.57884031495297816</v>
      </c>
      <c r="R177" s="1">
        <v>92</v>
      </c>
      <c r="S177" s="1">
        <v>86</v>
      </c>
      <c r="T177" s="1">
        <v>0</v>
      </c>
      <c r="U177" s="1">
        <f>Games[[#This Row],[PointsFor]]-Games[[#This Row],[PointsAgainst]]</f>
        <v>6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0.34758614960192219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74.2</v>
      </c>
      <c r="Z177" s="4">
        <f>Games[[#This Row],[K]]*Games[[#This Row],[POMult]]</f>
        <v>74.2</v>
      </c>
      <c r="AA177" s="4">
        <f>(Games[[#This Row],[Keff]]*Games[[#This Row],[MOVMult]])*(Games[[#This Row],[Result]]-Games[[#This Row],[ExpectedWin%]])</f>
        <v>10.8620840783445</v>
      </c>
      <c r="AB177" s="4">
        <f>Games[[#This Row],[PreGmRate]]+Games[[#This Row],[RatingChange]]</f>
        <v>1534.3166079848479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38892</v>
      </c>
      <c r="B178" s="2">
        <v>2006</v>
      </c>
      <c r="C178" s="2">
        <f>COUNTIFS(Games[Team],Games[[#This Row],[Team]],Games[Season],Games[[#This Row],[Season]],Games[Date],"&lt;=" &amp; Games[[#This Row],[Date]])</f>
        <v>13</v>
      </c>
      <c r="D178" s="2" t="s">
        <v>23</v>
      </c>
      <c r="E178" s="2" t="s">
        <v>29</v>
      </c>
      <c r="F178" s="1" t="s">
        <v>66</v>
      </c>
      <c r="G178" s="1" t="s">
        <v>77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1</v>
      </c>
      <c r="L178" s="2">
        <f>Games[[#This Row],[OppDaysOff]]-Games[[#This Row],[DaysOff]]</f>
        <v>-1</v>
      </c>
      <c r="M178" s="1">
        <f>MAX(-16, MIN(16, Games[[#This Row],[RestDiff]]*8))</f>
        <v>8</v>
      </c>
      <c r="N178" s="1">
        <f>MAX(-16, MIN(16, Games[[#This Row],[OppRestDiff]]*8))</f>
        <v>-8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1430.9155792276099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1459.3849205820904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0.36463050904118854</v>
      </c>
      <c r="R178" s="1">
        <v>93</v>
      </c>
      <c r="S178" s="1">
        <v>83</v>
      </c>
      <c r="T178" s="1">
        <v>0</v>
      </c>
      <c r="U178" s="1">
        <f>Games[[#This Row],[PointsFor]]-Games[[#This Row],[PointsAgainst]]</f>
        <v>10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0.41332381859762296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74.05</v>
      </c>
      <c r="Z178" s="4">
        <f>Games[[#This Row],[K]]*Games[[#This Row],[POMult]]</f>
        <v>74.05</v>
      </c>
      <c r="AA178" s="4">
        <f>(Games[[#This Row],[Keff]]*Games[[#This Row],[MOVMult]])*(Games[[#This Row],[Result]]-Games[[#This Row],[ExpectedWin%]])</f>
        <v>19.446518139751937</v>
      </c>
      <c r="AB178" s="4">
        <f>Games[[#This Row],[PreGmRate]]+Games[[#This Row],[RatingChange]]</f>
        <v>1450.3620973673619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38892</v>
      </c>
      <c r="B179" s="2">
        <v>2006</v>
      </c>
      <c r="C179" s="2">
        <f>COUNTIFS(Games[Team],Games[[#This Row],[Team]],Games[Season],Games[[#This Row],[Season]],Games[Date],"&lt;=" &amp; Games[[#This Row],[Date]])</f>
        <v>13</v>
      </c>
      <c r="D179" s="2" t="s">
        <v>23</v>
      </c>
      <c r="E179" s="2" t="s">
        <v>29</v>
      </c>
      <c r="F179" s="1" t="s">
        <v>77</v>
      </c>
      <c r="G179" s="1" t="s">
        <v>66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-1</v>
      </c>
      <c r="L179" s="2">
        <f>Games[[#This Row],[OppDaysOff]]-Games[[#This Row],[DaysOff]]</f>
        <v>1</v>
      </c>
      <c r="M179" s="1">
        <f>MAX(-16, MIN(16, Games[[#This Row],[RestDiff]]*8))</f>
        <v>-8</v>
      </c>
      <c r="N179" s="1">
        <f>MAX(-16, MIN(16, Games[[#This Row],[OppRestDiff]]*8))</f>
        <v>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1459.3849205820904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1430.9155792276099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0.63536949095881157</v>
      </c>
      <c r="R179" s="1">
        <v>83</v>
      </c>
      <c r="S179" s="1">
        <v>93</v>
      </c>
      <c r="T179" s="1">
        <v>0</v>
      </c>
      <c r="U179" s="1">
        <f>Games[[#This Row],[PointsFor]]-Games[[#This Row],[PointsAgainst]]</f>
        <v>-10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0.41332381859762296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74.05</v>
      </c>
      <c r="Z179" s="4">
        <f>Games[[#This Row],[K]]*Games[[#This Row],[POMult]]</f>
        <v>74.05</v>
      </c>
      <c r="AA179" s="4">
        <f>(Games[[#This Row],[Keff]]*Games[[#This Row],[MOVMult]])*(Games[[#This Row],[Result]]-Games[[#This Row],[ExpectedWin%]])</f>
        <v>-19.446518139751941</v>
      </c>
      <c r="AB179" s="4">
        <f>Games[[#This Row],[PreGmRate]]+Games[[#This Row],[RatingChange]]</f>
        <v>1439.9384024423384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38893</v>
      </c>
      <c r="B180" s="2">
        <v>2006</v>
      </c>
      <c r="C180" s="2">
        <f>COUNTIFS(Games[Team],Games[[#This Row],[Team]],Games[Season],Games[[#This Row],[Season]],Games[Date],"&lt;=" &amp; Games[[#This Row],[Date]])</f>
        <v>13</v>
      </c>
      <c r="D180" s="2" t="s">
        <v>23</v>
      </c>
      <c r="E180" s="2" t="s">
        <v>29</v>
      </c>
      <c r="F180" s="1" t="s">
        <v>64</v>
      </c>
      <c r="G180" s="1" t="s">
        <v>75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1347.3373573941199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1534.3166079848479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0.18728049771754696</v>
      </c>
      <c r="R180" s="1">
        <v>61</v>
      </c>
      <c r="S180" s="1">
        <v>71</v>
      </c>
      <c r="T180" s="1">
        <v>0</v>
      </c>
      <c r="U180" s="1">
        <f>Games[[#This Row],[PointsFor]]-Games[[#This Row],[PointsAgainst]]</f>
        <v>-10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0.36608740828853975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74.05</v>
      </c>
      <c r="Z180" s="4">
        <f>Games[[#This Row],[K]]*Games[[#This Row],[POMult]]</f>
        <v>74.05</v>
      </c>
      <c r="AA180" s="4">
        <f>(Games[[#This Row],[Keff]]*Games[[#This Row],[MOVMult]])*(Games[[#This Row],[Result]]-Games[[#This Row],[ExpectedWin%]])</f>
        <v>-5.0769444219995563</v>
      </c>
      <c r="AB180" s="4">
        <f>Games[[#This Row],[PreGmRate]]+Games[[#This Row],[RatingChange]]</f>
        <v>1342.2604129721203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38893</v>
      </c>
      <c r="B181" s="2">
        <v>2006</v>
      </c>
      <c r="C181" s="2">
        <f>COUNTIFS(Games[Team],Games[[#This Row],[Team]],Games[Season],Games[[#This Row],[Season]],Games[Date],"&lt;=" &amp; Games[[#This Row],[Date]])</f>
        <v>13</v>
      </c>
      <c r="D181" s="2" t="s">
        <v>23</v>
      </c>
      <c r="E181" s="2" t="s">
        <v>29</v>
      </c>
      <c r="F181" s="1" t="s">
        <v>75</v>
      </c>
      <c r="G181" s="1" t="s">
        <v>64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1534.3166079848479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1347.3373573941199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0.81271950228245293</v>
      </c>
      <c r="R181" s="1">
        <v>71</v>
      </c>
      <c r="S181" s="1">
        <v>61</v>
      </c>
      <c r="T181" s="1">
        <v>0</v>
      </c>
      <c r="U181" s="1">
        <f>Games[[#This Row],[PointsFor]]-Games[[#This Row],[PointsAgainst]]</f>
        <v>10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0.36608740828853975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74.05</v>
      </c>
      <c r="Z181" s="4">
        <f>Games[[#This Row],[K]]*Games[[#This Row],[POMult]]</f>
        <v>74.05</v>
      </c>
      <c r="AA181" s="4">
        <f>(Games[[#This Row],[Keff]]*Games[[#This Row],[MOVMult]])*(Games[[#This Row],[Result]]-Games[[#This Row],[ExpectedWin%]])</f>
        <v>5.0769444219995599</v>
      </c>
      <c r="AB181" s="4">
        <f>Games[[#This Row],[PreGmRate]]+Games[[#This Row],[RatingChange]]</f>
        <v>1539.3935524068474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38893</v>
      </c>
      <c r="B182" s="2">
        <v>2006</v>
      </c>
      <c r="C182" s="2">
        <f>COUNTIFS(Games[Team],Games[[#This Row],[Team]],Games[Season],Games[[#This Row],[Season]],Games[Date],"&lt;=" &amp; Games[[#This Row],[Date]])</f>
        <v>15</v>
      </c>
      <c r="D182" s="2" t="s">
        <v>23</v>
      </c>
      <c r="E182" s="2" t="s">
        <v>29</v>
      </c>
      <c r="F182" s="1" t="s">
        <v>81</v>
      </c>
      <c r="G182" s="1" t="s">
        <v>2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1532.7667658387977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1556.7311516451384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0.34944197642282532</v>
      </c>
      <c r="R182" s="1">
        <v>74</v>
      </c>
      <c r="S182" s="1">
        <v>84</v>
      </c>
      <c r="T182" s="1">
        <v>0</v>
      </c>
      <c r="U182" s="1">
        <f>Games[[#This Row],[PointsFor]]-Games[[#This Row],[PointsAgainst]]</f>
        <v>-10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0.41484510912810113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73.75</v>
      </c>
      <c r="Z182" s="4">
        <f>Games[[#This Row],[K]]*Games[[#This Row],[POMult]]</f>
        <v>73.75</v>
      </c>
      <c r="AA182" s="4">
        <f>(Games[[#This Row],[Keff]]*Games[[#This Row],[MOVMult]])*(Games[[#This Row],[Result]]-Games[[#This Row],[ExpectedWin%]])</f>
        <v>-10.69111674467614</v>
      </c>
      <c r="AB182" s="4">
        <f>Games[[#This Row],[PreGmRate]]+Games[[#This Row],[RatingChange]]</f>
        <v>1522.0756490941217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38893</v>
      </c>
      <c r="B183" s="2">
        <v>2006</v>
      </c>
      <c r="C183" s="2">
        <f>COUNTIFS(Games[Team],Games[[#This Row],[Team]],Games[Season],Games[[#This Row],[Season]],Games[Date],"&lt;=" &amp; Games[[#This Row],[Date]])</f>
        <v>15</v>
      </c>
      <c r="D183" s="2" t="s">
        <v>23</v>
      </c>
      <c r="E183" s="2" t="s">
        <v>29</v>
      </c>
      <c r="F183" s="1" t="s">
        <v>2</v>
      </c>
      <c r="G183" s="1" t="s">
        <v>81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1556.7311516451384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1532.7667658387977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0.65055802357717463</v>
      </c>
      <c r="R183" s="1">
        <v>84</v>
      </c>
      <c r="S183" s="1">
        <v>74</v>
      </c>
      <c r="T183" s="1">
        <v>0</v>
      </c>
      <c r="U183" s="1">
        <f>Games[[#This Row],[PointsFor]]-Games[[#This Row],[PointsAgainst]]</f>
        <v>10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0.41484510912810113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10.691116744676142</v>
      </c>
      <c r="AB183" s="4">
        <f>Games[[#This Row],[PreGmRate]]+Games[[#This Row],[RatingChange]]</f>
        <v>1567.4222683898145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38893</v>
      </c>
      <c r="B184" s="2">
        <v>2006</v>
      </c>
      <c r="C184" s="2">
        <f>COUNTIFS(Games[Team],Games[[#This Row],[Team]],Games[Season],Games[[#This Row],[Season]],Games[Date],"&lt;=" &amp; Games[[#This Row],[Date]])</f>
        <v>13</v>
      </c>
      <c r="D184" s="2" t="s">
        <v>23</v>
      </c>
      <c r="E184" s="2" t="s">
        <v>29</v>
      </c>
      <c r="F184" s="1" t="s">
        <v>84</v>
      </c>
      <c r="G184" s="1" t="s">
        <v>70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1433.5458556462888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1584.846442754867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0.20513580374765258</v>
      </c>
      <c r="R184" s="1">
        <v>80</v>
      </c>
      <c r="S184" s="1">
        <v>105</v>
      </c>
      <c r="T184" s="1">
        <v>0</v>
      </c>
      <c r="U184" s="1">
        <f>Games[[#This Row],[PointsFor]]-Games[[#This Row],[PointsAgainst]]</f>
        <v>-25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0.56953548412154187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74.05</v>
      </c>
      <c r="Z184" s="4">
        <f>Games[[#This Row],[K]]*Games[[#This Row],[POMult]]</f>
        <v>74.05</v>
      </c>
      <c r="AA184" s="4">
        <f>(Games[[#This Row],[Keff]]*Games[[#This Row],[MOVMult]])*(Games[[#This Row],[Result]]-Games[[#This Row],[ExpectedWin%]])</f>
        <v>-8.6514184340228919</v>
      </c>
      <c r="AB184" s="4">
        <f>Games[[#This Row],[PreGmRate]]+Games[[#This Row],[RatingChange]]</f>
        <v>1424.894437212266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38893</v>
      </c>
      <c r="B185" s="2">
        <v>2006</v>
      </c>
      <c r="C185" s="2">
        <f>COUNTIFS(Games[Team],Games[[#This Row],[Team]],Games[Season],Games[[#This Row],[Season]],Games[Date],"&lt;=" &amp; Games[[#This Row],[Date]])</f>
        <v>14</v>
      </c>
      <c r="D185" s="2" t="s">
        <v>23</v>
      </c>
      <c r="E185" s="2" t="s">
        <v>29</v>
      </c>
      <c r="F185" s="1" t="s">
        <v>70</v>
      </c>
      <c r="G185" s="1" t="s">
        <v>84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1584.846442754867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1433.5458556462888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0.79486419625234739</v>
      </c>
      <c r="R185" s="1">
        <v>105</v>
      </c>
      <c r="S185" s="1">
        <v>80</v>
      </c>
      <c r="T185" s="1">
        <v>0</v>
      </c>
      <c r="U185" s="1">
        <f>Games[[#This Row],[PointsFor]]-Games[[#This Row],[PointsAgainst]]</f>
        <v>25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0.56953548412154187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73.900000000000006</v>
      </c>
      <c r="Z185" s="4">
        <f>Games[[#This Row],[K]]*Games[[#This Row],[POMult]]</f>
        <v>73.900000000000006</v>
      </c>
      <c r="AA185" s="4">
        <f>(Games[[#This Row],[Keff]]*Games[[#This Row],[MOVMult]])*(Games[[#This Row],[Result]]-Games[[#This Row],[ExpectedWin%]])</f>
        <v>8.6338936161281818</v>
      </c>
      <c r="AB185" s="4">
        <f>Games[[#This Row],[PreGmRate]]+Games[[#This Row],[RatingChange]]</f>
        <v>1593.4803363709952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38893</v>
      </c>
      <c r="B186" s="2">
        <v>2006</v>
      </c>
      <c r="C186" s="2">
        <f>COUNTIFS(Games[Team],Games[[#This Row],[Team]],Games[Season],Games[[#This Row],[Season]],Games[Date],"&lt;=" &amp; Games[[#This Row],[Date]])</f>
        <v>14</v>
      </c>
      <c r="D186" s="2" t="s">
        <v>23</v>
      </c>
      <c r="E186" s="2" t="s">
        <v>29</v>
      </c>
      <c r="F186" s="1" t="s">
        <v>87</v>
      </c>
      <c r="G186" s="1" t="s">
        <v>44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1364.9788934429391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1467.2356065160975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0.25498876233238654</v>
      </c>
      <c r="R186" s="1">
        <v>77</v>
      </c>
      <c r="S186" s="1">
        <v>90</v>
      </c>
      <c r="T186" s="1">
        <v>0</v>
      </c>
      <c r="U186" s="1">
        <f>Games[[#This Row],[PointsFor]]-Games[[#This Row],[PointsAgainst]]</f>
        <v>-13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0.43497760548316622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73.900000000000006</v>
      </c>
      <c r="Z186" s="4">
        <f>Games[[#This Row],[K]]*Games[[#This Row],[POMult]]</f>
        <v>73.900000000000006</v>
      </c>
      <c r="AA186" s="4">
        <f>(Games[[#This Row],[Keff]]*Games[[#This Row],[MOVMult]])*(Games[[#This Row],[Result]]-Games[[#This Row],[ExpectedWin%]])</f>
        <v>-8.1965742534434209</v>
      </c>
      <c r="AB186" s="4">
        <f>Games[[#This Row],[PreGmRate]]+Games[[#This Row],[RatingChange]]</f>
        <v>1356.7823191894956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38893</v>
      </c>
      <c r="B187" s="2">
        <v>2006</v>
      </c>
      <c r="C187" s="2">
        <f>COUNTIFS(Games[Team],Games[[#This Row],[Team]],Games[Season],Games[[#This Row],[Season]],Games[Date],"&lt;=" &amp; Games[[#This Row],[Date]])</f>
        <v>12</v>
      </c>
      <c r="D187" s="2" t="s">
        <v>23</v>
      </c>
      <c r="E187" s="2" t="s">
        <v>29</v>
      </c>
      <c r="F187" s="1" t="s">
        <v>44</v>
      </c>
      <c r="G187" s="1" t="s">
        <v>87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1467.2356065160975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1364.9788934429391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0.74501123766761357</v>
      </c>
      <c r="R187" s="1">
        <v>90</v>
      </c>
      <c r="S187" s="1">
        <v>77</v>
      </c>
      <c r="T187" s="1">
        <v>0</v>
      </c>
      <c r="U187" s="1">
        <f>Games[[#This Row],[PointsFor]]-Games[[#This Row],[PointsAgainst]]</f>
        <v>13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0.43497760548316622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74.2</v>
      </c>
      <c r="Z187" s="4">
        <f>Games[[#This Row],[K]]*Games[[#This Row],[POMult]]</f>
        <v>74.2</v>
      </c>
      <c r="AA187" s="4">
        <f>(Games[[#This Row],[Keff]]*Games[[#This Row],[MOVMult]])*(Games[[#This Row],[Result]]-Games[[#This Row],[ExpectedWin%]])</f>
        <v>8.2298485738227551</v>
      </c>
      <c r="AB187" s="4">
        <f>Games[[#This Row],[PreGmRate]]+Games[[#This Row],[RatingChange]]</f>
        <v>1475.4654550899202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38893</v>
      </c>
      <c r="B188" s="2">
        <v>2006</v>
      </c>
      <c r="C188" s="2">
        <f>COUNTIFS(Games[Team],Games[[#This Row],[Team]],Games[Season],Games[[#This Row],[Season]],Games[Date],"&lt;=" &amp; Games[[#This Row],[Date]])</f>
        <v>15</v>
      </c>
      <c r="D188" s="2" t="s">
        <v>23</v>
      </c>
      <c r="E188" s="2" t="s">
        <v>29</v>
      </c>
      <c r="F188" s="1" t="s">
        <v>79</v>
      </c>
      <c r="G188" s="1" t="s">
        <v>45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1581.4134416115376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1550.9955392633256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0.4234947453035719</v>
      </c>
      <c r="R188" s="1">
        <v>61</v>
      </c>
      <c r="S188" s="1">
        <v>82</v>
      </c>
      <c r="T188" s="1">
        <v>0</v>
      </c>
      <c r="U188" s="1">
        <f>Games[[#This Row],[PointsFor]]-Games[[#This Row],[PointsAgainst]]</f>
        <v>-21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0.57402574034151355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73.75</v>
      </c>
      <c r="Z188" s="4">
        <f>Games[[#This Row],[K]]*Games[[#This Row],[POMult]]</f>
        <v>73.75</v>
      </c>
      <c r="AA188" s="4">
        <f>(Games[[#This Row],[Keff]]*Games[[#This Row],[MOVMult]])*(Games[[#This Row],[Result]]-Games[[#This Row],[ExpectedWin%]])</f>
        <v>-17.92839524689224</v>
      </c>
      <c r="AB188" s="4">
        <f>Games[[#This Row],[PreGmRate]]+Games[[#This Row],[RatingChange]]</f>
        <v>1563.4850463646453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38893</v>
      </c>
      <c r="B189" s="2">
        <v>2006</v>
      </c>
      <c r="C189" s="2">
        <f>COUNTIFS(Games[Team],Games[[#This Row],[Team]],Games[Season],Games[[#This Row],[Season]],Games[Date],"&lt;=" &amp; Games[[#This Row],[Date]])</f>
        <v>13</v>
      </c>
      <c r="D189" s="2" t="s">
        <v>23</v>
      </c>
      <c r="E189" s="2" t="s">
        <v>29</v>
      </c>
      <c r="F189" s="1" t="s">
        <v>45</v>
      </c>
      <c r="G189" s="1" t="s">
        <v>79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1550.9955392633256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1581.4134416115376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0.5765052546964281</v>
      </c>
      <c r="R189" s="1">
        <v>82</v>
      </c>
      <c r="S189" s="1">
        <v>61</v>
      </c>
      <c r="T189" s="1">
        <v>0</v>
      </c>
      <c r="U189" s="1">
        <f>Games[[#This Row],[PointsFor]]-Games[[#This Row],[PointsAgainst]]</f>
        <v>21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0.57402574034151355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74.05</v>
      </c>
      <c r="Z189" s="4">
        <f>Games[[#This Row],[K]]*Games[[#This Row],[POMult]]</f>
        <v>74.05</v>
      </c>
      <c r="AA189" s="4">
        <f>(Games[[#This Row],[Keff]]*Games[[#This Row],[MOVMult]])*(Games[[#This Row],[Result]]-Games[[#This Row],[ExpectedWin%]])</f>
        <v>18.001324312303325</v>
      </c>
      <c r="AB189" s="4">
        <f>Games[[#This Row],[PreGmRate]]+Games[[#This Row],[RatingChange]]</f>
        <v>1568.9968635756288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38893</v>
      </c>
      <c r="B190" s="2">
        <v>2006</v>
      </c>
      <c r="C190" s="2">
        <f>COUNTIFS(Games[Team],Games[[#This Row],[Team]],Games[Season],Games[[#This Row],[Season]],Games[Date],"&lt;=" &amp; Games[[#This Row],[Date]])</f>
        <v>14</v>
      </c>
      <c r="D190" s="2" t="s">
        <v>23</v>
      </c>
      <c r="E190" s="2" t="s">
        <v>29</v>
      </c>
      <c r="F190" s="1" t="s">
        <v>86</v>
      </c>
      <c r="G190" s="1" t="s">
        <v>73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0" s="2">
        <f>Games[[#This Row],[DaysOff]]-Games[[#This Row],[OppDaysOff]]</f>
        <v>1</v>
      </c>
      <c r="L190" s="2">
        <f>Games[[#This Row],[OppDaysOff]]-Games[[#This Row],[DaysOff]]</f>
        <v>-1</v>
      </c>
      <c r="M190" s="1">
        <f>MAX(-16, MIN(16, Games[[#This Row],[RestDiff]]*8))</f>
        <v>8</v>
      </c>
      <c r="N190" s="1">
        <f>MAX(-16, MIN(16, Games[[#This Row],[OppRestDiff]]*8))</f>
        <v>-8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1635.2970978205101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1525.3476482619847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0.56007844886409797</v>
      </c>
      <c r="R190" s="1">
        <v>80</v>
      </c>
      <c r="S190" s="1">
        <v>87</v>
      </c>
      <c r="T190" s="1">
        <v>0</v>
      </c>
      <c r="U190" s="1">
        <f>Games[[#This Row],[PointsFor]]-Games[[#This Row],[PointsAgainst]]</f>
        <v>-7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0.33904255399646349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73.900000000000006</v>
      </c>
      <c r="Z190" s="4">
        <f>Games[[#This Row],[K]]*Games[[#This Row],[POMult]]</f>
        <v>73.900000000000006</v>
      </c>
      <c r="AA190" s="4">
        <f>(Games[[#This Row],[Keff]]*Games[[#This Row],[MOVMult]])*(Games[[#This Row],[Result]]-Games[[#This Row],[ExpectedWin%]])</f>
        <v>-14.032902610079223</v>
      </c>
      <c r="AB190" s="4">
        <f>Games[[#This Row],[PreGmRate]]+Games[[#This Row],[RatingChange]]</f>
        <v>1621.2641952104309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38893</v>
      </c>
      <c r="B191" s="2">
        <v>2006</v>
      </c>
      <c r="C191" s="2">
        <f>COUNTIFS(Games[Team],Games[[#This Row],[Team]],Games[Season],Games[[#This Row],[Season]],Games[Date],"&lt;=" &amp; Games[[#This Row],[Date]])</f>
        <v>13</v>
      </c>
      <c r="D191" s="2" t="s">
        <v>23</v>
      </c>
      <c r="E191" s="2" t="s">
        <v>29</v>
      </c>
      <c r="F191" s="1" t="s">
        <v>73</v>
      </c>
      <c r="G191" s="1" t="s">
        <v>86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-1</v>
      </c>
      <c r="L191" s="2">
        <f>Games[[#This Row],[OppDaysOff]]-Games[[#This Row],[DaysOff]]</f>
        <v>1</v>
      </c>
      <c r="M191" s="1">
        <f>MAX(-16, MIN(16, Games[[#This Row],[RestDiff]]*8))</f>
        <v>-8</v>
      </c>
      <c r="N191" s="1">
        <f>MAX(-16, MIN(16, Games[[#This Row],[OppRestDiff]]*8))</f>
        <v>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1525.3476482619847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1635.2970978205101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0.43992155113590203</v>
      </c>
      <c r="R191" s="1">
        <v>87</v>
      </c>
      <c r="S191" s="1">
        <v>80</v>
      </c>
      <c r="T191" s="1">
        <v>0</v>
      </c>
      <c r="U191" s="1">
        <f>Games[[#This Row],[PointsFor]]-Games[[#This Row],[PointsAgainst]]</f>
        <v>7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0.33904255399646349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74.05</v>
      </c>
      <c r="Z191" s="4">
        <f>Games[[#This Row],[K]]*Games[[#This Row],[POMult]]</f>
        <v>74.05</v>
      </c>
      <c r="AA191" s="4">
        <f>(Games[[#This Row],[Keff]]*Games[[#This Row],[MOVMult]])*(Games[[#This Row],[Result]]-Games[[#This Row],[ExpectedWin%]])</f>
        <v>14.061386174240409</v>
      </c>
      <c r="AB191" s="4">
        <f>Games[[#This Row],[PreGmRate]]+Games[[#This Row],[RatingChange]]</f>
        <v>1539.4090344362251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38895</v>
      </c>
      <c r="B192" s="2">
        <v>2006</v>
      </c>
      <c r="C192" s="2">
        <f>COUNTIFS(Games[Team],Games[[#This Row],[Team]],Games[Season],Games[[#This Row],[Season]],Games[Date],"&lt;=" &amp; Games[[#This Row],[Date]])</f>
        <v>16</v>
      </c>
      <c r="D192" s="2" t="s">
        <v>23</v>
      </c>
      <c r="E192" s="2" t="s">
        <v>29</v>
      </c>
      <c r="F192" s="1" t="s">
        <v>2</v>
      </c>
      <c r="G192" s="1" t="s">
        <v>86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1567.4222683898145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1621.2641952104309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0.31142152420606095</v>
      </c>
      <c r="R192" s="1">
        <v>57</v>
      </c>
      <c r="S192" s="1">
        <v>73</v>
      </c>
      <c r="T192" s="1">
        <v>0</v>
      </c>
      <c r="U192" s="1">
        <f>Games[[#This Row],[PointsFor]]-Games[[#This Row],[PointsAgainst]]</f>
        <v>-16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0.49555149293150735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-11.358349532097082</v>
      </c>
      <c r="AB192" s="4">
        <f>Games[[#This Row],[PreGmRate]]+Games[[#This Row],[RatingChange]]</f>
        <v>1556.0639188577175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38895</v>
      </c>
      <c r="B193" s="2">
        <v>2006</v>
      </c>
      <c r="C193" s="2">
        <f>COUNTIFS(Games[Team],Games[[#This Row],[Team]],Games[Season],Games[[#This Row],[Season]],Games[Date],"&lt;=" &amp; Games[[#This Row],[Date]])</f>
        <v>15</v>
      </c>
      <c r="D193" s="2" t="s">
        <v>23</v>
      </c>
      <c r="E193" s="2" t="s">
        <v>29</v>
      </c>
      <c r="F193" s="1" t="s">
        <v>86</v>
      </c>
      <c r="G193" s="1" t="s">
        <v>2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1621.2641952104309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1567.4222683898145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0.68857847579393905</v>
      </c>
      <c r="R193" s="1">
        <v>73</v>
      </c>
      <c r="S193" s="1">
        <v>57</v>
      </c>
      <c r="T193" s="1">
        <v>0</v>
      </c>
      <c r="U193" s="1">
        <f>Games[[#This Row],[PointsFor]]-Games[[#This Row],[PointsAgainst]]</f>
        <v>16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0.49555149293150735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73.75</v>
      </c>
      <c r="Z193" s="4">
        <f>Games[[#This Row],[K]]*Games[[#This Row],[POMult]]</f>
        <v>73.75</v>
      </c>
      <c r="AA193" s="4">
        <f>(Games[[#This Row],[Keff]]*Games[[#This Row],[MOVMult]])*(Games[[#This Row],[Result]]-Games[[#This Row],[ExpectedWin%]])</f>
        <v>11.381498342284781</v>
      </c>
      <c r="AB193" s="4">
        <f>Games[[#This Row],[PreGmRate]]+Games[[#This Row],[RatingChange]]</f>
        <v>1632.6456935527158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38895</v>
      </c>
      <c r="B194" s="2">
        <v>2006</v>
      </c>
      <c r="C194" s="2">
        <f>COUNTIFS(Games[Team],Games[[#This Row],[Team]],Games[Season],Games[[#This Row],[Season]],Games[Date],"&lt;=" &amp; Games[[#This Row],[Date]])</f>
        <v>14</v>
      </c>
      <c r="D194" s="2" t="s">
        <v>23</v>
      </c>
      <c r="E194" s="2" t="s">
        <v>29</v>
      </c>
      <c r="F194" s="1" t="s">
        <v>64</v>
      </c>
      <c r="G194" s="1" t="s">
        <v>66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-1</v>
      </c>
      <c r="L194" s="2">
        <f>Games[[#This Row],[OppDaysOff]]-Games[[#This Row],[DaysOff]]</f>
        <v>1</v>
      </c>
      <c r="M194" s="1">
        <f>MAX(-16, MIN(16, Games[[#This Row],[RestDiff]]*8))</f>
        <v>-8</v>
      </c>
      <c r="N194" s="1">
        <f>MAX(-16, MIN(16, Games[[#This Row],[OppRestDiff]]*8))</f>
        <v>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1342.2604129721203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1450.3620973673619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0.2318437355383538</v>
      </c>
      <c r="R194" s="1">
        <v>73</v>
      </c>
      <c r="S194" s="1">
        <v>67</v>
      </c>
      <c r="T194" s="1">
        <v>0</v>
      </c>
      <c r="U194" s="1">
        <f>Games[[#This Row],[PointsFor]]-Games[[#This Row],[PointsAgainst]]</f>
        <v>6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0.3222508757062521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73.900000000000006</v>
      </c>
      <c r="Z194" s="4">
        <f>Games[[#This Row],[K]]*Games[[#This Row],[POMult]]</f>
        <v>73.900000000000006</v>
      </c>
      <c r="AA194" s="4">
        <f>(Games[[#This Row],[Keff]]*Games[[#This Row],[MOVMult]])*(Games[[#This Row],[Result]]-Games[[#This Row],[ExpectedWin%]])</f>
        <v>18.293134235858457</v>
      </c>
      <c r="AB194" s="4">
        <f>Games[[#This Row],[PreGmRate]]+Games[[#This Row],[RatingChange]]</f>
        <v>1360.5535472079787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38895</v>
      </c>
      <c r="B195" s="2">
        <v>2006</v>
      </c>
      <c r="C195" s="2">
        <f>COUNTIFS(Games[Team],Games[[#This Row],[Team]],Games[Season],Games[[#This Row],[Season]],Games[Date],"&lt;=" &amp; Games[[#This Row],[Date]])</f>
        <v>14</v>
      </c>
      <c r="D195" s="2" t="s">
        <v>23</v>
      </c>
      <c r="E195" s="2" t="s">
        <v>29</v>
      </c>
      <c r="F195" s="1" t="s">
        <v>66</v>
      </c>
      <c r="G195" s="1" t="s">
        <v>64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1</v>
      </c>
      <c r="L195" s="2">
        <f>Games[[#This Row],[OppDaysOff]]-Games[[#This Row],[DaysOff]]</f>
        <v>-1</v>
      </c>
      <c r="M195" s="1">
        <f>MAX(-16, MIN(16, Games[[#This Row],[RestDiff]]*8))</f>
        <v>8</v>
      </c>
      <c r="N195" s="1">
        <f>MAX(-16, MIN(16, Games[[#This Row],[OppRestDiff]]*8))</f>
        <v>-8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1450.3620973673619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1342.2604129721203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0.76815626446164609</v>
      </c>
      <c r="R195" s="1">
        <v>67</v>
      </c>
      <c r="S195" s="1">
        <v>73</v>
      </c>
      <c r="T195" s="1">
        <v>0</v>
      </c>
      <c r="U195" s="1">
        <f>Games[[#This Row],[PointsFor]]-Games[[#This Row],[PointsAgainst]]</f>
        <v>-6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0.3222508757062521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73.900000000000006</v>
      </c>
      <c r="Z195" s="4">
        <f>Games[[#This Row],[K]]*Games[[#This Row],[POMult]]</f>
        <v>73.900000000000006</v>
      </c>
      <c r="AA195" s="4">
        <f>(Games[[#This Row],[Keff]]*Games[[#This Row],[MOVMult]])*(Games[[#This Row],[Result]]-Games[[#This Row],[ExpectedWin%]])</f>
        <v>-18.293134235858453</v>
      </c>
      <c r="AB195" s="4">
        <f>Games[[#This Row],[PreGmRate]]+Games[[#This Row],[RatingChange]]</f>
        <v>1432.0689631315036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38895</v>
      </c>
      <c r="B196" s="2">
        <v>2006</v>
      </c>
      <c r="C196" s="2">
        <f>COUNTIFS(Games[Team],Games[[#This Row],[Team]],Games[Season],Games[[#This Row],[Season]],Games[Date],"&lt;=" &amp; Games[[#This Row],[Date]])</f>
        <v>14</v>
      </c>
      <c r="D196" s="2" t="s">
        <v>23</v>
      </c>
      <c r="E196" s="2" t="s">
        <v>29</v>
      </c>
      <c r="F196" s="1" t="s">
        <v>75</v>
      </c>
      <c r="G196" s="1" t="s">
        <v>84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1539.3935524068474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1424.894437212266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0.54377935895434371</v>
      </c>
      <c r="R196" s="1">
        <v>63</v>
      </c>
      <c r="S196" s="1">
        <v>59</v>
      </c>
      <c r="T196" s="1">
        <v>0</v>
      </c>
      <c r="U196" s="1">
        <f>Games[[#This Row],[PointsFor]]-Games[[#This Row],[PointsAgainst]]</f>
        <v>4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0.28430546476962415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73.900000000000006</v>
      </c>
      <c r="Z196" s="4">
        <f>Games[[#This Row],[K]]*Games[[#This Row],[POMult]]</f>
        <v>73.900000000000006</v>
      </c>
      <c r="AA196" s="4">
        <f>(Games[[#This Row],[Keff]]*Games[[#This Row],[MOVMult]])*(Games[[#This Row],[Result]]-Games[[#This Row],[ExpectedWin%]])</f>
        <v>9.5852749807196105</v>
      </c>
      <c r="AB196" s="4">
        <f>Games[[#This Row],[PreGmRate]]+Games[[#This Row],[RatingChange]]</f>
        <v>1548.978827387567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38895</v>
      </c>
      <c r="B197" s="2">
        <v>2006</v>
      </c>
      <c r="C197" s="2">
        <f>COUNTIFS(Games[Team],Games[[#This Row],[Team]],Games[Season],Games[[#This Row],[Season]],Games[Date],"&lt;=" &amp; Games[[#This Row],[Date]])</f>
        <v>14</v>
      </c>
      <c r="D197" s="2" t="s">
        <v>23</v>
      </c>
      <c r="E197" s="2" t="s">
        <v>29</v>
      </c>
      <c r="F197" s="1" t="s">
        <v>84</v>
      </c>
      <c r="G197" s="1" t="s">
        <v>75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1424.894437212266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1539.3935524068474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0.45622064104565629</v>
      </c>
      <c r="R197" s="1">
        <v>59</v>
      </c>
      <c r="S197" s="1">
        <v>63</v>
      </c>
      <c r="T197" s="1">
        <v>0</v>
      </c>
      <c r="U197" s="1">
        <f>Games[[#This Row],[PointsFor]]-Games[[#This Row],[PointsAgainst]]</f>
        <v>-4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0.28430546476962415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73.900000000000006</v>
      </c>
      <c r="Z197" s="4">
        <f>Games[[#This Row],[K]]*Games[[#This Row],[POMult]]</f>
        <v>73.900000000000006</v>
      </c>
      <c r="AA197" s="4">
        <f>(Games[[#This Row],[Keff]]*Games[[#This Row],[MOVMult]])*(Games[[#This Row],[Result]]-Games[[#This Row],[ExpectedWin%]])</f>
        <v>-9.5852749807196105</v>
      </c>
      <c r="AB197" s="4">
        <f>Games[[#This Row],[PreGmRate]]+Games[[#This Row],[RatingChange]]</f>
        <v>1415.3091622315465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38895</v>
      </c>
      <c r="B198" s="2">
        <v>2006</v>
      </c>
      <c r="C198" s="2">
        <f>COUNTIFS(Games[Team],Games[[#This Row],[Team]],Games[Season],Games[[#This Row],[Season]],Games[Date],"&lt;=" &amp; Games[[#This Row],[Date]])</f>
        <v>14</v>
      </c>
      <c r="D198" s="2" t="s">
        <v>23</v>
      </c>
      <c r="E198" s="2" t="s">
        <v>29</v>
      </c>
      <c r="F198" s="1" t="s">
        <v>45</v>
      </c>
      <c r="G198" s="1" t="s">
        <v>81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1568.9968635756288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1522.0756490941217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0.44684100226385237</v>
      </c>
      <c r="R198" s="1">
        <v>53</v>
      </c>
      <c r="S198" s="1">
        <v>68</v>
      </c>
      <c r="T198" s="1">
        <v>0</v>
      </c>
      <c r="U198" s="1">
        <f>Games[[#This Row],[PointsFor]]-Games[[#This Row],[PointsAgainst]]</f>
        <v>-15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0.48392603048736194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73.900000000000006</v>
      </c>
      <c r="Z198" s="4">
        <f>Games[[#This Row],[K]]*Games[[#This Row],[POMult]]</f>
        <v>73.900000000000006</v>
      </c>
      <c r="AA198" s="4">
        <f>(Games[[#This Row],[Keff]]*Games[[#This Row],[MOVMult]])*(Games[[#This Row],[Result]]-Games[[#This Row],[ExpectedWin%]])</f>
        <v>-15.979987644607537</v>
      </c>
      <c r="AB198" s="4">
        <f>Games[[#This Row],[PreGmRate]]+Games[[#This Row],[RatingChange]]</f>
        <v>1553.0168759310213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38895</v>
      </c>
      <c r="B199" s="2">
        <v>2006</v>
      </c>
      <c r="C199" s="2">
        <f>COUNTIFS(Games[Team],Games[[#This Row],[Team]],Games[Season],Games[[#This Row],[Season]],Games[Date],"&lt;=" &amp; Games[[#This Row],[Date]])</f>
        <v>16</v>
      </c>
      <c r="D199" s="2" t="s">
        <v>23</v>
      </c>
      <c r="E199" s="2" t="s">
        <v>29</v>
      </c>
      <c r="F199" s="1" t="s">
        <v>81</v>
      </c>
      <c r="G199" s="1" t="s">
        <v>45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1522.0756490941217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1568.9968635756288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0.55315899773614774</v>
      </c>
      <c r="R199" s="1">
        <v>68</v>
      </c>
      <c r="S199" s="1">
        <v>53</v>
      </c>
      <c r="T199" s="1">
        <v>0</v>
      </c>
      <c r="U199" s="1">
        <f>Games[[#This Row],[PointsFor]]-Games[[#This Row],[PointsAgainst]]</f>
        <v>15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0.48392603048736194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15.915116246862169</v>
      </c>
      <c r="AB199" s="4">
        <f>Games[[#This Row],[PreGmRate]]+Games[[#This Row],[RatingChange]]</f>
        <v>1537.9907653409839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38895</v>
      </c>
      <c r="B200" s="2">
        <v>2006</v>
      </c>
      <c r="C200" s="2">
        <f>COUNTIFS(Games[Team],Games[[#This Row],[Team]],Games[Season],Games[[#This Row],[Season]],Games[Date],"&lt;=" &amp; Games[[#This Row],[Date]])</f>
        <v>16</v>
      </c>
      <c r="D200" s="2" t="s">
        <v>23</v>
      </c>
      <c r="E200" s="2" t="s">
        <v>29</v>
      </c>
      <c r="F200" s="1" t="s">
        <v>79</v>
      </c>
      <c r="G200" s="1" t="s">
        <v>73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1563.4850463646453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1539.4090344362251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0.41460751668473611</v>
      </c>
      <c r="R200" s="1">
        <v>74</v>
      </c>
      <c r="S200" s="1">
        <v>67</v>
      </c>
      <c r="T200" s="1">
        <v>0</v>
      </c>
      <c r="U200" s="1">
        <f>Games[[#This Row],[PointsFor]]-Games[[#This Row],[PointsAgainst]]</f>
        <v>7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0.36282763705572491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15.632387660299463</v>
      </c>
      <c r="AB200" s="4">
        <f>Games[[#This Row],[PreGmRate]]+Games[[#This Row],[RatingChange]]</f>
        <v>1579.1174340249447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38895</v>
      </c>
      <c r="B201" s="2">
        <v>2006</v>
      </c>
      <c r="C201" s="2">
        <f>COUNTIFS(Games[Team],Games[[#This Row],[Team]],Games[Season],Games[[#This Row],[Season]],Games[Date],"&lt;=" &amp; Games[[#This Row],[Date]])</f>
        <v>14</v>
      </c>
      <c r="D201" s="2" t="s">
        <v>23</v>
      </c>
      <c r="E201" s="2" t="s">
        <v>29</v>
      </c>
      <c r="F201" s="1" t="s">
        <v>73</v>
      </c>
      <c r="G201" s="1" t="s">
        <v>79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1539.4090344362251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1563.4850463646453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0.58539248331526395</v>
      </c>
      <c r="R201" s="1">
        <v>67</v>
      </c>
      <c r="S201" s="1">
        <v>74</v>
      </c>
      <c r="T201" s="1">
        <v>0</v>
      </c>
      <c r="U201" s="1">
        <f>Games[[#This Row],[PointsFor]]-Games[[#This Row],[PointsAgainst]]</f>
        <v>-7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0.36282763705572491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73.900000000000006</v>
      </c>
      <c r="Z201" s="4">
        <f>Games[[#This Row],[K]]*Games[[#This Row],[POMult]]</f>
        <v>73.900000000000006</v>
      </c>
      <c r="AA201" s="4">
        <f>(Games[[#This Row],[Keff]]*Games[[#This Row],[MOVMult]])*(Games[[#This Row],[Result]]-Games[[#This Row],[ExpectedWin%]])</f>
        <v>-15.6961066317409</v>
      </c>
      <c r="AB201" s="4">
        <f>Games[[#This Row],[PreGmRate]]+Games[[#This Row],[RatingChange]]</f>
        <v>1523.7129278044843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38896</v>
      </c>
      <c r="B202" s="2">
        <v>2006</v>
      </c>
      <c r="C202" s="2">
        <f>COUNTIFS(Games[Team],Games[[#This Row],[Team]],Games[Season],Games[[#This Row],[Season]],Games[Date],"&lt;=" &amp; Games[[#This Row],[Date]])</f>
        <v>17</v>
      </c>
      <c r="D202" s="2" t="s">
        <v>23</v>
      </c>
      <c r="E202" s="2" t="s">
        <v>29</v>
      </c>
      <c r="F202" s="1" t="s">
        <v>81</v>
      </c>
      <c r="G202" s="1" t="s">
        <v>70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-2</v>
      </c>
      <c r="L202" s="2">
        <f>Games[[#This Row],[OppDaysOff]]-Games[[#This Row],[DaysOff]]</f>
        <v>2</v>
      </c>
      <c r="M202" s="1">
        <f>MAX(-16, MIN(16, Games[[#This Row],[RestDiff]]*8))</f>
        <v>-16</v>
      </c>
      <c r="N202" s="1">
        <f>MAX(-16, MIN(16, Games[[#This Row],[OppRestDiff]]*8))</f>
        <v>16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1537.9907653409839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1593.4803363709952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0.27147076036669182</v>
      </c>
      <c r="R202" s="1">
        <v>75</v>
      </c>
      <c r="S202" s="1">
        <v>67</v>
      </c>
      <c r="T202" s="1">
        <v>0</v>
      </c>
      <c r="U202" s="1">
        <f>Games[[#This Row],[PointsFor]]-Games[[#This Row],[PointsAgainst]]</f>
        <v>8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0.37115293727315857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19.860569099318347</v>
      </c>
      <c r="AB202" s="4">
        <f>Games[[#This Row],[PreGmRate]]+Games[[#This Row],[RatingChange]]</f>
        <v>1557.8513344403023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38896</v>
      </c>
      <c r="B203" s="2">
        <v>2006</v>
      </c>
      <c r="C203" s="2">
        <f>COUNTIFS(Games[Team],Games[[#This Row],[Team]],Games[Season],Games[[#This Row],[Season]],Games[Date],"&lt;=" &amp; Games[[#This Row],[Date]])</f>
        <v>15</v>
      </c>
      <c r="D203" s="2" t="s">
        <v>23</v>
      </c>
      <c r="E203" s="2" t="s">
        <v>29</v>
      </c>
      <c r="F203" s="1" t="s">
        <v>70</v>
      </c>
      <c r="G203" s="1" t="s">
        <v>81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3" s="2">
        <f>Games[[#This Row],[DaysOff]]-Games[[#This Row],[OppDaysOff]]</f>
        <v>2</v>
      </c>
      <c r="L203" s="2">
        <f>Games[[#This Row],[OppDaysOff]]-Games[[#This Row],[DaysOff]]</f>
        <v>-2</v>
      </c>
      <c r="M203" s="1">
        <f>MAX(-16, MIN(16, Games[[#This Row],[RestDiff]]*8))</f>
        <v>16</v>
      </c>
      <c r="N203" s="1">
        <f>MAX(-16, MIN(16, Games[[#This Row],[OppRestDiff]]*8))</f>
        <v>-16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1593.4803363709952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1537.9907653409839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0.72852923963330818</v>
      </c>
      <c r="R203" s="1">
        <v>67</v>
      </c>
      <c r="S203" s="1">
        <v>75</v>
      </c>
      <c r="T203" s="1">
        <v>0</v>
      </c>
      <c r="U203" s="1">
        <f>Games[[#This Row],[PointsFor]]-Games[[#This Row],[PointsAgainst]]</f>
        <v>-8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0.37115293727315857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73.75</v>
      </c>
      <c r="Z203" s="4">
        <f>Games[[#This Row],[K]]*Games[[#This Row],[POMult]]</f>
        <v>73.75</v>
      </c>
      <c r="AA203" s="4">
        <f>(Games[[#This Row],[Keff]]*Games[[#This Row],[MOVMult]])*(Games[[#This Row],[Result]]-Games[[#This Row],[ExpectedWin%]])</f>
        <v>-19.94168782947213</v>
      </c>
      <c r="AB203" s="4">
        <f>Games[[#This Row],[PreGmRate]]+Games[[#This Row],[RatingChange]]</f>
        <v>1573.5386485415231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38896</v>
      </c>
      <c r="B204" s="2">
        <v>2006</v>
      </c>
      <c r="C204" s="2">
        <f>COUNTIFS(Games[Team],Games[[#This Row],[Team]],Games[Season],Games[[#This Row],[Season]],Games[Date],"&lt;=" &amp; Games[[#This Row],[Date]])</f>
        <v>14</v>
      </c>
      <c r="D204" s="2" t="s">
        <v>23</v>
      </c>
      <c r="E204" s="2" t="s">
        <v>29</v>
      </c>
      <c r="F204" s="1" t="s">
        <v>77</v>
      </c>
      <c r="G204" s="1" t="s">
        <v>44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4" s="2">
        <f>Games[[#This Row],[DaysOff]]-Games[[#This Row],[OppDaysOff]]</f>
        <v>1</v>
      </c>
      <c r="L204" s="2">
        <f>Games[[#This Row],[OppDaysOff]]-Games[[#This Row],[DaysOff]]</f>
        <v>-1</v>
      </c>
      <c r="M204" s="1">
        <f>MAX(-16, MIN(16, Games[[#This Row],[RestDiff]]*8))</f>
        <v>8</v>
      </c>
      <c r="N204" s="1">
        <f>MAX(-16, MIN(16, Games[[#This Row],[OppRestDiff]]*8))</f>
        <v>-8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1439.9384024423384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1475.4654550899202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0.35527090255302268</v>
      </c>
      <c r="R204" s="1">
        <v>78</v>
      </c>
      <c r="S204" s="1">
        <v>81</v>
      </c>
      <c r="T204" s="1">
        <v>0</v>
      </c>
      <c r="U204" s="1">
        <f>Games[[#This Row],[PointsFor]]-Games[[#This Row],[PointsAgainst]]</f>
        <v>-3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0.28183941790044725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73.900000000000006</v>
      </c>
      <c r="Z204" s="4">
        <f>Games[[#This Row],[K]]*Games[[#This Row],[POMult]]</f>
        <v>73.900000000000006</v>
      </c>
      <c r="AA204" s="4">
        <f>(Games[[#This Row],[Keff]]*Games[[#This Row],[MOVMult]])*(Games[[#This Row],[Result]]-Games[[#This Row],[ExpectedWin%]])</f>
        <v>-7.3995585491285212</v>
      </c>
      <c r="AB204" s="4">
        <f>Games[[#This Row],[PreGmRate]]+Games[[#This Row],[RatingChange]]</f>
        <v>1432.53884389321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38896</v>
      </c>
      <c r="B205" s="2">
        <v>2006</v>
      </c>
      <c r="C205" s="2">
        <f>COUNTIFS(Games[Team],Games[[#This Row],[Team]],Games[Season],Games[[#This Row],[Season]],Games[Date],"&lt;=" &amp; Games[[#This Row],[Date]])</f>
        <v>13</v>
      </c>
      <c r="D205" s="2" t="s">
        <v>23</v>
      </c>
      <c r="E205" s="2" t="s">
        <v>29</v>
      </c>
      <c r="F205" s="1" t="s">
        <v>44</v>
      </c>
      <c r="G205" s="1" t="s">
        <v>77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5" s="2">
        <f>Games[[#This Row],[DaysOff]]-Games[[#This Row],[OppDaysOff]]</f>
        <v>-1</v>
      </c>
      <c r="L205" s="2">
        <f>Games[[#This Row],[OppDaysOff]]-Games[[#This Row],[DaysOff]]</f>
        <v>1</v>
      </c>
      <c r="M205" s="1">
        <f>MAX(-16, MIN(16, Games[[#This Row],[RestDiff]]*8))</f>
        <v>-8</v>
      </c>
      <c r="N205" s="1">
        <f>MAX(-16, MIN(16, Games[[#This Row],[OppRestDiff]]*8))</f>
        <v>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1475.4654550899202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1439.9384024423384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0.64472909744697726</v>
      </c>
      <c r="R205" s="1">
        <v>81</v>
      </c>
      <c r="S205" s="1">
        <v>78</v>
      </c>
      <c r="T205" s="1">
        <v>0</v>
      </c>
      <c r="U205" s="1">
        <f>Games[[#This Row],[PointsFor]]-Games[[#This Row],[PointsAgainst]]</f>
        <v>3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0.28183941790044725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74.05</v>
      </c>
      <c r="Z205" s="4">
        <f>Games[[#This Row],[K]]*Games[[#This Row],[POMult]]</f>
        <v>74.05</v>
      </c>
      <c r="AA205" s="4">
        <f>(Games[[#This Row],[Keff]]*Games[[#This Row],[MOVMult]])*(Games[[#This Row],[Result]]-Games[[#This Row],[ExpectedWin%]])</f>
        <v>7.4145779507843983</v>
      </c>
      <c r="AB205" s="4">
        <f>Games[[#This Row],[PreGmRate]]+Games[[#This Row],[RatingChange]]</f>
        <v>1482.8800330407046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38897</v>
      </c>
      <c r="B206" s="2">
        <v>2006</v>
      </c>
      <c r="C206" s="2">
        <f>COUNTIFS(Games[Team],Games[[#This Row],[Team]],Games[Season],Games[[#This Row],[Season]],Games[Date],"&lt;=" &amp; Games[[#This Row],[Date]])</f>
        <v>15</v>
      </c>
      <c r="D206" s="2" t="s">
        <v>23</v>
      </c>
      <c r="E206" s="2" t="s">
        <v>29</v>
      </c>
      <c r="F206" s="1" t="s">
        <v>64</v>
      </c>
      <c r="G206" s="1" t="s">
        <v>87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6" s="2">
        <f>Games[[#This Row],[DaysOff]]-Games[[#This Row],[OppDaysOff]]</f>
        <v>-2</v>
      </c>
      <c r="L206" s="2">
        <f>Games[[#This Row],[OppDaysOff]]-Games[[#This Row],[DaysOff]]</f>
        <v>2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1360.5535472079787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1356.7823191894956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0.34388230056273844</v>
      </c>
      <c r="R206" s="1">
        <v>69</v>
      </c>
      <c r="S206" s="1">
        <v>75</v>
      </c>
      <c r="T206" s="1">
        <v>0</v>
      </c>
      <c r="U206" s="1">
        <f>Games[[#This Row],[PointsFor]]-Games[[#This Row],[PointsAgainst]]</f>
        <v>-6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0.3501802531059644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73.75</v>
      </c>
      <c r="Z206" s="4">
        <f>Games[[#This Row],[K]]*Games[[#This Row],[POMult]]</f>
        <v>73.75</v>
      </c>
      <c r="AA206" s="4">
        <f>(Games[[#This Row],[Keff]]*Games[[#This Row],[MOVMult]])*(Games[[#This Row],[Result]]-Games[[#This Row],[ExpectedWin%]])</f>
        <v>-8.8810333399169288</v>
      </c>
      <c r="AB206" s="4">
        <f>Games[[#This Row],[PreGmRate]]+Games[[#This Row],[RatingChange]]</f>
        <v>1351.6725138680617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38897</v>
      </c>
      <c r="B207" s="2">
        <v>2006</v>
      </c>
      <c r="C207" s="2">
        <f>COUNTIFS(Games[Team],Games[[#This Row],[Team]],Games[Season],Games[[#This Row],[Season]],Games[Date],"&lt;=" &amp; Games[[#This Row],[Date]])</f>
        <v>15</v>
      </c>
      <c r="D207" s="2" t="s">
        <v>23</v>
      </c>
      <c r="E207" s="2" t="s">
        <v>29</v>
      </c>
      <c r="F207" s="1" t="s">
        <v>87</v>
      </c>
      <c r="G207" s="1" t="s">
        <v>64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2</v>
      </c>
      <c r="L207" s="2">
        <f>Games[[#This Row],[OppDaysOff]]-Games[[#This Row],[DaysOff]]</f>
        <v>-2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1356.7823191894956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1360.5535472079787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0.65611769943726161</v>
      </c>
      <c r="R207" s="1">
        <v>75</v>
      </c>
      <c r="S207" s="1">
        <v>69</v>
      </c>
      <c r="T207" s="1">
        <v>0</v>
      </c>
      <c r="U207" s="1">
        <f>Games[[#This Row],[PointsFor]]-Games[[#This Row],[PointsAgainst]]</f>
        <v>6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0.3501802531059644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73.75</v>
      </c>
      <c r="Z207" s="4">
        <f>Games[[#This Row],[K]]*Games[[#This Row],[POMult]]</f>
        <v>73.75</v>
      </c>
      <c r="AA207" s="4">
        <f>(Games[[#This Row],[Keff]]*Games[[#This Row],[MOVMult]])*(Games[[#This Row],[Result]]-Games[[#This Row],[ExpectedWin%]])</f>
        <v>8.881033339916927</v>
      </c>
      <c r="AB207" s="4">
        <f>Games[[#This Row],[PreGmRate]]+Games[[#This Row],[RatingChange]]</f>
        <v>1365.6633525294126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38897</v>
      </c>
      <c r="B208" s="2">
        <v>2006</v>
      </c>
      <c r="C208" s="2">
        <f>COUNTIFS(Games[Team],Games[[#This Row],[Team]],Games[Season],Games[[#This Row],[Season]],Games[Date],"&lt;=" &amp; Games[[#This Row],[Date]])</f>
        <v>15</v>
      </c>
      <c r="D208" s="2" t="s">
        <v>23</v>
      </c>
      <c r="E208" s="2" t="s">
        <v>29</v>
      </c>
      <c r="F208" s="1" t="s">
        <v>73</v>
      </c>
      <c r="G208" s="1" t="s">
        <v>2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1523.7129278044843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1556.0639188577175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0.33854831133693269</v>
      </c>
      <c r="R208" s="1">
        <v>76</v>
      </c>
      <c r="S208" s="1">
        <v>83</v>
      </c>
      <c r="T208" s="1">
        <v>0</v>
      </c>
      <c r="U208" s="1">
        <f>Games[[#This Row],[PointsFor]]-Games[[#This Row],[PointsAgainst]]</f>
        <v>-7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0.36039132536827673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73.75</v>
      </c>
      <c r="Z208" s="4">
        <f>Games[[#This Row],[K]]*Games[[#This Row],[POMult]]</f>
        <v>73.75</v>
      </c>
      <c r="AA208" s="4">
        <f>(Games[[#This Row],[Keff]]*Games[[#This Row],[MOVMult]])*(Games[[#This Row],[Result]]-Games[[#This Row],[ExpectedWin%]])</f>
        <v>-8.9982282535133002</v>
      </c>
      <c r="AB208" s="4">
        <f>Games[[#This Row],[PreGmRate]]+Games[[#This Row],[RatingChange]]</f>
        <v>1514.7146995509709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38897</v>
      </c>
      <c r="B209" s="2">
        <v>2006</v>
      </c>
      <c r="C209" s="2">
        <f>COUNTIFS(Games[Team],Games[[#This Row],[Team]],Games[Season],Games[[#This Row],[Season]],Games[Date],"&lt;=" &amp; Games[[#This Row],[Date]])</f>
        <v>17</v>
      </c>
      <c r="D209" s="2" t="s">
        <v>23</v>
      </c>
      <c r="E209" s="2" t="s">
        <v>29</v>
      </c>
      <c r="F209" s="1" t="s">
        <v>2</v>
      </c>
      <c r="G209" s="1" t="s">
        <v>73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1556.0639188577175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1523.7129278044843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0.66145168866306736</v>
      </c>
      <c r="R209" s="1">
        <v>83</v>
      </c>
      <c r="S209" s="1">
        <v>76</v>
      </c>
      <c r="T209" s="1">
        <v>0</v>
      </c>
      <c r="U209" s="1">
        <f>Games[[#This Row],[PointsFor]]-Games[[#This Row],[PointsAgainst]]</f>
        <v>7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0.36039132536827673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8.9616252911261274</v>
      </c>
      <c r="AB209" s="4">
        <f>Games[[#This Row],[PreGmRate]]+Games[[#This Row],[RatingChange]]</f>
        <v>1565.0255441488437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38897</v>
      </c>
      <c r="B210" s="2">
        <v>2006</v>
      </c>
      <c r="C210" s="2">
        <f>COUNTIFS(Games[Team],Games[[#This Row],[Team]],Games[Season],Games[[#This Row],[Season]],Games[Date],"&lt;=" &amp; Games[[#This Row],[Date]])</f>
        <v>15</v>
      </c>
      <c r="D210" s="2" t="s">
        <v>23</v>
      </c>
      <c r="E210" s="2" t="s">
        <v>29</v>
      </c>
      <c r="F210" s="1" t="s">
        <v>75</v>
      </c>
      <c r="G210" s="1" t="s">
        <v>79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1548.978827387567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1579.1174340249447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0.34140605381122857</v>
      </c>
      <c r="R210" s="1">
        <v>56</v>
      </c>
      <c r="S210" s="1">
        <v>66</v>
      </c>
      <c r="T210" s="1">
        <v>0</v>
      </c>
      <c r="U210" s="1">
        <f>Games[[#This Row],[PointsFor]]-Games[[#This Row],[PointsAgainst]]</f>
        <v>-10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0.41276294919863271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73.75</v>
      </c>
      <c r="Z210" s="4">
        <f>Games[[#This Row],[K]]*Games[[#This Row],[POMult]]</f>
        <v>73.75</v>
      </c>
      <c r="AA210" s="4">
        <f>(Games[[#This Row],[Keff]]*Games[[#This Row],[MOVMult]])*(Games[[#This Row],[Result]]-Games[[#This Row],[ExpectedWin%]])</f>
        <v>-10.392833011347498</v>
      </c>
      <c r="AB210" s="4">
        <f>Games[[#This Row],[PreGmRate]]+Games[[#This Row],[RatingChange]]</f>
        <v>1538.5859943762196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38897</v>
      </c>
      <c r="B211" s="2">
        <v>2006</v>
      </c>
      <c r="C211" s="2">
        <f>COUNTIFS(Games[Team],Games[[#This Row],[Team]],Games[Season],Games[[#This Row],[Season]],Games[Date],"&lt;=" &amp; Games[[#This Row],[Date]])</f>
        <v>17</v>
      </c>
      <c r="D211" s="2" t="s">
        <v>23</v>
      </c>
      <c r="E211" s="2" t="s">
        <v>29</v>
      </c>
      <c r="F211" s="1" t="s">
        <v>79</v>
      </c>
      <c r="G211" s="1" t="s">
        <v>75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1579.1174340249447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1548.978827387567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0.65859394618877143</v>
      </c>
      <c r="R211" s="1">
        <v>66</v>
      </c>
      <c r="S211" s="1">
        <v>56</v>
      </c>
      <c r="T211" s="1">
        <v>0</v>
      </c>
      <c r="U211" s="1">
        <f>Games[[#This Row],[PointsFor]]-Games[[#This Row],[PointsAgainst]]</f>
        <v>10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0.41276294919863271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73.45</v>
      </c>
      <c r="Z211" s="4">
        <f>Games[[#This Row],[K]]*Games[[#This Row],[POMult]]</f>
        <v>73.45</v>
      </c>
      <c r="AA211" s="4">
        <f>(Games[[#This Row],[Keff]]*Games[[#This Row],[MOVMult]])*(Games[[#This Row],[Result]]-Games[[#This Row],[ExpectedWin%]])</f>
        <v>10.350557080453882</v>
      </c>
      <c r="AB211" s="4">
        <f>Games[[#This Row],[PreGmRate]]+Games[[#This Row],[RatingChange]]</f>
        <v>1589.4679911053986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38897</v>
      </c>
      <c r="B212" s="2">
        <v>2006</v>
      </c>
      <c r="C212" s="2">
        <f>COUNTIFS(Games[Team],Games[[#This Row],[Team]],Games[Season],Games[[#This Row],[Season]],Games[Date],"&lt;=" &amp; Games[[#This Row],[Date]])</f>
        <v>15</v>
      </c>
      <c r="D212" s="2" t="s">
        <v>23</v>
      </c>
      <c r="E212" s="2" t="s">
        <v>29</v>
      </c>
      <c r="F212" s="1" t="s">
        <v>77</v>
      </c>
      <c r="G212" s="1" t="s">
        <v>45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-1</v>
      </c>
      <c r="L212" s="2">
        <f>Games[[#This Row],[OppDaysOff]]-Games[[#This Row],[DaysOff]]</f>
        <v>1</v>
      </c>
      <c r="M212" s="1">
        <f>MAX(-16, MIN(16, Games[[#This Row],[RestDiff]]*8))</f>
        <v>-8</v>
      </c>
      <c r="N212" s="1">
        <f>MAX(-16, MIN(16, Games[[#This Row],[OppRestDiff]]*8))</f>
        <v>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1432.53884389321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1553.0168759310213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0.21939875528376102</v>
      </c>
      <c r="R212" s="1">
        <v>78</v>
      </c>
      <c r="S212" s="1">
        <v>87</v>
      </c>
      <c r="T212" s="1">
        <v>0</v>
      </c>
      <c r="U212" s="1">
        <f>Games[[#This Row],[PointsFor]]-Games[[#This Row],[PointsAgainst]]</f>
        <v>-9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0.36893141783273653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73.75</v>
      </c>
      <c r="Z212" s="4">
        <f>Games[[#This Row],[K]]*Games[[#This Row],[POMult]]</f>
        <v>73.75</v>
      </c>
      <c r="AA212" s="4">
        <f>(Games[[#This Row],[Keff]]*Games[[#This Row],[MOVMult]])*(Games[[#This Row],[Result]]-Games[[#This Row],[ExpectedWin%]])</f>
        <v>-5.9695531719961963</v>
      </c>
      <c r="AB212" s="4">
        <f>Games[[#This Row],[PreGmRate]]+Games[[#This Row],[RatingChange]]</f>
        <v>1426.5692907212137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38897</v>
      </c>
      <c r="B213" s="2">
        <v>2006</v>
      </c>
      <c r="C213" s="2">
        <f>COUNTIFS(Games[Team],Games[[#This Row],[Team]],Games[Season],Games[[#This Row],[Season]],Games[Date],"&lt;=" &amp; Games[[#This Row],[Date]])</f>
        <v>15</v>
      </c>
      <c r="D213" s="2" t="s">
        <v>23</v>
      </c>
      <c r="E213" s="2" t="s">
        <v>29</v>
      </c>
      <c r="F213" s="1" t="s">
        <v>45</v>
      </c>
      <c r="G213" s="1" t="s">
        <v>77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3" s="2">
        <f>Games[[#This Row],[DaysOff]]-Games[[#This Row],[OppDaysOff]]</f>
        <v>1</v>
      </c>
      <c r="L213" s="2">
        <f>Games[[#This Row],[OppDaysOff]]-Games[[#This Row],[DaysOff]]</f>
        <v>-1</v>
      </c>
      <c r="M213" s="1">
        <f>MAX(-16, MIN(16, Games[[#This Row],[RestDiff]]*8))</f>
        <v>8</v>
      </c>
      <c r="N213" s="1">
        <f>MAX(-16, MIN(16, Games[[#This Row],[OppRestDiff]]*8))</f>
        <v>-8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1553.0168759310213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1432.53884389321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0.78060124471623893</v>
      </c>
      <c r="R213" s="1">
        <v>87</v>
      </c>
      <c r="S213" s="1">
        <v>78</v>
      </c>
      <c r="T213" s="1">
        <v>0</v>
      </c>
      <c r="U213" s="1">
        <f>Games[[#This Row],[PointsFor]]-Games[[#This Row],[PointsAgainst]]</f>
        <v>9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0.36893141783273653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73.75</v>
      </c>
      <c r="Z213" s="4">
        <f>Games[[#This Row],[K]]*Games[[#This Row],[POMult]]</f>
        <v>73.75</v>
      </c>
      <c r="AA213" s="4">
        <f>(Games[[#This Row],[Keff]]*Games[[#This Row],[MOVMult]])*(Games[[#This Row],[Result]]-Games[[#This Row],[ExpectedWin%]])</f>
        <v>5.9695531719961981</v>
      </c>
      <c r="AB213" s="4">
        <f>Games[[#This Row],[PreGmRate]]+Games[[#This Row],[RatingChange]]</f>
        <v>1558.9864291030176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38898</v>
      </c>
      <c r="B214" s="2">
        <v>2006</v>
      </c>
      <c r="C214" s="2">
        <f>COUNTIFS(Games[Team],Games[[#This Row],[Team]],Games[Season],Games[[#This Row],[Season]],Games[Date],"&lt;=" &amp; Games[[#This Row],[Date]])</f>
        <v>16</v>
      </c>
      <c r="D214" s="2" t="s">
        <v>23</v>
      </c>
      <c r="E214" s="2" t="s">
        <v>29</v>
      </c>
      <c r="F214" s="1" t="s">
        <v>75</v>
      </c>
      <c r="G214" s="1" t="s">
        <v>86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-2</v>
      </c>
      <c r="L214" s="2">
        <f>Games[[#This Row],[OppDaysOff]]-Games[[#This Row],[DaysOff]]</f>
        <v>2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1538.5859943762196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1632.6456935527158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0.22984248543793384</v>
      </c>
      <c r="R214" s="1">
        <v>70</v>
      </c>
      <c r="S214" s="1">
        <v>64</v>
      </c>
      <c r="T214" s="1">
        <v>0</v>
      </c>
      <c r="U214" s="1">
        <f>Games[[#This Row],[PointsFor]]-Games[[#This Row],[PointsAgainst]]</f>
        <v>6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0.32574765567418906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73.599999999999994</v>
      </c>
      <c r="Z214" s="4">
        <f>Games[[#This Row],[K]]*Games[[#This Row],[POMult]]</f>
        <v>73.599999999999994</v>
      </c>
      <c r="AA214" s="4">
        <f>(Games[[#This Row],[Keff]]*Games[[#This Row],[MOVMult]])*(Games[[#This Row],[Result]]-Games[[#This Row],[ExpectedWin%]])</f>
        <v>18.464547558318152</v>
      </c>
      <c r="AB214" s="4">
        <f>Games[[#This Row],[PreGmRate]]+Games[[#This Row],[RatingChange]]</f>
        <v>1557.0505419345377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38898</v>
      </c>
      <c r="B215" s="2">
        <v>2006</v>
      </c>
      <c r="C215" s="2">
        <f>COUNTIFS(Games[Team],Games[[#This Row],[Team]],Games[Season],Games[[#This Row],[Season]],Games[Date],"&lt;=" &amp; Games[[#This Row],[Date]])</f>
        <v>16</v>
      </c>
      <c r="D215" s="2" t="s">
        <v>23</v>
      </c>
      <c r="E215" s="2" t="s">
        <v>29</v>
      </c>
      <c r="F215" s="1" t="s">
        <v>86</v>
      </c>
      <c r="G215" s="1" t="s">
        <v>75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5" s="2">
        <f>Games[[#This Row],[DaysOff]]-Games[[#This Row],[OppDaysOff]]</f>
        <v>2</v>
      </c>
      <c r="L215" s="2">
        <f>Games[[#This Row],[OppDaysOff]]-Games[[#This Row],[DaysOff]]</f>
        <v>-2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1632.6456935527158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1538.5859943762196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0.77015751456206616</v>
      </c>
      <c r="R215" s="1">
        <v>64</v>
      </c>
      <c r="S215" s="1">
        <v>70</v>
      </c>
      <c r="T215" s="1">
        <v>0</v>
      </c>
      <c r="U215" s="1">
        <f>Games[[#This Row],[PointsFor]]-Games[[#This Row],[PointsAgainst]]</f>
        <v>-6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0.32574765567418906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73.599999999999994</v>
      </c>
      <c r="Z215" s="4">
        <f>Games[[#This Row],[K]]*Games[[#This Row],[POMult]]</f>
        <v>73.599999999999994</v>
      </c>
      <c r="AA215" s="4">
        <f>(Games[[#This Row],[Keff]]*Games[[#This Row],[MOVMult]])*(Games[[#This Row],[Result]]-Games[[#This Row],[ExpectedWin%]])</f>
        <v>-18.464547558318152</v>
      </c>
      <c r="AB215" s="4">
        <f>Games[[#This Row],[PreGmRate]]+Games[[#This Row],[RatingChange]]</f>
        <v>1614.1811459943976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38898</v>
      </c>
      <c r="B216" s="2">
        <v>2006</v>
      </c>
      <c r="C216" s="2">
        <f>COUNTIFS(Games[Team],Games[[#This Row],[Team]],Games[Season],Games[[#This Row],[Season]],Games[Date],"&lt;=" &amp; Games[[#This Row],[Date]])</f>
        <v>14</v>
      </c>
      <c r="D216" s="2" t="s">
        <v>23</v>
      </c>
      <c r="E216" s="2" t="s">
        <v>29</v>
      </c>
      <c r="F216" s="1" t="s">
        <v>44</v>
      </c>
      <c r="G216" s="1" t="s">
        <v>70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1482.8800330407046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1573.5386485415231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0.26787794169730422</v>
      </c>
      <c r="R216" s="1">
        <v>83</v>
      </c>
      <c r="S216" s="1">
        <v>85</v>
      </c>
      <c r="T216" s="1">
        <v>0</v>
      </c>
      <c r="U216" s="1">
        <f>Games[[#This Row],[PointsFor]]-Games[[#This Row],[PointsAgainst]]</f>
        <v>-2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0.24902757484548788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73.900000000000006</v>
      </c>
      <c r="Z216" s="4">
        <f>Games[[#This Row],[K]]*Games[[#This Row],[POMult]]</f>
        <v>73.900000000000006</v>
      </c>
      <c r="AA216" s="4">
        <f>(Games[[#This Row],[Keff]]*Games[[#This Row],[MOVMult]])*(Games[[#This Row],[Result]]-Games[[#This Row],[ExpectedWin%]])</f>
        <v>-4.9297946695680208</v>
      </c>
      <c r="AB216" s="4">
        <f>Games[[#This Row],[PreGmRate]]+Games[[#This Row],[RatingChange]]</f>
        <v>1477.9502383711365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38898</v>
      </c>
      <c r="B217" s="2">
        <v>2006</v>
      </c>
      <c r="C217" s="2">
        <f>COUNTIFS(Games[Team],Games[[#This Row],[Team]],Games[Season],Games[[#This Row],[Season]],Games[Date],"&lt;=" &amp; Games[[#This Row],[Date]])</f>
        <v>16</v>
      </c>
      <c r="D217" s="2" t="s">
        <v>23</v>
      </c>
      <c r="E217" s="2" t="s">
        <v>29</v>
      </c>
      <c r="F217" s="1" t="s">
        <v>70</v>
      </c>
      <c r="G217" s="1" t="s">
        <v>44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1573.5386485415231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1482.8800330407046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0.73212205830269583</v>
      </c>
      <c r="R217" s="1">
        <v>85</v>
      </c>
      <c r="S217" s="1">
        <v>83</v>
      </c>
      <c r="T217" s="1">
        <v>0</v>
      </c>
      <c r="U217" s="1">
        <f>Games[[#This Row],[PointsFor]]-Games[[#This Row],[PointsAgainst]]</f>
        <v>2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0.24902757484548788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73.599999999999994</v>
      </c>
      <c r="Z217" s="4">
        <f>Games[[#This Row],[K]]*Games[[#This Row],[POMult]]</f>
        <v>73.599999999999994</v>
      </c>
      <c r="AA217" s="4">
        <f>(Games[[#This Row],[Keff]]*Games[[#This Row],[MOVMult]])*(Games[[#This Row],[Result]]-Games[[#This Row],[ExpectedWin%]])</f>
        <v>4.9097819713153754</v>
      </c>
      <c r="AB217" s="4">
        <f>Games[[#This Row],[PreGmRate]]+Games[[#This Row],[RatingChange]]</f>
        <v>1578.4484305128385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38898</v>
      </c>
      <c r="B218" s="2">
        <v>2006</v>
      </c>
      <c r="C218" s="2">
        <f>COUNTIFS(Games[Team],Games[[#This Row],[Team]],Games[Season],Games[[#This Row],[Season]],Games[Date],"&lt;=" &amp; Games[[#This Row],[Date]])</f>
        <v>15</v>
      </c>
      <c r="D218" s="2" t="s">
        <v>23</v>
      </c>
      <c r="E218" s="2" t="s">
        <v>29</v>
      </c>
      <c r="F218" s="1" t="s">
        <v>84</v>
      </c>
      <c r="G218" s="1" t="s">
        <v>66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1415.3091622315465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1432.0689631315036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0.35892798274755783</v>
      </c>
      <c r="R218" s="1">
        <v>91</v>
      </c>
      <c r="S218" s="1">
        <v>78</v>
      </c>
      <c r="T218" s="1">
        <v>0</v>
      </c>
      <c r="U218" s="1">
        <f>Games[[#This Row],[PointsFor]]-Games[[#This Row],[PointsAgainst]]</f>
        <v>13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0.46554176622039412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73.75</v>
      </c>
      <c r="Z218" s="4">
        <f>Games[[#This Row],[K]]*Games[[#This Row],[POMult]]</f>
        <v>73.75</v>
      </c>
      <c r="AA218" s="4">
        <f>(Games[[#This Row],[Keff]]*Games[[#This Row],[MOVMult]])*(Games[[#This Row],[Result]]-Games[[#This Row],[ExpectedWin%]])</f>
        <v>22.010377689980253</v>
      </c>
      <c r="AB218" s="4">
        <f>Games[[#This Row],[PreGmRate]]+Games[[#This Row],[RatingChange]]</f>
        <v>1437.3195399215267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38898</v>
      </c>
      <c r="B219" s="2">
        <v>2006</v>
      </c>
      <c r="C219" s="2">
        <f>COUNTIFS(Games[Team],Games[[#This Row],[Team]],Games[Season],Games[[#This Row],[Season]],Games[Date],"&lt;=" &amp; Games[[#This Row],[Date]])</f>
        <v>15</v>
      </c>
      <c r="D219" s="2" t="s">
        <v>23</v>
      </c>
      <c r="E219" s="2" t="s">
        <v>29</v>
      </c>
      <c r="F219" s="1" t="s">
        <v>66</v>
      </c>
      <c r="G219" s="1" t="s">
        <v>84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1432.0689631315036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1415.3091622315465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0.64107201725244223</v>
      </c>
      <c r="R219" s="1">
        <v>78</v>
      </c>
      <c r="S219" s="1">
        <v>91</v>
      </c>
      <c r="T219" s="1">
        <v>0</v>
      </c>
      <c r="U219" s="1">
        <f>Games[[#This Row],[PointsFor]]-Games[[#This Row],[PointsAgainst]]</f>
        <v>-13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0.46554176622039412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73.75</v>
      </c>
      <c r="Z219" s="4">
        <f>Games[[#This Row],[K]]*Games[[#This Row],[POMult]]</f>
        <v>73.75</v>
      </c>
      <c r="AA219" s="4">
        <f>(Games[[#This Row],[Keff]]*Games[[#This Row],[MOVMult]])*(Games[[#This Row],[Result]]-Games[[#This Row],[ExpectedWin%]])</f>
        <v>-22.010377689980253</v>
      </c>
      <c r="AB219" s="4">
        <f>Games[[#This Row],[PreGmRate]]+Games[[#This Row],[RatingChange]]</f>
        <v>1410.0585854415233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38899</v>
      </c>
      <c r="B220" s="2">
        <v>2006</v>
      </c>
      <c r="C220" s="2">
        <f>COUNTIFS(Games[Team],Games[[#This Row],[Team]],Games[Season],Games[[#This Row],[Season]],Games[Date],"&lt;=" &amp; Games[[#This Row],[Date]])</f>
        <v>16</v>
      </c>
      <c r="D220" s="2" t="s">
        <v>23</v>
      </c>
      <c r="E220" s="2" t="s">
        <v>29</v>
      </c>
      <c r="F220" s="1" t="s">
        <v>45</v>
      </c>
      <c r="G220" s="1" t="s">
        <v>64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1558.9864291030176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1351.6725138680617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0.67036844699118336</v>
      </c>
      <c r="R220" s="1">
        <v>65</v>
      </c>
      <c r="S220" s="1">
        <v>57</v>
      </c>
      <c r="T220" s="1">
        <v>0</v>
      </c>
      <c r="U220" s="1">
        <f>Games[[#This Row],[PointsFor]]-Games[[#This Row],[PointsAgainst]]</f>
        <v>8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0.33111208306769985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73.599999999999994</v>
      </c>
      <c r="Z220" s="4">
        <f>Games[[#This Row],[K]]*Games[[#This Row],[POMult]]</f>
        <v>73.599999999999994</v>
      </c>
      <c r="AA220" s="4">
        <f>(Games[[#This Row],[Keff]]*Games[[#This Row],[MOVMult]])*(Games[[#This Row],[Result]]-Games[[#This Row],[ExpectedWin%]])</f>
        <v>8.0330712758930378</v>
      </c>
      <c r="AB220" s="4">
        <f>Games[[#This Row],[PreGmRate]]+Games[[#This Row],[RatingChange]]</f>
        <v>1567.0195003789106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38899</v>
      </c>
      <c r="B221" s="2">
        <v>2006</v>
      </c>
      <c r="C221" s="2">
        <f>COUNTIFS(Games[Team],Games[[#This Row],[Team]],Games[Season],Games[[#This Row],[Season]],Games[Date],"&lt;=" &amp; Games[[#This Row],[Date]])</f>
        <v>16</v>
      </c>
      <c r="D221" s="2" t="s">
        <v>23</v>
      </c>
      <c r="E221" s="2" t="s">
        <v>29</v>
      </c>
      <c r="F221" s="1" t="s">
        <v>64</v>
      </c>
      <c r="G221" s="1" t="s">
        <v>45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1351.6725138680617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1558.9864291030176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0.32963155300881669</v>
      </c>
      <c r="R221" s="1">
        <v>57</v>
      </c>
      <c r="S221" s="1">
        <v>65</v>
      </c>
      <c r="T221" s="1">
        <v>0</v>
      </c>
      <c r="U221" s="1">
        <f>Games[[#This Row],[PointsFor]]-Games[[#This Row],[PointsAgainst]]</f>
        <v>-8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0.33111208306769985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73.599999999999994</v>
      </c>
      <c r="Z221" s="4">
        <f>Games[[#This Row],[K]]*Games[[#This Row],[POMult]]</f>
        <v>73.599999999999994</v>
      </c>
      <c r="AA221" s="4">
        <f>(Games[[#This Row],[Keff]]*Games[[#This Row],[MOVMult]])*(Games[[#This Row],[Result]]-Games[[#This Row],[ExpectedWin%]])</f>
        <v>-8.0330712758930396</v>
      </c>
      <c r="AB221" s="4">
        <f>Games[[#This Row],[PreGmRate]]+Games[[#This Row],[RatingChange]]</f>
        <v>1343.6394425921687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38899</v>
      </c>
      <c r="B222" s="2">
        <v>2006</v>
      </c>
      <c r="C222" s="2">
        <f>COUNTIFS(Games[Team],Games[[#This Row],[Team]],Games[Season],Games[[#This Row],[Season]],Games[Date],"&lt;=" &amp; Games[[#This Row],[Date]])</f>
        <v>17</v>
      </c>
      <c r="D222" s="2" t="s">
        <v>23</v>
      </c>
      <c r="E222" s="2" t="s">
        <v>29</v>
      </c>
      <c r="F222" s="1" t="s">
        <v>86</v>
      </c>
      <c r="G222" s="1" t="s">
        <v>79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1614.1811459943976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1589.4679911053986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0.39331809609182106</v>
      </c>
      <c r="R222" s="1">
        <v>76</v>
      </c>
      <c r="S222" s="1">
        <v>66</v>
      </c>
      <c r="T222" s="1">
        <v>0</v>
      </c>
      <c r="U222" s="1">
        <f>Games[[#This Row],[PointsFor]]-Games[[#This Row],[PointsAgainst]]</f>
        <v>10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0.41459147978594285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73.45</v>
      </c>
      <c r="Z222" s="4">
        <f>Games[[#This Row],[K]]*Games[[#This Row],[POMult]]</f>
        <v>73.45</v>
      </c>
      <c r="AA222" s="4">
        <f>(Games[[#This Row],[Keff]]*Games[[#This Row],[MOVMult]])*(Games[[#This Row],[Result]]-Games[[#This Row],[ExpectedWin%]])</f>
        <v>18.474522142682382</v>
      </c>
      <c r="AB222" s="4">
        <f>Games[[#This Row],[PreGmRate]]+Games[[#This Row],[RatingChange]]</f>
        <v>1632.6556681370801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38899</v>
      </c>
      <c r="B223" s="2">
        <v>2006</v>
      </c>
      <c r="C223" s="2">
        <f>COUNTIFS(Games[Team],Games[[#This Row],[Team]],Games[Season],Games[[#This Row],[Season]],Games[Date],"&lt;=" &amp; Games[[#This Row],[Date]])</f>
        <v>18</v>
      </c>
      <c r="D223" s="2" t="s">
        <v>23</v>
      </c>
      <c r="E223" s="2" t="s">
        <v>29</v>
      </c>
      <c r="F223" s="1" t="s">
        <v>79</v>
      </c>
      <c r="G223" s="1" t="s">
        <v>86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1589.4679911053986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1614.1811459943976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0.606681903908179</v>
      </c>
      <c r="R223" s="1">
        <v>66</v>
      </c>
      <c r="S223" s="1">
        <v>76</v>
      </c>
      <c r="T223" s="1">
        <v>0</v>
      </c>
      <c r="U223" s="1">
        <f>Games[[#This Row],[PointsFor]]-Games[[#This Row],[PointsAgainst]]</f>
        <v>-10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0.41459147978594285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73.3</v>
      </c>
      <c r="Z223" s="4">
        <f>Games[[#This Row],[K]]*Games[[#This Row],[POMult]]</f>
        <v>73.3</v>
      </c>
      <c r="AA223" s="4">
        <f>(Games[[#This Row],[Keff]]*Games[[#This Row],[MOVMult]])*(Games[[#This Row],[Result]]-Games[[#This Row],[ExpectedWin%]])</f>
        <v>-18.436793370437286</v>
      </c>
      <c r="AB223" s="4">
        <f>Games[[#This Row],[PreGmRate]]+Games[[#This Row],[RatingChange]]</f>
        <v>1571.0311977349613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38899</v>
      </c>
      <c r="B224" s="2">
        <v>2006</v>
      </c>
      <c r="C224" s="2">
        <f>COUNTIFS(Games[Team],Games[[#This Row],[Team]],Games[Season],Games[[#This Row],[Season]],Games[Date],"&lt;=" &amp; Games[[#This Row],[Date]])</f>
        <v>16</v>
      </c>
      <c r="D224" s="2" t="s">
        <v>23</v>
      </c>
      <c r="E224" s="2" t="s">
        <v>29</v>
      </c>
      <c r="F224" s="1" t="s">
        <v>73</v>
      </c>
      <c r="G224" s="1" t="s">
        <v>70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4" s="2">
        <f>Games[[#This Row],[DaysOff]]-Games[[#This Row],[OppDaysOff]]</f>
        <v>1</v>
      </c>
      <c r="L224" s="2">
        <f>Games[[#This Row],[OppDaysOff]]-Games[[#This Row],[DaysOff]]</f>
        <v>-1</v>
      </c>
      <c r="M224" s="1">
        <f>MAX(-16, MIN(16, Games[[#This Row],[RestDiff]]*8))</f>
        <v>8</v>
      </c>
      <c r="N224" s="1">
        <f>MAX(-16, MIN(16, Games[[#This Row],[OppRestDiff]]*8))</f>
        <v>-8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1514.7146995509709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1578.4484305128385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0.31901105549696041</v>
      </c>
      <c r="R224" s="1">
        <v>75</v>
      </c>
      <c r="S224" s="1">
        <v>80</v>
      </c>
      <c r="T224" s="1">
        <v>0</v>
      </c>
      <c r="U224" s="1">
        <f>Games[[#This Row],[PointsFor]]-Games[[#This Row],[PointsAgainst]]</f>
        <v>-5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0.31502456633050807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73.599999999999994</v>
      </c>
      <c r="Z224" s="4">
        <f>Games[[#This Row],[K]]*Games[[#This Row],[POMult]]</f>
        <v>73.599999999999994</v>
      </c>
      <c r="AA224" s="4">
        <f>(Games[[#This Row],[Keff]]*Games[[#This Row],[MOVMult]])*(Games[[#This Row],[Result]]-Games[[#This Row],[ExpectedWin%]])</f>
        <v>-7.396529108764974</v>
      </c>
      <c r="AB224" s="4">
        <f>Games[[#This Row],[PreGmRate]]+Games[[#This Row],[RatingChange]]</f>
        <v>1507.3181704422059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38899</v>
      </c>
      <c r="B225" s="2">
        <v>2006</v>
      </c>
      <c r="C225" s="2">
        <f>COUNTIFS(Games[Team],Games[[#This Row],[Team]],Games[Season],Games[[#This Row],[Season]],Games[Date],"&lt;=" &amp; Games[[#This Row],[Date]])</f>
        <v>17</v>
      </c>
      <c r="D225" s="2" t="s">
        <v>23</v>
      </c>
      <c r="E225" s="2" t="s">
        <v>29</v>
      </c>
      <c r="F225" s="1" t="s">
        <v>70</v>
      </c>
      <c r="G225" s="1" t="s">
        <v>73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-1</v>
      </c>
      <c r="L225" s="2">
        <f>Games[[#This Row],[OppDaysOff]]-Games[[#This Row],[DaysOff]]</f>
        <v>1</v>
      </c>
      <c r="M225" s="1">
        <f>MAX(-16, MIN(16, Games[[#This Row],[RestDiff]]*8))</f>
        <v>-8</v>
      </c>
      <c r="N225" s="1">
        <f>MAX(-16, MIN(16, Games[[#This Row],[OppRestDiff]]*8))</f>
        <v>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1578.4484305128385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1514.7146995509709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0.68098894450303959</v>
      </c>
      <c r="R225" s="1">
        <v>80</v>
      </c>
      <c r="S225" s="1">
        <v>75</v>
      </c>
      <c r="T225" s="1">
        <v>0</v>
      </c>
      <c r="U225" s="1">
        <f>Games[[#This Row],[PointsFor]]-Games[[#This Row],[PointsAgainst]]</f>
        <v>5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0.31502456633050807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73.45</v>
      </c>
      <c r="Z225" s="4">
        <f>Games[[#This Row],[K]]*Games[[#This Row],[POMult]]</f>
        <v>73.45</v>
      </c>
      <c r="AA225" s="4">
        <f>(Games[[#This Row],[Keff]]*Games[[#This Row],[MOVMult]])*(Games[[#This Row],[Result]]-Games[[#This Row],[ExpectedWin%]])</f>
        <v>7.3814546608530902</v>
      </c>
      <c r="AB225" s="4">
        <f>Games[[#This Row],[PreGmRate]]+Games[[#This Row],[RatingChange]]</f>
        <v>1585.8298851736915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38899</v>
      </c>
      <c r="B226" s="2">
        <v>2006</v>
      </c>
      <c r="C226" s="2">
        <f>COUNTIFS(Games[Team],Games[[#This Row],[Team]],Games[Season],Games[[#This Row],[Season]],Games[Date],"&lt;=" &amp; Games[[#This Row],[Date]])</f>
        <v>16</v>
      </c>
      <c r="D226" s="2" t="s">
        <v>23</v>
      </c>
      <c r="E226" s="2" t="s">
        <v>29</v>
      </c>
      <c r="F226" s="1" t="s">
        <v>87</v>
      </c>
      <c r="G226" s="1" t="s">
        <v>84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6" s="2">
        <f>Games[[#This Row],[DaysOff]]-Games[[#This Row],[OppDaysOff]]</f>
        <v>1</v>
      </c>
      <c r="L226" s="2">
        <f>Games[[#This Row],[OppDaysOff]]-Games[[#This Row],[DaysOff]]</f>
        <v>-1</v>
      </c>
      <c r="M226" s="1">
        <f>MAX(-16, MIN(16, Games[[#This Row],[RestDiff]]*8))</f>
        <v>8</v>
      </c>
      <c r="N226" s="1">
        <f>MAX(-16, MIN(16, Games[[#This Row],[OppRestDiff]]*8))</f>
        <v>-8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1365.6633525294126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1437.3195399215267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0.3091864136792255</v>
      </c>
      <c r="R226" s="1">
        <v>57</v>
      </c>
      <c r="S226" s="1">
        <v>69</v>
      </c>
      <c r="T226" s="1">
        <v>0</v>
      </c>
      <c r="U226" s="1">
        <f>Games[[#This Row],[PointsFor]]-Games[[#This Row],[PointsAgainst]]</f>
        <v>-12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0.43042713676748878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73.599999999999994</v>
      </c>
      <c r="Z226" s="4">
        <f>Games[[#This Row],[K]]*Games[[#This Row],[POMult]]</f>
        <v>73.599999999999994</v>
      </c>
      <c r="AA226" s="4">
        <f>(Games[[#This Row],[Keff]]*Games[[#This Row],[MOVMult]])*(Games[[#This Row],[Result]]-Games[[#This Row],[ExpectedWin%]])</f>
        <v>-9.7948515956775015</v>
      </c>
      <c r="AB226" s="4">
        <f>Games[[#This Row],[PreGmRate]]+Games[[#This Row],[RatingChange]]</f>
        <v>1355.868500933735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38899</v>
      </c>
      <c r="B227" s="2">
        <v>2006</v>
      </c>
      <c r="C227" s="2">
        <f>COUNTIFS(Games[Team],Games[[#This Row],[Team]],Games[Season],Games[[#This Row],[Season]],Games[Date],"&lt;=" &amp; Games[[#This Row],[Date]])</f>
        <v>16</v>
      </c>
      <c r="D227" s="2" t="s">
        <v>23</v>
      </c>
      <c r="E227" s="2" t="s">
        <v>29</v>
      </c>
      <c r="F227" s="1" t="s">
        <v>84</v>
      </c>
      <c r="G227" s="1" t="s">
        <v>87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-1</v>
      </c>
      <c r="L227" s="2">
        <f>Games[[#This Row],[OppDaysOff]]-Games[[#This Row],[DaysOff]]</f>
        <v>1</v>
      </c>
      <c r="M227" s="1">
        <f>MAX(-16, MIN(16, Games[[#This Row],[RestDiff]]*8))</f>
        <v>-8</v>
      </c>
      <c r="N227" s="1">
        <f>MAX(-16, MIN(16, Games[[#This Row],[OppRestDiff]]*8))</f>
        <v>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1437.3195399215267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1365.6633525294126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0.6908135863207745</v>
      </c>
      <c r="R227" s="1">
        <v>69</v>
      </c>
      <c r="S227" s="1">
        <v>57</v>
      </c>
      <c r="T227" s="1">
        <v>0</v>
      </c>
      <c r="U227" s="1">
        <f>Games[[#This Row],[PointsFor]]-Games[[#This Row],[PointsAgainst]]</f>
        <v>12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0.43042713676748878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73.599999999999994</v>
      </c>
      <c r="Z227" s="4">
        <f>Games[[#This Row],[K]]*Games[[#This Row],[POMult]]</f>
        <v>73.599999999999994</v>
      </c>
      <c r="AA227" s="4">
        <f>(Games[[#This Row],[Keff]]*Games[[#This Row],[MOVMult]])*(Games[[#This Row],[Result]]-Games[[#This Row],[ExpectedWin%]])</f>
        <v>9.7948515956775015</v>
      </c>
      <c r="AB227" s="4">
        <f>Games[[#This Row],[PreGmRate]]+Games[[#This Row],[RatingChange]]</f>
        <v>1447.1143915172042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38899</v>
      </c>
      <c r="B228" s="2">
        <v>2006</v>
      </c>
      <c r="C228" s="2">
        <f>COUNTIFS(Games[Team],Games[[#This Row],[Team]],Games[Season],Games[[#This Row],[Season]],Games[Date],"&lt;=" &amp; Games[[#This Row],[Date]])</f>
        <v>16</v>
      </c>
      <c r="D228" s="2" t="s">
        <v>23</v>
      </c>
      <c r="E228" s="2" t="s">
        <v>29</v>
      </c>
      <c r="F228" s="1" t="s">
        <v>77</v>
      </c>
      <c r="G228" s="1" t="s">
        <v>81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1426.5692907212137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1557.8513344403023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0.20893342564906384</v>
      </c>
      <c r="R228" s="1">
        <v>75</v>
      </c>
      <c r="S228" s="1">
        <v>92</v>
      </c>
      <c r="T228" s="1">
        <v>0</v>
      </c>
      <c r="U228" s="1">
        <f>Games[[#This Row],[PointsFor]]-Games[[#This Row],[PointsAgainst]]</f>
        <v>-17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0.47993622832429367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73.599999999999994</v>
      </c>
      <c r="Z228" s="4">
        <f>Games[[#This Row],[K]]*Games[[#This Row],[POMult]]</f>
        <v>73.599999999999994</v>
      </c>
      <c r="AA228" s="4">
        <f>(Games[[#This Row],[Keff]]*Games[[#This Row],[MOVMult]])*(Games[[#This Row],[Result]]-Games[[#This Row],[ExpectedWin%]])</f>
        <v>-7.3802194123788043</v>
      </c>
      <c r="AB228" s="4">
        <f>Games[[#This Row],[PreGmRate]]+Games[[#This Row],[RatingChange]]</f>
        <v>1419.1890713088349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38899</v>
      </c>
      <c r="B229" s="2">
        <v>2006</v>
      </c>
      <c r="C229" s="2">
        <f>COUNTIFS(Games[Team],Games[[#This Row],[Team]],Games[Season],Games[[#This Row],[Season]],Games[Date],"&lt;=" &amp; Games[[#This Row],[Date]])</f>
        <v>18</v>
      </c>
      <c r="D229" s="2" t="s">
        <v>23</v>
      </c>
      <c r="E229" s="2" t="s">
        <v>29</v>
      </c>
      <c r="F229" s="1" t="s">
        <v>81</v>
      </c>
      <c r="G229" s="1" t="s">
        <v>77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1557.8513344403023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1426.5692907212137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0.79106657435093608</v>
      </c>
      <c r="R229" s="1">
        <v>92</v>
      </c>
      <c r="S229" s="1">
        <v>75</v>
      </c>
      <c r="T229" s="1">
        <v>0</v>
      </c>
      <c r="U229" s="1">
        <f>Games[[#This Row],[PointsFor]]-Games[[#This Row],[PointsAgainst]]</f>
        <v>17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0.47993622832429367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73.3</v>
      </c>
      <c r="Z229" s="4">
        <f>Games[[#This Row],[K]]*Games[[#This Row],[POMult]]</f>
        <v>73.3</v>
      </c>
      <c r="AA229" s="4">
        <f>(Games[[#This Row],[Keff]]*Games[[#This Row],[MOVMult]])*(Games[[#This Row],[Result]]-Games[[#This Row],[ExpectedWin%]])</f>
        <v>7.350136996295741</v>
      </c>
      <c r="AB229" s="4">
        <f>Games[[#This Row],[PreGmRate]]+Games[[#This Row],[RatingChange]]</f>
        <v>1565.201471436598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38900</v>
      </c>
      <c r="B230" s="2">
        <v>2006</v>
      </c>
      <c r="C230" s="2">
        <f>COUNTIFS(Games[Team],Games[[#This Row],[Team]],Games[Season],Games[[#This Row],[Season]],Games[Date],"&lt;=" &amp; Games[[#This Row],[Date]])</f>
        <v>17</v>
      </c>
      <c r="D230" s="2" t="s">
        <v>23</v>
      </c>
      <c r="E230" s="2" t="s">
        <v>29</v>
      </c>
      <c r="F230" s="1" t="s">
        <v>45</v>
      </c>
      <c r="G230" s="1" t="s">
        <v>2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-2</v>
      </c>
      <c r="L230" s="2">
        <f>Games[[#This Row],[OppDaysOff]]-Games[[#This Row],[DaysOff]]</f>
        <v>2</v>
      </c>
      <c r="M230" s="1">
        <f>MAX(-16, MIN(16, Games[[#This Row],[RestDiff]]*8))</f>
        <v>-16</v>
      </c>
      <c r="N230" s="1">
        <f>MAX(-16, MIN(16, Games[[#This Row],[OppRestDiff]]*8))</f>
        <v>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1567.0195003789106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1565.0255441488437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0.34157765452122768</v>
      </c>
      <c r="R230" s="1">
        <v>62</v>
      </c>
      <c r="S230" s="1">
        <v>77</v>
      </c>
      <c r="T230" s="1">
        <v>0</v>
      </c>
      <c r="U230" s="1">
        <f>Games[[#This Row],[PointsFor]]-Games[[#This Row],[PointsAgainst]]</f>
        <v>-15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0.50201386664794467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73.45</v>
      </c>
      <c r="Z230" s="4">
        <f>Games[[#This Row],[K]]*Games[[#This Row],[POMult]]</f>
        <v>73.45</v>
      </c>
      <c r="AA230" s="4">
        <f>(Games[[#This Row],[Keff]]*Games[[#This Row],[MOVMult]])*(Games[[#This Row],[Result]]-Games[[#This Row],[ExpectedWin%]])</f>
        <v>-12.594965018389855</v>
      </c>
      <c r="AB230" s="4">
        <f>Games[[#This Row],[PreGmRate]]+Games[[#This Row],[RatingChange]]</f>
        <v>1554.4245353605208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38900</v>
      </c>
      <c r="B231" s="2">
        <v>2006</v>
      </c>
      <c r="C231" s="2">
        <f>COUNTIFS(Games[Team],Games[[#This Row],[Team]],Games[Season],Games[[#This Row],[Season]],Games[Date],"&lt;=" &amp; Games[[#This Row],[Date]])</f>
        <v>18</v>
      </c>
      <c r="D231" s="2" t="s">
        <v>23</v>
      </c>
      <c r="E231" s="2" t="s">
        <v>29</v>
      </c>
      <c r="F231" s="1" t="s">
        <v>2</v>
      </c>
      <c r="G231" s="1" t="s">
        <v>45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2</v>
      </c>
      <c r="L231" s="2">
        <f>Games[[#This Row],[OppDaysOff]]-Games[[#This Row],[DaysOff]]</f>
        <v>-2</v>
      </c>
      <c r="M231" s="1">
        <f>MAX(-16, MIN(16, Games[[#This Row],[RestDiff]]*8))</f>
        <v>16</v>
      </c>
      <c r="N231" s="1">
        <f>MAX(-16, MIN(16, Games[[#This Row],[OppRestDiff]]*8))</f>
        <v>-16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1565.0255441488437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1567.0195003789106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0.65842234547877232</v>
      </c>
      <c r="R231" s="1">
        <v>77</v>
      </c>
      <c r="S231" s="1">
        <v>62</v>
      </c>
      <c r="T231" s="1">
        <v>0</v>
      </c>
      <c r="U231" s="1">
        <f>Games[[#This Row],[PointsFor]]-Games[[#This Row],[PointsAgainst]]</f>
        <v>15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0.50201386664794467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73.3</v>
      </c>
      <c r="Z231" s="4">
        <f>Games[[#This Row],[K]]*Games[[#This Row],[POMult]]</f>
        <v>73.3</v>
      </c>
      <c r="AA231" s="4">
        <f>(Games[[#This Row],[Keff]]*Games[[#This Row],[MOVMult]])*(Games[[#This Row],[Result]]-Games[[#This Row],[ExpectedWin%]])</f>
        <v>12.569243510523844</v>
      </c>
      <c r="AB231" s="4">
        <f>Games[[#This Row],[PreGmRate]]+Games[[#This Row],[RatingChange]]</f>
        <v>1577.5947876593675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38900</v>
      </c>
      <c r="B232" s="2">
        <v>2006</v>
      </c>
      <c r="C232" s="2">
        <f>COUNTIFS(Games[Team],Games[[#This Row],[Team]],Games[Season],Games[[#This Row],[Season]],Games[Date],"&lt;=" &amp; Games[[#This Row],[Date]])</f>
        <v>17</v>
      </c>
      <c r="D232" s="2" t="s">
        <v>23</v>
      </c>
      <c r="E232" s="2" t="s">
        <v>29</v>
      </c>
      <c r="F232" s="1" t="s">
        <v>73</v>
      </c>
      <c r="G232" s="1" t="s">
        <v>44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1507.3181704422059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1477.9502383711365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0.39972984836674502</v>
      </c>
      <c r="R232" s="1">
        <v>81</v>
      </c>
      <c r="S232" s="1">
        <v>78</v>
      </c>
      <c r="T232" s="1">
        <v>0</v>
      </c>
      <c r="U232" s="1">
        <f>Games[[#This Row],[PointsFor]]-Games[[#This Row],[PointsAgainst]]</f>
        <v>3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0.28325143045810236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73.45</v>
      </c>
      <c r="Z232" s="4">
        <f>Games[[#This Row],[K]]*Games[[#This Row],[POMult]]</f>
        <v>73.45</v>
      </c>
      <c r="AA232" s="4">
        <f>(Games[[#This Row],[Keff]]*Games[[#This Row],[MOVMult]])*(Games[[#This Row],[Result]]-Games[[#This Row],[ExpectedWin%]])</f>
        <v>12.488510995733908</v>
      </c>
      <c r="AB232" s="4">
        <f>Games[[#This Row],[PreGmRate]]+Games[[#This Row],[RatingChange]]</f>
        <v>1519.8066814379397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38900</v>
      </c>
      <c r="B233" s="2">
        <v>2006</v>
      </c>
      <c r="C233" s="2">
        <f>COUNTIFS(Games[Team],Games[[#This Row],[Team]],Games[Season],Games[[#This Row],[Season]],Games[Date],"&lt;=" &amp; Games[[#This Row],[Date]])</f>
        <v>15</v>
      </c>
      <c r="D233" s="2" t="s">
        <v>23</v>
      </c>
      <c r="E233" s="2" t="s">
        <v>29</v>
      </c>
      <c r="F233" s="1" t="s">
        <v>44</v>
      </c>
      <c r="G233" s="1" t="s">
        <v>73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1477.9502383711365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1507.3181704422059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0.60027015163325503</v>
      </c>
      <c r="R233" s="1">
        <v>78</v>
      </c>
      <c r="S233" s="1">
        <v>81</v>
      </c>
      <c r="T233" s="1">
        <v>0</v>
      </c>
      <c r="U233" s="1">
        <f>Games[[#This Row],[PointsFor]]-Games[[#This Row],[PointsAgainst]]</f>
        <v>-3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0.28325143045810236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73.75</v>
      </c>
      <c r="Z233" s="4">
        <f>Games[[#This Row],[K]]*Games[[#This Row],[POMult]]</f>
        <v>73.75</v>
      </c>
      <c r="AA233" s="4">
        <f>(Games[[#This Row],[Keff]]*Games[[#This Row],[MOVMult]])*(Games[[#This Row],[Result]]-Games[[#This Row],[ExpectedWin%]])</f>
        <v>-12.539519209467336</v>
      </c>
      <c r="AB233" s="4">
        <f>Games[[#This Row],[PreGmRate]]+Games[[#This Row],[RatingChange]]</f>
        <v>1465.4107191616692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38901</v>
      </c>
      <c r="B234" s="2">
        <v>2006</v>
      </c>
      <c r="C234" s="2">
        <f>COUNTIFS(Games[Team],Games[[#This Row],[Team]],Games[Season],Games[[#This Row],[Season]],Games[Date],"&lt;=" &amp; Games[[#This Row],[Date]])</f>
        <v>17</v>
      </c>
      <c r="D234" s="2" t="s">
        <v>23</v>
      </c>
      <c r="E234" s="2" t="s">
        <v>29</v>
      </c>
      <c r="F234" s="1" t="s">
        <v>84</v>
      </c>
      <c r="G234" s="1" t="s">
        <v>70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1447.1143915172042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1585.8298851736915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0.21720088553499936</v>
      </c>
      <c r="R234" s="1">
        <v>85</v>
      </c>
      <c r="S234" s="1">
        <v>63</v>
      </c>
      <c r="T234" s="1">
        <v>0</v>
      </c>
      <c r="U234" s="1">
        <f>Games[[#This Row],[PointsFor]]-Games[[#This Row],[PointsAgainst]]</f>
        <v>22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0.53967210285353717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73.45</v>
      </c>
      <c r="Z234" s="4">
        <f>Games[[#This Row],[K]]*Games[[#This Row],[POMult]]</f>
        <v>73.45</v>
      </c>
      <c r="AA234" s="4">
        <f>(Games[[#This Row],[Keff]]*Games[[#This Row],[MOVMult]])*(Games[[#This Row],[Result]]-Games[[#This Row],[ExpectedWin%]])</f>
        <v>31.02930830760744</v>
      </c>
      <c r="AB234" s="4">
        <f>Games[[#This Row],[PreGmRate]]+Games[[#This Row],[RatingChange]]</f>
        <v>1478.1436998248116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38901</v>
      </c>
      <c r="B235" s="2">
        <v>2006</v>
      </c>
      <c r="C235" s="2">
        <f>COUNTIFS(Games[Team],Games[[#This Row],[Team]],Games[Season],Games[[#This Row],[Season]],Games[Date],"&lt;=" &amp; Games[[#This Row],[Date]])</f>
        <v>18</v>
      </c>
      <c r="D235" s="2" t="s">
        <v>23</v>
      </c>
      <c r="E235" s="2" t="s">
        <v>29</v>
      </c>
      <c r="F235" s="1" t="s">
        <v>70</v>
      </c>
      <c r="G235" s="1" t="s">
        <v>84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1585.8298851736915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1447.1143915172042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0.78279911446500072</v>
      </c>
      <c r="R235" s="1">
        <v>63</v>
      </c>
      <c r="S235" s="1">
        <v>85</v>
      </c>
      <c r="T235" s="1">
        <v>0</v>
      </c>
      <c r="U235" s="1">
        <f>Games[[#This Row],[PointsFor]]-Games[[#This Row],[PointsAgainst]]</f>
        <v>-22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0.53967210285353717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-30.965940080975162</v>
      </c>
      <c r="AB235" s="4">
        <f>Games[[#This Row],[PreGmRate]]+Games[[#This Row],[RatingChange]]</f>
        <v>1554.8639450927164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38903</v>
      </c>
      <c r="B236" s="2">
        <v>2006</v>
      </c>
      <c r="C236" s="2">
        <f>COUNTIFS(Games[Team],Games[[#This Row],[Team]],Games[Season],Games[[#This Row],[Season]],Games[Date],"&lt;=" &amp; Games[[#This Row],[Date]])</f>
        <v>19</v>
      </c>
      <c r="D236" s="2" t="s">
        <v>23</v>
      </c>
      <c r="E236" s="2" t="s">
        <v>29</v>
      </c>
      <c r="F236" s="1" t="s">
        <v>2</v>
      </c>
      <c r="G236" s="1" t="s">
        <v>70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1</v>
      </c>
      <c r="L236" s="2">
        <f>Games[[#This Row],[OppDaysOff]]-Games[[#This Row],[DaysOff]]</f>
        <v>-1</v>
      </c>
      <c r="M236" s="1">
        <f>MAX(-16, MIN(16, Games[[#This Row],[RestDiff]]*8))</f>
        <v>8</v>
      </c>
      <c r="N236" s="1">
        <f>MAX(-16, MIN(16, Games[[#This Row],[OppRestDiff]]*8))</f>
        <v>-8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1577.5947876593675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1554.8639450927164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0.43521862515313725</v>
      </c>
      <c r="R236" s="1">
        <v>62</v>
      </c>
      <c r="S236" s="1">
        <v>74</v>
      </c>
      <c r="T236" s="1">
        <v>0</v>
      </c>
      <c r="U236" s="1">
        <f>Games[[#This Row],[PointsFor]]-Games[[#This Row],[PointsAgainst]]</f>
        <v>-12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0.4476498936944191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73.150000000000006</v>
      </c>
      <c r="Z236" s="4">
        <f>Games[[#This Row],[K]]*Games[[#This Row],[POMult]]</f>
        <v>73.150000000000006</v>
      </c>
      <c r="AA236" s="4">
        <f>(Games[[#This Row],[Keff]]*Games[[#This Row],[MOVMult]])*(Games[[#This Row],[Result]]-Games[[#This Row],[ExpectedWin%]])</f>
        <v>-14.251490539397764</v>
      </c>
      <c r="AB236" s="4">
        <f>Games[[#This Row],[PreGmRate]]+Games[[#This Row],[RatingChange]]</f>
        <v>1563.3432971199697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38903</v>
      </c>
      <c r="B237" s="2">
        <v>2006</v>
      </c>
      <c r="C237" s="2">
        <f>COUNTIFS(Games[Team],Games[[#This Row],[Team]],Games[Season],Games[[#This Row],[Season]],Games[Date],"&lt;=" &amp; Games[[#This Row],[Date]])</f>
        <v>19</v>
      </c>
      <c r="D237" s="2" t="s">
        <v>23</v>
      </c>
      <c r="E237" s="2" t="s">
        <v>29</v>
      </c>
      <c r="F237" s="1" t="s">
        <v>70</v>
      </c>
      <c r="G237" s="1" t="s">
        <v>2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-1</v>
      </c>
      <c r="L237" s="2">
        <f>Games[[#This Row],[OppDaysOff]]-Games[[#This Row],[DaysOff]]</f>
        <v>1</v>
      </c>
      <c r="M237" s="1">
        <f>MAX(-16, MIN(16, Games[[#This Row],[RestDiff]]*8))</f>
        <v>-8</v>
      </c>
      <c r="N237" s="1">
        <f>MAX(-16, MIN(16, Games[[#This Row],[OppRestDiff]]*8))</f>
        <v>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1554.8639450927164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1577.5947876593675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0.56478137484686275</v>
      </c>
      <c r="R237" s="1">
        <v>74</v>
      </c>
      <c r="S237" s="1">
        <v>62</v>
      </c>
      <c r="T237" s="1">
        <v>0</v>
      </c>
      <c r="U237" s="1">
        <f>Games[[#This Row],[PointsFor]]-Games[[#This Row],[PointsAgainst]]</f>
        <v>12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0.4476498936944191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14.251490539397764</v>
      </c>
      <c r="AB237" s="4">
        <f>Games[[#This Row],[PreGmRate]]+Games[[#This Row],[RatingChange]]</f>
        <v>1569.1154356321142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38903</v>
      </c>
      <c r="B238" s="2">
        <v>2006</v>
      </c>
      <c r="C238" s="2">
        <f>COUNTIFS(Games[Team],Games[[#This Row],[Team]],Games[Season],Games[[#This Row],[Season]],Games[Date],"&lt;=" &amp; Games[[#This Row],[Date]])</f>
        <v>18</v>
      </c>
      <c r="D238" s="2" t="s">
        <v>23</v>
      </c>
      <c r="E238" s="2" t="s">
        <v>29</v>
      </c>
      <c r="F238" s="1" t="s">
        <v>73</v>
      </c>
      <c r="G238" s="1" t="s">
        <v>77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8" s="2">
        <f>Games[[#This Row],[DaysOff]]-Games[[#This Row],[OppDaysOff]]</f>
        <v>-1</v>
      </c>
      <c r="L238" s="2">
        <f>Games[[#This Row],[OppDaysOff]]-Games[[#This Row],[DaysOff]]</f>
        <v>1</v>
      </c>
      <c r="M238" s="1">
        <f>MAX(-16, MIN(16, Games[[#This Row],[RestDiff]]*8))</f>
        <v>-8</v>
      </c>
      <c r="N238" s="1">
        <f>MAX(-16, MIN(16, Games[[#This Row],[OppRestDiff]]*8))</f>
        <v>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1519.8066814379397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1419.1890713088349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0.50088881148664954</v>
      </c>
      <c r="R238" s="1">
        <v>74</v>
      </c>
      <c r="S238" s="1">
        <v>84</v>
      </c>
      <c r="T238" s="1">
        <v>0</v>
      </c>
      <c r="U238" s="1">
        <f>Games[[#This Row],[PointsFor]]-Games[[#This Row],[PointsAgainst]]</f>
        <v>-10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0.39039578984966899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73.3</v>
      </c>
      <c r="Z238" s="4">
        <f>Games[[#This Row],[K]]*Games[[#This Row],[POMult]]</f>
        <v>73.3</v>
      </c>
      <c r="AA238" s="4">
        <f>(Games[[#This Row],[Keff]]*Games[[#This Row],[MOVMult]])*(Games[[#This Row],[Result]]-Games[[#This Row],[ExpectedWin%]])</f>
        <v>-14.333439937621209</v>
      </c>
      <c r="AB238" s="4">
        <f>Games[[#This Row],[PreGmRate]]+Games[[#This Row],[RatingChange]]</f>
        <v>1505.4732415003184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38903</v>
      </c>
      <c r="B239" s="2">
        <v>2006</v>
      </c>
      <c r="C239" s="2">
        <f>COUNTIFS(Games[Team],Games[[#This Row],[Team]],Games[Season],Games[[#This Row],[Season]],Games[Date],"&lt;=" &amp; Games[[#This Row],[Date]])</f>
        <v>17</v>
      </c>
      <c r="D239" s="2" t="s">
        <v>23</v>
      </c>
      <c r="E239" s="2" t="s">
        <v>29</v>
      </c>
      <c r="F239" s="1" t="s">
        <v>77</v>
      </c>
      <c r="G239" s="1" t="s">
        <v>73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1</v>
      </c>
      <c r="L239" s="2">
        <f>Games[[#This Row],[OppDaysOff]]-Games[[#This Row],[DaysOff]]</f>
        <v>-1</v>
      </c>
      <c r="M239" s="1">
        <f>MAX(-16, MIN(16, Games[[#This Row],[RestDiff]]*8))</f>
        <v>8</v>
      </c>
      <c r="N239" s="1">
        <f>MAX(-16, MIN(16, Games[[#This Row],[OppRestDiff]]*8))</f>
        <v>-8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1419.1890713088349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1519.8066814379397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0.49911118851335046</v>
      </c>
      <c r="R239" s="1">
        <v>84</v>
      </c>
      <c r="S239" s="1">
        <v>74</v>
      </c>
      <c r="T239" s="1">
        <v>0</v>
      </c>
      <c r="U239" s="1">
        <f>Games[[#This Row],[PointsFor]]-Games[[#This Row],[PointsAgainst]]</f>
        <v>10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0.39039578984966899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73.45</v>
      </c>
      <c r="Z239" s="4">
        <f>Games[[#This Row],[K]]*Games[[#This Row],[POMult]]</f>
        <v>73.45</v>
      </c>
      <c r="AA239" s="4">
        <f>(Games[[#This Row],[Keff]]*Games[[#This Row],[MOVMult]])*(Games[[#This Row],[Result]]-Games[[#This Row],[ExpectedWin%]])</f>
        <v>14.36277167009929</v>
      </c>
      <c r="AB239" s="4">
        <f>Games[[#This Row],[PreGmRate]]+Games[[#This Row],[RatingChange]]</f>
        <v>1433.5518429789342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38904</v>
      </c>
      <c r="B240" s="2">
        <v>2006</v>
      </c>
      <c r="C240" s="2">
        <f>COUNTIFS(Games[Team],Games[[#This Row],[Team]],Games[Season],Games[[#This Row],[Season]],Games[Date],"&lt;=" &amp; Games[[#This Row],[Date]])</f>
        <v>17</v>
      </c>
      <c r="D240" s="2" t="s">
        <v>23</v>
      </c>
      <c r="E240" s="2" t="s">
        <v>29</v>
      </c>
      <c r="F240" s="1" t="s">
        <v>64</v>
      </c>
      <c r="G240" s="1" t="s">
        <v>86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1343.6394425921687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1632.6556681370801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0.10458810528914811</v>
      </c>
      <c r="R240" s="1">
        <v>71</v>
      </c>
      <c r="S240" s="1">
        <v>76</v>
      </c>
      <c r="T240" s="1">
        <v>0</v>
      </c>
      <c r="U240" s="1">
        <f>Games[[#This Row],[PointsFor]]-Games[[#This Row],[PointsAgainst]]</f>
        <v>-5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0.26736254697816231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73.45</v>
      </c>
      <c r="Z240" s="4">
        <f>Games[[#This Row],[K]]*Games[[#This Row],[POMult]]</f>
        <v>73.45</v>
      </c>
      <c r="AA240" s="4">
        <f>(Games[[#This Row],[Keff]]*Games[[#This Row],[MOVMult]])*(Games[[#This Row],[Result]]-Games[[#This Row],[ExpectedWin%]])</f>
        <v>-2.0538781055982369</v>
      </c>
      <c r="AB240" s="4">
        <f>Games[[#This Row],[PreGmRate]]+Games[[#This Row],[RatingChange]]</f>
        <v>1341.5855644865705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38904</v>
      </c>
      <c r="B241" s="2">
        <v>2006</v>
      </c>
      <c r="C241" s="2">
        <f>COUNTIFS(Games[Team],Games[[#This Row],[Team]],Games[Season],Games[[#This Row],[Season]],Games[Date],"&lt;=" &amp; Games[[#This Row],[Date]])</f>
        <v>18</v>
      </c>
      <c r="D241" s="2" t="s">
        <v>23</v>
      </c>
      <c r="E241" s="2" t="s">
        <v>29</v>
      </c>
      <c r="F241" s="1" t="s">
        <v>86</v>
      </c>
      <c r="G241" s="1" t="s">
        <v>64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1632.6556681370801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1343.6394425921687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0.89541189471085181</v>
      </c>
      <c r="R241" s="1">
        <v>76</v>
      </c>
      <c r="S241" s="1">
        <v>71</v>
      </c>
      <c r="T241" s="1">
        <v>0</v>
      </c>
      <c r="U241" s="1">
        <f>Games[[#This Row],[PointsFor]]-Games[[#This Row],[PointsAgainst]]</f>
        <v>5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0.26736254697816231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73.3</v>
      </c>
      <c r="Z241" s="4">
        <f>Games[[#This Row],[K]]*Games[[#This Row],[POMult]]</f>
        <v>73.3</v>
      </c>
      <c r="AA241" s="4">
        <f>(Games[[#This Row],[Keff]]*Games[[#This Row],[MOVMult]])*(Games[[#This Row],[Result]]-Games[[#This Row],[ExpectedWin%]])</f>
        <v>2.0496836642661793</v>
      </c>
      <c r="AB241" s="4">
        <f>Games[[#This Row],[PreGmRate]]+Games[[#This Row],[RatingChange]]</f>
        <v>1634.7053518013463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38904</v>
      </c>
      <c r="B242" s="2">
        <v>2006</v>
      </c>
      <c r="C242" s="2">
        <f>COUNTIFS(Games[Team],Games[[#This Row],[Team]],Games[Season],Games[[#This Row],[Season]],Games[Date],"&lt;=" &amp; Games[[#This Row],[Date]])</f>
        <v>16</v>
      </c>
      <c r="D242" s="2" t="s">
        <v>23</v>
      </c>
      <c r="E242" s="2" t="s">
        <v>29</v>
      </c>
      <c r="F242" s="1" t="s">
        <v>44</v>
      </c>
      <c r="G242" s="1" t="s">
        <v>75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2" s="2">
        <f>Games[[#This Row],[DaysOff]]-Games[[#This Row],[OppDaysOff]]</f>
        <v>-2</v>
      </c>
      <c r="L242" s="2">
        <f>Games[[#This Row],[OppDaysOff]]-Games[[#This Row],[DaysOff]]</f>
        <v>2</v>
      </c>
      <c r="M242" s="1">
        <f>MAX(-16, MIN(16, Games[[#This Row],[RestDiff]]*8))</f>
        <v>-16</v>
      </c>
      <c r="N242" s="1">
        <f>MAX(-16, MIN(16, Games[[#This Row],[OppRestDiff]]*8))</f>
        <v>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1465.4107191616692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1557.0505419345377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0.2323175649322797</v>
      </c>
      <c r="R242" s="1">
        <v>91</v>
      </c>
      <c r="S242" s="1">
        <v>76</v>
      </c>
      <c r="T242" s="1">
        <v>0</v>
      </c>
      <c r="U242" s="1">
        <f>Games[[#This Row],[PointsFor]]-Games[[#This Row],[PointsAgainst]]</f>
        <v>15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0.46717174789416943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73.599999999999994</v>
      </c>
      <c r="Z242" s="4">
        <f>Games[[#This Row],[K]]*Games[[#This Row],[POMult]]</f>
        <v>73.599999999999994</v>
      </c>
      <c r="AA242" s="4">
        <f>(Games[[#This Row],[Keff]]*Games[[#This Row],[MOVMult]])*(Games[[#This Row],[Result]]-Games[[#This Row],[ExpectedWin%]])</f>
        <v>26.395870513342398</v>
      </c>
      <c r="AB242" s="4">
        <f>Games[[#This Row],[PreGmRate]]+Games[[#This Row],[RatingChange]]</f>
        <v>1491.8065896750115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38904</v>
      </c>
      <c r="B243" s="2">
        <v>2006</v>
      </c>
      <c r="C243" s="2">
        <f>COUNTIFS(Games[Team],Games[[#This Row],[Team]],Games[Season],Games[[#This Row],[Season]],Games[Date],"&lt;=" &amp; Games[[#This Row],[Date]])</f>
        <v>17</v>
      </c>
      <c r="D243" s="2" t="s">
        <v>23</v>
      </c>
      <c r="E243" s="2" t="s">
        <v>29</v>
      </c>
      <c r="F243" s="1" t="s">
        <v>75</v>
      </c>
      <c r="G243" s="1" t="s">
        <v>44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3" s="2">
        <f>Games[[#This Row],[DaysOff]]-Games[[#This Row],[OppDaysOff]]</f>
        <v>2</v>
      </c>
      <c r="L243" s="2">
        <f>Games[[#This Row],[OppDaysOff]]-Games[[#This Row],[DaysOff]]</f>
        <v>-2</v>
      </c>
      <c r="M243" s="1">
        <f>MAX(-16, MIN(16, Games[[#This Row],[RestDiff]]*8))</f>
        <v>16</v>
      </c>
      <c r="N243" s="1">
        <f>MAX(-16, MIN(16, Games[[#This Row],[OppRestDiff]]*8))</f>
        <v>-16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1557.0505419345377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1465.4107191616692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0.76768243506772038</v>
      </c>
      <c r="R243" s="1">
        <v>76</v>
      </c>
      <c r="S243" s="1">
        <v>91</v>
      </c>
      <c r="T243" s="1">
        <v>0</v>
      </c>
      <c r="U243" s="1">
        <f>Games[[#This Row],[PointsFor]]-Games[[#This Row],[PointsAgainst]]</f>
        <v>-15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0.46717174789416943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73.45</v>
      </c>
      <c r="Z243" s="4">
        <f>Games[[#This Row],[K]]*Games[[#This Row],[POMult]]</f>
        <v>73.45</v>
      </c>
      <c r="AA243" s="4">
        <f>(Games[[#This Row],[Keff]]*Games[[#This Row],[MOVMult]])*(Games[[#This Row],[Result]]-Games[[#This Row],[ExpectedWin%]])</f>
        <v>-26.342074581589667</v>
      </c>
      <c r="AB243" s="4">
        <f>Games[[#This Row],[PreGmRate]]+Games[[#This Row],[RatingChange]]</f>
        <v>1530.708467352948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38904</v>
      </c>
      <c r="B244" s="2">
        <v>2006</v>
      </c>
      <c r="C244" s="2">
        <f>COUNTIFS(Games[Team],Games[[#This Row],[Team]],Games[Season],Games[[#This Row],[Season]],Games[Date],"&lt;=" &amp; Games[[#This Row],[Date]])</f>
        <v>18</v>
      </c>
      <c r="D244" s="2" t="s">
        <v>23</v>
      </c>
      <c r="E244" s="2" t="s">
        <v>29</v>
      </c>
      <c r="F244" s="1" t="s">
        <v>45</v>
      </c>
      <c r="G244" s="1" t="s">
        <v>66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4" s="2">
        <f>Games[[#This Row],[DaysOff]]-Games[[#This Row],[OppDaysOff]]</f>
        <v>-2</v>
      </c>
      <c r="L244" s="2">
        <f>Games[[#This Row],[OppDaysOff]]-Games[[#This Row],[DaysOff]]</f>
        <v>2</v>
      </c>
      <c r="M244" s="1">
        <f>MAX(-16, MIN(16, Games[[#This Row],[RestDiff]]*8))</f>
        <v>-16</v>
      </c>
      <c r="N244" s="1">
        <f>MAX(-16, MIN(16, Games[[#This Row],[OppRestDiff]]*8))</f>
        <v>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1554.4245353605208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1410.0585854415233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0.54073142237591643</v>
      </c>
      <c r="R244" s="1">
        <v>79</v>
      </c>
      <c r="S244" s="1">
        <v>58</v>
      </c>
      <c r="T244" s="1">
        <v>0</v>
      </c>
      <c r="U244" s="1">
        <f>Games[[#This Row],[PointsFor]]-Games[[#This Row],[PointsAgainst]]</f>
        <v>21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0.52537149380155079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73.3</v>
      </c>
      <c r="Z244" s="4">
        <f>Games[[#This Row],[K]]*Games[[#This Row],[POMult]]</f>
        <v>73.3</v>
      </c>
      <c r="AA244" s="4">
        <f>(Games[[#This Row],[Keff]]*Games[[#This Row],[MOVMult]])*(Games[[#This Row],[Result]]-Games[[#This Row],[ExpectedWin%]])</f>
        <v>17.686309149425657</v>
      </c>
      <c r="AB244" s="4">
        <f>Games[[#This Row],[PreGmRate]]+Games[[#This Row],[RatingChange]]</f>
        <v>1572.1108445099464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38904</v>
      </c>
      <c r="B245" s="2">
        <v>2006</v>
      </c>
      <c r="C245" s="2">
        <f>COUNTIFS(Games[Team],Games[[#This Row],[Team]],Games[Season],Games[[#This Row],[Season]],Games[Date],"&lt;=" &amp; Games[[#This Row],[Date]])</f>
        <v>16</v>
      </c>
      <c r="D245" s="2" t="s">
        <v>23</v>
      </c>
      <c r="E245" s="2" t="s">
        <v>29</v>
      </c>
      <c r="F245" s="1" t="s">
        <v>66</v>
      </c>
      <c r="G245" s="1" t="s">
        <v>45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5" s="2">
        <f>Games[[#This Row],[DaysOff]]-Games[[#This Row],[OppDaysOff]]</f>
        <v>2</v>
      </c>
      <c r="L245" s="2">
        <f>Games[[#This Row],[OppDaysOff]]-Games[[#This Row],[DaysOff]]</f>
        <v>-2</v>
      </c>
      <c r="M245" s="1">
        <f>MAX(-16, MIN(16, Games[[#This Row],[RestDiff]]*8))</f>
        <v>16</v>
      </c>
      <c r="N245" s="1">
        <f>MAX(-16, MIN(16, Games[[#This Row],[OppRestDiff]]*8))</f>
        <v>-16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1410.0585854415233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1554.4245353605208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0.45926857762408357</v>
      </c>
      <c r="R245" s="1">
        <v>58</v>
      </c>
      <c r="S245" s="1">
        <v>79</v>
      </c>
      <c r="T245" s="1">
        <v>0</v>
      </c>
      <c r="U245" s="1">
        <f>Games[[#This Row],[PointsFor]]-Games[[#This Row],[PointsAgainst]]</f>
        <v>-21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0.52537149380155079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73.599999999999994</v>
      </c>
      <c r="Z245" s="4">
        <f>Games[[#This Row],[K]]*Games[[#This Row],[POMult]]</f>
        <v>73.599999999999994</v>
      </c>
      <c r="AA245" s="4">
        <f>(Games[[#This Row],[Keff]]*Games[[#This Row],[MOVMult]])*(Games[[#This Row],[Result]]-Games[[#This Row],[ExpectedWin%]])</f>
        <v>-17.758695135030401</v>
      </c>
      <c r="AB245" s="4">
        <f>Games[[#This Row],[PreGmRate]]+Games[[#This Row],[RatingChange]]</f>
        <v>1392.2998903064929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38905</v>
      </c>
      <c r="B246" s="2">
        <v>2006</v>
      </c>
      <c r="C246" s="2">
        <f>COUNTIFS(Games[Team],Games[[#This Row],[Team]],Games[Season],Games[[#This Row],[Season]],Games[Date],"&lt;=" &amp; Games[[#This Row],[Date]])</f>
        <v>17</v>
      </c>
      <c r="D246" s="2" t="s">
        <v>23</v>
      </c>
      <c r="E246" s="2" t="s">
        <v>29</v>
      </c>
      <c r="F246" s="1" t="s">
        <v>66</v>
      </c>
      <c r="G246" s="1" t="s">
        <v>87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6" s="2">
        <f>Games[[#This Row],[DaysOff]]-Games[[#This Row],[OppDaysOff]]</f>
        <v>-5</v>
      </c>
      <c r="L246" s="2">
        <f>Games[[#This Row],[OppDaysOff]]-Games[[#This Row],[DaysOff]]</f>
        <v>5</v>
      </c>
      <c r="M246" s="1">
        <f>MAX(-16, MIN(16, Games[[#This Row],[RestDiff]]*8))</f>
        <v>-16</v>
      </c>
      <c r="N246" s="1">
        <f>MAX(-16, MIN(16, Games[[#This Row],[OppRestDiff]]*8))</f>
        <v>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1392.2998903064929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1355.868500933735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0.38745237849649422</v>
      </c>
      <c r="R246" s="1">
        <v>73</v>
      </c>
      <c r="S246" s="1">
        <v>78</v>
      </c>
      <c r="T246" s="1">
        <v>0</v>
      </c>
      <c r="U246" s="1">
        <f>Games[[#This Row],[PointsFor]]-Games[[#This Row],[PointsAgainst]]</f>
        <v>-5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0.32198080214985259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73.45</v>
      </c>
      <c r="Z246" s="4">
        <f>Games[[#This Row],[K]]*Games[[#This Row],[POMult]]</f>
        <v>73.45</v>
      </c>
      <c r="AA246" s="4">
        <f>(Games[[#This Row],[Keff]]*Games[[#This Row],[MOVMult]])*(Games[[#This Row],[Result]]-Games[[#This Row],[ExpectedWin%]])</f>
        <v>-9.1630511189218016</v>
      </c>
      <c r="AB246" s="4">
        <f>Games[[#This Row],[PreGmRate]]+Games[[#This Row],[RatingChange]]</f>
        <v>1383.136839187571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38905</v>
      </c>
      <c r="B247" s="2">
        <v>2006</v>
      </c>
      <c r="C247" s="2">
        <f>COUNTIFS(Games[Team],Games[[#This Row],[Team]],Games[Season],Games[[#This Row],[Season]],Games[Date],"&lt;=" &amp; Games[[#This Row],[Date]])</f>
        <v>17</v>
      </c>
      <c r="D247" s="2" t="s">
        <v>23</v>
      </c>
      <c r="E247" s="2" t="s">
        <v>29</v>
      </c>
      <c r="F247" s="1" t="s">
        <v>87</v>
      </c>
      <c r="G247" s="1" t="s">
        <v>66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7" s="2">
        <f>Games[[#This Row],[DaysOff]]-Games[[#This Row],[OppDaysOff]]</f>
        <v>5</v>
      </c>
      <c r="L247" s="2">
        <f>Games[[#This Row],[OppDaysOff]]-Games[[#This Row],[DaysOff]]</f>
        <v>-5</v>
      </c>
      <c r="M247" s="1">
        <f>MAX(-16, MIN(16, Games[[#This Row],[RestDiff]]*8))</f>
        <v>16</v>
      </c>
      <c r="N247" s="1">
        <f>MAX(-16, MIN(16, Games[[#This Row],[OppRestDiff]]*8))</f>
        <v>-16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1355.868500933735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1392.2998903064929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0.61254762150350572</v>
      </c>
      <c r="R247" s="1">
        <v>78</v>
      </c>
      <c r="S247" s="1">
        <v>73</v>
      </c>
      <c r="T247" s="1">
        <v>0</v>
      </c>
      <c r="U247" s="1">
        <f>Games[[#This Row],[PointsFor]]-Games[[#This Row],[PointsAgainst]]</f>
        <v>5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0.32198080214985259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73.45</v>
      </c>
      <c r="Z247" s="4">
        <f>Games[[#This Row],[K]]*Games[[#This Row],[POMult]]</f>
        <v>73.45</v>
      </c>
      <c r="AA247" s="4">
        <f>(Games[[#This Row],[Keff]]*Games[[#This Row],[MOVMult]])*(Games[[#This Row],[Result]]-Games[[#This Row],[ExpectedWin%]])</f>
        <v>9.1630511189218016</v>
      </c>
      <c r="AB247" s="4">
        <f>Games[[#This Row],[PreGmRate]]+Games[[#This Row],[RatingChange]]</f>
        <v>1365.0315520526569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38905</v>
      </c>
      <c r="B248" s="2">
        <v>2006</v>
      </c>
      <c r="C248" s="2">
        <f>COUNTIFS(Games[Team],Games[[#This Row],[Team]],Games[Season],Games[[#This Row],[Season]],Games[Date],"&lt;=" &amp; Games[[#This Row],[Date]])</f>
        <v>19</v>
      </c>
      <c r="D248" s="2" t="s">
        <v>23</v>
      </c>
      <c r="E248" s="2" t="s">
        <v>29</v>
      </c>
      <c r="F248" s="1" t="s">
        <v>79</v>
      </c>
      <c r="G248" s="1" t="s">
        <v>70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4</v>
      </c>
      <c r="L248" s="2">
        <f>Games[[#This Row],[OppDaysOff]]-Games[[#This Row],[DaysOff]]</f>
        <v>-4</v>
      </c>
      <c r="M248" s="1">
        <f>MAX(-16, MIN(16, Games[[#This Row],[RestDiff]]*8))</f>
        <v>16</v>
      </c>
      <c r="N248" s="1">
        <f>MAX(-16, MIN(16, Games[[#This Row],[OppRestDiff]]*8))</f>
        <v>-16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1571.0311977349613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1569.1154356321142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0.42841813506615406</v>
      </c>
      <c r="R248" s="1">
        <v>60</v>
      </c>
      <c r="S248" s="1">
        <v>72</v>
      </c>
      <c r="T248" s="1">
        <v>0</v>
      </c>
      <c r="U248" s="1">
        <f>Games[[#This Row],[PointsFor]]-Games[[#This Row],[PointsAgainst]]</f>
        <v>-12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0.45540240751498862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73.150000000000006</v>
      </c>
      <c r="Z248" s="4">
        <f>Games[[#This Row],[K]]*Games[[#This Row],[POMult]]</f>
        <v>73.150000000000006</v>
      </c>
      <c r="AA248" s="4">
        <f>(Games[[#This Row],[Keff]]*Games[[#This Row],[MOVMult]])*(Games[[#This Row],[Result]]-Games[[#This Row],[ExpectedWin%]])</f>
        <v>-14.271758857171026</v>
      </c>
      <c r="AB248" s="4">
        <f>Games[[#This Row],[PreGmRate]]+Games[[#This Row],[RatingChange]]</f>
        <v>1556.7594388777902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38905</v>
      </c>
      <c r="B249" s="2">
        <v>2006</v>
      </c>
      <c r="C249" s="2">
        <f>COUNTIFS(Games[Team],Games[[#This Row],[Team]],Games[Season],Games[[#This Row],[Season]],Games[Date],"&lt;=" &amp; Games[[#This Row],[Date]])</f>
        <v>20</v>
      </c>
      <c r="D249" s="2" t="s">
        <v>23</v>
      </c>
      <c r="E249" s="2" t="s">
        <v>29</v>
      </c>
      <c r="F249" s="1" t="s">
        <v>70</v>
      </c>
      <c r="G249" s="1" t="s">
        <v>79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49" s="2">
        <f>Games[[#This Row],[DaysOff]]-Games[[#This Row],[OppDaysOff]]</f>
        <v>-4</v>
      </c>
      <c r="L249" s="2">
        <f>Games[[#This Row],[OppDaysOff]]-Games[[#This Row],[DaysOff]]</f>
        <v>4</v>
      </c>
      <c r="M249" s="1">
        <f>MAX(-16, MIN(16, Games[[#This Row],[RestDiff]]*8))</f>
        <v>-16</v>
      </c>
      <c r="N249" s="1">
        <f>MAX(-16, MIN(16, Games[[#This Row],[OppRestDiff]]*8))</f>
        <v>16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1569.1154356321142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1571.0311977349613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0.57158186493384588</v>
      </c>
      <c r="R249" s="1">
        <v>72</v>
      </c>
      <c r="S249" s="1">
        <v>60</v>
      </c>
      <c r="T249" s="1">
        <v>0</v>
      </c>
      <c r="U249" s="1">
        <f>Games[[#This Row],[PointsFor]]-Games[[#This Row],[PointsAgainst]]</f>
        <v>12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0.45540240751498862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</v>
      </c>
      <c r="Z249" s="4">
        <f>Games[[#This Row],[K]]*Games[[#This Row],[POMult]]</f>
        <v>73</v>
      </c>
      <c r="AA249" s="4">
        <f>(Games[[#This Row],[Keff]]*Games[[#This Row],[MOVMult]])*(Games[[#This Row],[Result]]-Games[[#This Row],[ExpectedWin%]])</f>
        <v>14.242493459651193</v>
      </c>
      <c r="AB249" s="4">
        <f>Games[[#This Row],[PreGmRate]]+Games[[#This Row],[RatingChange]]</f>
        <v>1583.3579290917653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38905</v>
      </c>
      <c r="B250" s="2">
        <v>2006</v>
      </c>
      <c r="C250" s="2">
        <f>COUNTIFS(Games[Team],Games[[#This Row],[Team]],Games[Season],Games[[#This Row],[Season]],Games[Date],"&lt;=" &amp; Games[[#This Row],[Date]])</f>
        <v>18</v>
      </c>
      <c r="D250" s="2" t="s">
        <v>23</v>
      </c>
      <c r="E250" s="2" t="s">
        <v>29</v>
      </c>
      <c r="F250" s="1" t="s">
        <v>75</v>
      </c>
      <c r="G250" s="1" t="s">
        <v>77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-1</v>
      </c>
      <c r="L250" s="2">
        <f>Games[[#This Row],[OppDaysOff]]-Games[[#This Row],[DaysOff]]</f>
        <v>1</v>
      </c>
      <c r="M250" s="1">
        <f>MAX(-16, MIN(16, Games[[#This Row],[RestDiff]]*8))</f>
        <v>-8</v>
      </c>
      <c r="N250" s="1">
        <f>MAX(-16, MIN(16, Games[[#This Row],[OppRestDiff]]*8))</f>
        <v>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1530.708467352948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1433.5518429789342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0.49590814489540042</v>
      </c>
      <c r="R250" s="1">
        <v>92</v>
      </c>
      <c r="S250" s="1">
        <v>80</v>
      </c>
      <c r="T250" s="1">
        <v>0</v>
      </c>
      <c r="U250" s="1">
        <f>Games[[#This Row],[PointsFor]]-Games[[#This Row],[PointsAgainst]]</f>
        <v>12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0.42196549083345541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73.3</v>
      </c>
      <c r="Z250" s="4">
        <f>Games[[#This Row],[K]]*Games[[#This Row],[POMult]]</f>
        <v>73.3</v>
      </c>
      <c r="AA250" s="4">
        <f>(Games[[#This Row],[Keff]]*Games[[#This Row],[MOVMult]])*(Games[[#This Row],[Result]]-Games[[#This Row],[ExpectedWin%]])</f>
        <v>15.591596605817548</v>
      </c>
      <c r="AB250" s="4">
        <f>Games[[#This Row],[PreGmRate]]+Games[[#This Row],[RatingChange]]</f>
        <v>1546.3000639587656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38905</v>
      </c>
      <c r="B251" s="2">
        <v>2006</v>
      </c>
      <c r="C251" s="2">
        <f>COUNTIFS(Games[Team],Games[[#This Row],[Team]],Games[Season],Games[[#This Row],[Season]],Games[Date],"&lt;=" &amp; Games[[#This Row],[Date]])</f>
        <v>18</v>
      </c>
      <c r="D251" s="2" t="s">
        <v>23</v>
      </c>
      <c r="E251" s="2" t="s">
        <v>29</v>
      </c>
      <c r="F251" s="1" t="s">
        <v>77</v>
      </c>
      <c r="G251" s="1" t="s">
        <v>75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1" s="2">
        <f>Games[[#This Row],[DaysOff]]-Games[[#This Row],[OppDaysOff]]</f>
        <v>1</v>
      </c>
      <c r="L251" s="2">
        <f>Games[[#This Row],[OppDaysOff]]-Games[[#This Row],[DaysOff]]</f>
        <v>-1</v>
      </c>
      <c r="M251" s="1">
        <f>MAX(-16, MIN(16, Games[[#This Row],[RestDiff]]*8))</f>
        <v>8</v>
      </c>
      <c r="N251" s="1">
        <f>MAX(-16, MIN(16, Games[[#This Row],[OppRestDiff]]*8))</f>
        <v>-8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1433.5518429789342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1530.708467352948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0.50409185510459964</v>
      </c>
      <c r="R251" s="1">
        <v>80</v>
      </c>
      <c r="S251" s="1">
        <v>92</v>
      </c>
      <c r="T251" s="1">
        <v>0</v>
      </c>
      <c r="U251" s="1">
        <f>Games[[#This Row],[PointsFor]]-Games[[#This Row],[PointsAgainst]]</f>
        <v>-12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0.42196549083345541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73.3</v>
      </c>
      <c r="Z251" s="4">
        <f>Games[[#This Row],[K]]*Games[[#This Row],[POMult]]</f>
        <v>73.3</v>
      </c>
      <c r="AA251" s="4">
        <f>(Games[[#This Row],[Keff]]*Games[[#This Row],[MOVMult]])*(Games[[#This Row],[Result]]-Games[[#This Row],[ExpectedWin%]])</f>
        <v>-15.591596605817548</v>
      </c>
      <c r="AB251" s="4">
        <f>Games[[#This Row],[PreGmRate]]+Games[[#This Row],[RatingChange]]</f>
        <v>1417.9602463731167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38905</v>
      </c>
      <c r="B252" s="2">
        <v>2006</v>
      </c>
      <c r="C252" s="2">
        <f>COUNTIFS(Games[Team],Games[[#This Row],[Team]],Games[Season],Games[[#This Row],[Season]],Games[Date],"&lt;=" &amp; Games[[#This Row],[Date]])</f>
        <v>20</v>
      </c>
      <c r="D252" s="2" t="s">
        <v>23</v>
      </c>
      <c r="E252" s="2" t="s">
        <v>29</v>
      </c>
      <c r="F252" s="1" t="s">
        <v>2</v>
      </c>
      <c r="G252" s="1" t="s">
        <v>84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2" s="2">
        <f>Games[[#This Row],[DaysOff]]-Games[[#This Row],[OppDaysOff]]</f>
        <v>-2</v>
      </c>
      <c r="L252" s="2">
        <f>Games[[#This Row],[OppDaysOff]]-Games[[#This Row],[DaysOff]]</f>
        <v>2</v>
      </c>
      <c r="M252" s="1">
        <f>MAX(-16, MIN(16, Games[[#This Row],[RestDiff]]*8))</f>
        <v>-16</v>
      </c>
      <c r="N252" s="1">
        <f>MAX(-16, MIN(16, Games[[#This Row],[OppRestDiff]]*8))</f>
        <v>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1563.3432971199697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1478.1436998248116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0.45579041035103263</v>
      </c>
      <c r="R252" s="1">
        <v>75</v>
      </c>
      <c r="S252" s="1">
        <v>94</v>
      </c>
      <c r="T252" s="1">
        <v>0</v>
      </c>
      <c r="U252" s="1">
        <f>Games[[#This Row],[PointsFor]]-Games[[#This Row],[PointsAgainst]]</f>
        <v>-19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0.52378874743229409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</v>
      </c>
      <c r="Z252" s="4">
        <f>Games[[#This Row],[K]]*Games[[#This Row],[POMult]]</f>
        <v>73</v>
      </c>
      <c r="AA252" s="4">
        <f>(Games[[#This Row],[Keff]]*Games[[#This Row],[MOVMult]])*(Games[[#This Row],[Result]]-Games[[#This Row],[ExpectedWin%]])</f>
        <v>-17.427865833447566</v>
      </c>
      <c r="AB252" s="4">
        <f>Games[[#This Row],[PreGmRate]]+Games[[#This Row],[RatingChange]]</f>
        <v>1545.9154312865221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38905</v>
      </c>
      <c r="B253" s="2">
        <v>2006</v>
      </c>
      <c r="C253" s="2">
        <f>COUNTIFS(Games[Team],Games[[#This Row],[Team]],Games[Season],Games[[#This Row],[Season]],Games[Date],"&lt;=" &amp; Games[[#This Row],[Date]])</f>
        <v>18</v>
      </c>
      <c r="D253" s="2" t="s">
        <v>23</v>
      </c>
      <c r="E253" s="2" t="s">
        <v>29</v>
      </c>
      <c r="F253" s="1" t="s">
        <v>84</v>
      </c>
      <c r="G253" s="1" t="s">
        <v>2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2</v>
      </c>
      <c r="L253" s="2">
        <f>Games[[#This Row],[OppDaysOff]]-Games[[#This Row],[DaysOff]]</f>
        <v>-2</v>
      </c>
      <c r="M253" s="1">
        <f>MAX(-16, MIN(16, Games[[#This Row],[RestDiff]]*8))</f>
        <v>16</v>
      </c>
      <c r="N253" s="1">
        <f>MAX(-16, MIN(16, Games[[#This Row],[OppRestDiff]]*8))</f>
        <v>-16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1478.1436998248116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1563.3432971199697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0.54420958964896737</v>
      </c>
      <c r="R253" s="1">
        <v>94</v>
      </c>
      <c r="S253" s="1">
        <v>75</v>
      </c>
      <c r="T253" s="1">
        <v>0</v>
      </c>
      <c r="U253" s="1">
        <f>Games[[#This Row],[PointsFor]]-Games[[#This Row],[PointsAgainst]]</f>
        <v>19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0.52378874743229409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73.3</v>
      </c>
      <c r="Z253" s="4">
        <f>Games[[#This Row],[K]]*Games[[#This Row],[POMult]]</f>
        <v>73.3</v>
      </c>
      <c r="AA253" s="4">
        <f>(Games[[#This Row],[Keff]]*Games[[#This Row],[MOVMult]])*(Games[[#This Row],[Result]]-Games[[#This Row],[ExpectedWin%]])</f>
        <v>17.499487199886392</v>
      </c>
      <c r="AB253" s="4">
        <f>Games[[#This Row],[PreGmRate]]+Games[[#This Row],[RatingChange]]</f>
        <v>1495.6431870246979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38905</v>
      </c>
      <c r="B254" s="2">
        <v>2006</v>
      </c>
      <c r="C254" s="2">
        <f>COUNTIFS(Games[Team],Games[[#This Row],[Team]],Games[Season],Games[[#This Row],[Season]],Games[Date],"&lt;=" &amp; Games[[#This Row],[Date]])</f>
        <v>19</v>
      </c>
      <c r="D254" s="2" t="s">
        <v>23</v>
      </c>
      <c r="E254" s="2" t="s">
        <v>29</v>
      </c>
      <c r="F254" s="1" t="s">
        <v>45</v>
      </c>
      <c r="G254" s="1" t="s">
        <v>73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-1</v>
      </c>
      <c r="L254" s="2">
        <f>Games[[#This Row],[OppDaysOff]]-Games[[#This Row],[DaysOff]]</f>
        <v>1</v>
      </c>
      <c r="M254" s="1">
        <f>MAX(-16, MIN(16, Games[[#This Row],[RestDiff]]*8))</f>
        <v>-8</v>
      </c>
      <c r="N254" s="1">
        <f>MAX(-16, MIN(16, Games[[#This Row],[OppRestDiff]]*8))</f>
        <v>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1572.1108445099464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1505.4732415003184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0.45213467884228942</v>
      </c>
      <c r="R254" s="1">
        <v>73</v>
      </c>
      <c r="S254" s="1">
        <v>60</v>
      </c>
      <c r="T254" s="1">
        <v>0</v>
      </c>
      <c r="U254" s="1">
        <f>Games[[#This Row],[PointsFor]]-Games[[#This Row],[PointsAgainst]]</f>
        <v>13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0.44720960867655157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73.150000000000006</v>
      </c>
      <c r="Z254" s="4">
        <f>Games[[#This Row],[K]]*Games[[#This Row],[POMult]]</f>
        <v>73.150000000000006</v>
      </c>
      <c r="AA254" s="4">
        <f>(Games[[#This Row],[Keff]]*Games[[#This Row],[MOVMult]])*(Games[[#This Row],[Result]]-Games[[#This Row],[ExpectedWin%]])</f>
        <v>17.922528014797049</v>
      </c>
      <c r="AB254" s="4">
        <f>Games[[#This Row],[PreGmRate]]+Games[[#This Row],[RatingChange]]</f>
        <v>1590.0333725247435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38905</v>
      </c>
      <c r="B255" s="2">
        <v>2006</v>
      </c>
      <c r="C255" s="2">
        <f>COUNTIFS(Games[Team],Games[[#This Row],[Team]],Games[Season],Games[[#This Row],[Season]],Games[Date],"&lt;=" &amp; Games[[#This Row],[Date]])</f>
        <v>19</v>
      </c>
      <c r="D255" s="2" t="s">
        <v>23</v>
      </c>
      <c r="E255" s="2" t="s">
        <v>29</v>
      </c>
      <c r="F255" s="1" t="s">
        <v>73</v>
      </c>
      <c r="G255" s="1" t="s">
        <v>45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5" s="2">
        <f>Games[[#This Row],[DaysOff]]-Games[[#This Row],[OppDaysOff]]</f>
        <v>1</v>
      </c>
      <c r="L255" s="2">
        <f>Games[[#This Row],[OppDaysOff]]-Games[[#This Row],[DaysOff]]</f>
        <v>-1</v>
      </c>
      <c r="M255" s="1">
        <f>MAX(-16, MIN(16, Games[[#This Row],[RestDiff]]*8))</f>
        <v>8</v>
      </c>
      <c r="N255" s="1">
        <f>MAX(-16, MIN(16, Games[[#This Row],[OppRestDiff]]*8))</f>
        <v>-8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1505.4732415003184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1572.1108445099464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0.54786532115771069</v>
      </c>
      <c r="R255" s="1">
        <v>60</v>
      </c>
      <c r="S255" s="1">
        <v>73</v>
      </c>
      <c r="T255" s="1">
        <v>0</v>
      </c>
      <c r="U255" s="1">
        <f>Games[[#This Row],[PointsFor]]-Games[[#This Row],[PointsAgainst]]</f>
        <v>-13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0.44720960867655157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73.150000000000006</v>
      </c>
      <c r="Z255" s="4">
        <f>Games[[#This Row],[K]]*Games[[#This Row],[POMult]]</f>
        <v>73.150000000000006</v>
      </c>
      <c r="AA255" s="4">
        <f>(Games[[#This Row],[Keff]]*Games[[#This Row],[MOVMult]])*(Games[[#This Row],[Result]]-Games[[#This Row],[ExpectedWin%]])</f>
        <v>-17.922528014797052</v>
      </c>
      <c r="AB255" s="4">
        <f>Games[[#This Row],[PreGmRate]]+Games[[#This Row],[RatingChange]]</f>
        <v>1487.5507134855213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38906</v>
      </c>
      <c r="B256" s="2">
        <v>2006</v>
      </c>
      <c r="C256" s="2">
        <f>COUNTIFS(Games[Team],Games[[#This Row],[Team]],Games[Season],Games[[#This Row],[Season]],Games[Date],"&lt;=" &amp; Games[[#This Row],[Date]])</f>
        <v>17</v>
      </c>
      <c r="D256" s="2" t="s">
        <v>23</v>
      </c>
      <c r="E256" s="2" t="s">
        <v>29</v>
      </c>
      <c r="F256" s="1" t="s">
        <v>44</v>
      </c>
      <c r="G256" s="1" t="s">
        <v>86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1491.8065896750115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1634.7053518013463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0.21313443989342598</v>
      </c>
      <c r="R256" s="1">
        <v>77</v>
      </c>
      <c r="S256" s="1">
        <v>82</v>
      </c>
      <c r="T256" s="1">
        <v>0</v>
      </c>
      <c r="U256" s="1">
        <f>Games[[#This Row],[PointsFor]]-Games[[#This Row],[PointsAgainst]]</f>
        <v>-5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0.29645359857442843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73.45</v>
      </c>
      <c r="Z256" s="4">
        <f>Games[[#This Row],[K]]*Games[[#This Row],[POMult]]</f>
        <v>73.45</v>
      </c>
      <c r="AA256" s="4">
        <f>(Games[[#This Row],[Keff]]*Games[[#This Row],[MOVMult]])*(Games[[#This Row],[Result]]-Games[[#This Row],[ExpectedWin%]])</f>
        <v>-4.6408994453771966</v>
      </c>
      <c r="AB256" s="4">
        <f>Games[[#This Row],[PreGmRate]]+Games[[#This Row],[RatingChange]]</f>
        <v>1487.1656902296343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38906</v>
      </c>
      <c r="B257" s="2">
        <v>2006</v>
      </c>
      <c r="C257" s="2">
        <f>COUNTIFS(Games[Team],Games[[#This Row],[Team]],Games[Season],Games[[#This Row],[Season]],Games[Date],"&lt;=" &amp; Games[[#This Row],[Date]])</f>
        <v>19</v>
      </c>
      <c r="D257" s="2" t="s">
        <v>23</v>
      </c>
      <c r="E257" s="2" t="s">
        <v>29</v>
      </c>
      <c r="F257" s="1" t="s">
        <v>86</v>
      </c>
      <c r="G257" s="1" t="s">
        <v>44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1634.7053518013463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1491.8065896750115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0.78686556010657394</v>
      </c>
      <c r="R257" s="1">
        <v>82</v>
      </c>
      <c r="S257" s="1">
        <v>77</v>
      </c>
      <c r="T257" s="1">
        <v>0</v>
      </c>
      <c r="U257" s="1">
        <f>Games[[#This Row],[PointsFor]]-Games[[#This Row],[PointsAgainst]]</f>
        <v>5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0.29645359857442843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73.150000000000006</v>
      </c>
      <c r="Z257" s="4">
        <f>Games[[#This Row],[K]]*Games[[#This Row],[POMult]]</f>
        <v>73.150000000000006</v>
      </c>
      <c r="AA257" s="4">
        <f>(Games[[#This Row],[Keff]]*Games[[#This Row],[MOVMult]])*(Games[[#This Row],[Result]]-Games[[#This Row],[ExpectedWin%]])</f>
        <v>4.6219441038712334</v>
      </c>
      <c r="AB257" s="4">
        <f>Games[[#This Row],[PreGmRate]]+Games[[#This Row],[RatingChange]]</f>
        <v>1639.3272959052176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38906</v>
      </c>
      <c r="B258" s="2">
        <v>2006</v>
      </c>
      <c r="C258" s="2">
        <f>COUNTIFS(Games[Team],Games[[#This Row],[Team]],Games[Season],Games[[#This Row],[Season]],Games[Date],"&lt;=" &amp; Games[[#This Row],[Date]])</f>
        <v>18</v>
      </c>
      <c r="D258" s="2" t="s">
        <v>23</v>
      </c>
      <c r="E258" s="2" t="s">
        <v>29</v>
      </c>
      <c r="F258" s="1" t="s">
        <v>64</v>
      </c>
      <c r="G258" s="1" t="s">
        <v>70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8" s="2">
        <f>Games[[#This Row],[DaysOff]]-Games[[#This Row],[OppDaysOff]]</f>
        <v>1</v>
      </c>
      <c r="L258" s="2">
        <f>Games[[#This Row],[OppDaysOff]]-Games[[#This Row],[DaysOff]]</f>
        <v>-1</v>
      </c>
      <c r="M258" s="1">
        <f>MAX(-16, MIN(16, Games[[#This Row],[RestDiff]]*8))</f>
        <v>8</v>
      </c>
      <c r="N258" s="1">
        <f>MAX(-16, MIN(16, Games[[#This Row],[OppRestDiff]]*8))</f>
        <v>-8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1341.5855644865705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1583.3579290917653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0.14390930197733576</v>
      </c>
      <c r="R258" s="1">
        <v>64</v>
      </c>
      <c r="S258" s="1">
        <v>66</v>
      </c>
      <c r="T258" s="1">
        <v>0</v>
      </c>
      <c r="U258" s="1">
        <f>Games[[#This Row],[PointsFor]]-Games[[#This Row],[PointsAgainst]]</f>
        <v>-2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0.22292672051570117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73.3</v>
      </c>
      <c r="Z258" s="4">
        <f>Games[[#This Row],[K]]*Games[[#This Row],[POMult]]</f>
        <v>73.3</v>
      </c>
      <c r="AA258" s="4">
        <f>(Games[[#This Row],[Keff]]*Games[[#This Row],[MOVMult]])*(Games[[#This Row],[Result]]-Games[[#This Row],[ExpectedWin%]])</f>
        <v>-2.3515540667527688</v>
      </c>
      <c r="AB258" s="4">
        <f>Games[[#This Row],[PreGmRate]]+Games[[#This Row],[RatingChange]]</f>
        <v>1339.2340104198179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38906</v>
      </c>
      <c r="B259" s="2">
        <v>2006</v>
      </c>
      <c r="C259" s="2">
        <f>COUNTIFS(Games[Team],Games[[#This Row],[Team]],Games[Season],Games[[#This Row],[Season]],Games[Date],"&lt;=" &amp; Games[[#This Row],[Date]])</f>
        <v>21</v>
      </c>
      <c r="D259" s="2" t="s">
        <v>23</v>
      </c>
      <c r="E259" s="2" t="s">
        <v>29</v>
      </c>
      <c r="F259" s="1" t="s">
        <v>70</v>
      </c>
      <c r="G259" s="1" t="s">
        <v>64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-1</v>
      </c>
      <c r="L259" s="2">
        <f>Games[[#This Row],[OppDaysOff]]-Games[[#This Row],[DaysOff]]</f>
        <v>1</v>
      </c>
      <c r="M259" s="1">
        <f>MAX(-16, MIN(16, Games[[#This Row],[RestDiff]]*8))</f>
        <v>-8</v>
      </c>
      <c r="N259" s="1">
        <f>MAX(-16, MIN(16, Games[[#This Row],[OppRestDiff]]*8))</f>
        <v>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1583.3579290917653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1341.5855644865705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0.85609069802266435</v>
      </c>
      <c r="R259" s="1">
        <v>66</v>
      </c>
      <c r="S259" s="1">
        <v>64</v>
      </c>
      <c r="T259" s="1">
        <v>0</v>
      </c>
      <c r="U259" s="1">
        <f>Games[[#This Row],[PointsFor]]-Games[[#This Row],[PointsAgainst]]</f>
        <v>2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0.22292672051570117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72.849999999999994</v>
      </c>
      <c r="Z259" s="4">
        <f>Games[[#This Row],[K]]*Games[[#This Row],[POMult]]</f>
        <v>72.849999999999994</v>
      </c>
      <c r="AA259" s="4">
        <f>(Games[[#This Row],[Keff]]*Games[[#This Row],[MOVMult]])*(Games[[#This Row],[Result]]-Games[[#This Row],[ExpectedWin%]])</f>
        <v>2.3371175138190869</v>
      </c>
      <c r="AB259" s="4">
        <f>Games[[#This Row],[PreGmRate]]+Games[[#This Row],[RatingChange]]</f>
        <v>1585.6950466055844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38907</v>
      </c>
      <c r="B260" s="2">
        <v>2006</v>
      </c>
      <c r="C260" s="2">
        <f>COUNTIFS(Games[Team],Games[[#This Row],[Team]],Games[Season],Games[[#This Row],[Season]],Games[Date],"&lt;=" &amp; Games[[#This Row],[Date]])</f>
        <v>19</v>
      </c>
      <c r="D260" s="2" t="s">
        <v>23</v>
      </c>
      <c r="E260" s="2" t="s">
        <v>29</v>
      </c>
      <c r="F260" s="1" t="s">
        <v>75</v>
      </c>
      <c r="G260" s="1" t="s">
        <v>2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1546.3000639587656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1545.9154312865221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0.3819384103682002</v>
      </c>
      <c r="R260" s="1">
        <v>66</v>
      </c>
      <c r="S260" s="1">
        <v>60</v>
      </c>
      <c r="T260" s="1">
        <v>0</v>
      </c>
      <c r="U260" s="1">
        <f>Games[[#This Row],[PointsFor]]-Games[[#This Row],[PointsAgainst]]</f>
        <v>6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0.35116820212100103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73.150000000000006</v>
      </c>
      <c r="Z260" s="4">
        <f>Games[[#This Row],[K]]*Games[[#This Row],[POMult]]</f>
        <v>73.150000000000006</v>
      </c>
      <c r="AA260" s="4">
        <f>(Games[[#This Row],[Keff]]*Games[[#This Row],[MOVMult]])*(Games[[#This Row],[Result]]-Games[[#This Row],[ExpectedWin%]])</f>
        <v>15.876737674451094</v>
      </c>
      <c r="AB260" s="4">
        <f>Games[[#This Row],[PreGmRate]]+Games[[#This Row],[RatingChange]]</f>
        <v>1562.1768016332167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38907</v>
      </c>
      <c r="B261" s="2">
        <v>2006</v>
      </c>
      <c r="C261" s="2">
        <f>COUNTIFS(Games[Team],Games[[#This Row],[Team]],Games[Season],Games[[#This Row],[Season]],Games[Date],"&lt;=" &amp; Games[[#This Row],[Date]])</f>
        <v>21</v>
      </c>
      <c r="D261" s="2" t="s">
        <v>23</v>
      </c>
      <c r="E261" s="2" t="s">
        <v>29</v>
      </c>
      <c r="F261" s="1" t="s">
        <v>2</v>
      </c>
      <c r="G261" s="1" t="s">
        <v>75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1545.9154312865221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1546.3000639587656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0.6180615896317998</v>
      </c>
      <c r="R261" s="1">
        <v>60</v>
      </c>
      <c r="S261" s="1">
        <v>66</v>
      </c>
      <c r="T261" s="1">
        <v>0</v>
      </c>
      <c r="U261" s="1">
        <f>Games[[#This Row],[PointsFor]]-Games[[#This Row],[PointsAgainst]]</f>
        <v>-6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0.35116820212100103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-15.811624601281778</v>
      </c>
      <c r="AB261" s="4">
        <f>Games[[#This Row],[PreGmRate]]+Games[[#This Row],[RatingChange]]</f>
        <v>1530.1038066852402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38907</v>
      </c>
      <c r="B262" s="2">
        <v>2006</v>
      </c>
      <c r="C262" s="2">
        <f>COUNTIFS(Games[Team],Games[[#This Row],[Team]],Games[Season],Games[[#This Row],[Season]],Games[Date],"&lt;=" &amp; Games[[#This Row],[Date]])</f>
        <v>19</v>
      </c>
      <c r="D262" s="2" t="s">
        <v>23</v>
      </c>
      <c r="E262" s="2" t="s">
        <v>29</v>
      </c>
      <c r="F262" s="1" t="s">
        <v>84</v>
      </c>
      <c r="G262" s="1" t="s">
        <v>77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1495.6431870246979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1417.9602463731167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0.49091002246427001</v>
      </c>
      <c r="R262" s="1">
        <v>80</v>
      </c>
      <c r="S262" s="1">
        <v>85</v>
      </c>
      <c r="T262" s="1">
        <v>0</v>
      </c>
      <c r="U262" s="1">
        <f>Games[[#This Row],[PointsFor]]-Games[[#This Row],[PointsAgainst]]</f>
        <v>-5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0.31158525944666221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73.150000000000006</v>
      </c>
      <c r="Z262" s="4">
        <f>Games[[#This Row],[K]]*Games[[#This Row],[POMult]]</f>
        <v>73.150000000000006</v>
      </c>
      <c r="AA262" s="4">
        <f>(Games[[#This Row],[Keff]]*Games[[#This Row],[MOVMult]])*(Games[[#This Row],[Result]]-Games[[#This Row],[ExpectedWin%]])</f>
        <v>-11.189047899165409</v>
      </c>
      <c r="AB262" s="4">
        <f>Games[[#This Row],[PreGmRate]]+Games[[#This Row],[RatingChange]]</f>
        <v>1484.4541391255325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38907</v>
      </c>
      <c r="B263" s="2">
        <v>2006</v>
      </c>
      <c r="C263" s="2">
        <f>COUNTIFS(Games[Team],Games[[#This Row],[Team]],Games[Season],Games[[#This Row],[Season]],Games[Date],"&lt;=" &amp; Games[[#This Row],[Date]])</f>
        <v>19</v>
      </c>
      <c r="D263" s="2" t="s">
        <v>23</v>
      </c>
      <c r="E263" s="2" t="s">
        <v>29</v>
      </c>
      <c r="F263" s="1" t="s">
        <v>77</v>
      </c>
      <c r="G263" s="1" t="s">
        <v>84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1417.9602463731167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1495.6431870246979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0.50908997753573004</v>
      </c>
      <c r="R263" s="1">
        <v>85</v>
      </c>
      <c r="S263" s="1">
        <v>80</v>
      </c>
      <c r="T263" s="1">
        <v>0</v>
      </c>
      <c r="U263" s="1">
        <f>Games[[#This Row],[PointsFor]]-Games[[#This Row],[PointsAgainst]]</f>
        <v>5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0.31158525944666221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73.150000000000006</v>
      </c>
      <c r="Z263" s="4">
        <f>Games[[#This Row],[K]]*Games[[#This Row],[POMult]]</f>
        <v>73.150000000000006</v>
      </c>
      <c r="AA263" s="4">
        <f>(Games[[#This Row],[Keff]]*Games[[#This Row],[MOVMult]])*(Games[[#This Row],[Result]]-Games[[#This Row],[ExpectedWin%]])</f>
        <v>11.189047899165407</v>
      </c>
      <c r="AB263" s="4">
        <f>Games[[#This Row],[PreGmRate]]+Games[[#This Row],[RatingChange]]</f>
        <v>1429.1492942722821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38907</v>
      </c>
      <c r="B264" s="2">
        <v>2006</v>
      </c>
      <c r="C264" s="2">
        <f>COUNTIFS(Games[Team],Games[[#This Row],[Team]],Games[Season],Games[[#This Row],[Season]],Games[Date],"&lt;=" &amp; Games[[#This Row],[Date]])</f>
        <v>18</v>
      </c>
      <c r="D264" s="2" t="s">
        <v>23</v>
      </c>
      <c r="E264" s="2" t="s">
        <v>29</v>
      </c>
      <c r="F264" s="1" t="s">
        <v>44</v>
      </c>
      <c r="G264" s="1" t="s">
        <v>66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1487.1656902296343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1383.136839187571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0.50579772285558744</v>
      </c>
      <c r="R264" s="1">
        <v>94</v>
      </c>
      <c r="S264" s="1">
        <v>88</v>
      </c>
      <c r="T264" s="1">
        <v>1</v>
      </c>
      <c r="U264" s="1">
        <f>Games[[#This Row],[PointsFor]]-Games[[#This Row],[PointsAgainst]]</f>
        <v>6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0.29093161679291213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73.3</v>
      </c>
      <c r="Z264" s="4">
        <f>Games[[#This Row],[K]]*Games[[#This Row],[POMult]]</f>
        <v>73.3</v>
      </c>
      <c r="AA264" s="4">
        <f>(Games[[#This Row],[Keff]]*Games[[#This Row],[MOVMult]])*(Games[[#This Row],[Result]]-Games[[#This Row],[ExpectedWin%]])</f>
        <v>10.539005648656191</v>
      </c>
      <c r="AB264" s="4">
        <f>Games[[#This Row],[PreGmRate]]+Games[[#This Row],[RatingChange]]</f>
        <v>1497.7046958782905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38907</v>
      </c>
      <c r="B265" s="2">
        <v>2006</v>
      </c>
      <c r="C265" s="2">
        <f>COUNTIFS(Games[Team],Games[[#This Row],[Team]],Games[Season],Games[[#This Row],[Season]],Games[Date],"&lt;=" &amp; Games[[#This Row],[Date]])</f>
        <v>18</v>
      </c>
      <c r="D265" s="2" t="s">
        <v>23</v>
      </c>
      <c r="E265" s="2" t="s">
        <v>29</v>
      </c>
      <c r="F265" s="1" t="s">
        <v>66</v>
      </c>
      <c r="G265" s="1" t="s">
        <v>44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1383.136839187571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1487.1656902296343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0.49420227714441256</v>
      </c>
      <c r="R265" s="1">
        <v>88</v>
      </c>
      <c r="S265" s="1">
        <v>94</v>
      </c>
      <c r="T265" s="1">
        <v>1</v>
      </c>
      <c r="U265" s="1">
        <f>Games[[#This Row],[PointsFor]]-Games[[#This Row],[PointsAgainst]]</f>
        <v>-6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0.29093161679291213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73.3</v>
      </c>
      <c r="Z265" s="4">
        <f>Games[[#This Row],[K]]*Games[[#This Row],[POMult]]</f>
        <v>73.3</v>
      </c>
      <c r="AA265" s="4">
        <f>(Games[[#This Row],[Keff]]*Games[[#This Row],[MOVMult]])*(Games[[#This Row],[Result]]-Games[[#This Row],[ExpectedWin%]])</f>
        <v>-10.539005648656191</v>
      </c>
      <c r="AB265" s="4">
        <f>Games[[#This Row],[PreGmRate]]+Games[[#This Row],[RatingChange]]</f>
        <v>1372.5978335389148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38907</v>
      </c>
      <c r="B266" s="2">
        <v>2006</v>
      </c>
      <c r="C266" s="2">
        <f>COUNTIFS(Games[Team],Games[[#This Row],[Team]],Games[Season],Games[[#This Row],[Season]],Games[Date],"&lt;=" &amp; Games[[#This Row],[Date]])</f>
        <v>19</v>
      </c>
      <c r="D266" s="2" t="s">
        <v>23</v>
      </c>
      <c r="E266" s="2" t="s">
        <v>29</v>
      </c>
      <c r="F266" s="1" t="s">
        <v>64</v>
      </c>
      <c r="G266" s="1" t="s">
        <v>45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">
        <f>MAX(-16, MIN(16, Games[[#This Row],[RestDiff]]*8))</f>
        <v>-8</v>
      </c>
      <c r="N266" s="1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1339.2340104198179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1590.0333725247435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0.11718482707781111</v>
      </c>
      <c r="R266" s="1">
        <v>61</v>
      </c>
      <c r="S266" s="1">
        <v>70</v>
      </c>
      <c r="T266" s="1">
        <v>0</v>
      </c>
      <c r="U266" s="1">
        <f>Games[[#This Row],[PointsFor]]-Games[[#This Row],[PointsAgainst]]</f>
        <v>-9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0.33579131980722382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73.150000000000006</v>
      </c>
      <c r="Z266" s="4">
        <f>Games[[#This Row],[K]]*Games[[#This Row],[POMult]]</f>
        <v>73.150000000000006</v>
      </c>
      <c r="AA266" s="4">
        <f>(Games[[#This Row],[Keff]]*Games[[#This Row],[MOVMult]])*(Games[[#This Row],[Result]]-Games[[#This Row],[ExpectedWin%]])</f>
        <v>-2.8784267326081592</v>
      </c>
      <c r="AB266" s="4">
        <f>Games[[#This Row],[PreGmRate]]+Games[[#This Row],[RatingChange]]</f>
        <v>1336.3555836872097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38907</v>
      </c>
      <c r="B267" s="2">
        <v>2006</v>
      </c>
      <c r="C267" s="2">
        <f>COUNTIFS(Games[Team],Games[[#This Row],[Team]],Games[Season],Games[[#This Row],[Season]],Games[Date],"&lt;=" &amp; Games[[#This Row],[Date]])</f>
        <v>20</v>
      </c>
      <c r="D267" s="2" t="s">
        <v>23</v>
      </c>
      <c r="E267" s="2" t="s">
        <v>29</v>
      </c>
      <c r="F267" s="1" t="s">
        <v>45</v>
      </c>
      <c r="G267" s="1" t="s">
        <v>64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">
        <f>MAX(-16, MIN(16, Games[[#This Row],[RestDiff]]*8))</f>
        <v>8</v>
      </c>
      <c r="N267" s="1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1590.0333725247435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1339.2340104198179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0.88281517292218892</v>
      </c>
      <c r="R267" s="1">
        <v>70</v>
      </c>
      <c r="S267" s="1">
        <v>61</v>
      </c>
      <c r="T267" s="1">
        <v>0</v>
      </c>
      <c r="U267" s="1">
        <f>Games[[#This Row],[PointsFor]]-Games[[#This Row],[PointsAgainst]]</f>
        <v>9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0.33579131980722382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</v>
      </c>
      <c r="Z267" s="4">
        <f>Games[[#This Row],[K]]*Games[[#This Row],[POMult]]</f>
        <v>73</v>
      </c>
      <c r="AA267" s="4">
        <f>(Games[[#This Row],[Keff]]*Games[[#This Row],[MOVMult]])*(Games[[#This Row],[Result]]-Games[[#This Row],[ExpectedWin%]])</f>
        <v>2.8725242854462825</v>
      </c>
      <c r="AB267" s="4">
        <f>Games[[#This Row],[PreGmRate]]+Games[[#This Row],[RatingChange]]</f>
        <v>1592.9058968101899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38907</v>
      </c>
      <c r="B268" s="2">
        <v>2006</v>
      </c>
      <c r="C268" s="2">
        <f>COUNTIFS(Games[Team],Games[[#This Row],[Team]],Games[Season],Games[[#This Row],[Season]],Games[Date],"&lt;=" &amp; Games[[#This Row],[Date]])</f>
        <v>20</v>
      </c>
      <c r="D268" s="2" t="s">
        <v>23</v>
      </c>
      <c r="E268" s="2" t="s">
        <v>29</v>
      </c>
      <c r="F268" s="1" t="s">
        <v>79</v>
      </c>
      <c r="G268" s="1" t="s">
        <v>81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68" s="2">
        <f>Games[[#This Row],[DaysOff]]-Games[[#This Row],[OppDaysOff]]</f>
        <v>-6</v>
      </c>
      <c r="L268" s="2">
        <f>Games[[#This Row],[OppDaysOff]]-Games[[#This Row],[DaysOff]]</f>
        <v>6</v>
      </c>
      <c r="M268" s="1">
        <f>MAX(-16, MIN(16, Games[[#This Row],[RestDiff]]*8))</f>
        <v>-16</v>
      </c>
      <c r="N268" s="1">
        <f>MAX(-16, MIN(16, Games[[#This Row],[OppRestDiff]]*8))</f>
        <v>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1556.7594388777902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1565.201471436598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0.32819814258234492</v>
      </c>
      <c r="R268" s="1">
        <v>74</v>
      </c>
      <c r="S268" s="1">
        <v>62</v>
      </c>
      <c r="T268" s="1">
        <v>0</v>
      </c>
      <c r="U268" s="1">
        <f>Games[[#This Row],[PointsFor]]-Games[[#This Row],[PointsAgainst]]</f>
        <v>12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0.45294297694433461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</v>
      </c>
      <c r="Z268" s="4">
        <f>Games[[#This Row],[K]]*Games[[#This Row],[POMult]]</f>
        <v>73</v>
      </c>
      <c r="AA268" s="4">
        <f>(Games[[#This Row],[Keff]]*Games[[#This Row],[MOVMult]])*(Games[[#This Row],[Result]]-Games[[#This Row],[ExpectedWin%]])</f>
        <v>22.213019124730486</v>
      </c>
      <c r="AB268" s="4">
        <f>Games[[#This Row],[PreGmRate]]+Games[[#This Row],[RatingChange]]</f>
        <v>1578.9724580025206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38907</v>
      </c>
      <c r="B269" s="2">
        <v>2006</v>
      </c>
      <c r="C269" s="2">
        <f>COUNTIFS(Games[Team],Games[[#This Row],[Team]],Games[Season],Games[[#This Row],[Season]],Games[Date],"&lt;=" &amp; Games[[#This Row],[Date]])</f>
        <v>19</v>
      </c>
      <c r="D269" s="2" t="s">
        <v>23</v>
      </c>
      <c r="E269" s="2" t="s">
        <v>29</v>
      </c>
      <c r="F269" s="1" t="s">
        <v>81</v>
      </c>
      <c r="G269" s="1" t="s">
        <v>79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7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6</v>
      </c>
      <c r="L269" s="2">
        <f>Games[[#This Row],[OppDaysOff]]-Games[[#This Row],[DaysOff]]</f>
        <v>-6</v>
      </c>
      <c r="M269" s="1">
        <f>MAX(-16, MIN(16, Games[[#This Row],[RestDiff]]*8))</f>
        <v>16</v>
      </c>
      <c r="N269" s="1">
        <f>MAX(-16, MIN(16, Games[[#This Row],[OppRestDiff]]*8))</f>
        <v>-16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1565.201471436598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1556.7594388777902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0.67180185741765508</v>
      </c>
      <c r="R269" s="1">
        <v>62</v>
      </c>
      <c r="S269" s="1">
        <v>74</v>
      </c>
      <c r="T269" s="1">
        <v>0</v>
      </c>
      <c r="U269" s="1">
        <f>Games[[#This Row],[PointsFor]]-Games[[#This Row],[PointsAgainst]]</f>
        <v>-12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0.45294297694433461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73.150000000000006</v>
      </c>
      <c r="Z269" s="4">
        <f>Games[[#This Row],[K]]*Games[[#This Row],[POMult]]</f>
        <v>73.150000000000006</v>
      </c>
      <c r="AA269" s="4">
        <f>(Games[[#This Row],[Keff]]*Games[[#This Row],[MOVMult]])*(Games[[#This Row],[Result]]-Games[[#This Row],[ExpectedWin%]])</f>
        <v>-22.258662314712812</v>
      </c>
      <c r="AB269" s="4">
        <f>Games[[#This Row],[PreGmRate]]+Games[[#This Row],[RatingChange]]</f>
        <v>1542.9428091218851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38907</v>
      </c>
      <c r="B270" s="2">
        <v>2006</v>
      </c>
      <c r="C270" s="2">
        <f>COUNTIFS(Games[Team],Games[[#This Row],[Team]],Games[Season],Games[[#This Row],[Season]],Games[Date],"&lt;=" &amp; Games[[#This Row],[Date]])</f>
        <v>18</v>
      </c>
      <c r="D270" s="2" t="s">
        <v>23</v>
      </c>
      <c r="E270" s="2" t="s">
        <v>29</v>
      </c>
      <c r="F270" s="1" t="s">
        <v>87</v>
      </c>
      <c r="G270" s="1" t="s">
        <v>73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1365.0315520526569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1487.5507134855213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0.23347006996680741</v>
      </c>
      <c r="R270" s="1">
        <v>83</v>
      </c>
      <c r="S270" s="1">
        <v>89</v>
      </c>
      <c r="T270" s="1">
        <v>0</v>
      </c>
      <c r="U270" s="1">
        <f>Games[[#This Row],[PointsFor]]-Games[[#This Row],[PointsAgainst]]</f>
        <v>-6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0.31873784940286376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73.3</v>
      </c>
      <c r="Z270" s="4">
        <f>Games[[#This Row],[K]]*Games[[#This Row],[POMult]]</f>
        <v>73.3</v>
      </c>
      <c r="AA270" s="4">
        <f>(Games[[#This Row],[Keff]]*Games[[#This Row],[MOVMult]])*(Games[[#This Row],[Result]]-Games[[#This Row],[ExpectedWin%]])</f>
        <v>-5.4546743284847583</v>
      </c>
      <c r="AB270" s="4">
        <f>Games[[#This Row],[PreGmRate]]+Games[[#This Row],[RatingChange]]</f>
        <v>1359.5768777241722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38907</v>
      </c>
      <c r="B271" s="2">
        <v>2006</v>
      </c>
      <c r="C271" s="2">
        <f>COUNTIFS(Games[Team],Games[[#This Row],[Team]],Games[Season],Games[[#This Row],[Season]],Games[Date],"&lt;=" &amp; Games[[#This Row],[Date]])</f>
        <v>20</v>
      </c>
      <c r="D271" s="2" t="s">
        <v>23</v>
      </c>
      <c r="E271" s="2" t="s">
        <v>29</v>
      </c>
      <c r="F271" s="1" t="s">
        <v>73</v>
      </c>
      <c r="G271" s="1" t="s">
        <v>87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1487.5507134855213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1365.0315520526569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0.76652993003319259</v>
      </c>
      <c r="R271" s="1">
        <v>89</v>
      </c>
      <c r="S271" s="1">
        <v>83</v>
      </c>
      <c r="T271" s="1">
        <v>0</v>
      </c>
      <c r="U271" s="1">
        <f>Games[[#This Row],[PointsFor]]-Games[[#This Row],[PointsAgainst]]</f>
        <v>6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0.31873784940286376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73</v>
      </c>
      <c r="Z271" s="4">
        <f>Games[[#This Row],[K]]*Games[[#This Row],[POMult]]</f>
        <v>73</v>
      </c>
      <c r="AA271" s="4">
        <f>(Games[[#This Row],[Keff]]*Games[[#This Row],[MOVMult]])*(Games[[#This Row],[Result]]-Games[[#This Row],[ExpectedWin%]])</f>
        <v>5.4323496040844121</v>
      </c>
      <c r="AB271" s="4">
        <f>Games[[#This Row],[PreGmRate]]+Games[[#This Row],[RatingChange]]</f>
        <v>1492.9830630896058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38912</v>
      </c>
      <c r="B272" s="2">
        <v>2006</v>
      </c>
      <c r="C272" s="2">
        <f>COUNTIFS(Games[Team],Games[[#This Row],[Team]],Games[Season],Games[[#This Row],[Season]],Games[Date],"&lt;=" &amp; Games[[#This Row],[Date]])</f>
        <v>20</v>
      </c>
      <c r="D272" s="2" t="s">
        <v>23</v>
      </c>
      <c r="E272" s="2" t="s">
        <v>29</v>
      </c>
      <c r="F272" s="1" t="s">
        <v>84</v>
      </c>
      <c r="G272" s="1" t="s">
        <v>64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1484.4541391255325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1336.3555836872097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0.59121271602877001</v>
      </c>
      <c r="R272" s="1">
        <v>65</v>
      </c>
      <c r="S272" s="1">
        <v>81</v>
      </c>
      <c r="T272" s="1">
        <v>0</v>
      </c>
      <c r="U272" s="1">
        <f>Games[[#This Row],[PointsFor]]-Games[[#This Row],[PointsAgainst]]</f>
        <v>-16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0.4609034229949529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</v>
      </c>
      <c r="Z272" s="4">
        <f>Games[[#This Row],[K]]*Games[[#This Row],[POMult]]</f>
        <v>73</v>
      </c>
      <c r="AA272" s="4">
        <f>(Games[[#This Row],[Keff]]*Games[[#This Row],[MOVMult]])*(Games[[#This Row],[Result]]-Games[[#This Row],[ExpectedWin%]])</f>
        <v>-19.891913411113631</v>
      </c>
      <c r="AB272" s="4">
        <f>Games[[#This Row],[PreGmRate]]+Games[[#This Row],[RatingChange]]</f>
        <v>1464.5622257144189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38912</v>
      </c>
      <c r="B273" s="2">
        <v>2006</v>
      </c>
      <c r="C273" s="2">
        <f>COUNTIFS(Games[Team],Games[[#This Row],[Team]],Games[Season],Games[[#This Row],[Season]],Games[Date],"&lt;=" &amp; Games[[#This Row],[Date]])</f>
        <v>20</v>
      </c>
      <c r="D273" s="2" t="s">
        <v>23</v>
      </c>
      <c r="E273" s="2" t="s">
        <v>29</v>
      </c>
      <c r="F273" s="1" t="s">
        <v>64</v>
      </c>
      <c r="G273" s="1" t="s">
        <v>84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1336.3555836872097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1484.4541391255325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0.40878728397122993</v>
      </c>
      <c r="R273" s="1">
        <v>81</v>
      </c>
      <c r="S273" s="1">
        <v>65</v>
      </c>
      <c r="T273" s="1">
        <v>0</v>
      </c>
      <c r="U273" s="1">
        <f>Games[[#This Row],[PointsFor]]-Games[[#This Row],[PointsAgainst]]</f>
        <v>16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0.4609034229949529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73</v>
      </c>
      <c r="Z273" s="4">
        <f>Games[[#This Row],[K]]*Games[[#This Row],[POMult]]</f>
        <v>73</v>
      </c>
      <c r="AA273" s="4">
        <f>(Games[[#This Row],[Keff]]*Games[[#This Row],[MOVMult]])*(Games[[#This Row],[Result]]-Games[[#This Row],[ExpectedWin%]])</f>
        <v>19.891913411113634</v>
      </c>
      <c r="AB273" s="4">
        <f>Games[[#This Row],[PreGmRate]]+Games[[#This Row],[RatingChange]]</f>
        <v>1356.2474970983233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38912</v>
      </c>
      <c r="B274" s="2">
        <v>2006</v>
      </c>
      <c r="C274" s="2">
        <f>COUNTIFS(Games[Team],Games[[#This Row],[Team]],Games[Season],Games[[#This Row],[Season]],Games[Date],"&lt;=" &amp; Games[[#This Row],[Date]])</f>
        <v>22</v>
      </c>
      <c r="D274" s="2" t="s">
        <v>23</v>
      </c>
      <c r="E274" s="2" t="s">
        <v>29</v>
      </c>
      <c r="F274" s="1" t="s">
        <v>2</v>
      </c>
      <c r="G274" s="1" t="s">
        <v>87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1530.1038066852402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1359.5768777241722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0.62201014397967902</v>
      </c>
      <c r="R274" s="1">
        <v>82</v>
      </c>
      <c r="S274" s="1">
        <v>77</v>
      </c>
      <c r="T274" s="1">
        <v>0</v>
      </c>
      <c r="U274" s="1">
        <f>Games[[#This Row],[PointsFor]]-Games[[#This Row],[PointsAgainst]]</f>
        <v>5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0.29047745224187865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72.7</v>
      </c>
      <c r="Z274" s="4">
        <f>Games[[#This Row],[K]]*Games[[#This Row],[POMult]]</f>
        <v>72.7</v>
      </c>
      <c r="AA274" s="4">
        <f>(Games[[#This Row],[Keff]]*Games[[#This Row],[MOVMult]])*(Games[[#This Row],[Result]]-Games[[#This Row],[ExpectedWin%]])</f>
        <v>7.9822804564491721</v>
      </c>
      <c r="AB274" s="4">
        <f>Games[[#This Row],[PreGmRate]]+Games[[#This Row],[RatingChange]]</f>
        <v>1538.0860871416894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38912</v>
      </c>
      <c r="B275" s="2">
        <v>2006</v>
      </c>
      <c r="C275" s="2">
        <f>COUNTIFS(Games[Team],Games[[#This Row],[Team]],Games[Season],Games[[#This Row],[Season]],Games[Date],"&lt;=" &amp; Games[[#This Row],[Date]])</f>
        <v>19</v>
      </c>
      <c r="D275" s="2" t="s">
        <v>23</v>
      </c>
      <c r="E275" s="2" t="s">
        <v>29</v>
      </c>
      <c r="F275" s="1" t="s">
        <v>87</v>
      </c>
      <c r="G275" s="1" t="s">
        <v>2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1359.5768777241722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1530.1038066852402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0.37798985602032104</v>
      </c>
      <c r="R275" s="1">
        <v>77</v>
      </c>
      <c r="S275" s="1">
        <v>82</v>
      </c>
      <c r="T275" s="1">
        <v>0</v>
      </c>
      <c r="U275" s="1">
        <f>Games[[#This Row],[PointsFor]]-Games[[#This Row],[PointsAgainst]]</f>
        <v>-5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0.29047745224187865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73.150000000000006</v>
      </c>
      <c r="Z275" s="4">
        <f>Games[[#This Row],[K]]*Games[[#This Row],[POMult]]</f>
        <v>73.150000000000006</v>
      </c>
      <c r="AA275" s="4">
        <f>(Games[[#This Row],[Keff]]*Games[[#This Row],[MOVMult]])*(Games[[#This Row],[Result]]-Games[[#This Row],[ExpectedWin%]])</f>
        <v>-8.0316893451066989</v>
      </c>
      <c r="AB275" s="4">
        <f>Games[[#This Row],[PreGmRate]]+Games[[#This Row],[RatingChange]]</f>
        <v>1351.5451883790654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38912</v>
      </c>
      <c r="B276" s="2">
        <v>2006</v>
      </c>
      <c r="C276" s="2">
        <f>COUNTIFS(Games[Team],Games[[#This Row],[Team]],Games[Season],Games[[#This Row],[Season]],Games[Date],"&lt;=" &amp; Games[[#This Row],[Date]])</f>
        <v>22</v>
      </c>
      <c r="D276" s="2" t="s">
        <v>23</v>
      </c>
      <c r="E276" s="2" t="s">
        <v>29</v>
      </c>
      <c r="F276" s="1" t="s">
        <v>70</v>
      </c>
      <c r="G276" s="1" t="s">
        <v>44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1585.6950466055844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1497.7046958782905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0.52873672336426325</v>
      </c>
      <c r="R276" s="1">
        <v>95</v>
      </c>
      <c r="S276" s="1">
        <v>85</v>
      </c>
      <c r="T276" s="1">
        <v>0</v>
      </c>
      <c r="U276" s="1">
        <f>Games[[#This Row],[PointsFor]]-Games[[#This Row],[PointsAgainst]]</f>
        <v>10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0.39422317015964026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72.7</v>
      </c>
      <c r="Z276" s="4">
        <f>Games[[#This Row],[K]]*Games[[#This Row],[POMult]]</f>
        <v>72.7</v>
      </c>
      <c r="AA276" s="4">
        <f>(Games[[#This Row],[Keff]]*Games[[#This Row],[MOVMult]])*(Games[[#This Row],[Result]]-Games[[#This Row],[ExpectedWin%]])</f>
        <v>13.506417040478109</v>
      </c>
      <c r="AB276" s="4">
        <f>Games[[#This Row],[PreGmRate]]+Games[[#This Row],[RatingChange]]</f>
        <v>1599.2014636460624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38912</v>
      </c>
      <c r="B277" s="2">
        <v>2006</v>
      </c>
      <c r="C277" s="2">
        <f>COUNTIFS(Games[Team],Games[[#This Row],[Team]],Games[Season],Games[[#This Row],[Season]],Games[Date],"&lt;=" &amp; Games[[#This Row],[Date]])</f>
        <v>19</v>
      </c>
      <c r="D277" s="2" t="s">
        <v>23</v>
      </c>
      <c r="E277" s="2" t="s">
        <v>29</v>
      </c>
      <c r="F277" s="1" t="s">
        <v>44</v>
      </c>
      <c r="G277" s="1" t="s">
        <v>70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1497.7046958782905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1585.6950466055844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0.47126327663573681</v>
      </c>
      <c r="R277" s="1">
        <v>85</v>
      </c>
      <c r="S277" s="1">
        <v>95</v>
      </c>
      <c r="T277" s="1">
        <v>0</v>
      </c>
      <c r="U277" s="1">
        <f>Games[[#This Row],[PointsFor]]-Games[[#This Row],[PointsAgainst]]</f>
        <v>-10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0.39422317015964026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73.150000000000006</v>
      </c>
      <c r="Z277" s="4">
        <f>Games[[#This Row],[K]]*Games[[#This Row],[POMult]]</f>
        <v>73.150000000000006</v>
      </c>
      <c r="AA277" s="4">
        <f>(Games[[#This Row],[Keff]]*Games[[#This Row],[MOVMult]])*(Games[[#This Row],[Result]]-Games[[#This Row],[ExpectedWin%]])</f>
        <v>-13.590019346780933</v>
      </c>
      <c r="AB277" s="4">
        <f>Games[[#This Row],[PreGmRate]]+Games[[#This Row],[RatingChange]]</f>
        <v>1484.1146765315095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38912</v>
      </c>
      <c r="B278" s="2">
        <v>2006</v>
      </c>
      <c r="C278" s="2">
        <f>COUNTIFS(Games[Team],Games[[#This Row],[Team]],Games[Season],Games[[#This Row],[Season]],Games[Date],"&lt;=" &amp; Games[[#This Row],[Date]])</f>
        <v>19</v>
      </c>
      <c r="D278" s="2" t="s">
        <v>23</v>
      </c>
      <c r="E278" s="2" t="s">
        <v>29</v>
      </c>
      <c r="F278" s="1" t="s">
        <v>66</v>
      </c>
      <c r="G278" s="1" t="s">
        <v>81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1372.5978335389148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1542.9428091218851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0.1878368658013112</v>
      </c>
      <c r="R278" s="1">
        <v>66</v>
      </c>
      <c r="S278" s="1">
        <v>86</v>
      </c>
      <c r="T278" s="1">
        <v>0</v>
      </c>
      <c r="U278" s="1">
        <f>Games[[#This Row],[PointsFor]]-Games[[#This Row],[PointsAgainst]]</f>
        <v>-20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0.50342420559985335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73.150000000000006</v>
      </c>
      <c r="Z278" s="4">
        <f>Games[[#This Row],[K]]*Games[[#This Row],[POMult]]</f>
        <v>73.150000000000006</v>
      </c>
      <c r="AA278" s="4">
        <f>(Games[[#This Row],[Keff]]*Games[[#This Row],[MOVMult]])*(Games[[#This Row],[Result]]-Games[[#This Row],[ExpectedWin%]])</f>
        <v>-6.9171828649748281</v>
      </c>
      <c r="AB278" s="4">
        <f>Games[[#This Row],[PreGmRate]]+Games[[#This Row],[RatingChange]]</f>
        <v>1365.6806506739399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38912</v>
      </c>
      <c r="B279" s="2">
        <v>2006</v>
      </c>
      <c r="C279" s="2">
        <f>COUNTIFS(Games[Team],Games[[#This Row],[Team]],Games[Season],Games[[#This Row],[Season]],Games[Date],"&lt;=" &amp; Games[[#This Row],[Date]])</f>
        <v>20</v>
      </c>
      <c r="D279" s="2" t="s">
        <v>23</v>
      </c>
      <c r="E279" s="2" t="s">
        <v>29</v>
      </c>
      <c r="F279" s="1" t="s">
        <v>81</v>
      </c>
      <c r="G279" s="1" t="s">
        <v>66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1542.9428091218851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1372.5978335389148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0.8121631341986888</v>
      </c>
      <c r="R279" s="1">
        <v>86</v>
      </c>
      <c r="S279" s="1">
        <v>66</v>
      </c>
      <c r="T279" s="1">
        <v>0</v>
      </c>
      <c r="U279" s="1">
        <f>Games[[#This Row],[PointsFor]]-Games[[#This Row],[PointsAgainst]]</f>
        <v>20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0.50342420559985335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</v>
      </c>
      <c r="Z279" s="4">
        <f>Games[[#This Row],[K]]*Games[[#This Row],[POMult]]</f>
        <v>73</v>
      </c>
      <c r="AA279" s="4">
        <f>(Games[[#This Row],[Keff]]*Games[[#This Row],[MOVMult]])*(Games[[#This Row],[Result]]-Games[[#This Row],[ExpectedWin%]])</f>
        <v>6.9029986212325678</v>
      </c>
      <c r="AB279" s="4">
        <f>Games[[#This Row],[PreGmRate]]+Games[[#This Row],[RatingChange]]</f>
        <v>1549.8458077431178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38913</v>
      </c>
      <c r="B280" s="2">
        <v>2006</v>
      </c>
      <c r="C280" s="2">
        <f>COUNTIFS(Games[Team],Games[[#This Row],[Team]],Games[Season],Games[[#This Row],[Season]],Games[Date],"&lt;=" &amp; Games[[#This Row],[Date]])</f>
        <v>21</v>
      </c>
      <c r="D280" s="2" t="s">
        <v>23</v>
      </c>
      <c r="E280" s="2" t="s">
        <v>29</v>
      </c>
      <c r="F280" s="1" t="s">
        <v>79</v>
      </c>
      <c r="G280" s="1" t="s">
        <v>64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0" s="2">
        <f>Games[[#This Row],[DaysOff]]-Games[[#This Row],[OppDaysOff]]</f>
        <v>5</v>
      </c>
      <c r="L280" s="2">
        <f>Games[[#This Row],[OppDaysOff]]-Games[[#This Row],[DaysOff]]</f>
        <v>-5</v>
      </c>
      <c r="M280" s="1">
        <f>MAX(-16, MIN(16, Games[[#This Row],[RestDiff]]*8))</f>
        <v>16</v>
      </c>
      <c r="N280" s="1">
        <f>MAX(-16, MIN(16, Games[[#This Row],[OppRestDiff]]*8))</f>
        <v>-16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1578.9724580025206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1356.2474970983233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0.72765787055122944</v>
      </c>
      <c r="R280" s="1">
        <v>65</v>
      </c>
      <c r="S280" s="1">
        <v>75</v>
      </c>
      <c r="T280" s="1">
        <v>0</v>
      </c>
      <c r="U280" s="1">
        <f>Games[[#This Row],[PointsFor]]-Games[[#This Row],[PointsAgainst]]</f>
        <v>-10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0.35688952759783044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72.849999999999994</v>
      </c>
      <c r="Z280" s="4">
        <f>Games[[#This Row],[K]]*Games[[#This Row],[POMult]]</f>
        <v>72.849999999999994</v>
      </c>
      <c r="AA280" s="4">
        <f>(Games[[#This Row],[Keff]]*Games[[#This Row],[MOVMult]])*(Games[[#This Row],[Result]]-Games[[#This Row],[ExpectedWin%]])</f>
        <v>-18.918669557141538</v>
      </c>
      <c r="AB280" s="4">
        <f>Games[[#This Row],[PreGmRate]]+Games[[#This Row],[RatingChange]]</f>
        <v>1560.053788445379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38913</v>
      </c>
      <c r="B281" s="2">
        <v>2006</v>
      </c>
      <c r="C281" s="2">
        <f>COUNTIFS(Games[Team],Games[[#This Row],[Team]],Games[Season],Games[[#This Row],[Season]],Games[Date],"&lt;=" &amp; Games[[#This Row],[Date]])</f>
        <v>21</v>
      </c>
      <c r="D281" s="2" t="s">
        <v>23</v>
      </c>
      <c r="E281" s="2" t="s">
        <v>29</v>
      </c>
      <c r="F281" s="1" t="s">
        <v>64</v>
      </c>
      <c r="G281" s="1" t="s">
        <v>79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1" s="2">
        <f>Games[[#This Row],[DaysOff]]-Games[[#This Row],[OppDaysOff]]</f>
        <v>-5</v>
      </c>
      <c r="L281" s="2">
        <f>Games[[#This Row],[OppDaysOff]]-Games[[#This Row],[DaysOff]]</f>
        <v>5</v>
      </c>
      <c r="M281" s="1">
        <f>MAX(-16, MIN(16, Games[[#This Row],[RestDiff]]*8))</f>
        <v>-16</v>
      </c>
      <c r="N281" s="1">
        <f>MAX(-16, MIN(16, Games[[#This Row],[OppRestDiff]]*8))</f>
        <v>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1356.2474970983233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1578.9724580025206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0.27234212944877068</v>
      </c>
      <c r="R281" s="1">
        <v>75</v>
      </c>
      <c r="S281" s="1">
        <v>65</v>
      </c>
      <c r="T281" s="1">
        <v>0</v>
      </c>
      <c r="U281" s="1">
        <f>Games[[#This Row],[PointsFor]]-Games[[#This Row],[PointsAgainst]]</f>
        <v>10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0.35688952759783044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72.849999999999994</v>
      </c>
      <c r="Z281" s="4">
        <f>Games[[#This Row],[K]]*Games[[#This Row],[POMult]]</f>
        <v>72.849999999999994</v>
      </c>
      <c r="AA281" s="4">
        <f>(Games[[#This Row],[Keff]]*Games[[#This Row],[MOVMult]])*(Games[[#This Row],[Result]]-Games[[#This Row],[ExpectedWin%]])</f>
        <v>18.918669557141538</v>
      </c>
      <c r="AB281" s="4">
        <f>Games[[#This Row],[PreGmRate]]+Games[[#This Row],[RatingChange]]</f>
        <v>1375.1661666554648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38913</v>
      </c>
      <c r="B282" s="2">
        <v>2006</v>
      </c>
      <c r="C282" s="2">
        <f>COUNTIFS(Games[Team],Games[[#This Row],[Team]],Games[Season],Games[[#This Row],[Season]],Games[Date],"&lt;=" &amp; Games[[#This Row],[Date]])</f>
        <v>20</v>
      </c>
      <c r="D282" s="2" t="s">
        <v>23</v>
      </c>
      <c r="E282" s="2" t="s">
        <v>29</v>
      </c>
      <c r="F282" s="1" t="s">
        <v>86</v>
      </c>
      <c r="G282" s="1" t="s">
        <v>45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2" s="2">
        <f>Games[[#This Row],[DaysOff]]-Games[[#This Row],[OppDaysOff]]</f>
        <v>1</v>
      </c>
      <c r="L282" s="2">
        <f>Games[[#This Row],[OppDaysOff]]-Games[[#This Row],[DaysOff]]</f>
        <v>-1</v>
      </c>
      <c r="M282" s="1">
        <f>MAX(-16, MIN(16, Games[[#This Row],[RestDiff]]*8))</f>
        <v>8</v>
      </c>
      <c r="N282" s="1">
        <f>MAX(-16, MIN(16, Games[[#This Row],[OppRestDiff]]*8))</f>
        <v>-8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1639.3272959052176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1592.9058968101899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0.4689857651719081</v>
      </c>
      <c r="R282" s="1">
        <v>63</v>
      </c>
      <c r="S282" s="1">
        <v>69</v>
      </c>
      <c r="T282" s="1">
        <v>0</v>
      </c>
      <c r="U282" s="1">
        <f>Games[[#This Row],[PointsFor]]-Games[[#This Row],[PointsAgainst]]</f>
        <v>-6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0.33819775046805967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73</v>
      </c>
      <c r="Z282" s="4">
        <f>Games[[#This Row],[K]]*Games[[#This Row],[POMult]]</f>
        <v>73</v>
      </c>
      <c r="AA282" s="4">
        <f>(Games[[#This Row],[Keff]]*Games[[#This Row],[MOVMult]])*(Games[[#This Row],[Result]]-Games[[#This Row],[ExpectedWin%]])</f>
        <v>-11.578524947135714</v>
      </c>
      <c r="AB282" s="4">
        <f>Games[[#This Row],[PreGmRate]]+Games[[#This Row],[RatingChange]]</f>
        <v>1627.7487709580819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38913</v>
      </c>
      <c r="B283" s="2">
        <v>2006</v>
      </c>
      <c r="C283" s="2">
        <f>COUNTIFS(Games[Team],Games[[#This Row],[Team]],Games[Season],Games[[#This Row],[Season]],Games[Date],"&lt;=" &amp; Games[[#This Row],[Date]])</f>
        <v>21</v>
      </c>
      <c r="D283" s="2" t="s">
        <v>23</v>
      </c>
      <c r="E283" s="2" t="s">
        <v>29</v>
      </c>
      <c r="F283" s="1" t="s">
        <v>45</v>
      </c>
      <c r="G283" s="1" t="s">
        <v>86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83" s="2">
        <f>Games[[#This Row],[DaysOff]]-Games[[#This Row],[OppDaysOff]]</f>
        <v>-1</v>
      </c>
      <c r="L283" s="2">
        <f>Games[[#This Row],[OppDaysOff]]-Games[[#This Row],[DaysOff]]</f>
        <v>1</v>
      </c>
      <c r="M283" s="1">
        <f>MAX(-16, MIN(16, Games[[#This Row],[RestDiff]]*8))</f>
        <v>-8</v>
      </c>
      <c r="N283" s="1">
        <f>MAX(-16, MIN(16, Games[[#This Row],[OppRestDiff]]*8))</f>
        <v>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1592.9058968101899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1639.3272959052176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0.53101423482809196</v>
      </c>
      <c r="R283" s="1">
        <v>69</v>
      </c>
      <c r="S283" s="1">
        <v>63</v>
      </c>
      <c r="T283" s="1">
        <v>0</v>
      </c>
      <c r="U283" s="1">
        <f>Games[[#This Row],[PointsFor]]-Games[[#This Row],[PointsAgainst]]</f>
        <v>6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0.33819775046805967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72.849999999999994</v>
      </c>
      <c r="Z283" s="4">
        <f>Games[[#This Row],[K]]*Games[[#This Row],[POMult]]</f>
        <v>72.849999999999994</v>
      </c>
      <c r="AA283" s="4">
        <f>(Games[[#This Row],[Keff]]*Games[[#This Row],[MOVMult]])*(Games[[#This Row],[Result]]-Games[[#This Row],[ExpectedWin%]])</f>
        <v>11.55473345751831</v>
      </c>
      <c r="AB283" s="4">
        <f>Games[[#This Row],[PreGmRate]]+Games[[#This Row],[RatingChange]]</f>
        <v>1604.4606302677082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38914</v>
      </c>
      <c r="B284" s="2">
        <v>2006</v>
      </c>
      <c r="C284" s="2">
        <f>COUNTIFS(Games[Team],Games[[#This Row],[Team]],Games[Season],Games[[#This Row],[Season]],Games[Date],"&lt;=" &amp; Games[[#This Row],[Date]])</f>
        <v>21</v>
      </c>
      <c r="D284" s="2" t="s">
        <v>23</v>
      </c>
      <c r="E284" s="2" t="s">
        <v>29</v>
      </c>
      <c r="F284" s="1" t="s">
        <v>73</v>
      </c>
      <c r="G284" s="1" t="s">
        <v>87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5</v>
      </c>
      <c r="L284" s="2">
        <f>Games[[#This Row],[OppDaysOff]]-Games[[#This Row],[DaysOff]]</f>
        <v>-5</v>
      </c>
      <c r="M284" s="1">
        <f>MAX(-16, MIN(16, Games[[#This Row],[RestDiff]]*8))</f>
        <v>16</v>
      </c>
      <c r="N284" s="1">
        <f>MAX(-16, MIN(16, Games[[#This Row],[OppRestDiff]]*8))</f>
        <v>-16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1492.9830630896058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1351.5451883790654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0.6259417525618528</v>
      </c>
      <c r="R284" s="1">
        <v>83</v>
      </c>
      <c r="S284" s="1">
        <v>75</v>
      </c>
      <c r="T284" s="1">
        <v>0</v>
      </c>
      <c r="U284" s="1">
        <f>Games[[#This Row],[PointsFor]]-Games[[#This Row],[PointsAgainst]]</f>
        <v>8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0.34737251034018768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72.849999999999994</v>
      </c>
      <c r="Z284" s="4">
        <f>Games[[#This Row],[K]]*Games[[#This Row],[POMult]]</f>
        <v>72.849999999999994</v>
      </c>
      <c r="AA284" s="4">
        <f>(Games[[#This Row],[Keff]]*Games[[#This Row],[MOVMult]])*(Games[[#This Row],[Result]]-Games[[#This Row],[ExpectedWin%]])</f>
        <v>9.4659506942370317</v>
      </c>
      <c r="AB284" s="4">
        <f>Games[[#This Row],[PreGmRate]]+Games[[#This Row],[RatingChange]]</f>
        <v>1502.4490137838429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38914</v>
      </c>
      <c r="B285" s="2">
        <v>2006</v>
      </c>
      <c r="C285" s="2">
        <f>COUNTIFS(Games[Team],Games[[#This Row],[Team]],Games[Season],Games[[#This Row],[Season]],Games[Date],"&lt;=" &amp; Games[[#This Row],[Date]])</f>
        <v>20</v>
      </c>
      <c r="D285" s="2" t="s">
        <v>23</v>
      </c>
      <c r="E285" s="2" t="s">
        <v>29</v>
      </c>
      <c r="F285" s="1" t="s">
        <v>87</v>
      </c>
      <c r="G285" s="1" t="s">
        <v>73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85" s="2">
        <f>Games[[#This Row],[DaysOff]]-Games[[#This Row],[OppDaysOff]]</f>
        <v>-5</v>
      </c>
      <c r="L285" s="2">
        <f>Games[[#This Row],[OppDaysOff]]-Games[[#This Row],[DaysOff]]</f>
        <v>5</v>
      </c>
      <c r="M285" s="1">
        <f>MAX(-16, MIN(16, Games[[#This Row],[RestDiff]]*8))</f>
        <v>-16</v>
      </c>
      <c r="N285" s="1">
        <f>MAX(-16, MIN(16, Games[[#This Row],[OppRestDiff]]*8))</f>
        <v>16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1351.5451883790654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1492.9830630896058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0.37405824743814714</v>
      </c>
      <c r="R285" s="1">
        <v>75</v>
      </c>
      <c r="S285" s="1">
        <v>83</v>
      </c>
      <c r="T285" s="1">
        <v>0</v>
      </c>
      <c r="U285" s="1">
        <f>Games[[#This Row],[PointsFor]]-Games[[#This Row],[PointsAgainst]]</f>
        <v>-8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0.34737251034018768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73</v>
      </c>
      <c r="Z285" s="4">
        <f>Games[[#This Row],[K]]*Games[[#This Row],[POMult]]</f>
        <v>73</v>
      </c>
      <c r="AA285" s="4">
        <f>(Games[[#This Row],[Keff]]*Games[[#This Row],[MOVMult]])*(Games[[#This Row],[Result]]-Games[[#This Row],[ExpectedWin%]])</f>
        <v>-9.4854413271009381</v>
      </c>
      <c r="AB285" s="4">
        <f>Games[[#This Row],[PreGmRate]]+Games[[#This Row],[RatingChange]]</f>
        <v>1342.0597470519645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38914</v>
      </c>
      <c r="B286" s="2">
        <v>2006</v>
      </c>
      <c r="C286" s="2">
        <f>COUNTIFS(Games[Team],Games[[#This Row],[Team]],Games[Season],Games[[#This Row],[Season]],Games[Date],"&lt;=" &amp; Games[[#This Row],[Date]])</f>
        <v>21</v>
      </c>
      <c r="D286" s="2" t="s">
        <v>23</v>
      </c>
      <c r="E286" s="2" t="s">
        <v>29</v>
      </c>
      <c r="F286" s="1" t="s">
        <v>84</v>
      </c>
      <c r="G286" s="1" t="s">
        <v>75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86" s="2">
        <f>Games[[#This Row],[DaysOff]]-Games[[#This Row],[OppDaysOff]]</f>
        <v>-5</v>
      </c>
      <c r="L286" s="2">
        <f>Games[[#This Row],[OppDaysOff]]-Games[[#This Row],[DaysOff]]</f>
        <v>5</v>
      </c>
      <c r="M286" s="1">
        <f>MAX(-16, MIN(16, Games[[#This Row],[RestDiff]]*8))</f>
        <v>-16</v>
      </c>
      <c r="N286" s="1">
        <f>MAX(-16, MIN(16, Games[[#This Row],[OppRestDiff]]*8))</f>
        <v>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1464.5622257144189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1562.1768016332167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0.22624017853666412</v>
      </c>
      <c r="R286" s="1">
        <v>67</v>
      </c>
      <c r="S286" s="1">
        <v>77</v>
      </c>
      <c r="T286" s="1">
        <v>0</v>
      </c>
      <c r="U286" s="1">
        <f>Games[[#This Row],[PointsFor]]-Games[[#This Row],[PointsAgainst]]</f>
        <v>-10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0.39129927223514416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72.849999999999994</v>
      </c>
      <c r="Z286" s="4">
        <f>Games[[#This Row],[K]]*Games[[#This Row],[POMult]]</f>
        <v>72.849999999999994</v>
      </c>
      <c r="AA286" s="4">
        <f>(Games[[#This Row],[Keff]]*Games[[#This Row],[MOVMult]])*(Games[[#This Row],[Result]]-Games[[#This Row],[ExpectedWin%]])</f>
        <v>-6.4492369138756773</v>
      </c>
      <c r="AB286" s="4">
        <f>Games[[#This Row],[PreGmRate]]+Games[[#This Row],[RatingChange]]</f>
        <v>1458.1129888005432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38914</v>
      </c>
      <c r="B287" s="2">
        <v>2006</v>
      </c>
      <c r="C287" s="2">
        <f>COUNTIFS(Games[Team],Games[[#This Row],[Team]],Games[Season],Games[[#This Row],[Season]],Games[Date],"&lt;=" &amp; Games[[#This Row],[Date]])</f>
        <v>20</v>
      </c>
      <c r="D287" s="2" t="s">
        <v>23</v>
      </c>
      <c r="E287" s="2" t="s">
        <v>29</v>
      </c>
      <c r="F287" s="1" t="s">
        <v>75</v>
      </c>
      <c r="G287" s="1" t="s">
        <v>84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5</v>
      </c>
      <c r="L287" s="2">
        <f>Games[[#This Row],[OppDaysOff]]-Games[[#This Row],[DaysOff]]</f>
        <v>-5</v>
      </c>
      <c r="M287" s="1">
        <f>MAX(-16, MIN(16, Games[[#This Row],[RestDiff]]*8))</f>
        <v>16</v>
      </c>
      <c r="N287" s="1">
        <f>MAX(-16, MIN(16, Games[[#This Row],[OppRestDiff]]*8))</f>
        <v>-16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1562.1768016332167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1464.5622257144189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0.77375982146333599</v>
      </c>
      <c r="R287" s="1">
        <v>77</v>
      </c>
      <c r="S287" s="1">
        <v>67</v>
      </c>
      <c r="T287" s="1">
        <v>0</v>
      </c>
      <c r="U287" s="1">
        <f>Games[[#This Row],[PointsFor]]-Games[[#This Row],[PointsAgainst]]</f>
        <v>10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0.39129927223514416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73</v>
      </c>
      <c r="Z287" s="4">
        <f>Games[[#This Row],[K]]*Games[[#This Row],[POMult]]</f>
        <v>73</v>
      </c>
      <c r="AA287" s="4">
        <f>(Games[[#This Row],[Keff]]*Games[[#This Row],[MOVMult]])*(Games[[#This Row],[Result]]-Games[[#This Row],[ExpectedWin%]])</f>
        <v>6.4625160564574369</v>
      </c>
      <c r="AB287" s="4">
        <f>Games[[#This Row],[PreGmRate]]+Games[[#This Row],[RatingChange]]</f>
        <v>1568.639317689674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38914</v>
      </c>
      <c r="B288" s="2">
        <v>2006</v>
      </c>
      <c r="C288" s="2">
        <f>COUNTIFS(Games[Team],Games[[#This Row],[Team]],Games[Season],Games[[#This Row],[Season]],Games[Date],"&lt;=" &amp; Games[[#This Row],[Date]])</f>
        <v>23</v>
      </c>
      <c r="D288" s="2" t="s">
        <v>23</v>
      </c>
      <c r="E288" s="2" t="s">
        <v>29</v>
      </c>
      <c r="F288" s="1" t="s">
        <v>2</v>
      </c>
      <c r="G288" s="1" t="s">
        <v>79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1538.0860871416894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1560.053788445379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0.37334441630797638</v>
      </c>
      <c r="R288" s="1">
        <v>56</v>
      </c>
      <c r="S288" s="1">
        <v>60</v>
      </c>
      <c r="T288" s="1">
        <v>0</v>
      </c>
      <c r="U288" s="1">
        <f>Games[[#This Row],[PointsFor]]-Games[[#This Row],[PointsAgainst]]</f>
        <v>-4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0.30583400975814873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72.55</v>
      </c>
      <c r="Z288" s="4">
        <f>Games[[#This Row],[K]]*Games[[#This Row],[POMult]]</f>
        <v>72.55</v>
      </c>
      <c r="AA288" s="4">
        <f>(Games[[#This Row],[Keff]]*Games[[#This Row],[MOVMult]])*(Games[[#This Row],[Result]]-Games[[#This Row],[ExpectedWin%]])</f>
        <v>-8.2838620108636025</v>
      </c>
      <c r="AB288" s="4">
        <f>Games[[#This Row],[PreGmRate]]+Games[[#This Row],[RatingChange]]</f>
        <v>1529.8022251308257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38914</v>
      </c>
      <c r="B289" s="2">
        <v>2006</v>
      </c>
      <c r="C289" s="2">
        <f>COUNTIFS(Games[Team],Games[[#This Row],[Team]],Games[Season],Games[[#This Row],[Season]],Games[Date],"&lt;=" &amp; Games[[#This Row],[Date]])</f>
        <v>22</v>
      </c>
      <c r="D289" s="2" t="s">
        <v>23</v>
      </c>
      <c r="E289" s="2" t="s">
        <v>29</v>
      </c>
      <c r="F289" s="1" t="s">
        <v>79</v>
      </c>
      <c r="G289" s="1" t="s">
        <v>2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1560.053788445379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1538.0860871416894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0.62665558369202357</v>
      </c>
      <c r="R289" s="1">
        <v>60</v>
      </c>
      <c r="S289" s="1">
        <v>56</v>
      </c>
      <c r="T289" s="1">
        <v>0</v>
      </c>
      <c r="U289" s="1">
        <f>Games[[#This Row],[PointsFor]]-Games[[#This Row],[PointsAgainst]]</f>
        <v>4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0.30583400975814873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72.7</v>
      </c>
      <c r="Z289" s="4">
        <f>Games[[#This Row],[K]]*Games[[#This Row],[POMult]]</f>
        <v>72.7</v>
      </c>
      <c r="AA289" s="4">
        <f>(Games[[#This Row],[Keff]]*Games[[#This Row],[MOVMult]])*(Games[[#This Row],[Result]]-Games[[#This Row],[ExpectedWin%]])</f>
        <v>8.300989223842647</v>
      </c>
      <c r="AB289" s="4">
        <f>Games[[#This Row],[PreGmRate]]+Games[[#This Row],[RatingChange]]</f>
        <v>1568.3547776692217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38914</v>
      </c>
      <c r="B290" s="2">
        <v>2006</v>
      </c>
      <c r="C290" s="2">
        <f>COUNTIFS(Games[Team],Games[[#This Row],[Team]],Games[Season],Games[[#This Row],[Season]],Games[Date],"&lt;=" &amp; Games[[#This Row],[Date]])</f>
        <v>23</v>
      </c>
      <c r="D290" s="2" t="s">
        <v>23</v>
      </c>
      <c r="E290" s="2" t="s">
        <v>29</v>
      </c>
      <c r="F290" s="1" t="s">
        <v>70</v>
      </c>
      <c r="G290" s="1" t="s">
        <v>77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90" s="2">
        <f>Games[[#This Row],[DaysOff]]-Games[[#This Row],[OppDaysOff]]</f>
        <v>-5</v>
      </c>
      <c r="L290" s="2">
        <f>Games[[#This Row],[OppDaysOff]]-Games[[#This Row],[DaysOff]]</f>
        <v>5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1599.2014636460624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1429.1492942722821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0.57716576706831368</v>
      </c>
      <c r="R290" s="1">
        <v>90</v>
      </c>
      <c r="S290" s="1">
        <v>78</v>
      </c>
      <c r="T290" s="1">
        <v>0</v>
      </c>
      <c r="U290" s="1">
        <f>Games[[#This Row],[PointsFor]]-Games[[#This Row],[PointsAgainst]]</f>
        <v>12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0.39951422575538315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72.55</v>
      </c>
      <c r="Z290" s="4">
        <f>Games[[#This Row],[K]]*Games[[#This Row],[POMult]]</f>
        <v>72.55</v>
      </c>
      <c r="AA290" s="4">
        <f>(Games[[#This Row],[Keff]]*Games[[#This Row],[MOVMult]])*(Games[[#This Row],[Result]]-Games[[#This Row],[ExpectedWin%]])</f>
        <v>12.255747526021242</v>
      </c>
      <c r="AB290" s="4">
        <f>Games[[#This Row],[PreGmRate]]+Games[[#This Row],[RatingChange]]</f>
        <v>1611.4572111720836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38914</v>
      </c>
      <c r="B291" s="2">
        <v>2006</v>
      </c>
      <c r="C291" s="2">
        <f>COUNTIFS(Games[Team],Games[[#This Row],[Team]],Games[Season],Games[[#This Row],[Season]],Games[Date],"&lt;=" &amp; Games[[#This Row],[Date]])</f>
        <v>20</v>
      </c>
      <c r="D291" s="2" t="s">
        <v>23</v>
      </c>
      <c r="E291" s="2" t="s">
        <v>29</v>
      </c>
      <c r="F291" s="1" t="s">
        <v>77</v>
      </c>
      <c r="G291" s="1" t="s">
        <v>70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6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5</v>
      </c>
      <c r="L291" s="2">
        <f>Games[[#This Row],[OppDaysOff]]-Games[[#This Row],[DaysOff]]</f>
        <v>-5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1429.1492942722821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1599.2014636460624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0.42283423293168632</v>
      </c>
      <c r="R291" s="1">
        <v>78</v>
      </c>
      <c r="S291" s="1">
        <v>90</v>
      </c>
      <c r="T291" s="1">
        <v>0</v>
      </c>
      <c r="U291" s="1">
        <f>Games[[#This Row],[PointsFor]]-Games[[#This Row],[PointsAgainst]]</f>
        <v>-12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0.39951422575538315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73</v>
      </c>
      <c r="Z291" s="4">
        <f>Games[[#This Row],[K]]*Games[[#This Row],[POMult]]</f>
        <v>73</v>
      </c>
      <c r="AA291" s="4">
        <f>(Games[[#This Row],[Keff]]*Games[[#This Row],[MOVMult]])*(Games[[#This Row],[Result]]-Games[[#This Row],[ExpectedWin%]])</f>
        <v>-12.331765257057901</v>
      </c>
      <c r="AB291" s="4">
        <f>Games[[#This Row],[PreGmRate]]+Games[[#This Row],[RatingChange]]</f>
        <v>1416.8175290152242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38914</v>
      </c>
      <c r="B292" s="2">
        <v>2006</v>
      </c>
      <c r="C292" s="2">
        <f>COUNTIFS(Games[Team],Games[[#This Row],[Team]],Games[Season],Games[[#This Row],[Season]],Games[Date],"&lt;=" &amp; Games[[#This Row],[Date]])</f>
        <v>20</v>
      </c>
      <c r="D292" s="2" t="s">
        <v>23</v>
      </c>
      <c r="E292" s="2" t="s">
        <v>29</v>
      </c>
      <c r="F292" s="1" t="s">
        <v>66</v>
      </c>
      <c r="G292" s="1" t="s">
        <v>44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1365.6806506739399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1484.1146765315095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0.23770487047302422</v>
      </c>
      <c r="R292" s="1">
        <v>70</v>
      </c>
      <c r="S292" s="1">
        <v>80</v>
      </c>
      <c r="T292" s="1">
        <v>0</v>
      </c>
      <c r="U292" s="1">
        <f>Games[[#This Row],[PointsFor]]-Games[[#This Row],[PointsAgainst]]</f>
        <v>-10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0.38512024814322682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73</v>
      </c>
      <c r="Z292" s="4">
        <f>Games[[#This Row],[K]]*Games[[#This Row],[POMult]]</f>
        <v>73</v>
      </c>
      <c r="AA292" s="4">
        <f>(Games[[#This Row],[Keff]]*Games[[#This Row],[MOVMult]])*(Games[[#This Row],[Result]]-Games[[#This Row],[ExpectedWin%]])</f>
        <v>-6.6827819852040014</v>
      </c>
      <c r="AB292" s="4">
        <f>Games[[#This Row],[PreGmRate]]+Games[[#This Row],[RatingChange]]</f>
        <v>1358.9978686887359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38914</v>
      </c>
      <c r="B293" s="2">
        <v>2006</v>
      </c>
      <c r="C293" s="2">
        <f>COUNTIFS(Games[Team],Games[[#This Row],[Team]],Games[Season],Games[[#This Row],[Season]],Games[Date],"&lt;=" &amp; Games[[#This Row],[Date]])</f>
        <v>20</v>
      </c>
      <c r="D293" s="2" t="s">
        <v>23</v>
      </c>
      <c r="E293" s="2" t="s">
        <v>29</v>
      </c>
      <c r="F293" s="1" t="s">
        <v>44</v>
      </c>
      <c r="G293" s="1" t="s">
        <v>66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1484.1146765315095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1365.6806506739399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0.76229512952697576</v>
      </c>
      <c r="R293" s="1">
        <v>80</v>
      </c>
      <c r="S293" s="1">
        <v>70</v>
      </c>
      <c r="T293" s="1">
        <v>0</v>
      </c>
      <c r="U293" s="1">
        <f>Games[[#This Row],[PointsFor]]-Games[[#This Row],[PointsAgainst]]</f>
        <v>10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0.38512024814322682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73</v>
      </c>
      <c r="Z293" s="4">
        <f>Games[[#This Row],[K]]*Games[[#This Row],[POMult]]</f>
        <v>73</v>
      </c>
      <c r="AA293" s="4">
        <f>(Games[[#This Row],[Keff]]*Games[[#This Row],[MOVMult]])*(Games[[#This Row],[Result]]-Games[[#This Row],[ExpectedWin%]])</f>
        <v>6.6827819852040014</v>
      </c>
      <c r="AB293" s="4">
        <f>Games[[#This Row],[PreGmRate]]+Games[[#This Row],[RatingChange]]</f>
        <v>1490.7974585167135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38914</v>
      </c>
      <c r="B294" s="2">
        <v>2006</v>
      </c>
      <c r="C294" s="2">
        <f>COUNTIFS(Games[Team],Games[[#This Row],[Team]],Games[Season],Games[[#This Row],[Season]],Games[Date],"&lt;=" &amp; Games[[#This Row],[Date]])</f>
        <v>21</v>
      </c>
      <c r="D294" s="2" t="s">
        <v>23</v>
      </c>
      <c r="E294" s="2" t="s">
        <v>29</v>
      </c>
      <c r="F294" s="1" t="s">
        <v>86</v>
      </c>
      <c r="G294" s="1" t="s">
        <v>81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1627.7487709580819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1549.8458077431178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0.46824261590323413</v>
      </c>
      <c r="R294" s="1">
        <v>92</v>
      </c>
      <c r="S294" s="1">
        <v>83</v>
      </c>
      <c r="T294" s="1">
        <v>0</v>
      </c>
      <c r="U294" s="1">
        <f>Games[[#This Row],[PointsFor]]-Games[[#This Row],[PointsAgainst]]</f>
        <v>9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0.38122286793284649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72.849999999999994</v>
      </c>
      <c r="Z294" s="4">
        <f>Games[[#This Row],[K]]*Games[[#This Row],[POMult]]</f>
        <v>72.849999999999994</v>
      </c>
      <c r="AA294" s="4">
        <f>(Games[[#This Row],[Keff]]*Games[[#This Row],[MOVMult]])*(Games[[#This Row],[Result]]-Games[[#This Row],[ExpectedWin%]])</f>
        <v>14.768011764466646</v>
      </c>
      <c r="AB294" s="4">
        <f>Games[[#This Row],[PreGmRate]]+Games[[#This Row],[RatingChange]]</f>
        <v>1642.5167827225484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38914</v>
      </c>
      <c r="B295" s="2">
        <v>2006</v>
      </c>
      <c r="C295" s="2">
        <f>COUNTIFS(Games[Team],Games[[#This Row],[Team]],Games[Season],Games[[#This Row],[Season]],Games[Date],"&lt;=" &amp; Games[[#This Row],[Date]])</f>
        <v>21</v>
      </c>
      <c r="D295" s="2" t="s">
        <v>23</v>
      </c>
      <c r="E295" s="2" t="s">
        <v>29</v>
      </c>
      <c r="F295" s="1" t="s">
        <v>81</v>
      </c>
      <c r="G295" s="1" t="s">
        <v>86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1549.8458077431178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1627.7487709580819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0.53175738409676587</v>
      </c>
      <c r="R295" s="1">
        <v>83</v>
      </c>
      <c r="S295" s="1">
        <v>92</v>
      </c>
      <c r="T295" s="1">
        <v>0</v>
      </c>
      <c r="U295" s="1">
        <f>Games[[#This Row],[PointsFor]]-Games[[#This Row],[PointsAgainst]]</f>
        <v>-9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0.38122286793284649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72.849999999999994</v>
      </c>
      <c r="Z295" s="4">
        <f>Games[[#This Row],[K]]*Games[[#This Row],[POMult]]</f>
        <v>72.849999999999994</v>
      </c>
      <c r="AA295" s="4">
        <f>(Games[[#This Row],[Keff]]*Games[[#This Row],[MOVMult]])*(Games[[#This Row],[Result]]-Games[[#This Row],[ExpectedWin%]])</f>
        <v>-14.768011764466646</v>
      </c>
      <c r="AB295" s="4">
        <f>Games[[#This Row],[PreGmRate]]+Games[[#This Row],[RatingChange]]</f>
        <v>1535.0777959786512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38916</v>
      </c>
      <c r="B296" s="2">
        <v>2006</v>
      </c>
      <c r="C296" s="2">
        <f>COUNTIFS(Games[Team],Games[[#This Row],[Team]],Games[Season],Games[[#This Row],[Season]],Games[Date],"&lt;=" &amp; Games[[#This Row],[Date]])</f>
        <v>21</v>
      </c>
      <c r="D296" s="2" t="s">
        <v>23</v>
      </c>
      <c r="E296" s="2" t="s">
        <v>29</v>
      </c>
      <c r="F296" s="1" t="s">
        <v>44</v>
      </c>
      <c r="G296" s="1" t="s">
        <v>79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1490.7974585167135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1568.3547776692217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0.28292498091441304</v>
      </c>
      <c r="R296" s="1">
        <v>65</v>
      </c>
      <c r="S296" s="1">
        <v>71</v>
      </c>
      <c r="T296" s="1">
        <v>0</v>
      </c>
      <c r="U296" s="1">
        <f>Games[[#This Row],[PointsFor]]-Games[[#This Row],[PointsAgainst]]</f>
        <v>-6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0.32995538203234942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72.849999999999994</v>
      </c>
      <c r="Z296" s="4">
        <f>Games[[#This Row],[K]]*Games[[#This Row],[POMult]]</f>
        <v>72.849999999999994</v>
      </c>
      <c r="AA296" s="4">
        <f>(Games[[#This Row],[Keff]]*Games[[#This Row],[MOVMult]])*(Games[[#This Row],[Result]]-Games[[#This Row],[ExpectedWin%]])</f>
        <v>-6.8007383789554359</v>
      </c>
      <c r="AB296" s="4">
        <f>Games[[#This Row],[PreGmRate]]+Games[[#This Row],[RatingChange]]</f>
        <v>1483.9967201377581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38916</v>
      </c>
      <c r="B297" s="2">
        <v>2006</v>
      </c>
      <c r="C297" s="2">
        <f>COUNTIFS(Games[Team],Games[[#This Row],[Team]],Games[Season],Games[[#This Row],[Season]],Games[Date],"&lt;=" &amp; Games[[#This Row],[Date]])</f>
        <v>23</v>
      </c>
      <c r="D297" s="2" t="s">
        <v>23</v>
      </c>
      <c r="E297" s="2" t="s">
        <v>29</v>
      </c>
      <c r="F297" s="1" t="s">
        <v>79</v>
      </c>
      <c r="G297" s="1" t="s">
        <v>44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1568.3547776692217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1490.7974585167135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0.71707501908558691</v>
      </c>
      <c r="R297" s="1">
        <v>71</v>
      </c>
      <c r="S297" s="1">
        <v>65</v>
      </c>
      <c r="T297" s="1">
        <v>0</v>
      </c>
      <c r="U297" s="1">
        <f>Games[[#This Row],[PointsFor]]-Games[[#This Row],[PointsAgainst]]</f>
        <v>6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0.32995538203234942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72.55</v>
      </c>
      <c r="Z297" s="4">
        <f>Games[[#This Row],[K]]*Games[[#This Row],[POMult]]</f>
        <v>72.55</v>
      </c>
      <c r="AA297" s="4">
        <f>(Games[[#This Row],[Keff]]*Games[[#This Row],[MOVMult]])*(Games[[#This Row],[Result]]-Games[[#This Row],[ExpectedWin%]])</f>
        <v>6.7727325929062046</v>
      </c>
      <c r="AB297" s="4">
        <f>Games[[#This Row],[PreGmRate]]+Games[[#This Row],[RatingChange]]</f>
        <v>1575.1275102621278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38916</v>
      </c>
      <c r="B298" s="2">
        <v>2006</v>
      </c>
      <c r="C298" s="2">
        <f>COUNTIFS(Games[Team],Games[[#This Row],[Team]],Games[Season],Games[[#This Row],[Season]],Games[Date],"&lt;=" &amp; Games[[#This Row],[Date]])</f>
        <v>21</v>
      </c>
      <c r="D298" s="2" t="s">
        <v>23</v>
      </c>
      <c r="E298" s="2" t="s">
        <v>29</v>
      </c>
      <c r="F298" s="1" t="s">
        <v>66</v>
      </c>
      <c r="G298" s="1" t="s">
        <v>70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1358.9978686887359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1611.4572111720836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0.12599810617696008</v>
      </c>
      <c r="R298" s="1">
        <v>62</v>
      </c>
      <c r="S298" s="1">
        <v>70</v>
      </c>
      <c r="T298" s="1">
        <v>0</v>
      </c>
      <c r="U298" s="1">
        <f>Games[[#This Row],[PointsFor]]-Games[[#This Row],[PointsAgainst]]</f>
        <v>-8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0.32082043770457486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72.849999999999994</v>
      </c>
      <c r="Z298" s="4">
        <f>Games[[#This Row],[K]]*Games[[#This Row],[POMult]]</f>
        <v>72.849999999999994</v>
      </c>
      <c r="AA298" s="4">
        <f>(Games[[#This Row],[Keff]]*Games[[#This Row],[MOVMult]])*(Games[[#This Row],[Result]]-Games[[#This Row],[ExpectedWin%]])</f>
        <v>-2.9447986177396617</v>
      </c>
      <c r="AB298" s="4">
        <f>Games[[#This Row],[PreGmRate]]+Games[[#This Row],[RatingChange]]</f>
        <v>1356.0530700709962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38916</v>
      </c>
      <c r="B299" s="2">
        <v>2006</v>
      </c>
      <c r="C299" s="2">
        <f>COUNTIFS(Games[Team],Games[[#This Row],[Team]],Games[Season],Games[[#This Row],[Season]],Games[Date],"&lt;=" &amp; Games[[#This Row],[Date]])</f>
        <v>24</v>
      </c>
      <c r="D299" s="2" t="s">
        <v>23</v>
      </c>
      <c r="E299" s="2" t="s">
        <v>29</v>
      </c>
      <c r="F299" s="1" t="s">
        <v>70</v>
      </c>
      <c r="G299" s="1" t="s">
        <v>66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1611.4572111720836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1358.9978686887359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0.87400189382303983</v>
      </c>
      <c r="R299" s="1">
        <v>70</v>
      </c>
      <c r="S299" s="1">
        <v>62</v>
      </c>
      <c r="T299" s="1">
        <v>0</v>
      </c>
      <c r="U299" s="1">
        <f>Games[[#This Row],[PointsFor]]-Games[[#This Row],[PointsAgainst]]</f>
        <v>8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0.32082043770457486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72.400000000000006</v>
      </c>
      <c r="Z299" s="4">
        <f>Games[[#This Row],[K]]*Games[[#This Row],[POMult]]</f>
        <v>72.400000000000006</v>
      </c>
      <c r="AA299" s="4">
        <f>(Games[[#This Row],[Keff]]*Games[[#This Row],[MOVMult]])*(Games[[#This Row],[Result]]-Games[[#This Row],[ExpectedWin%]])</f>
        <v>2.9266083723315259</v>
      </c>
      <c r="AB299" s="4">
        <f>Games[[#This Row],[PreGmRate]]+Games[[#This Row],[RatingChange]]</f>
        <v>1614.383819544415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38916</v>
      </c>
      <c r="B300" s="2">
        <v>2006</v>
      </c>
      <c r="C300" s="2">
        <f>COUNTIFS(Games[Team],Games[[#This Row],[Team]],Games[Season],Games[[#This Row],[Season]],Games[Date],"&lt;=" &amp; Games[[#This Row],[Date]])</f>
        <v>24</v>
      </c>
      <c r="D300" s="2" t="s">
        <v>23</v>
      </c>
      <c r="E300" s="2" t="s">
        <v>29</v>
      </c>
      <c r="F300" s="1" t="s">
        <v>2</v>
      </c>
      <c r="G300" s="1" t="s">
        <v>84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1529.8022251308257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1458.1129888005432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0.4822907976923872</v>
      </c>
      <c r="R300" s="1">
        <v>64</v>
      </c>
      <c r="S300" s="1">
        <v>67</v>
      </c>
      <c r="T300" s="1">
        <v>0</v>
      </c>
      <c r="U300" s="1">
        <f>Games[[#This Row],[PointsFor]]-Games[[#This Row],[PointsAgainst]]</f>
        <v>-3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0.27382493723333684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72.400000000000006</v>
      </c>
      <c r="Z300" s="4">
        <f>Games[[#This Row],[K]]*Games[[#This Row],[POMult]]</f>
        <v>72.400000000000006</v>
      </c>
      <c r="AA300" s="4">
        <f>(Games[[#This Row],[Keff]]*Games[[#This Row],[MOVMult]])*(Games[[#This Row],[Result]]-Games[[#This Row],[ExpectedWin%]])</f>
        <v>-9.5613791122185727</v>
      </c>
      <c r="AB300" s="4">
        <f>Games[[#This Row],[PreGmRate]]+Games[[#This Row],[RatingChange]]</f>
        <v>1520.240846018607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38916</v>
      </c>
      <c r="B301" s="2">
        <v>2006</v>
      </c>
      <c r="C301" s="2">
        <f>COUNTIFS(Games[Team],Games[[#This Row],[Team]],Games[Season],Games[[#This Row],[Season]],Games[Date],"&lt;=" &amp; Games[[#This Row],[Date]])</f>
        <v>22</v>
      </c>
      <c r="D301" s="2" t="s">
        <v>23</v>
      </c>
      <c r="E301" s="2" t="s">
        <v>29</v>
      </c>
      <c r="F301" s="1" t="s">
        <v>84</v>
      </c>
      <c r="G301" s="1" t="s">
        <v>2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1458.1129888005432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1529.8022251308257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0.51770920230761286</v>
      </c>
      <c r="R301" s="1">
        <v>67</v>
      </c>
      <c r="S301" s="1">
        <v>64</v>
      </c>
      <c r="T301" s="1">
        <v>0</v>
      </c>
      <c r="U301" s="1">
        <f>Games[[#This Row],[PointsFor]]-Games[[#This Row],[PointsAgainst]]</f>
        <v>3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0.27382493723333684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72.7</v>
      </c>
      <c r="Z301" s="4">
        <f>Games[[#This Row],[K]]*Games[[#This Row],[POMult]]</f>
        <v>72.7</v>
      </c>
      <c r="AA301" s="4">
        <f>(Games[[#This Row],[Keff]]*Games[[#This Row],[MOVMult]])*(Games[[#This Row],[Result]]-Games[[#This Row],[ExpectedWin%]])</f>
        <v>9.6009980864404714</v>
      </c>
      <c r="AB301" s="4">
        <f>Games[[#This Row],[PreGmRate]]+Games[[#This Row],[RatingChange]]</f>
        <v>1467.7139868869838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38916</v>
      </c>
      <c r="B302" s="2">
        <v>2006</v>
      </c>
      <c r="C302" s="2">
        <f>COUNTIFS(Games[Team],Games[[#This Row],[Team]],Games[Season],Games[[#This Row],[Season]],Games[Date],"&lt;=" &amp; Games[[#This Row],[Date]])</f>
        <v>22</v>
      </c>
      <c r="D302" s="2" t="s">
        <v>23</v>
      </c>
      <c r="E302" s="2" t="s">
        <v>29</v>
      </c>
      <c r="F302" s="1" t="s">
        <v>45</v>
      </c>
      <c r="G302" s="1" t="s">
        <v>81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1</v>
      </c>
      <c r="L302" s="2">
        <f>Games[[#This Row],[OppDaysOff]]-Games[[#This Row],[DaysOff]]</f>
        <v>-1</v>
      </c>
      <c r="M302" s="1">
        <f>MAX(-16, MIN(16, Games[[#This Row],[RestDiff]]*8))</f>
        <v>8</v>
      </c>
      <c r="N302" s="1">
        <f>MAX(-16, MIN(16, Games[[#This Row],[OppRestDiff]]*8))</f>
        <v>-8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1604.4606302677082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1535.0777959786512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0.5019900480042141</v>
      </c>
      <c r="R302" s="1">
        <v>74</v>
      </c>
      <c r="S302" s="1">
        <v>61</v>
      </c>
      <c r="T302" s="1">
        <v>0</v>
      </c>
      <c r="U302" s="1">
        <f>Games[[#This Row],[PointsFor]]-Games[[#This Row],[PointsAgainst]]</f>
        <v>13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0.44624245064271256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72.7</v>
      </c>
      <c r="Z302" s="4">
        <f>Games[[#This Row],[K]]*Games[[#This Row],[POMult]]</f>
        <v>72.7</v>
      </c>
      <c r="AA302" s="4">
        <f>(Games[[#This Row],[Keff]]*Games[[#This Row],[MOVMult]])*(Games[[#This Row],[Result]]-Games[[#This Row],[ExpectedWin%]])</f>
        <v>16.1563522894564</v>
      </c>
      <c r="AB302" s="4">
        <f>Games[[#This Row],[PreGmRate]]+Games[[#This Row],[RatingChange]]</f>
        <v>1620.6169825571646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38916</v>
      </c>
      <c r="B303" s="2">
        <v>2006</v>
      </c>
      <c r="C303" s="2">
        <f>COUNTIFS(Games[Team],Games[[#This Row],[Team]],Games[Season],Games[[#This Row],[Season]],Games[Date],"&lt;=" &amp; Games[[#This Row],[Date]])</f>
        <v>22</v>
      </c>
      <c r="D303" s="2" t="s">
        <v>23</v>
      </c>
      <c r="E303" s="2" t="s">
        <v>29</v>
      </c>
      <c r="F303" s="1" t="s">
        <v>81</v>
      </c>
      <c r="G303" s="1" t="s">
        <v>45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3" s="2">
        <f>Games[[#This Row],[DaysOff]]-Games[[#This Row],[OppDaysOff]]</f>
        <v>-1</v>
      </c>
      <c r="L303" s="2">
        <f>Games[[#This Row],[OppDaysOff]]-Games[[#This Row],[DaysOff]]</f>
        <v>1</v>
      </c>
      <c r="M303" s="1">
        <f>MAX(-16, MIN(16, Games[[#This Row],[RestDiff]]*8))</f>
        <v>-8</v>
      </c>
      <c r="N303" s="1">
        <f>MAX(-16, MIN(16, Games[[#This Row],[OppRestDiff]]*8))</f>
        <v>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1535.0777959786512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1604.4606302677082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0.4980099519957859</v>
      </c>
      <c r="R303" s="1">
        <v>61</v>
      </c>
      <c r="S303" s="1">
        <v>74</v>
      </c>
      <c r="T303" s="1">
        <v>0</v>
      </c>
      <c r="U303" s="1">
        <f>Games[[#This Row],[PointsFor]]-Games[[#This Row],[PointsAgainst]]</f>
        <v>-13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0.44624245064271256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72.7</v>
      </c>
      <c r="Z303" s="4">
        <f>Games[[#This Row],[K]]*Games[[#This Row],[POMult]]</f>
        <v>72.7</v>
      </c>
      <c r="AA303" s="4">
        <f>(Games[[#This Row],[Keff]]*Games[[#This Row],[MOVMult]])*(Games[[#This Row],[Result]]-Games[[#This Row],[ExpectedWin%]])</f>
        <v>-16.1563522894564</v>
      </c>
      <c r="AB303" s="4">
        <f>Games[[#This Row],[PreGmRate]]+Games[[#This Row],[RatingChange]]</f>
        <v>1518.9214436891948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38917</v>
      </c>
      <c r="B304" s="2">
        <v>2006</v>
      </c>
      <c r="C304" s="2">
        <f>COUNTIFS(Games[Team],Games[[#This Row],[Team]],Games[Season],Games[[#This Row],[Season]],Games[Date],"&lt;=" &amp; Games[[#This Row],[Date]])</f>
        <v>22</v>
      </c>
      <c r="D304" s="2" t="s">
        <v>23</v>
      </c>
      <c r="E304" s="2" t="s">
        <v>29</v>
      </c>
      <c r="F304" s="1" t="s">
        <v>64</v>
      </c>
      <c r="G304" s="1" t="s">
        <v>75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1</v>
      </c>
      <c r="L304" s="2">
        <f>Games[[#This Row],[OppDaysOff]]-Games[[#This Row],[DaysOff]]</f>
        <v>-1</v>
      </c>
      <c r="M304" s="1">
        <f>MAX(-16, MIN(16, Games[[#This Row],[RestDiff]]*8))</f>
        <v>8</v>
      </c>
      <c r="N304" s="1">
        <f>MAX(-16, MIN(16, Games[[#This Row],[OppRestDiff]]*8))</f>
        <v>-8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1375.1661666554648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1568.639317689674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0.18165712205902546</v>
      </c>
      <c r="R304" s="1">
        <v>73</v>
      </c>
      <c r="S304" s="1">
        <v>67</v>
      </c>
      <c r="T304" s="1">
        <v>0</v>
      </c>
      <c r="U304" s="1">
        <f>Games[[#This Row],[PointsFor]]-Games[[#This Row],[PointsAgainst]]</f>
        <v>6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0.30250809855671301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72.7</v>
      </c>
      <c r="Z304" s="4">
        <f>Games[[#This Row],[K]]*Games[[#This Row],[POMult]]</f>
        <v>72.7</v>
      </c>
      <c r="AA304" s="4">
        <f>(Games[[#This Row],[Keff]]*Games[[#This Row],[MOVMult]])*(Games[[#This Row],[Result]]-Games[[#This Row],[ExpectedWin%]])</f>
        <v>17.997273797662725</v>
      </c>
      <c r="AB304" s="4">
        <f>Games[[#This Row],[PreGmRate]]+Games[[#This Row],[RatingChange]]</f>
        <v>1393.1634404531276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38917</v>
      </c>
      <c r="B305" s="2">
        <v>2006</v>
      </c>
      <c r="C305" s="2">
        <f>COUNTIFS(Games[Team],Games[[#This Row],[Team]],Games[Season],Games[[#This Row],[Season]],Games[Date],"&lt;=" &amp; Games[[#This Row],[Date]])</f>
        <v>21</v>
      </c>
      <c r="D305" s="2" t="s">
        <v>23</v>
      </c>
      <c r="E305" s="2" t="s">
        <v>29</v>
      </c>
      <c r="F305" s="1" t="s">
        <v>75</v>
      </c>
      <c r="G305" s="1" t="s">
        <v>64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5" s="2">
        <f>Games[[#This Row],[DaysOff]]-Games[[#This Row],[OppDaysOff]]</f>
        <v>-1</v>
      </c>
      <c r="L305" s="2">
        <f>Games[[#This Row],[OppDaysOff]]-Games[[#This Row],[DaysOff]]</f>
        <v>1</v>
      </c>
      <c r="M305" s="1">
        <f>MAX(-16, MIN(16, Games[[#This Row],[RestDiff]]*8))</f>
        <v>-8</v>
      </c>
      <c r="N305" s="1">
        <f>MAX(-16, MIN(16, Games[[#This Row],[OppRestDiff]]*8))</f>
        <v>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1568.639317689674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1375.1661666554648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0.8183428779409746</v>
      </c>
      <c r="R305" s="1">
        <v>67</v>
      </c>
      <c r="S305" s="1">
        <v>73</v>
      </c>
      <c r="T305" s="1">
        <v>0</v>
      </c>
      <c r="U305" s="1">
        <f>Games[[#This Row],[PointsFor]]-Games[[#This Row],[PointsAgainst]]</f>
        <v>-6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0.30250809855671301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72.849999999999994</v>
      </c>
      <c r="Z305" s="4">
        <f>Games[[#This Row],[K]]*Games[[#This Row],[POMult]]</f>
        <v>72.849999999999994</v>
      </c>
      <c r="AA305" s="4">
        <f>(Games[[#This Row],[Keff]]*Games[[#This Row],[MOVMult]])*(Games[[#This Row],[Result]]-Games[[#This Row],[ExpectedWin%]])</f>
        <v>-18.034407099858729</v>
      </c>
      <c r="AB305" s="4">
        <f>Games[[#This Row],[PreGmRate]]+Games[[#This Row],[RatingChange]]</f>
        <v>1550.6049105898153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38917</v>
      </c>
      <c r="B306" s="2">
        <v>2006</v>
      </c>
      <c r="C306" s="2">
        <f>COUNTIFS(Games[Team],Games[[#This Row],[Team]],Games[Season],Games[[#This Row],[Season]],Games[Date],"&lt;=" &amp; Games[[#This Row],[Date]])</f>
        <v>21</v>
      </c>
      <c r="D306" s="2" t="s">
        <v>23</v>
      </c>
      <c r="E306" s="2" t="s">
        <v>29</v>
      </c>
      <c r="F306" s="1" t="s">
        <v>87</v>
      </c>
      <c r="G306" s="1" t="s">
        <v>77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1342.0597470519645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1416.8175290152242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0.28620586081133226</v>
      </c>
      <c r="R306" s="1">
        <v>82</v>
      </c>
      <c r="S306" s="1">
        <v>90</v>
      </c>
      <c r="T306" s="1">
        <v>0</v>
      </c>
      <c r="U306" s="1">
        <f>Games[[#This Row],[PointsFor]]-Games[[#This Row],[PointsAgainst]]</f>
        <v>-8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0.36554288869368651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72.849999999999994</v>
      </c>
      <c r="Z306" s="4">
        <f>Games[[#This Row],[K]]*Games[[#This Row],[POMult]]</f>
        <v>72.849999999999994</v>
      </c>
      <c r="AA306" s="4">
        <f>(Games[[#This Row],[Keff]]*Games[[#This Row],[MOVMult]])*(Games[[#This Row],[Result]]-Games[[#This Row],[ExpectedWin%]])</f>
        <v>-7.6216046723404354</v>
      </c>
      <c r="AB306" s="4">
        <f>Games[[#This Row],[PreGmRate]]+Games[[#This Row],[RatingChange]]</f>
        <v>1334.438142379624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38917</v>
      </c>
      <c r="B307" s="2">
        <v>2006</v>
      </c>
      <c r="C307" s="2">
        <f>COUNTIFS(Games[Team],Games[[#This Row],[Team]],Games[Season],Games[[#This Row],[Season]],Games[Date],"&lt;=" &amp; Games[[#This Row],[Date]])</f>
        <v>21</v>
      </c>
      <c r="D307" s="2" t="s">
        <v>23</v>
      </c>
      <c r="E307" s="2" t="s">
        <v>29</v>
      </c>
      <c r="F307" s="1" t="s">
        <v>77</v>
      </c>
      <c r="G307" s="1" t="s">
        <v>87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1416.8175290152242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1342.0597470519645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0.71379413918866774</v>
      </c>
      <c r="R307" s="1">
        <v>90</v>
      </c>
      <c r="S307" s="1">
        <v>82</v>
      </c>
      <c r="T307" s="1">
        <v>0</v>
      </c>
      <c r="U307" s="1">
        <f>Games[[#This Row],[PointsFor]]-Games[[#This Row],[PointsAgainst]]</f>
        <v>8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0.36554288869368651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72.849999999999994</v>
      </c>
      <c r="Z307" s="4">
        <f>Games[[#This Row],[K]]*Games[[#This Row],[POMult]]</f>
        <v>72.849999999999994</v>
      </c>
      <c r="AA307" s="4">
        <f>(Games[[#This Row],[Keff]]*Games[[#This Row],[MOVMult]])*(Games[[#This Row],[Result]]-Games[[#This Row],[ExpectedWin%]])</f>
        <v>7.6216046723404354</v>
      </c>
      <c r="AB307" s="4">
        <f>Games[[#This Row],[PreGmRate]]+Games[[#This Row],[RatingChange]]</f>
        <v>1424.4391336875647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38917</v>
      </c>
      <c r="B308" s="2">
        <v>2006</v>
      </c>
      <c r="C308" s="2">
        <f>COUNTIFS(Games[Team],Games[[#This Row],[Team]],Games[Season],Games[[#This Row],[Season]],Games[Date],"&lt;=" &amp; Games[[#This Row],[Date]])</f>
        <v>22</v>
      </c>
      <c r="D308" s="2" t="s">
        <v>23</v>
      </c>
      <c r="E308" s="2" t="s">
        <v>29</v>
      </c>
      <c r="F308" s="1" t="s">
        <v>44</v>
      </c>
      <c r="G308" s="1" t="s">
        <v>73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8" s="2">
        <f>Games[[#This Row],[DaysOff]]-Games[[#This Row],[OppDaysOff]]</f>
        <v>-2</v>
      </c>
      <c r="L308" s="2">
        <f>Games[[#This Row],[OppDaysOff]]-Games[[#This Row],[DaysOff]]</f>
        <v>2</v>
      </c>
      <c r="M308" s="1">
        <f>MAX(-16, MIN(16, Games[[#This Row],[RestDiff]]*8))</f>
        <v>-16</v>
      </c>
      <c r="N308" s="1">
        <f>MAX(-16, MIN(16, Games[[#This Row],[OppRestDiff]]*8))</f>
        <v>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1483.9967201377581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1502.4490137838429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0.31562102449140272</v>
      </c>
      <c r="R308" s="1">
        <v>96</v>
      </c>
      <c r="S308" s="1">
        <v>83</v>
      </c>
      <c r="T308" s="1">
        <v>0</v>
      </c>
      <c r="U308" s="1">
        <f>Games[[#This Row],[PointsFor]]-Games[[#This Row],[PointsAgainst]]</f>
        <v>13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0.46489510482342655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72.7</v>
      </c>
      <c r="Z308" s="4">
        <f>Games[[#This Row],[K]]*Games[[#This Row],[POMult]]</f>
        <v>72.7</v>
      </c>
      <c r="AA308" s="4">
        <f>(Games[[#This Row],[Keff]]*Games[[#This Row],[MOVMult]])*(Games[[#This Row],[Result]]-Games[[#This Row],[ExpectedWin%]])</f>
        <v>23.130554465067952</v>
      </c>
      <c r="AB308" s="4">
        <f>Games[[#This Row],[PreGmRate]]+Games[[#This Row],[RatingChange]]</f>
        <v>1507.127274602826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38917</v>
      </c>
      <c r="B309" s="2">
        <v>2006</v>
      </c>
      <c r="C309" s="2">
        <f>COUNTIFS(Games[Team],Games[[#This Row],[Team]],Games[Season],Games[[#This Row],[Season]],Games[Date],"&lt;=" &amp; Games[[#This Row],[Date]])</f>
        <v>22</v>
      </c>
      <c r="D309" s="2" t="s">
        <v>23</v>
      </c>
      <c r="E309" s="2" t="s">
        <v>29</v>
      </c>
      <c r="F309" s="1" t="s">
        <v>73</v>
      </c>
      <c r="G309" s="1" t="s">
        <v>44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9" s="2">
        <f>Games[[#This Row],[DaysOff]]-Games[[#This Row],[OppDaysOff]]</f>
        <v>2</v>
      </c>
      <c r="L309" s="2">
        <f>Games[[#This Row],[OppDaysOff]]-Games[[#This Row],[DaysOff]]</f>
        <v>-2</v>
      </c>
      <c r="M309" s="1">
        <f>MAX(-16, MIN(16, Games[[#This Row],[RestDiff]]*8))</f>
        <v>16</v>
      </c>
      <c r="N309" s="1">
        <f>MAX(-16, MIN(16, Games[[#This Row],[OppRestDiff]]*8))</f>
        <v>-16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1502.4490137838429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1483.9967201377581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0.68437897550859728</v>
      </c>
      <c r="R309" s="1">
        <v>83</v>
      </c>
      <c r="S309" s="1">
        <v>96</v>
      </c>
      <c r="T309" s="1">
        <v>0</v>
      </c>
      <c r="U309" s="1">
        <f>Games[[#This Row],[PointsFor]]-Games[[#This Row],[PointsAgainst]]</f>
        <v>-13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0.46489510482342655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72.7</v>
      </c>
      <c r="Z309" s="4">
        <f>Games[[#This Row],[K]]*Games[[#This Row],[POMult]]</f>
        <v>72.7</v>
      </c>
      <c r="AA309" s="4">
        <f>(Games[[#This Row],[Keff]]*Games[[#This Row],[MOVMult]])*(Games[[#This Row],[Result]]-Games[[#This Row],[ExpectedWin%]])</f>
        <v>-23.130554465067952</v>
      </c>
      <c r="AB309" s="4">
        <f>Games[[#This Row],[PreGmRate]]+Games[[#This Row],[RatingChange]]</f>
        <v>1479.318459318775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38918</v>
      </c>
      <c r="B310" s="2">
        <v>2006</v>
      </c>
      <c r="C310" s="2">
        <f>COUNTIFS(Games[Team],Games[[#This Row],[Team]],Games[Season],Games[[#This Row],[Season]],Games[Date],"&lt;=" &amp; Games[[#This Row],[Date]])</f>
        <v>23</v>
      </c>
      <c r="D310" s="2" t="s">
        <v>23</v>
      </c>
      <c r="E310" s="2" t="s">
        <v>29</v>
      </c>
      <c r="F310" s="1" t="s">
        <v>81</v>
      </c>
      <c r="G310" s="1" t="s">
        <v>64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0" s="2">
        <f>Games[[#This Row],[DaysOff]]-Games[[#This Row],[OppDaysOff]]</f>
        <v>1</v>
      </c>
      <c r="L310" s="2">
        <f>Games[[#This Row],[OppDaysOff]]-Games[[#This Row],[DaysOff]]</f>
        <v>-1</v>
      </c>
      <c r="M310" s="1">
        <f>MAX(-16, MIN(16, Games[[#This Row],[RestDiff]]*8))</f>
        <v>8</v>
      </c>
      <c r="N310" s="1">
        <f>MAX(-16, MIN(16, Games[[#This Row],[OppRestDiff]]*8))</f>
        <v>-8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1518.9214436891948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1393.1634404531276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0.5823631125271278</v>
      </c>
      <c r="R310" s="1">
        <v>72</v>
      </c>
      <c r="S310" s="1">
        <v>86</v>
      </c>
      <c r="T310" s="1">
        <v>0</v>
      </c>
      <c r="U310" s="1">
        <f>Games[[#This Row],[PointsFor]]-Games[[#This Row],[PointsAgainst]]</f>
        <v>-14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0.44135484968800309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72.55</v>
      </c>
      <c r="Z310" s="4">
        <f>Games[[#This Row],[K]]*Games[[#This Row],[POMult]]</f>
        <v>72.55</v>
      </c>
      <c r="AA310" s="4">
        <f>(Games[[#This Row],[Keff]]*Games[[#This Row],[MOVMult]])*(Games[[#This Row],[Result]]-Games[[#This Row],[ExpectedWin%]])</f>
        <v>-18.647438278710151</v>
      </c>
      <c r="AB310" s="4">
        <f>Games[[#This Row],[PreGmRate]]+Games[[#This Row],[RatingChange]]</f>
        <v>1500.2740054104847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38918</v>
      </c>
      <c r="B311" s="2">
        <v>2006</v>
      </c>
      <c r="C311" s="2">
        <f>COUNTIFS(Games[Team],Games[[#This Row],[Team]],Games[Season],Games[[#This Row],[Season]],Games[Date],"&lt;=" &amp; Games[[#This Row],[Date]])</f>
        <v>23</v>
      </c>
      <c r="D311" s="2" t="s">
        <v>23</v>
      </c>
      <c r="E311" s="2" t="s">
        <v>29</v>
      </c>
      <c r="F311" s="1" t="s">
        <v>64</v>
      </c>
      <c r="G311" s="1" t="s">
        <v>81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-1</v>
      </c>
      <c r="L311" s="2">
        <f>Games[[#This Row],[OppDaysOff]]-Games[[#This Row],[DaysOff]]</f>
        <v>1</v>
      </c>
      <c r="M311" s="1">
        <f>MAX(-16, MIN(16, Games[[#This Row],[RestDiff]]*8))</f>
        <v>-8</v>
      </c>
      <c r="N311" s="1">
        <f>MAX(-16, MIN(16, Games[[#This Row],[OppRestDiff]]*8))</f>
        <v>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1393.1634404531276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1518.9214436891948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0.41763688747287225</v>
      </c>
      <c r="R311" s="1">
        <v>86</v>
      </c>
      <c r="S311" s="1">
        <v>72</v>
      </c>
      <c r="T311" s="1">
        <v>0</v>
      </c>
      <c r="U311" s="1">
        <f>Games[[#This Row],[PointsFor]]-Games[[#This Row],[PointsAgainst]]</f>
        <v>14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0.44135484968800309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72.55</v>
      </c>
      <c r="Z311" s="4">
        <f>Games[[#This Row],[K]]*Games[[#This Row],[POMult]]</f>
        <v>72.55</v>
      </c>
      <c r="AA311" s="4">
        <f>(Games[[#This Row],[Keff]]*Games[[#This Row],[MOVMult]])*(Games[[#This Row],[Result]]-Games[[#This Row],[ExpectedWin%]])</f>
        <v>18.647438278710151</v>
      </c>
      <c r="AB311" s="4">
        <f>Games[[#This Row],[PreGmRate]]+Games[[#This Row],[RatingChange]]</f>
        <v>1411.8108787318376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38918</v>
      </c>
      <c r="B312" s="2">
        <v>2006</v>
      </c>
      <c r="C312" s="2">
        <f>COUNTIFS(Games[Team],Games[[#This Row],[Team]],Games[Season],Games[[#This Row],[Season]],Games[Date],"&lt;=" &amp; Games[[#This Row],[Date]])</f>
        <v>22</v>
      </c>
      <c r="D312" s="2" t="s">
        <v>23</v>
      </c>
      <c r="E312" s="2" t="s">
        <v>29</v>
      </c>
      <c r="F312" s="1" t="s">
        <v>87</v>
      </c>
      <c r="G312" s="1" t="s">
        <v>86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-3</v>
      </c>
      <c r="L312" s="2">
        <f>Games[[#This Row],[OppDaysOff]]-Games[[#This Row],[DaysOff]]</f>
        <v>3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1334.438142379624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1642.5167827225484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8.0084986376181444E-2</v>
      </c>
      <c r="R312" s="1">
        <v>72</v>
      </c>
      <c r="S312" s="1">
        <v>86</v>
      </c>
      <c r="T312" s="1">
        <v>0</v>
      </c>
      <c r="U312" s="1">
        <f>Games[[#This Row],[PointsFor]]-Games[[#This Row],[PointsAgainst]]</f>
        <v>-14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0.38799682495858961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72.7</v>
      </c>
      <c r="Z312" s="4">
        <f>Games[[#This Row],[K]]*Games[[#This Row],[POMult]]</f>
        <v>72.7</v>
      </c>
      <c r="AA312" s="4">
        <f>(Games[[#This Row],[Keff]]*Games[[#This Row],[MOVMult]])*(Games[[#This Row],[Result]]-Games[[#This Row],[ExpectedWin%]])</f>
        <v>-2.2589867760469091</v>
      </c>
      <c r="AB312" s="4">
        <f>Games[[#This Row],[PreGmRate]]+Games[[#This Row],[RatingChange]]</f>
        <v>1332.1791556035771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38918</v>
      </c>
      <c r="B313" s="2">
        <v>2006</v>
      </c>
      <c r="C313" s="2">
        <f>COUNTIFS(Games[Team],Games[[#This Row],[Team]],Games[Season],Games[[#This Row],[Season]],Games[Date],"&lt;=" &amp; Games[[#This Row],[Date]])</f>
        <v>22</v>
      </c>
      <c r="D313" s="2" t="s">
        <v>23</v>
      </c>
      <c r="E313" s="2" t="s">
        <v>29</v>
      </c>
      <c r="F313" s="1" t="s">
        <v>86</v>
      </c>
      <c r="G313" s="1" t="s">
        <v>87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3" s="2">
        <f>Games[[#This Row],[DaysOff]]-Games[[#This Row],[OppDaysOff]]</f>
        <v>3</v>
      </c>
      <c r="L313" s="2">
        <f>Games[[#This Row],[OppDaysOff]]-Games[[#This Row],[DaysOff]]</f>
        <v>-3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1642.5167827225484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1334.438142379624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0.91991501362381844</v>
      </c>
      <c r="R313" s="1">
        <v>86</v>
      </c>
      <c r="S313" s="1">
        <v>72</v>
      </c>
      <c r="T313" s="1">
        <v>0</v>
      </c>
      <c r="U313" s="1">
        <f>Games[[#This Row],[PointsFor]]-Games[[#This Row],[PointsAgainst]]</f>
        <v>14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0.38799682495858961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72.7</v>
      </c>
      <c r="Z313" s="4">
        <f>Games[[#This Row],[K]]*Games[[#This Row],[POMult]]</f>
        <v>72.7</v>
      </c>
      <c r="AA313" s="4">
        <f>(Games[[#This Row],[Keff]]*Games[[#This Row],[MOVMult]])*(Games[[#This Row],[Result]]-Games[[#This Row],[ExpectedWin%]])</f>
        <v>2.2589867760469122</v>
      </c>
      <c r="AB313" s="4">
        <f>Games[[#This Row],[PreGmRate]]+Games[[#This Row],[RatingChange]]</f>
        <v>1644.7757694985953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38918</v>
      </c>
      <c r="B314" s="2">
        <v>2006</v>
      </c>
      <c r="C314" s="2">
        <f>COUNTIFS(Games[Team],Games[[#This Row],[Team]],Games[Season],Games[[#This Row],[Season]],Games[Date],"&lt;=" &amp; Games[[#This Row],[Date]])</f>
        <v>22</v>
      </c>
      <c r="D314" s="2" t="s">
        <v>23</v>
      </c>
      <c r="E314" s="2" t="s">
        <v>29</v>
      </c>
      <c r="F314" s="1" t="s">
        <v>77</v>
      </c>
      <c r="G314" s="1" t="s">
        <v>2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">
        <f>MAX(-16, MIN(16, Games[[#This Row],[RestDiff]]*8))</f>
        <v>-8</v>
      </c>
      <c r="N314" s="1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1424.4391336875647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1520.240846018607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0.24469201409607472</v>
      </c>
      <c r="R314" s="1">
        <v>55</v>
      </c>
      <c r="S314" s="1">
        <v>78</v>
      </c>
      <c r="T314" s="1">
        <v>0</v>
      </c>
      <c r="U314" s="1">
        <f>Games[[#This Row],[PointsFor]]-Games[[#This Row],[PointsAgainst]]</f>
        <v>-23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0.56984437977473479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72.7</v>
      </c>
      <c r="Z314" s="4">
        <f>Games[[#This Row],[K]]*Games[[#This Row],[POMult]]</f>
        <v>72.7</v>
      </c>
      <c r="AA314" s="4">
        <f>(Games[[#This Row],[Keff]]*Games[[#This Row],[MOVMult]])*(Games[[#This Row],[Result]]-Games[[#This Row],[ExpectedWin%]])</f>
        <v>-10.137024026911288</v>
      </c>
      <c r="AB314" s="4">
        <f>Games[[#This Row],[PreGmRate]]+Games[[#This Row],[RatingChange]]</f>
        <v>1414.3021096606533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38918</v>
      </c>
      <c r="B315" s="2">
        <v>2006</v>
      </c>
      <c r="C315" s="2">
        <f>COUNTIFS(Games[Team],Games[[#This Row],[Team]],Games[Season],Games[[#This Row],[Season]],Games[Date],"&lt;=" &amp; Games[[#This Row],[Date]])</f>
        <v>25</v>
      </c>
      <c r="D315" s="2" t="s">
        <v>23</v>
      </c>
      <c r="E315" s="2" t="s">
        <v>29</v>
      </c>
      <c r="F315" s="1" t="s">
        <v>2</v>
      </c>
      <c r="G315" s="1" t="s">
        <v>77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">
        <f>MAX(-16, MIN(16, Games[[#This Row],[RestDiff]]*8))</f>
        <v>8</v>
      </c>
      <c r="N315" s="1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1520.240846018607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1424.4391336875647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0.75530798590392534</v>
      </c>
      <c r="R315" s="1">
        <v>78</v>
      </c>
      <c r="S315" s="1">
        <v>55</v>
      </c>
      <c r="T315" s="1">
        <v>0</v>
      </c>
      <c r="U315" s="1">
        <f>Games[[#This Row],[PointsFor]]-Games[[#This Row],[PointsAgainst]]</f>
        <v>23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0.56984437977473479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72.25</v>
      </c>
      <c r="Z315" s="4">
        <f>Games[[#This Row],[K]]*Games[[#This Row],[POMult]]</f>
        <v>72.25</v>
      </c>
      <c r="AA315" s="4">
        <f>(Games[[#This Row],[Keff]]*Games[[#This Row],[MOVMult]])*(Games[[#This Row],[Result]]-Games[[#This Row],[ExpectedWin%]])</f>
        <v>10.074277660857502</v>
      </c>
      <c r="AB315" s="4">
        <f>Games[[#This Row],[PreGmRate]]+Games[[#This Row],[RatingChange]]</f>
        <v>1530.3151236794645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38918</v>
      </c>
      <c r="B316" s="2">
        <v>2006</v>
      </c>
      <c r="C316" s="2">
        <f>COUNTIFS(Games[Team],Games[[#This Row],[Team]],Games[Season],Games[[#This Row],[Season]],Games[Date],"&lt;=" &amp; Games[[#This Row],[Date]])</f>
        <v>22</v>
      </c>
      <c r="D316" s="2" t="s">
        <v>23</v>
      </c>
      <c r="E316" s="2" t="s">
        <v>29</v>
      </c>
      <c r="F316" s="1" t="s">
        <v>66</v>
      </c>
      <c r="G316" s="1" t="s">
        <v>45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1356.0530700709962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1620.6169825571646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0.11852265553746061</v>
      </c>
      <c r="R316" s="1">
        <v>62</v>
      </c>
      <c r="S316" s="1">
        <v>71</v>
      </c>
      <c r="T316" s="1">
        <v>0</v>
      </c>
      <c r="U316" s="1">
        <f>Games[[#This Row],[PointsFor]]-Games[[#This Row],[PointsAgainst]]</f>
        <v>-9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0.3326354202936106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72.7</v>
      </c>
      <c r="Z316" s="4">
        <f>Games[[#This Row],[K]]*Games[[#This Row],[POMult]]</f>
        <v>72.7</v>
      </c>
      <c r="AA316" s="4">
        <f>(Games[[#This Row],[Keff]]*Games[[#This Row],[MOVMult]])*(Games[[#This Row],[Result]]-Games[[#This Row],[ExpectedWin%]])</f>
        <v>-2.8661853837466116</v>
      </c>
      <c r="AB316" s="4">
        <f>Games[[#This Row],[PreGmRate]]+Games[[#This Row],[RatingChange]]</f>
        <v>1353.1868846872496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38918</v>
      </c>
      <c r="B317" s="2">
        <v>2006</v>
      </c>
      <c r="C317" s="2">
        <f>COUNTIFS(Games[Team],Games[[#This Row],[Team]],Games[Season],Games[[#This Row],[Season]],Games[Date],"&lt;=" &amp; Games[[#This Row],[Date]])</f>
        <v>23</v>
      </c>
      <c r="D317" s="2" t="s">
        <v>23</v>
      </c>
      <c r="E317" s="2" t="s">
        <v>29</v>
      </c>
      <c r="F317" s="1" t="s">
        <v>45</v>
      </c>
      <c r="G317" s="1" t="s">
        <v>66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1620.6169825571646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1356.0530700709962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0.88147734446253945</v>
      </c>
      <c r="R317" s="1">
        <v>71</v>
      </c>
      <c r="S317" s="1">
        <v>62</v>
      </c>
      <c r="T317" s="1">
        <v>0</v>
      </c>
      <c r="U317" s="1">
        <f>Games[[#This Row],[PointsFor]]-Games[[#This Row],[PointsAgainst]]</f>
        <v>9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0.3326354202936106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72.55</v>
      </c>
      <c r="Z317" s="4">
        <f>Games[[#This Row],[K]]*Games[[#This Row],[POMult]]</f>
        <v>72.55</v>
      </c>
      <c r="AA317" s="4">
        <f>(Games[[#This Row],[Keff]]*Games[[#This Row],[MOVMult]])*(Games[[#This Row],[Result]]-Games[[#This Row],[ExpectedWin%]])</f>
        <v>2.8602716587457575</v>
      </c>
      <c r="AB317" s="4">
        <f>Games[[#This Row],[PreGmRate]]+Games[[#This Row],[RatingChange]]</f>
        <v>1623.4772542159103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38919</v>
      </c>
      <c r="B318" s="2">
        <v>2006</v>
      </c>
      <c r="C318" s="2">
        <f>COUNTIFS(Games[Team],Games[[#This Row],[Team]],Games[Season],Games[[#This Row],[Season]],Games[Date],"&lt;=" &amp; Games[[#This Row],[Date]])</f>
        <v>25</v>
      </c>
      <c r="D318" s="2" t="s">
        <v>23</v>
      </c>
      <c r="E318" s="2" t="s">
        <v>29</v>
      </c>
      <c r="F318" s="1" t="s">
        <v>70</v>
      </c>
      <c r="G318" s="1" t="s">
        <v>75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1</v>
      </c>
      <c r="L318" s="2">
        <f>Games[[#This Row],[OppDaysOff]]-Games[[#This Row],[DaysOff]]</f>
        <v>-1</v>
      </c>
      <c r="M318" s="1">
        <f>MAX(-16, MIN(16, Games[[#This Row],[RestDiff]]*8))</f>
        <v>8</v>
      </c>
      <c r="N318" s="1">
        <f>MAX(-16, MIN(16, Games[[#This Row],[OppRestDiff]]*8))</f>
        <v>-8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1614.383819544415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1550.6049105898153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0.49392566054121023</v>
      </c>
      <c r="R318" s="1">
        <v>59</v>
      </c>
      <c r="S318" s="1">
        <v>73</v>
      </c>
      <c r="T318" s="1">
        <v>0</v>
      </c>
      <c r="U318" s="1">
        <f>Games[[#This Row],[PointsFor]]-Games[[#This Row],[PointsAgainst]]</f>
        <v>-14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0.46300007073621913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72.25</v>
      </c>
      <c r="Z318" s="4">
        <f>Games[[#This Row],[K]]*Games[[#This Row],[POMult]]</f>
        <v>72.25</v>
      </c>
      <c r="AA318" s="4">
        <f>(Games[[#This Row],[Keff]]*Games[[#This Row],[MOVMult]])*(Games[[#This Row],[Result]]-Games[[#This Row],[ExpectedWin%]])</f>
        <v>-16.522680239311271</v>
      </c>
      <c r="AB318" s="4">
        <f>Games[[#This Row],[PreGmRate]]+Games[[#This Row],[RatingChange]]</f>
        <v>1597.8611393051037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38919</v>
      </c>
      <c r="B319" s="2">
        <v>2006</v>
      </c>
      <c r="C319" s="2">
        <f>COUNTIFS(Games[Team],Games[[#This Row],[Team]],Games[Season],Games[[#This Row],[Season]],Games[Date],"&lt;=" &amp; Games[[#This Row],[Date]])</f>
        <v>22</v>
      </c>
      <c r="D319" s="2" t="s">
        <v>23</v>
      </c>
      <c r="E319" s="2" t="s">
        <v>29</v>
      </c>
      <c r="F319" s="1" t="s">
        <v>75</v>
      </c>
      <c r="G319" s="1" t="s">
        <v>70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-1</v>
      </c>
      <c r="L319" s="2">
        <f>Games[[#This Row],[OppDaysOff]]-Games[[#This Row],[DaysOff]]</f>
        <v>1</v>
      </c>
      <c r="M319" s="1">
        <f>MAX(-16, MIN(16, Games[[#This Row],[RestDiff]]*8))</f>
        <v>-8</v>
      </c>
      <c r="N319" s="1">
        <f>MAX(-16, MIN(16, Games[[#This Row],[OppRestDiff]]*8))</f>
        <v>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1550.6049105898153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1614.383819544415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0.50607433945878988</v>
      </c>
      <c r="R319" s="1">
        <v>73</v>
      </c>
      <c r="S319" s="1">
        <v>59</v>
      </c>
      <c r="T319" s="1">
        <v>0</v>
      </c>
      <c r="U319" s="1">
        <f>Games[[#This Row],[PointsFor]]-Games[[#This Row],[PointsAgainst]]</f>
        <v>14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0.46300007073621913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72.7</v>
      </c>
      <c r="Z319" s="4">
        <f>Games[[#This Row],[K]]*Games[[#This Row],[POMult]]</f>
        <v>72.7</v>
      </c>
      <c r="AA319" s="4">
        <f>(Games[[#This Row],[Keff]]*Games[[#This Row],[MOVMult]])*(Games[[#This Row],[Result]]-Games[[#This Row],[ExpectedWin%]])</f>
        <v>16.625589666407318</v>
      </c>
      <c r="AB319" s="4">
        <f>Games[[#This Row],[PreGmRate]]+Games[[#This Row],[RatingChange]]</f>
        <v>1567.2305002562225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38919</v>
      </c>
      <c r="B320" s="2">
        <v>2006</v>
      </c>
      <c r="C320" s="2">
        <f>COUNTIFS(Games[Team],Games[[#This Row],[Team]],Games[Season],Games[[#This Row],[Season]],Games[Date],"&lt;=" &amp; Games[[#This Row],[Date]])</f>
        <v>23</v>
      </c>
      <c r="D320" s="2" t="s">
        <v>23</v>
      </c>
      <c r="E320" s="2" t="s">
        <v>29</v>
      </c>
      <c r="F320" s="1" t="s">
        <v>73</v>
      </c>
      <c r="G320" s="1" t="s">
        <v>84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0" s="2">
        <f>Games[[#This Row],[DaysOff]]-Games[[#This Row],[OppDaysOff]]</f>
        <v>-1</v>
      </c>
      <c r="L320" s="2">
        <f>Games[[#This Row],[OppDaysOff]]-Games[[#This Row],[DaysOff]]</f>
        <v>1</v>
      </c>
      <c r="M320" s="1">
        <f>MAX(-16, MIN(16, Games[[#This Row],[RestDiff]]*8))</f>
        <v>-8</v>
      </c>
      <c r="N320" s="1">
        <f>MAX(-16, MIN(16, Games[[#This Row],[OppRestDiff]]*8))</f>
        <v>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1479.318459318775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1467.7139868869838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0.37546419214612509</v>
      </c>
      <c r="R320" s="1">
        <v>80</v>
      </c>
      <c r="S320" s="1">
        <v>77</v>
      </c>
      <c r="T320" s="1">
        <v>0</v>
      </c>
      <c r="U320" s="1">
        <f>Games[[#This Row],[PointsFor]]-Games[[#This Row],[PointsAgainst]]</f>
        <v>3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0.28740420924622589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72.55</v>
      </c>
      <c r="Z320" s="4">
        <f>Games[[#This Row],[K]]*Games[[#This Row],[POMult]]</f>
        <v>72.55</v>
      </c>
      <c r="AA320" s="4">
        <f>(Games[[#This Row],[Keff]]*Games[[#This Row],[MOVMult]])*(Games[[#This Row],[Result]]-Games[[#This Row],[ExpectedWin%]])</f>
        <v>13.022305661159306</v>
      </c>
      <c r="AB320" s="4">
        <f>Games[[#This Row],[PreGmRate]]+Games[[#This Row],[RatingChange]]</f>
        <v>1492.3407649799344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38919</v>
      </c>
      <c r="B321" s="2">
        <v>2006</v>
      </c>
      <c r="C321" s="2">
        <f>COUNTIFS(Games[Team],Games[[#This Row],[Team]],Games[Season],Games[[#This Row],[Season]],Games[Date],"&lt;=" &amp; Games[[#This Row],[Date]])</f>
        <v>23</v>
      </c>
      <c r="D321" s="2" t="s">
        <v>23</v>
      </c>
      <c r="E321" s="2" t="s">
        <v>29</v>
      </c>
      <c r="F321" s="1" t="s">
        <v>84</v>
      </c>
      <c r="G321" s="1" t="s">
        <v>73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1</v>
      </c>
      <c r="L321" s="2">
        <f>Games[[#This Row],[OppDaysOff]]-Games[[#This Row],[DaysOff]]</f>
        <v>-1</v>
      </c>
      <c r="M321" s="1">
        <f>MAX(-16, MIN(16, Games[[#This Row],[RestDiff]]*8))</f>
        <v>8</v>
      </c>
      <c r="N321" s="1">
        <f>MAX(-16, MIN(16, Games[[#This Row],[OppRestDiff]]*8))</f>
        <v>-8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1467.7139868869838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1479.318459318775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0.62453580785387497</v>
      </c>
      <c r="R321" s="1">
        <v>77</v>
      </c>
      <c r="S321" s="1">
        <v>80</v>
      </c>
      <c r="T321" s="1">
        <v>0</v>
      </c>
      <c r="U321" s="1">
        <f>Games[[#This Row],[PointsFor]]-Games[[#This Row],[PointsAgainst]]</f>
        <v>-3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0.28740420924622589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72.55</v>
      </c>
      <c r="Z321" s="4">
        <f>Games[[#This Row],[K]]*Games[[#This Row],[POMult]]</f>
        <v>72.55</v>
      </c>
      <c r="AA321" s="4">
        <f>(Games[[#This Row],[Keff]]*Games[[#This Row],[MOVMult]])*(Games[[#This Row],[Result]]-Games[[#This Row],[ExpectedWin%]])</f>
        <v>-13.022305661159306</v>
      </c>
      <c r="AB321" s="4">
        <f>Games[[#This Row],[PreGmRate]]+Games[[#This Row],[RatingChange]]</f>
        <v>1454.6916812258244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38920</v>
      </c>
      <c r="B322" s="2">
        <v>2006</v>
      </c>
      <c r="C322" s="2">
        <f>COUNTIFS(Games[Team],Games[[#This Row],[Team]],Games[Season],Games[[#This Row],[Season]],Games[Date],"&lt;=" &amp; Games[[#This Row],[Date]])</f>
        <v>23</v>
      </c>
      <c r="D322" s="2" t="s">
        <v>23</v>
      </c>
      <c r="E322" s="2" t="s">
        <v>29</v>
      </c>
      <c r="F322" s="1" t="s">
        <v>44</v>
      </c>
      <c r="G322" s="1" t="s">
        <v>64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1507.127274602826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1411.8108787318376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0.53923065143493876</v>
      </c>
      <c r="R322" s="1">
        <v>78</v>
      </c>
      <c r="S322" s="1">
        <v>74</v>
      </c>
      <c r="T322" s="1">
        <v>0</v>
      </c>
      <c r="U322" s="1">
        <f>Games[[#This Row],[PointsFor]]-Games[[#This Row],[PointsAgainst]]</f>
        <v>4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0.28851582754293886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72.55</v>
      </c>
      <c r="Z322" s="4">
        <f>Games[[#This Row],[K]]*Games[[#This Row],[POMult]]</f>
        <v>72.55</v>
      </c>
      <c r="AA322" s="4">
        <f>(Games[[#This Row],[Keff]]*Games[[#This Row],[MOVMult]])*(Games[[#This Row],[Result]]-Games[[#This Row],[ExpectedWin%]])</f>
        <v>9.644742580801422</v>
      </c>
      <c r="AB322" s="4">
        <f>Games[[#This Row],[PreGmRate]]+Games[[#This Row],[RatingChange]]</f>
        <v>1516.7720171836274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38920</v>
      </c>
      <c r="B323" s="2">
        <v>2006</v>
      </c>
      <c r="C323" s="2">
        <f>COUNTIFS(Games[Team],Games[[#This Row],[Team]],Games[Season],Games[[#This Row],[Season]],Games[Date],"&lt;=" &amp; Games[[#This Row],[Date]])</f>
        <v>24</v>
      </c>
      <c r="D323" s="2" t="s">
        <v>23</v>
      </c>
      <c r="E323" s="2" t="s">
        <v>29</v>
      </c>
      <c r="F323" s="1" t="s">
        <v>64</v>
      </c>
      <c r="G323" s="1" t="s">
        <v>44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1411.8108787318376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1507.127274602826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0.4607693485650613</v>
      </c>
      <c r="R323" s="1">
        <v>74</v>
      </c>
      <c r="S323" s="1">
        <v>78</v>
      </c>
      <c r="T323" s="1">
        <v>0</v>
      </c>
      <c r="U323" s="1">
        <f>Games[[#This Row],[PointsFor]]-Games[[#This Row],[PointsAgainst]]</f>
        <v>-4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0.28851582754293886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72.400000000000006</v>
      </c>
      <c r="Z323" s="4">
        <f>Games[[#This Row],[K]]*Games[[#This Row],[POMult]]</f>
        <v>72.400000000000006</v>
      </c>
      <c r="AA323" s="4">
        <f>(Games[[#This Row],[Keff]]*Games[[#This Row],[MOVMult]])*(Games[[#This Row],[Result]]-Games[[#This Row],[ExpectedWin%]])</f>
        <v>-9.6248016933152734</v>
      </c>
      <c r="AB323" s="4">
        <f>Games[[#This Row],[PreGmRate]]+Games[[#This Row],[RatingChange]]</f>
        <v>1402.1860770385224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38920</v>
      </c>
      <c r="B324" s="2">
        <v>2006</v>
      </c>
      <c r="C324" s="2">
        <f>COUNTIFS(Games[Team],Games[[#This Row],[Team]],Games[Season],Games[[#This Row],[Season]],Games[Date],"&lt;=" &amp; Games[[#This Row],[Date]])</f>
        <v>23</v>
      </c>
      <c r="D324" s="2" t="s">
        <v>23</v>
      </c>
      <c r="E324" s="2" t="s">
        <v>29</v>
      </c>
      <c r="F324" s="1" t="s">
        <v>87</v>
      </c>
      <c r="G324" s="1" t="s">
        <v>75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4" s="2">
        <f>Games[[#This Row],[DaysOff]]-Games[[#This Row],[OppDaysOff]]</f>
        <v>1</v>
      </c>
      <c r="L324" s="2">
        <f>Games[[#This Row],[OppDaysOff]]-Games[[#This Row],[DaysOff]]</f>
        <v>-1</v>
      </c>
      <c r="M324" s="1">
        <f>MAX(-16, MIN(16, Games[[#This Row],[RestDiff]]*8))</f>
        <v>8</v>
      </c>
      <c r="N324" s="1">
        <f>MAX(-16, MIN(16, Games[[#This Row],[OppRestDiff]]*8))</f>
        <v>-8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1332.1791556035771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1567.2305002562225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0.1487417749210731</v>
      </c>
      <c r="R324" s="1">
        <v>70</v>
      </c>
      <c r="S324" s="1">
        <v>89</v>
      </c>
      <c r="T324" s="1">
        <v>0</v>
      </c>
      <c r="U324" s="1">
        <f>Games[[#This Row],[PointsFor]]-Games[[#This Row],[PointsAgainst]]</f>
        <v>-19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0.46909338106690629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72.55</v>
      </c>
      <c r="Z324" s="4">
        <f>Games[[#This Row],[K]]*Games[[#This Row],[POMult]]</f>
        <v>72.55</v>
      </c>
      <c r="AA324" s="4">
        <f>(Games[[#This Row],[Keff]]*Games[[#This Row],[MOVMult]])*(Games[[#This Row],[Result]]-Games[[#This Row],[ExpectedWin%]])</f>
        <v>-5.062087891617554</v>
      </c>
      <c r="AB324" s="4">
        <f>Games[[#This Row],[PreGmRate]]+Games[[#This Row],[RatingChange]]</f>
        <v>1327.1170677119596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38920</v>
      </c>
      <c r="B325" s="2">
        <v>2006</v>
      </c>
      <c r="C325" s="2">
        <f>COUNTIFS(Games[Team],Games[[#This Row],[Team]],Games[Season],Games[[#This Row],[Season]],Games[Date],"&lt;=" &amp; Games[[#This Row],[Date]])</f>
        <v>23</v>
      </c>
      <c r="D325" s="2" t="s">
        <v>23</v>
      </c>
      <c r="E325" s="2" t="s">
        <v>29</v>
      </c>
      <c r="F325" s="1" t="s">
        <v>75</v>
      </c>
      <c r="G325" s="1" t="s">
        <v>87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-1</v>
      </c>
      <c r="L325" s="2">
        <f>Games[[#This Row],[OppDaysOff]]-Games[[#This Row],[DaysOff]]</f>
        <v>1</v>
      </c>
      <c r="M325" s="1">
        <f>MAX(-16, MIN(16, Games[[#This Row],[RestDiff]]*8))</f>
        <v>-8</v>
      </c>
      <c r="N325" s="1">
        <f>MAX(-16, MIN(16, Games[[#This Row],[OppRestDiff]]*8))</f>
        <v>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1567.2305002562225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1332.1791556035771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0.8512582250789269</v>
      </c>
      <c r="R325" s="1">
        <v>89</v>
      </c>
      <c r="S325" s="1">
        <v>70</v>
      </c>
      <c r="T325" s="1">
        <v>0</v>
      </c>
      <c r="U325" s="1">
        <f>Games[[#This Row],[PointsFor]]-Games[[#This Row],[PointsAgainst]]</f>
        <v>19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0.46909338106690629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72.55</v>
      </c>
      <c r="Z325" s="4">
        <f>Games[[#This Row],[K]]*Games[[#This Row],[POMult]]</f>
        <v>72.55</v>
      </c>
      <c r="AA325" s="4">
        <f>(Games[[#This Row],[Keff]]*Games[[#This Row],[MOVMult]])*(Games[[#This Row],[Result]]-Games[[#This Row],[ExpectedWin%]])</f>
        <v>5.062087891617554</v>
      </c>
      <c r="AB325" s="4">
        <f>Games[[#This Row],[PreGmRate]]+Games[[#This Row],[RatingChange]]</f>
        <v>1572.29258814784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38920</v>
      </c>
      <c r="B326" s="2">
        <v>2006</v>
      </c>
      <c r="C326" s="2">
        <f>COUNTIFS(Games[Team],Games[[#This Row],[Team]],Games[Season],Games[[#This Row],[Season]],Games[Date],"&lt;=" &amp; Games[[#This Row],[Date]])</f>
        <v>26</v>
      </c>
      <c r="D326" s="2" t="s">
        <v>23</v>
      </c>
      <c r="E326" s="2" t="s">
        <v>29</v>
      </c>
      <c r="F326" s="1" t="s">
        <v>70</v>
      </c>
      <c r="G326" s="1" t="s">
        <v>79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6" s="2">
        <f>Games[[#This Row],[DaysOff]]-Games[[#This Row],[OppDaysOff]]</f>
        <v>-3</v>
      </c>
      <c r="L326" s="2">
        <f>Games[[#This Row],[OppDaysOff]]-Games[[#This Row],[DaysOff]]</f>
        <v>3</v>
      </c>
      <c r="M326" s="1">
        <f>MAX(-16, MIN(16, Games[[#This Row],[RestDiff]]*8))</f>
        <v>-16</v>
      </c>
      <c r="N326" s="1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1597.8611393051037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1575.1275102621278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0.36891265006136381</v>
      </c>
      <c r="R326" s="1">
        <v>73</v>
      </c>
      <c r="S326" s="1">
        <v>68</v>
      </c>
      <c r="T326" s="1">
        <v>0</v>
      </c>
      <c r="U326" s="1">
        <f>Games[[#This Row],[PointsFor]]-Games[[#This Row],[PointsAgainst]]</f>
        <v>5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0.3255878149561427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72.099999999999994</v>
      </c>
      <c r="Z326" s="4">
        <f>Games[[#This Row],[K]]*Games[[#This Row],[POMult]]</f>
        <v>72.099999999999994</v>
      </c>
      <c r="AA326" s="4">
        <f>(Games[[#This Row],[Keff]]*Games[[#This Row],[MOVMult]])*(Games[[#This Row],[Result]]-Games[[#This Row],[ExpectedWin%]])</f>
        <v>14.814700729666086</v>
      </c>
      <c r="AB326" s="4">
        <f>Games[[#This Row],[PreGmRate]]+Games[[#This Row],[RatingChange]]</f>
        <v>1612.6758400347699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38920</v>
      </c>
      <c r="B327" s="2">
        <v>2006</v>
      </c>
      <c r="C327" s="2">
        <f>COUNTIFS(Games[Team],Games[[#This Row],[Team]],Games[Season],Games[[#This Row],[Season]],Games[Date],"&lt;=" &amp; Games[[#This Row],[Date]])</f>
        <v>24</v>
      </c>
      <c r="D327" s="2" t="s">
        <v>23</v>
      </c>
      <c r="E327" s="2" t="s">
        <v>29</v>
      </c>
      <c r="F327" s="1" t="s">
        <v>79</v>
      </c>
      <c r="G327" s="1" t="s">
        <v>70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3</v>
      </c>
      <c r="L327" s="2">
        <f>Games[[#This Row],[OppDaysOff]]-Games[[#This Row],[DaysOff]]</f>
        <v>-3</v>
      </c>
      <c r="M327" s="1">
        <f>MAX(-16, MIN(16, Games[[#This Row],[RestDiff]]*8))</f>
        <v>16</v>
      </c>
      <c r="N327" s="1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1575.1275102621278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1597.8611393051037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0.63108734993863613</v>
      </c>
      <c r="R327" s="1">
        <v>68</v>
      </c>
      <c r="S327" s="1">
        <v>73</v>
      </c>
      <c r="T327" s="1">
        <v>0</v>
      </c>
      <c r="U327" s="1">
        <f>Games[[#This Row],[PointsFor]]-Games[[#This Row],[PointsAgainst]]</f>
        <v>-5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0.3255878149561427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72.400000000000006</v>
      </c>
      <c r="Z327" s="4">
        <f>Games[[#This Row],[K]]*Games[[#This Row],[POMult]]</f>
        <v>72.400000000000006</v>
      </c>
      <c r="AA327" s="4">
        <f>(Games[[#This Row],[Keff]]*Games[[#This Row],[MOVMult]])*(Games[[#This Row],[Result]]-Games[[#This Row],[ExpectedWin%]])</f>
        <v>-14.87634303505998</v>
      </c>
      <c r="AB327" s="4">
        <f>Games[[#This Row],[PreGmRate]]+Games[[#This Row],[RatingChange]]</f>
        <v>1560.2511672270678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38920</v>
      </c>
      <c r="B328" s="2">
        <v>2006</v>
      </c>
      <c r="C328" s="2">
        <f>COUNTIFS(Games[Team],Games[[#This Row],[Team]],Games[Season],Games[[#This Row],[Season]],Games[Date],"&lt;=" &amp; Games[[#This Row],[Date]])</f>
        <v>24</v>
      </c>
      <c r="D328" s="2" t="s">
        <v>23</v>
      </c>
      <c r="E328" s="2" t="s">
        <v>29</v>
      </c>
      <c r="F328" s="1" t="s">
        <v>45</v>
      </c>
      <c r="G328" s="1" t="s">
        <v>77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1623.4772542159103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1414.3021096606533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0.67273165398335288</v>
      </c>
      <c r="R328" s="1">
        <v>86</v>
      </c>
      <c r="S328" s="1">
        <v>59</v>
      </c>
      <c r="T328" s="1">
        <v>0</v>
      </c>
      <c r="U328" s="1">
        <f>Games[[#This Row],[PointsFor]]-Games[[#This Row],[PointsAgainst]]</f>
        <v>27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0.56770799789580728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72.400000000000006</v>
      </c>
      <c r="Z328" s="4">
        <f>Games[[#This Row],[K]]*Games[[#This Row],[POMult]]</f>
        <v>72.400000000000006</v>
      </c>
      <c r="AA328" s="4">
        <f>(Games[[#This Row],[Keff]]*Games[[#This Row],[MOVMult]])*(Games[[#This Row],[Result]]-Games[[#This Row],[ExpectedWin%]])</f>
        <v>13.451402882405093</v>
      </c>
      <c r="AB328" s="4">
        <f>Games[[#This Row],[PreGmRate]]+Games[[#This Row],[RatingChange]]</f>
        <v>1636.9286570983154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38920</v>
      </c>
      <c r="B329" s="2">
        <v>2006</v>
      </c>
      <c r="C329" s="2">
        <f>COUNTIFS(Games[Team],Games[[#This Row],[Team]],Games[Season],Games[[#This Row],[Season]],Games[Date],"&lt;=" &amp; Games[[#This Row],[Date]])</f>
        <v>23</v>
      </c>
      <c r="D329" s="2" t="s">
        <v>23</v>
      </c>
      <c r="E329" s="2" t="s">
        <v>29</v>
      </c>
      <c r="F329" s="1" t="s">
        <v>77</v>
      </c>
      <c r="G329" s="1" t="s">
        <v>45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1414.3021096606533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1623.4772542159103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0.32726834601664717</v>
      </c>
      <c r="R329" s="1">
        <v>59</v>
      </c>
      <c r="S329" s="1">
        <v>86</v>
      </c>
      <c r="T329" s="1">
        <v>0</v>
      </c>
      <c r="U329" s="1">
        <f>Games[[#This Row],[PointsFor]]-Games[[#This Row],[PointsAgainst]]</f>
        <v>-27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0.56770799789580728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72.55</v>
      </c>
      <c r="Z329" s="4">
        <f>Games[[#This Row],[K]]*Games[[#This Row],[POMult]]</f>
        <v>72.55</v>
      </c>
      <c r="AA329" s="4">
        <f>(Games[[#This Row],[Keff]]*Games[[#This Row],[MOVMult]])*(Games[[#This Row],[Result]]-Games[[#This Row],[ExpectedWin%]])</f>
        <v>-13.479271811028861</v>
      </c>
      <c r="AB329" s="4">
        <f>Games[[#This Row],[PreGmRate]]+Games[[#This Row],[RatingChange]]</f>
        <v>1400.8228378496244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38920</v>
      </c>
      <c r="B330" s="2">
        <v>2006</v>
      </c>
      <c r="C330" s="2">
        <f>COUNTIFS(Games[Team],Games[[#This Row],[Team]],Games[Season],Games[[#This Row],[Season]],Games[Date],"&lt;=" &amp; Games[[#This Row],[Date]])</f>
        <v>24</v>
      </c>
      <c r="D330" s="2" t="s">
        <v>23</v>
      </c>
      <c r="E330" s="2" t="s">
        <v>29</v>
      </c>
      <c r="F330" s="1" t="s">
        <v>81</v>
      </c>
      <c r="G330" s="1" t="s">
        <v>66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1500.2740054104847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1353.1868846872496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0.58980484079119888</v>
      </c>
      <c r="R330" s="1">
        <v>91</v>
      </c>
      <c r="S330" s="1">
        <v>54</v>
      </c>
      <c r="T330" s="1">
        <v>0</v>
      </c>
      <c r="U330" s="1">
        <f>Games[[#This Row],[PointsFor]]-Games[[#This Row],[PointsAgainst]]</f>
        <v>37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0.69912348351743003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72.400000000000006</v>
      </c>
      <c r="Z330" s="4">
        <f>Games[[#This Row],[K]]*Games[[#This Row],[POMult]]</f>
        <v>72.400000000000006</v>
      </c>
      <c r="AA330" s="4">
        <f>(Games[[#This Row],[Keff]]*Games[[#This Row],[MOVMult]])*(Games[[#This Row],[Result]]-Games[[#This Row],[ExpectedWin%]])</f>
        <v>20.762659768670378</v>
      </c>
      <c r="AB330" s="4">
        <f>Games[[#This Row],[PreGmRate]]+Games[[#This Row],[RatingChange]]</f>
        <v>1521.0366651791551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38920</v>
      </c>
      <c r="B331" s="2">
        <v>2006</v>
      </c>
      <c r="C331" s="2">
        <f>COUNTIFS(Games[Team],Games[[#This Row],[Team]],Games[Season],Games[[#This Row],[Season]],Games[Date],"&lt;=" &amp; Games[[#This Row],[Date]])</f>
        <v>23</v>
      </c>
      <c r="D331" s="2" t="s">
        <v>23</v>
      </c>
      <c r="E331" s="2" t="s">
        <v>29</v>
      </c>
      <c r="F331" s="1" t="s">
        <v>66</v>
      </c>
      <c r="G331" s="1" t="s">
        <v>81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1353.1868846872496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1500.2740054104847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0.41019515920880117</v>
      </c>
      <c r="R331" s="1">
        <v>54</v>
      </c>
      <c r="S331" s="1">
        <v>91</v>
      </c>
      <c r="T331" s="1">
        <v>0</v>
      </c>
      <c r="U331" s="1">
        <f>Games[[#This Row],[PointsFor]]-Games[[#This Row],[PointsAgainst]]</f>
        <v>-37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0.69912348351743003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72.55</v>
      </c>
      <c r="Z331" s="4">
        <f>Games[[#This Row],[K]]*Games[[#This Row],[POMult]]</f>
        <v>72.55</v>
      </c>
      <c r="AA331" s="4">
        <f>(Games[[#This Row],[Keff]]*Games[[#This Row],[MOVMult]])*(Games[[#This Row],[Result]]-Games[[#This Row],[ExpectedWin%]])</f>
        <v>-20.805676328964584</v>
      </c>
      <c r="AB331" s="4">
        <f>Games[[#This Row],[PreGmRate]]+Games[[#This Row],[RatingChange]]</f>
        <v>1332.381208358285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38920</v>
      </c>
      <c r="B332" s="2">
        <v>2006</v>
      </c>
      <c r="C332" s="2">
        <f>COUNTIFS(Games[Team],Games[[#This Row],[Team]],Games[Season],Games[[#This Row],[Season]],Games[Date],"&lt;=" &amp; Games[[#This Row],[Date]])</f>
        <v>23</v>
      </c>
      <c r="D332" s="2" t="s">
        <v>23</v>
      </c>
      <c r="E332" s="2" t="s">
        <v>29</v>
      </c>
      <c r="F332" s="1" t="s">
        <v>86</v>
      </c>
      <c r="G332" s="1" t="s">
        <v>84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2" s="2">
        <f>Games[[#This Row],[DaysOff]]-Games[[#This Row],[OppDaysOff]]</f>
        <v>1</v>
      </c>
      <c r="L332" s="2">
        <f>Games[[#This Row],[OppDaysOff]]-Games[[#This Row],[DaysOff]]</f>
        <v>-1</v>
      </c>
      <c r="M332" s="1">
        <f>MAX(-16, MIN(16, Games[[#This Row],[RestDiff]]*8))</f>
        <v>8</v>
      </c>
      <c r="N332" s="1">
        <f>MAX(-16, MIN(16, Games[[#This Row],[OppRestDiff]]*8))</f>
        <v>-8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1644.7757694985953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1454.6916812258244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0.66880218518343792</v>
      </c>
      <c r="R332" s="1">
        <v>79</v>
      </c>
      <c r="S332" s="1">
        <v>61</v>
      </c>
      <c r="T332" s="1">
        <v>0</v>
      </c>
      <c r="U332" s="1">
        <f>Games[[#This Row],[PointsFor]]-Games[[#This Row],[PointsAgainst]]</f>
        <v>18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0.47205829063689103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72.55</v>
      </c>
      <c r="Z332" s="4">
        <f>Games[[#This Row],[K]]*Games[[#This Row],[POMult]]</f>
        <v>72.55</v>
      </c>
      <c r="AA332" s="4">
        <f>(Games[[#This Row],[Keff]]*Games[[#This Row],[MOVMult]])*(Games[[#This Row],[Result]]-Games[[#This Row],[ExpectedWin%]])</f>
        <v>11.342806122277288</v>
      </c>
      <c r="AB332" s="4">
        <f>Games[[#This Row],[PreGmRate]]+Games[[#This Row],[RatingChange]]</f>
        <v>1656.1185756208727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38920</v>
      </c>
      <c r="B333" s="2">
        <v>2006</v>
      </c>
      <c r="C333" s="2">
        <f>COUNTIFS(Games[Team],Games[[#This Row],[Team]],Games[Season],Games[[#This Row],[Season]],Games[Date],"&lt;=" &amp; Games[[#This Row],[Date]])</f>
        <v>24</v>
      </c>
      <c r="D333" s="2" t="s">
        <v>23</v>
      </c>
      <c r="E333" s="2" t="s">
        <v>29</v>
      </c>
      <c r="F333" s="1" t="s">
        <v>84</v>
      </c>
      <c r="G333" s="1" t="s">
        <v>86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-1</v>
      </c>
      <c r="L333" s="2">
        <f>Games[[#This Row],[OppDaysOff]]-Games[[#This Row],[DaysOff]]</f>
        <v>1</v>
      </c>
      <c r="M333" s="1">
        <f>MAX(-16, MIN(16, Games[[#This Row],[RestDiff]]*8))</f>
        <v>-8</v>
      </c>
      <c r="N333" s="1">
        <f>MAX(-16, MIN(16, Games[[#This Row],[OppRestDiff]]*8))</f>
        <v>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1454.6916812258244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1644.7757694985953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0.33119781481656213</v>
      </c>
      <c r="R333" s="1">
        <v>61</v>
      </c>
      <c r="S333" s="1">
        <v>79</v>
      </c>
      <c r="T333" s="1">
        <v>0</v>
      </c>
      <c r="U333" s="1">
        <f>Games[[#This Row],[PointsFor]]-Games[[#This Row],[PointsAgainst]]</f>
        <v>-18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0.47205829063689103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72.400000000000006</v>
      </c>
      <c r="Z333" s="4">
        <f>Games[[#This Row],[K]]*Games[[#This Row],[POMult]]</f>
        <v>72.400000000000006</v>
      </c>
      <c r="AA333" s="4">
        <f>(Games[[#This Row],[Keff]]*Games[[#This Row],[MOVMult]])*(Games[[#This Row],[Result]]-Games[[#This Row],[ExpectedWin%]])</f>
        <v>-11.319354421128546</v>
      </c>
      <c r="AB333" s="4">
        <f>Games[[#This Row],[PreGmRate]]+Games[[#This Row],[RatingChange]]</f>
        <v>1443.3723268046958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38921</v>
      </c>
      <c r="B334" s="2">
        <v>2006</v>
      </c>
      <c r="C334" s="2">
        <f>COUNTIFS(Games[Team],Games[[#This Row],[Team]],Games[Season],Games[[#This Row],[Season]],Games[Date],"&lt;=" &amp; Games[[#This Row],[Date]])</f>
        <v>25</v>
      </c>
      <c r="D334" s="2" t="s">
        <v>23</v>
      </c>
      <c r="E334" s="2" t="s">
        <v>29</v>
      </c>
      <c r="F334" s="1" t="s">
        <v>81</v>
      </c>
      <c r="G334" s="1" t="s">
        <v>73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-1</v>
      </c>
      <c r="L334" s="2">
        <f>Games[[#This Row],[OppDaysOff]]-Games[[#This Row],[DaysOff]]</f>
        <v>1</v>
      </c>
      <c r="M334" s="1">
        <f>MAX(-16, MIN(16, Games[[#This Row],[RestDiff]]*8))</f>
        <v>-8</v>
      </c>
      <c r="N334" s="1">
        <f>MAX(-16, MIN(16, Games[[#This Row],[OppRestDiff]]*8))</f>
        <v>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1521.0366651791551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1492.3407649799344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0.39880197240290033</v>
      </c>
      <c r="R334" s="1">
        <v>73</v>
      </c>
      <c r="S334" s="1">
        <v>71</v>
      </c>
      <c r="T334" s="1">
        <v>0</v>
      </c>
      <c r="U334" s="1">
        <f>Games[[#This Row],[PointsFor]]-Games[[#This Row],[PointsAgainst]]</f>
        <v>2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0.26158595053462008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72.25</v>
      </c>
      <c r="Z334" s="4">
        <f>Games[[#This Row],[K]]*Games[[#This Row],[POMult]]</f>
        <v>72.25</v>
      </c>
      <c r="AA334" s="4">
        <f>(Games[[#This Row],[Keff]]*Games[[#This Row],[MOVMult]])*(Games[[#This Row],[Result]]-Games[[#This Row],[ExpectedWin%]])</f>
        <v>11.362393179991008</v>
      </c>
      <c r="AB334" s="4">
        <f>Games[[#This Row],[PreGmRate]]+Games[[#This Row],[RatingChange]]</f>
        <v>1532.399058359146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38921</v>
      </c>
      <c r="B335" s="2">
        <v>2006</v>
      </c>
      <c r="C335" s="2">
        <f>COUNTIFS(Games[Team],Games[[#This Row],[Team]],Games[Season],Games[[#This Row],[Season]],Games[Date],"&lt;=" &amp; Games[[#This Row],[Date]])</f>
        <v>24</v>
      </c>
      <c r="D335" s="2" t="s">
        <v>23</v>
      </c>
      <c r="E335" s="2" t="s">
        <v>29</v>
      </c>
      <c r="F335" s="1" t="s">
        <v>73</v>
      </c>
      <c r="G335" s="1" t="s">
        <v>81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5" s="2">
        <f>Games[[#This Row],[DaysOff]]-Games[[#This Row],[OppDaysOff]]</f>
        <v>1</v>
      </c>
      <c r="L335" s="2">
        <f>Games[[#This Row],[OppDaysOff]]-Games[[#This Row],[DaysOff]]</f>
        <v>-1</v>
      </c>
      <c r="M335" s="1">
        <f>MAX(-16, MIN(16, Games[[#This Row],[RestDiff]]*8))</f>
        <v>8</v>
      </c>
      <c r="N335" s="1">
        <f>MAX(-16, MIN(16, Games[[#This Row],[OppRestDiff]]*8))</f>
        <v>-8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1492.3407649799344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1521.0366651791551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0.60119802759709962</v>
      </c>
      <c r="R335" s="1">
        <v>71</v>
      </c>
      <c r="S335" s="1">
        <v>73</v>
      </c>
      <c r="T335" s="1">
        <v>0</v>
      </c>
      <c r="U335" s="1">
        <f>Games[[#This Row],[PointsFor]]-Games[[#This Row],[PointsAgainst]]</f>
        <v>-2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0.26158595053462008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72.400000000000006</v>
      </c>
      <c r="Z335" s="4">
        <f>Games[[#This Row],[K]]*Games[[#This Row],[POMult]]</f>
        <v>72.400000000000006</v>
      </c>
      <c r="AA335" s="4">
        <f>(Games[[#This Row],[Keff]]*Games[[#This Row],[MOVMult]])*(Games[[#This Row],[Result]]-Games[[#This Row],[ExpectedWin%]])</f>
        <v>-11.385982923617288</v>
      </c>
      <c r="AB335" s="4">
        <f>Games[[#This Row],[PreGmRate]]+Games[[#This Row],[RatingChange]]</f>
        <v>1480.9547820563171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38922</v>
      </c>
      <c r="B336" s="2">
        <v>2006</v>
      </c>
      <c r="C336" s="2">
        <f>COUNTIFS(Games[Team],Games[[#This Row],[Team]],Games[Season],Games[[#This Row],[Season]],Games[Date],"&lt;=" &amp; Games[[#This Row],[Date]])</f>
        <v>24</v>
      </c>
      <c r="D336" s="2" t="s">
        <v>23</v>
      </c>
      <c r="E336" s="2" t="s">
        <v>29</v>
      </c>
      <c r="F336" s="1" t="s">
        <v>86</v>
      </c>
      <c r="G336" s="1" t="s">
        <v>66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1656.1185756208727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1332.381208358285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0.79899729911658812</v>
      </c>
      <c r="R336" s="1">
        <v>89</v>
      </c>
      <c r="S336" s="1">
        <v>71</v>
      </c>
      <c r="T336" s="1">
        <v>0</v>
      </c>
      <c r="U336" s="1">
        <f>Games[[#This Row],[PointsFor]]-Games[[#This Row],[PointsAgainst]]</f>
        <v>18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0.4306521141044522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72.400000000000006</v>
      </c>
      <c r="Z336" s="4">
        <f>Games[[#This Row],[K]]*Games[[#This Row],[POMult]]</f>
        <v>72.400000000000006</v>
      </c>
      <c r="AA336" s="4">
        <f>(Games[[#This Row],[Keff]]*Games[[#This Row],[MOVMult]])*(Games[[#This Row],[Result]]-Games[[#This Row],[ExpectedWin%]])</f>
        <v>6.2671060367129829</v>
      </c>
      <c r="AB336" s="4">
        <f>Games[[#This Row],[PreGmRate]]+Games[[#This Row],[RatingChange]]</f>
        <v>1662.3856816575856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38922</v>
      </c>
      <c r="B337" s="2">
        <v>2006</v>
      </c>
      <c r="C337" s="2">
        <f>COUNTIFS(Games[Team],Games[[#This Row],[Team]],Games[Season],Games[[#This Row],[Season]],Games[Date],"&lt;=" &amp; Games[[#This Row],[Date]])</f>
        <v>24</v>
      </c>
      <c r="D337" s="2" t="s">
        <v>23</v>
      </c>
      <c r="E337" s="2" t="s">
        <v>29</v>
      </c>
      <c r="F337" s="1" t="s">
        <v>66</v>
      </c>
      <c r="G337" s="1" t="s">
        <v>86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1332.381208358285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1656.1185756208727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0.20100270088341182</v>
      </c>
      <c r="R337" s="1">
        <v>71</v>
      </c>
      <c r="S337" s="1">
        <v>89</v>
      </c>
      <c r="T337" s="1">
        <v>0</v>
      </c>
      <c r="U337" s="1">
        <f>Games[[#This Row],[PointsFor]]-Games[[#This Row],[PointsAgainst]]</f>
        <v>-18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0.4306521141044522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72.400000000000006</v>
      </c>
      <c r="Z337" s="4">
        <f>Games[[#This Row],[K]]*Games[[#This Row],[POMult]]</f>
        <v>72.400000000000006</v>
      </c>
      <c r="AA337" s="4">
        <f>(Games[[#This Row],[Keff]]*Games[[#This Row],[MOVMult]])*(Games[[#This Row],[Result]]-Games[[#This Row],[ExpectedWin%]])</f>
        <v>-6.2671060367129812</v>
      </c>
      <c r="AB337" s="4">
        <f>Games[[#This Row],[PreGmRate]]+Games[[#This Row],[RatingChange]]</f>
        <v>1326.1141023215721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38923</v>
      </c>
      <c r="B338" s="2">
        <v>2006</v>
      </c>
      <c r="C338" s="2">
        <f>COUNTIFS(Games[Team],Games[[#This Row],[Team]],Games[Season],Games[[#This Row],[Season]],Games[Date],"&lt;=" &amp; Games[[#This Row],[Date]])</f>
        <v>24</v>
      </c>
      <c r="D338" s="2" t="s">
        <v>23</v>
      </c>
      <c r="E338" s="2" t="s">
        <v>29</v>
      </c>
      <c r="F338" s="1" t="s">
        <v>77</v>
      </c>
      <c r="G338" s="1" t="s">
        <v>64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1400.8228378496244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1402.1860770385224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0.37956610203562341</v>
      </c>
      <c r="R338" s="1">
        <v>70</v>
      </c>
      <c r="S338" s="1">
        <v>62</v>
      </c>
      <c r="T338" s="1">
        <v>0</v>
      </c>
      <c r="U338" s="1">
        <f>Games[[#This Row],[PointsFor]]-Games[[#This Row],[PointsAgainst]]</f>
        <v>8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0.3878748964536427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72.400000000000006</v>
      </c>
      <c r="Z338" s="4">
        <f>Games[[#This Row],[K]]*Games[[#This Row],[POMult]]</f>
        <v>72.400000000000006</v>
      </c>
      <c r="AA338" s="4">
        <f>(Games[[#This Row],[Keff]]*Games[[#This Row],[MOVMult]])*(Games[[#This Row],[Result]]-Games[[#This Row],[ExpectedWin%]])</f>
        <v>17.423113136478609</v>
      </c>
      <c r="AB338" s="4">
        <f>Games[[#This Row],[PreGmRate]]+Games[[#This Row],[RatingChange]]</f>
        <v>1418.245950986103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38923</v>
      </c>
      <c r="B339" s="2">
        <v>2006</v>
      </c>
      <c r="C339" s="2">
        <f>COUNTIFS(Games[Team],Games[[#This Row],[Team]],Games[Season],Games[[#This Row],[Season]],Games[Date],"&lt;=" &amp; Games[[#This Row],[Date]])</f>
        <v>25</v>
      </c>
      <c r="D339" s="2" t="s">
        <v>23</v>
      </c>
      <c r="E339" s="2" t="s">
        <v>29</v>
      </c>
      <c r="F339" s="1" t="s">
        <v>64</v>
      </c>
      <c r="G339" s="1" t="s">
        <v>77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1402.1860770385224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1400.8228378496244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0.62043389796437665</v>
      </c>
      <c r="R339" s="1">
        <v>62</v>
      </c>
      <c r="S339" s="1">
        <v>70</v>
      </c>
      <c r="T339" s="1">
        <v>0</v>
      </c>
      <c r="U339" s="1">
        <f>Games[[#This Row],[PointsFor]]-Games[[#This Row],[PointsAgainst]]</f>
        <v>-8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0.3878748964536427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72.25</v>
      </c>
      <c r="Z339" s="4">
        <f>Games[[#This Row],[K]]*Games[[#This Row],[POMult]]</f>
        <v>72.25</v>
      </c>
      <c r="AA339" s="4">
        <f>(Games[[#This Row],[Keff]]*Games[[#This Row],[MOVMult]])*(Games[[#This Row],[Result]]-Games[[#This Row],[ExpectedWin%]])</f>
        <v>-17.387015526389217</v>
      </c>
      <c r="AB339" s="4">
        <f>Games[[#This Row],[PreGmRate]]+Games[[#This Row],[RatingChange]]</f>
        <v>1384.7990615121332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38923</v>
      </c>
      <c r="B340" s="2">
        <v>2006</v>
      </c>
      <c r="C340" s="2">
        <f>COUNTIFS(Games[Team],Games[[#This Row],[Team]],Games[Season],Games[[#This Row],[Season]],Games[Date],"&lt;=" &amp; Games[[#This Row],[Date]])</f>
        <v>25</v>
      </c>
      <c r="D340" s="2" t="s">
        <v>23</v>
      </c>
      <c r="E340" s="2" t="s">
        <v>29</v>
      </c>
      <c r="F340" s="1" t="s">
        <v>66</v>
      </c>
      <c r="G340" s="1" t="s">
        <v>87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0" s="2">
        <f>Games[[#This Row],[DaysOff]]-Games[[#This Row],[OppDaysOff]]</f>
        <v>-2</v>
      </c>
      <c r="L340" s="2">
        <f>Games[[#This Row],[OppDaysOff]]-Games[[#This Row],[DaysOff]]</f>
        <v>2</v>
      </c>
      <c r="M340" s="1">
        <f>MAX(-16, MIN(16, Games[[#This Row],[RestDiff]]*8))</f>
        <v>-16</v>
      </c>
      <c r="N340" s="1">
        <f>MAX(-16, MIN(16, Games[[#This Row],[OppRestDiff]]*8))</f>
        <v>16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1326.1141023215721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1327.1170677119596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0.33770838462227831</v>
      </c>
      <c r="R340" s="1">
        <v>79</v>
      </c>
      <c r="S340" s="1">
        <v>72</v>
      </c>
      <c r="T340" s="1">
        <v>0</v>
      </c>
      <c r="U340" s="1">
        <f>Games[[#This Row],[PointsFor]]-Games[[#This Row],[PointsAgainst]]</f>
        <v>7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0.36979809357941046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72.25</v>
      </c>
      <c r="Z340" s="4">
        <f>Games[[#This Row],[K]]*Games[[#This Row],[POMult]]</f>
        <v>72.25</v>
      </c>
      <c r="AA340" s="4">
        <f>(Games[[#This Row],[Keff]]*Games[[#This Row],[MOVMult]])*(Games[[#This Row],[Result]]-Games[[#This Row],[ExpectedWin%]])</f>
        <v>17.695049270932373</v>
      </c>
      <c r="AB340" s="4">
        <f>Games[[#This Row],[PreGmRate]]+Games[[#This Row],[RatingChange]]</f>
        <v>1343.8091515925043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38923</v>
      </c>
      <c r="B341" s="2">
        <v>2006</v>
      </c>
      <c r="C341" s="2">
        <f>COUNTIFS(Games[Team],Games[[#This Row],[Team]],Games[Season],Games[[#This Row],[Season]],Games[Date],"&lt;=" &amp; Games[[#This Row],[Date]])</f>
        <v>24</v>
      </c>
      <c r="D341" s="2" t="s">
        <v>23</v>
      </c>
      <c r="E341" s="2" t="s">
        <v>29</v>
      </c>
      <c r="F341" s="1" t="s">
        <v>87</v>
      </c>
      <c r="G341" s="1" t="s">
        <v>66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1" s="2">
        <f>Games[[#This Row],[DaysOff]]-Games[[#This Row],[OppDaysOff]]</f>
        <v>2</v>
      </c>
      <c r="L341" s="2">
        <f>Games[[#This Row],[OppDaysOff]]-Games[[#This Row],[DaysOff]]</f>
        <v>-2</v>
      </c>
      <c r="M341" s="1">
        <f>MAX(-16, MIN(16, Games[[#This Row],[RestDiff]]*8))</f>
        <v>16</v>
      </c>
      <c r="N341" s="1">
        <f>MAX(-16, MIN(16, Games[[#This Row],[OppRestDiff]]*8))</f>
        <v>-16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1327.1170677119596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1326.1141023215721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0.66229161537772163</v>
      </c>
      <c r="R341" s="1">
        <v>72</v>
      </c>
      <c r="S341" s="1">
        <v>79</v>
      </c>
      <c r="T341" s="1">
        <v>0</v>
      </c>
      <c r="U341" s="1">
        <f>Games[[#This Row],[PointsFor]]-Games[[#This Row],[PointsAgainst]]</f>
        <v>-7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0.36979809357941046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72.400000000000006</v>
      </c>
      <c r="Z341" s="4">
        <f>Games[[#This Row],[K]]*Games[[#This Row],[POMult]]</f>
        <v>72.400000000000006</v>
      </c>
      <c r="AA341" s="4">
        <f>(Games[[#This Row],[Keff]]*Games[[#This Row],[MOVMult]])*(Games[[#This Row],[Result]]-Games[[#This Row],[ExpectedWin%]])</f>
        <v>-17.73178639744642</v>
      </c>
      <c r="AB341" s="4">
        <f>Games[[#This Row],[PreGmRate]]+Games[[#This Row],[RatingChange]]</f>
        <v>1309.3852813145131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38923</v>
      </c>
      <c r="B342" s="2">
        <v>2006</v>
      </c>
      <c r="C342" s="2">
        <f>COUNTIFS(Games[Team],Games[[#This Row],[Team]],Games[Season],Games[[#This Row],[Season]],Games[Date],"&lt;=" &amp; Games[[#This Row],[Date]])</f>
        <v>25</v>
      </c>
      <c r="D342" s="2" t="s">
        <v>23</v>
      </c>
      <c r="E342" s="2" t="s">
        <v>29</v>
      </c>
      <c r="F342" s="1" t="s">
        <v>73</v>
      </c>
      <c r="G342" s="1" t="s">
        <v>86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2" s="2">
        <f>Games[[#This Row],[DaysOff]]-Games[[#This Row],[OppDaysOff]]</f>
        <v>1</v>
      </c>
      <c r="L342" s="2">
        <f>Games[[#This Row],[OppDaysOff]]-Games[[#This Row],[DaysOff]]</f>
        <v>-1</v>
      </c>
      <c r="M342" s="1">
        <f>MAX(-16, MIN(16, Games[[#This Row],[RestDiff]]*8))</f>
        <v>8</v>
      </c>
      <c r="N342" s="1">
        <f>MAX(-16, MIN(16, Games[[#This Row],[OppRestDiff]]*8))</f>
        <v>-8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1480.9547820563171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1662.3856816575856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0.19219042514879317</v>
      </c>
      <c r="R342" s="1">
        <v>73</v>
      </c>
      <c r="S342" s="1">
        <v>86</v>
      </c>
      <c r="T342" s="1">
        <v>0</v>
      </c>
      <c r="U342" s="1">
        <f>Games[[#This Row],[PointsFor]]-Games[[#This Row],[PointsAgainst]]</f>
        <v>-13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0.41004765923539138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72.25</v>
      </c>
      <c r="Z342" s="4">
        <f>Games[[#This Row],[K]]*Games[[#This Row],[POMult]]</f>
        <v>72.25</v>
      </c>
      <c r="AA342" s="4">
        <f>(Games[[#This Row],[Keff]]*Games[[#This Row],[MOVMult]])*(Games[[#This Row],[Result]]-Games[[#This Row],[ExpectedWin%]])</f>
        <v>-5.693822653589578</v>
      </c>
      <c r="AB342" s="4">
        <f>Games[[#This Row],[PreGmRate]]+Games[[#This Row],[RatingChange]]</f>
        <v>1475.2609594027274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38923</v>
      </c>
      <c r="B343" s="2">
        <v>2006</v>
      </c>
      <c r="C343" s="2">
        <f>COUNTIFS(Games[Team],Games[[#This Row],[Team]],Games[Season],Games[[#This Row],[Season]],Games[Date],"&lt;=" &amp; Games[[#This Row],[Date]])</f>
        <v>25</v>
      </c>
      <c r="D343" s="2" t="s">
        <v>23</v>
      </c>
      <c r="E343" s="2" t="s">
        <v>29</v>
      </c>
      <c r="F343" s="1" t="s">
        <v>86</v>
      </c>
      <c r="G343" s="1" t="s">
        <v>73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-1</v>
      </c>
      <c r="L343" s="2">
        <f>Games[[#This Row],[OppDaysOff]]-Games[[#This Row],[DaysOff]]</f>
        <v>1</v>
      </c>
      <c r="M343" s="1">
        <f>MAX(-16, MIN(16, Games[[#This Row],[RestDiff]]*8))</f>
        <v>-8</v>
      </c>
      <c r="N343" s="1">
        <f>MAX(-16, MIN(16, Games[[#This Row],[OppRestDiff]]*8))</f>
        <v>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1662.3856816575856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1480.9547820563171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0.80780957485120686</v>
      </c>
      <c r="R343" s="1">
        <v>86</v>
      </c>
      <c r="S343" s="1">
        <v>73</v>
      </c>
      <c r="T343" s="1">
        <v>0</v>
      </c>
      <c r="U343" s="1">
        <f>Games[[#This Row],[PointsFor]]-Games[[#This Row],[PointsAgainst]]</f>
        <v>13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0.41004765923539138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72.25</v>
      </c>
      <c r="Z343" s="4">
        <f>Games[[#This Row],[K]]*Games[[#This Row],[POMult]]</f>
        <v>72.25</v>
      </c>
      <c r="AA343" s="4">
        <f>(Games[[#This Row],[Keff]]*Games[[#This Row],[MOVMult]])*(Games[[#This Row],[Result]]-Games[[#This Row],[ExpectedWin%]])</f>
        <v>5.6938226535895771</v>
      </c>
      <c r="AB343" s="4">
        <f>Games[[#This Row],[PreGmRate]]+Games[[#This Row],[RatingChange]]</f>
        <v>1668.0795043111752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38923</v>
      </c>
      <c r="B344" s="2">
        <v>2006</v>
      </c>
      <c r="C344" s="2">
        <f>COUNTIFS(Games[Team],Games[[#This Row],[Team]],Games[Season],Games[[#This Row],[Season]],Games[Date],"&lt;=" &amp; Games[[#This Row],[Date]])</f>
        <v>27</v>
      </c>
      <c r="D344" s="2" t="s">
        <v>23</v>
      </c>
      <c r="E344" s="2" t="s">
        <v>29</v>
      </c>
      <c r="F344" s="1" t="s">
        <v>70</v>
      </c>
      <c r="G344" s="1" t="s">
        <v>2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4" s="2">
        <f>Games[[#This Row],[DaysOff]]-Games[[#This Row],[OppDaysOff]]</f>
        <v>-2</v>
      </c>
      <c r="L344" s="2">
        <f>Games[[#This Row],[OppDaysOff]]-Games[[#This Row],[DaysOff]]</f>
        <v>2</v>
      </c>
      <c r="M344" s="1">
        <f>MAX(-16, MIN(16, Games[[#This Row],[RestDiff]]*8))</f>
        <v>-16</v>
      </c>
      <c r="N344" s="1">
        <f>MAX(-16, MIN(16, Games[[#This Row],[OppRestDiff]]*8))</f>
        <v>16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1612.6758400347699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1530.3151236794645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0.45173988885702648</v>
      </c>
      <c r="R344" s="1">
        <v>56</v>
      </c>
      <c r="S344" s="1">
        <v>52</v>
      </c>
      <c r="T344" s="1">
        <v>0</v>
      </c>
      <c r="U344" s="1">
        <f>Games[[#This Row],[PointsFor]]-Games[[#This Row],[PointsAgainst]]</f>
        <v>4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0.29143070051836201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71.95</v>
      </c>
      <c r="Z344" s="4">
        <f>Games[[#This Row],[K]]*Games[[#This Row],[POMult]]</f>
        <v>71.95</v>
      </c>
      <c r="AA344" s="4">
        <f>(Games[[#This Row],[Keff]]*Games[[#This Row],[MOVMult]])*(Games[[#This Row],[Result]]-Games[[#This Row],[ExpectedWin%]])</f>
        <v>11.496158643067533</v>
      </c>
      <c r="AB344" s="4">
        <f>Games[[#This Row],[PreGmRate]]+Games[[#This Row],[RatingChange]]</f>
        <v>1624.1719986778373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38923</v>
      </c>
      <c r="B345" s="2">
        <v>2006</v>
      </c>
      <c r="C345" s="2">
        <f>COUNTIFS(Games[Team],Games[[#This Row],[Team]],Games[Season],Games[[#This Row],[Season]],Games[Date],"&lt;=" &amp; Games[[#This Row],[Date]])</f>
        <v>26</v>
      </c>
      <c r="D345" s="2" t="s">
        <v>23</v>
      </c>
      <c r="E345" s="2" t="s">
        <v>29</v>
      </c>
      <c r="F345" s="1" t="s">
        <v>2</v>
      </c>
      <c r="G345" s="1" t="s">
        <v>70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2</v>
      </c>
      <c r="L345" s="2">
        <f>Games[[#This Row],[OppDaysOff]]-Games[[#This Row],[DaysOff]]</f>
        <v>-2</v>
      </c>
      <c r="M345" s="1">
        <f>MAX(-16, MIN(16, Games[[#This Row],[RestDiff]]*8))</f>
        <v>16</v>
      </c>
      <c r="N345" s="1">
        <f>MAX(-16, MIN(16, Games[[#This Row],[OppRestDiff]]*8))</f>
        <v>-16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1530.3151236794645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1612.6758400347699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0.54826011114297357</v>
      </c>
      <c r="R345" s="1">
        <v>52</v>
      </c>
      <c r="S345" s="1">
        <v>56</v>
      </c>
      <c r="T345" s="1">
        <v>0</v>
      </c>
      <c r="U345" s="1">
        <f>Games[[#This Row],[PointsFor]]-Games[[#This Row],[PointsAgainst]]</f>
        <v>-4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0.29143070051836201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72.099999999999994</v>
      </c>
      <c r="Z345" s="4">
        <f>Games[[#This Row],[K]]*Games[[#This Row],[POMult]]</f>
        <v>72.099999999999994</v>
      </c>
      <c r="AA345" s="4">
        <f>(Games[[#This Row],[Keff]]*Games[[#This Row],[MOVMult]])*(Games[[#This Row],[Result]]-Games[[#This Row],[ExpectedWin%]])</f>
        <v>-11.520125617306036</v>
      </c>
      <c r="AB345" s="4">
        <f>Games[[#This Row],[PreGmRate]]+Games[[#This Row],[RatingChange]]</f>
        <v>1518.7949980621584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38923</v>
      </c>
      <c r="B346" s="2">
        <v>2006</v>
      </c>
      <c r="C346" s="2">
        <f>COUNTIFS(Games[Team],Games[[#This Row],[Team]],Games[Season],Games[[#This Row],[Season]],Games[Date],"&lt;=" &amp; Games[[#This Row],[Date]])</f>
        <v>25</v>
      </c>
      <c r="D346" s="2" t="s">
        <v>23</v>
      </c>
      <c r="E346" s="2" t="s">
        <v>29</v>
      </c>
      <c r="F346" s="1" t="s">
        <v>45</v>
      </c>
      <c r="G346" s="1" t="s">
        <v>79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1636.9286570983154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1560.2511672270678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0.48946362084841888</v>
      </c>
      <c r="R346" s="1">
        <v>60</v>
      </c>
      <c r="S346" s="1">
        <v>75</v>
      </c>
      <c r="T346" s="1">
        <v>0</v>
      </c>
      <c r="U346" s="1">
        <f>Games[[#This Row],[PointsFor]]-Games[[#This Row],[PointsAgainst]]</f>
        <v>-15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0.47264688101876895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72.25</v>
      </c>
      <c r="Z346" s="4">
        <f>Games[[#This Row],[K]]*Games[[#This Row],[POMult]]</f>
        <v>72.25</v>
      </c>
      <c r="AA346" s="4">
        <f>(Games[[#This Row],[Keff]]*Games[[#This Row],[MOVMult]])*(Games[[#This Row],[Result]]-Games[[#This Row],[ExpectedWin%]])</f>
        <v>-16.71456453460495</v>
      </c>
      <c r="AB346" s="4">
        <f>Games[[#This Row],[PreGmRate]]+Games[[#This Row],[RatingChange]]</f>
        <v>1620.2140925637104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38923</v>
      </c>
      <c r="B347" s="2">
        <v>2006</v>
      </c>
      <c r="C347" s="2">
        <f>COUNTIFS(Games[Team],Games[[#This Row],[Team]],Games[Season],Games[[#This Row],[Season]],Games[Date],"&lt;=" &amp; Games[[#This Row],[Date]])</f>
        <v>25</v>
      </c>
      <c r="D347" s="2" t="s">
        <v>23</v>
      </c>
      <c r="E347" s="2" t="s">
        <v>29</v>
      </c>
      <c r="F347" s="1" t="s">
        <v>79</v>
      </c>
      <c r="G347" s="1" t="s">
        <v>45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1560.2511672270678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1636.9286570983154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0.51053637915158101</v>
      </c>
      <c r="R347" s="1">
        <v>75</v>
      </c>
      <c r="S347" s="1">
        <v>60</v>
      </c>
      <c r="T347" s="1">
        <v>0</v>
      </c>
      <c r="U347" s="1">
        <f>Games[[#This Row],[PointsFor]]-Games[[#This Row],[PointsAgainst]]</f>
        <v>15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0.47264688101876895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72.25</v>
      </c>
      <c r="Z347" s="4">
        <f>Games[[#This Row],[K]]*Games[[#This Row],[POMult]]</f>
        <v>72.25</v>
      </c>
      <c r="AA347" s="4">
        <f>(Games[[#This Row],[Keff]]*Games[[#This Row],[MOVMult]])*(Games[[#This Row],[Result]]-Games[[#This Row],[ExpectedWin%]])</f>
        <v>16.714564534604953</v>
      </c>
      <c r="AB347" s="4">
        <f>Games[[#This Row],[PreGmRate]]+Games[[#This Row],[RatingChange]]</f>
        <v>1576.9657317616727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38923</v>
      </c>
      <c r="B348" s="2">
        <v>2006</v>
      </c>
      <c r="C348" s="2">
        <f>COUNTIFS(Games[Team],Games[[#This Row],[Team]],Games[Season],Games[[#This Row],[Season]],Games[Date],"&lt;=" &amp; Games[[#This Row],[Date]])</f>
        <v>26</v>
      </c>
      <c r="D348" s="2" t="s">
        <v>23</v>
      </c>
      <c r="E348" s="2" t="s">
        <v>29</v>
      </c>
      <c r="F348" s="1" t="s">
        <v>81</v>
      </c>
      <c r="G348" s="1" t="s">
        <v>44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-1</v>
      </c>
      <c r="L348" s="2">
        <f>Games[[#This Row],[OppDaysOff]]-Games[[#This Row],[DaysOff]]</f>
        <v>1</v>
      </c>
      <c r="M348" s="1">
        <f>MAX(-16, MIN(16, Games[[#This Row],[RestDiff]]*8))</f>
        <v>-8</v>
      </c>
      <c r="N348" s="1">
        <f>MAX(-16, MIN(16, Games[[#This Row],[OppRestDiff]]*8))</f>
        <v>8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1532.399058359146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1516.7720171836274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0.38090946659562658</v>
      </c>
      <c r="R348" s="1">
        <v>91</v>
      </c>
      <c r="S348" s="1">
        <v>85</v>
      </c>
      <c r="T348" s="1">
        <v>0</v>
      </c>
      <c r="U348" s="1">
        <f>Games[[#This Row],[PointsFor]]-Games[[#This Row],[PointsAgainst]]</f>
        <v>6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0.34676500195451504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72.099999999999994</v>
      </c>
      <c r="Z348" s="4">
        <f>Games[[#This Row],[K]]*Games[[#This Row],[POMult]]</f>
        <v>72.099999999999994</v>
      </c>
      <c r="AA348" s="4">
        <f>(Games[[#This Row],[Keff]]*Games[[#This Row],[MOVMult]])*(Games[[#This Row],[Result]]-Games[[#This Row],[ExpectedWin%]])</f>
        <v>15.478350854873829</v>
      </c>
      <c r="AB348" s="4">
        <f>Games[[#This Row],[PreGmRate]]+Games[[#This Row],[RatingChange]]</f>
        <v>1547.8774092140197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38923</v>
      </c>
      <c r="B349" s="2">
        <v>2006</v>
      </c>
      <c r="C349" s="2">
        <f>COUNTIFS(Games[Team],Games[[#This Row],[Team]],Games[Season],Games[[#This Row],[Season]],Games[Date],"&lt;=" &amp; Games[[#This Row],[Date]])</f>
        <v>24</v>
      </c>
      <c r="D349" s="2" t="s">
        <v>23</v>
      </c>
      <c r="E349" s="2" t="s">
        <v>29</v>
      </c>
      <c r="F349" s="1" t="s">
        <v>44</v>
      </c>
      <c r="G349" s="1" t="s">
        <v>81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1</v>
      </c>
      <c r="L349" s="2">
        <f>Games[[#This Row],[OppDaysOff]]-Games[[#This Row],[DaysOff]]</f>
        <v>-1</v>
      </c>
      <c r="M349" s="1">
        <f>MAX(-16, MIN(16, Games[[#This Row],[RestDiff]]*8))</f>
        <v>8</v>
      </c>
      <c r="N349" s="1">
        <f>MAX(-16, MIN(16, Games[[#This Row],[OppRestDiff]]*8))</f>
        <v>-8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1516.7720171836274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1532.399058359146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0.61909053340437337</v>
      </c>
      <c r="R349" s="1">
        <v>85</v>
      </c>
      <c r="S349" s="1">
        <v>91</v>
      </c>
      <c r="T349" s="1">
        <v>0</v>
      </c>
      <c r="U349" s="1">
        <f>Games[[#This Row],[PointsFor]]-Games[[#This Row],[PointsAgainst]]</f>
        <v>-6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0.34676500195451504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72.400000000000006</v>
      </c>
      <c r="Z349" s="4">
        <f>Games[[#This Row],[K]]*Games[[#This Row],[POMult]]</f>
        <v>72.400000000000006</v>
      </c>
      <c r="AA349" s="4">
        <f>(Games[[#This Row],[Keff]]*Games[[#This Row],[MOVMult]])*(Games[[#This Row],[Result]]-Games[[#This Row],[ExpectedWin%]])</f>
        <v>-15.542754533881626</v>
      </c>
      <c r="AB349" s="4">
        <f>Games[[#This Row],[PreGmRate]]+Games[[#This Row],[RatingChange]]</f>
        <v>1501.2292626497458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38924</v>
      </c>
      <c r="B350" s="2">
        <v>2006</v>
      </c>
      <c r="C350" s="2">
        <f>COUNTIFS(Games[Team],Games[[#This Row],[Team]],Games[Season],Games[[#This Row],[Season]],Games[Date],"&lt;=" &amp; Games[[#This Row],[Date]])</f>
        <v>26</v>
      </c>
      <c r="D350" s="2" t="s">
        <v>23</v>
      </c>
      <c r="E350" s="2" t="s">
        <v>29</v>
      </c>
      <c r="F350" s="1" t="s">
        <v>45</v>
      </c>
      <c r="G350" s="1" t="s">
        <v>75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0" s="2">
        <f>Games[[#This Row],[DaysOff]]-Games[[#This Row],[OppDaysOff]]</f>
        <v>-3</v>
      </c>
      <c r="L350" s="2">
        <f>Games[[#This Row],[OppDaysOff]]-Games[[#This Row],[DaysOff]]</f>
        <v>3</v>
      </c>
      <c r="M350" s="1">
        <f>MAX(-16, MIN(16, Games[[#This Row],[RestDiff]]*8))</f>
        <v>-16</v>
      </c>
      <c r="N350" s="1">
        <f>MAX(-16, MIN(16, Games[[#This Row],[OppRestDiff]]*8))</f>
        <v>16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1620.2140925637104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1572.29258814784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0.40326208629477917</v>
      </c>
      <c r="R350" s="1">
        <v>71</v>
      </c>
      <c r="S350" s="1">
        <v>91</v>
      </c>
      <c r="T350" s="1">
        <v>0</v>
      </c>
      <c r="U350" s="1">
        <f>Games[[#This Row],[PointsFor]]-Games[[#This Row],[PointsAgainst]]</f>
        <v>-20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0.55281107689022513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72.099999999999994</v>
      </c>
      <c r="Z350" s="4">
        <f>Games[[#This Row],[K]]*Games[[#This Row],[POMult]]</f>
        <v>72.099999999999994</v>
      </c>
      <c r="AA350" s="4">
        <f>(Games[[#This Row],[Keff]]*Games[[#This Row],[MOVMult]])*(Games[[#This Row],[Result]]-Games[[#This Row],[ExpectedWin%]])</f>
        <v>-16.073090644759695</v>
      </c>
      <c r="AB350" s="4">
        <f>Games[[#This Row],[PreGmRate]]+Games[[#This Row],[RatingChange]]</f>
        <v>1604.1410019189507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38924</v>
      </c>
      <c r="B351" s="2">
        <v>2006</v>
      </c>
      <c r="C351" s="2">
        <f>COUNTIFS(Games[Team],Games[[#This Row],[Team]],Games[Season],Games[[#This Row],[Season]],Games[Date],"&lt;=" &amp; Games[[#This Row],[Date]])</f>
        <v>24</v>
      </c>
      <c r="D351" s="2" t="s">
        <v>23</v>
      </c>
      <c r="E351" s="2" t="s">
        <v>29</v>
      </c>
      <c r="F351" s="1" t="s">
        <v>75</v>
      </c>
      <c r="G351" s="1" t="s">
        <v>45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1" s="2">
        <f>Games[[#This Row],[DaysOff]]-Games[[#This Row],[OppDaysOff]]</f>
        <v>3</v>
      </c>
      <c r="L351" s="2">
        <f>Games[[#This Row],[OppDaysOff]]-Games[[#This Row],[DaysOff]]</f>
        <v>-3</v>
      </c>
      <c r="M351" s="1">
        <f>MAX(-16, MIN(16, Games[[#This Row],[RestDiff]]*8))</f>
        <v>16</v>
      </c>
      <c r="N351" s="1">
        <f>MAX(-16, MIN(16, Games[[#This Row],[OppRestDiff]]*8))</f>
        <v>-16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1572.29258814784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1620.2140925637104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0.59673791370522078</v>
      </c>
      <c r="R351" s="1">
        <v>91</v>
      </c>
      <c r="S351" s="1">
        <v>71</v>
      </c>
      <c r="T351" s="1">
        <v>0</v>
      </c>
      <c r="U351" s="1">
        <f>Games[[#This Row],[PointsFor]]-Games[[#This Row],[PointsAgainst]]</f>
        <v>20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0.55281107689022513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72.400000000000006</v>
      </c>
      <c r="Z351" s="4">
        <f>Games[[#This Row],[K]]*Games[[#This Row],[POMult]]</f>
        <v>72.400000000000006</v>
      </c>
      <c r="AA351" s="4">
        <f>(Games[[#This Row],[Keff]]*Games[[#This Row],[MOVMult]])*(Games[[#This Row],[Result]]-Games[[#This Row],[ExpectedWin%]])</f>
        <v>16.139968969217783</v>
      </c>
      <c r="AB351" s="4">
        <f>Games[[#This Row],[PreGmRate]]+Games[[#This Row],[RatingChange]]</f>
        <v>1588.4325571170577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38924</v>
      </c>
      <c r="B352" s="2">
        <v>2006</v>
      </c>
      <c r="C352" s="2">
        <f>COUNTIFS(Games[Team],Games[[#This Row],[Team]],Games[Season],Games[[#This Row],[Season]],Games[Date],"&lt;=" &amp; Games[[#This Row],[Date]])</f>
        <v>28</v>
      </c>
      <c r="D352" s="2" t="s">
        <v>23</v>
      </c>
      <c r="E352" s="2" t="s">
        <v>29</v>
      </c>
      <c r="F352" s="1" t="s">
        <v>70</v>
      </c>
      <c r="G352" s="1" t="s">
        <v>84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2" s="2">
        <f>Games[[#This Row],[DaysOff]]-Games[[#This Row],[OppDaysOff]]</f>
        <v>-3</v>
      </c>
      <c r="L352" s="2">
        <f>Games[[#This Row],[OppDaysOff]]-Games[[#This Row],[DaysOff]]</f>
        <v>3</v>
      </c>
      <c r="M352" s="1">
        <f>MAX(-16, MIN(16, Games[[#This Row],[RestDiff]]*8))</f>
        <v>-16</v>
      </c>
      <c r="N352" s="1">
        <f>MAX(-16, MIN(16, Games[[#This Row],[OppRestDiff]]*8))</f>
        <v>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1624.1719986778373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1443.3723268046958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0.59218776527853001</v>
      </c>
      <c r="R352" s="1">
        <v>81</v>
      </c>
      <c r="S352" s="1">
        <v>67</v>
      </c>
      <c r="T352" s="1">
        <v>0</v>
      </c>
      <c r="U352" s="1">
        <f>Games[[#This Row],[PointsFor]]-Games[[#This Row],[PointsAgainst]]</f>
        <v>14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0.42376148847656975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71.8</v>
      </c>
      <c r="Z352" s="4">
        <f>Games[[#This Row],[K]]*Games[[#This Row],[POMult]]</f>
        <v>71.8</v>
      </c>
      <c r="AA352" s="4">
        <f>(Games[[#This Row],[Keff]]*Games[[#This Row],[MOVMult]])*(Games[[#This Row],[Result]]-Games[[#This Row],[ExpectedWin%]])</f>
        <v>12.408125587604992</v>
      </c>
      <c r="AB352" s="4">
        <f>Games[[#This Row],[PreGmRate]]+Games[[#This Row],[RatingChange]]</f>
        <v>1636.5801242654422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38924</v>
      </c>
      <c r="B353" s="2">
        <v>2006</v>
      </c>
      <c r="C353" s="2">
        <f>COUNTIFS(Games[Team],Games[[#This Row],[Team]],Games[Season],Games[[#This Row],[Season]],Games[Date],"&lt;=" &amp; Games[[#This Row],[Date]])</f>
        <v>25</v>
      </c>
      <c r="D353" s="2" t="s">
        <v>23</v>
      </c>
      <c r="E353" s="2" t="s">
        <v>29</v>
      </c>
      <c r="F353" s="1" t="s">
        <v>84</v>
      </c>
      <c r="G353" s="1" t="s">
        <v>70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3" s="2">
        <f>Games[[#This Row],[DaysOff]]-Games[[#This Row],[OppDaysOff]]</f>
        <v>3</v>
      </c>
      <c r="L353" s="2">
        <f>Games[[#This Row],[OppDaysOff]]-Games[[#This Row],[DaysOff]]</f>
        <v>-3</v>
      </c>
      <c r="M353" s="1">
        <f>MAX(-16, MIN(16, Games[[#This Row],[RestDiff]]*8))</f>
        <v>16</v>
      </c>
      <c r="N353" s="1">
        <f>MAX(-16, MIN(16, Games[[#This Row],[OppRestDiff]]*8))</f>
        <v>-16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1443.3723268046958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1624.1719986778373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0.40781223472147005</v>
      </c>
      <c r="R353" s="1">
        <v>67</v>
      </c>
      <c r="S353" s="1">
        <v>81</v>
      </c>
      <c r="T353" s="1">
        <v>0</v>
      </c>
      <c r="U353" s="1">
        <f>Games[[#This Row],[PointsFor]]-Games[[#This Row],[PointsAgainst]]</f>
        <v>-14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0.42376148847656975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72.25</v>
      </c>
      <c r="Z353" s="4">
        <f>Games[[#This Row],[K]]*Games[[#This Row],[POMult]]</f>
        <v>72.25</v>
      </c>
      <c r="AA353" s="4">
        <f>(Games[[#This Row],[Keff]]*Games[[#This Row],[MOVMult]])*(Games[[#This Row],[Result]]-Games[[#This Row],[ExpectedWin%]])</f>
        <v>-12.485892391427031</v>
      </c>
      <c r="AB353" s="4">
        <f>Games[[#This Row],[PreGmRate]]+Games[[#This Row],[RatingChange]]</f>
        <v>1430.8864344132687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38925</v>
      </c>
      <c r="B354" s="2">
        <v>2006</v>
      </c>
      <c r="C354" s="2">
        <f>COUNTIFS(Games[Team],Games[[#This Row],[Team]],Games[Season],Games[[#This Row],[Season]],Games[Date],"&lt;=" &amp; Games[[#This Row],[Date]])</f>
        <v>25</v>
      </c>
      <c r="D354" s="2" t="s">
        <v>23</v>
      </c>
      <c r="E354" s="2" t="s">
        <v>29</v>
      </c>
      <c r="F354" s="1" t="s">
        <v>44</v>
      </c>
      <c r="G354" s="1" t="s">
        <v>2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1501.2292626497458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1518.7949980621584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0.35786117866924022</v>
      </c>
      <c r="R354" s="1">
        <v>95</v>
      </c>
      <c r="S354" s="1">
        <v>98</v>
      </c>
      <c r="T354" s="1">
        <v>0</v>
      </c>
      <c r="U354" s="1">
        <f>Games[[#This Row],[PointsFor]]-Games[[#This Row],[PointsAgainst]]</f>
        <v>-3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0.28599706380575901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72.25</v>
      </c>
      <c r="Z354" s="4">
        <f>Games[[#This Row],[K]]*Games[[#This Row],[POMult]]</f>
        <v>72.25</v>
      </c>
      <c r="AA354" s="4">
        <f>(Games[[#This Row],[Keff]]*Games[[#This Row],[MOVMult]])*(Games[[#This Row],[Result]]-Games[[#This Row],[ExpectedWin%]])</f>
        <v>-7.3945885487492671</v>
      </c>
      <c r="AB354" s="4">
        <f>Games[[#This Row],[PreGmRate]]+Games[[#This Row],[RatingChange]]</f>
        <v>1493.8346741009966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38925</v>
      </c>
      <c r="B355" s="2">
        <v>2006</v>
      </c>
      <c r="C355" s="2">
        <f>COUNTIFS(Games[Team],Games[[#This Row],[Team]],Games[Season],Games[[#This Row],[Season]],Games[Date],"&lt;=" &amp; Games[[#This Row],[Date]])</f>
        <v>27</v>
      </c>
      <c r="D355" s="2" t="s">
        <v>23</v>
      </c>
      <c r="E355" s="2" t="s">
        <v>29</v>
      </c>
      <c r="F355" s="1" t="s">
        <v>2</v>
      </c>
      <c r="G355" s="1" t="s">
        <v>44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1518.7949980621584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1501.2292626497458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0.64213882133075972</v>
      </c>
      <c r="R355" s="1">
        <v>98</v>
      </c>
      <c r="S355" s="1">
        <v>95</v>
      </c>
      <c r="T355" s="1">
        <v>0</v>
      </c>
      <c r="U355" s="1">
        <f>Games[[#This Row],[PointsFor]]-Games[[#This Row],[PointsAgainst]]</f>
        <v>3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0.28599706380575901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71.95</v>
      </c>
      <c r="Z355" s="4">
        <f>Games[[#This Row],[K]]*Games[[#This Row],[POMult]]</f>
        <v>71.95</v>
      </c>
      <c r="AA355" s="4">
        <f>(Games[[#This Row],[Keff]]*Games[[#This Row],[MOVMult]])*(Games[[#This Row],[Result]]-Games[[#This Row],[ExpectedWin%]])</f>
        <v>7.3638843748444263</v>
      </c>
      <c r="AB355" s="4">
        <f>Games[[#This Row],[PreGmRate]]+Games[[#This Row],[RatingChange]]</f>
        <v>1526.1588824370028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38925</v>
      </c>
      <c r="B356" s="2">
        <v>2006</v>
      </c>
      <c r="C356" s="2">
        <f>COUNTIFS(Games[Team],Games[[#This Row],[Team]],Games[Season],Games[[#This Row],[Season]],Games[Date],"&lt;=" &amp; Games[[#This Row],[Date]])</f>
        <v>26</v>
      </c>
      <c r="D356" s="2" t="s">
        <v>23</v>
      </c>
      <c r="E356" s="2" t="s">
        <v>29</v>
      </c>
      <c r="F356" s="1" t="s">
        <v>64</v>
      </c>
      <c r="G356" s="1" t="s">
        <v>77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1384.7990615121332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1418.245950986103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0.33713707019315864</v>
      </c>
      <c r="R356" s="1">
        <v>81</v>
      </c>
      <c r="S356" s="1">
        <v>68</v>
      </c>
      <c r="T356" s="1">
        <v>0</v>
      </c>
      <c r="U356" s="1">
        <f>Games[[#This Row],[PointsFor]]-Games[[#This Row],[PointsAgainst]]</f>
        <v>13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0.45924353258413664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72.099999999999994</v>
      </c>
      <c r="Z356" s="4">
        <f>Games[[#This Row],[K]]*Games[[#This Row],[POMult]]</f>
        <v>72.099999999999994</v>
      </c>
      <c r="AA356" s="4">
        <f>(Games[[#This Row],[Keff]]*Games[[#This Row],[MOVMult]])*(Games[[#This Row],[Result]]-Games[[#This Row],[ExpectedWin%]])</f>
        <v>21.948358523606995</v>
      </c>
      <c r="AB356" s="4">
        <f>Games[[#This Row],[PreGmRate]]+Games[[#This Row],[RatingChange]]</f>
        <v>1406.7474200357401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38925</v>
      </c>
      <c r="B357" s="2">
        <v>2006</v>
      </c>
      <c r="C357" s="2">
        <f>COUNTIFS(Games[Team],Games[[#This Row],[Team]],Games[Season],Games[[#This Row],[Season]],Games[Date],"&lt;=" &amp; Games[[#This Row],[Date]])</f>
        <v>25</v>
      </c>
      <c r="D357" s="2" t="s">
        <v>23</v>
      </c>
      <c r="E357" s="2" t="s">
        <v>29</v>
      </c>
      <c r="F357" s="1" t="s">
        <v>77</v>
      </c>
      <c r="G357" s="1" t="s">
        <v>64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1418.245950986103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1384.7990615121332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0.66286292980684136</v>
      </c>
      <c r="R357" s="1">
        <v>68</v>
      </c>
      <c r="S357" s="1">
        <v>81</v>
      </c>
      <c r="T357" s="1">
        <v>0</v>
      </c>
      <c r="U357" s="1">
        <f>Games[[#This Row],[PointsFor]]-Games[[#This Row],[PointsAgainst]]</f>
        <v>-13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0.45924353258413664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72.25</v>
      </c>
      <c r="Z357" s="4">
        <f>Games[[#This Row],[K]]*Games[[#This Row],[POMult]]</f>
        <v>72.25</v>
      </c>
      <c r="AA357" s="4">
        <f>(Games[[#This Row],[Keff]]*Games[[#This Row],[MOVMult]])*(Games[[#This Row],[Result]]-Games[[#This Row],[ExpectedWin%]])</f>
        <v>-21.994020850632531</v>
      </c>
      <c r="AB357" s="4">
        <f>Games[[#This Row],[PreGmRate]]+Games[[#This Row],[RatingChange]]</f>
        <v>1396.2519301354705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38925</v>
      </c>
      <c r="B358" s="2">
        <v>2006</v>
      </c>
      <c r="C358" s="2">
        <f>COUNTIFS(Games[Team],Games[[#This Row],[Team]],Games[Season],Games[[#This Row],[Season]],Games[Date],"&lt;=" &amp; Games[[#This Row],[Date]])</f>
        <v>25</v>
      </c>
      <c r="D358" s="2" t="s">
        <v>23</v>
      </c>
      <c r="E358" s="2" t="s">
        <v>29</v>
      </c>
      <c r="F358" s="1" t="s">
        <v>87</v>
      </c>
      <c r="G358" s="1" t="s">
        <v>73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1309.3852813145131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1475.2609594027274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0.19179323557064781</v>
      </c>
      <c r="R358" s="1">
        <v>74</v>
      </c>
      <c r="S358" s="1">
        <v>92</v>
      </c>
      <c r="T358" s="1">
        <v>0</v>
      </c>
      <c r="U358" s="1">
        <f>Games[[#This Row],[PointsFor]]-Games[[#This Row],[PointsAgainst]]</f>
        <v>-18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0.4804249237895904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72.25</v>
      </c>
      <c r="Z358" s="4">
        <f>Games[[#This Row],[K]]*Games[[#This Row],[POMult]]</f>
        <v>72.25</v>
      </c>
      <c r="AA358" s="4">
        <f>(Games[[#This Row],[Keff]]*Games[[#This Row],[MOVMult]])*(Games[[#This Row],[Result]]-Games[[#This Row],[ExpectedWin%]])</f>
        <v>-6.6572776045774926</v>
      </c>
      <c r="AB358" s="4">
        <f>Games[[#This Row],[PreGmRate]]+Games[[#This Row],[RatingChange]]</f>
        <v>1302.7280037099356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38925</v>
      </c>
      <c r="B359" s="2">
        <v>2006</v>
      </c>
      <c r="C359" s="2">
        <f>COUNTIFS(Games[Team],Games[[#This Row],[Team]],Games[Season],Games[[#This Row],[Season]],Games[Date],"&lt;=" &amp; Games[[#This Row],[Date]])</f>
        <v>26</v>
      </c>
      <c r="D359" s="2" t="s">
        <v>23</v>
      </c>
      <c r="E359" s="2" t="s">
        <v>29</v>
      </c>
      <c r="F359" s="1" t="s">
        <v>73</v>
      </c>
      <c r="G359" s="1" t="s">
        <v>87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1475.2609594027274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1309.3852813145131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0.80820676442935224</v>
      </c>
      <c r="R359" s="1">
        <v>92</v>
      </c>
      <c r="S359" s="1">
        <v>74</v>
      </c>
      <c r="T359" s="1">
        <v>0</v>
      </c>
      <c r="U359" s="1">
        <f>Games[[#This Row],[PointsFor]]-Games[[#This Row],[PointsAgainst]]</f>
        <v>18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0.4804249237895904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72.099999999999994</v>
      </c>
      <c r="Z359" s="4">
        <f>Games[[#This Row],[K]]*Games[[#This Row],[POMult]]</f>
        <v>72.099999999999994</v>
      </c>
      <c r="AA359" s="4">
        <f>(Games[[#This Row],[Keff]]*Games[[#This Row],[MOVMult]])*(Games[[#This Row],[Result]]-Games[[#This Row],[ExpectedWin%]])</f>
        <v>6.6434562669901309</v>
      </c>
      <c r="AB359" s="4">
        <f>Games[[#This Row],[PreGmRate]]+Games[[#This Row],[RatingChange]]</f>
        <v>1481.9044156697175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38926</v>
      </c>
      <c r="B360" s="2">
        <v>2006</v>
      </c>
      <c r="C360" s="2">
        <f>COUNTIFS(Games[Team],Games[[#This Row],[Team]],Games[Season],Games[[#This Row],[Season]],Games[Date],"&lt;=" &amp; Games[[#This Row],[Date]])</f>
        <v>26</v>
      </c>
      <c r="D360" s="2" t="s">
        <v>23</v>
      </c>
      <c r="E360" s="2" t="s">
        <v>29</v>
      </c>
      <c r="F360" s="1" t="s">
        <v>77</v>
      </c>
      <c r="G360" s="1" t="s">
        <v>87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1396.2519301354705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1302.7280037099356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0.51370259991426082</v>
      </c>
      <c r="R360" s="1">
        <v>65</v>
      </c>
      <c r="S360" s="1">
        <v>79</v>
      </c>
      <c r="T360" s="1">
        <v>0</v>
      </c>
      <c r="U360" s="1">
        <f>Games[[#This Row],[PointsFor]]-Games[[#This Row],[PointsAgainst]]</f>
        <v>-14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0.45235322848479681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72.099999999999994</v>
      </c>
      <c r="Z360" s="4">
        <f>Games[[#This Row],[K]]*Games[[#This Row],[POMult]]</f>
        <v>72.099999999999994</v>
      </c>
      <c r="AA360" s="4">
        <f>(Games[[#This Row],[Keff]]*Games[[#This Row],[MOVMult]])*(Games[[#This Row],[Result]]-Games[[#This Row],[ExpectedWin%]])</f>
        <v>-16.754239630717205</v>
      </c>
      <c r="AB360" s="4">
        <f>Games[[#This Row],[PreGmRate]]+Games[[#This Row],[RatingChange]]</f>
        <v>1379.4976905047533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38926</v>
      </c>
      <c r="B361" s="2">
        <v>2006</v>
      </c>
      <c r="C361" s="2">
        <f>COUNTIFS(Games[Team],Games[[#This Row],[Team]],Games[Season],Games[[#This Row],[Season]],Games[Date],"&lt;=" &amp; Games[[#This Row],[Date]])</f>
        <v>26</v>
      </c>
      <c r="D361" s="2" t="s">
        <v>23</v>
      </c>
      <c r="E361" s="2" t="s">
        <v>29</v>
      </c>
      <c r="F361" s="1" t="s">
        <v>87</v>
      </c>
      <c r="G361" s="1" t="s">
        <v>77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1302.7280037099356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1396.2519301354705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0.48629740008573924</v>
      </c>
      <c r="R361" s="1">
        <v>79</v>
      </c>
      <c r="S361" s="1">
        <v>65</v>
      </c>
      <c r="T361" s="1">
        <v>0</v>
      </c>
      <c r="U361" s="1">
        <f>Games[[#This Row],[PointsFor]]-Games[[#This Row],[PointsAgainst]]</f>
        <v>14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0.45235322848479681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72.099999999999994</v>
      </c>
      <c r="Z361" s="4">
        <f>Games[[#This Row],[K]]*Games[[#This Row],[POMult]]</f>
        <v>72.099999999999994</v>
      </c>
      <c r="AA361" s="4">
        <f>(Games[[#This Row],[Keff]]*Games[[#This Row],[MOVMult]])*(Games[[#This Row],[Result]]-Games[[#This Row],[ExpectedWin%]])</f>
        <v>16.754239630717205</v>
      </c>
      <c r="AB361" s="4">
        <f>Games[[#This Row],[PreGmRate]]+Games[[#This Row],[RatingChange]]</f>
        <v>1319.4822433406528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38926</v>
      </c>
      <c r="B362" s="2">
        <v>2006</v>
      </c>
      <c r="C362" s="2">
        <f>COUNTIFS(Games[Team],Games[[#This Row],[Team]],Games[Season],Games[[#This Row],[Season]],Games[Date],"&lt;=" &amp; Games[[#This Row],[Date]])</f>
        <v>27</v>
      </c>
      <c r="D362" s="2" t="s">
        <v>23</v>
      </c>
      <c r="E362" s="2" t="s">
        <v>29</v>
      </c>
      <c r="F362" s="1" t="s">
        <v>45</v>
      </c>
      <c r="G362" s="1" t="s">
        <v>86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-1</v>
      </c>
      <c r="L362" s="2">
        <f>Games[[#This Row],[OppDaysOff]]-Games[[#This Row],[DaysOff]]</f>
        <v>1</v>
      </c>
      <c r="M362" s="1">
        <f>MAX(-16, MIN(16, Games[[#This Row],[RestDiff]]*8))</f>
        <v>-8</v>
      </c>
      <c r="N362" s="1">
        <f>MAX(-16, MIN(16, Games[[#This Row],[OppRestDiff]]*8))</f>
        <v>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1604.1410019189507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1668.0795043111752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0.28015238037473877</v>
      </c>
      <c r="R362" s="1">
        <v>68</v>
      </c>
      <c r="S362" s="1">
        <v>75</v>
      </c>
      <c r="T362" s="1">
        <v>0</v>
      </c>
      <c r="U362" s="1">
        <f>Games[[#This Row],[PointsFor]]-Games[[#This Row],[PointsAgainst]]</f>
        <v>-7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0.3513846647949983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71.95</v>
      </c>
      <c r="Z362" s="4">
        <f>Games[[#This Row],[K]]*Games[[#This Row],[POMult]]</f>
        <v>71.95</v>
      </c>
      <c r="AA362" s="4">
        <f>(Games[[#This Row],[Keff]]*Games[[#This Row],[MOVMult]])*(Games[[#This Row],[Result]]-Games[[#This Row],[ExpectedWin%]])</f>
        <v>-7.0828479568904132</v>
      </c>
      <c r="AB362" s="4">
        <f>Games[[#This Row],[PreGmRate]]+Games[[#This Row],[RatingChange]]</f>
        <v>1597.0581539620603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38926</v>
      </c>
      <c r="B363" s="2">
        <v>2006</v>
      </c>
      <c r="C363" s="2">
        <f>COUNTIFS(Games[Team],Games[[#This Row],[Team]],Games[Season],Games[[#This Row],[Season]],Games[Date],"&lt;=" &amp; Games[[#This Row],[Date]])</f>
        <v>26</v>
      </c>
      <c r="D363" s="2" t="s">
        <v>23</v>
      </c>
      <c r="E363" s="2" t="s">
        <v>29</v>
      </c>
      <c r="F363" s="1" t="s">
        <v>86</v>
      </c>
      <c r="G363" s="1" t="s">
        <v>45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1</v>
      </c>
      <c r="L363" s="2">
        <f>Games[[#This Row],[OppDaysOff]]-Games[[#This Row],[DaysOff]]</f>
        <v>-1</v>
      </c>
      <c r="M363" s="1">
        <f>MAX(-16, MIN(16, Games[[#This Row],[RestDiff]]*8))</f>
        <v>8</v>
      </c>
      <c r="N363" s="1">
        <f>MAX(-16, MIN(16, Games[[#This Row],[OppRestDiff]]*8))</f>
        <v>-8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1668.0795043111752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1604.1410019189507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0.71984761962526123</v>
      </c>
      <c r="R363" s="1">
        <v>75</v>
      </c>
      <c r="S363" s="1">
        <v>68</v>
      </c>
      <c r="T363" s="1">
        <v>0</v>
      </c>
      <c r="U363" s="1">
        <f>Games[[#This Row],[PointsFor]]-Games[[#This Row],[PointsAgainst]]</f>
        <v>7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0.3513846647949983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72.099999999999994</v>
      </c>
      <c r="Z363" s="4">
        <f>Games[[#This Row],[K]]*Games[[#This Row],[POMult]]</f>
        <v>72.099999999999994</v>
      </c>
      <c r="AA363" s="4">
        <f>(Games[[#This Row],[Keff]]*Games[[#This Row],[MOVMult]])*(Games[[#This Row],[Result]]-Games[[#This Row],[ExpectedWin%]])</f>
        <v>7.0976141444308372</v>
      </c>
      <c r="AB363" s="4">
        <f>Games[[#This Row],[PreGmRate]]+Games[[#This Row],[RatingChange]]</f>
        <v>1675.177118455606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38926</v>
      </c>
      <c r="B364" s="2">
        <v>2006</v>
      </c>
      <c r="C364" s="2">
        <f>COUNTIFS(Games[Team],Games[[#This Row],[Team]],Games[Season],Games[[#This Row],[Season]],Games[Date],"&lt;=" &amp; Games[[#This Row],[Date]])</f>
        <v>26</v>
      </c>
      <c r="D364" s="2" t="s">
        <v>23</v>
      </c>
      <c r="E364" s="2" t="s">
        <v>29</v>
      </c>
      <c r="F364" s="1" t="s">
        <v>44</v>
      </c>
      <c r="G364" s="1" t="s">
        <v>84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-1</v>
      </c>
      <c r="L364" s="2">
        <f>Games[[#This Row],[OppDaysOff]]-Games[[#This Row],[DaysOff]]</f>
        <v>1</v>
      </c>
      <c r="M364" s="1">
        <f>MAX(-16, MIN(16, Games[[#This Row],[RestDiff]]*8))</f>
        <v>-8</v>
      </c>
      <c r="N364" s="1">
        <f>MAX(-16, MIN(16, Games[[#This Row],[OppRestDiff]]*8))</f>
        <v>8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1493.8346741009966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1430.8864344132687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0.44687945535904011</v>
      </c>
      <c r="R364" s="1">
        <v>96</v>
      </c>
      <c r="S364" s="1">
        <v>98</v>
      </c>
      <c r="T364" s="1">
        <v>0</v>
      </c>
      <c r="U364" s="1">
        <f>Games[[#This Row],[PointsFor]]-Games[[#This Row],[PointsAgainst]]</f>
        <v>-2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0.25449149448204972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72.099999999999994</v>
      </c>
      <c r="Z364" s="4">
        <f>Games[[#This Row],[K]]*Games[[#This Row],[POMult]]</f>
        <v>72.099999999999994</v>
      </c>
      <c r="AA364" s="4">
        <f>(Games[[#This Row],[Keff]]*Games[[#This Row],[MOVMult]])*(Games[[#This Row],[Result]]-Games[[#This Row],[ExpectedWin%]])</f>
        <v>-8.1997181742753149</v>
      </c>
      <c r="AB364" s="4">
        <f>Games[[#This Row],[PreGmRate]]+Games[[#This Row],[RatingChange]]</f>
        <v>1485.6349559267212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38926</v>
      </c>
      <c r="B365" s="2">
        <v>2006</v>
      </c>
      <c r="C365" s="2">
        <f>COUNTIFS(Games[Team],Games[[#This Row],[Team]],Games[Season],Games[[#This Row],[Season]],Games[Date],"&lt;=" &amp; Games[[#This Row],[Date]])</f>
        <v>26</v>
      </c>
      <c r="D365" s="2" t="s">
        <v>23</v>
      </c>
      <c r="E365" s="2" t="s">
        <v>29</v>
      </c>
      <c r="F365" s="1" t="s">
        <v>84</v>
      </c>
      <c r="G365" s="1" t="s">
        <v>44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5" s="2">
        <f>Games[[#This Row],[DaysOff]]-Games[[#This Row],[OppDaysOff]]</f>
        <v>1</v>
      </c>
      <c r="L365" s="2">
        <f>Games[[#This Row],[OppDaysOff]]-Games[[#This Row],[DaysOff]]</f>
        <v>-1</v>
      </c>
      <c r="M365" s="1">
        <f>MAX(-16, MIN(16, Games[[#This Row],[RestDiff]]*8))</f>
        <v>8</v>
      </c>
      <c r="N365" s="1">
        <f>MAX(-16, MIN(16, Games[[#This Row],[OppRestDiff]]*8))</f>
        <v>-8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1430.8864344132687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1493.8346741009966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0.55312054464095983</v>
      </c>
      <c r="R365" s="1">
        <v>98</v>
      </c>
      <c r="S365" s="1">
        <v>96</v>
      </c>
      <c r="T365" s="1">
        <v>0</v>
      </c>
      <c r="U365" s="1">
        <f>Games[[#This Row],[PointsFor]]-Games[[#This Row],[PointsAgainst]]</f>
        <v>2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0.25449149448204972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72.099999999999994</v>
      </c>
      <c r="Z365" s="4">
        <f>Games[[#This Row],[K]]*Games[[#This Row],[POMult]]</f>
        <v>72.099999999999994</v>
      </c>
      <c r="AA365" s="4">
        <f>(Games[[#This Row],[Keff]]*Games[[#This Row],[MOVMult]])*(Games[[#This Row],[Result]]-Games[[#This Row],[ExpectedWin%]])</f>
        <v>8.1997181742753167</v>
      </c>
      <c r="AB365" s="4">
        <f>Games[[#This Row],[PreGmRate]]+Games[[#This Row],[RatingChange]]</f>
        <v>1439.0861525875441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38926</v>
      </c>
      <c r="B366" s="2">
        <v>2006</v>
      </c>
      <c r="C366" s="2">
        <f>COUNTIFS(Games[Team],Games[[#This Row],[Team]],Games[Season],Games[[#This Row],[Season]],Games[Date],"&lt;=" &amp; Games[[#This Row],[Date]])</f>
        <v>25</v>
      </c>
      <c r="D366" s="2" t="s">
        <v>23</v>
      </c>
      <c r="E366" s="2" t="s">
        <v>29</v>
      </c>
      <c r="F366" s="1" t="s">
        <v>75</v>
      </c>
      <c r="G366" s="1" t="s">
        <v>81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-1</v>
      </c>
      <c r="L366" s="2">
        <f>Games[[#This Row],[OppDaysOff]]-Games[[#This Row],[DaysOff]]</f>
        <v>1</v>
      </c>
      <c r="M366" s="1">
        <f>MAX(-16, MIN(16, Games[[#This Row],[RestDiff]]*8))</f>
        <v>-8</v>
      </c>
      <c r="N366" s="1">
        <f>MAX(-16, MIN(16, Games[[#This Row],[OppRestDiff]]*8))</f>
        <v>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1588.4325571170577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1547.8774092140197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0.41527709412614006</v>
      </c>
      <c r="R366" s="1">
        <v>77</v>
      </c>
      <c r="S366" s="1">
        <v>67</v>
      </c>
      <c r="T366" s="1">
        <v>0</v>
      </c>
      <c r="U366" s="1">
        <f>Games[[#This Row],[PointsFor]]-Games[[#This Row],[PointsAgainst]]</f>
        <v>10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0.40929711190753687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72.25</v>
      </c>
      <c r="Z366" s="4">
        <f>Games[[#This Row],[K]]*Games[[#This Row],[POMult]]</f>
        <v>72.25</v>
      </c>
      <c r="AA366" s="4">
        <f>(Games[[#This Row],[Keff]]*Games[[#This Row],[MOVMult]])*(Games[[#This Row],[Result]]-Games[[#This Row],[ExpectedWin%]])</f>
        <v>17.29125990726553</v>
      </c>
      <c r="AB366" s="4">
        <f>Games[[#This Row],[PreGmRate]]+Games[[#This Row],[RatingChange]]</f>
        <v>1605.7238170243234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38926</v>
      </c>
      <c r="B367" s="2">
        <v>2006</v>
      </c>
      <c r="C367" s="2">
        <f>COUNTIFS(Games[Team],Games[[#This Row],[Team]],Games[Season],Games[[#This Row],[Season]],Games[Date],"&lt;=" &amp; Games[[#This Row],[Date]])</f>
        <v>27</v>
      </c>
      <c r="D367" s="2" t="s">
        <v>23</v>
      </c>
      <c r="E367" s="2" t="s">
        <v>29</v>
      </c>
      <c r="F367" s="1" t="s">
        <v>81</v>
      </c>
      <c r="G367" s="1" t="s">
        <v>75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1</v>
      </c>
      <c r="L367" s="2">
        <f>Games[[#This Row],[OppDaysOff]]-Games[[#This Row],[DaysOff]]</f>
        <v>-1</v>
      </c>
      <c r="M367" s="1">
        <f>MAX(-16, MIN(16, Games[[#This Row],[RestDiff]]*8))</f>
        <v>8</v>
      </c>
      <c r="N367" s="1">
        <f>MAX(-16, MIN(16, Games[[#This Row],[OppRestDiff]]*8))</f>
        <v>-8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1547.8774092140197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1588.4325571170577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0.58472290587386</v>
      </c>
      <c r="R367" s="1">
        <v>67</v>
      </c>
      <c r="S367" s="1">
        <v>77</v>
      </c>
      <c r="T367" s="1">
        <v>0</v>
      </c>
      <c r="U367" s="1">
        <f>Games[[#This Row],[PointsFor]]-Games[[#This Row],[PointsAgainst]]</f>
        <v>-10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0.40929711190753687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71.95</v>
      </c>
      <c r="Z367" s="4">
        <f>Games[[#This Row],[K]]*Games[[#This Row],[POMult]]</f>
        <v>71.95</v>
      </c>
      <c r="AA367" s="4">
        <f>(Games[[#This Row],[Keff]]*Games[[#This Row],[MOVMult]])*(Games[[#This Row],[Result]]-Games[[#This Row],[ExpectedWin%]])</f>
        <v>-17.21946228827343</v>
      </c>
      <c r="AB367" s="4">
        <f>Games[[#This Row],[PreGmRate]]+Games[[#This Row],[RatingChange]]</f>
        <v>1530.6579469257463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38927</v>
      </c>
      <c r="B368" s="2">
        <v>2006</v>
      </c>
      <c r="C368" s="2">
        <f>COUNTIFS(Games[Team],Games[[#This Row],[Team]],Games[Season],Games[[#This Row],[Season]],Games[Date],"&lt;=" &amp; Games[[#This Row],[Date]])</f>
        <v>26</v>
      </c>
      <c r="D368" s="2" t="s">
        <v>23</v>
      </c>
      <c r="E368" s="2" t="s">
        <v>29</v>
      </c>
      <c r="F368" s="1" t="s">
        <v>66</v>
      </c>
      <c r="G368" s="1" t="s">
        <v>64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2</v>
      </c>
      <c r="L368" s="2">
        <f>Games[[#This Row],[OppDaysOff]]-Games[[#This Row],[DaysOff]]</f>
        <v>-2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1343.8091515925043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1406.7474200357401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0.34037178531000944</v>
      </c>
      <c r="R368" s="1">
        <v>85</v>
      </c>
      <c r="S368" s="1">
        <v>80</v>
      </c>
      <c r="T368" s="1">
        <v>0</v>
      </c>
      <c r="U368" s="1">
        <f>Games[[#This Row],[PointsFor]]-Games[[#This Row],[PointsAgainst]]</f>
        <v>5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0.31522298476569655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72.099999999999994</v>
      </c>
      <c r="Z368" s="4">
        <f>Games[[#This Row],[K]]*Games[[#This Row],[POMult]]</f>
        <v>72.099999999999994</v>
      </c>
      <c r="AA368" s="4">
        <f>(Games[[#This Row],[Keff]]*Games[[#This Row],[MOVMult]])*(Games[[#This Row],[Result]]-Games[[#This Row],[ExpectedWin%]])</f>
        <v>14.991751173724772</v>
      </c>
      <c r="AB368" s="4">
        <f>Games[[#This Row],[PreGmRate]]+Games[[#This Row],[RatingChange]]</f>
        <v>1358.8009027662292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38927</v>
      </c>
      <c r="B369" s="2">
        <v>2006</v>
      </c>
      <c r="C369" s="2">
        <f>COUNTIFS(Games[Team],Games[[#This Row],[Team]],Games[Season],Games[[#This Row],[Season]],Games[Date],"&lt;=" &amp; Games[[#This Row],[Date]])</f>
        <v>27</v>
      </c>
      <c r="D369" s="2" t="s">
        <v>23</v>
      </c>
      <c r="E369" s="2" t="s">
        <v>29</v>
      </c>
      <c r="F369" s="1" t="s">
        <v>64</v>
      </c>
      <c r="G369" s="1" t="s">
        <v>66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9" s="2">
        <f>Games[[#This Row],[DaysOff]]-Games[[#This Row],[OppDaysOff]]</f>
        <v>-2</v>
      </c>
      <c r="L369" s="2">
        <f>Games[[#This Row],[OppDaysOff]]-Games[[#This Row],[DaysOff]]</f>
        <v>2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1406.7474200357401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1343.8091515925043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0.65962821468999056</v>
      </c>
      <c r="R369" s="1">
        <v>80</v>
      </c>
      <c r="S369" s="1">
        <v>85</v>
      </c>
      <c r="T369" s="1">
        <v>0</v>
      </c>
      <c r="U369" s="1">
        <f>Games[[#This Row],[PointsFor]]-Games[[#This Row],[PointsAgainst]]</f>
        <v>-5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0.31522298476569655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71.95</v>
      </c>
      <c r="Z369" s="4">
        <f>Games[[#This Row],[K]]*Games[[#This Row],[POMult]]</f>
        <v>71.95</v>
      </c>
      <c r="AA369" s="4">
        <f>(Games[[#This Row],[Keff]]*Games[[#This Row],[MOVMult]])*(Games[[#This Row],[Result]]-Games[[#This Row],[ExpectedWin%]])</f>
        <v>-14.960561677524236</v>
      </c>
      <c r="AB369" s="4">
        <f>Games[[#This Row],[PreGmRate]]+Games[[#This Row],[RatingChange]]</f>
        <v>1391.7868583582158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38927</v>
      </c>
      <c r="B370" s="2">
        <v>2006</v>
      </c>
      <c r="C370" s="2">
        <f>COUNTIFS(Games[Team],Games[[#This Row],[Team]],Games[Season],Games[[#This Row],[Season]],Games[Date],"&lt;=" &amp; Games[[#This Row],[Date]])</f>
        <v>27</v>
      </c>
      <c r="D370" s="2" t="s">
        <v>23</v>
      </c>
      <c r="E370" s="2" t="s">
        <v>29</v>
      </c>
      <c r="F370" s="1" t="s">
        <v>73</v>
      </c>
      <c r="G370" s="1" t="s">
        <v>79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0" s="2">
        <f>Games[[#This Row],[DaysOff]]-Games[[#This Row],[OppDaysOff]]</f>
        <v>-2</v>
      </c>
      <c r="L370" s="2">
        <f>Games[[#This Row],[OppDaysOff]]-Games[[#This Row],[DaysOff]]</f>
        <v>2</v>
      </c>
      <c r="M370" s="1">
        <f>MAX(-16, MIN(16, Games[[#This Row],[RestDiff]]*8))</f>
        <v>-16</v>
      </c>
      <c r="N370" s="1">
        <f>MAX(-16, MIN(16, Games[[#This Row],[OppRestDiff]]*8))</f>
        <v>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1481.9044156697175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1576.9657317616727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0.22882344820205763</v>
      </c>
      <c r="R370" s="1">
        <v>74</v>
      </c>
      <c r="S370" s="1">
        <v>67</v>
      </c>
      <c r="T370" s="1">
        <v>0</v>
      </c>
      <c r="U370" s="1">
        <f>Games[[#This Row],[PointsFor]]-Games[[#This Row],[PointsAgainst]]</f>
        <v>7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0.34294021562222993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71.95</v>
      </c>
      <c r="Z370" s="4">
        <f>Games[[#This Row],[K]]*Games[[#This Row],[POMult]]</f>
        <v>71.95</v>
      </c>
      <c r="AA370" s="4">
        <f>(Games[[#This Row],[Keff]]*Games[[#This Row],[MOVMult]])*(Games[[#This Row],[Result]]-Games[[#This Row],[ExpectedWin%]])</f>
        <v>19.028433240212557</v>
      </c>
      <c r="AB370" s="4">
        <f>Games[[#This Row],[PreGmRate]]+Games[[#This Row],[RatingChange]]</f>
        <v>1500.93284890993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38927</v>
      </c>
      <c r="B371" s="2">
        <v>2006</v>
      </c>
      <c r="C371" s="2">
        <f>COUNTIFS(Games[Team],Games[[#This Row],[Team]],Games[Season],Games[[#This Row],[Season]],Games[Date],"&lt;=" &amp; Games[[#This Row],[Date]])</f>
        <v>26</v>
      </c>
      <c r="D371" s="2" t="s">
        <v>23</v>
      </c>
      <c r="E371" s="2" t="s">
        <v>29</v>
      </c>
      <c r="F371" s="1" t="s">
        <v>79</v>
      </c>
      <c r="G371" s="1" t="s">
        <v>73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2</v>
      </c>
      <c r="L371" s="2">
        <f>Games[[#This Row],[OppDaysOff]]-Games[[#This Row],[DaysOff]]</f>
        <v>-2</v>
      </c>
      <c r="M371" s="1">
        <f>MAX(-16, MIN(16, Games[[#This Row],[RestDiff]]*8))</f>
        <v>16</v>
      </c>
      <c r="N371" s="1">
        <f>MAX(-16, MIN(16, Games[[#This Row],[OppRestDiff]]*8))</f>
        <v>-16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1576.9657317616727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1481.9044156697175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0.77117655179794231</v>
      </c>
      <c r="R371" s="1">
        <v>67</v>
      </c>
      <c r="S371" s="1">
        <v>74</v>
      </c>
      <c r="T371" s="1">
        <v>0</v>
      </c>
      <c r="U371" s="1">
        <f>Games[[#This Row],[PointsFor]]-Games[[#This Row],[PointsAgainst]]</f>
        <v>-7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0.34294021562222993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72.099999999999994</v>
      </c>
      <c r="Z371" s="4">
        <f>Games[[#This Row],[K]]*Games[[#This Row],[POMult]]</f>
        <v>72.099999999999994</v>
      </c>
      <c r="AA371" s="4">
        <f>(Games[[#This Row],[Keff]]*Games[[#This Row],[MOVMult]])*(Games[[#This Row],[Result]]-Games[[#This Row],[ExpectedWin%]])</f>
        <v>-19.068103358156012</v>
      </c>
      <c r="AB371" s="4">
        <f>Games[[#This Row],[PreGmRate]]+Games[[#This Row],[RatingChange]]</f>
        <v>1557.8976284035166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38928</v>
      </c>
      <c r="B372" s="2">
        <v>2006</v>
      </c>
      <c r="C372" s="2">
        <f>COUNTIFS(Games[Team],Games[[#This Row],[Team]],Games[Season],Games[[#This Row],[Season]],Games[Date],"&lt;=" &amp; Games[[#This Row],[Date]])</f>
        <v>27</v>
      </c>
      <c r="D372" s="2" t="s">
        <v>23</v>
      </c>
      <c r="E372" s="2" t="s">
        <v>29</v>
      </c>
      <c r="F372" s="1" t="s">
        <v>79</v>
      </c>
      <c r="G372" s="1" t="s">
        <v>87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-1</v>
      </c>
      <c r="L372" s="2">
        <f>Games[[#This Row],[OppDaysOff]]-Games[[#This Row],[DaysOff]]</f>
        <v>1</v>
      </c>
      <c r="M372" s="1">
        <f>MAX(-16, MIN(16, Games[[#This Row],[RestDiff]]*8))</f>
        <v>-8</v>
      </c>
      <c r="N372" s="1">
        <f>MAX(-16, MIN(16, Games[[#This Row],[OppRestDiff]]*8))</f>
        <v>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1557.8976284035166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1319.4822433406528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0.68928591463543054</v>
      </c>
      <c r="R372" s="1">
        <v>69</v>
      </c>
      <c r="S372" s="1">
        <v>64</v>
      </c>
      <c r="T372" s="1">
        <v>0</v>
      </c>
      <c r="U372" s="1">
        <f>Games[[#This Row],[PointsFor]]-Games[[#This Row],[PointsAgainst]]</f>
        <v>5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0.27676787573855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71.95</v>
      </c>
      <c r="Z372" s="4">
        <f>Games[[#This Row],[K]]*Games[[#This Row],[POMult]]</f>
        <v>71.95</v>
      </c>
      <c r="AA372" s="4">
        <f>(Games[[#This Row],[Keff]]*Games[[#This Row],[MOVMult]])*(Games[[#This Row],[Result]]-Games[[#This Row],[ExpectedWin%]])</f>
        <v>6.1873889866562637</v>
      </c>
      <c r="AB372" s="4">
        <f>Games[[#This Row],[PreGmRate]]+Games[[#This Row],[RatingChange]]</f>
        <v>1564.0850173901729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38928</v>
      </c>
      <c r="B373" s="2">
        <v>2006</v>
      </c>
      <c r="C373" s="2">
        <f>COUNTIFS(Games[Team],Games[[#This Row],[Team]],Games[Season],Games[[#This Row],[Season]],Games[Date],"&lt;=" &amp; Games[[#This Row],[Date]])</f>
        <v>27</v>
      </c>
      <c r="D373" s="2" t="s">
        <v>23</v>
      </c>
      <c r="E373" s="2" t="s">
        <v>29</v>
      </c>
      <c r="F373" s="1" t="s">
        <v>87</v>
      </c>
      <c r="G373" s="1" t="s">
        <v>79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3" s="2">
        <f>Games[[#This Row],[DaysOff]]-Games[[#This Row],[OppDaysOff]]</f>
        <v>1</v>
      </c>
      <c r="L373" s="2">
        <f>Games[[#This Row],[OppDaysOff]]-Games[[#This Row],[DaysOff]]</f>
        <v>-1</v>
      </c>
      <c r="M373" s="1">
        <f>MAX(-16, MIN(16, Games[[#This Row],[RestDiff]]*8))</f>
        <v>8</v>
      </c>
      <c r="N373" s="1">
        <f>MAX(-16, MIN(16, Games[[#This Row],[OppRestDiff]]*8))</f>
        <v>-8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1319.4822433406528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1557.8976284035166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0.31071408536456951</v>
      </c>
      <c r="R373" s="1">
        <v>64</v>
      </c>
      <c r="S373" s="1">
        <v>69</v>
      </c>
      <c r="T373" s="1">
        <v>0</v>
      </c>
      <c r="U373" s="1">
        <f>Games[[#This Row],[PointsFor]]-Games[[#This Row],[PointsAgainst]]</f>
        <v>-5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0.27676787573855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71.95</v>
      </c>
      <c r="Z373" s="4">
        <f>Games[[#This Row],[K]]*Games[[#This Row],[POMult]]</f>
        <v>71.95</v>
      </c>
      <c r="AA373" s="4">
        <f>(Games[[#This Row],[Keff]]*Games[[#This Row],[MOVMult]])*(Games[[#This Row],[Result]]-Games[[#This Row],[ExpectedWin%]])</f>
        <v>-6.1873889866562646</v>
      </c>
      <c r="AB373" s="4">
        <f>Games[[#This Row],[PreGmRate]]+Games[[#This Row],[RatingChange]]</f>
        <v>1313.2948543539965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38928</v>
      </c>
      <c r="B374" s="2">
        <v>2006</v>
      </c>
      <c r="C374" s="2">
        <f>COUNTIFS(Games[Team],Games[[#This Row],[Team]],Games[Season],Games[[#This Row],[Season]],Games[Date],"&lt;=" &amp; Games[[#This Row],[Date]])</f>
        <v>27</v>
      </c>
      <c r="D374" s="2" t="s">
        <v>23</v>
      </c>
      <c r="E374" s="2" t="s">
        <v>29</v>
      </c>
      <c r="F374" s="1" t="s">
        <v>84</v>
      </c>
      <c r="G374" s="1" t="s">
        <v>86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0</v>
      </c>
      <c r="L374" s="2">
        <f>Games[[#This Row],[OppDaysOff]]-Games[[#This Row],[DaysOff]]</f>
        <v>0</v>
      </c>
      <c r="M374" s="1">
        <f>MAX(-16, MIN(16, Games[[#This Row],[RestDiff]]*8))</f>
        <v>0</v>
      </c>
      <c r="N374" s="1">
        <f>MAX(-16, MIN(16, Games[[#This Row],[OppRestDiff]]*8))</f>
        <v>0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1439.0861525875441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1675.177118455606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0.13674506312278586</v>
      </c>
      <c r="R374" s="1">
        <v>65</v>
      </c>
      <c r="S374" s="1">
        <v>72</v>
      </c>
      <c r="T374" s="1">
        <v>0</v>
      </c>
      <c r="U374" s="1">
        <f>Games[[#This Row],[PointsFor]]-Games[[#This Row],[PointsAgainst]]</f>
        <v>-7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0.30926216899924952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71.95</v>
      </c>
      <c r="Z374" s="4">
        <f>Games[[#This Row],[K]]*Games[[#This Row],[POMult]]</f>
        <v>71.95</v>
      </c>
      <c r="AA374" s="4">
        <f>(Games[[#This Row],[Keff]]*Games[[#This Row],[MOVMult]])*(Games[[#This Row],[Result]]-Games[[#This Row],[ExpectedWin%]])</f>
        <v>-3.0427708833919627</v>
      </c>
      <c r="AB374" s="4">
        <f>Games[[#This Row],[PreGmRate]]+Games[[#This Row],[RatingChange]]</f>
        <v>1436.0433817041521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38928</v>
      </c>
      <c r="B375" s="2">
        <v>2006</v>
      </c>
      <c r="C375" s="2">
        <f>COUNTIFS(Games[Team],Games[[#This Row],[Team]],Games[Season],Games[[#This Row],[Season]],Games[Date],"&lt;=" &amp; Games[[#This Row],[Date]])</f>
        <v>27</v>
      </c>
      <c r="D375" s="2" t="s">
        <v>23</v>
      </c>
      <c r="E375" s="2" t="s">
        <v>29</v>
      </c>
      <c r="F375" s="1" t="s">
        <v>86</v>
      </c>
      <c r="G375" s="1" t="s">
        <v>84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0</v>
      </c>
      <c r="L375" s="2">
        <f>Games[[#This Row],[OppDaysOff]]-Games[[#This Row],[DaysOff]]</f>
        <v>0</v>
      </c>
      <c r="M375" s="1">
        <f>MAX(-16, MIN(16, Games[[#This Row],[RestDiff]]*8))</f>
        <v>0</v>
      </c>
      <c r="N375" s="1">
        <f>MAX(-16, MIN(16, Games[[#This Row],[OppRestDiff]]*8))</f>
        <v>0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1675.177118455606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1439.0861525875441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0.86325493687721422</v>
      </c>
      <c r="R375" s="1">
        <v>72</v>
      </c>
      <c r="S375" s="1">
        <v>65</v>
      </c>
      <c r="T375" s="1">
        <v>0</v>
      </c>
      <c r="U375" s="1">
        <f>Games[[#This Row],[PointsFor]]-Games[[#This Row],[PointsAgainst]]</f>
        <v>7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0.30926216899924952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71.95</v>
      </c>
      <c r="Z375" s="4">
        <f>Games[[#This Row],[K]]*Games[[#This Row],[POMult]]</f>
        <v>71.95</v>
      </c>
      <c r="AA375" s="4">
        <f>(Games[[#This Row],[Keff]]*Games[[#This Row],[MOVMult]])*(Games[[#This Row],[Result]]-Games[[#This Row],[ExpectedWin%]])</f>
        <v>3.0427708833919609</v>
      </c>
      <c r="AB375" s="4">
        <f>Games[[#This Row],[PreGmRate]]+Games[[#This Row],[RatingChange]]</f>
        <v>1678.219889338998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38928</v>
      </c>
      <c r="B376" s="2">
        <v>2006</v>
      </c>
      <c r="C376" s="2">
        <f>COUNTIFS(Games[Team],Games[[#This Row],[Team]],Games[Season],Games[[#This Row],[Season]],Games[Date],"&lt;=" &amp; Games[[#This Row],[Date]])</f>
        <v>27</v>
      </c>
      <c r="D376" s="2" t="s">
        <v>23</v>
      </c>
      <c r="E376" s="2" t="s">
        <v>29</v>
      </c>
      <c r="F376" s="1" t="s">
        <v>77</v>
      </c>
      <c r="G376" s="1" t="s">
        <v>66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6" s="2">
        <f>Games[[#This Row],[DaysOff]]-Games[[#This Row],[OppDaysOff]]</f>
        <v>1</v>
      </c>
      <c r="L376" s="2">
        <f>Games[[#This Row],[OppDaysOff]]-Games[[#This Row],[DaysOff]]</f>
        <v>-1</v>
      </c>
      <c r="M376" s="1">
        <f>MAX(-16, MIN(16, Games[[#This Row],[RestDiff]]*8))</f>
        <v>8</v>
      </c>
      <c r="N376" s="1">
        <f>MAX(-16, MIN(16, Games[[#This Row],[OppRestDiff]]*8))</f>
        <v>-8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1379.4976905047533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1358.8009027662292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0.43234273736791473</v>
      </c>
      <c r="R376" s="1">
        <v>69</v>
      </c>
      <c r="S376" s="1">
        <v>78</v>
      </c>
      <c r="T376" s="1">
        <v>0</v>
      </c>
      <c r="U376" s="1">
        <f>Games[[#This Row],[PointsFor]]-Games[[#This Row],[PointsAgainst]]</f>
        <v>-9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0.39908832190770327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71.95</v>
      </c>
      <c r="Z376" s="4">
        <f>Games[[#This Row],[K]]*Games[[#This Row],[POMult]]</f>
        <v>71.95</v>
      </c>
      <c r="AA376" s="4">
        <f>(Games[[#This Row],[Keff]]*Games[[#This Row],[MOVMult]])*(Games[[#This Row],[Result]]-Games[[#This Row],[ExpectedWin%]])</f>
        <v>-12.414464356373109</v>
      </c>
      <c r="AB376" s="4">
        <f>Games[[#This Row],[PreGmRate]]+Games[[#This Row],[RatingChange]]</f>
        <v>1367.0832261483802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38928</v>
      </c>
      <c r="B377" s="2">
        <v>2006</v>
      </c>
      <c r="C377" s="2">
        <f>COUNTIFS(Games[Team],Games[[#This Row],[Team]],Games[Season],Games[[#This Row],[Season]],Games[Date],"&lt;=" &amp; Games[[#This Row],[Date]])</f>
        <v>27</v>
      </c>
      <c r="D377" s="2" t="s">
        <v>23</v>
      </c>
      <c r="E377" s="2" t="s">
        <v>29</v>
      </c>
      <c r="F377" s="1" t="s">
        <v>66</v>
      </c>
      <c r="G377" s="1" t="s">
        <v>77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-1</v>
      </c>
      <c r="L377" s="2">
        <f>Games[[#This Row],[OppDaysOff]]-Games[[#This Row],[DaysOff]]</f>
        <v>1</v>
      </c>
      <c r="M377" s="1">
        <f>MAX(-16, MIN(16, Games[[#This Row],[RestDiff]]*8))</f>
        <v>-8</v>
      </c>
      <c r="N377" s="1">
        <f>MAX(-16, MIN(16, Games[[#This Row],[OppRestDiff]]*8))</f>
        <v>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1358.8009027662292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1379.4976905047533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0.56765726263208527</v>
      </c>
      <c r="R377" s="1">
        <v>78</v>
      </c>
      <c r="S377" s="1">
        <v>69</v>
      </c>
      <c r="T377" s="1">
        <v>0</v>
      </c>
      <c r="U377" s="1">
        <f>Games[[#This Row],[PointsFor]]-Games[[#This Row],[PointsAgainst]]</f>
        <v>9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0.39908832190770327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71.95</v>
      </c>
      <c r="Z377" s="4">
        <f>Games[[#This Row],[K]]*Games[[#This Row],[POMult]]</f>
        <v>71.95</v>
      </c>
      <c r="AA377" s="4">
        <f>(Games[[#This Row],[Keff]]*Games[[#This Row],[MOVMult]])*(Games[[#This Row],[Result]]-Games[[#This Row],[ExpectedWin%]])</f>
        <v>12.414464356373109</v>
      </c>
      <c r="AB377" s="4">
        <f>Games[[#This Row],[PreGmRate]]+Games[[#This Row],[RatingChange]]</f>
        <v>1371.2153671226024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38928</v>
      </c>
      <c r="B378" s="2">
        <v>2006</v>
      </c>
      <c r="C378" s="2">
        <f>COUNTIFS(Games[Team],Games[[#This Row],[Team]],Games[Season],Games[[#This Row],[Season]],Games[Date],"&lt;=" &amp; Games[[#This Row],[Date]])</f>
        <v>28</v>
      </c>
      <c r="D378" s="2" t="s">
        <v>23</v>
      </c>
      <c r="E378" s="2" t="s">
        <v>29</v>
      </c>
      <c r="F378" s="1" t="s">
        <v>2</v>
      </c>
      <c r="G378" s="1" t="s">
        <v>44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1</v>
      </c>
      <c r="L378" s="2">
        <f>Games[[#This Row],[OppDaysOff]]-Games[[#This Row],[DaysOff]]</f>
        <v>-1</v>
      </c>
      <c r="M378" s="1">
        <f>MAX(-16, MIN(16, Games[[#This Row],[RestDiff]]*8))</f>
        <v>8</v>
      </c>
      <c r="N378" s="1">
        <f>MAX(-16, MIN(16, Games[[#This Row],[OppRestDiff]]*8))</f>
        <v>-8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1526.1588824370028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1485.6349559267212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0.46054097690665502</v>
      </c>
      <c r="R378" s="1">
        <v>82</v>
      </c>
      <c r="S378" s="1">
        <v>80</v>
      </c>
      <c r="T378" s="1">
        <v>0</v>
      </c>
      <c r="U378" s="1">
        <f>Games[[#This Row],[PointsFor]]-Games[[#This Row],[PointsAgainst]]</f>
        <v>2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0.25909180637552176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71.8</v>
      </c>
      <c r="Z378" s="4">
        <f>Games[[#This Row],[K]]*Games[[#This Row],[POMult]]</f>
        <v>71.8</v>
      </c>
      <c r="AA378" s="4">
        <f>(Games[[#This Row],[Keff]]*Games[[#This Row],[MOVMult]])*(Games[[#This Row],[Result]]-Games[[#This Row],[ExpectedWin%]])</f>
        <v>10.035443836083926</v>
      </c>
      <c r="AB378" s="4">
        <f>Games[[#This Row],[PreGmRate]]+Games[[#This Row],[RatingChange]]</f>
        <v>1536.1943262730867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38928</v>
      </c>
      <c r="B379" s="2">
        <v>2006</v>
      </c>
      <c r="C379" s="2">
        <f>COUNTIFS(Games[Team],Games[[#This Row],[Team]],Games[Season],Games[[#This Row],[Season]],Games[Date],"&lt;=" &amp; Games[[#This Row],[Date]])</f>
        <v>27</v>
      </c>
      <c r="D379" s="2" t="s">
        <v>23</v>
      </c>
      <c r="E379" s="2" t="s">
        <v>29</v>
      </c>
      <c r="F379" s="1" t="s">
        <v>44</v>
      </c>
      <c r="G379" s="1" t="s">
        <v>2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9" s="2">
        <f>Games[[#This Row],[DaysOff]]-Games[[#This Row],[OppDaysOff]]</f>
        <v>-1</v>
      </c>
      <c r="L379" s="2">
        <f>Games[[#This Row],[OppDaysOff]]-Games[[#This Row],[DaysOff]]</f>
        <v>1</v>
      </c>
      <c r="M379" s="1">
        <f>MAX(-16, MIN(16, Games[[#This Row],[RestDiff]]*8))</f>
        <v>-8</v>
      </c>
      <c r="N379" s="1">
        <f>MAX(-16, MIN(16, Games[[#This Row],[OppRestDiff]]*8))</f>
        <v>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1485.6349559267212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1526.1588824370028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0.53945902309334504</v>
      </c>
      <c r="R379" s="1">
        <v>80</v>
      </c>
      <c r="S379" s="1">
        <v>82</v>
      </c>
      <c r="T379" s="1">
        <v>0</v>
      </c>
      <c r="U379" s="1">
        <f>Games[[#This Row],[PointsFor]]-Games[[#This Row],[PointsAgainst]]</f>
        <v>-2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0.25909180637552176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71.95</v>
      </c>
      <c r="Z379" s="4">
        <f>Games[[#This Row],[K]]*Games[[#This Row],[POMult]]</f>
        <v>71.95</v>
      </c>
      <c r="AA379" s="4">
        <f>(Games[[#This Row],[Keff]]*Games[[#This Row],[MOVMult]])*(Games[[#This Row],[Result]]-Games[[#This Row],[ExpectedWin%]])</f>
        <v>-10.056409247997752</v>
      </c>
      <c r="AB379" s="4">
        <f>Games[[#This Row],[PreGmRate]]+Games[[#This Row],[RatingChange]]</f>
        <v>1475.5785466787233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38928</v>
      </c>
      <c r="B380" s="2">
        <v>2006</v>
      </c>
      <c r="C380" s="2">
        <f>COUNTIFS(Games[Team],Games[[#This Row],[Team]],Games[Season],Games[[#This Row],[Season]],Games[Date],"&lt;=" &amp; Games[[#This Row],[Date]])</f>
        <v>26</v>
      </c>
      <c r="D380" s="2" t="s">
        <v>23</v>
      </c>
      <c r="E380" s="2" t="s">
        <v>29</v>
      </c>
      <c r="F380" s="1" t="s">
        <v>75</v>
      </c>
      <c r="G380" s="1" t="s">
        <v>45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1605.7238170243234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1597.0581539620603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0.39325286316380559</v>
      </c>
      <c r="R380" s="1">
        <v>61</v>
      </c>
      <c r="S380" s="1">
        <v>94</v>
      </c>
      <c r="T380" s="1">
        <v>0</v>
      </c>
      <c r="U380" s="1">
        <f>Games[[#This Row],[PointsFor]]-Games[[#This Row],[PointsAgainst]]</f>
        <v>-33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0.73377679510031601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72.099999999999994</v>
      </c>
      <c r="Z380" s="4">
        <f>Games[[#This Row],[K]]*Games[[#This Row],[POMult]]</f>
        <v>72.099999999999994</v>
      </c>
      <c r="AA380" s="4">
        <f>(Games[[#This Row],[Keff]]*Games[[#This Row],[MOVMult]])*(Games[[#This Row],[Result]]-Games[[#This Row],[ExpectedWin%]])</f>
        <v>-20.805163425497582</v>
      </c>
      <c r="AB380" s="4">
        <f>Games[[#This Row],[PreGmRate]]+Games[[#This Row],[RatingChange]]</f>
        <v>1584.9186535988258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38928</v>
      </c>
      <c r="B381" s="2">
        <v>2006</v>
      </c>
      <c r="C381" s="2">
        <f>COUNTIFS(Games[Team],Games[[#This Row],[Team]],Games[Season],Games[[#This Row],[Season]],Games[Date],"&lt;=" &amp; Games[[#This Row],[Date]])</f>
        <v>28</v>
      </c>
      <c r="D381" s="2" t="s">
        <v>23</v>
      </c>
      <c r="E381" s="2" t="s">
        <v>29</v>
      </c>
      <c r="F381" s="1" t="s">
        <v>45</v>
      </c>
      <c r="G381" s="1" t="s">
        <v>75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1597.0581539620603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1605.7238170243234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0.60674713683619441</v>
      </c>
      <c r="R381" s="1">
        <v>94</v>
      </c>
      <c r="S381" s="1">
        <v>61</v>
      </c>
      <c r="T381" s="1">
        <v>0</v>
      </c>
      <c r="U381" s="1">
        <f>Games[[#This Row],[PointsFor]]-Games[[#This Row],[PointsAgainst]]</f>
        <v>33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0.73377679510031601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71.8</v>
      </c>
      <c r="Z381" s="4">
        <f>Games[[#This Row],[K]]*Games[[#This Row],[POMult]]</f>
        <v>71.8</v>
      </c>
      <c r="AA381" s="4">
        <f>(Games[[#This Row],[Keff]]*Games[[#This Row],[MOVMult]])*(Games[[#This Row],[Result]]-Games[[#This Row],[ExpectedWin%]])</f>
        <v>20.718595477818678</v>
      </c>
      <c r="AB381" s="4">
        <f>Games[[#This Row],[PreGmRate]]+Games[[#This Row],[RatingChange]]</f>
        <v>1617.776749439879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38928</v>
      </c>
      <c r="B382" s="2">
        <v>2006</v>
      </c>
      <c r="C382" s="2">
        <f>COUNTIFS(Games[Team],Games[[#This Row],[Team]],Games[Season],Games[[#This Row],[Season]],Games[Date],"&lt;=" &amp; Games[[#This Row],[Date]])</f>
        <v>29</v>
      </c>
      <c r="D382" s="2" t="s">
        <v>23</v>
      </c>
      <c r="E382" s="2" t="s">
        <v>29</v>
      </c>
      <c r="F382" s="1" t="s">
        <v>70</v>
      </c>
      <c r="G382" s="1" t="s">
        <v>81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2</v>
      </c>
      <c r="L382" s="2">
        <f>Games[[#This Row],[OppDaysOff]]-Games[[#This Row],[DaysOff]]</f>
        <v>-2</v>
      </c>
      <c r="M382" s="1">
        <f>MAX(-16, MIN(16, Games[[#This Row],[RestDiff]]*8))</f>
        <v>16</v>
      </c>
      <c r="N382" s="1">
        <f>MAX(-16, MIN(16, Games[[#This Row],[OppRestDiff]]*8))</f>
        <v>-16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1636.5801242654422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1530.6579469257463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0.57698313871646734</v>
      </c>
      <c r="R382" s="1">
        <v>71</v>
      </c>
      <c r="S382" s="1">
        <v>70</v>
      </c>
      <c r="T382" s="1">
        <v>0</v>
      </c>
      <c r="U382" s="1">
        <f>Games[[#This Row],[PointsFor]]-Games[[#This Row],[PointsAgainst]]</f>
        <v>1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0.2243744767052325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71.650000000000006</v>
      </c>
      <c r="Z382" s="4">
        <f>Games[[#This Row],[K]]*Games[[#This Row],[POMult]]</f>
        <v>71.650000000000006</v>
      </c>
      <c r="AA382" s="4">
        <f>(Games[[#This Row],[Keff]]*Games[[#This Row],[MOVMult]])*(Games[[#This Row],[Result]]-Games[[#This Row],[ExpectedWin%]])</f>
        <v>6.8006014905239525</v>
      </c>
      <c r="AB382" s="4">
        <f>Games[[#This Row],[PreGmRate]]+Games[[#This Row],[RatingChange]]</f>
        <v>1643.3807257559663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38928</v>
      </c>
      <c r="B383" s="2">
        <v>2006</v>
      </c>
      <c r="C383" s="2">
        <f>COUNTIFS(Games[Team],Games[[#This Row],[Team]],Games[Season],Games[[#This Row],[Season]],Games[Date],"&lt;=" &amp; Games[[#This Row],[Date]])</f>
        <v>28</v>
      </c>
      <c r="D383" s="2" t="s">
        <v>23</v>
      </c>
      <c r="E383" s="2" t="s">
        <v>29</v>
      </c>
      <c r="F383" s="1" t="s">
        <v>81</v>
      </c>
      <c r="G383" s="1" t="s">
        <v>70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3" s="2">
        <f>Games[[#This Row],[DaysOff]]-Games[[#This Row],[OppDaysOff]]</f>
        <v>-2</v>
      </c>
      <c r="L383" s="2">
        <f>Games[[#This Row],[OppDaysOff]]-Games[[#This Row],[DaysOff]]</f>
        <v>2</v>
      </c>
      <c r="M383" s="1">
        <f>MAX(-16, MIN(16, Games[[#This Row],[RestDiff]]*8))</f>
        <v>-16</v>
      </c>
      <c r="N383" s="1">
        <f>MAX(-16, MIN(16, Games[[#This Row],[OppRestDiff]]*8))</f>
        <v>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1530.6579469257463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1636.5801242654422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0.42301686128353266</v>
      </c>
      <c r="R383" s="1">
        <v>70</v>
      </c>
      <c r="S383" s="1">
        <v>71</v>
      </c>
      <c r="T383" s="1">
        <v>0</v>
      </c>
      <c r="U383" s="1">
        <f>Games[[#This Row],[PointsFor]]-Games[[#This Row],[PointsAgainst]]</f>
        <v>-1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0.2243744767052325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71.8</v>
      </c>
      <c r="Z383" s="4">
        <f>Games[[#This Row],[K]]*Games[[#This Row],[POMult]]</f>
        <v>71.8</v>
      </c>
      <c r="AA383" s="4">
        <f>(Games[[#This Row],[Keff]]*Games[[#This Row],[MOVMult]])*(Games[[#This Row],[Result]]-Games[[#This Row],[ExpectedWin%]])</f>
        <v>-6.8148386185571486</v>
      </c>
      <c r="AB383" s="4">
        <f>Games[[#This Row],[PreGmRate]]+Games[[#This Row],[RatingChange]]</f>
        <v>1523.8431083071891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38928</v>
      </c>
      <c r="B384" s="2">
        <v>2006</v>
      </c>
      <c r="C384" s="2">
        <f>COUNTIFS(Games[Team],Games[[#This Row],[Team]],Games[Season],Games[[#This Row],[Season]],Games[Date],"&lt;=" &amp; Games[[#This Row],[Date]])</f>
        <v>28</v>
      </c>
      <c r="D384" s="2" t="s">
        <v>23</v>
      </c>
      <c r="E384" s="2" t="s">
        <v>29</v>
      </c>
      <c r="F384" s="1" t="s">
        <v>64</v>
      </c>
      <c r="G384" s="1" t="s">
        <v>73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1391.7868583582158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1500.93284890993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0.24752844388365111</v>
      </c>
      <c r="R384" s="1">
        <v>73</v>
      </c>
      <c r="S384" s="1">
        <v>78</v>
      </c>
      <c r="T384" s="1">
        <v>0</v>
      </c>
      <c r="U384" s="1">
        <f>Games[[#This Row],[PointsFor]]-Games[[#This Row],[PointsAgainst]]</f>
        <v>-5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0.30409684895855099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71.8</v>
      </c>
      <c r="Z384" s="4">
        <f>Games[[#This Row],[K]]*Games[[#This Row],[POMult]]</f>
        <v>71.8</v>
      </c>
      <c r="AA384" s="4">
        <f>(Games[[#This Row],[Keff]]*Games[[#This Row],[MOVMult]])*(Games[[#This Row],[Result]]-Games[[#This Row],[ExpectedWin%]])</f>
        <v>-5.404574102546964</v>
      </c>
      <c r="AB384" s="4">
        <f>Games[[#This Row],[PreGmRate]]+Games[[#This Row],[RatingChange]]</f>
        <v>1386.3822842556688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38928</v>
      </c>
      <c r="B385" s="2">
        <v>2006</v>
      </c>
      <c r="C385" s="2">
        <f>COUNTIFS(Games[Team],Games[[#This Row],[Team]],Games[Season],Games[[#This Row],[Season]],Games[Date],"&lt;=" &amp; Games[[#This Row],[Date]])</f>
        <v>28</v>
      </c>
      <c r="D385" s="2" t="s">
        <v>23</v>
      </c>
      <c r="E385" s="2" t="s">
        <v>29</v>
      </c>
      <c r="F385" s="1" t="s">
        <v>73</v>
      </c>
      <c r="G385" s="1" t="s">
        <v>64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1500.93284890993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1391.7868583582158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0.75247155611634886</v>
      </c>
      <c r="R385" s="1">
        <v>78</v>
      </c>
      <c r="S385" s="1">
        <v>73</v>
      </c>
      <c r="T385" s="1">
        <v>0</v>
      </c>
      <c r="U385" s="1">
        <f>Games[[#This Row],[PointsFor]]-Games[[#This Row],[PointsAgainst]]</f>
        <v>5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0.30409684895855099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71.8</v>
      </c>
      <c r="Z385" s="4">
        <f>Games[[#This Row],[K]]*Games[[#This Row],[POMult]]</f>
        <v>71.8</v>
      </c>
      <c r="AA385" s="4">
        <f>(Games[[#This Row],[Keff]]*Games[[#This Row],[MOVMult]])*(Games[[#This Row],[Result]]-Games[[#This Row],[ExpectedWin%]])</f>
        <v>5.404574102546964</v>
      </c>
      <c r="AB385" s="4">
        <f>Games[[#This Row],[PreGmRate]]+Games[[#This Row],[RatingChange]]</f>
        <v>1506.3374230124771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38930</v>
      </c>
      <c r="B386" s="2">
        <v>2006</v>
      </c>
      <c r="C386" s="2">
        <f>COUNTIFS(Games[Team],Games[[#This Row],[Team]],Games[Season],Games[[#This Row],[Season]],Games[Date],"&lt;=" &amp; Games[[#This Row],[Date]])</f>
        <v>28</v>
      </c>
      <c r="D386" s="2" t="s">
        <v>23</v>
      </c>
      <c r="E386" s="2" t="s">
        <v>29</v>
      </c>
      <c r="F386" s="1" t="s">
        <v>44</v>
      </c>
      <c r="G386" s="1" t="s">
        <v>87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1475.5785466787233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1313.2948543539965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0.61079071315315858</v>
      </c>
      <c r="R386" s="1">
        <v>90</v>
      </c>
      <c r="S386" s="1">
        <v>70</v>
      </c>
      <c r="T386" s="1">
        <v>0</v>
      </c>
      <c r="U386" s="1">
        <f>Games[[#This Row],[PointsFor]]-Games[[#This Row],[PointsAgainst]]</f>
        <v>20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0.50640320706868192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71.8</v>
      </c>
      <c r="Z386" s="4">
        <f>Games[[#This Row],[K]]*Games[[#This Row],[POMult]]</f>
        <v>71.8</v>
      </c>
      <c r="AA386" s="4">
        <f>(Games[[#This Row],[Keff]]*Games[[#This Row],[MOVMult]])*(Games[[#This Row],[Result]]-Games[[#This Row],[ExpectedWin%]])</f>
        <v>14.151552471555132</v>
      </c>
      <c r="AB386" s="4">
        <f>Games[[#This Row],[PreGmRate]]+Games[[#This Row],[RatingChange]]</f>
        <v>1489.7300991502784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38930</v>
      </c>
      <c r="B387" s="2">
        <v>2006</v>
      </c>
      <c r="C387" s="2">
        <f>COUNTIFS(Games[Team],Games[[#This Row],[Team]],Games[Season],Games[[#This Row],[Season]],Games[Date],"&lt;=" &amp; Games[[#This Row],[Date]])</f>
        <v>28</v>
      </c>
      <c r="D387" s="2" t="s">
        <v>23</v>
      </c>
      <c r="E387" s="2" t="s">
        <v>29</v>
      </c>
      <c r="F387" s="1" t="s">
        <v>87</v>
      </c>
      <c r="G387" s="1" t="s">
        <v>44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1313.2948543539965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1475.5785466787233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0.38920928684684142</v>
      </c>
      <c r="R387" s="1">
        <v>70</v>
      </c>
      <c r="S387" s="1">
        <v>90</v>
      </c>
      <c r="T387" s="1">
        <v>0</v>
      </c>
      <c r="U387" s="1">
        <f>Games[[#This Row],[PointsFor]]-Games[[#This Row],[PointsAgainst]]</f>
        <v>-20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0.50640320706868192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71.8</v>
      </c>
      <c r="Z387" s="4">
        <f>Games[[#This Row],[K]]*Games[[#This Row],[POMult]]</f>
        <v>71.8</v>
      </c>
      <c r="AA387" s="4">
        <f>(Games[[#This Row],[Keff]]*Games[[#This Row],[MOVMult]])*(Games[[#This Row],[Result]]-Games[[#This Row],[ExpectedWin%]])</f>
        <v>-14.151552471555132</v>
      </c>
      <c r="AB387" s="4">
        <f>Games[[#This Row],[PreGmRate]]+Games[[#This Row],[RatingChange]]</f>
        <v>1299.1433018824414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38930</v>
      </c>
      <c r="B388" s="2">
        <v>2006</v>
      </c>
      <c r="C388" s="2">
        <f>COUNTIFS(Games[Team],Games[[#This Row],[Team]],Games[Season],Games[[#This Row],[Season]],Games[Date],"&lt;=" &amp; Games[[#This Row],[Date]])</f>
        <v>28</v>
      </c>
      <c r="D388" s="2" t="s">
        <v>23</v>
      </c>
      <c r="E388" s="2" t="s">
        <v>29</v>
      </c>
      <c r="F388" s="1" t="s">
        <v>66</v>
      </c>
      <c r="G388" s="1" t="s">
        <v>86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1371.2153671226024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1678.219889338998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9.5280225688776365E-2</v>
      </c>
      <c r="R388" s="1">
        <v>52</v>
      </c>
      <c r="S388" s="1">
        <v>66</v>
      </c>
      <c r="T388" s="1">
        <v>0</v>
      </c>
      <c r="U388" s="1">
        <f>Games[[#This Row],[PointsFor]]-Games[[#This Row],[PointsAgainst]]</f>
        <v>-14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0.38827336986378391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71.8</v>
      </c>
      <c r="Z388" s="4">
        <f>Games[[#This Row],[K]]*Games[[#This Row],[POMult]]</f>
        <v>71.8</v>
      </c>
      <c r="AA388" s="4">
        <f>(Games[[#This Row],[Keff]]*Games[[#This Row],[MOVMult]])*(Games[[#This Row],[Result]]-Games[[#This Row],[ExpectedWin%]])</f>
        <v>-2.6562247954266285</v>
      </c>
      <c r="AB388" s="4">
        <f>Games[[#This Row],[PreGmRate]]+Games[[#This Row],[RatingChange]]</f>
        <v>1368.5591423271758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38930</v>
      </c>
      <c r="B389" s="2">
        <v>2006</v>
      </c>
      <c r="C389" s="2">
        <f>COUNTIFS(Games[Team],Games[[#This Row],[Team]],Games[Season],Games[[#This Row],[Season]],Games[Date],"&lt;=" &amp; Games[[#This Row],[Date]])</f>
        <v>28</v>
      </c>
      <c r="D389" s="2" t="s">
        <v>23</v>
      </c>
      <c r="E389" s="2" t="s">
        <v>29</v>
      </c>
      <c r="F389" s="1" t="s">
        <v>86</v>
      </c>
      <c r="G389" s="1" t="s">
        <v>66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1678.219889338998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1371.2153671226024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0.90471977431122363</v>
      </c>
      <c r="R389" s="1">
        <v>66</v>
      </c>
      <c r="S389" s="1">
        <v>52</v>
      </c>
      <c r="T389" s="1">
        <v>0</v>
      </c>
      <c r="U389" s="1">
        <f>Games[[#This Row],[PointsFor]]-Games[[#This Row],[PointsAgainst]]</f>
        <v>14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0.38827336986378391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71.8</v>
      </c>
      <c r="Z389" s="4">
        <f>Games[[#This Row],[K]]*Games[[#This Row],[POMult]]</f>
        <v>71.8</v>
      </c>
      <c r="AA389" s="4">
        <f>(Games[[#This Row],[Keff]]*Games[[#This Row],[MOVMult]])*(Games[[#This Row],[Result]]-Games[[#This Row],[ExpectedWin%]])</f>
        <v>2.6562247954266285</v>
      </c>
      <c r="AB389" s="4">
        <f>Games[[#This Row],[PreGmRate]]+Games[[#This Row],[RatingChange]]</f>
        <v>1680.8761141344246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38930</v>
      </c>
      <c r="B390" s="2">
        <v>2006</v>
      </c>
      <c r="C390" s="2">
        <f>COUNTIFS(Games[Team],Games[[#This Row],[Team]],Games[Season],Games[[#This Row],[Season]],Games[Date],"&lt;=" &amp; Games[[#This Row],[Date]])</f>
        <v>28</v>
      </c>
      <c r="D390" s="2" t="s">
        <v>23</v>
      </c>
      <c r="E390" s="2" t="s">
        <v>29</v>
      </c>
      <c r="F390" s="1" t="s">
        <v>79</v>
      </c>
      <c r="G390" s="1" t="s">
        <v>75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1564.0850173901729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1584.9186535988258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0.35355000404636017</v>
      </c>
      <c r="R390" s="1">
        <v>66</v>
      </c>
      <c r="S390" s="1">
        <v>70</v>
      </c>
      <c r="T390" s="1">
        <v>0</v>
      </c>
      <c r="U390" s="1">
        <f>Games[[#This Row],[PointsFor]]-Games[[#This Row],[PointsAgainst]]</f>
        <v>-4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0.30611810716917598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71.8</v>
      </c>
      <c r="Z390" s="4">
        <f>Games[[#This Row],[K]]*Games[[#This Row],[POMult]]</f>
        <v>71.8</v>
      </c>
      <c r="AA390" s="4">
        <f>(Games[[#This Row],[Keff]]*Games[[#This Row],[MOVMult]])*(Games[[#This Row],[Result]]-Games[[#This Row],[ExpectedWin%]])</f>
        <v>-7.7707745664338264</v>
      </c>
      <c r="AB390" s="4">
        <f>Games[[#This Row],[PreGmRate]]+Games[[#This Row],[RatingChange]]</f>
        <v>1556.3142428237391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38930</v>
      </c>
      <c r="B391" s="2">
        <v>2006</v>
      </c>
      <c r="C391" s="2">
        <f>COUNTIFS(Games[Team],Games[[#This Row],[Team]],Games[Season],Games[[#This Row],[Season]],Games[Date],"&lt;=" &amp; Games[[#This Row],[Date]])</f>
        <v>27</v>
      </c>
      <c r="D391" s="2" t="s">
        <v>23</v>
      </c>
      <c r="E391" s="2" t="s">
        <v>29</v>
      </c>
      <c r="F391" s="1" t="s">
        <v>75</v>
      </c>
      <c r="G391" s="1" t="s">
        <v>79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1584.9186535988258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1564.0850173901729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0.64644999595363994</v>
      </c>
      <c r="R391" s="1">
        <v>70</v>
      </c>
      <c r="S391" s="1">
        <v>66</v>
      </c>
      <c r="T391" s="1">
        <v>0</v>
      </c>
      <c r="U391" s="1">
        <f>Games[[#This Row],[PointsFor]]-Games[[#This Row],[PointsAgainst]]</f>
        <v>4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0.30611810716917598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71.95</v>
      </c>
      <c r="Z391" s="4">
        <f>Games[[#This Row],[K]]*Games[[#This Row],[POMult]]</f>
        <v>71.95</v>
      </c>
      <c r="AA391" s="4">
        <f>(Games[[#This Row],[Keff]]*Games[[#This Row],[MOVMult]])*(Games[[#This Row],[Result]]-Games[[#This Row],[ExpectedWin%]])</f>
        <v>7.7870087751380739</v>
      </c>
      <c r="AB391" s="4">
        <f>Games[[#This Row],[PreGmRate]]+Games[[#This Row],[RatingChange]]</f>
        <v>1592.7056623739638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38930</v>
      </c>
      <c r="B392" s="2">
        <v>2006</v>
      </c>
      <c r="C392" s="2">
        <f>COUNTIFS(Games[Team],Games[[#This Row],[Team]],Games[Season],Games[[#This Row],[Season]],Games[Date],"&lt;=" &amp; Games[[#This Row],[Date]])</f>
        <v>29</v>
      </c>
      <c r="D392" s="2" t="s">
        <v>23</v>
      </c>
      <c r="E392" s="2" t="s">
        <v>29</v>
      </c>
      <c r="F392" s="1" t="s">
        <v>81</v>
      </c>
      <c r="G392" s="1" t="s">
        <v>77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1523.8431083071891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1367.0832261483802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0.60320553106875263</v>
      </c>
      <c r="R392" s="1">
        <v>77</v>
      </c>
      <c r="S392" s="1">
        <v>75</v>
      </c>
      <c r="T392" s="1">
        <v>0</v>
      </c>
      <c r="U392" s="1">
        <f>Games[[#This Row],[PointsFor]]-Games[[#This Row],[PointsAgainst]]</f>
        <v>2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0.23689496512838576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71.650000000000006</v>
      </c>
      <c r="Z392" s="4">
        <f>Games[[#This Row],[K]]*Games[[#This Row],[POMult]]</f>
        <v>71.650000000000006</v>
      </c>
      <c r="AA392" s="4">
        <f>(Games[[#This Row],[Keff]]*Games[[#This Row],[MOVMult]])*(Games[[#This Row],[Result]]-Games[[#This Row],[ExpectedWin%]])</f>
        <v>6.7350005412452907</v>
      </c>
      <c r="AB392" s="4">
        <f>Games[[#This Row],[PreGmRate]]+Games[[#This Row],[RatingChange]]</f>
        <v>1530.5781088484343</v>
      </c>
      <c r="AC392" s="2">
        <f>IF(Games[[#This Row],[Type]]="R",IF(Games[[#This Row],[Result]]&gt;0.5,1,0),0)</f>
        <v>1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38930</v>
      </c>
      <c r="B393" s="2">
        <v>2006</v>
      </c>
      <c r="C393" s="2">
        <f>COUNTIFS(Games[Team],Games[[#This Row],[Team]],Games[Season],Games[[#This Row],[Season]],Games[Date],"&lt;=" &amp; Games[[#This Row],[Date]])</f>
        <v>28</v>
      </c>
      <c r="D393" s="2" t="s">
        <v>23</v>
      </c>
      <c r="E393" s="2" t="s">
        <v>29</v>
      </c>
      <c r="F393" s="1" t="s">
        <v>77</v>
      </c>
      <c r="G393" s="1" t="s">
        <v>81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1367.0832261483802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1523.8431083071891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0.39679446893124737</v>
      </c>
      <c r="R393" s="1">
        <v>75</v>
      </c>
      <c r="S393" s="1">
        <v>77</v>
      </c>
      <c r="T393" s="1">
        <v>0</v>
      </c>
      <c r="U393" s="1">
        <f>Games[[#This Row],[PointsFor]]-Games[[#This Row],[PointsAgainst]]</f>
        <v>-2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0.23689496512838576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71.8</v>
      </c>
      <c r="Z393" s="4">
        <f>Games[[#This Row],[K]]*Games[[#This Row],[POMult]]</f>
        <v>71.8</v>
      </c>
      <c r="AA393" s="4">
        <f>(Games[[#This Row],[Keff]]*Games[[#This Row],[MOVMult]])*(Games[[#This Row],[Result]]-Games[[#This Row],[ExpectedWin%]])</f>
        <v>-6.7491003330273802</v>
      </c>
      <c r="AB393" s="4">
        <f>Games[[#This Row],[PreGmRate]]+Games[[#This Row],[RatingChange]]</f>
        <v>1360.3341258153528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1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38930</v>
      </c>
      <c r="B394" s="2">
        <v>2006</v>
      </c>
      <c r="C394" s="2">
        <f>COUNTIFS(Games[Team],Games[[#This Row],[Team]],Games[Season],Games[[#This Row],[Season]],Games[Date],"&lt;=" &amp; Games[[#This Row],[Date]])</f>
        <v>29</v>
      </c>
      <c r="D394" s="2" t="s">
        <v>23</v>
      </c>
      <c r="E394" s="2" t="s">
        <v>29</v>
      </c>
      <c r="F394" s="1" t="s">
        <v>2</v>
      </c>
      <c r="G394" s="1" t="s">
        <v>45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1536.1943262730867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1617.776749439879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0.27824794760820992</v>
      </c>
      <c r="R394" s="1">
        <v>62</v>
      </c>
      <c r="S394" s="1">
        <v>74</v>
      </c>
      <c r="T394" s="1">
        <v>0</v>
      </c>
      <c r="U394" s="1">
        <f>Games[[#This Row],[PointsFor]]-Games[[#This Row],[PointsAgainst]]</f>
        <v>-12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0.42709335099909762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71.650000000000006</v>
      </c>
      <c r="Z394" s="4">
        <f>Games[[#This Row],[K]]*Games[[#This Row],[POMult]]</f>
        <v>71.650000000000006</v>
      </c>
      <c r="AA394" s="4">
        <f>(Games[[#This Row],[Keff]]*Games[[#This Row],[MOVMult]])*(Games[[#This Row],[Result]]-Games[[#This Row],[ExpectedWin%]])</f>
        <v>-8.5147318344646301</v>
      </c>
      <c r="AB394" s="4">
        <f>Games[[#This Row],[PreGmRate]]+Games[[#This Row],[RatingChange]]</f>
        <v>1527.6795944386222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38930</v>
      </c>
      <c r="B395" s="2">
        <v>2006</v>
      </c>
      <c r="C395" s="2">
        <f>COUNTIFS(Games[Team],Games[[#This Row],[Team]],Games[Season],Games[[#This Row],[Season]],Games[Date],"&lt;=" &amp; Games[[#This Row],[Date]])</f>
        <v>29</v>
      </c>
      <c r="D395" s="2" t="s">
        <v>23</v>
      </c>
      <c r="E395" s="2" t="s">
        <v>29</v>
      </c>
      <c r="F395" s="1" t="s">
        <v>45</v>
      </c>
      <c r="G395" s="1" t="s">
        <v>2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1617.776749439879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1536.1943262730867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0.72175205239179008</v>
      </c>
      <c r="R395" s="1">
        <v>74</v>
      </c>
      <c r="S395" s="1">
        <v>62</v>
      </c>
      <c r="T395" s="1">
        <v>0</v>
      </c>
      <c r="U395" s="1">
        <f>Games[[#This Row],[PointsFor]]-Games[[#This Row],[PointsAgainst]]</f>
        <v>12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0.42709335099909762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71.650000000000006</v>
      </c>
      <c r="Z395" s="4">
        <f>Games[[#This Row],[K]]*Games[[#This Row],[POMult]]</f>
        <v>71.650000000000006</v>
      </c>
      <c r="AA395" s="4">
        <f>(Games[[#This Row],[Keff]]*Games[[#This Row],[MOVMult]])*(Games[[#This Row],[Result]]-Games[[#This Row],[ExpectedWin%]])</f>
        <v>8.5147318344646301</v>
      </c>
      <c r="AB395" s="4">
        <f>Games[[#This Row],[PreGmRate]]+Games[[#This Row],[RatingChange]]</f>
        <v>1626.2914812743436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38930</v>
      </c>
      <c r="B396" s="2">
        <v>2006</v>
      </c>
      <c r="C396" s="2">
        <f>COUNTIFS(Games[Team],Games[[#This Row],[Team]],Games[Season],Games[[#This Row],[Season]],Games[Date],"&lt;=" &amp; Games[[#This Row],[Date]])</f>
        <v>29</v>
      </c>
      <c r="D396" s="2" t="s">
        <v>23</v>
      </c>
      <c r="E396" s="2" t="s">
        <v>29</v>
      </c>
      <c r="F396" s="1" t="s">
        <v>64</v>
      </c>
      <c r="G396" s="1" t="s">
        <v>84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1386.3822842556688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1436.0433817041521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0.31660563978007888</v>
      </c>
      <c r="R396" s="1">
        <v>68</v>
      </c>
      <c r="S396" s="1">
        <v>65</v>
      </c>
      <c r="T396" s="1">
        <v>0</v>
      </c>
      <c r="U396" s="1">
        <f>Games[[#This Row],[PointsFor]]-Games[[#This Row],[PointsAgainst]]</f>
        <v>3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0.27865172888028139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71.650000000000006</v>
      </c>
      <c r="Z396" s="4">
        <f>Games[[#This Row],[K]]*Games[[#This Row],[POMult]]</f>
        <v>71.650000000000006</v>
      </c>
      <c r="AA396" s="4">
        <f>(Games[[#This Row],[Keff]]*Games[[#This Row],[MOVMult]])*(Games[[#This Row],[Result]]-Games[[#This Row],[ExpectedWin%]])</f>
        <v>13.644239281732856</v>
      </c>
      <c r="AB396" s="4">
        <f>Games[[#This Row],[PreGmRate]]+Games[[#This Row],[RatingChange]]</f>
        <v>1400.0265235374015</v>
      </c>
      <c r="AC396" s="2">
        <f>IF(Games[[#This Row],[Type]]="R",IF(Games[[#This Row],[Result]]&gt;0.5,1,0),0)</f>
        <v>1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38930</v>
      </c>
      <c r="B397" s="2">
        <v>2006</v>
      </c>
      <c r="C397" s="2">
        <f>COUNTIFS(Games[Team],Games[[#This Row],[Team]],Games[Season],Games[[#This Row],[Season]],Games[Date],"&lt;=" &amp; Games[[#This Row],[Date]])</f>
        <v>28</v>
      </c>
      <c r="D397" s="2" t="s">
        <v>23</v>
      </c>
      <c r="E397" s="2" t="s">
        <v>29</v>
      </c>
      <c r="F397" s="1" t="s">
        <v>84</v>
      </c>
      <c r="G397" s="1" t="s">
        <v>64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1436.0433817041521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1386.3822842556688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0.68339436021992106</v>
      </c>
      <c r="R397" s="1">
        <v>65</v>
      </c>
      <c r="S397" s="1">
        <v>68</v>
      </c>
      <c r="T397" s="1">
        <v>0</v>
      </c>
      <c r="U397" s="1">
        <f>Games[[#This Row],[PointsFor]]-Games[[#This Row],[PointsAgainst]]</f>
        <v>-3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0.27865172888028139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71.8</v>
      </c>
      <c r="Z397" s="4">
        <f>Games[[#This Row],[K]]*Games[[#This Row],[POMult]]</f>
        <v>71.8</v>
      </c>
      <c r="AA397" s="4">
        <f>(Games[[#This Row],[Keff]]*Games[[#This Row],[MOVMult]])*(Games[[#This Row],[Result]]-Games[[#This Row],[ExpectedWin%]])</f>
        <v>-13.672803634730201</v>
      </c>
      <c r="AB397" s="4">
        <f>Games[[#This Row],[PreGmRate]]+Games[[#This Row],[RatingChange]]</f>
        <v>1422.370578069422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1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38930</v>
      </c>
      <c r="B398" s="2">
        <v>2006</v>
      </c>
      <c r="C398" s="2">
        <f>COUNTIFS(Games[Team],Games[[#This Row],[Team]],Games[Season],Games[[#This Row],[Season]],Games[Date],"&lt;=" &amp; Games[[#This Row],[Date]])</f>
        <v>30</v>
      </c>
      <c r="D398" s="2" t="s">
        <v>23</v>
      </c>
      <c r="E398" s="2" t="s">
        <v>29</v>
      </c>
      <c r="F398" s="1" t="s">
        <v>70</v>
      </c>
      <c r="G398" s="1" t="s">
        <v>73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1643.3807257559663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1506.3374230124771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0.57574784093415765</v>
      </c>
      <c r="R398" s="1">
        <v>74</v>
      </c>
      <c r="S398" s="1">
        <v>84</v>
      </c>
      <c r="T398" s="1">
        <v>0</v>
      </c>
      <c r="U398" s="1">
        <f>Games[[#This Row],[PointsFor]]-Games[[#This Row],[PointsAgainst]]</f>
        <v>-10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0.37976005575651373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71.5</v>
      </c>
      <c r="Z398" s="4">
        <f>Games[[#This Row],[K]]*Games[[#This Row],[POMult]]</f>
        <v>71.5</v>
      </c>
      <c r="AA398" s="4">
        <f>(Games[[#This Row],[Keff]]*Games[[#This Row],[MOVMult]])*(Games[[#This Row],[Result]]-Games[[#This Row],[ExpectedWin%]])</f>
        <v>-15.63319130050164</v>
      </c>
      <c r="AB398" s="4">
        <f>Games[[#This Row],[PreGmRate]]+Games[[#This Row],[RatingChange]]</f>
        <v>1627.7475344554646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38930</v>
      </c>
      <c r="B399" s="2">
        <v>2006</v>
      </c>
      <c r="C399" s="2">
        <f>COUNTIFS(Games[Team],Games[[#This Row],[Team]],Games[Season],Games[[#This Row],[Season]],Games[Date],"&lt;=" &amp; Games[[#This Row],[Date]])</f>
        <v>29</v>
      </c>
      <c r="D399" s="2" t="s">
        <v>23</v>
      </c>
      <c r="E399" s="2" t="s">
        <v>29</v>
      </c>
      <c r="F399" s="1" t="s">
        <v>73</v>
      </c>
      <c r="G399" s="1" t="s">
        <v>70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1506.3374230124771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1643.3807257559663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0.42425215906584235</v>
      </c>
      <c r="R399" s="1">
        <v>84</v>
      </c>
      <c r="S399" s="1">
        <v>74</v>
      </c>
      <c r="T399" s="1">
        <v>0</v>
      </c>
      <c r="U399" s="1">
        <f>Games[[#This Row],[PointsFor]]-Games[[#This Row],[PointsAgainst]]</f>
        <v>10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0.37976005575651373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71.650000000000006</v>
      </c>
      <c r="Z399" s="4">
        <f>Games[[#This Row],[K]]*Games[[#This Row],[POMult]]</f>
        <v>71.650000000000006</v>
      </c>
      <c r="AA399" s="4">
        <f>(Games[[#This Row],[Keff]]*Games[[#This Row],[MOVMult]])*(Games[[#This Row],[Result]]-Games[[#This Row],[ExpectedWin%]])</f>
        <v>15.665988205327869</v>
      </c>
      <c r="AB399" s="4">
        <f>Games[[#This Row],[PreGmRate]]+Games[[#This Row],[RatingChange]]</f>
        <v>1522.003411217805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38932</v>
      </c>
      <c r="B400" s="2">
        <v>2006</v>
      </c>
      <c r="C400" s="2">
        <f>COUNTIFS(Games[Team],Games[[#This Row],[Team]],Games[Season],Games[[#This Row],[Season]],Games[Date],"&lt;=" &amp; Games[[#This Row],[Date]])</f>
        <v>31</v>
      </c>
      <c r="D400" s="2" t="s">
        <v>23</v>
      </c>
      <c r="E400" s="2" t="s">
        <v>29</v>
      </c>
      <c r="F400" s="1" t="s">
        <v>70</v>
      </c>
      <c r="G400" s="1" t="s">
        <v>86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1627.7475344554646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1680.8761141344246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0.31230276484374087</v>
      </c>
      <c r="R400" s="1">
        <v>63</v>
      </c>
      <c r="S400" s="1">
        <v>72</v>
      </c>
      <c r="T400" s="1">
        <v>0</v>
      </c>
      <c r="U400" s="1">
        <f>Games[[#This Row],[PointsFor]]-Games[[#This Row],[PointsAgainst]]</f>
        <v>-9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0.38875965361950232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71.349999999999994</v>
      </c>
      <c r="Z400" s="4">
        <f>Games[[#This Row],[K]]*Games[[#This Row],[POMult]]</f>
        <v>71.349999999999994</v>
      </c>
      <c r="AA400" s="4">
        <f>(Games[[#This Row],[Keff]]*Games[[#This Row],[MOVMult]])*(Games[[#This Row],[Result]]-Games[[#This Row],[ExpectedWin%]])</f>
        <v>-8.6626544927794278</v>
      </c>
      <c r="AB400" s="4">
        <f>Games[[#This Row],[PreGmRate]]+Games[[#This Row],[RatingChange]]</f>
        <v>1619.0848799626851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38932</v>
      </c>
      <c r="B401" s="2">
        <v>2006</v>
      </c>
      <c r="C401" s="2">
        <f>COUNTIFS(Games[Team],Games[[#This Row],[Team]],Games[Season],Games[[#This Row],[Season]],Games[Date],"&lt;=" &amp; Games[[#This Row],[Date]])</f>
        <v>29</v>
      </c>
      <c r="D401" s="2" t="s">
        <v>23</v>
      </c>
      <c r="E401" s="2" t="s">
        <v>29</v>
      </c>
      <c r="F401" s="1" t="s">
        <v>86</v>
      </c>
      <c r="G401" s="1" t="s">
        <v>70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1680.8761141344246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1627.7475344554646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0.68769723515625913</v>
      </c>
      <c r="R401" s="1">
        <v>72</v>
      </c>
      <c r="S401" s="1">
        <v>63</v>
      </c>
      <c r="T401" s="1">
        <v>0</v>
      </c>
      <c r="U401" s="1">
        <f>Games[[#This Row],[PointsFor]]-Games[[#This Row],[PointsAgainst]]</f>
        <v>9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0.38875965361950232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71.650000000000006</v>
      </c>
      <c r="Z401" s="4">
        <f>Games[[#This Row],[K]]*Games[[#This Row],[POMult]]</f>
        <v>71.650000000000006</v>
      </c>
      <c r="AA401" s="4">
        <f>(Games[[#This Row],[Keff]]*Games[[#This Row],[MOVMult]])*(Games[[#This Row],[Result]]-Games[[#This Row],[ExpectedWin%]])</f>
        <v>8.6990777071849497</v>
      </c>
      <c r="AB401" s="4">
        <f>Games[[#This Row],[PreGmRate]]+Games[[#This Row],[RatingChange]]</f>
        <v>1689.5751918416095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38932</v>
      </c>
      <c r="B402" s="2">
        <v>2006</v>
      </c>
      <c r="C402" s="2">
        <f>COUNTIFS(Games[Team],Games[[#This Row],[Team]],Games[Season],Games[[#This Row],[Season]],Games[Date],"&lt;=" &amp; Games[[#This Row],[Date]])</f>
        <v>29</v>
      </c>
      <c r="D402" s="2" t="s">
        <v>23</v>
      </c>
      <c r="E402" s="2" t="s">
        <v>29</v>
      </c>
      <c r="F402" s="1" t="s">
        <v>77</v>
      </c>
      <c r="G402" s="1" t="s">
        <v>79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1360.3341258153528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1556.3142428237391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0.16635340292101083</v>
      </c>
      <c r="R402" s="1">
        <v>59</v>
      </c>
      <c r="S402" s="1">
        <v>69</v>
      </c>
      <c r="T402" s="1">
        <v>0</v>
      </c>
      <c r="U402" s="1">
        <f>Games[[#This Row],[PointsFor]]-Games[[#This Row],[PointsAgainst]]</f>
        <v>-10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0.36372698508548346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71.650000000000006</v>
      </c>
      <c r="Z402" s="4">
        <f>Games[[#This Row],[K]]*Games[[#This Row],[POMult]]</f>
        <v>71.650000000000006</v>
      </c>
      <c r="AA402" s="4">
        <f>(Games[[#This Row],[Keff]]*Games[[#This Row],[MOVMult]])*(Games[[#This Row],[Result]]-Games[[#This Row],[ExpectedWin%]])</f>
        <v>-4.3353424350321257</v>
      </c>
      <c r="AB402" s="4">
        <f>Games[[#This Row],[PreGmRate]]+Games[[#This Row],[RatingChange]]</f>
        <v>1355.9987833803207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38932</v>
      </c>
      <c r="B403" s="2">
        <v>2006</v>
      </c>
      <c r="C403" s="2">
        <f>COUNTIFS(Games[Team],Games[[#This Row],[Team]],Games[Season],Games[[#This Row],[Season]],Games[Date],"&lt;=" &amp; Games[[#This Row],[Date]])</f>
        <v>29</v>
      </c>
      <c r="D403" s="2" t="s">
        <v>23</v>
      </c>
      <c r="E403" s="2" t="s">
        <v>29</v>
      </c>
      <c r="F403" s="1" t="s">
        <v>79</v>
      </c>
      <c r="G403" s="1" t="s">
        <v>77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1556.3142428237391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1360.3341258153528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0.83364659707898925</v>
      </c>
      <c r="R403" s="1">
        <v>69</v>
      </c>
      <c r="S403" s="1">
        <v>59</v>
      </c>
      <c r="T403" s="1">
        <v>0</v>
      </c>
      <c r="U403" s="1">
        <f>Games[[#This Row],[PointsFor]]-Games[[#This Row],[PointsAgainst]]</f>
        <v>10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0.36372698508548346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71.650000000000006</v>
      </c>
      <c r="Z403" s="4">
        <f>Games[[#This Row],[K]]*Games[[#This Row],[POMult]]</f>
        <v>71.650000000000006</v>
      </c>
      <c r="AA403" s="4">
        <f>(Games[[#This Row],[Keff]]*Games[[#This Row],[MOVMult]])*(Games[[#This Row],[Result]]-Games[[#This Row],[ExpectedWin%]])</f>
        <v>4.335342435032123</v>
      </c>
      <c r="AB403" s="4">
        <f>Games[[#This Row],[PreGmRate]]+Games[[#This Row],[RatingChange]]</f>
        <v>1560.6495852587711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38932</v>
      </c>
      <c r="B404" s="2">
        <v>2006</v>
      </c>
      <c r="C404" s="2">
        <f>COUNTIFS(Games[Team],Games[[#This Row],[Team]],Games[Season],Games[[#This Row],[Season]],Games[Date],"&lt;=" &amp; Games[[#This Row],[Date]])</f>
        <v>28</v>
      </c>
      <c r="D404" s="2" t="s">
        <v>23</v>
      </c>
      <c r="E404" s="2" t="s">
        <v>29</v>
      </c>
      <c r="F404" s="1" t="s">
        <v>75</v>
      </c>
      <c r="G404" s="1" t="s">
        <v>66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1592.7056623739638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1368.5591423271758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0.69141613710478267</v>
      </c>
      <c r="R404" s="1">
        <v>67</v>
      </c>
      <c r="S404" s="1">
        <v>75</v>
      </c>
      <c r="T404" s="1">
        <v>0</v>
      </c>
      <c r="U404" s="1">
        <f>Games[[#This Row],[PointsFor]]-Games[[#This Row],[PointsAgainst]]</f>
        <v>-8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0.32719852588503157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71.8</v>
      </c>
      <c r="Z404" s="4">
        <f>Games[[#This Row],[K]]*Games[[#This Row],[POMult]]</f>
        <v>71.8</v>
      </c>
      <c r="AA404" s="4">
        <f>(Games[[#This Row],[Keff]]*Games[[#This Row],[MOVMult]])*(Games[[#This Row],[Result]]-Games[[#This Row],[ExpectedWin%]])</f>
        <v>-16.243338471867396</v>
      </c>
      <c r="AB404" s="4">
        <f>Games[[#This Row],[PreGmRate]]+Games[[#This Row],[RatingChange]]</f>
        <v>1576.4623239020964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38932</v>
      </c>
      <c r="B405" s="2">
        <v>2006</v>
      </c>
      <c r="C405" s="2">
        <f>COUNTIFS(Games[Team],Games[[#This Row],[Team]],Games[Season],Games[[#This Row],[Season]],Games[Date],"&lt;=" &amp; Games[[#This Row],[Date]])</f>
        <v>29</v>
      </c>
      <c r="D405" s="2" t="s">
        <v>23</v>
      </c>
      <c r="E405" s="2" t="s">
        <v>29</v>
      </c>
      <c r="F405" s="1" t="s">
        <v>66</v>
      </c>
      <c r="G405" s="1" t="s">
        <v>75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1368.5591423271758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1592.7056623739638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0.30858386289521733</v>
      </c>
      <c r="R405" s="1">
        <v>75</v>
      </c>
      <c r="S405" s="1">
        <v>67</v>
      </c>
      <c r="T405" s="1">
        <v>0</v>
      </c>
      <c r="U405" s="1">
        <f>Games[[#This Row],[PointsFor]]-Games[[#This Row],[PointsAgainst]]</f>
        <v>8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0.32719852588503157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71.650000000000006</v>
      </c>
      <c r="Z405" s="4">
        <f>Games[[#This Row],[K]]*Games[[#This Row],[POMult]]</f>
        <v>71.650000000000006</v>
      </c>
      <c r="AA405" s="4">
        <f>(Games[[#This Row],[Keff]]*Games[[#This Row],[MOVMult]])*(Games[[#This Row],[Result]]-Games[[#This Row],[ExpectedWin%]])</f>
        <v>16.209403920742329</v>
      </c>
      <c r="AB405" s="4">
        <f>Games[[#This Row],[PreGmRate]]+Games[[#This Row],[RatingChange]]</f>
        <v>1384.768546247918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38932</v>
      </c>
      <c r="B406" s="2">
        <v>2006</v>
      </c>
      <c r="C406" s="2">
        <f>COUNTIFS(Games[Team],Games[[#This Row],[Team]],Games[Season],Games[[#This Row],[Season]],Games[Date],"&lt;=" &amp; Games[[#This Row],[Date]])</f>
        <v>30</v>
      </c>
      <c r="D406" s="2" t="s">
        <v>23</v>
      </c>
      <c r="E406" s="2" t="s">
        <v>29</v>
      </c>
      <c r="F406" s="1" t="s">
        <v>64</v>
      </c>
      <c r="G406" s="1" t="s">
        <v>44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1400.0265235374015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1489.7300991502784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0.26895751249025424</v>
      </c>
      <c r="R406" s="1">
        <v>84</v>
      </c>
      <c r="S406" s="1">
        <v>112</v>
      </c>
      <c r="T406" s="1">
        <v>0</v>
      </c>
      <c r="U406" s="1">
        <f>Games[[#This Row],[PointsFor]]-Games[[#This Row],[PointsAgainst]]</f>
        <v>-28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0.63185650369158086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71.5</v>
      </c>
      <c r="Z406" s="4">
        <f>Games[[#This Row],[K]]*Games[[#This Row],[POMult]]</f>
        <v>71.5</v>
      </c>
      <c r="AA406" s="4">
        <f>(Games[[#This Row],[Keff]]*Games[[#This Row],[MOVMult]])*(Games[[#This Row],[Result]]-Games[[#This Row],[ExpectedWin%]])</f>
        <v>-12.150892574082887</v>
      </c>
      <c r="AB406" s="4">
        <f>Games[[#This Row],[PreGmRate]]+Games[[#This Row],[RatingChange]]</f>
        <v>1387.8756309633186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38932</v>
      </c>
      <c r="B407" s="2">
        <v>2006</v>
      </c>
      <c r="C407" s="2">
        <f>COUNTIFS(Games[Team],Games[[#This Row],[Team]],Games[Season],Games[[#This Row],[Season]],Games[Date],"&lt;=" &amp; Games[[#This Row],[Date]])</f>
        <v>29</v>
      </c>
      <c r="D407" s="2" t="s">
        <v>23</v>
      </c>
      <c r="E407" s="2" t="s">
        <v>29</v>
      </c>
      <c r="F407" s="1" t="s">
        <v>44</v>
      </c>
      <c r="G407" s="1" t="s">
        <v>64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1489.7300991502784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1400.0265235374015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0.73104248750974576</v>
      </c>
      <c r="R407" s="1">
        <v>112</v>
      </c>
      <c r="S407" s="1">
        <v>84</v>
      </c>
      <c r="T407" s="1">
        <v>0</v>
      </c>
      <c r="U407" s="1">
        <f>Games[[#This Row],[PointsFor]]-Games[[#This Row],[PointsAgainst]]</f>
        <v>28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0.63185650369158086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71.650000000000006</v>
      </c>
      <c r="Z407" s="4">
        <f>Games[[#This Row],[K]]*Games[[#This Row],[POMult]]</f>
        <v>71.650000000000006</v>
      </c>
      <c r="AA407" s="4">
        <f>(Games[[#This Row],[Keff]]*Games[[#This Row],[MOVMult]])*(Games[[#This Row],[Result]]-Games[[#This Row],[ExpectedWin%]])</f>
        <v>12.176383957105438</v>
      </c>
      <c r="AB407" s="4">
        <f>Games[[#This Row],[PreGmRate]]+Games[[#This Row],[RatingChange]]</f>
        <v>1501.9064831073838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38932</v>
      </c>
      <c r="B408" s="2">
        <v>2006</v>
      </c>
      <c r="C408" s="2">
        <f>COUNTIFS(Games[Team],Games[[#This Row],[Team]],Games[Season],Games[[#This Row],[Season]],Games[Date],"&lt;=" &amp; Games[[#This Row],[Date]])</f>
        <v>30</v>
      </c>
      <c r="D408" s="2" t="s">
        <v>23</v>
      </c>
      <c r="E408" s="2" t="s">
        <v>29</v>
      </c>
      <c r="F408" s="1" t="s">
        <v>45</v>
      </c>
      <c r="G408" s="1" t="s">
        <v>84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1626.2914812743436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1422.370578069422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0.66603815530699295</v>
      </c>
      <c r="R408" s="1">
        <v>87</v>
      </c>
      <c r="S408" s="1">
        <v>69</v>
      </c>
      <c r="T408" s="1">
        <v>0</v>
      </c>
      <c r="U408" s="1">
        <f>Games[[#This Row],[PointsFor]]-Games[[#This Row],[PointsAgainst]]</f>
        <v>18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0.46740576128867845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71.5</v>
      </c>
      <c r="Z408" s="4">
        <f>Games[[#This Row],[K]]*Games[[#This Row],[POMult]]</f>
        <v>71.5</v>
      </c>
      <c r="AA408" s="4">
        <f>(Games[[#This Row],[Keff]]*Games[[#This Row],[MOVMult]])*(Games[[#This Row],[Result]]-Games[[#This Row],[ExpectedWin%]])</f>
        <v>11.160841853597605</v>
      </c>
      <c r="AB408" s="4">
        <f>Games[[#This Row],[PreGmRate]]+Games[[#This Row],[RatingChange]]</f>
        <v>1637.4523231279411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38932</v>
      </c>
      <c r="B409" s="2">
        <v>2006</v>
      </c>
      <c r="C409" s="2">
        <f>COUNTIFS(Games[Team],Games[[#This Row],[Team]],Games[Season],Games[[#This Row],[Season]],Games[Date],"&lt;=" &amp; Games[[#This Row],[Date]])</f>
        <v>29</v>
      </c>
      <c r="D409" s="2" t="s">
        <v>23</v>
      </c>
      <c r="E409" s="2" t="s">
        <v>29</v>
      </c>
      <c r="F409" s="1" t="s">
        <v>84</v>
      </c>
      <c r="G409" s="1" t="s">
        <v>45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1422.370578069422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1626.2914812743436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0.33396184469300699</v>
      </c>
      <c r="R409" s="1">
        <v>69</v>
      </c>
      <c r="S409" s="1">
        <v>87</v>
      </c>
      <c r="T409" s="1">
        <v>0</v>
      </c>
      <c r="U409" s="1">
        <f>Games[[#This Row],[PointsFor]]-Games[[#This Row],[PointsAgainst]]</f>
        <v>-18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0.46740576128867845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71.650000000000006</v>
      </c>
      <c r="Z409" s="4">
        <f>Games[[#This Row],[K]]*Games[[#This Row],[POMult]]</f>
        <v>71.650000000000006</v>
      </c>
      <c r="AA409" s="4">
        <f>(Games[[#This Row],[Keff]]*Games[[#This Row],[MOVMult]])*(Games[[#This Row],[Result]]-Games[[#This Row],[ExpectedWin%]])</f>
        <v>-11.184256207136618</v>
      </c>
      <c r="AB409" s="4">
        <f>Games[[#This Row],[PreGmRate]]+Games[[#This Row],[RatingChange]]</f>
        <v>1411.1863218622855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38932</v>
      </c>
      <c r="B410" s="2">
        <v>2006</v>
      </c>
      <c r="C410" s="2">
        <f>COUNTIFS(Games[Team],Games[[#This Row],[Team]],Games[Season],Games[[#This Row],[Season]],Games[Date],"&lt;=" &amp; Games[[#This Row],[Date]])</f>
        <v>30</v>
      </c>
      <c r="D410" s="2" t="s">
        <v>23</v>
      </c>
      <c r="E410" s="2" t="s">
        <v>29</v>
      </c>
      <c r="F410" s="1" t="s">
        <v>73</v>
      </c>
      <c r="G410" s="1" t="s">
        <v>81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1522.003411217805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1530.5781088484343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0.36984011159611824</v>
      </c>
      <c r="R410" s="1">
        <v>78</v>
      </c>
      <c r="S410" s="1">
        <v>86</v>
      </c>
      <c r="T410" s="1">
        <v>0</v>
      </c>
      <c r="U410" s="1">
        <f>Games[[#This Row],[PointsFor]]-Games[[#This Row],[PointsAgainst]]</f>
        <v>-8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0.38556048121571823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71.5</v>
      </c>
      <c r="Z410" s="4">
        <f>Games[[#This Row],[K]]*Games[[#This Row],[POMult]]</f>
        <v>71.5</v>
      </c>
      <c r="AA410" s="4">
        <f>(Games[[#This Row],[Keff]]*Games[[#This Row],[MOVMult]])*(Games[[#This Row],[Result]]-Games[[#This Row],[ExpectedWin%]])</f>
        <v>-10.195594795091012</v>
      </c>
      <c r="AB410" s="4">
        <f>Games[[#This Row],[PreGmRate]]+Games[[#This Row],[RatingChange]]</f>
        <v>1511.807816422714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38932</v>
      </c>
      <c r="B411" s="2">
        <v>2006</v>
      </c>
      <c r="C411" s="2">
        <f>COUNTIFS(Games[Team],Games[[#This Row],[Team]],Games[Season],Games[[#This Row],[Season]],Games[Date],"&lt;=" &amp; Games[[#This Row],[Date]])</f>
        <v>30</v>
      </c>
      <c r="D411" s="2" t="s">
        <v>23</v>
      </c>
      <c r="E411" s="2" t="s">
        <v>29</v>
      </c>
      <c r="F411" s="1" t="s">
        <v>81</v>
      </c>
      <c r="G411" s="1" t="s">
        <v>73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1530.5781088484343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1522.003411217805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0.63015988840388182</v>
      </c>
      <c r="R411" s="1">
        <v>86</v>
      </c>
      <c r="S411" s="1">
        <v>78</v>
      </c>
      <c r="T411" s="1">
        <v>0</v>
      </c>
      <c r="U411" s="1">
        <f>Games[[#This Row],[PointsFor]]-Games[[#This Row],[PointsAgainst]]</f>
        <v>8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0.38556048121571823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71.5</v>
      </c>
      <c r="Z411" s="4">
        <f>Games[[#This Row],[K]]*Games[[#This Row],[POMult]]</f>
        <v>71.5</v>
      </c>
      <c r="AA411" s="4">
        <f>(Games[[#This Row],[Keff]]*Games[[#This Row],[MOVMult]])*(Games[[#This Row],[Result]]-Games[[#This Row],[ExpectedWin%]])</f>
        <v>10.19559479509101</v>
      </c>
      <c r="AB411" s="4">
        <f>Games[[#This Row],[PreGmRate]]+Games[[#This Row],[RatingChange]]</f>
        <v>1540.7737036435253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38933</v>
      </c>
      <c r="B412" s="2">
        <v>2006</v>
      </c>
      <c r="C412" s="2">
        <f>COUNTIFS(Games[Team],Games[[#This Row],[Team]],Games[Season],Games[[#This Row],[Season]],Games[Date],"&lt;=" &amp; Games[[#This Row],[Date]])</f>
        <v>29</v>
      </c>
      <c r="D412" s="2" t="s">
        <v>23</v>
      </c>
      <c r="E412" s="2" t="s">
        <v>29</v>
      </c>
      <c r="F412" s="1" t="s">
        <v>75</v>
      </c>
      <c r="G412" s="1" t="s">
        <v>87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-2</v>
      </c>
      <c r="L412" s="2">
        <f>Games[[#This Row],[OppDaysOff]]-Games[[#This Row],[DaysOff]]</f>
        <v>2</v>
      </c>
      <c r="M412" s="1">
        <f>MAX(-16, MIN(16, Games[[#This Row],[RestDiff]]*8))</f>
        <v>-16</v>
      </c>
      <c r="N412" s="1">
        <f>MAX(-16, MIN(16, Games[[#This Row],[OppRestDiff]]*8))</f>
        <v>16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1576.4623239020964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1299.1433018824414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0.71679663803158122</v>
      </c>
      <c r="R412" s="1">
        <v>76</v>
      </c>
      <c r="S412" s="1">
        <v>49</v>
      </c>
      <c r="T412" s="1">
        <v>0</v>
      </c>
      <c r="U412" s="1">
        <f>Games[[#This Row],[PointsFor]]-Games[[#This Row],[PointsAgainst]]</f>
        <v>27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0.54152149134742289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71.650000000000006</v>
      </c>
      <c r="Z412" s="4">
        <f>Games[[#This Row],[K]]*Games[[#This Row],[POMult]]</f>
        <v>71.650000000000006</v>
      </c>
      <c r="AA412" s="4">
        <f>(Games[[#This Row],[Keff]]*Games[[#This Row],[MOVMult]])*(Games[[#This Row],[Result]]-Games[[#This Row],[ExpectedWin%]])</f>
        <v>10.988294651372726</v>
      </c>
      <c r="AB412" s="4">
        <f>Games[[#This Row],[PreGmRate]]+Games[[#This Row],[RatingChange]]</f>
        <v>1587.4506185534692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38933</v>
      </c>
      <c r="B413" s="2">
        <v>2006</v>
      </c>
      <c r="C413" s="2">
        <f>COUNTIFS(Games[Team],Games[[#This Row],[Team]],Games[Season],Games[[#This Row],[Season]],Games[Date],"&lt;=" &amp; Games[[#This Row],[Date]])</f>
        <v>29</v>
      </c>
      <c r="D413" s="2" t="s">
        <v>23</v>
      </c>
      <c r="E413" s="2" t="s">
        <v>29</v>
      </c>
      <c r="F413" s="1" t="s">
        <v>87</v>
      </c>
      <c r="G413" s="1" t="s">
        <v>75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3" s="2">
        <f>Games[[#This Row],[DaysOff]]-Games[[#This Row],[OppDaysOff]]</f>
        <v>2</v>
      </c>
      <c r="L413" s="2">
        <f>Games[[#This Row],[OppDaysOff]]-Games[[#This Row],[DaysOff]]</f>
        <v>-2</v>
      </c>
      <c r="M413" s="1">
        <f>MAX(-16, MIN(16, Games[[#This Row],[RestDiff]]*8))</f>
        <v>16</v>
      </c>
      <c r="N413" s="1">
        <f>MAX(-16, MIN(16, Games[[#This Row],[OppRestDiff]]*8))</f>
        <v>-16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1299.1433018824414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1576.4623239020964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0.28320336196841883</v>
      </c>
      <c r="R413" s="1">
        <v>49</v>
      </c>
      <c r="S413" s="1">
        <v>76</v>
      </c>
      <c r="T413" s="1">
        <v>0</v>
      </c>
      <c r="U413" s="1">
        <f>Games[[#This Row],[PointsFor]]-Games[[#This Row],[PointsAgainst]]</f>
        <v>-27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0.54152149134742289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71.650000000000006</v>
      </c>
      <c r="Z413" s="4">
        <f>Games[[#This Row],[K]]*Games[[#This Row],[POMult]]</f>
        <v>71.650000000000006</v>
      </c>
      <c r="AA413" s="4">
        <f>(Games[[#This Row],[Keff]]*Games[[#This Row],[MOVMult]])*(Games[[#This Row],[Result]]-Games[[#This Row],[ExpectedWin%]])</f>
        <v>-10.98829465137273</v>
      </c>
      <c r="AB413" s="4">
        <f>Games[[#This Row],[PreGmRate]]+Games[[#This Row],[RatingChange]]</f>
        <v>1288.1550072310686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38933</v>
      </c>
      <c r="B414" s="2">
        <v>2006</v>
      </c>
      <c r="C414" s="2">
        <f>COUNTIFS(Games[Team],Games[[#This Row],[Team]],Games[Season],Games[[#This Row],[Season]],Games[Date],"&lt;=" &amp; Games[[#This Row],[Date]])</f>
        <v>30</v>
      </c>
      <c r="D414" s="2" t="s">
        <v>23</v>
      </c>
      <c r="E414" s="2" t="s">
        <v>29</v>
      </c>
      <c r="F414" s="1" t="s">
        <v>2</v>
      </c>
      <c r="G414" s="1" t="s">
        <v>77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4" s="2">
        <f>Games[[#This Row],[DaysOff]]-Games[[#This Row],[OppDaysOff]]</f>
        <v>2</v>
      </c>
      <c r="L414" s="2">
        <f>Games[[#This Row],[OppDaysOff]]-Games[[#This Row],[DaysOff]]</f>
        <v>-2</v>
      </c>
      <c r="M414" s="1">
        <f>MAX(-16, MIN(16, Games[[#This Row],[RestDiff]]*8))</f>
        <v>16</v>
      </c>
      <c r="N414" s="1">
        <f>MAX(-16, MIN(16, Games[[#This Row],[OppRestDiff]]*8))</f>
        <v>-16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1527.6795944386222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1355.9987833803207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0.66573066656763624</v>
      </c>
      <c r="R414" s="1">
        <v>77</v>
      </c>
      <c r="S414" s="1">
        <v>73</v>
      </c>
      <c r="T414" s="1">
        <v>1</v>
      </c>
      <c r="U414" s="1">
        <f>Games[[#This Row],[PointsFor]]-Games[[#This Row],[PointsAgainst]]</f>
        <v>4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0.2452081788887063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71.5</v>
      </c>
      <c r="Z414" s="4">
        <f>Games[[#This Row],[K]]*Games[[#This Row],[POMult]]</f>
        <v>71.5</v>
      </c>
      <c r="AA414" s="4">
        <f>(Games[[#This Row],[Keff]]*Games[[#This Row],[MOVMult]])*(Games[[#This Row],[Result]]-Games[[#This Row],[ExpectedWin%]])</f>
        <v>5.8605385774143546</v>
      </c>
      <c r="AB414" s="4">
        <f>Games[[#This Row],[PreGmRate]]+Games[[#This Row],[RatingChange]]</f>
        <v>1533.5401330160366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38933</v>
      </c>
      <c r="B415" s="2">
        <v>2006</v>
      </c>
      <c r="C415" s="2">
        <f>COUNTIFS(Games[Team],Games[[#This Row],[Team]],Games[Season],Games[[#This Row],[Season]],Games[Date],"&lt;=" &amp; Games[[#This Row],[Date]])</f>
        <v>30</v>
      </c>
      <c r="D415" s="2" t="s">
        <v>23</v>
      </c>
      <c r="E415" s="2" t="s">
        <v>29</v>
      </c>
      <c r="F415" s="1" t="s">
        <v>77</v>
      </c>
      <c r="G415" s="1" t="s">
        <v>2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5" s="2">
        <f>Games[[#This Row],[DaysOff]]-Games[[#This Row],[OppDaysOff]]</f>
        <v>-2</v>
      </c>
      <c r="L415" s="2">
        <f>Games[[#This Row],[OppDaysOff]]-Games[[#This Row],[DaysOff]]</f>
        <v>2</v>
      </c>
      <c r="M415" s="1">
        <f>MAX(-16, MIN(16, Games[[#This Row],[RestDiff]]*8))</f>
        <v>-16</v>
      </c>
      <c r="N415" s="1">
        <f>MAX(-16, MIN(16, Games[[#This Row],[OppRestDiff]]*8))</f>
        <v>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1355.9987833803207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1527.6795944386222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0.33426933343236376</v>
      </c>
      <c r="R415" s="1">
        <v>73</v>
      </c>
      <c r="S415" s="1">
        <v>77</v>
      </c>
      <c r="T415" s="1">
        <v>1</v>
      </c>
      <c r="U415" s="1">
        <f>Games[[#This Row],[PointsFor]]-Games[[#This Row],[PointsAgainst]]</f>
        <v>-4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0.2452081788887063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71.5</v>
      </c>
      <c r="Z415" s="4">
        <f>Games[[#This Row],[K]]*Games[[#This Row],[POMult]]</f>
        <v>71.5</v>
      </c>
      <c r="AA415" s="4">
        <f>(Games[[#This Row],[Keff]]*Games[[#This Row],[MOVMult]])*(Games[[#This Row],[Result]]-Games[[#This Row],[ExpectedWin%]])</f>
        <v>-5.8605385774143546</v>
      </c>
      <c r="AB415" s="4">
        <f>Games[[#This Row],[PreGmRate]]+Games[[#This Row],[RatingChange]]</f>
        <v>1350.1382448029062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38934</v>
      </c>
      <c r="B416" s="2">
        <v>2006</v>
      </c>
      <c r="C416" s="2">
        <f>COUNTIFS(Games[Team],Games[[#This Row],[Team]],Games[Season],Games[[#This Row],[Season]],Games[Date],"&lt;=" &amp; Games[[#This Row],[Date]])</f>
        <v>30</v>
      </c>
      <c r="D416" s="2" t="s">
        <v>23</v>
      </c>
      <c r="E416" s="2" t="s">
        <v>29</v>
      </c>
      <c r="F416" s="1" t="s">
        <v>84</v>
      </c>
      <c r="G416" s="1" t="s">
        <v>79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1411.1863218622855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1560.6495852587711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0.20686573258212301</v>
      </c>
      <c r="R416" s="1">
        <v>70</v>
      </c>
      <c r="S416" s="1">
        <v>76</v>
      </c>
      <c r="T416" s="1">
        <v>0</v>
      </c>
      <c r="U416" s="1">
        <f>Games[[#This Row],[PointsFor]]-Games[[#This Row],[PointsAgainst]]</f>
        <v>-6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0.31237375980744891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71.5</v>
      </c>
      <c r="Z416" s="4">
        <f>Games[[#This Row],[K]]*Games[[#This Row],[POMult]]</f>
        <v>71.5</v>
      </c>
      <c r="AA416" s="4">
        <f>(Games[[#This Row],[Keff]]*Games[[#This Row],[MOVMult]])*(Games[[#This Row],[Result]]-Games[[#This Row],[ExpectedWin%]])</f>
        <v>-4.620289006333004</v>
      </c>
      <c r="AB416" s="4">
        <f>Games[[#This Row],[PreGmRate]]+Games[[#This Row],[RatingChange]]</f>
        <v>1406.5660328559525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38934</v>
      </c>
      <c r="B417" s="2">
        <v>2006</v>
      </c>
      <c r="C417" s="2">
        <f>COUNTIFS(Games[Team],Games[[#This Row],[Team]],Games[Season],Games[[#This Row],[Season]],Games[Date],"&lt;=" &amp; Games[[#This Row],[Date]])</f>
        <v>30</v>
      </c>
      <c r="D417" s="2" t="s">
        <v>23</v>
      </c>
      <c r="E417" s="2" t="s">
        <v>29</v>
      </c>
      <c r="F417" s="1" t="s">
        <v>79</v>
      </c>
      <c r="G417" s="1" t="s">
        <v>84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1560.6495852587711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1411.1863218622855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0.79313426741787696</v>
      </c>
      <c r="R417" s="1">
        <v>76</v>
      </c>
      <c r="S417" s="1">
        <v>70</v>
      </c>
      <c r="T417" s="1">
        <v>0</v>
      </c>
      <c r="U417" s="1">
        <f>Games[[#This Row],[PointsFor]]-Games[[#This Row],[PointsAgainst]]</f>
        <v>6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0.31237375980744891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71.5</v>
      </c>
      <c r="Z417" s="4">
        <f>Games[[#This Row],[K]]*Games[[#This Row],[POMult]]</f>
        <v>71.5</v>
      </c>
      <c r="AA417" s="4">
        <f>(Games[[#This Row],[Keff]]*Games[[#This Row],[MOVMult]])*(Games[[#This Row],[Result]]-Games[[#This Row],[ExpectedWin%]])</f>
        <v>4.620289006333004</v>
      </c>
      <c r="AB417" s="4">
        <f>Games[[#This Row],[PreGmRate]]+Games[[#This Row],[RatingChange]]</f>
        <v>1565.2698742651041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38934</v>
      </c>
      <c r="B418" s="2">
        <v>2006</v>
      </c>
      <c r="C418" s="2">
        <f>COUNTIFS(Games[Team],Games[[#This Row],[Team]],Games[Season],Games[[#This Row],[Season]],Games[Date],"&lt;=" &amp; Games[[#This Row],[Date]])</f>
        <v>30</v>
      </c>
      <c r="D418" s="2" t="s">
        <v>23</v>
      </c>
      <c r="E418" s="2" t="s">
        <v>29</v>
      </c>
      <c r="F418" s="1" t="s">
        <v>87</v>
      </c>
      <c r="G418" s="1" t="s">
        <v>66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-1</v>
      </c>
      <c r="L418" s="2">
        <f>Games[[#This Row],[OppDaysOff]]-Games[[#This Row],[DaysOff]]</f>
        <v>1</v>
      </c>
      <c r="M418" s="1">
        <f>MAX(-16, MIN(16, Games[[#This Row],[RestDiff]]*8))</f>
        <v>-8</v>
      </c>
      <c r="N418" s="1">
        <f>MAX(-16, MIN(16, Games[[#This Row],[OppRestDiff]]*8))</f>
        <v>8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1288.1550072310686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1384.768546247918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0.24382934498574749</v>
      </c>
      <c r="R418" s="1">
        <v>69</v>
      </c>
      <c r="S418" s="1">
        <v>80</v>
      </c>
      <c r="T418" s="1">
        <v>0</v>
      </c>
      <c r="U418" s="1">
        <f>Games[[#This Row],[PointsFor]]-Games[[#This Row],[PointsAgainst]]</f>
        <v>-11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0.40706282051424647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71.5</v>
      </c>
      <c r="Z418" s="4">
        <f>Games[[#This Row],[K]]*Games[[#This Row],[POMult]]</f>
        <v>71.5</v>
      </c>
      <c r="AA418" s="4">
        <f>(Games[[#This Row],[Keff]]*Games[[#This Row],[MOVMult]])*(Games[[#This Row],[Result]]-Games[[#This Row],[ExpectedWin%]])</f>
        <v>-7.0966510539238321</v>
      </c>
      <c r="AB418" s="4">
        <f>Games[[#This Row],[PreGmRate]]+Games[[#This Row],[RatingChange]]</f>
        <v>1281.0583561771448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38934</v>
      </c>
      <c r="B419" s="2">
        <v>2006</v>
      </c>
      <c r="C419" s="2">
        <f>COUNTIFS(Games[Team],Games[[#This Row],[Team]],Games[Season],Games[[#This Row],[Season]],Games[Date],"&lt;=" &amp; Games[[#This Row],[Date]])</f>
        <v>30</v>
      </c>
      <c r="D419" s="2" t="s">
        <v>23</v>
      </c>
      <c r="E419" s="2" t="s">
        <v>29</v>
      </c>
      <c r="F419" s="1" t="s">
        <v>66</v>
      </c>
      <c r="G419" s="1" t="s">
        <v>87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9" s="2">
        <f>Games[[#This Row],[DaysOff]]-Games[[#This Row],[OppDaysOff]]</f>
        <v>1</v>
      </c>
      <c r="L419" s="2">
        <f>Games[[#This Row],[OppDaysOff]]-Games[[#This Row],[DaysOff]]</f>
        <v>-1</v>
      </c>
      <c r="M419" s="1">
        <f>MAX(-16, MIN(16, Games[[#This Row],[RestDiff]]*8))</f>
        <v>8</v>
      </c>
      <c r="N419" s="1">
        <f>MAX(-16, MIN(16, Games[[#This Row],[OppRestDiff]]*8))</f>
        <v>-8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1384.768546247918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1288.1550072310686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0.75617065501425262</v>
      </c>
      <c r="R419" s="1">
        <v>80</v>
      </c>
      <c r="S419" s="1">
        <v>69</v>
      </c>
      <c r="T419" s="1">
        <v>0</v>
      </c>
      <c r="U419" s="1">
        <f>Games[[#This Row],[PointsFor]]-Games[[#This Row],[PointsAgainst]]</f>
        <v>11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0.40706282051424647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71.5</v>
      </c>
      <c r="Z419" s="4">
        <f>Games[[#This Row],[K]]*Games[[#This Row],[POMult]]</f>
        <v>71.5</v>
      </c>
      <c r="AA419" s="4">
        <f>(Games[[#This Row],[Keff]]*Games[[#This Row],[MOVMult]])*(Games[[#This Row],[Result]]-Games[[#This Row],[ExpectedWin%]])</f>
        <v>7.0966510539238294</v>
      </c>
      <c r="AB419" s="4">
        <f>Games[[#This Row],[PreGmRate]]+Games[[#This Row],[RatingChange]]</f>
        <v>1391.8651973018418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38934</v>
      </c>
      <c r="B420" s="2">
        <v>2006</v>
      </c>
      <c r="C420" s="2">
        <f>COUNTIFS(Games[Team],Games[[#This Row],[Team]],Games[Season],Games[[#This Row],[Season]],Games[Date],"&lt;=" &amp; Games[[#This Row],[Date]])</f>
        <v>32</v>
      </c>
      <c r="D420" s="2" t="s">
        <v>23</v>
      </c>
      <c r="E420" s="2" t="s">
        <v>29</v>
      </c>
      <c r="F420" s="1" t="s">
        <v>70</v>
      </c>
      <c r="G420" s="1" t="s">
        <v>44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1619.0848799626851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1501.9064831073838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0.5476029370980382</v>
      </c>
      <c r="R420" s="1">
        <v>80</v>
      </c>
      <c r="S420" s="1">
        <v>96</v>
      </c>
      <c r="T420" s="1">
        <v>0</v>
      </c>
      <c r="U420" s="1">
        <f>Games[[#This Row],[PointsFor]]-Games[[#This Row],[PointsAgainst]]</f>
        <v>-16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0.47172291940066791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71.2</v>
      </c>
      <c r="Z420" s="4">
        <f>Games[[#This Row],[K]]*Games[[#This Row],[POMult]]</f>
        <v>71.2</v>
      </c>
      <c r="AA420" s="4">
        <f>(Games[[#This Row],[Keff]]*Games[[#This Row],[MOVMult]])*(Games[[#This Row],[Result]]-Games[[#This Row],[ExpectedWin%]])</f>
        <v>-18.392160158611006</v>
      </c>
      <c r="AB420" s="4">
        <f>Games[[#This Row],[PreGmRate]]+Games[[#This Row],[RatingChange]]</f>
        <v>1600.6927198040742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38934</v>
      </c>
      <c r="B421" s="2">
        <v>2006</v>
      </c>
      <c r="C421" s="2">
        <f>COUNTIFS(Games[Team],Games[[#This Row],[Team]],Games[Season],Games[[#This Row],[Season]],Games[Date],"&lt;=" &amp; Games[[#This Row],[Date]])</f>
        <v>30</v>
      </c>
      <c r="D421" s="2" t="s">
        <v>23</v>
      </c>
      <c r="E421" s="2" t="s">
        <v>29</v>
      </c>
      <c r="F421" s="1" t="s">
        <v>44</v>
      </c>
      <c r="G421" s="1" t="s">
        <v>70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1501.9064831073838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1619.0848799626851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0.4523970629019618</v>
      </c>
      <c r="R421" s="1">
        <v>96</v>
      </c>
      <c r="S421" s="1">
        <v>80</v>
      </c>
      <c r="T421" s="1">
        <v>0</v>
      </c>
      <c r="U421" s="1">
        <f>Games[[#This Row],[PointsFor]]-Games[[#This Row],[PointsAgainst]]</f>
        <v>16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0.47172291940066791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71.5</v>
      </c>
      <c r="Z421" s="4">
        <f>Games[[#This Row],[K]]*Games[[#This Row],[POMult]]</f>
        <v>71.5</v>
      </c>
      <c r="AA421" s="4">
        <f>(Games[[#This Row],[Keff]]*Games[[#This Row],[MOVMult]])*(Games[[#This Row],[Result]]-Games[[#This Row],[ExpectedWin%]])</f>
        <v>18.469655215459081</v>
      </c>
      <c r="AB421" s="4">
        <f>Games[[#This Row],[PreGmRate]]+Games[[#This Row],[RatingChange]]</f>
        <v>1520.376138322843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38934</v>
      </c>
      <c r="B422" s="2">
        <v>2006</v>
      </c>
      <c r="C422" s="2">
        <f>COUNTIFS(Games[Team],Games[[#This Row],[Team]],Games[Season],Games[[#This Row],[Season]],Games[Date],"&lt;=" &amp; Games[[#This Row],[Date]])</f>
        <v>31</v>
      </c>
      <c r="D422" s="2" t="s">
        <v>23</v>
      </c>
      <c r="E422" s="2" t="s">
        <v>29</v>
      </c>
      <c r="F422" s="1" t="s">
        <v>73</v>
      </c>
      <c r="G422" s="1" t="s">
        <v>45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1511.807816422714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1637.4523231279411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0.23026583131627459</v>
      </c>
      <c r="R422" s="1">
        <v>95</v>
      </c>
      <c r="S422" s="1">
        <v>99</v>
      </c>
      <c r="T422" s="1">
        <v>1</v>
      </c>
      <c r="U422" s="1">
        <f>Games[[#This Row],[PointsFor]]-Games[[#This Row],[PointsAgainst]]</f>
        <v>-4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0.25372364309957535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71.349999999999994</v>
      </c>
      <c r="Z422" s="4">
        <f>Games[[#This Row],[K]]*Games[[#This Row],[POMult]]</f>
        <v>71.349999999999994</v>
      </c>
      <c r="AA422" s="4">
        <f>(Games[[#This Row],[Keff]]*Games[[#This Row],[MOVMult]])*(Games[[#This Row],[Result]]-Games[[#This Row],[ExpectedWin%]])</f>
        <v>-4.1685442377681614</v>
      </c>
      <c r="AB422" s="4">
        <f>Games[[#This Row],[PreGmRate]]+Games[[#This Row],[RatingChange]]</f>
        <v>1507.6392721849459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1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38934</v>
      </c>
      <c r="B423" s="2">
        <v>2006</v>
      </c>
      <c r="C423" s="2">
        <f>COUNTIFS(Games[Team],Games[[#This Row],[Team]],Games[Season],Games[[#This Row],[Season]],Games[Date],"&lt;=" &amp; Games[[#This Row],[Date]])</f>
        <v>31</v>
      </c>
      <c r="D423" s="2" t="s">
        <v>23</v>
      </c>
      <c r="E423" s="2" t="s">
        <v>29</v>
      </c>
      <c r="F423" s="1" t="s">
        <v>45</v>
      </c>
      <c r="G423" s="1" t="s">
        <v>73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1637.4523231279411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1511.807816422714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0.76973416868372546</v>
      </c>
      <c r="R423" s="1">
        <v>99</v>
      </c>
      <c r="S423" s="1">
        <v>95</v>
      </c>
      <c r="T423" s="1">
        <v>1</v>
      </c>
      <c r="U423" s="1">
        <f>Games[[#This Row],[PointsFor]]-Games[[#This Row],[PointsAgainst]]</f>
        <v>4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0.25372364309957535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71.349999999999994</v>
      </c>
      <c r="Z423" s="4">
        <f>Games[[#This Row],[K]]*Games[[#This Row],[POMult]]</f>
        <v>71.349999999999994</v>
      </c>
      <c r="AA423" s="4">
        <f>(Games[[#This Row],[Keff]]*Games[[#This Row],[MOVMult]])*(Games[[#This Row],[Result]]-Games[[#This Row],[ExpectedWin%]])</f>
        <v>4.1685442377681605</v>
      </c>
      <c r="AB423" s="4">
        <f>Games[[#This Row],[PreGmRate]]+Games[[#This Row],[RatingChange]]</f>
        <v>1641.6208673657093</v>
      </c>
      <c r="AC423" s="2">
        <f>IF(Games[[#This Row],[Type]]="R",IF(Games[[#This Row],[Result]]&gt;0.5,1,0),0)</f>
        <v>1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38934</v>
      </c>
      <c r="B424" s="2">
        <v>2006</v>
      </c>
      <c r="C424" s="2">
        <f>COUNTIFS(Games[Team],Games[[#This Row],[Team]],Games[Season],Games[[#This Row],[Season]],Games[Date],"&lt;=" &amp; Games[[#This Row],[Date]])</f>
        <v>31</v>
      </c>
      <c r="D424" s="2" t="s">
        <v>23</v>
      </c>
      <c r="E424" s="2" t="s">
        <v>29</v>
      </c>
      <c r="F424" s="1" t="s">
        <v>64</v>
      </c>
      <c r="G424" s="1" t="s">
        <v>81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1387.8756309633186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1540.7737036435253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0.2036404360931125</v>
      </c>
      <c r="R424" s="1">
        <v>81</v>
      </c>
      <c r="S424" s="1">
        <v>87</v>
      </c>
      <c r="T424" s="1">
        <v>0</v>
      </c>
      <c r="U424" s="1">
        <f>Games[[#This Row],[PointsFor]]-Games[[#This Row],[PointsAgainst]]</f>
        <v>-6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0.31158068876104561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71.349999999999994</v>
      </c>
      <c r="Z424" s="4">
        <f>Games[[#This Row],[K]]*Games[[#This Row],[POMult]]</f>
        <v>71.349999999999994</v>
      </c>
      <c r="AA424" s="4">
        <f>(Games[[#This Row],[Keff]]*Games[[#This Row],[MOVMult]])*(Games[[#This Row],[Result]]-Games[[#This Row],[ExpectedWin%]])</f>
        <v>-4.5271879905300318</v>
      </c>
      <c r="AB424" s="4">
        <f>Games[[#This Row],[PreGmRate]]+Games[[#This Row],[RatingChange]]</f>
        <v>1383.3484429727885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1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38934</v>
      </c>
      <c r="B425" s="2">
        <v>2006</v>
      </c>
      <c r="C425" s="2">
        <f>COUNTIFS(Games[Team],Games[[#This Row],[Team]],Games[Season],Games[[#This Row],[Season]],Games[Date],"&lt;=" &amp; Games[[#This Row],[Date]])</f>
        <v>31</v>
      </c>
      <c r="D425" s="2" t="s">
        <v>23</v>
      </c>
      <c r="E425" s="2" t="s">
        <v>29</v>
      </c>
      <c r="F425" s="1" t="s">
        <v>81</v>
      </c>
      <c r="G425" s="1" t="s">
        <v>64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1540.7737036435253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1387.8756309633186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0.79635956390688745</v>
      </c>
      <c r="R425" s="1">
        <v>87</v>
      </c>
      <c r="S425" s="1">
        <v>81</v>
      </c>
      <c r="T425" s="1">
        <v>0</v>
      </c>
      <c r="U425" s="1">
        <f>Games[[#This Row],[PointsFor]]-Games[[#This Row],[PointsAgainst]]</f>
        <v>6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0.31158068876104561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71.349999999999994</v>
      </c>
      <c r="Z425" s="4">
        <f>Games[[#This Row],[K]]*Games[[#This Row],[POMult]]</f>
        <v>71.349999999999994</v>
      </c>
      <c r="AA425" s="4">
        <f>(Games[[#This Row],[Keff]]*Games[[#This Row],[MOVMult]])*(Games[[#This Row],[Result]]-Games[[#This Row],[ExpectedWin%]])</f>
        <v>4.5271879905300327</v>
      </c>
      <c r="AB425" s="4">
        <f>Games[[#This Row],[PreGmRate]]+Games[[#This Row],[RatingChange]]</f>
        <v>1545.3008916340555</v>
      </c>
      <c r="AC425" s="2">
        <f>IF(Games[[#This Row],[Type]]="R",IF(Games[[#This Row],[Result]]&gt;0.5,1,0),0)</f>
        <v>1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38935</v>
      </c>
      <c r="B426" s="2">
        <v>2006</v>
      </c>
      <c r="C426" s="2">
        <f>COUNTIFS(Games[Team],Games[[#This Row],[Team]],Games[Season],Games[[#This Row],[Season]],Games[Date],"&lt;=" &amp; Games[[#This Row],[Date]])</f>
        <v>31</v>
      </c>
      <c r="D426" s="2" t="s">
        <v>23</v>
      </c>
      <c r="E426" s="2" t="s">
        <v>29</v>
      </c>
      <c r="F426" s="1" t="s">
        <v>66</v>
      </c>
      <c r="G426" s="1" t="s">
        <v>75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-1</v>
      </c>
      <c r="L426" s="2">
        <f>Games[[#This Row],[OppDaysOff]]-Games[[#This Row],[DaysOff]]</f>
        <v>1</v>
      </c>
      <c r="M426" s="1">
        <f>MAX(-16, MIN(16, Games[[#This Row],[RestDiff]]*8))</f>
        <v>-8</v>
      </c>
      <c r="N426" s="1">
        <f>MAX(-16, MIN(16, Games[[#This Row],[OppRestDiff]]*8))</f>
        <v>8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1391.8651973018418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1587.4506185534692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0.15426600555011549</v>
      </c>
      <c r="R426" s="1">
        <v>53</v>
      </c>
      <c r="S426" s="1">
        <v>65</v>
      </c>
      <c r="T426" s="1">
        <v>0</v>
      </c>
      <c r="U426" s="1">
        <f>Games[[#This Row],[PointsFor]]-Games[[#This Row],[PointsAgainst]]</f>
        <v>-12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0.39220482197424689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71.349999999999994</v>
      </c>
      <c r="Z426" s="4">
        <f>Games[[#This Row],[K]]*Games[[#This Row],[POMult]]</f>
        <v>71.349999999999994</v>
      </c>
      <c r="AA426" s="4">
        <f>(Games[[#This Row],[Keff]]*Games[[#This Row],[MOVMult]])*(Games[[#This Row],[Result]]-Games[[#This Row],[ExpectedWin%]])</f>
        <v>-4.3169512132209586</v>
      </c>
      <c r="AB426" s="4">
        <f>Games[[#This Row],[PreGmRate]]+Games[[#This Row],[RatingChange]]</f>
        <v>1387.5482460886208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38935</v>
      </c>
      <c r="B427" s="2">
        <v>2006</v>
      </c>
      <c r="C427" s="2">
        <f>COUNTIFS(Games[Team],Games[[#This Row],[Team]],Games[Season],Games[[#This Row],[Season]],Games[Date],"&lt;=" &amp; Games[[#This Row],[Date]])</f>
        <v>30</v>
      </c>
      <c r="D427" s="2" t="s">
        <v>23</v>
      </c>
      <c r="E427" s="2" t="s">
        <v>29</v>
      </c>
      <c r="F427" s="1" t="s">
        <v>75</v>
      </c>
      <c r="G427" s="1" t="s">
        <v>66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7" s="2">
        <f>Games[[#This Row],[DaysOff]]-Games[[#This Row],[OppDaysOff]]</f>
        <v>1</v>
      </c>
      <c r="L427" s="2">
        <f>Games[[#This Row],[OppDaysOff]]-Games[[#This Row],[DaysOff]]</f>
        <v>-1</v>
      </c>
      <c r="M427" s="1">
        <f>MAX(-16, MIN(16, Games[[#This Row],[RestDiff]]*8))</f>
        <v>8</v>
      </c>
      <c r="N427" s="1">
        <f>MAX(-16, MIN(16, Games[[#This Row],[OppRestDiff]]*8))</f>
        <v>-8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1587.4506185534692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1391.8651973018418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0.84573399444988451</v>
      </c>
      <c r="R427" s="1">
        <v>65</v>
      </c>
      <c r="S427" s="1">
        <v>53</v>
      </c>
      <c r="T427" s="1">
        <v>0</v>
      </c>
      <c r="U427" s="1">
        <f>Games[[#This Row],[PointsFor]]-Games[[#This Row],[PointsAgainst]]</f>
        <v>12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0.39220482197424689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71.5</v>
      </c>
      <c r="Z427" s="4">
        <f>Games[[#This Row],[K]]*Games[[#This Row],[POMult]]</f>
        <v>71.5</v>
      </c>
      <c r="AA427" s="4">
        <f>(Games[[#This Row],[Keff]]*Games[[#This Row],[MOVMult]])*(Games[[#This Row],[Result]]-Games[[#This Row],[ExpectedWin%]])</f>
        <v>4.3260267939074781</v>
      </c>
      <c r="AB427" s="4">
        <f>Games[[#This Row],[PreGmRate]]+Games[[#This Row],[RatingChange]]</f>
        <v>1591.7766453473766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38935</v>
      </c>
      <c r="B428" s="2">
        <v>2006</v>
      </c>
      <c r="C428" s="2">
        <f>COUNTIFS(Games[Team],Games[[#This Row],[Team]],Games[Season],Games[[#This Row],[Season]],Games[Date],"&lt;=" &amp; Games[[#This Row],[Date]])</f>
        <v>30</v>
      </c>
      <c r="D428" s="2" t="s">
        <v>23</v>
      </c>
      <c r="E428" s="2" t="s">
        <v>29</v>
      </c>
      <c r="F428" s="1" t="s">
        <v>86</v>
      </c>
      <c r="G428" s="1" t="s">
        <v>2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1</v>
      </c>
      <c r="L428" s="2">
        <f>Games[[#This Row],[OppDaysOff]]-Games[[#This Row],[DaysOff]]</f>
        <v>-1</v>
      </c>
      <c r="M428" s="1">
        <f>MAX(-16, MIN(16, Games[[#This Row],[RestDiff]]*8))</f>
        <v>8</v>
      </c>
      <c r="N428" s="1">
        <f>MAX(-16, MIN(16, Games[[#This Row],[OppRestDiff]]*8))</f>
        <v>-8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1689.5751918416095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1533.5401330160366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0.6240491079455488</v>
      </c>
      <c r="R428" s="1">
        <v>86</v>
      </c>
      <c r="S428" s="1">
        <v>67</v>
      </c>
      <c r="T428" s="1">
        <v>0</v>
      </c>
      <c r="U428" s="1">
        <f>Games[[#This Row],[PointsFor]]-Games[[#This Row],[PointsAgainst]]</f>
        <v>19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0.49642749491354421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71.5</v>
      </c>
      <c r="Z428" s="4">
        <f>Games[[#This Row],[K]]*Games[[#This Row],[POMult]]</f>
        <v>71.5</v>
      </c>
      <c r="AA428" s="4">
        <f>(Games[[#This Row],[Keff]]*Games[[#This Row],[MOVMult]])*(Games[[#This Row],[Result]]-Games[[#This Row],[ExpectedWin%]])</f>
        <v>13.344213708046899</v>
      </c>
      <c r="AB428" s="4">
        <f>Games[[#This Row],[PreGmRate]]+Games[[#This Row],[RatingChange]]</f>
        <v>1702.9194055496564</v>
      </c>
      <c r="AC428" s="2">
        <f>IF(Games[[#This Row],[Type]]="R",IF(Games[[#This Row],[Result]]&gt;0.5,1,0),0)</f>
        <v>1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38935</v>
      </c>
      <c r="B429" s="2">
        <v>2006</v>
      </c>
      <c r="C429" s="2">
        <f>COUNTIFS(Games[Team],Games[[#This Row],[Team]],Games[Season],Games[[#This Row],[Season]],Games[Date],"&lt;=" &amp; Games[[#This Row],[Date]])</f>
        <v>31</v>
      </c>
      <c r="D429" s="2" t="s">
        <v>23</v>
      </c>
      <c r="E429" s="2" t="s">
        <v>29</v>
      </c>
      <c r="F429" s="1" t="s">
        <v>2</v>
      </c>
      <c r="G429" s="1" t="s">
        <v>86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9" s="2">
        <f>Games[[#This Row],[DaysOff]]-Games[[#This Row],[OppDaysOff]]</f>
        <v>-1</v>
      </c>
      <c r="L429" s="2">
        <f>Games[[#This Row],[OppDaysOff]]-Games[[#This Row],[DaysOff]]</f>
        <v>1</v>
      </c>
      <c r="M429" s="1">
        <f>MAX(-16, MIN(16, Games[[#This Row],[RestDiff]]*8))</f>
        <v>-8</v>
      </c>
      <c r="N429" s="1">
        <f>MAX(-16, MIN(16, Games[[#This Row],[OppRestDiff]]*8))</f>
        <v>8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1533.5401330160366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1689.5751918416095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0.3759508920544512</v>
      </c>
      <c r="R429" s="1">
        <v>67</v>
      </c>
      <c r="S429" s="1">
        <v>86</v>
      </c>
      <c r="T429" s="1">
        <v>0</v>
      </c>
      <c r="U429" s="1">
        <f>Games[[#This Row],[PointsFor]]-Games[[#This Row],[PointsAgainst]]</f>
        <v>-19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0.49642749491354421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71.349999999999994</v>
      </c>
      <c r="Z429" s="4">
        <f>Games[[#This Row],[K]]*Games[[#This Row],[POMult]]</f>
        <v>71.349999999999994</v>
      </c>
      <c r="AA429" s="4">
        <f>(Games[[#This Row],[Keff]]*Games[[#This Row],[MOVMult]])*(Games[[#This Row],[Result]]-Games[[#This Row],[ExpectedWin%]])</f>
        <v>-13.316218854113934</v>
      </c>
      <c r="AB429" s="4">
        <f>Games[[#This Row],[PreGmRate]]+Games[[#This Row],[RatingChange]]</f>
        <v>1520.2239141619227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1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38935</v>
      </c>
      <c r="B430" s="2">
        <v>2006</v>
      </c>
      <c r="C430" s="2">
        <f>COUNTIFS(Games[Team],Games[[#This Row],[Team]],Games[Season],Games[[#This Row],[Season]],Games[Date],"&lt;=" &amp; Games[[#This Row],[Date]])</f>
        <v>31</v>
      </c>
      <c r="D430" s="2" t="s">
        <v>23</v>
      </c>
      <c r="E430" s="2" t="s">
        <v>29</v>
      </c>
      <c r="F430" s="1" t="s">
        <v>84</v>
      </c>
      <c r="G430" s="1" t="s">
        <v>77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-1</v>
      </c>
      <c r="L430" s="2">
        <f>Games[[#This Row],[OppDaysOff]]-Games[[#This Row],[DaysOff]]</f>
        <v>1</v>
      </c>
      <c r="M430" s="1">
        <f>MAX(-16, MIN(16, Games[[#This Row],[RestDiff]]*8))</f>
        <v>-8</v>
      </c>
      <c r="N430" s="1">
        <f>MAX(-16, MIN(16, Games[[#This Row],[OppRestDiff]]*8))</f>
        <v>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1406.5660328559525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1350.1382448029062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0.43762123296561628</v>
      </c>
      <c r="R430" s="1">
        <v>68</v>
      </c>
      <c r="S430" s="1">
        <v>82</v>
      </c>
      <c r="T430" s="1">
        <v>0</v>
      </c>
      <c r="U430" s="1">
        <f>Games[[#This Row],[PointsFor]]-Games[[#This Row],[PointsAgainst]]</f>
        <v>-14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0.46570899641406011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71.349999999999994</v>
      </c>
      <c r="Z430" s="4">
        <f>Games[[#This Row],[K]]*Games[[#This Row],[POMult]]</f>
        <v>71.349999999999994</v>
      </c>
      <c r="AA430" s="4">
        <f>(Games[[#This Row],[Keff]]*Games[[#This Row],[MOVMult]])*(Games[[#This Row],[Result]]-Games[[#This Row],[ExpectedWin%]])</f>
        <v>-14.541425761011816</v>
      </c>
      <c r="AB430" s="4">
        <f>Games[[#This Row],[PreGmRate]]+Games[[#This Row],[RatingChange]]</f>
        <v>1392.0246070949406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38935</v>
      </c>
      <c r="B431" s="2">
        <v>2006</v>
      </c>
      <c r="C431" s="2">
        <f>COUNTIFS(Games[Team],Games[[#This Row],[Team]],Games[Season],Games[[#This Row],[Season]],Games[Date],"&lt;=" &amp; Games[[#This Row],[Date]])</f>
        <v>31</v>
      </c>
      <c r="D431" s="2" t="s">
        <v>23</v>
      </c>
      <c r="E431" s="2" t="s">
        <v>29</v>
      </c>
      <c r="F431" s="1" t="s">
        <v>77</v>
      </c>
      <c r="G431" s="1" t="s">
        <v>84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1" s="2">
        <f>Games[[#This Row],[DaysOff]]-Games[[#This Row],[OppDaysOff]]</f>
        <v>1</v>
      </c>
      <c r="L431" s="2">
        <f>Games[[#This Row],[OppDaysOff]]-Games[[#This Row],[DaysOff]]</f>
        <v>-1</v>
      </c>
      <c r="M431" s="1">
        <f>MAX(-16, MIN(16, Games[[#This Row],[RestDiff]]*8))</f>
        <v>8</v>
      </c>
      <c r="N431" s="1">
        <f>MAX(-16, MIN(16, Games[[#This Row],[OppRestDiff]]*8))</f>
        <v>-8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1350.1382448029062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1406.5660328559525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0.56237876703438372</v>
      </c>
      <c r="R431" s="1">
        <v>82</v>
      </c>
      <c r="S431" s="1">
        <v>68</v>
      </c>
      <c r="T431" s="1">
        <v>0</v>
      </c>
      <c r="U431" s="1">
        <f>Games[[#This Row],[PointsFor]]-Games[[#This Row],[PointsAgainst]]</f>
        <v>14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0.46570899641406011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71.349999999999994</v>
      </c>
      <c r="Z431" s="4">
        <f>Games[[#This Row],[K]]*Games[[#This Row],[POMult]]</f>
        <v>71.349999999999994</v>
      </c>
      <c r="AA431" s="4">
        <f>(Games[[#This Row],[Keff]]*Games[[#This Row],[MOVMult]])*(Games[[#This Row],[Result]]-Games[[#This Row],[ExpectedWin%]])</f>
        <v>14.541425761011816</v>
      </c>
      <c r="AB431" s="4">
        <f>Games[[#This Row],[PreGmRate]]+Games[[#This Row],[RatingChange]]</f>
        <v>1364.6796705639181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38937</v>
      </c>
      <c r="B432" s="2">
        <v>2006</v>
      </c>
      <c r="C432" s="2">
        <f>COUNTIFS(Games[Team],Games[[#This Row],[Team]],Games[Season],Games[[#This Row],[Season]],Games[Date],"&lt;=" &amp; Games[[#This Row],[Date]])</f>
        <v>32</v>
      </c>
      <c r="D432" s="2" t="s">
        <v>23</v>
      </c>
      <c r="E432" s="2" t="s">
        <v>29</v>
      </c>
      <c r="F432" s="1" t="s">
        <v>2</v>
      </c>
      <c r="G432" s="1" t="s">
        <v>64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-1</v>
      </c>
      <c r="L432" s="2">
        <f>Games[[#This Row],[OppDaysOff]]-Games[[#This Row],[DaysOff]]</f>
        <v>1</v>
      </c>
      <c r="M432" s="1">
        <f>MAX(-16, MIN(16, Games[[#This Row],[RestDiff]]*8))</f>
        <v>-8</v>
      </c>
      <c r="N432" s="1">
        <f>MAX(-16, MIN(16, Games[[#This Row],[OppRestDiff]]*8))</f>
        <v>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1520.2239141619227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1383.3484429727885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0.55286969425784493</v>
      </c>
      <c r="R432" s="1">
        <v>57</v>
      </c>
      <c r="S432" s="1">
        <v>68</v>
      </c>
      <c r="T432" s="1">
        <v>0</v>
      </c>
      <c r="U432" s="1">
        <f>Games[[#This Row],[PointsFor]]-Games[[#This Row],[PointsAgainst]]</f>
        <v>-11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0.39480353681684593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71.2</v>
      </c>
      <c r="Z432" s="4">
        <f>Games[[#This Row],[K]]*Games[[#This Row],[POMult]]</f>
        <v>71.2</v>
      </c>
      <c r="AA432" s="4">
        <f>(Games[[#This Row],[Keff]]*Games[[#This Row],[MOVMult]])*(Games[[#This Row],[Result]]-Games[[#This Row],[ExpectedWin%]])</f>
        <v>-15.541173641259396</v>
      </c>
      <c r="AB432" s="4">
        <f>Games[[#This Row],[PreGmRate]]+Games[[#This Row],[RatingChange]]</f>
        <v>1504.6827405206634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1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38937</v>
      </c>
      <c r="B433" s="2">
        <v>2006</v>
      </c>
      <c r="C433" s="2">
        <f>COUNTIFS(Games[Team],Games[[#This Row],[Team]],Games[Season],Games[[#This Row],[Season]],Games[Date],"&lt;=" &amp; Games[[#This Row],[Date]])</f>
        <v>32</v>
      </c>
      <c r="D433" s="2" t="s">
        <v>23</v>
      </c>
      <c r="E433" s="2" t="s">
        <v>29</v>
      </c>
      <c r="F433" s="1" t="s">
        <v>64</v>
      </c>
      <c r="G433" s="1" t="s">
        <v>2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1</v>
      </c>
      <c r="L433" s="2">
        <f>Games[[#This Row],[OppDaysOff]]-Games[[#This Row],[DaysOff]]</f>
        <v>-1</v>
      </c>
      <c r="M433" s="1">
        <f>MAX(-16, MIN(16, Games[[#This Row],[RestDiff]]*8))</f>
        <v>8</v>
      </c>
      <c r="N433" s="1">
        <f>MAX(-16, MIN(16, Games[[#This Row],[OppRestDiff]]*8))</f>
        <v>-8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1383.3484429727885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1520.2239141619227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0.44713030574215518</v>
      </c>
      <c r="R433" s="1">
        <v>68</v>
      </c>
      <c r="S433" s="1">
        <v>57</v>
      </c>
      <c r="T433" s="1">
        <v>0</v>
      </c>
      <c r="U433" s="1">
        <f>Games[[#This Row],[PointsFor]]-Games[[#This Row],[PointsAgainst]]</f>
        <v>11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0.39480353681684593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71.2</v>
      </c>
      <c r="Z433" s="4">
        <f>Games[[#This Row],[K]]*Games[[#This Row],[POMult]]</f>
        <v>71.2</v>
      </c>
      <c r="AA433" s="4">
        <f>(Games[[#This Row],[Keff]]*Games[[#This Row],[MOVMult]])*(Games[[#This Row],[Result]]-Games[[#This Row],[ExpectedWin%]])</f>
        <v>15.541173641259393</v>
      </c>
      <c r="AB433" s="4">
        <f>Games[[#This Row],[PreGmRate]]+Games[[#This Row],[RatingChange]]</f>
        <v>1398.8896166140478</v>
      </c>
      <c r="AC433" s="2">
        <f>IF(Games[[#This Row],[Type]]="R",IF(Games[[#This Row],[Result]]&gt;0.5,1,0),0)</f>
        <v>1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38937</v>
      </c>
      <c r="B434" s="2">
        <v>2006</v>
      </c>
      <c r="C434" s="2">
        <f>COUNTIFS(Games[Team],Games[[#This Row],[Team]],Games[Season],Games[[#This Row],[Season]],Games[Date],"&lt;=" &amp; Games[[#This Row],[Date]])</f>
        <v>31</v>
      </c>
      <c r="D434" s="2" t="s">
        <v>23</v>
      </c>
      <c r="E434" s="2" t="s">
        <v>29</v>
      </c>
      <c r="F434" s="1" t="s">
        <v>86</v>
      </c>
      <c r="G434" s="1" t="s">
        <v>87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4" s="2">
        <f>Games[[#This Row],[DaysOff]]-Games[[#This Row],[OppDaysOff]]</f>
        <v>-1</v>
      </c>
      <c r="L434" s="2">
        <f>Games[[#This Row],[OppDaysOff]]-Games[[#This Row],[DaysOff]]</f>
        <v>1</v>
      </c>
      <c r="M434" s="1">
        <f>MAX(-16, MIN(16, Games[[#This Row],[RestDiff]]*8))</f>
        <v>-8</v>
      </c>
      <c r="N434" s="1">
        <f>MAX(-16, MIN(16, Games[[#This Row],[OppRestDiff]]*8))</f>
        <v>8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1702.9194055496564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1281.0583561771448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0.86445330962465528</v>
      </c>
      <c r="R434" s="1">
        <v>85</v>
      </c>
      <c r="S434" s="1">
        <v>59</v>
      </c>
      <c r="T434" s="1">
        <v>0</v>
      </c>
      <c r="U434" s="1">
        <f>Games[[#This Row],[PointsFor]]-Games[[#This Row],[PointsAgainst]]</f>
        <v>26</v>
      </c>
      <c r="V434" s="1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0.4839532072885519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71.349999999999994</v>
      </c>
      <c r="Z434" s="4">
        <f>Games[[#This Row],[K]]*Games[[#This Row],[POMult]]</f>
        <v>71.349999999999994</v>
      </c>
      <c r="AA434" s="4">
        <f>(Games[[#This Row],[Keff]]*Games[[#This Row],[MOVMult]])*(Games[[#This Row],[Result]]-Games[[#This Row],[ExpectedWin%]])</f>
        <v>4.6804355330998151</v>
      </c>
      <c r="AB434" s="4">
        <f>Games[[#This Row],[PreGmRate]]+Games[[#This Row],[RatingChange]]</f>
        <v>1707.5998410827563</v>
      </c>
      <c r="AC434" s="2">
        <f>IF(Games[[#This Row],[Type]]="R",IF(Games[[#This Row],[Result]]&gt;0.5,1,0),0)</f>
        <v>1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38937</v>
      </c>
      <c r="B435" s="2">
        <v>2006</v>
      </c>
      <c r="C435" s="2">
        <f>COUNTIFS(Games[Team],Games[[#This Row],[Team]],Games[Season],Games[[#This Row],[Season]],Games[Date],"&lt;=" &amp; Games[[#This Row],[Date]])</f>
        <v>31</v>
      </c>
      <c r="D435" s="2" t="s">
        <v>23</v>
      </c>
      <c r="E435" s="2" t="s">
        <v>29</v>
      </c>
      <c r="F435" s="1" t="s">
        <v>87</v>
      </c>
      <c r="G435" s="1" t="s">
        <v>86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1</v>
      </c>
      <c r="L435" s="2">
        <f>Games[[#This Row],[OppDaysOff]]-Games[[#This Row],[DaysOff]]</f>
        <v>-1</v>
      </c>
      <c r="M435" s="1">
        <f>MAX(-16, MIN(16, Games[[#This Row],[RestDiff]]*8))</f>
        <v>8</v>
      </c>
      <c r="N435" s="1">
        <f>MAX(-16, MIN(16, Games[[#This Row],[OppRestDiff]]*8))</f>
        <v>-8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1281.0583561771448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1702.9194055496564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0.13554669037534472</v>
      </c>
      <c r="R435" s="1">
        <v>59</v>
      </c>
      <c r="S435" s="1">
        <v>85</v>
      </c>
      <c r="T435" s="1">
        <v>0</v>
      </c>
      <c r="U435" s="1">
        <f>Games[[#This Row],[PointsFor]]-Games[[#This Row],[PointsAgainst]]</f>
        <v>-26</v>
      </c>
      <c r="V435" s="1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0.4839532072885519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71.349999999999994</v>
      </c>
      <c r="Z435" s="4">
        <f>Games[[#This Row],[K]]*Games[[#This Row],[POMult]]</f>
        <v>71.349999999999994</v>
      </c>
      <c r="AA435" s="4">
        <f>(Games[[#This Row],[Keff]]*Games[[#This Row],[MOVMult]])*(Games[[#This Row],[Result]]-Games[[#This Row],[ExpectedWin%]])</f>
        <v>-4.6804355330998151</v>
      </c>
      <c r="AB435" s="4">
        <f>Games[[#This Row],[PreGmRate]]+Games[[#This Row],[RatingChange]]</f>
        <v>1276.3779206440449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1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38937</v>
      </c>
      <c r="B436" s="2">
        <v>2006</v>
      </c>
      <c r="C436" s="2">
        <f>COUNTIFS(Games[Team],Games[[#This Row],[Team]],Games[Season],Games[[#This Row],[Season]],Games[Date],"&lt;=" &amp; Games[[#This Row],[Date]])</f>
        <v>32</v>
      </c>
      <c r="D436" s="2" t="s">
        <v>23</v>
      </c>
      <c r="E436" s="2" t="s">
        <v>29</v>
      </c>
      <c r="F436" s="1" t="s">
        <v>81</v>
      </c>
      <c r="G436" s="1" t="s">
        <v>75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1</v>
      </c>
      <c r="L436" s="2">
        <f>Games[[#This Row],[OppDaysOff]]-Games[[#This Row],[DaysOff]]</f>
        <v>-1</v>
      </c>
      <c r="M436" s="1">
        <f>MAX(-16, MIN(16, Games[[#This Row],[RestDiff]]*8))</f>
        <v>8</v>
      </c>
      <c r="N436" s="1">
        <f>MAX(-16, MIN(16, Games[[#This Row],[OppRestDiff]]*8))</f>
        <v>-8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1545.3008916340555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1591.7766453473766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0.34096980901702656</v>
      </c>
      <c r="R436" s="1">
        <v>81</v>
      </c>
      <c r="S436" s="1">
        <v>79</v>
      </c>
      <c r="T436" s="1">
        <v>0</v>
      </c>
      <c r="U436" s="1">
        <f>Games[[#This Row],[PointsFor]]-Games[[#This Row],[PointsAgainst]]</f>
        <v>2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0.25785466264715273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71.2</v>
      </c>
      <c r="Z436" s="4">
        <f>Games[[#This Row],[K]]*Games[[#This Row],[POMult]]</f>
        <v>71.2</v>
      </c>
      <c r="AA436" s="4">
        <f>(Games[[#This Row],[Keff]]*Games[[#This Row],[MOVMult]])*(Games[[#This Row],[Result]]-Games[[#This Row],[ExpectedWin%]])</f>
        <v>12.099301338998472</v>
      </c>
      <c r="AB436" s="4">
        <f>Games[[#This Row],[PreGmRate]]+Games[[#This Row],[RatingChange]]</f>
        <v>1557.4001929730539</v>
      </c>
      <c r="AC436" s="2">
        <f>IF(Games[[#This Row],[Type]]="R",IF(Games[[#This Row],[Result]]&gt;0.5,1,0),0)</f>
        <v>1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38937</v>
      </c>
      <c r="B437" s="2">
        <v>2006</v>
      </c>
      <c r="C437" s="2">
        <f>COUNTIFS(Games[Team],Games[[#This Row],[Team]],Games[Season],Games[[#This Row],[Season]],Games[Date],"&lt;=" &amp; Games[[#This Row],[Date]])</f>
        <v>31</v>
      </c>
      <c r="D437" s="2" t="s">
        <v>23</v>
      </c>
      <c r="E437" s="2" t="s">
        <v>29</v>
      </c>
      <c r="F437" s="1" t="s">
        <v>75</v>
      </c>
      <c r="G437" s="1" t="s">
        <v>81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-1</v>
      </c>
      <c r="L437" s="2">
        <f>Games[[#This Row],[OppDaysOff]]-Games[[#This Row],[DaysOff]]</f>
        <v>1</v>
      </c>
      <c r="M437" s="1">
        <f>MAX(-16, MIN(16, Games[[#This Row],[RestDiff]]*8))</f>
        <v>-8</v>
      </c>
      <c r="N437" s="1">
        <f>MAX(-16, MIN(16, Games[[#This Row],[OppRestDiff]]*8))</f>
        <v>8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1591.7766453473766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1545.3008916340555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0.65903019098297344</v>
      </c>
      <c r="R437" s="1">
        <v>79</v>
      </c>
      <c r="S437" s="1">
        <v>81</v>
      </c>
      <c r="T437" s="1">
        <v>0</v>
      </c>
      <c r="U437" s="1">
        <f>Games[[#This Row],[PointsFor]]-Games[[#This Row],[PointsAgainst]]</f>
        <v>-2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0.25785466264715273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71.349999999999994</v>
      </c>
      <c r="Z437" s="4">
        <f>Games[[#This Row],[K]]*Games[[#This Row],[POMult]]</f>
        <v>71.349999999999994</v>
      </c>
      <c r="AA437" s="4">
        <f>(Games[[#This Row],[Keff]]*Games[[#This Row],[MOVMult]])*(Games[[#This Row],[Result]]-Games[[#This Row],[ExpectedWin%]])</f>
        <v>-12.124791440134002</v>
      </c>
      <c r="AB437" s="4">
        <f>Games[[#This Row],[PreGmRate]]+Games[[#This Row],[RatingChange]]</f>
        <v>1579.6518539072426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1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38937</v>
      </c>
      <c r="B438" s="2">
        <v>2006</v>
      </c>
      <c r="C438" s="2">
        <f>COUNTIFS(Games[Team],Games[[#This Row],[Team]],Games[Season],Games[[#This Row],[Season]],Games[Date],"&lt;=" &amp; Games[[#This Row],[Date]])</f>
        <v>31</v>
      </c>
      <c r="D438" s="2" t="s">
        <v>23</v>
      </c>
      <c r="E438" s="2" t="s">
        <v>29</v>
      </c>
      <c r="F438" s="1" t="s">
        <v>79</v>
      </c>
      <c r="G438" s="1" t="s">
        <v>66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1</v>
      </c>
      <c r="L438" s="2">
        <f>Games[[#This Row],[OppDaysOff]]-Games[[#This Row],[DaysOff]]</f>
        <v>-1</v>
      </c>
      <c r="M438" s="1">
        <f>MAX(-16, MIN(16, Games[[#This Row],[RestDiff]]*8))</f>
        <v>8</v>
      </c>
      <c r="N438" s="1">
        <f>MAX(-16, MIN(16, Games[[#This Row],[OppRestDiff]]*8))</f>
        <v>-8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1565.2698742651041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1387.5482460886208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0.65285408690678681</v>
      </c>
      <c r="R438" s="1">
        <v>77</v>
      </c>
      <c r="S438" s="1">
        <v>44</v>
      </c>
      <c r="T438" s="1">
        <v>0</v>
      </c>
      <c r="U438" s="1">
        <f>Games[[#This Row],[PointsFor]]-Games[[#This Row],[PointsAgainst]]</f>
        <v>33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0.64373731126184863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71.349999999999994</v>
      </c>
      <c r="Z438" s="4">
        <f>Games[[#This Row],[K]]*Games[[#This Row],[POMult]]</f>
        <v>71.349999999999994</v>
      </c>
      <c r="AA438" s="4">
        <f>(Games[[#This Row],[Keff]]*Games[[#This Row],[MOVMult]])*(Games[[#This Row],[Result]]-Games[[#This Row],[ExpectedWin%]])</f>
        <v>15.94463991827023</v>
      </c>
      <c r="AB438" s="4">
        <f>Games[[#This Row],[PreGmRate]]+Games[[#This Row],[RatingChange]]</f>
        <v>1581.2145141833744</v>
      </c>
      <c r="AC438" s="2">
        <f>IF(Games[[#This Row],[Type]]="R",IF(Games[[#This Row],[Result]]&gt;0.5,1,0),0)</f>
        <v>1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38937</v>
      </c>
      <c r="B439" s="2">
        <v>2006</v>
      </c>
      <c r="C439" s="2">
        <f>COUNTIFS(Games[Team],Games[[#This Row],[Team]],Games[Season],Games[[#This Row],[Season]],Games[Date],"&lt;=" &amp; Games[[#This Row],[Date]])</f>
        <v>32</v>
      </c>
      <c r="D439" s="2" t="s">
        <v>23</v>
      </c>
      <c r="E439" s="2" t="s">
        <v>29</v>
      </c>
      <c r="F439" s="1" t="s">
        <v>66</v>
      </c>
      <c r="G439" s="1" t="s">
        <v>79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9" s="2">
        <f>Games[[#This Row],[DaysOff]]-Games[[#This Row],[OppDaysOff]]</f>
        <v>-1</v>
      </c>
      <c r="L439" s="2">
        <f>Games[[#This Row],[OppDaysOff]]-Games[[#This Row],[DaysOff]]</f>
        <v>1</v>
      </c>
      <c r="M439" s="1">
        <f>MAX(-16, MIN(16, Games[[#This Row],[RestDiff]]*8))</f>
        <v>-8</v>
      </c>
      <c r="N439" s="1">
        <f>MAX(-16, MIN(16, Games[[#This Row],[OppRestDiff]]*8))</f>
        <v>8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1387.5482460886208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1565.2698742651041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0.34714591309321313</v>
      </c>
      <c r="R439" s="1">
        <v>44</v>
      </c>
      <c r="S439" s="1">
        <v>77</v>
      </c>
      <c r="T439" s="1">
        <v>0</v>
      </c>
      <c r="U439" s="1">
        <f>Games[[#This Row],[PointsFor]]-Games[[#This Row],[PointsAgainst]]</f>
        <v>-33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0.64373731126184863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71.2</v>
      </c>
      <c r="Z439" s="4">
        <f>Games[[#This Row],[K]]*Games[[#This Row],[POMult]]</f>
        <v>71.2</v>
      </c>
      <c r="AA439" s="4">
        <f>(Games[[#This Row],[Keff]]*Games[[#This Row],[MOVMult]])*(Games[[#This Row],[Result]]-Games[[#This Row],[ExpectedWin%]])</f>
        <v>-15.911119301763705</v>
      </c>
      <c r="AB439" s="4">
        <f>Games[[#This Row],[PreGmRate]]+Games[[#This Row],[RatingChange]]</f>
        <v>1371.6371267868572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1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38937</v>
      </c>
      <c r="B440" s="2">
        <v>2006</v>
      </c>
      <c r="C440" s="2">
        <f>COUNTIFS(Games[Team],Games[[#This Row],[Team]],Games[Season],Games[[#This Row],[Season]],Games[Date],"&lt;=" &amp; Games[[#This Row],[Date]])</f>
        <v>32</v>
      </c>
      <c r="D440" s="2" t="s">
        <v>23</v>
      </c>
      <c r="E440" s="2" t="s">
        <v>29</v>
      </c>
      <c r="F440" s="1" t="s">
        <v>77</v>
      </c>
      <c r="G440" s="1" t="s">
        <v>44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0" s="2">
        <f>Games[[#This Row],[DaysOff]]-Games[[#This Row],[OppDaysOff]]</f>
        <v>-1</v>
      </c>
      <c r="L440" s="2">
        <f>Games[[#This Row],[OppDaysOff]]-Games[[#This Row],[DaysOff]]</f>
        <v>1</v>
      </c>
      <c r="M440" s="1">
        <f>MAX(-16, MIN(16, Games[[#This Row],[RestDiff]]*8))</f>
        <v>-8</v>
      </c>
      <c r="N440" s="1">
        <f>MAX(-16, MIN(16, Games[[#This Row],[OppRestDiff]]*8))</f>
        <v>8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1364.6796705639181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1520.376138322843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0.18665290392918574</v>
      </c>
      <c r="R440" s="1">
        <v>68</v>
      </c>
      <c r="S440" s="1">
        <v>99</v>
      </c>
      <c r="T440" s="1">
        <v>0</v>
      </c>
      <c r="U440" s="1">
        <f>Games[[#This Row],[PointsFor]]-Games[[#This Row],[PointsAgainst]]</f>
        <v>-31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0.63331392319879476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71.2</v>
      </c>
      <c r="Z440" s="4">
        <f>Games[[#This Row],[K]]*Games[[#This Row],[POMult]]</f>
        <v>71.2</v>
      </c>
      <c r="AA440" s="4">
        <f>(Games[[#This Row],[Keff]]*Games[[#This Row],[MOVMult]])*(Games[[#This Row],[Result]]-Games[[#This Row],[ExpectedWin%]])</f>
        <v>-8.4165436599054342</v>
      </c>
      <c r="AB440" s="4">
        <f>Games[[#This Row],[PreGmRate]]+Games[[#This Row],[RatingChange]]</f>
        <v>1356.2631269040126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38937</v>
      </c>
      <c r="B441" s="2">
        <v>2006</v>
      </c>
      <c r="C441" s="2">
        <f>COUNTIFS(Games[Team],Games[[#This Row],[Team]],Games[Season],Games[[#This Row],[Season]],Games[Date],"&lt;=" &amp; Games[[#This Row],[Date]])</f>
        <v>31</v>
      </c>
      <c r="D441" s="2" t="s">
        <v>23</v>
      </c>
      <c r="E441" s="2" t="s">
        <v>29</v>
      </c>
      <c r="F441" s="1" t="s">
        <v>44</v>
      </c>
      <c r="G441" s="1" t="s">
        <v>77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1</v>
      </c>
      <c r="L441" s="2">
        <f>Games[[#This Row],[OppDaysOff]]-Games[[#This Row],[DaysOff]]</f>
        <v>-1</v>
      </c>
      <c r="M441" s="1">
        <f>MAX(-16, MIN(16, Games[[#This Row],[RestDiff]]*8))</f>
        <v>8</v>
      </c>
      <c r="N441" s="1">
        <f>MAX(-16, MIN(16, Games[[#This Row],[OppRestDiff]]*8))</f>
        <v>-8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1520.376138322843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1364.6796705639181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0.81334709607081423</v>
      </c>
      <c r="R441" s="1">
        <v>99</v>
      </c>
      <c r="S441" s="1">
        <v>68</v>
      </c>
      <c r="T441" s="1">
        <v>0</v>
      </c>
      <c r="U441" s="1">
        <f>Games[[#This Row],[PointsFor]]-Games[[#This Row],[PointsAgainst]]</f>
        <v>31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0.63331392319879476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71.349999999999994</v>
      </c>
      <c r="Z441" s="4">
        <f>Games[[#This Row],[K]]*Games[[#This Row],[POMult]]</f>
        <v>71.349999999999994</v>
      </c>
      <c r="AA441" s="4">
        <f>(Games[[#This Row],[Keff]]*Games[[#This Row],[MOVMult]])*(Games[[#This Row],[Result]]-Games[[#This Row],[ExpectedWin%]])</f>
        <v>8.4342751423350091</v>
      </c>
      <c r="AB441" s="4">
        <f>Games[[#This Row],[PreGmRate]]+Games[[#This Row],[RatingChange]]</f>
        <v>1528.810413465178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38937</v>
      </c>
      <c r="B442" s="2">
        <v>2006</v>
      </c>
      <c r="C442" s="2">
        <f>COUNTIFS(Games[Team],Games[[#This Row],[Team]],Games[Season],Games[[#This Row],[Season]],Games[Date],"&lt;=" &amp; Games[[#This Row],[Date]])</f>
        <v>32</v>
      </c>
      <c r="D442" s="2" t="s">
        <v>23</v>
      </c>
      <c r="E442" s="2" t="s">
        <v>29</v>
      </c>
      <c r="F442" s="1" t="s">
        <v>84</v>
      </c>
      <c r="G442" s="1" t="s">
        <v>73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2" s="2">
        <f>Games[[#This Row],[DaysOff]]-Games[[#This Row],[OppDaysOff]]</f>
        <v>-1</v>
      </c>
      <c r="L442" s="2">
        <f>Games[[#This Row],[OppDaysOff]]-Games[[#This Row],[DaysOff]]</f>
        <v>1</v>
      </c>
      <c r="M442" s="1">
        <f>MAX(-16, MIN(16, Games[[#This Row],[RestDiff]]*8))</f>
        <v>-8</v>
      </c>
      <c r="N442" s="1">
        <f>MAX(-16, MIN(16, Games[[#This Row],[OppRestDiff]]*8))</f>
        <v>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1392.0246070949406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1507.6392721849459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0.22423104188843909</v>
      </c>
      <c r="R442" s="1">
        <v>79</v>
      </c>
      <c r="S442" s="1">
        <v>91</v>
      </c>
      <c r="T442" s="1">
        <v>0</v>
      </c>
      <c r="U442" s="1">
        <f>Games[[#This Row],[PointsFor]]-Games[[#This Row],[PointsAgainst]]</f>
        <v>-12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0.4160453255926595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71.2</v>
      </c>
      <c r="Z442" s="4">
        <f>Games[[#This Row],[K]]*Games[[#This Row],[POMult]]</f>
        <v>71.2</v>
      </c>
      <c r="AA442" s="4">
        <f>(Games[[#This Row],[Keff]]*Games[[#This Row],[MOVMult]])*(Games[[#This Row],[Result]]-Games[[#This Row],[ExpectedWin%]])</f>
        <v>-6.6422677103285324</v>
      </c>
      <c r="AB442" s="4">
        <f>Games[[#This Row],[PreGmRate]]+Games[[#This Row],[RatingChange]]</f>
        <v>1385.3823393846121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38937</v>
      </c>
      <c r="B443" s="2">
        <v>2006</v>
      </c>
      <c r="C443" s="2">
        <f>COUNTIFS(Games[Team],Games[[#This Row],[Team]],Games[Season],Games[[#This Row],[Season]],Games[Date],"&lt;=" &amp; Games[[#This Row],[Date]])</f>
        <v>32</v>
      </c>
      <c r="D443" s="2" t="s">
        <v>23</v>
      </c>
      <c r="E443" s="2" t="s">
        <v>29</v>
      </c>
      <c r="F443" s="1" t="s">
        <v>73</v>
      </c>
      <c r="G443" s="1" t="s">
        <v>84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1</v>
      </c>
      <c r="L443" s="2">
        <f>Games[[#This Row],[OppDaysOff]]-Games[[#This Row],[DaysOff]]</f>
        <v>-1</v>
      </c>
      <c r="M443" s="1">
        <f>MAX(-16, MIN(16, Games[[#This Row],[RestDiff]]*8))</f>
        <v>8</v>
      </c>
      <c r="N443" s="1">
        <f>MAX(-16, MIN(16, Games[[#This Row],[OppRestDiff]]*8))</f>
        <v>-8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1507.6392721849459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1392.0246070949406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0.77576895811156088</v>
      </c>
      <c r="R443" s="1">
        <v>91</v>
      </c>
      <c r="S443" s="1">
        <v>79</v>
      </c>
      <c r="T443" s="1">
        <v>0</v>
      </c>
      <c r="U443" s="1">
        <f>Games[[#This Row],[PointsFor]]-Games[[#This Row],[PointsAgainst]]</f>
        <v>12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0.4160453255926595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71.2</v>
      </c>
      <c r="Z443" s="4">
        <f>Games[[#This Row],[K]]*Games[[#This Row],[POMult]]</f>
        <v>71.2</v>
      </c>
      <c r="AA443" s="4">
        <f>(Games[[#This Row],[Keff]]*Games[[#This Row],[MOVMult]])*(Games[[#This Row],[Result]]-Games[[#This Row],[ExpectedWin%]])</f>
        <v>6.6422677103285332</v>
      </c>
      <c r="AB443" s="4">
        <f>Games[[#This Row],[PreGmRate]]+Games[[#This Row],[RatingChange]]</f>
        <v>1514.2815398952744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38938</v>
      </c>
      <c r="B444" s="2">
        <v>2006</v>
      </c>
      <c r="C444" s="2">
        <f>COUNTIFS(Games[Team],Games[[#This Row],[Team]],Games[Season],Games[[#This Row],[Season]],Games[Date],"&lt;=" &amp; Games[[#This Row],[Date]])</f>
        <v>32</v>
      </c>
      <c r="D444" s="2" t="s">
        <v>23</v>
      </c>
      <c r="E444" s="2" t="s">
        <v>29</v>
      </c>
      <c r="F444" s="1" t="s">
        <v>86</v>
      </c>
      <c r="G444" s="1" t="s">
        <v>79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1707.5998410827563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1581.2145141833744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0.56069657684026775</v>
      </c>
      <c r="R444" s="1">
        <v>71</v>
      </c>
      <c r="S444" s="1">
        <v>63</v>
      </c>
      <c r="T444" s="1">
        <v>0</v>
      </c>
      <c r="U444" s="1">
        <f>Games[[#This Row],[PointsFor]]-Games[[#This Row],[PointsAgainst]]</f>
        <v>8</v>
      </c>
      <c r="V444" s="1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0.35131468401637045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4" s="9">
        <f>MAX(kmin, kmax - 0.15 * MIN(Games[[#This Row],[GamesPlayed]], 82))</f>
        <v>71.2</v>
      </c>
      <c r="Z444" s="4">
        <f>Games[[#This Row],[K]]*Games[[#This Row],[POMult]]</f>
        <v>71.2</v>
      </c>
      <c r="AA444" s="4">
        <f>(Games[[#This Row],[Keff]]*Games[[#This Row],[MOVMult]])*(Games[[#This Row],[Result]]-Games[[#This Row],[ExpectedWin%]])</f>
        <v>10.988562522580592</v>
      </c>
      <c r="AB444" s="4">
        <f>Games[[#This Row],[PreGmRate]]+Games[[#This Row],[RatingChange]]</f>
        <v>1718.5884036053369</v>
      </c>
      <c r="AC444" s="2">
        <f>IF(Games[[#This Row],[Type]]="R",IF(Games[[#This Row],[Result]]&gt;0.5,1,0),0)</f>
        <v>1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38938</v>
      </c>
      <c r="B445" s="2">
        <v>2006</v>
      </c>
      <c r="C445" s="2">
        <f>COUNTIFS(Games[Team],Games[[#This Row],[Team]],Games[Season],Games[[#This Row],[Season]],Games[Date],"&lt;=" &amp; Games[[#This Row],[Date]])</f>
        <v>32</v>
      </c>
      <c r="D445" s="2" t="s">
        <v>23</v>
      </c>
      <c r="E445" s="2" t="s">
        <v>29</v>
      </c>
      <c r="F445" s="1" t="s">
        <v>79</v>
      </c>
      <c r="G445" s="1" t="s">
        <v>86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1581.2145141833744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1707.5998410827563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0.43930342315973231</v>
      </c>
      <c r="R445" s="1">
        <v>63</v>
      </c>
      <c r="S445" s="1">
        <v>71</v>
      </c>
      <c r="T445" s="1">
        <v>0</v>
      </c>
      <c r="U445" s="1">
        <f>Games[[#This Row],[PointsFor]]-Games[[#This Row],[PointsAgainst]]</f>
        <v>-8</v>
      </c>
      <c r="V445" s="1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0.35131468401637045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5" s="9">
        <f>MAX(kmin, kmax - 0.15 * MIN(Games[[#This Row],[GamesPlayed]], 82))</f>
        <v>71.2</v>
      </c>
      <c r="Z445" s="4">
        <f>Games[[#This Row],[K]]*Games[[#This Row],[POMult]]</f>
        <v>71.2</v>
      </c>
      <c r="AA445" s="4">
        <f>(Games[[#This Row],[Keff]]*Games[[#This Row],[MOVMult]])*(Games[[#This Row],[Result]]-Games[[#This Row],[ExpectedWin%]])</f>
        <v>-10.988562522580592</v>
      </c>
      <c r="AB445" s="4">
        <f>Games[[#This Row],[PreGmRate]]+Games[[#This Row],[RatingChange]]</f>
        <v>1570.2259516607937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1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38938</v>
      </c>
      <c r="B446" s="2">
        <v>2006</v>
      </c>
      <c r="C446" s="2">
        <f>COUNTIFS(Games[Team],Games[[#This Row],[Team]],Games[Season],Games[[#This Row],[Season]],Games[Date],"&lt;=" &amp; Games[[#This Row],[Date]])</f>
        <v>32</v>
      </c>
      <c r="D446" s="2" t="s">
        <v>23</v>
      </c>
      <c r="E446" s="2" t="s">
        <v>29</v>
      </c>
      <c r="F446" s="1" t="s">
        <v>45</v>
      </c>
      <c r="G446" s="1" t="s">
        <v>70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">
        <f>MAX(-16, MIN(16, Games[[#This Row],[RestDiff]]*8))</f>
        <v>0</v>
      </c>
      <c r="N446" s="1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1641.6208673657093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1600.6927198040742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0.43833022750708728</v>
      </c>
      <c r="R446" s="1">
        <v>58</v>
      </c>
      <c r="S446" s="1">
        <v>69</v>
      </c>
      <c r="T446" s="1">
        <v>0</v>
      </c>
      <c r="U446" s="1">
        <f>Games[[#This Row],[PointsFor]]-Games[[#This Row],[PointsAgainst]]</f>
        <v>-11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0.42532935153922152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6" s="9">
        <f>MAX(kmin, kmax - 0.15 * MIN(Games[[#This Row],[GamesPlayed]], 82))</f>
        <v>71.2</v>
      </c>
      <c r="Z446" s="4">
        <f>Games[[#This Row],[K]]*Games[[#This Row],[POMult]]</f>
        <v>71.2</v>
      </c>
      <c r="AA446" s="4">
        <f>(Games[[#This Row],[Keff]]*Games[[#This Row],[MOVMult]])*(Games[[#This Row],[Result]]-Games[[#This Row],[ExpectedWin%]])</f>
        <v>-13.274151453504777</v>
      </c>
      <c r="AB446" s="4">
        <f>Games[[#This Row],[PreGmRate]]+Games[[#This Row],[RatingChange]]</f>
        <v>1628.3467159122044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1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38938</v>
      </c>
      <c r="B447" s="2">
        <v>2006</v>
      </c>
      <c r="C447" s="2">
        <f>COUNTIFS(Games[Team],Games[[#This Row],[Team]],Games[Season],Games[[#This Row],[Season]],Games[Date],"&lt;=" &amp; Games[[#This Row],[Date]])</f>
        <v>33</v>
      </c>
      <c r="D447" s="2" t="s">
        <v>23</v>
      </c>
      <c r="E447" s="2" t="s">
        <v>29</v>
      </c>
      <c r="F447" s="1" t="s">
        <v>70</v>
      </c>
      <c r="G447" s="1" t="s">
        <v>45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">
        <f>MAX(-16, MIN(16, Games[[#This Row],[RestDiff]]*8))</f>
        <v>0</v>
      </c>
      <c r="N447" s="1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1600.6927198040742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1641.6208673657093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0.56166977249291272</v>
      </c>
      <c r="R447" s="1">
        <v>69</v>
      </c>
      <c r="S447" s="1">
        <v>58</v>
      </c>
      <c r="T447" s="1">
        <v>0</v>
      </c>
      <c r="U447" s="1">
        <f>Games[[#This Row],[PointsFor]]-Games[[#This Row],[PointsAgainst]]</f>
        <v>11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0.42532935153922152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7" s="9">
        <f>MAX(kmin, kmax - 0.15 * MIN(Games[[#This Row],[GamesPlayed]], 82))</f>
        <v>71.05</v>
      </c>
      <c r="Z447" s="4">
        <f>Games[[#This Row],[K]]*Games[[#This Row],[POMult]]</f>
        <v>71.05</v>
      </c>
      <c r="AA447" s="4">
        <f>(Games[[#This Row],[Keff]]*Games[[#This Row],[MOVMult]])*(Games[[#This Row],[Result]]-Games[[#This Row],[ExpectedWin%]])</f>
        <v>13.246186246790931</v>
      </c>
      <c r="AB447" s="4">
        <f>Games[[#This Row],[PreGmRate]]+Games[[#This Row],[RatingChange]]</f>
        <v>1613.9389060508652</v>
      </c>
      <c r="AC447" s="2">
        <f>IF(Games[[#This Row],[Type]]="R",IF(Games[[#This Row],[Result]]&gt;0.5,1,0),0)</f>
        <v>1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38939</v>
      </c>
      <c r="B448" s="2">
        <v>2006</v>
      </c>
      <c r="C448" s="2">
        <f>COUNTIFS(Games[Team],Games[[#This Row],[Team]],Games[Season],Games[[#This Row],[Season]],Games[Date],"&lt;=" &amp; Games[[#This Row],[Date]])</f>
        <v>32</v>
      </c>
      <c r="D448" s="2" t="s">
        <v>23</v>
      </c>
      <c r="E448" s="2" t="s">
        <v>29</v>
      </c>
      <c r="F448" s="1" t="s">
        <v>87</v>
      </c>
      <c r="G448" s="1" t="s">
        <v>75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">
        <f>MAX(-16, MIN(16, Games[[#This Row],[RestDiff]]*8))</f>
        <v>0</v>
      </c>
      <c r="N448" s="1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1276.3779206440449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1579.6518539072426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9.7147569245590398E-2</v>
      </c>
      <c r="R448" s="1">
        <v>48</v>
      </c>
      <c r="S448" s="1">
        <v>82</v>
      </c>
      <c r="T448" s="1">
        <v>0</v>
      </c>
      <c r="U448" s="1">
        <f>Games[[#This Row],[PointsFor]]-Games[[#This Row],[PointsAgainst]]</f>
        <v>-34</v>
      </c>
      <c r="V448" s="1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0.59923978199210859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8" s="9">
        <f>MAX(kmin, kmax - 0.15 * MIN(Games[[#This Row],[GamesPlayed]], 82))</f>
        <v>71.2</v>
      </c>
      <c r="Z448" s="4">
        <f>Games[[#This Row],[K]]*Games[[#This Row],[POMult]]</f>
        <v>71.2</v>
      </c>
      <c r="AA448" s="4">
        <f>(Games[[#This Row],[Keff]]*Games[[#This Row],[MOVMult]])*(Games[[#This Row],[Result]]-Games[[#This Row],[ExpectedWin%]])</f>
        <v>-4.1448858009643095</v>
      </c>
      <c r="AB448" s="4">
        <f>Games[[#This Row],[PreGmRate]]+Games[[#This Row],[RatingChange]]</f>
        <v>1272.2330348430805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1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38939</v>
      </c>
      <c r="B449" s="2">
        <v>2006</v>
      </c>
      <c r="C449" s="2">
        <f>COUNTIFS(Games[Team],Games[[#This Row],[Team]],Games[Season],Games[[#This Row],[Season]],Games[Date],"&lt;=" &amp; Games[[#This Row],[Date]])</f>
        <v>32</v>
      </c>
      <c r="D449" s="2" t="s">
        <v>23</v>
      </c>
      <c r="E449" s="2" t="s">
        <v>29</v>
      </c>
      <c r="F449" s="1" t="s">
        <v>75</v>
      </c>
      <c r="G449" s="1" t="s">
        <v>87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">
        <f>MAX(-16, MIN(16, Games[[#This Row],[RestDiff]]*8))</f>
        <v>0</v>
      </c>
      <c r="N449" s="1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1579.6518539072426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1276.3779206440449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0.90285243075440957</v>
      </c>
      <c r="R449" s="1">
        <v>82</v>
      </c>
      <c r="S449" s="1">
        <v>48</v>
      </c>
      <c r="T449" s="1">
        <v>0</v>
      </c>
      <c r="U449" s="1">
        <f>Games[[#This Row],[PointsFor]]-Games[[#This Row],[PointsAgainst]]</f>
        <v>34</v>
      </c>
      <c r="V449" s="1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0.59923978199210859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9" s="9">
        <f>MAX(kmin, kmax - 0.15 * MIN(Games[[#This Row],[GamesPlayed]], 82))</f>
        <v>71.2</v>
      </c>
      <c r="Z449" s="4">
        <f>Games[[#This Row],[K]]*Games[[#This Row],[POMult]]</f>
        <v>71.2</v>
      </c>
      <c r="AA449" s="4">
        <f>(Games[[#This Row],[Keff]]*Games[[#This Row],[MOVMult]])*(Games[[#This Row],[Result]]-Games[[#This Row],[ExpectedWin%]])</f>
        <v>4.1448858009643113</v>
      </c>
      <c r="AB449" s="4">
        <f>Games[[#This Row],[PreGmRate]]+Games[[#This Row],[RatingChange]]</f>
        <v>1583.796739708207</v>
      </c>
      <c r="AC449" s="2">
        <f>IF(Games[[#This Row],[Type]]="R",IF(Games[[#This Row],[Result]]&gt;0.5,1,0),0)</f>
        <v>1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38939</v>
      </c>
      <c r="B450" s="2">
        <v>2006</v>
      </c>
      <c r="C450" s="2">
        <f>COUNTIFS(Games[Team],Games[[#This Row],[Team]],Games[Season],Games[[#This Row],[Season]],Games[Date],"&lt;=" &amp; Games[[#This Row],[Date]])</f>
        <v>32</v>
      </c>
      <c r="D450" s="2" t="s">
        <v>23</v>
      </c>
      <c r="E450" s="2" t="s">
        <v>29</v>
      </c>
      <c r="F450" s="1" t="s">
        <v>44</v>
      </c>
      <c r="G450" s="1" t="s">
        <v>2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1528.810413465178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1504.6827405206634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0.41467969620310924</v>
      </c>
      <c r="R450" s="1">
        <v>111</v>
      </c>
      <c r="S450" s="1">
        <v>110</v>
      </c>
      <c r="T450" s="1">
        <v>1</v>
      </c>
      <c r="U450" s="1">
        <f>Games[[#This Row],[PointsFor]]-Games[[#This Row],[PointsAgainst]]</f>
        <v>1</v>
      </c>
      <c r="V450" s="1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0.21543017976889584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0" s="9">
        <f>MAX(kmin, kmax - 0.15 * MIN(Games[[#This Row],[GamesPlayed]], 82))</f>
        <v>71.2</v>
      </c>
      <c r="Z450" s="4">
        <f>Games[[#This Row],[K]]*Games[[#This Row],[POMult]]</f>
        <v>71.2</v>
      </c>
      <c r="AA450" s="4">
        <f>(Games[[#This Row],[Keff]]*Games[[#This Row],[MOVMult]])*(Games[[#This Row],[Result]]-Games[[#This Row],[ExpectedWin%]])</f>
        <v>8.978010868777643</v>
      </c>
      <c r="AB450" s="4">
        <f>Games[[#This Row],[PreGmRate]]+Games[[#This Row],[RatingChange]]</f>
        <v>1537.7884243339556</v>
      </c>
      <c r="AC450" s="2">
        <f>IF(Games[[#This Row],[Type]]="R",IF(Games[[#This Row],[Result]]&gt;0.5,1,0),0)</f>
        <v>1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38939</v>
      </c>
      <c r="B451" s="2">
        <v>2006</v>
      </c>
      <c r="C451" s="2">
        <f>COUNTIFS(Games[Team],Games[[#This Row],[Team]],Games[Season],Games[[#This Row],[Season]],Games[Date],"&lt;=" &amp; Games[[#This Row],[Date]])</f>
        <v>33</v>
      </c>
      <c r="D451" s="2" t="s">
        <v>23</v>
      </c>
      <c r="E451" s="2" t="s">
        <v>29</v>
      </c>
      <c r="F451" s="1" t="s">
        <v>2</v>
      </c>
      <c r="G451" s="1" t="s">
        <v>44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1504.6827405206634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1528.810413465178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0.58532030379689082</v>
      </c>
      <c r="R451" s="1">
        <v>110</v>
      </c>
      <c r="S451" s="1">
        <v>111</v>
      </c>
      <c r="T451" s="1">
        <v>1</v>
      </c>
      <c r="U451" s="1">
        <f>Games[[#This Row],[PointsFor]]-Games[[#This Row],[PointsAgainst]]</f>
        <v>-1</v>
      </c>
      <c r="V451" s="1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0.21543017976889584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1" s="9">
        <f>MAX(kmin, kmax - 0.15 * MIN(Games[[#This Row],[GamesPlayed]], 82))</f>
        <v>71.05</v>
      </c>
      <c r="Z451" s="4">
        <f>Games[[#This Row],[K]]*Games[[#This Row],[POMult]]</f>
        <v>71.05</v>
      </c>
      <c r="AA451" s="4">
        <f>(Games[[#This Row],[Keff]]*Games[[#This Row],[MOVMult]])*(Games[[#This Row],[Result]]-Games[[#This Row],[ExpectedWin%]])</f>
        <v>-8.9590965200372388</v>
      </c>
      <c r="AB451" s="4">
        <f>Games[[#This Row],[PreGmRate]]+Games[[#This Row],[RatingChange]]</f>
        <v>1495.7236440006261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1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38939</v>
      </c>
      <c r="B452" s="2">
        <v>2006</v>
      </c>
      <c r="C452" s="2">
        <f>COUNTIFS(Games[Team],Games[[#This Row],[Team]],Games[Season],Games[[#This Row],[Season]],Games[Date],"&lt;=" &amp; Games[[#This Row],[Date]])</f>
        <v>33</v>
      </c>
      <c r="D452" s="2" t="s">
        <v>23</v>
      </c>
      <c r="E452" s="2" t="s">
        <v>29</v>
      </c>
      <c r="F452" s="1" t="s">
        <v>77</v>
      </c>
      <c r="G452" s="1" t="s">
        <v>45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2" s="2">
        <f>Games[[#This Row],[DaysOff]]-Games[[#This Row],[OppDaysOff]]</f>
        <v>1</v>
      </c>
      <c r="L452" s="2">
        <f>Games[[#This Row],[OppDaysOff]]-Games[[#This Row],[DaysOff]]</f>
        <v>-1</v>
      </c>
      <c r="M452" s="1">
        <f>MAX(-16, MIN(16, Games[[#This Row],[RestDiff]]*8))</f>
        <v>8</v>
      </c>
      <c r="N452" s="1">
        <f>MAX(-16, MIN(16, Games[[#This Row],[OppRestDiff]]*8))</f>
        <v>-8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1356.2631269040126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1628.3467159122044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0.12371850614696868</v>
      </c>
      <c r="R452" s="1">
        <v>66</v>
      </c>
      <c r="S452" s="1">
        <v>74</v>
      </c>
      <c r="T452" s="1">
        <v>0</v>
      </c>
      <c r="U452" s="1">
        <f>Games[[#This Row],[PointsFor]]-Games[[#This Row],[PointsAgainst]]</f>
        <v>-8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0.31654360219962585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2" s="9">
        <f>MAX(kmin, kmax - 0.15 * MIN(Games[[#This Row],[GamesPlayed]], 82))</f>
        <v>71.05</v>
      </c>
      <c r="Z452" s="4">
        <f>Games[[#This Row],[K]]*Games[[#This Row],[POMult]]</f>
        <v>71.05</v>
      </c>
      <c r="AA452" s="4">
        <f>(Games[[#This Row],[Keff]]*Games[[#This Row],[MOVMult]])*(Games[[#This Row],[Result]]-Games[[#This Row],[ExpectedWin%]])</f>
        <v>-2.7824815282905053</v>
      </c>
      <c r="AB452" s="4">
        <f>Games[[#This Row],[PreGmRate]]+Games[[#This Row],[RatingChange]]</f>
        <v>1353.4806453757221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1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38939</v>
      </c>
      <c r="B453" s="2">
        <v>2006</v>
      </c>
      <c r="C453" s="2">
        <f>COUNTIFS(Games[Team],Games[[#This Row],[Team]],Games[Season],Games[[#This Row],[Season]],Games[Date],"&lt;=" &amp; Games[[#This Row],[Date]])</f>
        <v>33</v>
      </c>
      <c r="D453" s="2" t="s">
        <v>23</v>
      </c>
      <c r="E453" s="2" t="s">
        <v>29</v>
      </c>
      <c r="F453" s="1" t="s">
        <v>45</v>
      </c>
      <c r="G453" s="1" t="s">
        <v>77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-1</v>
      </c>
      <c r="L453" s="2">
        <f>Games[[#This Row],[OppDaysOff]]-Games[[#This Row],[DaysOff]]</f>
        <v>1</v>
      </c>
      <c r="M453" s="1">
        <f>MAX(-16, MIN(16, Games[[#This Row],[RestDiff]]*8))</f>
        <v>-8</v>
      </c>
      <c r="N453" s="1">
        <f>MAX(-16, MIN(16, Games[[#This Row],[OppRestDiff]]*8))</f>
        <v>8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1628.3467159122044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1356.2631269040126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0.87628149385303122</v>
      </c>
      <c r="R453" s="1">
        <v>74</v>
      </c>
      <c r="S453" s="1">
        <v>66</v>
      </c>
      <c r="T453" s="1">
        <v>0</v>
      </c>
      <c r="U453" s="1">
        <f>Games[[#This Row],[PointsFor]]-Games[[#This Row],[PointsAgainst]]</f>
        <v>8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0.31654360219962585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3" s="9">
        <f>MAX(kmin, kmax - 0.15 * MIN(Games[[#This Row],[GamesPlayed]], 82))</f>
        <v>71.05</v>
      </c>
      <c r="Z453" s="4">
        <f>Games[[#This Row],[K]]*Games[[#This Row],[POMult]]</f>
        <v>71.05</v>
      </c>
      <c r="AA453" s="4">
        <f>(Games[[#This Row],[Keff]]*Games[[#This Row],[MOVMult]])*(Games[[#This Row],[Result]]-Games[[#This Row],[ExpectedWin%]])</f>
        <v>2.7824815282905075</v>
      </c>
      <c r="AB453" s="4">
        <f>Games[[#This Row],[PreGmRate]]+Games[[#This Row],[RatingChange]]</f>
        <v>1631.1291974404949</v>
      </c>
      <c r="AC453" s="2">
        <f>IF(Games[[#This Row],[Type]]="R",IF(Games[[#This Row],[Result]]&gt;0.5,1,0),0)</f>
        <v>1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38939</v>
      </c>
      <c r="B454" s="2">
        <v>2006</v>
      </c>
      <c r="C454" s="2">
        <f>COUNTIFS(Games[Team],Games[[#This Row],[Team]],Games[Season],Games[[#This Row],[Season]],Games[Date],"&lt;=" &amp; Games[[#This Row],[Date]])</f>
        <v>33</v>
      </c>
      <c r="D454" s="2" t="s">
        <v>23</v>
      </c>
      <c r="E454" s="2" t="s">
        <v>29</v>
      </c>
      <c r="F454" s="1" t="s">
        <v>81</v>
      </c>
      <c r="G454" s="1" t="s">
        <v>84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1557.4001929730539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1385.3823393846121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0.6240258713990634</v>
      </c>
      <c r="R454" s="1">
        <v>65</v>
      </c>
      <c r="S454" s="1">
        <v>75</v>
      </c>
      <c r="T454" s="1">
        <v>0</v>
      </c>
      <c r="U454" s="1">
        <f>Games[[#This Row],[PointsFor]]-Games[[#This Row],[PointsAgainst]]</f>
        <v>-10</v>
      </c>
      <c r="V454" s="1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0.37007946935291847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4" s="9">
        <f>MAX(kmin, kmax - 0.15 * MIN(Games[[#This Row],[GamesPlayed]], 82))</f>
        <v>71.05</v>
      </c>
      <c r="Z454" s="4">
        <f>Games[[#This Row],[K]]*Games[[#This Row],[POMult]]</f>
        <v>71.05</v>
      </c>
      <c r="AA454" s="4">
        <f>(Games[[#This Row],[Keff]]*Games[[#This Row],[MOVMult]])*(Games[[#This Row],[Result]]-Games[[#This Row],[ExpectedWin%]])</f>
        <v>-16.408227556007407</v>
      </c>
      <c r="AB454" s="4">
        <f>Games[[#This Row],[PreGmRate]]+Games[[#This Row],[RatingChange]]</f>
        <v>1540.9919654170465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1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38939</v>
      </c>
      <c r="B455" s="2">
        <v>2006</v>
      </c>
      <c r="C455" s="2">
        <f>COUNTIFS(Games[Team],Games[[#This Row],[Team]],Games[Season],Games[[#This Row],[Season]],Games[Date],"&lt;=" &amp; Games[[#This Row],[Date]])</f>
        <v>33</v>
      </c>
      <c r="D455" s="2" t="s">
        <v>23</v>
      </c>
      <c r="E455" s="2" t="s">
        <v>29</v>
      </c>
      <c r="F455" s="1" t="s">
        <v>84</v>
      </c>
      <c r="G455" s="1" t="s">
        <v>81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1385.3823393846121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1557.4001929730539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0.37597412860093665</v>
      </c>
      <c r="R455" s="1">
        <v>75</v>
      </c>
      <c r="S455" s="1">
        <v>65</v>
      </c>
      <c r="T455" s="1">
        <v>0</v>
      </c>
      <c r="U455" s="1">
        <f>Games[[#This Row],[PointsFor]]-Games[[#This Row],[PointsAgainst]]</f>
        <v>10</v>
      </c>
      <c r="V455" s="1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0.37007946935291847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5" s="9">
        <f>MAX(kmin, kmax - 0.15 * MIN(Games[[#This Row],[GamesPlayed]], 82))</f>
        <v>71.05</v>
      </c>
      <c r="Z455" s="4">
        <f>Games[[#This Row],[K]]*Games[[#This Row],[POMult]]</f>
        <v>71.05</v>
      </c>
      <c r="AA455" s="4">
        <f>(Games[[#This Row],[Keff]]*Games[[#This Row],[MOVMult]])*(Games[[#This Row],[Result]]-Games[[#This Row],[ExpectedWin%]])</f>
        <v>16.408227556007407</v>
      </c>
      <c r="AB455" s="4">
        <f>Games[[#This Row],[PreGmRate]]+Games[[#This Row],[RatingChange]]</f>
        <v>1401.7905669406196</v>
      </c>
      <c r="AC455" s="2">
        <f>IF(Games[[#This Row],[Type]]="R",IF(Games[[#This Row],[Result]]&gt;0.5,1,0),0)</f>
        <v>1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38940</v>
      </c>
      <c r="B456" s="2">
        <v>2006</v>
      </c>
      <c r="C456" s="2">
        <f>COUNTIFS(Games[Team],Games[[#This Row],[Team]],Games[Season],Games[[#This Row],[Season]],Games[Date],"&lt;=" &amp; Games[[#This Row],[Date]])</f>
        <v>33</v>
      </c>
      <c r="D456" s="2" t="s">
        <v>23</v>
      </c>
      <c r="E456" s="2" t="s">
        <v>29</v>
      </c>
      <c r="F456" s="1" t="s">
        <v>79</v>
      </c>
      <c r="G456" s="1" t="s">
        <v>86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1570.2259516607937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1718.5884036053369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0.20790735403038069</v>
      </c>
      <c r="R456" s="1">
        <v>87</v>
      </c>
      <c r="S456" s="1">
        <v>68</v>
      </c>
      <c r="T456" s="1">
        <v>0</v>
      </c>
      <c r="U456" s="1">
        <f>Games[[#This Row],[PointsFor]]-Games[[#This Row],[PointsAgainst]]</f>
        <v>19</v>
      </c>
      <c r="V456" s="1">
        <f>IF(Games[[#This Row],[MOV]]&gt;0,1,IF(Games[[#This Row],[MOV]]=0,0.5,0))</f>
        <v>1</v>
      </c>
      <c r="W456" s="4">
        <f>((ABS(Games[[#This Row],[MOV]])+5)^0.6)/(12+0.01*(ABS(Games[[#This Row],[PreGmRate]]-Games[[#This Row],[OppPreGmRate]])))*IF(Games[[#This Row],[OT]]=1,0.9,1)</f>
        <v>0.49925232365889605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6" s="9">
        <f>MAX(kmin, kmax - 0.15 * MIN(Games[[#This Row],[GamesPlayed]], 82))</f>
        <v>71.05</v>
      </c>
      <c r="Z456" s="4">
        <f>Games[[#This Row],[K]]*Games[[#This Row],[POMult]]</f>
        <v>71.05</v>
      </c>
      <c r="AA456" s="4">
        <f>(Games[[#This Row],[Keff]]*Games[[#This Row],[MOVMult]])*(Games[[#This Row],[Result]]-Games[[#This Row],[ExpectedWin%]])</f>
        <v>28.097013382498034</v>
      </c>
      <c r="AB456" s="4">
        <f>Games[[#This Row],[PreGmRate]]+Games[[#This Row],[RatingChange]]</f>
        <v>1598.3229650432918</v>
      </c>
      <c r="AC456" s="2">
        <f>IF(Games[[#This Row],[Type]]="R",IF(Games[[#This Row],[Result]]&gt;0.5,1,0),0)</f>
        <v>1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38940</v>
      </c>
      <c r="B457" s="2">
        <v>2006</v>
      </c>
      <c r="C457" s="2">
        <f>COUNTIFS(Games[Team],Games[[#This Row],[Team]],Games[Season],Games[[#This Row],[Season]],Games[Date],"&lt;=" &amp; Games[[#This Row],[Date]])</f>
        <v>33</v>
      </c>
      <c r="D457" s="2" t="s">
        <v>23</v>
      </c>
      <c r="E457" s="2" t="s">
        <v>29</v>
      </c>
      <c r="F457" s="1" t="s">
        <v>86</v>
      </c>
      <c r="G457" s="1" t="s">
        <v>79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1718.5884036053369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1570.2259516607937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0.79209264596961926</v>
      </c>
      <c r="R457" s="1">
        <v>68</v>
      </c>
      <c r="S457" s="1">
        <v>87</v>
      </c>
      <c r="T457" s="1">
        <v>0</v>
      </c>
      <c r="U457" s="1">
        <f>Games[[#This Row],[PointsFor]]-Games[[#This Row],[PointsAgainst]]</f>
        <v>-19</v>
      </c>
      <c r="V457" s="1">
        <f>IF(Games[[#This Row],[MOV]]&gt;0,1,IF(Games[[#This Row],[MOV]]=0,0.5,0))</f>
        <v>0</v>
      </c>
      <c r="W457" s="4">
        <f>((ABS(Games[[#This Row],[MOV]])+5)^0.6)/(12+0.01*(ABS(Games[[#This Row],[PreGmRate]]-Games[[#This Row],[OppPreGmRate]])))*IF(Games[[#This Row],[OT]]=1,0.9,1)</f>
        <v>0.49925232365889605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7" s="9">
        <f>MAX(kmin, kmax - 0.15 * MIN(Games[[#This Row],[GamesPlayed]], 82))</f>
        <v>71.05</v>
      </c>
      <c r="Z457" s="4">
        <f>Games[[#This Row],[K]]*Games[[#This Row],[POMult]]</f>
        <v>71.05</v>
      </c>
      <c r="AA457" s="4">
        <f>(Games[[#This Row],[Keff]]*Games[[#This Row],[MOVMult]])*(Games[[#This Row],[Result]]-Games[[#This Row],[ExpectedWin%]])</f>
        <v>-28.09701338249803</v>
      </c>
      <c r="AB457" s="4">
        <f>Games[[#This Row],[PreGmRate]]+Games[[#This Row],[RatingChange]]</f>
        <v>1690.4913902228388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1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38940</v>
      </c>
      <c r="B458" s="2">
        <v>2006</v>
      </c>
      <c r="C458" s="2">
        <f>COUNTIFS(Games[Team],Games[[#This Row],[Team]],Games[Season],Games[[#This Row],[Season]],Games[Date],"&lt;=" &amp; Games[[#This Row],[Date]])</f>
        <v>33</v>
      </c>
      <c r="D458" s="2" t="s">
        <v>23</v>
      </c>
      <c r="E458" s="2" t="s">
        <v>29</v>
      </c>
      <c r="F458" s="1" t="s">
        <v>64</v>
      </c>
      <c r="G458" s="1" t="s">
        <v>66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1398.8896166140478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1371.6371267868572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0.41905231825424805</v>
      </c>
      <c r="R458" s="1">
        <v>62</v>
      </c>
      <c r="S458" s="1">
        <v>64</v>
      </c>
      <c r="T458" s="1">
        <v>0</v>
      </c>
      <c r="U458" s="1">
        <f>Games[[#This Row],[PointsFor]]-Games[[#This Row],[PointsAgainst]]</f>
        <v>-2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0.26189361002385214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8" s="9">
        <f>MAX(kmin, kmax - 0.15 * MIN(Games[[#This Row],[GamesPlayed]], 82))</f>
        <v>71.05</v>
      </c>
      <c r="Z458" s="4">
        <f>Games[[#This Row],[K]]*Games[[#This Row],[POMult]]</f>
        <v>71.05</v>
      </c>
      <c r="AA458" s="4">
        <f>(Games[[#This Row],[Keff]]*Games[[#This Row],[MOVMult]])*(Games[[#This Row],[Result]]-Games[[#This Row],[ExpectedWin%]])</f>
        <v>-7.797533189790137</v>
      </c>
      <c r="AB458" s="4">
        <f>Games[[#This Row],[PreGmRate]]+Games[[#This Row],[RatingChange]]</f>
        <v>1391.0920834242577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1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38940</v>
      </c>
      <c r="B459" s="2">
        <v>2006</v>
      </c>
      <c r="C459" s="2">
        <f>COUNTIFS(Games[Team],Games[[#This Row],[Team]],Games[Season],Games[[#This Row],[Season]],Games[Date],"&lt;=" &amp; Games[[#This Row],[Date]])</f>
        <v>33</v>
      </c>
      <c r="D459" s="2" t="s">
        <v>23</v>
      </c>
      <c r="E459" s="2" t="s">
        <v>29</v>
      </c>
      <c r="F459" s="1" t="s">
        <v>66</v>
      </c>
      <c r="G459" s="1" t="s">
        <v>64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1371.6371267868572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1398.8896166140478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0.58094768174575195</v>
      </c>
      <c r="R459" s="1">
        <v>64</v>
      </c>
      <c r="S459" s="1">
        <v>62</v>
      </c>
      <c r="T459" s="1">
        <v>0</v>
      </c>
      <c r="U459" s="1">
        <f>Games[[#This Row],[PointsFor]]-Games[[#This Row],[PointsAgainst]]</f>
        <v>2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0.26189361002385214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9" s="9">
        <f>MAX(kmin, kmax - 0.15 * MIN(Games[[#This Row],[GamesPlayed]], 82))</f>
        <v>71.05</v>
      </c>
      <c r="Z459" s="4">
        <f>Games[[#This Row],[K]]*Games[[#This Row],[POMult]]</f>
        <v>71.05</v>
      </c>
      <c r="AA459" s="4">
        <f>(Games[[#This Row],[Keff]]*Games[[#This Row],[MOVMult]])*(Games[[#This Row],[Result]]-Games[[#This Row],[ExpectedWin%]])</f>
        <v>7.797533189790137</v>
      </c>
      <c r="AB459" s="4">
        <f>Games[[#This Row],[PreGmRate]]+Games[[#This Row],[RatingChange]]</f>
        <v>1379.4346599766473</v>
      </c>
      <c r="AC459" s="2">
        <f>IF(Games[[#This Row],[Type]]="R",IF(Games[[#This Row],[Result]]&gt;0.5,1,0),0)</f>
        <v>1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38940</v>
      </c>
      <c r="B460" s="2">
        <v>2006</v>
      </c>
      <c r="C460" s="2">
        <f>COUNTIFS(Games[Team],Games[[#This Row],[Team]],Games[Season],Games[[#This Row],[Season]],Games[Date],"&lt;=" &amp; Games[[#This Row],[Date]])</f>
        <v>33</v>
      </c>
      <c r="D460" s="2" t="s">
        <v>23</v>
      </c>
      <c r="E460" s="2" t="s">
        <v>29</v>
      </c>
      <c r="F460" s="1" t="s">
        <v>75</v>
      </c>
      <c r="G460" s="1" t="s">
        <v>73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0" s="2">
        <f>Games[[#This Row],[DaysOff]]-Games[[#This Row],[OppDaysOff]]</f>
        <v>-2</v>
      </c>
      <c r="L460" s="2">
        <f>Games[[#This Row],[OppDaysOff]]-Games[[#This Row],[DaysOff]]</f>
        <v>2</v>
      </c>
      <c r="M460" s="1">
        <f>MAX(-16, MIN(16, Games[[#This Row],[RestDiff]]*8))</f>
        <v>-16</v>
      </c>
      <c r="N460" s="1">
        <f>MAX(-16, MIN(16, Games[[#This Row],[OppRestDiff]]*8))</f>
        <v>16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1583.796739708207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1514.2815398952744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0.43349932818377729</v>
      </c>
      <c r="R460" s="1">
        <v>66</v>
      </c>
      <c r="S460" s="1">
        <v>78</v>
      </c>
      <c r="T460" s="1">
        <v>0</v>
      </c>
      <c r="U460" s="1">
        <f>Games[[#This Row],[PointsFor]]-Games[[#This Row],[PointsAgainst]]</f>
        <v>-12</v>
      </c>
      <c r="V460" s="1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0.4311530352472373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0" s="9">
        <f>MAX(kmin, kmax - 0.15 * MIN(Games[[#This Row],[GamesPlayed]], 82))</f>
        <v>71.05</v>
      </c>
      <c r="Z460" s="4">
        <f>Games[[#This Row],[K]]*Games[[#This Row],[POMult]]</f>
        <v>71.05</v>
      </c>
      <c r="AA460" s="4">
        <f>(Games[[#This Row],[Keff]]*Games[[#This Row],[MOVMult]])*(Games[[#This Row],[Result]]-Games[[#This Row],[ExpectedWin%]])</f>
        <v>-13.279568357365443</v>
      </c>
      <c r="AB460" s="4">
        <f>Games[[#This Row],[PreGmRate]]+Games[[#This Row],[RatingChange]]</f>
        <v>1570.5171713508416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1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38940</v>
      </c>
      <c r="B461" s="2">
        <v>2006</v>
      </c>
      <c r="C461" s="2">
        <f>COUNTIFS(Games[Team],Games[[#This Row],[Team]],Games[Season],Games[[#This Row],[Season]],Games[Date],"&lt;=" &amp; Games[[#This Row],[Date]])</f>
        <v>33</v>
      </c>
      <c r="D461" s="2" t="s">
        <v>23</v>
      </c>
      <c r="E461" s="2" t="s">
        <v>29</v>
      </c>
      <c r="F461" s="1" t="s">
        <v>73</v>
      </c>
      <c r="G461" s="1" t="s">
        <v>75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1" s="2">
        <f>Games[[#This Row],[DaysOff]]-Games[[#This Row],[OppDaysOff]]</f>
        <v>2</v>
      </c>
      <c r="L461" s="2">
        <f>Games[[#This Row],[OppDaysOff]]-Games[[#This Row],[DaysOff]]</f>
        <v>-2</v>
      </c>
      <c r="M461" s="1">
        <f>MAX(-16, MIN(16, Games[[#This Row],[RestDiff]]*8))</f>
        <v>16</v>
      </c>
      <c r="N461" s="1">
        <f>MAX(-16, MIN(16, Games[[#This Row],[OppRestDiff]]*8))</f>
        <v>-16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1514.2815398952744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1583.796739708207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0.56650067181622266</v>
      </c>
      <c r="R461" s="1">
        <v>78</v>
      </c>
      <c r="S461" s="1">
        <v>66</v>
      </c>
      <c r="T461" s="1">
        <v>0</v>
      </c>
      <c r="U461" s="1">
        <f>Games[[#This Row],[PointsFor]]-Games[[#This Row],[PointsAgainst]]</f>
        <v>12</v>
      </c>
      <c r="V461" s="1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0.4311530352472373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1" s="9">
        <f>MAX(kmin, kmax - 0.15 * MIN(Games[[#This Row],[GamesPlayed]], 82))</f>
        <v>71.05</v>
      </c>
      <c r="Z461" s="4">
        <f>Games[[#This Row],[K]]*Games[[#This Row],[POMult]]</f>
        <v>71.05</v>
      </c>
      <c r="AA461" s="4">
        <f>(Games[[#This Row],[Keff]]*Games[[#This Row],[MOVMult]])*(Games[[#This Row],[Result]]-Games[[#This Row],[ExpectedWin%]])</f>
        <v>13.279568357365445</v>
      </c>
      <c r="AB461" s="4">
        <f>Games[[#This Row],[PreGmRate]]+Games[[#This Row],[RatingChange]]</f>
        <v>1527.5611082526398</v>
      </c>
      <c r="AC461" s="2">
        <f>IF(Games[[#This Row],[Type]]="R",IF(Games[[#This Row],[Result]]&gt;0.5,1,0),0)</f>
        <v>1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38941</v>
      </c>
      <c r="B462" s="2">
        <v>2006</v>
      </c>
      <c r="C462" s="2">
        <f>COUNTIFS(Games[Team],Games[[#This Row],[Team]],Games[Season],Games[[#This Row],[Season]],Games[Date],"&lt;=" &amp; Games[[#This Row],[Date]])</f>
        <v>33</v>
      </c>
      <c r="D462" s="2" t="s">
        <v>23</v>
      </c>
      <c r="E462" s="2" t="s">
        <v>29</v>
      </c>
      <c r="F462" s="1" t="s">
        <v>87</v>
      </c>
      <c r="G462" s="1" t="s">
        <v>64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2" s="2">
        <f>Games[[#This Row],[DaysOff]]-Games[[#This Row],[OppDaysOff]]</f>
        <v>1</v>
      </c>
      <c r="L462" s="2">
        <f>Games[[#This Row],[OppDaysOff]]-Games[[#This Row],[DaysOff]]</f>
        <v>-1</v>
      </c>
      <c r="M462" s="1">
        <f>MAX(-16, MIN(16, Games[[#This Row],[RestDiff]]*8))</f>
        <v>8</v>
      </c>
      <c r="N462" s="1">
        <f>MAX(-16, MIN(16, Games[[#This Row],[OppRestDiff]]*8))</f>
        <v>-8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1272.2330348430805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1391.0920834242577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0.25433063670537942</v>
      </c>
      <c r="R462" s="1">
        <v>57</v>
      </c>
      <c r="S462" s="1">
        <v>84</v>
      </c>
      <c r="T462" s="1">
        <v>0</v>
      </c>
      <c r="U462" s="1">
        <f>Games[[#This Row],[PointsFor]]-Games[[#This Row],[PointsAgainst]]</f>
        <v>-27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0.60658491205761256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2" s="9">
        <f>MAX(kmin, kmax - 0.15 * MIN(Games[[#This Row],[GamesPlayed]], 82))</f>
        <v>71.05</v>
      </c>
      <c r="Z462" s="4">
        <f>Games[[#This Row],[K]]*Games[[#This Row],[POMult]]</f>
        <v>71.05</v>
      </c>
      <c r="AA462" s="4">
        <f>(Games[[#This Row],[Keff]]*Games[[#This Row],[MOVMult]])*(Games[[#This Row],[Result]]-Games[[#This Row],[ExpectedWin%]])</f>
        <v>-10.961105666208706</v>
      </c>
      <c r="AB462" s="4">
        <f>Games[[#This Row],[PreGmRate]]+Games[[#This Row],[RatingChange]]</f>
        <v>1261.2719291768719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38941</v>
      </c>
      <c r="B463" s="2">
        <v>2006</v>
      </c>
      <c r="C463" s="2">
        <f>COUNTIFS(Games[Team],Games[[#This Row],[Team]],Games[Season],Games[[#This Row],[Season]],Games[Date],"&lt;=" &amp; Games[[#This Row],[Date]])</f>
        <v>34</v>
      </c>
      <c r="D463" s="2" t="s">
        <v>23</v>
      </c>
      <c r="E463" s="2" t="s">
        <v>29</v>
      </c>
      <c r="F463" s="1" t="s">
        <v>64</v>
      </c>
      <c r="G463" s="1" t="s">
        <v>87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-1</v>
      </c>
      <c r="L463" s="2">
        <f>Games[[#This Row],[OppDaysOff]]-Games[[#This Row],[DaysOff]]</f>
        <v>1</v>
      </c>
      <c r="M463" s="1">
        <f>MAX(-16, MIN(16, Games[[#This Row],[RestDiff]]*8))</f>
        <v>-8</v>
      </c>
      <c r="N463" s="1">
        <f>MAX(-16, MIN(16, Games[[#This Row],[OppRestDiff]]*8))</f>
        <v>8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1391.0920834242577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1272.2330348430805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0.74566936329462052</v>
      </c>
      <c r="R463" s="1">
        <v>84</v>
      </c>
      <c r="S463" s="1">
        <v>57</v>
      </c>
      <c r="T463" s="1">
        <v>0</v>
      </c>
      <c r="U463" s="1">
        <f>Games[[#This Row],[PointsFor]]-Games[[#This Row],[PointsAgainst]]</f>
        <v>27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0.60658491205761256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3" s="9">
        <f>MAX(kmin, kmax - 0.15 * MIN(Games[[#This Row],[GamesPlayed]], 82))</f>
        <v>70.900000000000006</v>
      </c>
      <c r="Z463" s="4">
        <f>Games[[#This Row],[K]]*Games[[#This Row],[POMult]]</f>
        <v>70.900000000000006</v>
      </c>
      <c r="AA463" s="4">
        <f>(Games[[#This Row],[Keff]]*Games[[#This Row],[MOVMult]])*(Games[[#This Row],[Result]]-Games[[#This Row],[ExpectedWin%]])</f>
        <v>10.937964697173786</v>
      </c>
      <c r="AB463" s="4">
        <f>Games[[#This Row],[PreGmRate]]+Games[[#This Row],[RatingChange]]</f>
        <v>1402.0300481214315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38941</v>
      </c>
      <c r="B464" s="2">
        <v>2006</v>
      </c>
      <c r="C464" s="2">
        <f>COUNTIFS(Games[Team],Games[[#This Row],[Team]],Games[Season],Games[[#This Row],[Season]],Games[Date],"&lt;=" &amp; Games[[#This Row],[Date]])</f>
        <v>34</v>
      </c>
      <c r="D464" s="2" t="s">
        <v>23</v>
      </c>
      <c r="E464" s="2" t="s">
        <v>29</v>
      </c>
      <c r="F464" s="1" t="s">
        <v>81</v>
      </c>
      <c r="G464" s="1" t="s">
        <v>2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">
        <f>MAX(-16, MIN(16, Games[[#This Row],[RestDiff]]*8))</f>
        <v>0</v>
      </c>
      <c r="N464" s="1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1540.9919654170465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1495.7236440006261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0.44449039232210436</v>
      </c>
      <c r="R464" s="1">
        <v>72</v>
      </c>
      <c r="S464" s="1">
        <v>89</v>
      </c>
      <c r="T464" s="1">
        <v>0</v>
      </c>
      <c r="U464" s="1">
        <f>Games[[#This Row],[PointsFor]]-Games[[#This Row],[PointsAgainst]]</f>
        <v>-17</v>
      </c>
      <c r="V464" s="1">
        <f>IF(Games[[#This Row],[MOV]]&gt;0,1,IF(Games[[#This Row],[MOV]]=0,0.5,0))</f>
        <v>0</v>
      </c>
      <c r="W464" s="4">
        <f>((ABS(Games[[#This Row],[MOV]])+5)^0.6)/(12+0.01*(ABS(Games[[#This Row],[PreGmRate]]-Games[[#This Row],[OppPreGmRate]])))*IF(Games[[#This Row],[OT]]=1,0.9,1)</f>
        <v>0.51308659500118858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4" s="9">
        <f>MAX(kmin, kmax - 0.15 * MIN(Games[[#This Row],[GamesPlayed]], 82))</f>
        <v>70.900000000000006</v>
      </c>
      <c r="Z464" s="4">
        <f>Games[[#This Row],[K]]*Games[[#This Row],[POMult]]</f>
        <v>70.900000000000006</v>
      </c>
      <c r="AA464" s="4">
        <f>(Games[[#This Row],[Keff]]*Games[[#This Row],[MOVMult]])*(Games[[#This Row],[Result]]-Games[[#This Row],[ExpectedWin%]])</f>
        <v>-16.169600189226934</v>
      </c>
      <c r="AB464" s="4">
        <f>Games[[#This Row],[PreGmRate]]+Games[[#This Row],[RatingChange]]</f>
        <v>1524.8223652278195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1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38941</v>
      </c>
      <c r="B465" s="2">
        <v>2006</v>
      </c>
      <c r="C465" s="2">
        <f>COUNTIFS(Games[Team],Games[[#This Row],[Team]],Games[Season],Games[[#This Row],[Season]],Games[Date],"&lt;=" &amp; Games[[#This Row],[Date]])</f>
        <v>34</v>
      </c>
      <c r="D465" s="2" t="s">
        <v>23</v>
      </c>
      <c r="E465" s="2" t="s">
        <v>29</v>
      </c>
      <c r="F465" s="1" t="s">
        <v>2</v>
      </c>
      <c r="G465" s="1" t="s">
        <v>81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">
        <f>MAX(-16, MIN(16, Games[[#This Row],[RestDiff]]*8))</f>
        <v>0</v>
      </c>
      <c r="N465" s="1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1495.7236440006261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1540.9919654170465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0.55550960767789559</v>
      </c>
      <c r="R465" s="1">
        <v>89</v>
      </c>
      <c r="S465" s="1">
        <v>72</v>
      </c>
      <c r="T465" s="1">
        <v>0</v>
      </c>
      <c r="U465" s="1">
        <f>Games[[#This Row],[PointsFor]]-Games[[#This Row],[PointsAgainst]]</f>
        <v>17</v>
      </c>
      <c r="V465" s="1">
        <f>IF(Games[[#This Row],[MOV]]&gt;0,1,IF(Games[[#This Row],[MOV]]=0,0.5,0))</f>
        <v>1</v>
      </c>
      <c r="W465" s="4">
        <f>((ABS(Games[[#This Row],[MOV]])+5)^0.6)/(12+0.01*(ABS(Games[[#This Row],[PreGmRate]]-Games[[#This Row],[OppPreGmRate]])))*IF(Games[[#This Row],[OT]]=1,0.9,1)</f>
        <v>0.51308659500118858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5" s="9">
        <f>MAX(kmin, kmax - 0.15 * MIN(Games[[#This Row],[GamesPlayed]], 82))</f>
        <v>70.900000000000006</v>
      </c>
      <c r="Z465" s="4">
        <f>Games[[#This Row],[K]]*Games[[#This Row],[POMult]]</f>
        <v>70.900000000000006</v>
      </c>
      <c r="AA465" s="4">
        <f>(Games[[#This Row],[Keff]]*Games[[#This Row],[MOVMult]])*(Games[[#This Row],[Result]]-Games[[#This Row],[ExpectedWin%]])</f>
        <v>16.169600189226934</v>
      </c>
      <c r="AB465" s="4">
        <f>Games[[#This Row],[PreGmRate]]+Games[[#This Row],[RatingChange]]</f>
        <v>1511.893244189853</v>
      </c>
      <c r="AC465" s="2">
        <f>IF(Games[[#This Row],[Type]]="R",IF(Games[[#This Row],[Result]]&gt;0.5,1,0),0)</f>
        <v>1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38941</v>
      </c>
      <c r="B466" s="2">
        <v>2006</v>
      </c>
      <c r="C466" s="2">
        <f>COUNTIFS(Games[Team],Games[[#This Row],[Team]],Games[Season],Games[[#This Row],[Season]],Games[Date],"&lt;=" &amp; Games[[#This Row],[Date]])</f>
        <v>33</v>
      </c>
      <c r="D466" s="2" t="s">
        <v>23</v>
      </c>
      <c r="E466" s="2" t="s">
        <v>29</v>
      </c>
      <c r="F466" s="1" t="s">
        <v>44</v>
      </c>
      <c r="G466" s="1" t="s">
        <v>84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0</v>
      </c>
      <c r="L466" s="2">
        <f>Games[[#This Row],[OppDaysOff]]-Games[[#This Row],[DaysOff]]</f>
        <v>0</v>
      </c>
      <c r="M466" s="1">
        <f>MAX(-16, MIN(16, Games[[#This Row],[RestDiff]]*8))</f>
        <v>0</v>
      </c>
      <c r="N466" s="1">
        <f>MAX(-16, MIN(16, Games[[#This Row],[OppRestDiff]]*8))</f>
        <v>0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1537.7884243339556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1401.7905669406196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0.57427718824544605</v>
      </c>
      <c r="R466" s="1">
        <v>95</v>
      </c>
      <c r="S466" s="1">
        <v>93</v>
      </c>
      <c r="T466" s="1">
        <v>0</v>
      </c>
      <c r="U466" s="1">
        <f>Games[[#This Row],[PointsFor]]-Games[[#This Row],[PointsAgainst]]</f>
        <v>2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0.24057642247922889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6" s="9">
        <f>MAX(kmin, kmax - 0.15 * MIN(Games[[#This Row],[GamesPlayed]], 82))</f>
        <v>71.05</v>
      </c>
      <c r="Z466" s="4">
        <f>Games[[#This Row],[K]]*Games[[#This Row],[POMult]]</f>
        <v>71.05</v>
      </c>
      <c r="AA466" s="4">
        <f>(Games[[#This Row],[Keff]]*Games[[#This Row],[MOVMult]])*(Games[[#This Row],[Result]]-Games[[#This Row],[ExpectedWin%]])</f>
        <v>7.2768607859503103</v>
      </c>
      <c r="AB466" s="4">
        <f>Games[[#This Row],[PreGmRate]]+Games[[#This Row],[RatingChange]]</f>
        <v>1545.0652851199059</v>
      </c>
      <c r="AC466" s="2">
        <f>IF(Games[[#This Row],[Type]]="R",IF(Games[[#This Row],[Result]]&gt;0.5,1,0),0)</f>
        <v>1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38941</v>
      </c>
      <c r="B467" s="2">
        <v>2006</v>
      </c>
      <c r="C467" s="2">
        <f>COUNTIFS(Games[Team],Games[[#This Row],[Team]],Games[Season],Games[[#This Row],[Season]],Games[Date],"&lt;=" &amp; Games[[#This Row],[Date]])</f>
        <v>34</v>
      </c>
      <c r="D467" s="2" t="s">
        <v>23</v>
      </c>
      <c r="E467" s="2" t="s">
        <v>29</v>
      </c>
      <c r="F467" s="1" t="s">
        <v>84</v>
      </c>
      <c r="G467" s="1" t="s">
        <v>44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0</v>
      </c>
      <c r="L467" s="2">
        <f>Games[[#This Row],[OppDaysOff]]-Games[[#This Row],[DaysOff]]</f>
        <v>0</v>
      </c>
      <c r="M467" s="1">
        <f>MAX(-16, MIN(16, Games[[#This Row],[RestDiff]]*8))</f>
        <v>0</v>
      </c>
      <c r="N467" s="1">
        <f>MAX(-16, MIN(16, Games[[#This Row],[OppRestDiff]]*8))</f>
        <v>0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1401.7905669406196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1537.7884243339556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0.42572281175455395</v>
      </c>
      <c r="R467" s="1">
        <v>93</v>
      </c>
      <c r="S467" s="1">
        <v>95</v>
      </c>
      <c r="T467" s="1">
        <v>0</v>
      </c>
      <c r="U467" s="1">
        <f>Games[[#This Row],[PointsFor]]-Games[[#This Row],[PointsAgainst]]</f>
        <v>-2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0.24057642247922889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7" s="9">
        <f>MAX(kmin, kmax - 0.15 * MIN(Games[[#This Row],[GamesPlayed]], 82))</f>
        <v>70.900000000000006</v>
      </c>
      <c r="Z467" s="4">
        <f>Games[[#This Row],[K]]*Games[[#This Row],[POMult]]</f>
        <v>70.900000000000006</v>
      </c>
      <c r="AA467" s="4">
        <f>(Games[[#This Row],[Keff]]*Games[[#This Row],[MOVMult]])*(Games[[#This Row],[Result]]-Games[[#This Row],[ExpectedWin%]])</f>
        <v>-7.2614979552973544</v>
      </c>
      <c r="AB467" s="4">
        <f>Games[[#This Row],[PreGmRate]]+Games[[#This Row],[RatingChange]]</f>
        <v>1394.5290689853223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1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38942</v>
      </c>
      <c r="B468" s="2">
        <v>2006</v>
      </c>
      <c r="C468" s="2">
        <f>COUNTIFS(Games[Team],Games[[#This Row],[Team]],Games[Season],Games[[#This Row],[Season]],Games[Date],"&lt;=" &amp; Games[[#This Row],[Date]])</f>
        <v>34</v>
      </c>
      <c r="D468" s="2" t="s">
        <v>23</v>
      </c>
      <c r="E468" s="2" t="s">
        <v>29</v>
      </c>
      <c r="F468" s="1" t="s">
        <v>86</v>
      </c>
      <c r="G468" s="1" t="s">
        <v>75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0</v>
      </c>
      <c r="L468" s="2">
        <f>Games[[#This Row],[OppDaysOff]]-Games[[#This Row],[DaysOff]]</f>
        <v>0</v>
      </c>
      <c r="M468" s="1">
        <f>MAX(-16, MIN(16, Games[[#This Row],[RestDiff]]*8))</f>
        <v>0</v>
      </c>
      <c r="N468" s="1">
        <f>MAX(-16, MIN(16, Games[[#This Row],[OppRestDiff]]*8))</f>
        <v>0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1690.4913902228388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1570.5171713508416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0.55158684051037055</v>
      </c>
      <c r="R468" s="1">
        <v>65</v>
      </c>
      <c r="S468" s="1">
        <v>88</v>
      </c>
      <c r="T468" s="1">
        <v>0</v>
      </c>
      <c r="U468" s="1">
        <f>Games[[#This Row],[PointsFor]]-Games[[#This Row],[PointsAgainst]]</f>
        <v>-23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0.55940889792933746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8" s="9">
        <f>MAX(kmin, kmax - 0.15 * MIN(Games[[#This Row],[GamesPlayed]], 82))</f>
        <v>70.900000000000006</v>
      </c>
      <c r="Z468" s="4">
        <f>Games[[#This Row],[K]]*Games[[#This Row],[POMult]]</f>
        <v>70.900000000000006</v>
      </c>
      <c r="AA468" s="4">
        <f>(Games[[#This Row],[Keff]]*Games[[#This Row],[MOVMult]])*(Games[[#This Row],[Result]]-Games[[#This Row],[ExpectedWin%]])</f>
        <v>-21.877087387262225</v>
      </c>
      <c r="AB468" s="4">
        <f>Games[[#This Row],[PreGmRate]]+Games[[#This Row],[RatingChange]]</f>
        <v>1668.6143028355766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1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38942</v>
      </c>
      <c r="B469" s="2">
        <v>2006</v>
      </c>
      <c r="C469" s="2">
        <f>COUNTIFS(Games[Team],Games[[#This Row],[Team]],Games[Season],Games[[#This Row],[Season]],Games[Date],"&lt;=" &amp; Games[[#This Row],[Date]])</f>
        <v>34</v>
      </c>
      <c r="D469" s="2" t="s">
        <v>23</v>
      </c>
      <c r="E469" s="2" t="s">
        <v>29</v>
      </c>
      <c r="F469" s="1" t="s">
        <v>75</v>
      </c>
      <c r="G469" s="1" t="s">
        <v>86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0</v>
      </c>
      <c r="L469" s="2">
        <f>Games[[#This Row],[OppDaysOff]]-Games[[#This Row],[DaysOff]]</f>
        <v>0</v>
      </c>
      <c r="M469" s="1">
        <f>MAX(-16, MIN(16, Games[[#This Row],[RestDiff]]*8))</f>
        <v>0</v>
      </c>
      <c r="N469" s="1">
        <f>MAX(-16, MIN(16, Games[[#This Row],[OppRestDiff]]*8))</f>
        <v>0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1570.5171713508416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1690.4913902228388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0.44841315948962945</v>
      </c>
      <c r="R469" s="1">
        <v>88</v>
      </c>
      <c r="S469" s="1">
        <v>65</v>
      </c>
      <c r="T469" s="1">
        <v>0</v>
      </c>
      <c r="U469" s="1">
        <f>Games[[#This Row],[PointsFor]]-Games[[#This Row],[PointsAgainst]]</f>
        <v>23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0.55940889792933746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9" s="9">
        <f>MAX(kmin, kmax - 0.15 * MIN(Games[[#This Row],[GamesPlayed]], 82))</f>
        <v>70.900000000000006</v>
      </c>
      <c r="Z469" s="4">
        <f>Games[[#This Row],[K]]*Games[[#This Row],[POMult]]</f>
        <v>70.900000000000006</v>
      </c>
      <c r="AA469" s="4">
        <f>(Games[[#This Row],[Keff]]*Games[[#This Row],[MOVMult]])*(Games[[#This Row],[Result]]-Games[[#This Row],[ExpectedWin%]])</f>
        <v>21.877087387262225</v>
      </c>
      <c r="AB469" s="4">
        <f>Games[[#This Row],[PreGmRate]]+Games[[#This Row],[RatingChange]]</f>
        <v>1592.3942587381039</v>
      </c>
      <c r="AC469" s="2">
        <f>IF(Games[[#This Row],[Type]]="R",IF(Games[[#This Row],[Result]]&gt;0.5,1,0),0)</f>
        <v>1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38942</v>
      </c>
      <c r="B470" s="2">
        <v>2006</v>
      </c>
      <c r="C470" s="2">
        <f>COUNTIFS(Games[Team],Games[[#This Row],[Team]],Games[Season],Games[[#This Row],[Season]],Games[Date],"&lt;=" &amp; Games[[#This Row],[Date]])</f>
        <v>34</v>
      </c>
      <c r="D470" s="2" t="s">
        <v>23</v>
      </c>
      <c r="E470" s="2" t="s">
        <v>29</v>
      </c>
      <c r="F470" s="1" t="s">
        <v>87</v>
      </c>
      <c r="G470" s="1" t="s">
        <v>79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-1</v>
      </c>
      <c r="L470" s="2">
        <f>Games[[#This Row],[OppDaysOff]]-Games[[#This Row],[DaysOff]]</f>
        <v>1</v>
      </c>
      <c r="M470" s="1">
        <f>MAX(-16, MIN(16, Games[[#This Row],[RestDiff]]*8))</f>
        <v>-8</v>
      </c>
      <c r="N470" s="1">
        <f>MAX(-16, MIN(16, Games[[#This Row],[OppRestDiff]]*8))</f>
        <v>8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1261.2719291768719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1598.3229650432918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7.4753234019405965E-2</v>
      </c>
      <c r="R470" s="1">
        <v>80</v>
      </c>
      <c r="S470" s="1">
        <v>73</v>
      </c>
      <c r="T470" s="1">
        <v>0</v>
      </c>
      <c r="U470" s="1">
        <f>Games[[#This Row],[PointsFor]]-Games[[#This Row],[PointsAgainst]]</f>
        <v>7</v>
      </c>
      <c r="V470" s="1">
        <f>IF(Games[[#This Row],[MOV]]&gt;0,1,IF(Games[[#This Row],[MOV]]=0,0.5,0))</f>
        <v>1</v>
      </c>
      <c r="W470" s="4">
        <f>((ABS(Games[[#This Row],[MOV]])+5)^0.6)/(12+0.01*(ABS(Games[[#This Row],[PreGmRate]]-Games[[#This Row],[OppPreGmRate]])))*IF(Games[[#This Row],[OT]]=1,0.9,1)</f>
        <v>0.28894851024529145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0" s="9">
        <f>MAX(kmin, kmax - 0.15 * MIN(Games[[#This Row],[GamesPlayed]], 82))</f>
        <v>70.900000000000006</v>
      </c>
      <c r="Z470" s="4">
        <f>Games[[#This Row],[K]]*Games[[#This Row],[POMult]]</f>
        <v>70.900000000000006</v>
      </c>
      <c r="AA470" s="4">
        <f>(Games[[#This Row],[Keff]]*Games[[#This Row],[MOVMult]])*(Games[[#This Row],[Result]]-Games[[#This Row],[ExpectedWin%]])</f>
        <v>18.955021031931082</v>
      </c>
      <c r="AB470" s="4">
        <f>Games[[#This Row],[PreGmRate]]+Games[[#This Row],[RatingChange]]</f>
        <v>1280.2269502088029</v>
      </c>
      <c r="AC470" s="2">
        <f>IF(Games[[#This Row],[Type]]="R",IF(Games[[#This Row],[Result]]&gt;0.5,1,0),0)</f>
        <v>1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38942</v>
      </c>
      <c r="B471" s="2">
        <v>2006</v>
      </c>
      <c r="C471" s="2">
        <f>COUNTIFS(Games[Team],Games[[#This Row],[Team]],Games[Season],Games[[#This Row],[Season]],Games[Date],"&lt;=" &amp; Games[[#This Row],[Date]])</f>
        <v>34</v>
      </c>
      <c r="D471" s="2" t="s">
        <v>23</v>
      </c>
      <c r="E471" s="2" t="s">
        <v>29</v>
      </c>
      <c r="F471" s="1" t="s">
        <v>79</v>
      </c>
      <c r="G471" s="1" t="s">
        <v>87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1" s="2">
        <f>Games[[#This Row],[DaysOff]]-Games[[#This Row],[OppDaysOff]]</f>
        <v>1</v>
      </c>
      <c r="L471" s="2">
        <f>Games[[#This Row],[OppDaysOff]]-Games[[#This Row],[DaysOff]]</f>
        <v>-1</v>
      </c>
      <c r="M471" s="1">
        <f>MAX(-16, MIN(16, Games[[#This Row],[RestDiff]]*8))</f>
        <v>8</v>
      </c>
      <c r="N471" s="1">
        <f>MAX(-16, MIN(16, Games[[#This Row],[OppRestDiff]]*8))</f>
        <v>-8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1598.3229650432918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1261.2719291768719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0.92524676598059397</v>
      </c>
      <c r="R471" s="1">
        <v>73</v>
      </c>
      <c r="S471" s="1">
        <v>80</v>
      </c>
      <c r="T471" s="1">
        <v>0</v>
      </c>
      <c r="U471" s="1">
        <f>Games[[#This Row],[PointsFor]]-Games[[#This Row],[PointsAgainst]]</f>
        <v>-7</v>
      </c>
      <c r="V471" s="1">
        <f>IF(Games[[#This Row],[MOV]]&gt;0,1,IF(Games[[#This Row],[MOV]]=0,0.5,0))</f>
        <v>0</v>
      </c>
      <c r="W471" s="4">
        <f>((ABS(Games[[#This Row],[MOV]])+5)^0.6)/(12+0.01*(ABS(Games[[#This Row],[PreGmRate]]-Games[[#This Row],[OppPreGmRate]])))*IF(Games[[#This Row],[OT]]=1,0.9,1)</f>
        <v>0.28894851024529145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1" s="9">
        <f>MAX(kmin, kmax - 0.15 * MIN(Games[[#This Row],[GamesPlayed]], 82))</f>
        <v>70.900000000000006</v>
      </c>
      <c r="Z471" s="4">
        <f>Games[[#This Row],[K]]*Games[[#This Row],[POMult]]</f>
        <v>70.900000000000006</v>
      </c>
      <c r="AA471" s="4">
        <f>(Games[[#This Row],[Keff]]*Games[[#This Row],[MOVMult]])*(Games[[#This Row],[Result]]-Games[[#This Row],[ExpectedWin%]])</f>
        <v>-18.955021031931082</v>
      </c>
      <c r="AB471" s="4">
        <f>Games[[#This Row],[PreGmRate]]+Games[[#This Row],[RatingChange]]</f>
        <v>1579.3679440113608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1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38942</v>
      </c>
      <c r="B472" s="2">
        <v>2006</v>
      </c>
      <c r="C472" s="2">
        <f>COUNTIFS(Games[Team],Games[[#This Row],[Team]],Games[Season],Games[[#This Row],[Season]],Games[Date],"&lt;=" &amp; Games[[#This Row],[Date]])</f>
        <v>34</v>
      </c>
      <c r="D472" s="2" t="s">
        <v>23</v>
      </c>
      <c r="E472" s="2" t="s">
        <v>29</v>
      </c>
      <c r="F472" s="1" t="s">
        <v>77</v>
      </c>
      <c r="G472" s="1" t="s">
        <v>70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2" s="2">
        <f>Games[[#This Row],[DaysOff]]-Games[[#This Row],[OppDaysOff]]</f>
        <v>-1</v>
      </c>
      <c r="L472" s="2">
        <f>Games[[#This Row],[OppDaysOff]]-Games[[#This Row],[DaysOff]]</f>
        <v>1</v>
      </c>
      <c r="M472" s="1">
        <f>MAX(-16, MIN(16, Games[[#This Row],[RestDiff]]*8))</f>
        <v>-8</v>
      </c>
      <c r="N472" s="1">
        <f>MAX(-16, MIN(16, Games[[#This Row],[OppRestDiff]]*8))</f>
        <v>8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1353.4806453757221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1613.9389060508652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0.11155405415057955</v>
      </c>
      <c r="R472" s="1">
        <v>59</v>
      </c>
      <c r="S472" s="1">
        <v>78</v>
      </c>
      <c r="T472" s="1">
        <v>0</v>
      </c>
      <c r="U472" s="1">
        <f>Games[[#This Row],[PointsFor]]-Games[[#This Row],[PointsAgainst]]</f>
        <v>-19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0.46093278075370958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2" s="9">
        <f>MAX(kmin, kmax - 0.15 * MIN(Games[[#This Row],[GamesPlayed]], 82))</f>
        <v>70.900000000000006</v>
      </c>
      <c r="Z472" s="4">
        <f>Games[[#This Row],[K]]*Games[[#This Row],[POMult]]</f>
        <v>70.900000000000006</v>
      </c>
      <c r="AA472" s="4">
        <f>(Games[[#This Row],[Keff]]*Games[[#This Row],[MOVMult]])*(Games[[#This Row],[Result]]-Games[[#This Row],[ExpectedWin%]])</f>
        <v>-3.645601455223936</v>
      </c>
      <c r="AB472" s="4">
        <f>Games[[#This Row],[PreGmRate]]+Games[[#This Row],[RatingChange]]</f>
        <v>1349.8350439204983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1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38942</v>
      </c>
      <c r="B473" s="2">
        <v>2006</v>
      </c>
      <c r="C473" s="2">
        <f>COUNTIFS(Games[Team],Games[[#This Row],[Team]],Games[Season],Games[[#This Row],[Season]],Games[Date],"&lt;=" &amp; Games[[#This Row],[Date]])</f>
        <v>34</v>
      </c>
      <c r="D473" s="2" t="s">
        <v>23</v>
      </c>
      <c r="E473" s="2" t="s">
        <v>29</v>
      </c>
      <c r="F473" s="1" t="s">
        <v>70</v>
      </c>
      <c r="G473" s="1" t="s">
        <v>77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3" s="2">
        <f>Games[[#This Row],[DaysOff]]-Games[[#This Row],[OppDaysOff]]</f>
        <v>1</v>
      </c>
      <c r="L473" s="2">
        <f>Games[[#This Row],[OppDaysOff]]-Games[[#This Row],[DaysOff]]</f>
        <v>-1</v>
      </c>
      <c r="M473" s="1">
        <f>MAX(-16, MIN(16, Games[[#This Row],[RestDiff]]*8))</f>
        <v>8</v>
      </c>
      <c r="N473" s="1">
        <f>MAX(-16, MIN(16, Games[[#This Row],[OppRestDiff]]*8))</f>
        <v>-8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1613.9389060508652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1353.4806453757221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0.88844594584942049</v>
      </c>
      <c r="R473" s="1">
        <v>78</v>
      </c>
      <c r="S473" s="1">
        <v>59</v>
      </c>
      <c r="T473" s="1">
        <v>0</v>
      </c>
      <c r="U473" s="1">
        <f>Games[[#This Row],[PointsFor]]-Games[[#This Row],[PointsAgainst]]</f>
        <v>19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0.46093278075370958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3" s="9">
        <f>MAX(kmin, kmax - 0.15 * MIN(Games[[#This Row],[GamesPlayed]], 82))</f>
        <v>70.900000000000006</v>
      </c>
      <c r="Z473" s="4">
        <f>Games[[#This Row],[K]]*Games[[#This Row],[POMult]]</f>
        <v>70.900000000000006</v>
      </c>
      <c r="AA473" s="4">
        <f>(Games[[#This Row],[Keff]]*Games[[#This Row],[MOVMult]])*(Games[[#This Row],[Result]]-Games[[#This Row],[ExpectedWin%]])</f>
        <v>3.6456014552239346</v>
      </c>
      <c r="AB473" s="4">
        <f>Games[[#This Row],[PreGmRate]]+Games[[#This Row],[RatingChange]]</f>
        <v>1617.584507506089</v>
      </c>
      <c r="AC473" s="2">
        <f>IF(Games[[#This Row],[Type]]="R",IF(Games[[#This Row],[Result]]&gt;0.5,1,0),0)</f>
        <v>1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38942</v>
      </c>
      <c r="B474" s="2">
        <v>2006</v>
      </c>
      <c r="C474" s="2">
        <f>COUNTIFS(Games[Team],Games[[#This Row],[Team]],Games[Season],Games[[#This Row],[Season]],Games[Date],"&lt;=" &amp; Games[[#This Row],[Date]])</f>
        <v>34</v>
      </c>
      <c r="D474" s="2" t="s">
        <v>23</v>
      </c>
      <c r="E474" s="2" t="s">
        <v>29</v>
      </c>
      <c r="F474" s="1" t="s">
        <v>73</v>
      </c>
      <c r="G474" s="1" t="s">
        <v>66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1527.5611082526398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1379.4346599766473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0.59125152062596664</v>
      </c>
      <c r="R474" s="1">
        <v>81</v>
      </c>
      <c r="S474" s="1">
        <v>93</v>
      </c>
      <c r="T474" s="1">
        <v>0</v>
      </c>
      <c r="U474" s="1">
        <f>Games[[#This Row],[PointsFor]]-Games[[#This Row],[PointsAgainst]]</f>
        <v>-12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0.40601186364366365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4" s="9">
        <f>MAX(kmin, kmax - 0.15 * MIN(Games[[#This Row],[GamesPlayed]], 82))</f>
        <v>70.900000000000006</v>
      </c>
      <c r="Z474" s="4">
        <f>Games[[#This Row],[K]]*Games[[#This Row],[POMult]]</f>
        <v>70.900000000000006</v>
      </c>
      <c r="AA474" s="4">
        <f>(Games[[#This Row],[Keff]]*Games[[#This Row],[MOVMult]])*(Games[[#This Row],[Result]]-Games[[#This Row],[ExpectedWin%]])</f>
        <v>-17.019908842599261</v>
      </c>
      <c r="AB474" s="4">
        <f>Games[[#This Row],[PreGmRate]]+Games[[#This Row],[RatingChange]]</f>
        <v>1510.5411994100405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1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38942</v>
      </c>
      <c r="B475" s="2">
        <v>2006</v>
      </c>
      <c r="C475" s="2">
        <f>COUNTIFS(Games[Team],Games[[#This Row],[Team]],Games[Season],Games[[#This Row],[Season]],Games[Date],"&lt;=" &amp; Games[[#This Row],[Date]])</f>
        <v>34</v>
      </c>
      <c r="D475" s="2" t="s">
        <v>23</v>
      </c>
      <c r="E475" s="2" t="s">
        <v>29</v>
      </c>
      <c r="F475" s="1" t="s">
        <v>66</v>
      </c>
      <c r="G475" s="1" t="s">
        <v>73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1379.4346599766473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1527.5611082526398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0.40874847937403325</v>
      </c>
      <c r="R475" s="1">
        <v>93</v>
      </c>
      <c r="S475" s="1">
        <v>81</v>
      </c>
      <c r="T475" s="1">
        <v>0</v>
      </c>
      <c r="U475" s="1">
        <f>Games[[#This Row],[PointsFor]]-Games[[#This Row],[PointsAgainst]]</f>
        <v>12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0.40601186364366365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5" s="9">
        <f>MAX(kmin, kmax - 0.15 * MIN(Games[[#This Row],[GamesPlayed]], 82))</f>
        <v>70.900000000000006</v>
      </c>
      <c r="Z475" s="4">
        <f>Games[[#This Row],[K]]*Games[[#This Row],[POMult]]</f>
        <v>70.900000000000006</v>
      </c>
      <c r="AA475" s="4">
        <f>(Games[[#This Row],[Keff]]*Games[[#This Row],[MOVMult]])*(Games[[#This Row],[Result]]-Games[[#This Row],[ExpectedWin%]])</f>
        <v>17.019908842599264</v>
      </c>
      <c r="AB475" s="4">
        <f>Games[[#This Row],[PreGmRate]]+Games[[#This Row],[RatingChange]]</f>
        <v>1396.4545688192466</v>
      </c>
      <c r="AC475" s="2">
        <f>IF(Games[[#This Row],[Type]]="R",IF(Games[[#This Row],[Result]]&gt;0.5,1,0),0)</f>
        <v>1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38942</v>
      </c>
      <c r="B476" s="2">
        <v>2006</v>
      </c>
      <c r="C476" s="2">
        <f>COUNTIFS(Games[Team],Games[[#This Row],[Team]],Games[Season],Games[[#This Row],[Season]],Games[Date],"&lt;=" &amp; Games[[#This Row],[Date]])</f>
        <v>34</v>
      </c>
      <c r="D476" s="2" t="s">
        <v>23</v>
      </c>
      <c r="E476" s="2" t="s">
        <v>29</v>
      </c>
      <c r="F476" s="1" t="s">
        <v>45</v>
      </c>
      <c r="G476" s="1" t="s">
        <v>44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6" s="2">
        <f>Games[[#This Row],[DaysOff]]-Games[[#This Row],[OppDaysOff]]</f>
        <v>2</v>
      </c>
      <c r="L476" s="2">
        <f>Games[[#This Row],[OppDaysOff]]-Games[[#This Row],[DaysOff]]</f>
        <v>-2</v>
      </c>
      <c r="M476" s="1">
        <f>MAX(-16, MIN(16, Games[[#This Row],[RestDiff]]*8))</f>
        <v>16</v>
      </c>
      <c r="N476" s="1">
        <f>MAX(-16, MIN(16, Games[[#This Row],[OppRestDiff]]*8))</f>
        <v>-16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1631.1291974404949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1545.0652851199059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0.54886543621521955</v>
      </c>
      <c r="R476" s="1">
        <v>71</v>
      </c>
      <c r="S476" s="1">
        <v>81</v>
      </c>
      <c r="T476" s="1">
        <v>0</v>
      </c>
      <c r="U476" s="1">
        <f>Games[[#This Row],[PointsFor]]-Games[[#This Row],[PointsAgainst]]</f>
        <v>-10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0.39481369031072522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6" s="9">
        <f>MAX(kmin, kmax - 0.15 * MIN(Games[[#This Row],[GamesPlayed]], 82))</f>
        <v>70.900000000000006</v>
      </c>
      <c r="Z476" s="4">
        <f>Games[[#This Row],[K]]*Games[[#This Row],[POMult]]</f>
        <v>70.900000000000006</v>
      </c>
      <c r="AA476" s="4">
        <f>(Games[[#This Row],[Keff]]*Games[[#This Row],[MOVMult]])*(Games[[#This Row],[Result]]-Games[[#This Row],[ExpectedWin%]])</f>
        <v>-15.364000814450099</v>
      </c>
      <c r="AB476" s="4">
        <f>Games[[#This Row],[PreGmRate]]+Games[[#This Row],[RatingChange]]</f>
        <v>1615.7651966260448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38942</v>
      </c>
      <c r="B477" s="2">
        <v>2006</v>
      </c>
      <c r="C477" s="2">
        <f>COUNTIFS(Games[Team],Games[[#This Row],[Team]],Games[Season],Games[[#This Row],[Season]],Games[Date],"&lt;=" &amp; Games[[#This Row],[Date]])</f>
        <v>34</v>
      </c>
      <c r="D477" s="2" t="s">
        <v>23</v>
      </c>
      <c r="E477" s="2" t="s">
        <v>29</v>
      </c>
      <c r="F477" s="1" t="s">
        <v>44</v>
      </c>
      <c r="G477" s="1" t="s">
        <v>45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7" s="2">
        <f>Games[[#This Row],[DaysOff]]-Games[[#This Row],[OppDaysOff]]</f>
        <v>-2</v>
      </c>
      <c r="L477" s="2">
        <f>Games[[#This Row],[OppDaysOff]]-Games[[#This Row],[DaysOff]]</f>
        <v>2</v>
      </c>
      <c r="M477" s="1">
        <f>MAX(-16, MIN(16, Games[[#This Row],[RestDiff]]*8))</f>
        <v>-16</v>
      </c>
      <c r="N477" s="1">
        <f>MAX(-16, MIN(16, Games[[#This Row],[OppRestDiff]]*8))</f>
        <v>16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1545.0652851199059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1631.1291974404949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0.45113456378478051</v>
      </c>
      <c r="R477" s="1">
        <v>81</v>
      </c>
      <c r="S477" s="1">
        <v>71</v>
      </c>
      <c r="T477" s="1">
        <v>0</v>
      </c>
      <c r="U477" s="1">
        <f>Games[[#This Row],[PointsFor]]-Games[[#This Row],[PointsAgainst]]</f>
        <v>10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0.39481369031072522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7" s="9">
        <f>MAX(kmin, kmax - 0.15 * MIN(Games[[#This Row],[GamesPlayed]], 82))</f>
        <v>70.900000000000006</v>
      </c>
      <c r="Z477" s="4">
        <f>Games[[#This Row],[K]]*Games[[#This Row],[POMult]]</f>
        <v>70.900000000000006</v>
      </c>
      <c r="AA477" s="4">
        <f>(Games[[#This Row],[Keff]]*Games[[#This Row],[MOVMult]])*(Games[[#This Row],[Result]]-Games[[#This Row],[ExpectedWin%]])</f>
        <v>15.364000814450096</v>
      </c>
      <c r="AB477" s="4">
        <f>Games[[#This Row],[PreGmRate]]+Games[[#This Row],[RatingChange]]</f>
        <v>1560.4292859343559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38946</v>
      </c>
      <c r="B478" s="2">
        <v>2006</v>
      </c>
      <c r="C478" s="2">
        <f>COUNTIFS(Games[Team],Games[[#This Row],[Team]],Games[Season],Games[[#This Row],[Season]],Games[Date],"&lt;=" &amp; Games[[#This Row],[Date]])</f>
        <v>35</v>
      </c>
      <c r="D478" s="2" t="s">
        <v>46</v>
      </c>
      <c r="E478" s="2">
        <v>1</v>
      </c>
      <c r="F478" s="1" t="s">
        <v>45</v>
      </c>
      <c r="G478" s="1" t="s">
        <v>2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8" s="2">
        <f>Games[[#This Row],[DaysOff]]-Games[[#This Row],[OppDaysOff]]</f>
        <v>-1</v>
      </c>
      <c r="L478" s="2">
        <f>Games[[#This Row],[OppDaysOff]]-Games[[#This Row],[DaysOff]]</f>
        <v>1</v>
      </c>
      <c r="M478" s="16">
        <f>MAX(-16, MIN(16, Games[[#This Row],[RestDiff]]*8))</f>
        <v>-8</v>
      </c>
      <c r="N478" s="16">
        <f>MAX(-16, MIN(16, Games[[#This Row],[OppRestDiff]]*8))</f>
        <v>8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1615.7651966260448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1511.893244189853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0.50557195680352063</v>
      </c>
      <c r="R478" s="1">
        <v>93</v>
      </c>
      <c r="S478" s="1">
        <v>78</v>
      </c>
      <c r="T478" s="1">
        <v>0</v>
      </c>
      <c r="U478" s="16">
        <f>Games[[#This Row],[PointsFor]]-Games[[#This Row],[PointsAgainst]]</f>
        <v>15</v>
      </c>
      <c r="V478" s="16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0.4627890281151254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78" s="9">
        <f>MAX(kmin, kmax - 0.15 * MIN(Games[[#This Row],[GamesPlayed]], 82))</f>
        <v>70.75</v>
      </c>
      <c r="Z478" s="4">
        <f>Games[[#This Row],[K]]*Games[[#This Row],[POMult]]</f>
        <v>77.825000000000003</v>
      </c>
      <c r="AA478" s="4">
        <f>(Games[[#This Row],[Keff]]*Games[[#This Row],[MOVMult]])*(Games[[#This Row],[Result]]-Games[[#This Row],[ExpectedWin%]])</f>
        <v>17.807595361656272</v>
      </c>
      <c r="AB478" s="4">
        <f>Games[[#This Row],[PreGmRate]]+Games[[#This Row],[RatingChange]]</f>
        <v>1633.5727919877011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1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38946</v>
      </c>
      <c r="B479" s="2">
        <v>2006</v>
      </c>
      <c r="C479" s="2">
        <f>COUNTIFS(Games[Team],Games[[#This Row],[Team]],Games[Season],Games[[#This Row],[Season]],Games[Date],"&lt;=" &amp; Games[[#This Row],[Date]])</f>
        <v>35</v>
      </c>
      <c r="D479" s="2" t="s">
        <v>46</v>
      </c>
      <c r="E479" s="2">
        <v>1</v>
      </c>
      <c r="F479" s="1" t="s">
        <v>2</v>
      </c>
      <c r="G479" s="1" t="s">
        <v>45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9" s="2">
        <f>Games[[#This Row],[DaysOff]]-Games[[#This Row],[OppDaysOff]]</f>
        <v>1</v>
      </c>
      <c r="L479" s="2">
        <f>Games[[#This Row],[OppDaysOff]]-Games[[#This Row],[DaysOff]]</f>
        <v>-1</v>
      </c>
      <c r="M479" s="16">
        <f>MAX(-16, MIN(16, Games[[#This Row],[RestDiff]]*8))</f>
        <v>8</v>
      </c>
      <c r="N479" s="16">
        <f>MAX(-16, MIN(16, Games[[#This Row],[OppRestDiff]]*8))</f>
        <v>-8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1511.893244189853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1615.7651966260448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0.49442804319647937</v>
      </c>
      <c r="R479" s="1">
        <v>78</v>
      </c>
      <c r="S479" s="1">
        <v>93</v>
      </c>
      <c r="T479" s="1">
        <v>0</v>
      </c>
      <c r="U479" s="16">
        <f>Games[[#This Row],[PointsFor]]-Games[[#This Row],[PointsAgainst]]</f>
        <v>-15</v>
      </c>
      <c r="V479" s="16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0.4627890281151254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79" s="9">
        <f>MAX(kmin, kmax - 0.15 * MIN(Games[[#This Row],[GamesPlayed]], 82))</f>
        <v>70.75</v>
      </c>
      <c r="Z479" s="4">
        <f>Games[[#This Row],[K]]*Games[[#This Row],[POMult]]</f>
        <v>77.825000000000003</v>
      </c>
      <c r="AA479" s="4">
        <f>(Games[[#This Row],[Keff]]*Games[[#This Row],[MOVMult]])*(Games[[#This Row],[Result]]-Games[[#This Row],[ExpectedWin%]])</f>
        <v>-17.807595361656272</v>
      </c>
      <c r="AB479" s="4">
        <f>Games[[#This Row],[PreGmRate]]+Games[[#This Row],[RatingChange]]</f>
        <v>1494.0856488281968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1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38946</v>
      </c>
      <c r="B480" s="2">
        <v>2006</v>
      </c>
      <c r="C480" s="2">
        <f>COUNTIFS(Games[Team],Games[[#This Row],[Team]],Games[Season],Games[[#This Row],[Season]],Games[Date],"&lt;=" &amp; Games[[#This Row],[Date]])</f>
        <v>35</v>
      </c>
      <c r="D480" s="2" t="s">
        <v>46</v>
      </c>
      <c r="E480" s="2">
        <v>1</v>
      </c>
      <c r="F480" s="1" t="s">
        <v>75</v>
      </c>
      <c r="G480" s="1" t="s">
        <v>79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6">
        <f>MAX(-16, MIN(16, Games[[#This Row],[RestDiff]]*8))</f>
        <v>0</v>
      </c>
      <c r="N480" s="16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1592.3942587381039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1579.3679440113608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0.39925808613363023</v>
      </c>
      <c r="R480" s="1">
        <v>68</v>
      </c>
      <c r="S480" s="1">
        <v>56</v>
      </c>
      <c r="T480" s="1">
        <v>0</v>
      </c>
      <c r="U480" s="16">
        <f>Games[[#This Row],[PointsFor]]-Games[[#This Row],[PointsAgainst]]</f>
        <v>12</v>
      </c>
      <c r="V480" s="16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0.45123120994712379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0" s="9">
        <f>MAX(kmin, kmax - 0.15 * MIN(Games[[#This Row],[GamesPlayed]], 82))</f>
        <v>70.75</v>
      </c>
      <c r="Z480" s="4">
        <f>Games[[#This Row],[K]]*Games[[#This Row],[POMult]]</f>
        <v>77.825000000000003</v>
      </c>
      <c r="AA480" s="4">
        <f>(Games[[#This Row],[Keff]]*Games[[#This Row],[MOVMult]])*(Games[[#This Row],[Result]]-Games[[#This Row],[ExpectedWin%]])</f>
        <v>21.096295188854608</v>
      </c>
      <c r="AB480" s="4">
        <f>Games[[#This Row],[PreGmRate]]+Games[[#This Row],[RatingChange]]</f>
        <v>1613.4905539269585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1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38946</v>
      </c>
      <c r="B481" s="2">
        <v>2006</v>
      </c>
      <c r="C481" s="2">
        <f>COUNTIFS(Games[Team],Games[[#This Row],[Team]],Games[Season],Games[[#This Row],[Season]],Games[Date],"&lt;=" &amp; Games[[#This Row],[Date]])</f>
        <v>35</v>
      </c>
      <c r="D481" s="2" t="s">
        <v>46</v>
      </c>
      <c r="E481" s="2">
        <v>1</v>
      </c>
      <c r="F481" s="1" t="s">
        <v>79</v>
      </c>
      <c r="G481" s="1" t="s">
        <v>75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6">
        <f>MAX(-16, MIN(16, Games[[#This Row],[RestDiff]]*8))</f>
        <v>0</v>
      </c>
      <c r="N481" s="16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1579.3679440113608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1592.3942587381039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0.60074191386636977</v>
      </c>
      <c r="R481" s="1">
        <v>56</v>
      </c>
      <c r="S481" s="1">
        <v>68</v>
      </c>
      <c r="T481" s="1">
        <v>0</v>
      </c>
      <c r="U481" s="16">
        <f>Games[[#This Row],[PointsFor]]-Games[[#This Row],[PointsAgainst]]</f>
        <v>-12</v>
      </c>
      <c r="V481" s="16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0.45123120994712379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1" s="9">
        <f>MAX(kmin, kmax - 0.15 * MIN(Games[[#This Row],[GamesPlayed]], 82))</f>
        <v>70.75</v>
      </c>
      <c r="Z481" s="4">
        <f>Games[[#This Row],[K]]*Games[[#This Row],[POMult]]</f>
        <v>77.825000000000003</v>
      </c>
      <c r="AA481" s="4">
        <f>(Games[[#This Row],[Keff]]*Games[[#This Row],[MOVMult]])*(Games[[#This Row],[Result]]-Games[[#This Row],[ExpectedWin%]])</f>
        <v>-21.096295188854608</v>
      </c>
      <c r="AB481" s="4">
        <f>Games[[#This Row],[PreGmRate]]+Games[[#This Row],[RatingChange]]</f>
        <v>1558.2716488225062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1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38947</v>
      </c>
      <c r="B482" s="2">
        <v>2006</v>
      </c>
      <c r="C482" s="2">
        <f>COUNTIFS(Games[Team],Games[[#This Row],[Team]],Games[Season],Games[[#This Row],[Season]],Games[Date],"&lt;=" &amp; Games[[#This Row],[Date]])</f>
        <v>35</v>
      </c>
      <c r="D482" s="2" t="s">
        <v>46</v>
      </c>
      <c r="E482" s="2">
        <v>1</v>
      </c>
      <c r="F482" s="1" t="s">
        <v>70</v>
      </c>
      <c r="G482" s="1" t="s">
        <v>81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82" s="2">
        <f>Games[[#This Row],[DaysOff]]-Games[[#This Row],[OppDaysOff]]</f>
        <v>-1</v>
      </c>
      <c r="L482" s="2">
        <f>Games[[#This Row],[OppDaysOff]]-Games[[#This Row],[DaysOff]]</f>
        <v>1</v>
      </c>
      <c r="M482" s="16">
        <f>MAX(-16, MIN(16, Games[[#This Row],[RestDiff]]*8))</f>
        <v>-8</v>
      </c>
      <c r="N482" s="16">
        <f>MAX(-16, MIN(16, Games[[#This Row],[OppRestDiff]]*8))</f>
        <v>8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1617.584507506089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1524.8223652278195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0.48958539198021134</v>
      </c>
      <c r="R482" s="1">
        <v>72</v>
      </c>
      <c r="S482" s="1">
        <v>84</v>
      </c>
      <c r="T482" s="1">
        <v>0</v>
      </c>
      <c r="U482" s="16">
        <f>Games[[#This Row],[PointsFor]]-Games[[#This Row],[PointsAgainst]]</f>
        <v>-12</v>
      </c>
      <c r="V482" s="16">
        <f>IF(Games[[#This Row],[MOV]]&gt;0,1,IF(Games[[#This Row],[MOV]]=0,0.5,0))</f>
        <v>0</v>
      </c>
      <c r="W482" s="4">
        <f>((ABS(Games[[#This Row],[MOV]])+5)^0.6)/(12+0.01*(ABS(Games[[#This Row],[PreGmRate]]-Games[[#This Row],[OppPreGmRate]])))*IF(Games[[#This Row],[OT]]=1,0.9,1)</f>
        <v>0.42339987673774998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2" s="9">
        <f>MAX(kmin, kmax - 0.15 * MIN(Games[[#This Row],[GamesPlayed]], 82))</f>
        <v>70.75</v>
      </c>
      <c r="Z482" s="4">
        <f>Games[[#This Row],[K]]*Games[[#This Row],[POMult]]</f>
        <v>77.825000000000003</v>
      </c>
      <c r="AA482" s="4">
        <f>(Games[[#This Row],[Keff]]*Games[[#This Row],[MOVMult]])*(Games[[#This Row],[Result]]-Games[[#This Row],[ExpectedWin%]])</f>
        <v>-16.132374961069932</v>
      </c>
      <c r="AB482" s="4">
        <f>Games[[#This Row],[PreGmRate]]+Games[[#This Row],[RatingChange]]</f>
        <v>1601.4521325450191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1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38947</v>
      </c>
      <c r="B483" s="2">
        <v>2006</v>
      </c>
      <c r="C483" s="2">
        <f>COUNTIFS(Games[Team],Games[[#This Row],[Team]],Games[Season],Games[[#This Row],[Season]],Games[Date],"&lt;=" &amp; Games[[#This Row],[Date]])</f>
        <v>35</v>
      </c>
      <c r="D483" s="2" t="s">
        <v>46</v>
      </c>
      <c r="E483" s="2">
        <v>1</v>
      </c>
      <c r="F483" s="1" t="s">
        <v>81</v>
      </c>
      <c r="G483" s="1" t="s">
        <v>70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5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3" s="2">
        <f>Games[[#This Row],[DaysOff]]-Games[[#This Row],[OppDaysOff]]</f>
        <v>1</v>
      </c>
      <c r="L483" s="2">
        <f>Games[[#This Row],[OppDaysOff]]-Games[[#This Row],[DaysOff]]</f>
        <v>-1</v>
      </c>
      <c r="M483" s="16">
        <f>MAX(-16, MIN(16, Games[[#This Row],[RestDiff]]*8))</f>
        <v>8</v>
      </c>
      <c r="N483" s="16">
        <f>MAX(-16, MIN(16, Games[[#This Row],[OppRestDiff]]*8))</f>
        <v>-8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1524.8223652278195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1617.584507506089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0.51041460801978866</v>
      </c>
      <c r="R483" s="1">
        <v>84</v>
      </c>
      <c r="S483" s="1">
        <v>72</v>
      </c>
      <c r="T483" s="1">
        <v>0</v>
      </c>
      <c r="U483" s="16">
        <f>Games[[#This Row],[PointsFor]]-Games[[#This Row],[PointsAgainst]]</f>
        <v>12</v>
      </c>
      <c r="V483" s="16">
        <f>IF(Games[[#This Row],[MOV]]&gt;0,1,IF(Games[[#This Row],[MOV]]=0,0.5,0))</f>
        <v>1</v>
      </c>
      <c r="W483" s="4">
        <f>((ABS(Games[[#This Row],[MOV]])+5)^0.6)/(12+0.01*(ABS(Games[[#This Row],[PreGmRate]]-Games[[#This Row],[OppPreGmRate]])))*IF(Games[[#This Row],[OT]]=1,0.9,1)</f>
        <v>0.42339987673774998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3" s="9">
        <f>MAX(kmin, kmax - 0.15 * MIN(Games[[#This Row],[GamesPlayed]], 82))</f>
        <v>70.75</v>
      </c>
      <c r="Z483" s="4">
        <f>Games[[#This Row],[K]]*Games[[#This Row],[POMult]]</f>
        <v>77.825000000000003</v>
      </c>
      <c r="AA483" s="4">
        <f>(Games[[#This Row],[Keff]]*Games[[#This Row],[MOVMult]])*(Games[[#This Row],[Result]]-Games[[#This Row],[ExpectedWin%]])</f>
        <v>16.132374961069932</v>
      </c>
      <c r="AB483" s="4">
        <f>Games[[#This Row],[PreGmRate]]+Games[[#This Row],[RatingChange]]</f>
        <v>1540.9547401888894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1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38947</v>
      </c>
      <c r="B484" s="2">
        <v>2006</v>
      </c>
      <c r="C484" s="2">
        <f>COUNTIFS(Games[Team],Games[[#This Row],[Team]],Games[Season],Games[[#This Row],[Season]],Games[Date],"&lt;=" &amp; Games[[#This Row],[Date]])</f>
        <v>35</v>
      </c>
      <c r="D484" s="2" t="s">
        <v>46</v>
      </c>
      <c r="E484" s="2">
        <v>1</v>
      </c>
      <c r="F484" s="1" t="s">
        <v>86</v>
      </c>
      <c r="G484" s="1" t="s">
        <v>73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6">
        <f>MAX(-16, MIN(16, Games[[#This Row],[RestDiff]]*8))</f>
        <v>0</v>
      </c>
      <c r="N484" s="16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1668.6143028355766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1510.5411994100405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0.605013470037435</v>
      </c>
      <c r="R484" s="1">
        <v>76</v>
      </c>
      <c r="S484" s="1">
        <v>61</v>
      </c>
      <c r="T484" s="1">
        <v>0</v>
      </c>
      <c r="U484" s="16">
        <f>Games[[#This Row],[PointsFor]]-Games[[#This Row],[PointsAgainst]]</f>
        <v>15</v>
      </c>
      <c r="V484" s="16">
        <f>IF(Games[[#This Row],[MOV]]&gt;0,1,IF(Games[[#This Row],[MOV]]=0,0.5,0))</f>
        <v>1</v>
      </c>
      <c r="W484" s="4">
        <f>((ABS(Games[[#This Row],[MOV]])+5)^0.6)/(12+0.01*(ABS(Games[[#This Row],[PreGmRate]]-Games[[#This Row],[OppPreGmRate]])))*IF(Games[[#This Row],[OT]]=1,0.9,1)</f>
        <v>0.44431896348766908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4" s="9">
        <f>MAX(kmin, kmax - 0.15 * MIN(Games[[#This Row],[GamesPlayed]], 82))</f>
        <v>70.75</v>
      </c>
      <c r="Z484" s="4">
        <f>Games[[#This Row],[K]]*Games[[#This Row],[POMult]]</f>
        <v>77.825000000000003</v>
      </c>
      <c r="AA484" s="4">
        <f>(Games[[#This Row],[Keff]]*Games[[#This Row],[MOVMult]])*(Games[[#This Row],[Result]]-Games[[#This Row],[ExpectedWin%]])</f>
        <v>13.658287934618228</v>
      </c>
      <c r="AB484" s="4">
        <f>Games[[#This Row],[PreGmRate]]+Games[[#This Row],[RatingChange]]</f>
        <v>1682.2725907701949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1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38947</v>
      </c>
      <c r="B485" s="2">
        <v>2006</v>
      </c>
      <c r="C485" s="2">
        <f>COUNTIFS(Games[Team],Games[[#This Row],[Team]],Games[Season],Games[[#This Row],[Season]],Games[Date],"&lt;=" &amp; Games[[#This Row],[Date]])</f>
        <v>35</v>
      </c>
      <c r="D485" s="2" t="s">
        <v>46</v>
      </c>
      <c r="E485" s="2">
        <v>1</v>
      </c>
      <c r="F485" s="1" t="s">
        <v>73</v>
      </c>
      <c r="G485" s="1" t="s">
        <v>86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6">
        <f>MAX(-16, MIN(16, Games[[#This Row],[RestDiff]]*8))</f>
        <v>0</v>
      </c>
      <c r="N485" s="16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1510.5411994100405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1668.6143028355766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0.394986529962565</v>
      </c>
      <c r="R485" s="1">
        <v>61</v>
      </c>
      <c r="S485" s="1">
        <v>76</v>
      </c>
      <c r="T485" s="1">
        <v>0</v>
      </c>
      <c r="U485" s="16">
        <f>Games[[#This Row],[PointsFor]]-Games[[#This Row],[PointsAgainst]]</f>
        <v>-15</v>
      </c>
      <c r="V485" s="16">
        <f>IF(Games[[#This Row],[MOV]]&gt;0,1,IF(Games[[#This Row],[MOV]]=0,0.5,0))</f>
        <v>0</v>
      </c>
      <c r="W485" s="4">
        <f>((ABS(Games[[#This Row],[MOV]])+5)^0.6)/(12+0.01*(ABS(Games[[#This Row],[PreGmRate]]-Games[[#This Row],[OppPreGmRate]])))*IF(Games[[#This Row],[OT]]=1,0.9,1)</f>
        <v>0.44431896348766908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5" s="9">
        <f>MAX(kmin, kmax - 0.15 * MIN(Games[[#This Row],[GamesPlayed]], 82))</f>
        <v>70.75</v>
      </c>
      <c r="Z485" s="4">
        <f>Games[[#This Row],[K]]*Games[[#This Row],[POMult]]</f>
        <v>77.825000000000003</v>
      </c>
      <c r="AA485" s="4">
        <f>(Games[[#This Row],[Keff]]*Games[[#This Row],[MOVMult]])*(Games[[#This Row],[Result]]-Games[[#This Row],[ExpectedWin%]])</f>
        <v>-13.658287934618228</v>
      </c>
      <c r="AB485" s="4">
        <f>Games[[#This Row],[PreGmRate]]+Games[[#This Row],[RatingChange]]</f>
        <v>1496.8829114754221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1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38948</v>
      </c>
      <c r="B486" s="2">
        <v>2006</v>
      </c>
      <c r="C486" s="2">
        <f>COUNTIFS(Games[Team],Games[[#This Row],[Team]],Games[Season],Games[[#This Row],[Season]],Games[Date],"&lt;=" &amp; Games[[#This Row],[Date]])</f>
        <v>36</v>
      </c>
      <c r="D486" s="2" t="s">
        <v>46</v>
      </c>
      <c r="E486" s="2">
        <v>1</v>
      </c>
      <c r="F486" s="1" t="s">
        <v>79</v>
      </c>
      <c r="G486" s="1" t="s">
        <v>75</v>
      </c>
      <c r="H486" s="1" t="s">
        <v>16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6">
        <f>MAX(-16, MIN(16, Games[[#This Row],[RestDiff]]*8))</f>
        <v>0</v>
      </c>
      <c r="N486" s="16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1558.2716488225062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1613.4905539269585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0.30972432077720802</v>
      </c>
      <c r="R486" s="1">
        <v>83</v>
      </c>
      <c r="S486" s="1">
        <v>98</v>
      </c>
      <c r="T486" s="1">
        <v>0</v>
      </c>
      <c r="U486" s="16">
        <f>Games[[#This Row],[PointsFor]]-Games[[#This Row],[PointsAgainst]]</f>
        <v>-15</v>
      </c>
      <c r="V486" s="16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0.48072701199820062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6" s="9">
        <f>MAX(kmin, kmax - 0.15 * MIN(Games[[#This Row],[GamesPlayed]], 82))</f>
        <v>70.599999999999994</v>
      </c>
      <c r="Z486" s="4">
        <f>Games[[#This Row],[K]]*Games[[#This Row],[POMult]]</f>
        <v>77.66</v>
      </c>
      <c r="AA486" s="4">
        <f>(Games[[#This Row],[Keff]]*Games[[#This Row],[MOVMult]])*(Games[[#This Row],[Result]]-Games[[#This Row],[ExpectedWin%]])</f>
        <v>-11.563018519019218</v>
      </c>
      <c r="AB486" s="4">
        <f>Games[[#This Row],[PreGmRate]]+Games[[#This Row],[RatingChange]]</f>
        <v>1546.7086303034871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0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1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38948</v>
      </c>
      <c r="B487" s="2">
        <v>2006</v>
      </c>
      <c r="C487" s="2">
        <f>COUNTIFS(Games[Team],Games[[#This Row],[Team]],Games[Season],Games[[#This Row],[Season]],Games[Date],"&lt;=" &amp; Games[[#This Row],[Date]])</f>
        <v>36</v>
      </c>
      <c r="D487" s="2" t="s">
        <v>46</v>
      </c>
      <c r="E487" s="2">
        <v>1</v>
      </c>
      <c r="F487" s="1" t="s">
        <v>75</v>
      </c>
      <c r="G487" s="1" t="s">
        <v>79</v>
      </c>
      <c r="H487" s="1" t="s">
        <v>15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6">
        <f>MAX(-16, MIN(16, Games[[#This Row],[RestDiff]]*8))</f>
        <v>0</v>
      </c>
      <c r="N487" s="16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1613.4905539269585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1558.2716488225062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0.69027567922279187</v>
      </c>
      <c r="R487" s="1">
        <v>98</v>
      </c>
      <c r="S487" s="1">
        <v>83</v>
      </c>
      <c r="T487" s="1">
        <v>0</v>
      </c>
      <c r="U487" s="16">
        <f>Games[[#This Row],[PointsFor]]-Games[[#This Row],[PointsAgainst]]</f>
        <v>15</v>
      </c>
      <c r="V487" s="16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0.48072701199820062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7" s="9">
        <f>MAX(kmin, kmax - 0.15 * MIN(Games[[#This Row],[GamesPlayed]], 82))</f>
        <v>70.599999999999994</v>
      </c>
      <c r="Z487" s="4">
        <f>Games[[#This Row],[K]]*Games[[#This Row],[POMult]]</f>
        <v>77.66</v>
      </c>
      <c r="AA487" s="4">
        <f>(Games[[#This Row],[Keff]]*Games[[#This Row],[MOVMult]])*(Games[[#This Row],[Result]]-Games[[#This Row],[ExpectedWin%]])</f>
        <v>11.563018519019224</v>
      </c>
      <c r="AB487" s="4">
        <f>Games[[#This Row],[PreGmRate]]+Games[[#This Row],[RatingChange]]</f>
        <v>1625.0535724459776</v>
      </c>
      <c r="AC487" s="2">
        <f>IF(Games[[#This Row],[Type]]="R",IF(Games[[#This Row],[Result]]&gt;0.5,1,0),0)</f>
        <v>0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1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38948</v>
      </c>
      <c r="B488" s="2">
        <v>2006</v>
      </c>
      <c r="C488" s="2">
        <f>COUNTIFS(Games[Team],Games[[#This Row],[Team]],Games[Season],Games[[#This Row],[Season]],Games[Date],"&lt;=" &amp; Games[[#This Row],[Date]])</f>
        <v>36</v>
      </c>
      <c r="D488" s="2" t="s">
        <v>46</v>
      </c>
      <c r="E488" s="2">
        <v>1</v>
      </c>
      <c r="F488" s="1" t="s">
        <v>2</v>
      </c>
      <c r="G488" s="1" t="s">
        <v>45</v>
      </c>
      <c r="H488" s="1" t="s">
        <v>16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6">
        <f>MAX(-16, MIN(16, Games[[#This Row],[RestDiff]]*8))</f>
        <v>0</v>
      </c>
      <c r="N488" s="16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1494.0856488281968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1633.5727919877011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0.21644658959502072</v>
      </c>
      <c r="R488" s="1">
        <v>64</v>
      </c>
      <c r="S488" s="1">
        <v>92</v>
      </c>
      <c r="T488" s="1">
        <v>0</v>
      </c>
      <c r="U488" s="16">
        <f>Games[[#This Row],[PointsFor]]-Games[[#This Row],[PointsAgainst]]</f>
        <v>-28</v>
      </c>
      <c r="V488" s="16">
        <f>IF(Games[[#This Row],[MOV]]&gt;0,1,IF(Games[[#This Row],[MOV]]=0,0.5,0))</f>
        <v>0</v>
      </c>
      <c r="W488" s="4">
        <f>((ABS(Games[[#This Row],[MOV]])+5)^0.6)/(12+0.01*(ABS(Games[[#This Row],[PreGmRate]]-Games[[#This Row],[OppPreGmRate]])))*IF(Games[[#This Row],[OT]]=1,0.9,1)</f>
        <v>0.60837283601179348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8" s="9">
        <f>MAX(kmin, kmax - 0.15 * MIN(Games[[#This Row],[GamesPlayed]], 82))</f>
        <v>70.599999999999994</v>
      </c>
      <c r="Z488" s="4">
        <f>Games[[#This Row],[K]]*Games[[#This Row],[POMult]]</f>
        <v>77.66</v>
      </c>
      <c r="AA488" s="4">
        <f>(Games[[#This Row],[Keff]]*Games[[#This Row],[MOVMult]])*(Games[[#This Row],[Result]]-Games[[#This Row],[ExpectedWin%]])</f>
        <v>-10.226286316756891</v>
      </c>
      <c r="AB488" s="4">
        <f>Games[[#This Row],[PreGmRate]]+Games[[#This Row],[RatingChange]]</f>
        <v>1483.8593625114399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1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38948</v>
      </c>
      <c r="B489" s="2">
        <v>2006</v>
      </c>
      <c r="C489" s="2">
        <f>COUNTIFS(Games[Team],Games[[#This Row],[Team]],Games[Season],Games[[#This Row],[Season]],Games[Date],"&lt;=" &amp; Games[[#This Row],[Date]])</f>
        <v>36</v>
      </c>
      <c r="D489" s="2" t="s">
        <v>46</v>
      </c>
      <c r="E489" s="2">
        <v>1</v>
      </c>
      <c r="F489" s="1" t="s">
        <v>45</v>
      </c>
      <c r="G489" s="1" t="s">
        <v>2</v>
      </c>
      <c r="H489" s="1" t="s">
        <v>15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6">
        <f>MAX(-16, MIN(16, Games[[#This Row],[RestDiff]]*8))</f>
        <v>0</v>
      </c>
      <c r="N489" s="16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1633.5727919877011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1494.0856488281968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0.78355341040497928</v>
      </c>
      <c r="R489" s="1">
        <v>92</v>
      </c>
      <c r="S489" s="1">
        <v>64</v>
      </c>
      <c r="T489" s="1">
        <v>0</v>
      </c>
      <c r="U489" s="16">
        <f>Games[[#This Row],[PointsFor]]-Games[[#This Row],[PointsAgainst]]</f>
        <v>28</v>
      </c>
      <c r="V489" s="16">
        <f>IF(Games[[#This Row],[MOV]]&gt;0,1,IF(Games[[#This Row],[MOV]]=0,0.5,0))</f>
        <v>1</v>
      </c>
      <c r="W489" s="4">
        <f>((ABS(Games[[#This Row],[MOV]])+5)^0.6)/(12+0.01*(ABS(Games[[#This Row],[PreGmRate]]-Games[[#This Row],[OppPreGmRate]])))*IF(Games[[#This Row],[OT]]=1,0.9,1)</f>
        <v>0.60837283601179348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89" s="9">
        <f>MAX(kmin, kmax - 0.15 * MIN(Games[[#This Row],[GamesPlayed]], 82))</f>
        <v>70.599999999999994</v>
      </c>
      <c r="Z489" s="4">
        <f>Games[[#This Row],[K]]*Games[[#This Row],[POMult]]</f>
        <v>77.66</v>
      </c>
      <c r="AA489" s="4">
        <f>(Games[[#This Row],[Keff]]*Games[[#This Row],[MOVMult]])*(Games[[#This Row],[Result]]-Games[[#This Row],[ExpectedWin%]])</f>
        <v>10.226286316756891</v>
      </c>
      <c r="AB489" s="4">
        <f>Games[[#This Row],[PreGmRate]]+Games[[#This Row],[RatingChange]]</f>
        <v>1643.7990783044579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1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38949</v>
      </c>
      <c r="B490" s="2">
        <v>2006</v>
      </c>
      <c r="C490" s="2">
        <f>COUNTIFS(Games[Team],Games[[#This Row],[Team]],Games[Season],Games[[#This Row],[Season]],Games[Date],"&lt;=" &amp; Games[[#This Row],[Date]])</f>
        <v>36</v>
      </c>
      <c r="D490" s="2" t="s">
        <v>46</v>
      </c>
      <c r="E490" s="2">
        <v>1</v>
      </c>
      <c r="F490" s="1" t="s">
        <v>73</v>
      </c>
      <c r="G490" s="1" t="s">
        <v>86</v>
      </c>
      <c r="H490" s="1" t="s">
        <v>16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6">
        <f>MAX(-16, MIN(16, Games[[#This Row],[RestDiff]]*8))</f>
        <v>0</v>
      </c>
      <c r="N490" s="16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1496.8829114754221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1682.2725907701949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0.17498062038363732</v>
      </c>
      <c r="R490" s="1">
        <v>65</v>
      </c>
      <c r="S490" s="1">
        <v>68</v>
      </c>
      <c r="T490" s="1">
        <v>0</v>
      </c>
      <c r="U490" s="16">
        <f>Games[[#This Row],[PointsFor]]-Games[[#This Row],[PointsAgainst]]</f>
        <v>-3</v>
      </c>
      <c r="V490" s="16">
        <f>IF(Games[[#This Row],[MOV]]&gt;0,1,IF(Games[[#This Row],[MOV]]=0,0.5,0))</f>
        <v>0</v>
      </c>
      <c r="W490" s="4">
        <f>((ABS(Games[[#This Row],[MOV]])+5)^0.6)/(12+0.01*(ABS(Games[[#This Row],[PreGmRate]]-Games[[#This Row],[OppPreGmRate]])))*IF(Games[[#This Row],[OT]]=1,0.9,1)</f>
        <v>0.25135182578789661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0" s="9">
        <f>MAX(kmin, kmax - 0.15 * MIN(Games[[#This Row],[GamesPlayed]], 82))</f>
        <v>70.599999999999994</v>
      </c>
      <c r="Z490" s="4">
        <f>Games[[#This Row],[K]]*Games[[#This Row],[POMult]]</f>
        <v>77.66</v>
      </c>
      <c r="AA490" s="4">
        <f>(Games[[#This Row],[Keff]]*Games[[#This Row],[MOVMult]])*(Games[[#This Row],[Result]]-Games[[#This Row],[ExpectedWin%]])</f>
        <v>-3.4156186985925192</v>
      </c>
      <c r="AB490" s="4">
        <f>Games[[#This Row],[PreGmRate]]+Games[[#This Row],[RatingChange]]</f>
        <v>1493.4672927768297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1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38949</v>
      </c>
      <c r="B491" s="2">
        <v>2006</v>
      </c>
      <c r="C491" s="2">
        <f>COUNTIFS(Games[Team],Games[[#This Row],[Team]],Games[Season],Games[[#This Row],[Season]],Games[Date],"&lt;=" &amp; Games[[#This Row],[Date]])</f>
        <v>36</v>
      </c>
      <c r="D491" s="2" t="s">
        <v>46</v>
      </c>
      <c r="E491" s="2">
        <v>1</v>
      </c>
      <c r="F491" s="1" t="s">
        <v>86</v>
      </c>
      <c r="G491" s="1" t="s">
        <v>73</v>
      </c>
      <c r="H491" s="1" t="s">
        <v>15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6">
        <f>MAX(-16, MIN(16, Games[[#This Row],[RestDiff]]*8))</f>
        <v>0</v>
      </c>
      <c r="N491" s="16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1682.2725907701949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1496.8829114754221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0.82501937961636274</v>
      </c>
      <c r="R491" s="1">
        <v>68</v>
      </c>
      <c r="S491" s="1">
        <v>65</v>
      </c>
      <c r="T491" s="1">
        <v>0</v>
      </c>
      <c r="U491" s="16">
        <f>Games[[#This Row],[PointsFor]]-Games[[#This Row],[PointsAgainst]]</f>
        <v>3</v>
      </c>
      <c r="V491" s="16">
        <f>IF(Games[[#This Row],[MOV]]&gt;0,1,IF(Games[[#This Row],[MOV]]=0,0.5,0))</f>
        <v>1</v>
      </c>
      <c r="W491" s="4">
        <f>((ABS(Games[[#This Row],[MOV]])+5)^0.6)/(12+0.01*(ABS(Games[[#This Row],[PreGmRate]]-Games[[#This Row],[OppPreGmRate]])))*IF(Games[[#This Row],[OT]]=1,0.9,1)</f>
        <v>0.25135182578789661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1" s="9">
        <f>MAX(kmin, kmax - 0.15 * MIN(Games[[#This Row],[GamesPlayed]], 82))</f>
        <v>70.599999999999994</v>
      </c>
      <c r="Z491" s="4">
        <f>Games[[#This Row],[K]]*Games[[#This Row],[POMult]]</f>
        <v>77.66</v>
      </c>
      <c r="AA491" s="4">
        <f>(Games[[#This Row],[Keff]]*Games[[#This Row],[MOVMult]])*(Games[[#This Row],[Result]]-Games[[#This Row],[ExpectedWin%]])</f>
        <v>3.4156186985925183</v>
      </c>
      <c r="AB491" s="4">
        <f>Games[[#This Row],[PreGmRate]]+Games[[#This Row],[RatingChange]]</f>
        <v>1685.6882094687874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1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38949</v>
      </c>
      <c r="B492" s="2">
        <v>2006</v>
      </c>
      <c r="C492" s="2">
        <f>COUNTIFS(Games[Team],Games[[#This Row],[Team]],Games[Season],Games[[#This Row],[Season]],Games[Date],"&lt;=" &amp; Games[[#This Row],[Date]])</f>
        <v>36</v>
      </c>
      <c r="D492" s="2" t="s">
        <v>46</v>
      </c>
      <c r="E492" s="2">
        <v>1</v>
      </c>
      <c r="F492" s="1" t="s">
        <v>81</v>
      </c>
      <c r="G492" s="1" t="s">
        <v>70</v>
      </c>
      <c r="H492" s="1" t="s">
        <v>16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2" s="2">
        <f>Games[[#This Row],[DaysOff]]-Games[[#This Row],[OppDaysOff]]</f>
        <v>0</v>
      </c>
      <c r="L492" s="2">
        <f>Games[[#This Row],[OppDaysOff]]-Games[[#This Row],[DaysOff]]</f>
        <v>0</v>
      </c>
      <c r="M492" s="16">
        <f>MAX(-16, MIN(16, Games[[#This Row],[RestDiff]]*8))</f>
        <v>0</v>
      </c>
      <c r="N492" s="16">
        <f>MAX(-16, MIN(16, Games[[#This Row],[OppRestDiff]]*8))</f>
        <v>0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1540.9547401888894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1601.4521325450191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0.30326590282905025</v>
      </c>
      <c r="R492" s="1">
        <v>70</v>
      </c>
      <c r="S492" s="1">
        <v>78</v>
      </c>
      <c r="T492" s="1">
        <v>0</v>
      </c>
      <c r="U492" s="16">
        <f>Games[[#This Row],[PointsFor]]-Games[[#This Row],[PointsAgainst]]</f>
        <v>-8</v>
      </c>
      <c r="V492" s="16">
        <f>IF(Games[[#This Row],[MOV]]&gt;0,1,IF(Games[[#This Row],[MOV]]=0,0.5,0))</f>
        <v>0</v>
      </c>
      <c r="W492" s="4">
        <f>((ABS(Games[[#This Row],[MOV]])+5)^0.6)/(12+0.01*(ABS(Games[[#This Row],[PreGmRate]]-Games[[#This Row],[OppPreGmRate]])))*IF(Games[[#This Row],[OT]]=1,0.9,1)</f>
        <v>0.36967838634921441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2" s="9">
        <f>MAX(kmin, kmax - 0.15 * MIN(Games[[#This Row],[GamesPlayed]], 82))</f>
        <v>70.599999999999994</v>
      </c>
      <c r="Z492" s="4">
        <f>Games[[#This Row],[K]]*Games[[#This Row],[POMult]]</f>
        <v>77.66</v>
      </c>
      <c r="AA492" s="4">
        <f>(Games[[#This Row],[Keff]]*Games[[#This Row],[MOVMult]])*(Games[[#This Row],[Result]]-Games[[#This Row],[ExpectedWin%]])</f>
        <v>-8.7065285793598353</v>
      </c>
      <c r="AB492" s="4">
        <f>Games[[#This Row],[PreGmRate]]+Games[[#This Row],[RatingChange]]</f>
        <v>1532.2482116095296</v>
      </c>
      <c r="AC492" s="2">
        <f>IF(Games[[#This Row],[Type]]="R",IF(Games[[#This Row],[Result]]&gt;0.5,1,0),0)</f>
        <v>0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1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38949</v>
      </c>
      <c r="B493" s="2">
        <v>2006</v>
      </c>
      <c r="C493" s="2">
        <f>COUNTIFS(Games[Team],Games[[#This Row],[Team]],Games[Season],Games[[#This Row],[Season]],Games[Date],"&lt;=" &amp; Games[[#This Row],[Date]])</f>
        <v>36</v>
      </c>
      <c r="D493" s="2" t="s">
        <v>46</v>
      </c>
      <c r="E493" s="2">
        <v>1</v>
      </c>
      <c r="F493" s="1" t="s">
        <v>70</v>
      </c>
      <c r="G493" s="1" t="s">
        <v>81</v>
      </c>
      <c r="H493" s="1" t="s">
        <v>15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0</v>
      </c>
      <c r="L493" s="2">
        <f>Games[[#This Row],[OppDaysOff]]-Games[[#This Row],[DaysOff]]</f>
        <v>0</v>
      </c>
      <c r="M493" s="16">
        <f>MAX(-16, MIN(16, Games[[#This Row],[RestDiff]]*8))</f>
        <v>0</v>
      </c>
      <c r="N493" s="16">
        <f>MAX(-16, MIN(16, Games[[#This Row],[OppRestDiff]]*8))</f>
        <v>0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1601.4521325450191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1540.9547401888894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0.69673409717094981</v>
      </c>
      <c r="R493" s="1">
        <v>78</v>
      </c>
      <c r="S493" s="1">
        <v>70</v>
      </c>
      <c r="T493" s="1">
        <v>0</v>
      </c>
      <c r="U493" s="16">
        <f>Games[[#This Row],[PointsFor]]-Games[[#This Row],[PointsAgainst]]</f>
        <v>8</v>
      </c>
      <c r="V493" s="16">
        <f>IF(Games[[#This Row],[MOV]]&gt;0,1,IF(Games[[#This Row],[MOV]]=0,0.5,0))</f>
        <v>1</v>
      </c>
      <c r="W493" s="4">
        <f>((ABS(Games[[#This Row],[MOV]])+5)^0.6)/(12+0.01*(ABS(Games[[#This Row],[PreGmRate]]-Games[[#This Row],[OppPreGmRate]])))*IF(Games[[#This Row],[OT]]=1,0.9,1)</f>
        <v>0.36967838634921441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3" s="9">
        <f>MAX(kmin, kmax - 0.15 * MIN(Games[[#This Row],[GamesPlayed]], 82))</f>
        <v>70.599999999999994</v>
      </c>
      <c r="Z493" s="4">
        <f>Games[[#This Row],[K]]*Games[[#This Row],[POMult]]</f>
        <v>77.66</v>
      </c>
      <c r="AA493" s="4">
        <f>(Games[[#This Row],[Keff]]*Games[[#This Row],[MOVMult]])*(Games[[#This Row],[Result]]-Games[[#This Row],[ExpectedWin%]])</f>
        <v>8.7065285793598353</v>
      </c>
      <c r="AB493" s="4">
        <f>Games[[#This Row],[PreGmRate]]+Games[[#This Row],[RatingChange]]</f>
        <v>1610.158661124379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0</v>
      </c>
      <c r="AE493" s="2">
        <f>IF(AND(Games[[#This Row],[Type]]="P",Games[[#This Row],[Round]]=1),IF(Games[[#This Row],[Result]]&gt;0.5,1,0),0)</f>
        <v>1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38951</v>
      </c>
      <c r="B494" s="2">
        <v>2006</v>
      </c>
      <c r="C494" s="2">
        <f>COUNTIFS(Games[Team],Games[[#This Row],[Team]],Games[Season],Games[[#This Row],[Season]],Games[Date],"&lt;=" &amp; Games[[#This Row],[Date]])</f>
        <v>37</v>
      </c>
      <c r="D494" s="2" t="s">
        <v>46</v>
      </c>
      <c r="E494" s="2">
        <v>1</v>
      </c>
      <c r="F494" s="1" t="s">
        <v>81</v>
      </c>
      <c r="G494" s="1" t="s">
        <v>70</v>
      </c>
      <c r="H494" s="1" t="s">
        <v>16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6">
        <f>MAX(-16, MIN(16, Games[[#This Row],[RestDiff]]*8))</f>
        <v>0</v>
      </c>
      <c r="N494" s="16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1532.2482116095296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1610.158661124379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0.28251275537102333</v>
      </c>
      <c r="R494" s="1">
        <v>63</v>
      </c>
      <c r="S494" s="1">
        <v>68</v>
      </c>
      <c r="T494" s="1">
        <v>0</v>
      </c>
      <c r="U494" s="16">
        <f>Games[[#This Row],[PointsFor]]-Games[[#This Row],[PointsAgainst]]</f>
        <v>-5</v>
      </c>
      <c r="V494" s="16">
        <f>IF(Games[[#This Row],[MOV]]&gt;0,1,IF(Games[[#This Row],[MOV]]=0,0.5,0))</f>
        <v>0</v>
      </c>
      <c r="W494" s="4">
        <f>((ABS(Games[[#This Row],[MOV]])+5)^0.6)/(12+0.01*(ABS(Games[[#This Row],[PreGmRate]]-Games[[#This Row],[OppPreGmRate]])))*IF(Games[[#This Row],[OT]]=1,0.9,1)</f>
        <v>0.31152978732166725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4" s="9">
        <f>MAX(kmin, kmax - 0.15 * MIN(Games[[#This Row],[GamesPlayed]], 82))</f>
        <v>70.45</v>
      </c>
      <c r="Z494" s="4">
        <f>Games[[#This Row],[K]]*Games[[#This Row],[POMult]]</f>
        <v>77.495000000000005</v>
      </c>
      <c r="AA494" s="4">
        <f>(Games[[#This Row],[Keff]]*Games[[#This Row],[MOVMult]])*(Games[[#This Row],[Result]]-Games[[#This Row],[ExpectedWin%]])</f>
        <v>-6.8204231855274839</v>
      </c>
      <c r="AB494" s="4">
        <f>Games[[#This Row],[PreGmRate]]+Games[[#This Row],[RatingChange]]</f>
        <v>1525.4277884240021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1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38951</v>
      </c>
      <c r="B495" s="2">
        <v>2006</v>
      </c>
      <c r="C495" s="2">
        <f>COUNTIFS(Games[Team],Games[[#This Row],[Team]],Games[Season],Games[[#This Row],[Season]],Games[Date],"&lt;=" &amp; Games[[#This Row],[Date]])</f>
        <v>37</v>
      </c>
      <c r="D495" s="2" t="s">
        <v>46</v>
      </c>
      <c r="E495" s="2">
        <v>1</v>
      </c>
      <c r="F495" s="1" t="s">
        <v>70</v>
      </c>
      <c r="G495" s="1" t="s">
        <v>81</v>
      </c>
      <c r="H495" s="1" t="s">
        <v>15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6">
        <f>MAX(-16, MIN(16, Games[[#This Row],[RestDiff]]*8))</f>
        <v>0</v>
      </c>
      <c r="N495" s="16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1610.158661124379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1532.2482116095296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0.71748724462897662</v>
      </c>
      <c r="R495" s="1">
        <v>68</v>
      </c>
      <c r="S495" s="1">
        <v>63</v>
      </c>
      <c r="T495" s="1">
        <v>0</v>
      </c>
      <c r="U495" s="16">
        <f>Games[[#This Row],[PointsFor]]-Games[[#This Row],[PointsAgainst]]</f>
        <v>5</v>
      </c>
      <c r="V495" s="16">
        <f>IF(Games[[#This Row],[MOV]]&gt;0,1,IF(Games[[#This Row],[MOV]]=0,0.5,0))</f>
        <v>1</v>
      </c>
      <c r="W495" s="4">
        <f>((ABS(Games[[#This Row],[MOV]])+5)^0.6)/(12+0.01*(ABS(Games[[#This Row],[PreGmRate]]-Games[[#This Row],[OppPreGmRate]])))*IF(Games[[#This Row],[OT]]=1,0.9,1)</f>
        <v>0.31152978732166725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95" s="9">
        <f>MAX(kmin, kmax - 0.15 * MIN(Games[[#This Row],[GamesPlayed]], 82))</f>
        <v>70.45</v>
      </c>
      <c r="Z495" s="4">
        <f>Games[[#This Row],[K]]*Games[[#This Row],[POMult]]</f>
        <v>77.495000000000005</v>
      </c>
      <c r="AA495" s="4">
        <f>(Games[[#This Row],[Keff]]*Games[[#This Row],[MOVMult]])*(Games[[#This Row],[Result]]-Games[[#This Row],[ExpectedWin%]])</f>
        <v>6.8204231855274857</v>
      </c>
      <c r="AB495" s="4">
        <f>Games[[#This Row],[PreGmRate]]+Games[[#This Row],[RatingChange]]</f>
        <v>1616.9790843099065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1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38953</v>
      </c>
      <c r="B496" s="2">
        <v>2006</v>
      </c>
      <c r="C496" s="2">
        <f>COUNTIFS(Games[Team],Games[[#This Row],[Team]],Games[Season],Games[[#This Row],[Season]],Games[Date],"&lt;=" &amp; Games[[#This Row],[Date]])</f>
        <v>37</v>
      </c>
      <c r="D496" s="2" t="s">
        <v>46</v>
      </c>
      <c r="E496" s="2">
        <v>2</v>
      </c>
      <c r="F496" s="1" t="s">
        <v>86</v>
      </c>
      <c r="G496" s="1" t="s">
        <v>75</v>
      </c>
      <c r="H496" s="1" t="s">
        <v>16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6" s="2">
        <f>Games[[#This Row],[DaysOff]]-Games[[#This Row],[OppDaysOff]]</f>
        <v>-1</v>
      </c>
      <c r="L496" s="2">
        <f>Games[[#This Row],[OppDaysOff]]-Games[[#This Row],[DaysOff]]</f>
        <v>1</v>
      </c>
      <c r="M496" s="16">
        <f>MAX(-16, MIN(16, Games[[#This Row],[RestDiff]]*8))</f>
        <v>-8</v>
      </c>
      <c r="N496" s="16">
        <f>MAX(-16, MIN(16, Games[[#This Row],[OppRestDiff]]*8))</f>
        <v>8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1685.6882094687874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1625.0535724459776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0.44358987048221121</v>
      </c>
      <c r="R496" s="1">
        <v>59</v>
      </c>
      <c r="S496" s="1">
        <v>70</v>
      </c>
      <c r="T496" s="1">
        <v>0</v>
      </c>
      <c r="U496" s="16">
        <f>Games[[#This Row],[PointsFor]]-Games[[#This Row],[PointsAgainst]]</f>
        <v>-11</v>
      </c>
      <c r="V496" s="16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0.41868051916743237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96" s="9">
        <f>MAX(kmin, kmax - 0.15 * MIN(Games[[#This Row],[GamesPlayed]], 82))</f>
        <v>70.45</v>
      </c>
      <c r="Z496" s="4">
        <f>Games[[#This Row],[K]]*Games[[#This Row],[POMult]]</f>
        <v>84.54</v>
      </c>
      <c r="AA496" s="4">
        <f>(Games[[#This Row],[Keff]]*Games[[#This Row],[MOVMult]])*(Games[[#This Row],[Result]]-Games[[#This Row],[ExpectedWin%]])</f>
        <v>-15.700974846882419</v>
      </c>
      <c r="AB496" s="4">
        <f>Games[[#This Row],[PreGmRate]]+Games[[#This Row],[RatingChange]]</f>
        <v>1669.9872346219049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0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1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38953</v>
      </c>
      <c r="B497" s="2">
        <v>2006</v>
      </c>
      <c r="C497" s="2">
        <f>COUNTIFS(Games[Team],Games[[#This Row],[Team]],Games[Season],Games[[#This Row],[Season]],Games[Date],"&lt;=" &amp; Games[[#This Row],[Date]])</f>
        <v>37</v>
      </c>
      <c r="D497" s="2" t="s">
        <v>46</v>
      </c>
      <c r="E497" s="2">
        <v>2</v>
      </c>
      <c r="F497" s="1" t="s">
        <v>75</v>
      </c>
      <c r="G497" s="1" t="s">
        <v>86</v>
      </c>
      <c r="H497" s="1" t="s">
        <v>15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7" s="2">
        <f>Games[[#This Row],[DaysOff]]-Games[[#This Row],[OppDaysOff]]</f>
        <v>1</v>
      </c>
      <c r="L497" s="2">
        <f>Games[[#This Row],[OppDaysOff]]-Games[[#This Row],[DaysOff]]</f>
        <v>-1</v>
      </c>
      <c r="M497" s="16">
        <f>MAX(-16, MIN(16, Games[[#This Row],[RestDiff]]*8))</f>
        <v>8</v>
      </c>
      <c r="N497" s="16">
        <f>MAX(-16, MIN(16, Games[[#This Row],[OppRestDiff]]*8))</f>
        <v>-8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1625.0535724459776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1685.6882094687874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0.5564101295177889</v>
      </c>
      <c r="R497" s="1">
        <v>70</v>
      </c>
      <c r="S497" s="1">
        <v>59</v>
      </c>
      <c r="T497" s="1">
        <v>0</v>
      </c>
      <c r="U497" s="16">
        <f>Games[[#This Row],[PointsFor]]-Games[[#This Row],[PointsAgainst]]</f>
        <v>11</v>
      </c>
      <c r="V497" s="16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0.41868051916743237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97" s="9">
        <f>MAX(kmin, kmax - 0.15 * MIN(Games[[#This Row],[GamesPlayed]], 82))</f>
        <v>70.45</v>
      </c>
      <c r="Z497" s="4">
        <f>Games[[#This Row],[K]]*Games[[#This Row],[POMult]]</f>
        <v>84.54</v>
      </c>
      <c r="AA497" s="4">
        <f>(Games[[#This Row],[Keff]]*Games[[#This Row],[MOVMult]])*(Games[[#This Row],[Result]]-Games[[#This Row],[ExpectedWin%]])</f>
        <v>15.700974846882415</v>
      </c>
      <c r="AB497" s="4">
        <f>Games[[#This Row],[PreGmRate]]+Games[[#This Row],[RatingChange]]</f>
        <v>1640.75454729286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0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1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38953</v>
      </c>
      <c r="B498" s="2">
        <v>2006</v>
      </c>
      <c r="C498" s="2">
        <f>COUNTIFS(Games[Team],Games[[#This Row],[Team]],Games[Season],Games[[#This Row],[Season]],Games[Date],"&lt;=" &amp; Games[[#This Row],[Date]])</f>
        <v>38</v>
      </c>
      <c r="D498" s="2" t="s">
        <v>46</v>
      </c>
      <c r="E498" s="2">
        <v>2</v>
      </c>
      <c r="F498" s="1" t="s">
        <v>70</v>
      </c>
      <c r="G498" s="1" t="s">
        <v>45</v>
      </c>
      <c r="H498" s="1" t="s">
        <v>16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8" s="2">
        <f>Games[[#This Row],[DaysOff]]-Games[[#This Row],[OppDaysOff]]</f>
        <v>-3</v>
      </c>
      <c r="L498" s="2">
        <f>Games[[#This Row],[OppDaysOff]]-Games[[#This Row],[DaysOff]]</f>
        <v>3</v>
      </c>
      <c r="M498" s="16">
        <f>MAX(-16, MIN(16, Games[[#This Row],[RestDiff]]*8))</f>
        <v>-16</v>
      </c>
      <c r="N498" s="16">
        <f>MAX(-16, MIN(16, Games[[#This Row],[OppRestDiff]]*8))</f>
        <v>16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1616.9790843099065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1643.7990783044579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0.30531001614836989</v>
      </c>
      <c r="R498" s="1">
        <v>61</v>
      </c>
      <c r="S498" s="1">
        <v>64</v>
      </c>
      <c r="T498" s="1">
        <v>0</v>
      </c>
      <c r="U498" s="16">
        <f>Games[[#This Row],[PointsFor]]-Games[[#This Row],[PointsAgainst]]</f>
        <v>-3</v>
      </c>
      <c r="V498" s="16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0.28383970510998713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98" s="9">
        <f>MAX(kmin, kmax - 0.15 * MIN(Games[[#This Row],[GamesPlayed]], 82))</f>
        <v>70.3</v>
      </c>
      <c r="Z498" s="4">
        <f>Games[[#This Row],[K]]*Games[[#This Row],[POMult]]</f>
        <v>84.36</v>
      </c>
      <c r="AA498" s="4">
        <f>(Games[[#This Row],[Keff]]*Games[[#This Row],[MOVMult]])*(Games[[#This Row],[Result]]-Games[[#This Row],[ExpectedWin%]])</f>
        <v>-7.3105620936392564</v>
      </c>
      <c r="AB498" s="4">
        <f>Games[[#This Row],[PreGmRate]]+Games[[#This Row],[RatingChange]]</f>
        <v>1609.6685222162673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0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0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1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38953</v>
      </c>
      <c r="B499" s="2">
        <v>2006</v>
      </c>
      <c r="C499" s="2">
        <f>COUNTIFS(Games[Team],Games[[#This Row],[Team]],Games[Season],Games[[#This Row],[Season]],Games[Date],"&lt;=" &amp; Games[[#This Row],[Date]])</f>
        <v>37</v>
      </c>
      <c r="D499" s="2" t="s">
        <v>46</v>
      </c>
      <c r="E499" s="2">
        <v>2</v>
      </c>
      <c r="F499" s="1" t="s">
        <v>45</v>
      </c>
      <c r="G499" s="1" t="s">
        <v>70</v>
      </c>
      <c r="H499" s="1" t="s">
        <v>15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9" s="2">
        <f>Games[[#This Row],[DaysOff]]-Games[[#This Row],[OppDaysOff]]</f>
        <v>3</v>
      </c>
      <c r="L499" s="2">
        <f>Games[[#This Row],[OppDaysOff]]-Games[[#This Row],[DaysOff]]</f>
        <v>-3</v>
      </c>
      <c r="M499" s="16">
        <f>MAX(-16, MIN(16, Games[[#This Row],[RestDiff]]*8))</f>
        <v>16</v>
      </c>
      <c r="N499" s="16">
        <f>MAX(-16, MIN(16, Games[[#This Row],[OppRestDiff]]*8))</f>
        <v>-16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1643.7990783044579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1616.9790843099065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0.69468998385163017</v>
      </c>
      <c r="R499" s="1">
        <v>64</v>
      </c>
      <c r="S499" s="1">
        <v>61</v>
      </c>
      <c r="T499" s="1">
        <v>0</v>
      </c>
      <c r="U499" s="16">
        <f>Games[[#This Row],[PointsFor]]-Games[[#This Row],[PointsAgainst]]</f>
        <v>3</v>
      </c>
      <c r="V499" s="16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0.28383970510998713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99" s="9">
        <f>MAX(kmin, kmax - 0.15 * MIN(Games[[#This Row],[GamesPlayed]], 82))</f>
        <v>70.45</v>
      </c>
      <c r="Z499" s="4">
        <f>Games[[#This Row],[K]]*Games[[#This Row],[POMult]]</f>
        <v>84.54</v>
      </c>
      <c r="AA499" s="4">
        <f>(Games[[#This Row],[Keff]]*Games[[#This Row],[MOVMult]])*(Games[[#This Row],[Result]]-Games[[#This Row],[ExpectedWin%]])</f>
        <v>7.3261607325303784</v>
      </c>
      <c r="AB499" s="4">
        <f>Games[[#This Row],[PreGmRate]]+Games[[#This Row],[RatingChange]]</f>
        <v>1651.1252390369882</v>
      </c>
      <c r="AC499" s="2">
        <f>IF(Games[[#This Row],[Type]]="R",IF(Games[[#This Row],[Result]]&gt;0.5,1,0),0)</f>
        <v>0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0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1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38955</v>
      </c>
      <c r="B500" s="2">
        <v>2006</v>
      </c>
      <c r="C500" s="2">
        <f>COUNTIFS(Games[Team],Games[[#This Row],[Team]],Games[Season],Games[[#This Row],[Season]],Games[Date],"&lt;=" &amp; Games[[#This Row],[Date]])</f>
        <v>38</v>
      </c>
      <c r="D500" s="2" t="s">
        <v>46</v>
      </c>
      <c r="E500" s="2">
        <v>2</v>
      </c>
      <c r="F500" s="1" t="s">
        <v>75</v>
      </c>
      <c r="G500" s="1" t="s">
        <v>86</v>
      </c>
      <c r="H500" s="1" t="s">
        <v>16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0" s="2">
        <f>Games[[#This Row],[DaysOff]]-Games[[#This Row],[OppDaysOff]]</f>
        <v>0</v>
      </c>
      <c r="L500" s="2">
        <f>Games[[#This Row],[OppDaysOff]]-Games[[#This Row],[DaysOff]]</f>
        <v>0</v>
      </c>
      <c r="M500" s="16">
        <f>MAX(-16, MIN(16, Games[[#This Row],[RestDiff]]*8))</f>
        <v>0</v>
      </c>
      <c r="N500" s="16">
        <f>MAX(-16, MIN(16, Games[[#This Row],[OppRestDiff]]*8))</f>
        <v>0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1640.75454729286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1669.9872346219049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0.34257957926112254</v>
      </c>
      <c r="R500" s="1">
        <v>68</v>
      </c>
      <c r="S500" s="1">
        <v>77</v>
      </c>
      <c r="T500" s="1">
        <v>0</v>
      </c>
      <c r="U500" s="16">
        <f>Games[[#This Row],[PointsFor]]-Games[[#This Row],[PointsAgainst]]</f>
        <v>-9</v>
      </c>
      <c r="V500" s="16">
        <f>IF(Games[[#This Row],[MOV]]&gt;0,1,IF(Games[[#This Row],[MOV]]=0,0.5,0))</f>
        <v>0</v>
      </c>
      <c r="W500" s="4">
        <f>((ABS(Games[[#This Row],[MOV]])+5)^0.6)/(12+0.01*(ABS(Games[[#This Row],[PreGmRate]]-Games[[#This Row],[OppPreGmRate]])))*IF(Games[[#This Row],[OT]]=1,0.9,1)</f>
        <v>0.39631701759838195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0" s="9">
        <f>MAX(kmin, kmax - 0.15 * MIN(Games[[#This Row],[GamesPlayed]], 82))</f>
        <v>70.3</v>
      </c>
      <c r="Z500" s="4">
        <f>Games[[#This Row],[K]]*Games[[#This Row],[POMult]]</f>
        <v>84.36</v>
      </c>
      <c r="AA500" s="4">
        <f>(Games[[#This Row],[Keff]]*Games[[#This Row],[MOVMult]])*(Games[[#This Row],[Result]]-Games[[#This Row],[ExpectedWin%]])</f>
        <v>-11.453567082173068</v>
      </c>
      <c r="AB500" s="4">
        <f>Games[[#This Row],[PreGmRate]]+Games[[#This Row],[RatingChange]]</f>
        <v>1629.3009802106869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0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1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38955</v>
      </c>
      <c r="B501" s="2">
        <v>2006</v>
      </c>
      <c r="C501" s="2">
        <f>COUNTIFS(Games[Team],Games[[#This Row],[Team]],Games[Season],Games[[#This Row],[Season]],Games[Date],"&lt;=" &amp; Games[[#This Row],[Date]])</f>
        <v>38</v>
      </c>
      <c r="D501" s="2" t="s">
        <v>46</v>
      </c>
      <c r="E501" s="2">
        <v>2</v>
      </c>
      <c r="F501" s="1" t="s">
        <v>86</v>
      </c>
      <c r="G501" s="1" t="s">
        <v>75</v>
      </c>
      <c r="H501" s="1" t="s">
        <v>15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1" s="2">
        <f>Games[[#This Row],[DaysOff]]-Games[[#This Row],[OppDaysOff]]</f>
        <v>0</v>
      </c>
      <c r="L501" s="2">
        <f>Games[[#This Row],[OppDaysOff]]-Games[[#This Row],[DaysOff]]</f>
        <v>0</v>
      </c>
      <c r="M501" s="16">
        <f>MAX(-16, MIN(16, Games[[#This Row],[RestDiff]]*8))</f>
        <v>0</v>
      </c>
      <c r="N501" s="16">
        <f>MAX(-16, MIN(16, Games[[#This Row],[OppRestDiff]]*8))</f>
        <v>0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1669.9872346219049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1640.75454729286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0.65742042073887741</v>
      </c>
      <c r="R501" s="1">
        <v>77</v>
      </c>
      <c r="S501" s="1">
        <v>68</v>
      </c>
      <c r="T501" s="1">
        <v>0</v>
      </c>
      <c r="U501" s="16">
        <f>Games[[#This Row],[PointsFor]]-Games[[#This Row],[PointsAgainst]]</f>
        <v>9</v>
      </c>
      <c r="V501" s="16">
        <f>IF(Games[[#This Row],[MOV]]&gt;0,1,IF(Games[[#This Row],[MOV]]=0,0.5,0))</f>
        <v>1</v>
      </c>
      <c r="W501" s="4">
        <f>((ABS(Games[[#This Row],[MOV]])+5)^0.6)/(12+0.01*(ABS(Games[[#This Row],[PreGmRate]]-Games[[#This Row],[OppPreGmRate]])))*IF(Games[[#This Row],[OT]]=1,0.9,1)</f>
        <v>0.39631701759838195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1" s="9">
        <f>MAX(kmin, kmax - 0.15 * MIN(Games[[#This Row],[GamesPlayed]], 82))</f>
        <v>70.3</v>
      </c>
      <c r="Z501" s="4">
        <f>Games[[#This Row],[K]]*Games[[#This Row],[POMult]]</f>
        <v>84.36</v>
      </c>
      <c r="AA501" s="4">
        <f>(Games[[#This Row],[Keff]]*Games[[#This Row],[MOVMult]])*(Games[[#This Row],[Result]]-Games[[#This Row],[ExpectedWin%]])</f>
        <v>11.45356708217307</v>
      </c>
      <c r="AB501" s="4">
        <f>Games[[#This Row],[PreGmRate]]+Games[[#This Row],[RatingChange]]</f>
        <v>1681.440801704078</v>
      </c>
      <c r="AC501" s="2">
        <f>IF(Games[[#This Row],[Type]]="R",IF(Games[[#This Row],[Result]]&gt;0.5,1,0),0)</f>
        <v>0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1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38955</v>
      </c>
      <c r="B502" s="2">
        <v>2006</v>
      </c>
      <c r="C502" s="2">
        <f>COUNTIFS(Games[Team],Games[[#This Row],[Team]],Games[Season],Games[[#This Row],[Season]],Games[Date],"&lt;=" &amp; Games[[#This Row],[Date]])</f>
        <v>38</v>
      </c>
      <c r="D502" s="2" t="s">
        <v>46</v>
      </c>
      <c r="E502" s="2">
        <v>2</v>
      </c>
      <c r="F502" s="1" t="s">
        <v>45</v>
      </c>
      <c r="G502" s="1" t="s">
        <v>70</v>
      </c>
      <c r="H502" s="1" t="s">
        <v>16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2" s="2">
        <f>Games[[#This Row],[DaysOff]]-Games[[#This Row],[OppDaysOff]]</f>
        <v>0</v>
      </c>
      <c r="L502" s="2">
        <f>Games[[#This Row],[OppDaysOff]]-Games[[#This Row],[DaysOff]]</f>
        <v>0</v>
      </c>
      <c r="M502" s="16">
        <f>MAX(-16, MIN(16, Games[[#This Row],[RestDiff]]*8))</f>
        <v>0</v>
      </c>
      <c r="N502" s="16">
        <f>MAX(-16, MIN(16, Games[[#This Row],[OppRestDiff]]*8))</f>
        <v>0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1651.1252390369882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1609.6685222162673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0.4390794679917957</v>
      </c>
      <c r="R502" s="1">
        <v>72</v>
      </c>
      <c r="S502" s="1">
        <v>58</v>
      </c>
      <c r="T502" s="1">
        <v>0</v>
      </c>
      <c r="U502" s="16">
        <f>Games[[#This Row],[PointsFor]]-Games[[#This Row],[PointsAgainst]]</f>
        <v>14</v>
      </c>
      <c r="V502" s="16">
        <f>IF(Games[[#This Row],[MOV]]&gt;0,1,IF(Games[[#This Row],[MOV]]=0,0.5,0))</f>
        <v>1</v>
      </c>
      <c r="W502" s="4">
        <f>((ABS(Games[[#This Row],[MOV]])+5)^0.6)/(12+0.01*(ABS(Games[[#This Row],[PreGmRate]]-Games[[#This Row],[OppPreGmRate]])))*IF(Games[[#This Row],[OT]]=1,0.9,1)</f>
        <v>0.47132511050356685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2" s="9">
        <f>MAX(kmin, kmax - 0.15 * MIN(Games[[#This Row],[GamesPlayed]], 82))</f>
        <v>70.3</v>
      </c>
      <c r="Z502" s="4">
        <f>Games[[#This Row],[K]]*Games[[#This Row],[POMult]]</f>
        <v>84.36</v>
      </c>
      <c r="AA502" s="4">
        <f>(Games[[#This Row],[Keff]]*Games[[#This Row],[MOVMult]])*(Games[[#This Row],[Result]]-Games[[#This Row],[ExpectedWin%]])</f>
        <v>22.302753600952549</v>
      </c>
      <c r="AB502" s="4">
        <f>Games[[#This Row],[PreGmRate]]+Games[[#This Row],[RatingChange]]</f>
        <v>1673.4279926379409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1</v>
      </c>
      <c r="AH502" s="2">
        <f>IF(AND(Games[[#This Row],[Type]]="P",Games[[#This Row],[Round]]=2),IF(Games[[#This Row],[Result]]&lt;0.5,1,0),0)</f>
        <v>0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38955</v>
      </c>
      <c r="B503" s="2">
        <v>2006</v>
      </c>
      <c r="C503" s="2">
        <f>COUNTIFS(Games[Team],Games[[#This Row],[Team]],Games[Season],Games[[#This Row],[Season]],Games[Date],"&lt;=" &amp; Games[[#This Row],[Date]])</f>
        <v>39</v>
      </c>
      <c r="D503" s="2" t="s">
        <v>46</v>
      </c>
      <c r="E503" s="2">
        <v>2</v>
      </c>
      <c r="F503" s="1" t="s">
        <v>70</v>
      </c>
      <c r="G503" s="1" t="s">
        <v>45</v>
      </c>
      <c r="H503" s="1" t="s">
        <v>15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3" s="2">
        <f>Games[[#This Row],[DaysOff]]-Games[[#This Row],[OppDaysOff]]</f>
        <v>0</v>
      </c>
      <c r="L503" s="2">
        <f>Games[[#This Row],[OppDaysOff]]-Games[[#This Row],[DaysOff]]</f>
        <v>0</v>
      </c>
      <c r="M503" s="16">
        <f>MAX(-16, MIN(16, Games[[#This Row],[RestDiff]]*8))</f>
        <v>0</v>
      </c>
      <c r="N503" s="16">
        <f>MAX(-16, MIN(16, Games[[#This Row],[OppRestDiff]]*8))</f>
        <v>0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1609.6685222162673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1651.1252390369882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0.56092053200820435</v>
      </c>
      <c r="R503" s="1">
        <v>58</v>
      </c>
      <c r="S503" s="1">
        <v>72</v>
      </c>
      <c r="T503" s="1">
        <v>0</v>
      </c>
      <c r="U503" s="16">
        <f>Games[[#This Row],[PointsFor]]-Games[[#This Row],[PointsAgainst]]</f>
        <v>-14</v>
      </c>
      <c r="V503" s="16">
        <f>IF(Games[[#This Row],[MOV]]&gt;0,1,IF(Games[[#This Row],[MOV]]=0,0.5,0))</f>
        <v>0</v>
      </c>
      <c r="W503" s="4">
        <f>((ABS(Games[[#This Row],[MOV]])+5)^0.6)/(12+0.01*(ABS(Games[[#This Row],[PreGmRate]]-Games[[#This Row],[OppPreGmRate]])))*IF(Games[[#This Row],[OT]]=1,0.9,1)</f>
        <v>0.47132511050356685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3" s="9">
        <f>MAX(kmin, kmax - 0.15 * MIN(Games[[#This Row],[GamesPlayed]], 82))</f>
        <v>70.150000000000006</v>
      </c>
      <c r="Z503" s="4">
        <f>Games[[#This Row],[K]]*Games[[#This Row],[POMult]]</f>
        <v>84.18</v>
      </c>
      <c r="AA503" s="4">
        <f>(Games[[#This Row],[Keff]]*Games[[#This Row],[MOVMult]])*(Games[[#This Row],[Result]]-Games[[#This Row],[ExpectedWin%]])</f>
        <v>-22.255165933240708</v>
      </c>
      <c r="AB503" s="4">
        <f>Games[[#This Row],[PreGmRate]]+Games[[#This Row],[RatingChange]]</f>
        <v>1587.4133562830266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0</v>
      </c>
      <c r="AH503" s="2">
        <f>IF(AND(Games[[#This Row],[Type]]="P",Games[[#This Row],[Round]]=2),IF(Games[[#This Row],[Result]]&lt;0.5,1,0),0)</f>
        <v>1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38956</v>
      </c>
      <c r="B504" s="2">
        <v>2006</v>
      </c>
      <c r="C504" s="2">
        <f>COUNTIFS(Games[Team],Games[[#This Row],[Team]],Games[Season],Games[[#This Row],[Season]],Games[Date],"&lt;=" &amp; Games[[#This Row],[Date]])</f>
        <v>39</v>
      </c>
      <c r="D504" s="2" t="s">
        <v>46</v>
      </c>
      <c r="E504" s="2">
        <v>2</v>
      </c>
      <c r="F504" s="1" t="s">
        <v>75</v>
      </c>
      <c r="G504" s="1" t="s">
        <v>86</v>
      </c>
      <c r="H504" s="1" t="s">
        <v>16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4" s="2">
        <f>Games[[#This Row],[DaysOff]]-Games[[#This Row],[OppDaysOff]]</f>
        <v>0</v>
      </c>
      <c r="L504" s="2">
        <f>Games[[#This Row],[OppDaysOff]]-Games[[#This Row],[DaysOff]]</f>
        <v>0</v>
      </c>
      <c r="M504" s="16">
        <f>MAX(-16, MIN(16, Games[[#This Row],[RestDiff]]*8))</f>
        <v>0</v>
      </c>
      <c r="N504" s="16">
        <f>MAX(-16, MIN(16, Games[[#This Row],[OppRestDiff]]*8))</f>
        <v>0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1629.3009802106869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1681.440801704078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0.31352648450804688</v>
      </c>
      <c r="R504" s="1">
        <v>79</v>
      </c>
      <c r="S504" s="1">
        <v>55</v>
      </c>
      <c r="T504" s="1">
        <v>0</v>
      </c>
      <c r="U504" s="16">
        <f>Games[[#This Row],[PointsFor]]-Games[[#This Row],[PointsAgainst]]</f>
        <v>24</v>
      </c>
      <c r="V504" s="16">
        <f>IF(Games[[#This Row],[MOV]]&gt;0,1,IF(Games[[#This Row],[MOV]]=0,0.5,0))</f>
        <v>1</v>
      </c>
      <c r="W504" s="4">
        <f>((ABS(Games[[#This Row],[MOV]])+5)^0.6)/(12+0.01*(ABS(Games[[#This Row],[PreGmRate]]-Games[[#This Row],[OppPreGmRate]])))*IF(Games[[#This Row],[OT]]=1,0.9,1)</f>
        <v>0.60226270612362631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4" s="9">
        <f>MAX(kmin, kmax - 0.15 * MIN(Games[[#This Row],[GamesPlayed]], 82))</f>
        <v>70.150000000000006</v>
      </c>
      <c r="Z504" s="4">
        <f>Games[[#This Row],[K]]*Games[[#This Row],[POMult]]</f>
        <v>84.18</v>
      </c>
      <c r="AA504" s="4">
        <f>(Games[[#This Row],[Keff]]*Games[[#This Row],[MOVMult]])*(Games[[#This Row],[Result]]-Games[[#This Row],[ExpectedWin%]])</f>
        <v>34.803160089762187</v>
      </c>
      <c r="AB504" s="4">
        <f>Games[[#This Row],[PreGmRate]]+Games[[#This Row],[RatingChange]]</f>
        <v>1664.1041403004492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0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1</v>
      </c>
      <c r="AH504" s="2">
        <f>IF(AND(Games[[#This Row],[Type]]="P",Games[[#This Row],[Round]]=2),IF(Games[[#This Row],[Result]]&lt;0.5,1,0),0)</f>
        <v>0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38956</v>
      </c>
      <c r="B505" s="2">
        <v>2006</v>
      </c>
      <c r="C505" s="2">
        <f>COUNTIFS(Games[Team],Games[[#This Row],[Team]],Games[Season],Games[[#This Row],[Season]],Games[Date],"&lt;=" &amp; Games[[#This Row],[Date]])</f>
        <v>39</v>
      </c>
      <c r="D505" s="2" t="s">
        <v>46</v>
      </c>
      <c r="E505" s="2">
        <v>2</v>
      </c>
      <c r="F505" s="1" t="s">
        <v>86</v>
      </c>
      <c r="G505" s="1" t="s">
        <v>75</v>
      </c>
      <c r="H505" s="1" t="s">
        <v>15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5" s="2">
        <f>Games[[#This Row],[DaysOff]]-Games[[#This Row],[OppDaysOff]]</f>
        <v>0</v>
      </c>
      <c r="L505" s="2">
        <f>Games[[#This Row],[OppDaysOff]]-Games[[#This Row],[DaysOff]]</f>
        <v>0</v>
      </c>
      <c r="M505" s="16">
        <f>MAX(-16, MIN(16, Games[[#This Row],[RestDiff]]*8))</f>
        <v>0</v>
      </c>
      <c r="N505" s="16">
        <f>MAX(-16, MIN(16, Games[[#This Row],[OppRestDiff]]*8))</f>
        <v>0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1681.440801704078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1629.3009802106869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0.68647351549195312</v>
      </c>
      <c r="R505" s="1">
        <v>55</v>
      </c>
      <c r="S505" s="1">
        <v>79</v>
      </c>
      <c r="T505" s="1">
        <v>0</v>
      </c>
      <c r="U505" s="16">
        <f>Games[[#This Row],[PointsFor]]-Games[[#This Row],[PointsAgainst]]</f>
        <v>-24</v>
      </c>
      <c r="V505" s="16">
        <f>IF(Games[[#This Row],[MOV]]&gt;0,1,IF(Games[[#This Row],[MOV]]=0,0.5,0))</f>
        <v>0</v>
      </c>
      <c r="W505" s="4">
        <f>((ABS(Games[[#This Row],[MOV]])+5)^0.6)/(12+0.01*(ABS(Games[[#This Row],[PreGmRate]]-Games[[#This Row],[OppPreGmRate]])))*IF(Games[[#This Row],[OT]]=1,0.9,1)</f>
        <v>0.60226270612362631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05" s="9">
        <f>MAX(kmin, kmax - 0.15 * MIN(Games[[#This Row],[GamesPlayed]], 82))</f>
        <v>70.150000000000006</v>
      </c>
      <c r="Z505" s="4">
        <f>Games[[#This Row],[K]]*Games[[#This Row],[POMult]]</f>
        <v>84.18</v>
      </c>
      <c r="AA505" s="4">
        <f>(Games[[#This Row],[Keff]]*Games[[#This Row],[MOVMult]])*(Games[[#This Row],[Result]]-Games[[#This Row],[ExpectedWin%]])</f>
        <v>-34.803160089762187</v>
      </c>
      <c r="AB505" s="4">
        <f>Games[[#This Row],[PreGmRate]]+Games[[#This Row],[RatingChange]]</f>
        <v>1646.6376416143157</v>
      </c>
      <c r="AC505" s="2">
        <f>IF(Games[[#This Row],[Type]]="R",IF(Games[[#This Row],[Result]]&gt;0.5,1,0),0)</f>
        <v>0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0</v>
      </c>
      <c r="AH505" s="2">
        <f>IF(AND(Games[[#This Row],[Type]]="P",Games[[#This Row],[Round]]=2),IF(Games[[#This Row],[Result]]&lt;0.5,1,0),0)</f>
        <v>1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38959</v>
      </c>
      <c r="B506" s="2">
        <v>2006</v>
      </c>
      <c r="C506" s="2">
        <f>COUNTIFS(Games[Team],Games[[#This Row],[Team]],Games[Season],Games[[#This Row],[Season]],Games[Date],"&lt;=" &amp; Games[[#This Row],[Date]])</f>
        <v>39</v>
      </c>
      <c r="D506" s="2" t="s">
        <v>46</v>
      </c>
      <c r="E506" s="2">
        <v>3</v>
      </c>
      <c r="F506" s="1" t="s">
        <v>45</v>
      </c>
      <c r="G506" s="1" t="s">
        <v>75</v>
      </c>
      <c r="H506" s="1" t="s">
        <v>16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3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6" s="2">
        <f>Games[[#This Row],[DaysOff]]-Games[[#This Row],[OppDaysOff]]</f>
        <v>1</v>
      </c>
      <c r="L506" s="2">
        <f>Games[[#This Row],[OppDaysOff]]-Games[[#This Row],[DaysOff]]</f>
        <v>-1</v>
      </c>
      <c r="M506" s="16">
        <f>MAX(-16, MIN(16, Games[[#This Row],[RestDiff]]*8))</f>
        <v>8</v>
      </c>
      <c r="N506" s="16">
        <f>MAX(-16, MIN(16, Games[[#This Row],[OppRestDiff]]*8))</f>
        <v>-8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1673.4279926379409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1664.1041403004492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0.41635198730442896</v>
      </c>
      <c r="R506" s="1">
        <v>95</v>
      </c>
      <c r="S506" s="1">
        <v>71</v>
      </c>
      <c r="T506" s="1">
        <v>0</v>
      </c>
      <c r="U506" s="16">
        <f>Games[[#This Row],[PointsFor]]-Games[[#This Row],[PointsAgainst]]</f>
        <v>24</v>
      </c>
      <c r="V506" s="16">
        <f>IF(Games[[#This Row],[MOV]]&gt;0,1,IF(Games[[#This Row],[MOV]]=0,0.5,0))</f>
        <v>1</v>
      </c>
      <c r="W506" s="4">
        <f>((ABS(Games[[#This Row],[MOV]])+5)^0.6)/(12+0.01*(ABS(Games[[#This Row],[PreGmRate]]-Games[[#This Row],[OppPreGmRate]])))*IF(Games[[#This Row],[OT]]=1,0.9,1)</f>
        <v>0.62358574659727217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06" s="9">
        <f>MAX(kmin, kmax - 0.15 * MIN(Games[[#This Row],[GamesPlayed]], 82))</f>
        <v>70.150000000000006</v>
      </c>
      <c r="Z506" s="4">
        <f>Games[[#This Row],[K]]*Games[[#This Row],[POMult]]</f>
        <v>94.702500000000015</v>
      </c>
      <c r="AA506" s="4">
        <f>(Games[[#This Row],[Keff]]*Games[[#This Row],[MOVMult]])*(Games[[#This Row],[Result]]-Games[[#This Row],[ExpectedWin%]])</f>
        <v>34.46740877787461</v>
      </c>
      <c r="AB506" s="4">
        <f>Games[[#This Row],[PreGmRate]]+Games[[#This Row],[RatingChange]]</f>
        <v>1707.8954014158155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0</v>
      </c>
      <c r="AI506" s="2">
        <f>IF(AND(Games[[#This Row],[Type]]="P",Games[[#This Row],[Round]]=3),IF(Games[[#This Row],[Result]]&gt;0.5,1,0),0)</f>
        <v>1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38959</v>
      </c>
      <c r="B507" s="2">
        <v>2006</v>
      </c>
      <c r="C507" s="2">
        <f>COUNTIFS(Games[Team],Games[[#This Row],[Team]],Games[Season],Games[[#This Row],[Season]],Games[Date],"&lt;=" &amp; Games[[#This Row],[Date]])</f>
        <v>40</v>
      </c>
      <c r="D507" s="2" t="s">
        <v>46</v>
      </c>
      <c r="E507" s="2">
        <v>3</v>
      </c>
      <c r="F507" s="1" t="s">
        <v>75</v>
      </c>
      <c r="G507" s="1" t="s">
        <v>45</v>
      </c>
      <c r="H507" s="1" t="s">
        <v>15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7" s="2">
        <f>Games[[#This Row],[DaysOff]]-Games[[#This Row],[OppDaysOff]]</f>
        <v>-1</v>
      </c>
      <c r="L507" s="2">
        <f>Games[[#This Row],[OppDaysOff]]-Games[[#This Row],[DaysOff]]</f>
        <v>1</v>
      </c>
      <c r="M507" s="16">
        <f>MAX(-16, MIN(16, Games[[#This Row],[RestDiff]]*8))</f>
        <v>-8</v>
      </c>
      <c r="N507" s="16">
        <f>MAX(-16, MIN(16, Games[[#This Row],[OppRestDiff]]*8))</f>
        <v>8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1664.1041403004492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1673.4279926379409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0.58364801269557109</v>
      </c>
      <c r="R507" s="1">
        <v>71</v>
      </c>
      <c r="S507" s="1">
        <v>95</v>
      </c>
      <c r="T507" s="1">
        <v>0</v>
      </c>
      <c r="U507" s="16">
        <f>Games[[#This Row],[PointsFor]]-Games[[#This Row],[PointsAgainst]]</f>
        <v>-24</v>
      </c>
      <c r="V507" s="16">
        <f>IF(Games[[#This Row],[MOV]]&gt;0,1,IF(Games[[#This Row],[MOV]]=0,0.5,0))</f>
        <v>0</v>
      </c>
      <c r="W507" s="4">
        <f>((ABS(Games[[#This Row],[MOV]])+5)^0.6)/(12+0.01*(ABS(Games[[#This Row],[PreGmRate]]-Games[[#This Row],[OppPreGmRate]])))*IF(Games[[#This Row],[OT]]=1,0.9,1)</f>
        <v>0.62358574659727217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07" s="9">
        <f>MAX(kmin, kmax - 0.15 * MIN(Games[[#This Row],[GamesPlayed]], 82))</f>
        <v>70</v>
      </c>
      <c r="Z507" s="4">
        <f>Games[[#This Row],[K]]*Games[[#This Row],[POMult]]</f>
        <v>94.5</v>
      </c>
      <c r="AA507" s="4">
        <f>(Games[[#This Row],[Keff]]*Games[[#This Row],[MOVMult]])*(Games[[#This Row],[Result]]-Games[[#This Row],[ExpectedWin%]])</f>
        <v>-34.393707975070889</v>
      </c>
      <c r="AB507" s="4">
        <f>Games[[#This Row],[PreGmRate]]+Games[[#This Row],[RatingChange]]</f>
        <v>1629.7104323253784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0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1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38961</v>
      </c>
      <c r="B508" s="2">
        <v>2006</v>
      </c>
      <c r="C508" s="2">
        <f>COUNTIFS(Games[Team],Games[[#This Row],[Team]],Games[Season],Games[[#This Row],[Season]],Games[Date],"&lt;=" &amp; Games[[#This Row],[Date]])</f>
        <v>40</v>
      </c>
      <c r="D508" s="2" t="s">
        <v>46</v>
      </c>
      <c r="E508" s="2">
        <v>3</v>
      </c>
      <c r="F508" s="1" t="s">
        <v>45</v>
      </c>
      <c r="G508" s="1" t="s">
        <v>75</v>
      </c>
      <c r="H508" s="1" t="s">
        <v>16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8" s="2">
        <f>Games[[#This Row],[DaysOff]]-Games[[#This Row],[OppDaysOff]]</f>
        <v>0</v>
      </c>
      <c r="L508" s="2">
        <f>Games[[#This Row],[OppDaysOff]]-Games[[#This Row],[DaysOff]]</f>
        <v>0</v>
      </c>
      <c r="M508" s="16">
        <f>MAX(-16, MIN(16, Games[[#This Row],[RestDiff]]*8))</f>
        <v>0</v>
      </c>
      <c r="N508" s="16">
        <f>MAX(-16, MIN(16, Games[[#This Row],[OppRestDiff]]*8))</f>
        <v>0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1707.8954014158155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1629.7104323253784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0.49163227914801322</v>
      </c>
      <c r="R508" s="1">
        <v>63</v>
      </c>
      <c r="S508" s="1">
        <v>73</v>
      </c>
      <c r="T508" s="1">
        <v>0</v>
      </c>
      <c r="U508" s="16">
        <f>Games[[#This Row],[PointsFor]]-Games[[#This Row],[PointsAgainst]]</f>
        <v>-10</v>
      </c>
      <c r="V508" s="16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0.39724738709770796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08" s="9">
        <f>MAX(kmin, kmax - 0.15 * MIN(Games[[#This Row],[GamesPlayed]], 82))</f>
        <v>70</v>
      </c>
      <c r="Z508" s="4">
        <f>Games[[#This Row],[K]]*Games[[#This Row],[POMult]]</f>
        <v>94.5</v>
      </c>
      <c r="AA508" s="4">
        <f>(Games[[#This Row],[Keff]]*Games[[#This Row],[MOVMult]])*(Games[[#This Row],[Result]]-Games[[#This Row],[ExpectedWin%]])</f>
        <v>-18.455815819769505</v>
      </c>
      <c r="AB508" s="4">
        <f>Games[[#This Row],[PreGmRate]]+Games[[#This Row],[RatingChange]]</f>
        <v>1689.4395855960461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0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0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1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38961</v>
      </c>
      <c r="B509" s="2">
        <v>2006</v>
      </c>
      <c r="C509" s="2">
        <f>COUNTIFS(Games[Team],Games[[#This Row],[Team]],Games[Season],Games[[#This Row],[Season]],Games[Date],"&lt;=" &amp; Games[[#This Row],[Date]])</f>
        <v>41</v>
      </c>
      <c r="D509" s="2" t="s">
        <v>46</v>
      </c>
      <c r="E509" s="2">
        <v>3</v>
      </c>
      <c r="F509" s="1" t="s">
        <v>75</v>
      </c>
      <c r="G509" s="1" t="s">
        <v>45</v>
      </c>
      <c r="H509" s="1" t="s">
        <v>15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9" s="2">
        <f>Games[[#This Row],[DaysOff]]-Games[[#This Row],[OppDaysOff]]</f>
        <v>0</v>
      </c>
      <c r="L509" s="2">
        <f>Games[[#This Row],[OppDaysOff]]-Games[[#This Row],[DaysOff]]</f>
        <v>0</v>
      </c>
      <c r="M509" s="16">
        <f>MAX(-16, MIN(16, Games[[#This Row],[RestDiff]]*8))</f>
        <v>0</v>
      </c>
      <c r="N509" s="16">
        <f>MAX(-16, MIN(16, Games[[#This Row],[OppRestDiff]]*8))</f>
        <v>0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1629.7104323253784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1707.8954014158155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0.50836772085198678</v>
      </c>
      <c r="R509" s="1">
        <v>73</v>
      </c>
      <c r="S509" s="1">
        <v>63</v>
      </c>
      <c r="T509" s="1">
        <v>0</v>
      </c>
      <c r="U509" s="16">
        <f>Games[[#This Row],[PointsFor]]-Games[[#This Row],[PointsAgainst]]</f>
        <v>10</v>
      </c>
      <c r="V509" s="16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0.39724738709770796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09" s="9">
        <f>MAX(kmin, kmax - 0.15 * MIN(Games[[#This Row],[GamesPlayed]], 82))</f>
        <v>69.849999999999994</v>
      </c>
      <c r="Z509" s="4">
        <f>Games[[#This Row],[K]]*Games[[#This Row],[POMult]]</f>
        <v>94.297499999999999</v>
      </c>
      <c r="AA509" s="4">
        <f>(Games[[#This Row],[Keff]]*Games[[#This Row],[MOVMult]])*(Games[[#This Row],[Result]]-Games[[#This Row],[ExpectedWin%]])</f>
        <v>18.416267643012858</v>
      </c>
      <c r="AB509" s="4">
        <f>Games[[#This Row],[PreGmRate]]+Games[[#This Row],[RatingChange]]</f>
        <v>1648.1266999683912</v>
      </c>
      <c r="AC509" s="2">
        <f>IF(Games[[#This Row],[Type]]="R",IF(Games[[#This Row],[Result]]&gt;0.5,1,0),0)</f>
        <v>0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0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1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38963</v>
      </c>
      <c r="B510" s="2">
        <v>2006</v>
      </c>
      <c r="C510" s="2">
        <f>COUNTIFS(Games[Team],Games[[#This Row],[Team]],Games[Season],Games[[#This Row],[Season]],Games[Date],"&lt;=" &amp; Games[[#This Row],[Date]])</f>
        <v>42</v>
      </c>
      <c r="D510" s="2" t="s">
        <v>46</v>
      </c>
      <c r="E510" s="2">
        <v>3</v>
      </c>
      <c r="F510" s="1" t="s">
        <v>75</v>
      </c>
      <c r="G510" s="1" t="s">
        <v>45</v>
      </c>
      <c r="H510" s="1" t="s">
        <v>16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0" s="2">
        <f>Games[[#This Row],[DaysOff]]-Games[[#This Row],[OppDaysOff]]</f>
        <v>0</v>
      </c>
      <c r="L510" s="2">
        <f>Games[[#This Row],[OppDaysOff]]-Games[[#This Row],[DaysOff]]</f>
        <v>0</v>
      </c>
      <c r="M510" s="16">
        <f>MAX(-16, MIN(16, Games[[#This Row],[RestDiff]]*8))</f>
        <v>0</v>
      </c>
      <c r="N510" s="16">
        <f>MAX(-16, MIN(16, Games[[#This Row],[OppRestDiff]]*8))</f>
        <v>0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1648.1266999683912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1689.4395855960461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0.32709380177624336</v>
      </c>
      <c r="R510" s="1">
        <v>69</v>
      </c>
      <c r="S510" s="1">
        <v>89</v>
      </c>
      <c r="T510" s="1">
        <v>0</v>
      </c>
      <c r="U510" s="16">
        <f>Games[[#This Row],[PointsFor]]-Games[[#This Row],[PointsAgainst]]</f>
        <v>-20</v>
      </c>
      <c r="V510" s="16">
        <f>IF(Games[[#This Row],[MOV]]&gt;0,1,IF(Games[[#This Row],[MOV]]=0,0.5,0))</f>
        <v>0</v>
      </c>
      <c r="W510" s="4">
        <f>((ABS(Games[[#This Row],[MOV]])+5)^0.6)/(12+0.01*(ABS(Games[[#This Row],[PreGmRate]]-Games[[#This Row],[OppPreGmRate]])))*IF(Games[[#This Row],[OT]]=1,0.9,1)</f>
        <v>0.55575418471692206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0" s="9">
        <f>MAX(kmin, kmax - 0.15 * MIN(Games[[#This Row],[GamesPlayed]], 82))</f>
        <v>69.7</v>
      </c>
      <c r="Z510" s="4">
        <f>Games[[#This Row],[K]]*Games[[#This Row],[POMult]]</f>
        <v>94.095000000000013</v>
      </c>
      <c r="AA510" s="4">
        <f>(Games[[#This Row],[Keff]]*Games[[#This Row],[MOVMult]])*(Games[[#This Row],[Result]]-Games[[#This Row],[ExpectedWin%]])</f>
        <v>-17.104941874586331</v>
      </c>
      <c r="AB510" s="4">
        <f>Games[[#This Row],[PreGmRate]]+Games[[#This Row],[RatingChange]]</f>
        <v>1631.0217580938049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1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38963</v>
      </c>
      <c r="B511" s="2">
        <v>2006</v>
      </c>
      <c r="C511" s="2">
        <f>COUNTIFS(Games[Team],Games[[#This Row],[Team]],Games[Season],Games[[#This Row],[Season]],Games[Date],"&lt;=" &amp; Games[[#This Row],[Date]])</f>
        <v>41</v>
      </c>
      <c r="D511" s="2" t="s">
        <v>46</v>
      </c>
      <c r="E511" s="2">
        <v>3</v>
      </c>
      <c r="F511" s="1" t="s">
        <v>45</v>
      </c>
      <c r="G511" s="1" t="s">
        <v>75</v>
      </c>
      <c r="H511" s="1" t="s">
        <v>15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1" s="2">
        <f>Games[[#This Row],[DaysOff]]-Games[[#This Row],[OppDaysOff]]</f>
        <v>0</v>
      </c>
      <c r="L511" s="2">
        <f>Games[[#This Row],[OppDaysOff]]-Games[[#This Row],[DaysOff]]</f>
        <v>0</v>
      </c>
      <c r="M511" s="16">
        <f>MAX(-16, MIN(16, Games[[#This Row],[RestDiff]]*8))</f>
        <v>0</v>
      </c>
      <c r="N511" s="16">
        <f>MAX(-16, MIN(16, Games[[#This Row],[OppRestDiff]]*8))</f>
        <v>0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1689.4395855960461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1648.1266999683912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0.67290619822375664</v>
      </c>
      <c r="R511" s="1">
        <v>89</v>
      </c>
      <c r="S511" s="1">
        <v>69</v>
      </c>
      <c r="T511" s="1">
        <v>0</v>
      </c>
      <c r="U511" s="16">
        <f>Games[[#This Row],[PointsFor]]-Games[[#This Row],[PointsAgainst]]</f>
        <v>20</v>
      </c>
      <c r="V511" s="16">
        <f>IF(Games[[#This Row],[MOV]]&gt;0,1,IF(Games[[#This Row],[MOV]]=0,0.5,0))</f>
        <v>1</v>
      </c>
      <c r="W511" s="4">
        <f>((ABS(Games[[#This Row],[MOV]])+5)^0.6)/(12+0.01*(ABS(Games[[#This Row],[PreGmRate]]-Games[[#This Row],[OppPreGmRate]])))*IF(Games[[#This Row],[OT]]=1,0.9,1)</f>
        <v>0.55575418471692206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1" s="9">
        <f>MAX(kmin, kmax - 0.15 * MIN(Games[[#This Row],[GamesPlayed]], 82))</f>
        <v>69.849999999999994</v>
      </c>
      <c r="Z511" s="4">
        <f>Games[[#This Row],[K]]*Games[[#This Row],[POMult]]</f>
        <v>94.297499999999999</v>
      </c>
      <c r="AA511" s="4">
        <f>(Games[[#This Row],[Keff]]*Games[[#This Row],[MOVMult]])*(Games[[#This Row],[Result]]-Games[[#This Row],[ExpectedWin%]])</f>
        <v>17.141753083785581</v>
      </c>
      <c r="AB511" s="4">
        <f>Games[[#This Row],[PreGmRate]]+Games[[#This Row],[RatingChange]]</f>
        <v>1706.5813386798316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1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38966</v>
      </c>
      <c r="B512" s="2">
        <v>2006</v>
      </c>
      <c r="C512" s="2">
        <f>COUNTIFS(Games[Team],Games[[#This Row],[Team]],Games[Season],Games[[#This Row],[Season]],Games[Date],"&lt;=" &amp; Games[[#This Row],[Date]])</f>
        <v>43</v>
      </c>
      <c r="D512" s="2" t="s">
        <v>46</v>
      </c>
      <c r="E512" s="2">
        <v>3</v>
      </c>
      <c r="F512" s="1" t="s">
        <v>75</v>
      </c>
      <c r="G512" s="1" t="s">
        <v>45</v>
      </c>
      <c r="H512" s="1" t="s">
        <v>16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2" s="2">
        <f>Games[[#This Row],[DaysOff]]-Games[[#This Row],[OppDaysOff]]</f>
        <v>0</v>
      </c>
      <c r="L512" s="2">
        <f>Games[[#This Row],[OppDaysOff]]-Games[[#This Row],[DaysOff]]</f>
        <v>0</v>
      </c>
      <c r="M512" s="16">
        <f>MAX(-16, MIN(16, Games[[#This Row],[RestDiff]]*8))</f>
        <v>0</v>
      </c>
      <c r="N512" s="16">
        <f>MAX(-16, MIN(16, Games[[#This Row],[OppRestDiff]]*8))</f>
        <v>0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1631.0217580938049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1706.5813386798316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0.28526387709513656</v>
      </c>
      <c r="R512" s="1">
        <v>72</v>
      </c>
      <c r="S512" s="1">
        <v>52</v>
      </c>
      <c r="T512" s="1">
        <v>0</v>
      </c>
      <c r="U512" s="16">
        <f>Games[[#This Row],[PointsFor]]-Games[[#This Row],[PointsAgainst]]</f>
        <v>20</v>
      </c>
      <c r="V512" s="16">
        <f>IF(Games[[#This Row],[MOV]]&gt;0,1,IF(Games[[#This Row],[MOV]]=0,0.5,0))</f>
        <v>1</v>
      </c>
      <c r="W512" s="4">
        <f>((ABS(Games[[#This Row],[MOV]])+5)^0.6)/(12+0.01*(ABS(Games[[#This Row],[PreGmRate]]-Games[[#This Row],[OppPreGmRate]])))*IF(Games[[#This Row],[OT]]=1,0.9,1)</f>
        <v>0.54083309100596044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2" s="9">
        <f>MAX(kmin, kmax - 0.15 * MIN(Games[[#This Row],[GamesPlayed]], 82))</f>
        <v>69.55</v>
      </c>
      <c r="Z512" s="4">
        <f>Games[[#This Row],[K]]*Games[[#This Row],[POMult]]</f>
        <v>93.892499999999998</v>
      </c>
      <c r="AA512" s="4">
        <f>(Games[[#This Row],[Keff]]*Games[[#This Row],[MOVMult]])*(Games[[#This Row],[Result]]-Games[[#This Row],[ExpectedWin%]])</f>
        <v>36.294422539039857</v>
      </c>
      <c r="AB512" s="4">
        <f>Games[[#This Row],[PreGmRate]]+Games[[#This Row],[RatingChange]]</f>
        <v>1667.3161806328449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0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1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38966</v>
      </c>
      <c r="B513" s="2">
        <v>2006</v>
      </c>
      <c r="C513" s="2">
        <f>COUNTIFS(Games[Team],Games[[#This Row],[Team]],Games[Season],Games[[#This Row],[Season]],Games[Date],"&lt;=" &amp; Games[[#This Row],[Date]])</f>
        <v>42</v>
      </c>
      <c r="D513" s="2" t="s">
        <v>46</v>
      </c>
      <c r="E513" s="2">
        <v>3</v>
      </c>
      <c r="F513" s="1" t="s">
        <v>45</v>
      </c>
      <c r="G513" s="1" t="s">
        <v>75</v>
      </c>
      <c r="H513" s="1" t="s">
        <v>15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3" s="2">
        <f>Games[[#This Row],[DaysOff]]-Games[[#This Row],[OppDaysOff]]</f>
        <v>0</v>
      </c>
      <c r="L513" s="2">
        <f>Games[[#This Row],[OppDaysOff]]-Games[[#This Row],[DaysOff]]</f>
        <v>0</v>
      </c>
      <c r="M513" s="16">
        <f>MAX(-16, MIN(16, Games[[#This Row],[RestDiff]]*8))</f>
        <v>0</v>
      </c>
      <c r="N513" s="16">
        <f>MAX(-16, MIN(16, Games[[#This Row],[OppRestDiff]]*8))</f>
        <v>0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1706.5813386798316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1631.0217580938049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0.71473612290486344</v>
      </c>
      <c r="R513" s="1">
        <v>52</v>
      </c>
      <c r="S513" s="1">
        <v>72</v>
      </c>
      <c r="T513" s="1">
        <v>0</v>
      </c>
      <c r="U513" s="16">
        <f>Games[[#This Row],[PointsFor]]-Games[[#This Row],[PointsAgainst]]</f>
        <v>-20</v>
      </c>
      <c r="V513" s="16">
        <f>IF(Games[[#This Row],[MOV]]&gt;0,1,IF(Games[[#This Row],[MOV]]=0,0.5,0))</f>
        <v>0</v>
      </c>
      <c r="W513" s="4">
        <f>((ABS(Games[[#This Row],[MOV]])+5)^0.6)/(12+0.01*(ABS(Games[[#This Row],[PreGmRate]]-Games[[#This Row],[OppPreGmRate]])))*IF(Games[[#This Row],[OT]]=1,0.9,1)</f>
        <v>0.54083309100596044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3" s="9">
        <f>MAX(kmin, kmax - 0.15 * MIN(Games[[#This Row],[GamesPlayed]], 82))</f>
        <v>69.7</v>
      </c>
      <c r="Z513" s="4">
        <f>Games[[#This Row],[K]]*Games[[#This Row],[POMult]]</f>
        <v>94.095000000000013</v>
      </c>
      <c r="AA513" s="4">
        <f>(Games[[#This Row],[Keff]]*Games[[#This Row],[MOVMult]])*(Games[[#This Row],[Result]]-Games[[#This Row],[ExpectedWin%]])</f>
        <v>-36.372699510727223</v>
      </c>
      <c r="AB513" s="4">
        <f>Games[[#This Row],[PreGmRate]]+Games[[#This Row],[RatingChange]]</f>
        <v>1670.2086391691043</v>
      </c>
      <c r="AC513" s="2">
        <f>IF(Games[[#This Row],[Type]]="R",IF(Games[[#This Row],[Result]]&gt;0.5,1,0),0)</f>
        <v>0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1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38969</v>
      </c>
      <c r="B514" s="2">
        <v>2006</v>
      </c>
      <c r="C514" s="2">
        <f>COUNTIFS(Games[Team],Games[[#This Row],[Team]],Games[Season],Games[[#This Row],[Season]],Games[Date],"&lt;=" &amp; Games[[#This Row],[Date]])</f>
        <v>43</v>
      </c>
      <c r="D514" s="2" t="s">
        <v>46</v>
      </c>
      <c r="E514" s="2">
        <v>3</v>
      </c>
      <c r="F514" s="1" t="s">
        <v>45</v>
      </c>
      <c r="G514" s="1" t="s">
        <v>75</v>
      </c>
      <c r="H514" s="1" t="s">
        <v>16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6">
        <f>MAX(-16, MIN(16, Games[[#This Row],[RestDiff]]*8))</f>
        <v>0</v>
      </c>
      <c r="N514" s="16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1670.2086391691043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1667.3161806328449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0.38535200098691919</v>
      </c>
      <c r="R514" s="1">
        <v>75</v>
      </c>
      <c r="S514" s="1">
        <v>80</v>
      </c>
      <c r="T514" s="1">
        <v>0</v>
      </c>
      <c r="U514" s="16">
        <f>Games[[#This Row],[PointsFor]]-Games[[#This Row],[PointsAgainst]]</f>
        <v>-5</v>
      </c>
      <c r="V514" s="16">
        <f>IF(Games[[#This Row],[MOV]]&gt;0,1,IF(Games[[#This Row],[MOV]]=0,0.5,0))</f>
        <v>0</v>
      </c>
      <c r="W514" s="4">
        <f>((ABS(Games[[#This Row],[MOV]])+5)^0.6)/(12+0.01*(ABS(Games[[#This Row],[PreGmRate]]-Games[[#This Row],[OppPreGmRate]])))*IF(Games[[#This Row],[OT]]=1,0.9,1)</f>
        <v>0.33095823964008736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4" s="9">
        <f>MAX(kmin, kmax - 0.15 * MIN(Games[[#This Row],[GamesPlayed]], 82))</f>
        <v>69.55</v>
      </c>
      <c r="Z514" s="4">
        <f>Games[[#This Row],[K]]*Games[[#This Row],[POMult]]</f>
        <v>93.892499999999998</v>
      </c>
      <c r="AA514" s="4">
        <f>(Games[[#This Row],[Keff]]*Games[[#This Row],[MOVMult]])*(Games[[#This Row],[Result]]-Games[[#This Row],[ExpectedWin%]])</f>
        <v>-11.974619411873098</v>
      </c>
      <c r="AB514" s="4">
        <f>Games[[#This Row],[PreGmRate]]+Games[[#This Row],[RatingChange]]</f>
        <v>1658.2340197572312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1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38969</v>
      </c>
      <c r="B515" s="2">
        <v>2006</v>
      </c>
      <c r="C515" s="2">
        <f>COUNTIFS(Games[Team],Games[[#This Row],[Team]],Games[Season],Games[[#This Row],[Season]],Games[Date],"&lt;=" &amp; Games[[#This Row],[Date]])</f>
        <v>44</v>
      </c>
      <c r="D515" s="2" t="s">
        <v>46</v>
      </c>
      <c r="E515" s="2">
        <v>3</v>
      </c>
      <c r="F515" s="1" t="s">
        <v>75</v>
      </c>
      <c r="G515" s="1" t="s">
        <v>45</v>
      </c>
      <c r="H515" s="1" t="s">
        <v>15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6">
        <f>MAX(-16, MIN(16, Games[[#This Row],[RestDiff]]*8))</f>
        <v>0</v>
      </c>
      <c r="N515" s="16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1667.3161806328449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1670.2086391691043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0.61464799901308087</v>
      </c>
      <c r="R515" s="1">
        <v>80</v>
      </c>
      <c r="S515" s="1">
        <v>75</v>
      </c>
      <c r="T515" s="1">
        <v>0</v>
      </c>
      <c r="U515" s="16">
        <f>Games[[#This Row],[PointsFor]]-Games[[#This Row],[PointsAgainst]]</f>
        <v>5</v>
      </c>
      <c r="V515" s="16">
        <f>IF(Games[[#This Row],[MOV]]&gt;0,1,IF(Games[[#This Row],[MOV]]=0,0.5,0))</f>
        <v>1</v>
      </c>
      <c r="W515" s="4">
        <f>((ABS(Games[[#This Row],[MOV]])+5)^0.6)/(12+0.01*(ABS(Games[[#This Row],[PreGmRate]]-Games[[#This Row],[OppPreGmRate]])))*IF(Games[[#This Row],[OT]]=1,0.9,1)</f>
        <v>0.33095823964008736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15" s="9">
        <f>MAX(kmin, kmax - 0.15 * MIN(Games[[#This Row],[GamesPlayed]], 82))</f>
        <v>69.400000000000006</v>
      </c>
      <c r="Z515" s="4">
        <f>Games[[#This Row],[K]]*Games[[#This Row],[POMult]]</f>
        <v>93.690000000000012</v>
      </c>
      <c r="AA515" s="4">
        <f>(Games[[#This Row],[Keff]]*Games[[#This Row],[MOVMult]])*(Games[[#This Row],[Result]]-Games[[#This Row],[ExpectedWin%]])</f>
        <v>11.948793489345693</v>
      </c>
      <c r="AB515" s="4">
        <f>Games[[#This Row],[PreGmRate]]+Games[[#This Row],[RatingChange]]</f>
        <v>1679.2649741221906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1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2026-07-27T10:10:33Z</dcterms:modified>
</cp:coreProperties>
</file>